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pple/Downloads/"/>
    </mc:Choice>
  </mc:AlternateContent>
  <xr:revisionPtr revIDLastSave="0" documentId="13_ncr:1_{84A4D585-37F2-6B42-AAFB-66947A8BCFAD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Full dataset" sheetId="18" r:id="rId1"/>
    <sheet name="Q1" sheetId="19" r:id="rId2"/>
    <sheet name="Q2" sheetId="4" r:id="rId3"/>
    <sheet name="Q3" sheetId="15" r:id="rId4"/>
    <sheet name="Q3 Graph" sheetId="6" r:id="rId5"/>
    <sheet name="Q4" sheetId="16" r:id="rId6"/>
    <sheet name="Q5" sheetId="17" r:id="rId7"/>
    <sheet name="Q5 Graph" sheetId="8" r:id="rId8"/>
    <sheet name="Q6" sheetId="10" r:id="rId9"/>
    <sheet name="Q7" sheetId="11" r:id="rId10"/>
    <sheet name="Q8" sheetId="14" r:id="rId11"/>
    <sheet name="Council Area" sheetId="2" r:id="rId12"/>
  </sheets>
  <definedNames>
    <definedName name="_xlnm._FilterDatabase" localSheetId="0" hidden="1">'Full dataset'!$A$1:$R$3001</definedName>
    <definedName name="_xlnm._FilterDatabase" localSheetId="1" hidden="1">'Q1'!$A$1:$R$2996</definedName>
    <definedName name="_xlnm._FilterDatabase" localSheetId="2" hidden="1">'Q2'!$A$1:$R$2996</definedName>
    <definedName name="_xlchart.v1.0" hidden="1">'Q3 Graph'!$A$2:$A$296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" i="4" l="1"/>
  <c r="C33" i="4"/>
  <c r="D9" i="15"/>
  <c r="D7" i="15"/>
  <c r="D6" i="15"/>
  <c r="E2" i="17"/>
  <c r="E3" i="17"/>
  <c r="E4" i="17"/>
  <c r="D6" i="16"/>
  <c r="D4" i="16"/>
  <c r="D3" i="16"/>
  <c r="D8" i="15"/>
  <c r="D5" i="15"/>
  <c r="D4" i="15" a="1"/>
  <c r="D4" i="15"/>
  <c r="D3" i="15"/>
  <c r="D2" i="15"/>
  <c r="K10" i="14"/>
  <c r="K11" i="14"/>
  <c r="K12" i="14"/>
  <c r="K9" i="14"/>
  <c r="J18" i="14"/>
  <c r="J17" i="14"/>
  <c r="H18" i="14"/>
  <c r="H17" i="14"/>
  <c r="H19" i="14"/>
  <c r="D2989" i="4"/>
  <c r="C2989" i="4"/>
  <c r="D2988" i="4"/>
  <c r="C2988" i="4"/>
  <c r="D2985" i="4"/>
  <c r="C2985" i="4"/>
  <c r="D2976" i="4"/>
  <c r="C2976" i="4"/>
  <c r="D2970" i="4"/>
  <c r="C2970" i="4"/>
  <c r="D2969" i="4"/>
  <c r="C2969" i="4"/>
  <c r="D2968" i="4"/>
  <c r="C2968" i="4"/>
  <c r="D2965" i="4"/>
  <c r="C2965" i="4"/>
  <c r="D2951" i="4"/>
  <c r="C2951" i="4"/>
  <c r="D2917" i="4"/>
  <c r="C2917" i="4"/>
  <c r="D2906" i="4"/>
  <c r="C2906" i="4"/>
  <c r="D2901" i="4"/>
  <c r="C2901" i="4"/>
  <c r="D2899" i="4"/>
  <c r="C2899" i="4"/>
  <c r="D2867" i="4"/>
  <c r="C2867" i="4"/>
  <c r="D2857" i="4"/>
  <c r="C2857" i="4"/>
  <c r="D2837" i="4"/>
  <c r="C2837" i="4"/>
  <c r="D2781" i="4"/>
  <c r="C2781" i="4"/>
  <c r="D2778" i="4"/>
  <c r="C2778" i="4"/>
  <c r="D2773" i="4"/>
  <c r="C2773" i="4"/>
  <c r="D2769" i="4"/>
  <c r="C2769" i="4"/>
  <c r="D2765" i="4"/>
  <c r="C2765" i="4"/>
  <c r="D2760" i="4"/>
  <c r="C2760" i="4"/>
  <c r="D2745" i="4"/>
  <c r="C2745" i="4"/>
  <c r="D2733" i="4"/>
  <c r="C2733" i="4"/>
  <c r="D2730" i="4"/>
  <c r="C2730" i="4"/>
  <c r="D2724" i="4"/>
  <c r="C2724" i="4"/>
  <c r="D2723" i="4"/>
  <c r="C2723" i="4"/>
  <c r="D2714" i="4"/>
  <c r="C2714" i="4"/>
  <c r="D2713" i="4"/>
  <c r="C2713" i="4"/>
  <c r="D2704" i="4"/>
  <c r="C2704" i="4"/>
  <c r="D2701" i="4"/>
  <c r="C2701" i="4"/>
  <c r="D2689" i="4"/>
  <c r="C2689" i="4"/>
  <c r="D2675" i="4"/>
  <c r="C2675" i="4"/>
  <c r="D2663" i="4"/>
  <c r="C2663" i="4"/>
  <c r="D2651" i="4"/>
  <c r="C2651" i="4"/>
  <c r="D2644" i="4"/>
  <c r="C2644" i="4"/>
  <c r="D2633" i="4"/>
  <c r="C2633" i="4"/>
  <c r="D2631" i="4"/>
  <c r="C2631" i="4"/>
  <c r="D2625" i="4"/>
  <c r="C2625" i="4"/>
  <c r="D2618" i="4"/>
  <c r="C2618" i="4"/>
  <c r="D2615" i="4"/>
  <c r="C2615" i="4"/>
  <c r="D2601" i="4"/>
  <c r="C2601" i="4"/>
  <c r="D2590" i="4"/>
  <c r="C2590" i="4"/>
  <c r="D2587" i="4"/>
  <c r="C2587" i="4"/>
  <c r="D2586" i="4"/>
  <c r="C2586" i="4"/>
  <c r="D2582" i="4"/>
  <c r="C2582" i="4"/>
  <c r="D2570" i="4"/>
  <c r="C2570" i="4"/>
  <c r="D2568" i="4"/>
  <c r="C2568" i="4"/>
  <c r="D2565" i="4"/>
  <c r="C2565" i="4"/>
  <c r="D2533" i="4"/>
  <c r="C2533" i="4"/>
  <c r="D2530" i="4"/>
  <c r="C2530" i="4"/>
  <c r="D2512" i="4"/>
  <c r="C2512" i="4"/>
  <c r="D2497" i="4"/>
  <c r="C2497" i="4"/>
  <c r="D2494" i="4"/>
  <c r="C2494" i="4"/>
  <c r="D2463" i="4"/>
  <c r="C2463" i="4"/>
  <c r="D2457" i="4"/>
  <c r="C2457" i="4"/>
  <c r="D2447" i="4"/>
  <c r="C2447" i="4"/>
  <c r="D2442" i="4"/>
  <c r="C2442" i="4"/>
  <c r="D2433" i="4"/>
  <c r="C2433" i="4"/>
  <c r="D2428" i="4"/>
  <c r="C2428" i="4"/>
  <c r="D2427" i="4"/>
  <c r="C2427" i="4"/>
  <c r="D2424" i="4"/>
  <c r="C2424" i="4"/>
  <c r="D2409" i="4"/>
  <c r="C2409" i="4"/>
  <c r="D2391" i="4"/>
  <c r="C2391" i="4"/>
  <c r="D2378" i="4"/>
  <c r="C2378" i="4"/>
  <c r="D2375" i="4"/>
  <c r="C2375" i="4"/>
  <c r="D2351" i="4"/>
  <c r="C2351" i="4"/>
  <c r="D2334" i="4"/>
  <c r="C2334" i="4"/>
  <c r="D2331" i="4"/>
  <c r="C2331" i="4"/>
  <c r="D2327" i="4"/>
  <c r="C2327" i="4"/>
  <c r="D2320" i="4"/>
  <c r="C2320" i="4"/>
  <c r="D2315" i="4"/>
  <c r="C2315" i="4"/>
  <c r="D2287" i="4"/>
  <c r="C2287" i="4"/>
  <c r="D2275" i="4"/>
  <c r="C2275" i="4"/>
  <c r="D2274" i="4"/>
  <c r="C2274" i="4"/>
  <c r="D2258" i="4"/>
  <c r="C2258" i="4"/>
  <c r="D2252" i="4"/>
  <c r="C2252" i="4"/>
  <c r="D2224" i="4"/>
  <c r="C2224" i="4"/>
  <c r="D2209" i="4"/>
  <c r="C2209" i="4"/>
  <c r="D2187" i="4"/>
  <c r="C2187" i="4"/>
  <c r="D2177" i="4"/>
  <c r="C2177" i="4"/>
  <c r="D2172" i="4"/>
  <c r="C2172" i="4"/>
  <c r="D2164" i="4"/>
  <c r="C2164" i="4"/>
  <c r="D2157" i="4"/>
  <c r="C2157" i="4"/>
  <c r="D2149" i="4"/>
  <c r="C2149" i="4"/>
  <c r="D2136" i="4"/>
  <c r="C2136" i="4"/>
  <c r="D2133" i="4"/>
  <c r="C2133" i="4"/>
  <c r="D2132" i="4"/>
  <c r="C2132" i="4"/>
  <c r="D2121" i="4"/>
  <c r="C2121" i="4"/>
  <c r="D2099" i="4"/>
  <c r="C2099" i="4"/>
  <c r="D2091" i="4"/>
  <c r="C2091" i="4"/>
  <c r="D2074" i="4"/>
  <c r="C2074" i="4"/>
  <c r="D2072" i="4"/>
  <c r="C2072" i="4"/>
  <c r="D2065" i="4"/>
  <c r="C2065" i="4"/>
  <c r="D2060" i="4"/>
  <c r="C2060" i="4"/>
  <c r="D2055" i="4"/>
  <c r="C2055" i="4"/>
  <c r="D2051" i="4"/>
  <c r="C2051" i="4"/>
  <c r="D2049" i="4"/>
  <c r="C2049" i="4"/>
  <c r="D2017" i="4"/>
  <c r="C2017" i="4"/>
  <c r="D2014" i="4"/>
  <c r="C2014" i="4"/>
  <c r="D1998" i="4"/>
  <c r="C1998" i="4"/>
  <c r="D1997" i="4"/>
  <c r="C1997" i="4"/>
  <c r="D1979" i="4"/>
  <c r="C1979" i="4"/>
  <c r="D1959" i="4"/>
  <c r="C1959" i="4"/>
  <c r="D1957" i="4"/>
  <c r="C1957" i="4"/>
  <c r="D1943" i="4"/>
  <c r="C1943" i="4"/>
  <c r="D1922" i="4"/>
  <c r="C1922" i="4"/>
  <c r="D1905" i="4"/>
  <c r="C1905" i="4"/>
  <c r="D1901" i="4"/>
  <c r="C1901" i="4"/>
  <c r="D1898" i="4"/>
  <c r="C1898" i="4"/>
  <c r="D1895" i="4"/>
  <c r="C1895" i="4"/>
  <c r="D1890" i="4"/>
  <c r="C1890" i="4"/>
  <c r="D1888" i="4"/>
  <c r="C1888" i="4"/>
  <c r="D1886" i="4"/>
  <c r="C1886" i="4"/>
  <c r="D1858" i="4"/>
  <c r="C1858" i="4"/>
  <c r="D1848" i="4"/>
  <c r="C1848" i="4"/>
  <c r="D1847" i="4"/>
  <c r="C1847" i="4"/>
  <c r="D1812" i="4"/>
  <c r="C1812" i="4"/>
  <c r="D1806" i="4"/>
  <c r="C1806" i="4"/>
  <c r="D1805" i="4"/>
  <c r="C1805" i="4"/>
  <c r="D1799" i="4"/>
  <c r="C1799" i="4"/>
  <c r="D1798" i="4"/>
  <c r="C1798" i="4"/>
  <c r="D1790" i="4"/>
  <c r="C1790" i="4"/>
  <c r="D1784" i="4"/>
  <c r="C1784" i="4"/>
  <c r="D1782" i="4"/>
  <c r="C1782" i="4"/>
  <c r="D1770" i="4"/>
  <c r="C1770" i="4"/>
  <c r="D1747" i="4"/>
  <c r="C1747" i="4"/>
  <c r="D1732" i="4"/>
  <c r="C1732" i="4"/>
  <c r="D1729" i="4"/>
  <c r="C1729" i="4"/>
  <c r="D1720" i="4"/>
  <c r="C1720" i="4"/>
  <c r="D1688" i="4"/>
  <c r="C1688" i="4"/>
  <c r="D1676" i="4"/>
  <c r="C1676" i="4"/>
  <c r="D1659" i="4"/>
  <c r="C1659" i="4"/>
  <c r="D1654" i="4"/>
  <c r="C1654" i="4"/>
  <c r="D1652" i="4"/>
  <c r="C1652" i="4"/>
  <c r="D1649" i="4"/>
  <c r="C1649" i="4"/>
  <c r="D1647" i="4"/>
  <c r="C1647" i="4"/>
  <c r="D1639" i="4"/>
  <c r="C1639" i="4"/>
  <c r="D1619" i="4"/>
  <c r="C1619" i="4"/>
  <c r="D1607" i="4"/>
  <c r="C1607" i="4"/>
  <c r="D1590" i="4"/>
  <c r="C1590" i="4"/>
  <c r="D1585" i="4"/>
  <c r="C1585" i="4"/>
  <c r="D1579" i="4"/>
  <c r="C1579" i="4"/>
  <c r="D1571" i="4"/>
  <c r="C1571" i="4"/>
  <c r="D1567" i="4"/>
  <c r="C1567" i="4"/>
  <c r="D1565" i="4"/>
  <c r="C1565" i="4"/>
  <c r="D1554" i="4"/>
  <c r="C1554" i="4"/>
  <c r="D1552" i="4"/>
  <c r="C1552" i="4"/>
  <c r="D1542" i="4"/>
  <c r="C1542" i="4"/>
  <c r="D1537" i="4"/>
  <c r="C1537" i="4"/>
  <c r="D1534" i="4"/>
  <c r="C1534" i="4"/>
  <c r="D1532" i="4"/>
  <c r="C1532" i="4"/>
  <c r="D1523" i="4"/>
  <c r="C1523" i="4"/>
  <c r="D1515" i="4"/>
  <c r="C1515" i="4"/>
  <c r="D1500" i="4"/>
  <c r="C1500" i="4"/>
  <c r="D1484" i="4"/>
  <c r="C1484" i="4"/>
  <c r="D1448" i="4"/>
  <c r="C1448" i="4"/>
  <c r="D1428" i="4"/>
  <c r="C1428" i="4"/>
  <c r="D1416" i="4"/>
  <c r="C1416" i="4"/>
  <c r="D1401" i="4"/>
  <c r="C1401" i="4"/>
  <c r="D1394" i="4"/>
  <c r="C1394" i="4"/>
  <c r="D1357" i="4"/>
  <c r="C1357" i="4"/>
  <c r="D1350" i="4"/>
  <c r="C1350" i="4"/>
  <c r="D1345" i="4"/>
  <c r="C1345" i="4"/>
  <c r="D1337" i="4"/>
  <c r="C1337" i="4"/>
  <c r="D1336" i="4"/>
  <c r="C1336" i="4"/>
  <c r="D1332" i="4"/>
  <c r="C1332" i="4"/>
  <c r="D1311" i="4"/>
  <c r="C1311" i="4"/>
  <c r="D1309" i="4"/>
  <c r="C1309" i="4"/>
  <c r="D1305" i="4"/>
  <c r="C1305" i="4"/>
  <c r="D1304" i="4"/>
  <c r="C1304" i="4"/>
  <c r="D1288" i="4"/>
  <c r="C1288" i="4"/>
  <c r="D1286" i="4"/>
  <c r="C1286" i="4"/>
  <c r="D1277" i="4"/>
  <c r="C1277" i="4"/>
  <c r="D1269" i="4"/>
  <c r="C1269" i="4"/>
  <c r="D1253" i="4"/>
  <c r="C1253" i="4"/>
  <c r="D1249" i="4"/>
  <c r="C1249" i="4"/>
  <c r="D1239" i="4"/>
  <c r="C1239" i="4"/>
  <c r="D1233" i="4"/>
  <c r="C1233" i="4"/>
  <c r="D1226" i="4"/>
  <c r="C1226" i="4"/>
  <c r="D1222" i="4"/>
  <c r="C1222" i="4"/>
  <c r="D1219" i="4"/>
  <c r="C1219" i="4"/>
  <c r="D1212" i="4"/>
  <c r="C1212" i="4"/>
  <c r="D1187" i="4"/>
  <c r="C1187" i="4"/>
  <c r="D1184" i="4"/>
  <c r="C1184" i="4"/>
  <c r="D1183" i="4"/>
  <c r="C1183" i="4"/>
  <c r="D1182" i="4"/>
  <c r="C1182" i="4"/>
  <c r="D1166" i="4"/>
  <c r="C1166" i="4"/>
  <c r="D1122" i="4"/>
  <c r="C1122" i="4"/>
  <c r="D1116" i="4"/>
  <c r="C1116" i="4"/>
  <c r="D1075" i="4"/>
  <c r="C1075" i="4"/>
  <c r="D1073" i="4"/>
  <c r="C1073" i="4"/>
  <c r="D1065" i="4"/>
  <c r="C1065" i="4"/>
  <c r="D1062" i="4"/>
  <c r="C1062" i="4"/>
  <c r="D1053" i="4"/>
  <c r="C1053" i="4"/>
  <c r="D1025" i="4"/>
  <c r="C1025" i="4"/>
  <c r="D1016" i="4"/>
  <c r="C1016" i="4"/>
  <c r="D1008" i="4"/>
  <c r="C1008" i="4"/>
  <c r="D991" i="4"/>
  <c r="C991" i="4"/>
  <c r="D988" i="4"/>
  <c r="C988" i="4"/>
  <c r="D981" i="4"/>
  <c r="C981" i="4"/>
  <c r="D976" i="4"/>
  <c r="C976" i="4"/>
  <c r="D971" i="4"/>
  <c r="C971" i="4"/>
  <c r="D963" i="4"/>
  <c r="C963" i="4"/>
  <c r="D960" i="4"/>
  <c r="C960" i="4"/>
  <c r="D952" i="4"/>
  <c r="C952" i="4"/>
  <c r="D942" i="4"/>
  <c r="C942" i="4"/>
  <c r="D939" i="4"/>
  <c r="C939" i="4"/>
  <c r="D927" i="4"/>
  <c r="C927" i="4"/>
  <c r="D898" i="4"/>
  <c r="C898" i="4"/>
  <c r="D896" i="4"/>
  <c r="C896" i="4"/>
  <c r="D886" i="4"/>
  <c r="C886" i="4"/>
  <c r="D846" i="4"/>
  <c r="C846" i="4"/>
  <c r="D837" i="4"/>
  <c r="C837" i="4"/>
  <c r="D835" i="4"/>
  <c r="C835" i="4"/>
  <c r="D821" i="4"/>
  <c r="C821" i="4"/>
  <c r="D810" i="4"/>
  <c r="C810" i="4"/>
  <c r="D799" i="4"/>
  <c r="C799" i="4"/>
  <c r="D798" i="4"/>
  <c r="C798" i="4"/>
  <c r="D792" i="4"/>
  <c r="C792" i="4"/>
  <c r="D790" i="4"/>
  <c r="C790" i="4"/>
  <c r="D788" i="4"/>
  <c r="C788" i="4"/>
  <c r="D766" i="4"/>
  <c r="C766" i="4"/>
  <c r="D764" i="4"/>
  <c r="C764" i="4"/>
  <c r="D756" i="4"/>
  <c r="C756" i="4"/>
  <c r="D755" i="4"/>
  <c r="C755" i="4"/>
  <c r="D754" i="4"/>
  <c r="C754" i="4"/>
  <c r="D728" i="4"/>
  <c r="C728" i="4"/>
  <c r="D725" i="4"/>
  <c r="C725" i="4"/>
  <c r="D719" i="4"/>
  <c r="C719" i="4"/>
  <c r="D710" i="4"/>
  <c r="C710" i="4"/>
  <c r="D709" i="4"/>
  <c r="C709" i="4"/>
  <c r="D708" i="4"/>
  <c r="C708" i="4"/>
  <c r="D695" i="4"/>
  <c r="C695" i="4"/>
  <c r="D687" i="4"/>
  <c r="C687" i="4"/>
  <c r="D686" i="4"/>
  <c r="C686" i="4"/>
  <c r="D680" i="4"/>
  <c r="C680" i="4"/>
  <c r="D677" i="4"/>
  <c r="C677" i="4"/>
  <c r="D663" i="4"/>
  <c r="C663" i="4"/>
  <c r="D662" i="4"/>
  <c r="C662" i="4"/>
  <c r="D632" i="4"/>
  <c r="C632" i="4"/>
  <c r="D627" i="4"/>
  <c r="C627" i="4"/>
  <c r="D623" i="4"/>
  <c r="C623" i="4"/>
  <c r="D603" i="4"/>
  <c r="C603" i="4"/>
  <c r="D589" i="4"/>
  <c r="C589" i="4"/>
  <c r="D578" i="4"/>
  <c r="C578" i="4"/>
  <c r="D558" i="4"/>
  <c r="C558" i="4"/>
  <c r="D556" i="4"/>
  <c r="C556" i="4"/>
  <c r="D550" i="4"/>
  <c r="C550" i="4"/>
  <c r="D548" i="4"/>
  <c r="C548" i="4"/>
  <c r="D545" i="4"/>
  <c r="C545" i="4"/>
  <c r="D539" i="4"/>
  <c r="C539" i="4"/>
  <c r="D533" i="4"/>
  <c r="C533" i="4"/>
  <c r="D525" i="4"/>
  <c r="C525" i="4"/>
  <c r="D519" i="4"/>
  <c r="C519" i="4"/>
  <c r="D506" i="4"/>
  <c r="C506" i="4"/>
  <c r="D501" i="4"/>
  <c r="C501" i="4"/>
  <c r="D488" i="4"/>
  <c r="C488" i="4"/>
  <c r="D478" i="4"/>
  <c r="C478" i="4"/>
  <c r="D460" i="4"/>
  <c r="C460" i="4"/>
  <c r="D453" i="4"/>
  <c r="C453" i="4"/>
  <c r="D442" i="4"/>
  <c r="C442" i="4"/>
  <c r="D438" i="4"/>
  <c r="C438" i="4"/>
  <c r="D402" i="4"/>
  <c r="C402" i="4"/>
  <c r="D364" i="4"/>
  <c r="C364" i="4"/>
  <c r="D315" i="4"/>
  <c r="C315" i="4"/>
  <c r="D314" i="4"/>
  <c r="C314" i="4"/>
  <c r="D296" i="4"/>
  <c r="C296" i="4"/>
  <c r="D295" i="4"/>
  <c r="C295" i="4"/>
  <c r="D286" i="4"/>
  <c r="C286" i="4"/>
  <c r="D273" i="4"/>
  <c r="C273" i="4"/>
  <c r="D263" i="4"/>
  <c r="C263" i="4"/>
  <c r="D256" i="4"/>
  <c r="C256" i="4"/>
  <c r="D230" i="4"/>
  <c r="C230" i="4"/>
  <c r="D224" i="4"/>
  <c r="C224" i="4"/>
  <c r="D223" i="4"/>
  <c r="C223" i="4"/>
  <c r="D220" i="4"/>
  <c r="C220" i="4"/>
  <c r="D218" i="4"/>
  <c r="C218" i="4"/>
  <c r="D199" i="4"/>
  <c r="C199" i="4"/>
  <c r="D194" i="4"/>
  <c r="C194" i="4"/>
  <c r="D191" i="4"/>
  <c r="C191" i="4"/>
  <c r="D184" i="4"/>
  <c r="C184" i="4"/>
  <c r="D178" i="4"/>
  <c r="C178" i="4"/>
  <c r="D170" i="4"/>
  <c r="C170" i="4"/>
  <c r="D151" i="4"/>
  <c r="C151" i="4"/>
  <c r="D147" i="4"/>
  <c r="C147" i="4"/>
  <c r="D130" i="4"/>
  <c r="C130" i="4"/>
  <c r="D122" i="4"/>
  <c r="C122" i="4"/>
  <c r="D82" i="4"/>
  <c r="C82" i="4"/>
  <c r="D68" i="4"/>
  <c r="C68" i="4"/>
  <c r="D56" i="4"/>
  <c r="C56" i="4"/>
  <c r="D44" i="4"/>
  <c r="C44" i="4"/>
  <c r="D42" i="4"/>
  <c r="C42" i="4"/>
  <c r="D38" i="4"/>
  <c r="C38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<sst xmlns="http://schemas.openxmlformats.org/spreadsheetml/2006/main" count="36217" uniqueCount="185">
  <si>
    <t>Sort ID</t>
  </si>
  <si>
    <t>Suburb</t>
  </si>
  <si>
    <t>Council Area 1</t>
  </si>
  <si>
    <t>Council Area 2</t>
  </si>
  <si>
    <t>Property Type</t>
  </si>
  <si>
    <t>Price</t>
  </si>
  <si>
    <t>Bedrooms</t>
  </si>
  <si>
    <t>Bathrooms</t>
  </si>
  <si>
    <t>Land Size (sqm)</t>
  </si>
  <si>
    <t>Year Built</t>
  </si>
  <si>
    <t>Sale Date</t>
  </si>
  <si>
    <t>Inspection Rating</t>
  </si>
  <si>
    <t>Agent Name</t>
  </si>
  <si>
    <t>Commission Rate (%)</t>
  </si>
  <si>
    <t>Council Rate ($/year)</t>
  </si>
  <si>
    <t>Distance to Nearest Station (km)</t>
  </si>
  <si>
    <t>House Area (sqm)</t>
  </si>
  <si>
    <t>NAPLAN Score of Nearest School</t>
  </si>
  <si>
    <t>Mount Druitt</t>
  </si>
  <si>
    <t>Apartment</t>
  </si>
  <si>
    <t>Poor</t>
  </si>
  <si>
    <t>Fernanda Lima</t>
  </si>
  <si>
    <t>Cronulla</t>
  </si>
  <si>
    <t>Good</t>
  </si>
  <si>
    <t>Liam Taylor</t>
  </si>
  <si>
    <t>Ashfield</t>
  </si>
  <si>
    <t>Excellent</t>
  </si>
  <si>
    <t>David Johnson</t>
  </si>
  <si>
    <t>Glebe</t>
  </si>
  <si>
    <t>Townhouse</t>
  </si>
  <si>
    <t>Average</t>
  </si>
  <si>
    <t>Sofia Rossi</t>
  </si>
  <si>
    <t>Coogee</t>
  </si>
  <si>
    <t>Chloe Wilson</t>
  </si>
  <si>
    <t>Pyrmont</t>
  </si>
  <si>
    <t>Nelson Maseko</t>
  </si>
  <si>
    <t>Villa</t>
  </si>
  <si>
    <t>Carlos Silva</t>
  </si>
  <si>
    <t>Miranda</t>
  </si>
  <si>
    <t>Berowra</t>
  </si>
  <si>
    <t>Noah Anderson</t>
  </si>
  <si>
    <t>Parramatta</t>
  </si>
  <si>
    <t>Wei Zhang</t>
  </si>
  <si>
    <t>Engadine</t>
  </si>
  <si>
    <t>Newtown</t>
  </si>
  <si>
    <t>John Smith</t>
  </si>
  <si>
    <t>Pymble</t>
  </si>
  <si>
    <t>Emily Davis</t>
  </si>
  <si>
    <t>Marrickville</t>
  </si>
  <si>
    <t>Leichhardt</t>
  </si>
  <si>
    <t>Earlwood</t>
  </si>
  <si>
    <t>House</t>
  </si>
  <si>
    <t>Amina Diallo</t>
  </si>
  <si>
    <t>Kensington</t>
  </si>
  <si>
    <t>Thabo Mokoena</t>
  </si>
  <si>
    <t>Redfern</t>
  </si>
  <si>
    <t>Fatima Abiola</t>
  </si>
  <si>
    <t>Blacktown</t>
  </si>
  <si>
    <t>Lars Andersen</t>
  </si>
  <si>
    <t>Aisha Khan</t>
  </si>
  <si>
    <t>Isabelle Dubois</t>
  </si>
  <si>
    <t>Westmead</t>
  </si>
  <si>
    <t>Quakers Hill</t>
  </si>
  <si>
    <t>Lucia Torres</t>
  </si>
  <si>
    <t>Campsie</t>
  </si>
  <si>
    <t>Sutherland</t>
  </si>
  <si>
    <t>Minh Nguyen</t>
  </si>
  <si>
    <t>Gordon</t>
  </si>
  <si>
    <t>Yuki Tanaka</t>
  </si>
  <si>
    <t>Diego Ramirez</t>
  </si>
  <si>
    <t>Mateusz Kowalski</t>
  </si>
  <si>
    <t>Hornsby</t>
  </si>
  <si>
    <t>Normanhurst</t>
  </si>
  <si>
    <t>Lindfield</t>
  </si>
  <si>
    <t>Raj Patel</t>
  </si>
  <si>
    <t>Balmain</t>
  </si>
  <si>
    <t>Juan Martinez</t>
  </si>
  <si>
    <t>Jack Thompson</t>
  </si>
  <si>
    <t>Maria Gonzalez</t>
  </si>
  <si>
    <t>Granville</t>
  </si>
  <si>
    <t>Harris Park</t>
  </si>
  <si>
    <t>Punchbowl</t>
  </si>
  <si>
    <t>Ashley Brown</t>
  </si>
  <si>
    <t>Lakemba</t>
  </si>
  <si>
    <t>Brookvale</t>
  </si>
  <si>
    <t>Kwame Nkrumah</t>
  </si>
  <si>
    <t>Maroubra</t>
  </si>
  <si>
    <t>Randwick</t>
  </si>
  <si>
    <t>Seven Hills</t>
  </si>
  <si>
    <t>Elena Petrova</t>
  </si>
  <si>
    <t>Killara</t>
  </si>
  <si>
    <t>Mona Vale</t>
  </si>
  <si>
    <t>Kingsford</t>
  </si>
  <si>
    <t>Doonside</t>
  </si>
  <si>
    <t>Gymea</t>
  </si>
  <si>
    <t>Asquith</t>
  </si>
  <si>
    <t>Turramurra</t>
  </si>
  <si>
    <t>Olivia Martin</t>
  </si>
  <si>
    <t>Northmead</t>
  </si>
  <si>
    <t>Bankstown</t>
  </si>
  <si>
    <t>Dee Why</t>
  </si>
  <si>
    <t>Surry Hills</t>
  </si>
  <si>
    <t>Ultimo</t>
  </si>
  <si>
    <t>Cake</t>
  </si>
  <si>
    <t>Narrabeen</t>
  </si>
  <si>
    <t>Manly</t>
  </si>
  <si>
    <t>Thornleigh</t>
  </si>
  <si>
    <t>Council Area</t>
  </si>
  <si>
    <t>Inner West Council</t>
  </si>
  <si>
    <t>Hornsby Shire Council</t>
  </si>
  <si>
    <t>Canterbury-Bankstown Council</t>
  </si>
  <si>
    <t>Blacktown City Council</t>
  </si>
  <si>
    <t>Northern Beaches Council</t>
  </si>
  <si>
    <t>Randwick City Council</t>
  </si>
  <si>
    <t>Sutherland Shire Council</t>
  </si>
  <si>
    <t>City of Sydney</t>
  </si>
  <si>
    <t>Ku-ring-gai Council</t>
  </si>
  <si>
    <t>Parramatta City Council</t>
  </si>
  <si>
    <t>Mean</t>
  </si>
  <si>
    <t>Median</t>
  </si>
  <si>
    <t>Mode</t>
  </si>
  <si>
    <t>Range</t>
  </si>
  <si>
    <t>Variance</t>
  </si>
  <si>
    <t>Standard Deviation</t>
  </si>
  <si>
    <t>test stat</t>
  </si>
  <si>
    <t>Bins</t>
  </si>
  <si>
    <t>More</t>
  </si>
  <si>
    <t>Frequency</t>
  </si>
  <si>
    <t>Correlation coefficient</t>
  </si>
  <si>
    <t>House Area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</si>
  <si>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</si>
  <si>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</si>
  <si>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</si>
  <si>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</si>
  <si>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</si>
  <si>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</si>
  <si>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</si>
  <si>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</si>
  <si>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</si>
  <si>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</si>
  <si>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</si>
  <si>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</si>
  <si>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</si>
  <si>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</si>
  <si>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</si>
  <si>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</si>
  <si>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</si>
  <si>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</si>
  <si>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</si>
  <si>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</si>
  <si>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</si>
  <si>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</si>
  <si>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</si>
  <si>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</si>
  <si>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</si>
  <si>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House Area (sqm)</t>
  </si>
  <si>
    <t>Residuals</t>
  </si>
  <si>
    <t>Summary Output</t>
  </si>
  <si>
    <t>Apartment Price</t>
  </si>
  <si>
    <t>House Price</t>
  </si>
  <si>
    <t>t-Test: Two-Sample Assuming Unequal Variances</t>
  </si>
  <si>
    <t>P(T&lt;=t) one-tail</t>
  </si>
  <si>
    <t>t Critical one-tail</t>
  </si>
  <si>
    <t>P(T&lt;=t) two-tail</t>
  </si>
  <si>
    <t>t Critical two-tail</t>
  </si>
  <si>
    <t>Hypothesised Mean Difference</t>
  </si>
  <si>
    <t>Apartment Prices</t>
  </si>
  <si>
    <t>Townhouse Prices</t>
  </si>
  <si>
    <t>House Prices</t>
  </si>
  <si>
    <t>Villa Prices</t>
  </si>
  <si>
    <t>Groups</t>
  </si>
  <si>
    <t>Count</t>
  </si>
  <si>
    <t>Sum</t>
  </si>
  <si>
    <t>Source of Variation</t>
  </si>
  <si>
    <t>F crit</t>
  </si>
  <si>
    <t>Between Groups</t>
  </si>
  <si>
    <t>Within Groups</t>
  </si>
  <si>
    <t>Summary</t>
  </si>
  <si>
    <t>T stat</t>
  </si>
  <si>
    <t>crit value</t>
  </si>
  <si>
    <t>Interquartile Range</t>
  </si>
  <si>
    <t>Coefficient of Variation</t>
  </si>
  <si>
    <t>sample mean</t>
  </si>
  <si>
    <t>standard deviation</t>
  </si>
  <si>
    <t>sample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</si>
</sst>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yyyy\-mm\-dd"/>
    <numFmt numFmtId="165" formatCode="&quot;$&quot;#,##0"/>
    <numFmt numFmtId="166" formatCode="0.0"/>
    <numFmt numFmtId="167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5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1"/>
      </right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0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164" fontId="0" fillId="0" borderId="0" xfId="0" applyNumberFormat="1"/>
    <xf numFmtId="0" fontId="1" fillId="0" borderId="0" xfId="0" applyFont="1"/>
    <xf numFmtId="2" fontId="0" fillId="0" borderId="0" xfId="0" applyNumberFormat="1"/>
    <xf numFmtId="0" fontId="0" fillId="0" borderId="2" xfId="0" applyBorder="1"/>
    <xf numFmtId="0" fontId="3" fillId="0" borderId="3" xfId="0" applyFont="1" applyBorder="1" applyAlignment="1">
      <alignment horizontal="center"/>
    </xf>
    <xf numFmtId="165" fontId="0" fillId="0" borderId="0" xfId="0" applyNumberFormat="1"/>
    <xf numFmtId="44" fontId="0" fillId="0" borderId="0" xfId="1" applyFont="1"/>
    <xf numFmtId="0" fontId="0" fillId="0" borderId="4" xfId="0" applyBorder="1"/>
    <xf numFmtId="0" fontId="4" fillId="2" borderId="1" xfId="0" applyFont="1" applyFill="1" applyBorder="1" applyAlignment="1">
      <alignment horizontal="centerContinuous"/>
    </xf>
    <xf numFmtId="0" fontId="5" fillId="2" borderId="1" xfId="0" applyFont="1" applyFill="1" applyBorder="1" applyAlignment="1">
      <alignment horizontal="center"/>
    </xf>
    <xf numFmtId="0" fontId="6" fillId="0" borderId="5" xfId="0" applyFont="1" applyBorder="1"/>
    <xf numFmtId="0" fontId="6" fillId="0" borderId="1" xfId="0" applyFont="1" applyBorder="1"/>
    <xf numFmtId="0" fontId="6" fillId="0" borderId="6" xfId="0" applyFont="1" applyBorder="1"/>
    <xf numFmtId="0" fontId="6" fillId="0" borderId="7" xfId="0" applyFont="1" applyBorder="1"/>
    <xf numFmtId="0" fontId="6" fillId="2" borderId="5" xfId="0" applyFont="1" applyFill="1" applyBorder="1" applyAlignment="1">
      <alignment horizontal="centerContinuous"/>
    </xf>
    <xf numFmtId="2" fontId="6" fillId="0" borderId="1" xfId="0" applyNumberFormat="1" applyFont="1" applyBorder="1"/>
    <xf numFmtId="1" fontId="6" fillId="0" borderId="7" xfId="0" applyNumberFormat="1" applyFont="1" applyBorder="1"/>
    <xf numFmtId="2" fontId="6" fillId="0" borderId="5" xfId="0" applyNumberFormat="1" applyFont="1" applyBorder="1"/>
    <xf numFmtId="2" fontId="6" fillId="0" borderId="6" xfId="0" applyNumberFormat="1" applyFont="1" applyBorder="1"/>
    <xf numFmtId="2" fontId="6" fillId="0" borderId="7" xfId="0" applyNumberFormat="1" applyFont="1" applyBorder="1"/>
    <xf numFmtId="0" fontId="6" fillId="2" borderId="5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11" fontId="6" fillId="0" borderId="8" xfId="0" applyNumberFormat="1" applyFont="1" applyBorder="1"/>
    <xf numFmtId="0" fontId="6" fillId="0" borderId="0" xfId="0" applyFont="1"/>
    <xf numFmtId="0" fontId="6" fillId="0" borderId="4" xfId="0" applyFont="1" applyBorder="1"/>
    <xf numFmtId="0" fontId="0" fillId="0" borderId="11" xfId="0" applyBorder="1"/>
    <xf numFmtId="0" fontId="0" fillId="0" borderId="13" xfId="0" applyBorder="1"/>
    <xf numFmtId="0" fontId="0" fillId="0" borderId="12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20" xfId="0" applyBorder="1"/>
    <xf numFmtId="0" fontId="0" fillId="0" borderId="22" xfId="0" applyBorder="1"/>
    <xf numFmtId="0" fontId="0" fillId="0" borderId="24" xfId="0" applyBorder="1"/>
    <xf numFmtId="0" fontId="0" fillId="0" borderId="25" xfId="0" applyBorder="1"/>
    <xf numFmtId="0" fontId="0" fillId="0" borderId="19" xfId="0" applyBorder="1"/>
    <xf numFmtId="0" fontId="0" fillId="0" borderId="23" xfId="0" applyBorder="1"/>
    <xf numFmtId="0" fontId="0" fillId="0" borderId="26" xfId="0" applyBorder="1"/>
    <xf numFmtId="0" fontId="0" fillId="0" borderId="21" xfId="0" applyBorder="1"/>
    <xf numFmtId="0" fontId="0" fillId="0" borderId="29" xfId="0" applyBorder="1"/>
    <xf numFmtId="0" fontId="0" fillId="0" borderId="30" xfId="0" applyBorder="1"/>
    <xf numFmtId="0" fontId="0" fillId="0" borderId="32" xfId="0" applyBorder="1"/>
    <xf numFmtId="0" fontId="6" fillId="0" borderId="25" xfId="0" applyFont="1" applyBorder="1"/>
    <xf numFmtId="0" fontId="0" fillId="0" borderId="27" xfId="0" applyBorder="1"/>
    <xf numFmtId="0" fontId="0" fillId="0" borderId="28" xfId="0" applyBorder="1"/>
    <xf numFmtId="0" fontId="0" fillId="0" borderId="33" xfId="0" applyBorder="1"/>
    <xf numFmtId="0" fontId="7" fillId="0" borderId="19" xfId="0" applyFont="1" applyBorder="1"/>
    <xf numFmtId="0" fontId="7" fillId="0" borderId="0" xfId="0" applyFont="1"/>
    <xf numFmtId="0" fontId="7" fillId="0" borderId="32" xfId="0" applyFont="1" applyBorder="1"/>
    <xf numFmtId="2" fontId="6" fillId="0" borderId="9" xfId="0" applyNumberFormat="1" applyFont="1" applyBorder="1"/>
    <xf numFmtId="2" fontId="6" fillId="0" borderId="10" xfId="0" applyNumberFormat="1" applyFont="1" applyBorder="1"/>
    <xf numFmtId="1" fontId="6" fillId="0" borderId="1" xfId="0" applyNumberFormat="1" applyFont="1" applyBorder="1"/>
    <xf numFmtId="1" fontId="6" fillId="0" borderId="10" xfId="0" applyNumberFormat="1" applyFont="1" applyBorder="1"/>
    <xf numFmtId="0" fontId="6" fillId="0" borderId="12" xfId="0" applyFont="1" applyBorder="1"/>
    <xf numFmtId="0" fontId="0" fillId="0" borderId="34" xfId="0" applyBorder="1"/>
    <xf numFmtId="0" fontId="0" fillId="0" borderId="35" xfId="0" applyBorder="1"/>
    <xf numFmtId="0" fontId="6" fillId="0" borderId="31" xfId="0" applyFont="1" applyBorder="1"/>
    <xf numFmtId="0" fontId="6" fillId="0" borderId="32" xfId="0" applyFont="1" applyBorder="1"/>
    <xf numFmtId="0" fontId="6" fillId="0" borderId="13" xfId="0" applyFont="1" applyBorder="1"/>
    <xf numFmtId="0" fontId="6" fillId="0" borderId="9" xfId="0" applyFont="1" applyBorder="1"/>
    <xf numFmtId="166" fontId="6" fillId="0" borderId="1" xfId="0" applyNumberFormat="1" applyFont="1" applyBorder="1"/>
    <xf numFmtId="0" fontId="6" fillId="0" borderId="10" xfId="0" applyFont="1" applyBorder="1"/>
    <xf numFmtId="0" fontId="0" fillId="0" borderId="36" xfId="0" applyBorder="1"/>
    <xf numFmtId="0" fontId="0" fillId="0" borderId="37" xfId="0" applyBorder="1"/>
    <xf numFmtId="0" fontId="6" fillId="0" borderId="37" xfId="0" applyFont="1" applyBorder="1"/>
    <xf numFmtId="0" fontId="0" fillId="0" borderId="38" xfId="0" applyBorder="1"/>
    <xf numFmtId="0" fontId="6" fillId="0" borderId="36" xfId="0" applyFont="1" applyBorder="1"/>
    <xf numFmtId="0" fontId="6" fillId="0" borderId="19" xfId="0" applyFont="1" applyBorder="1"/>
    <xf numFmtId="0" fontId="6" fillId="0" borderId="23" xfId="0" applyFont="1" applyBorder="1"/>
    <xf numFmtId="0" fontId="6" fillId="0" borderId="16" xfId="0" applyFont="1" applyBorder="1"/>
    <xf numFmtId="0" fontId="0" fillId="0" borderId="39" xfId="0" applyBorder="1"/>
    <xf numFmtId="0" fontId="6" fillId="0" borderId="40" xfId="0" applyFont="1" applyBorder="1"/>
    <xf numFmtId="0" fontId="6" fillId="0" borderId="41" xfId="0" applyFont="1" applyBorder="1"/>
    <xf numFmtId="0" fontId="6" fillId="0" borderId="42" xfId="0" applyFont="1" applyBorder="1"/>
    <xf numFmtId="0" fontId="6" fillId="0" borderId="44" xfId="0" applyFont="1" applyBorder="1"/>
    <xf numFmtId="2" fontId="6" fillId="0" borderId="45" xfId="0" applyNumberFormat="1" applyFont="1" applyBorder="1"/>
    <xf numFmtId="0" fontId="6" fillId="0" borderId="47" xfId="0" applyFont="1" applyBorder="1"/>
    <xf numFmtId="2" fontId="6" fillId="0" borderId="42" xfId="0" applyNumberFormat="1" applyFont="1" applyBorder="1"/>
    <xf numFmtId="0" fontId="6" fillId="0" borderId="48" xfId="0" applyFont="1" applyBorder="1"/>
    <xf numFmtId="0" fontId="6" fillId="2" borderId="43" xfId="0" applyFont="1" applyFill="1" applyBorder="1" applyAlignment="1">
      <alignment horizontal="center"/>
    </xf>
    <xf numFmtId="0" fontId="6" fillId="2" borderId="40" xfId="0" applyFont="1" applyFill="1" applyBorder="1" applyAlignment="1">
      <alignment horizontal="center"/>
    </xf>
    <xf numFmtId="0" fontId="6" fillId="2" borderId="46" xfId="0" applyFont="1" applyFill="1" applyBorder="1" applyAlignment="1">
      <alignment horizontal="center"/>
    </xf>
    <xf numFmtId="0" fontId="7" fillId="0" borderId="31" xfId="0" applyFont="1" applyBorder="1"/>
    <xf numFmtId="0" fontId="3" fillId="0" borderId="3" xfId="0" applyFont="1" applyBorder="1" applyAlignment="1">
      <alignment horizontal="centerContinuous"/>
    </xf>
    <xf numFmtId="2" fontId="0" fillId="0" borderId="2" xfId="0" applyNumberFormat="1" applyBorder="1"/>
    <xf numFmtId="0" fontId="6" fillId="2" borderId="50" xfId="0" applyFont="1" applyFill="1" applyBorder="1"/>
    <xf numFmtId="0" fontId="6" fillId="2" borderId="51" xfId="0" applyFont="1" applyFill="1" applyBorder="1"/>
    <xf numFmtId="0" fontId="6" fillId="2" borderId="7" xfId="0" applyFont="1" applyFill="1" applyBorder="1"/>
    <xf numFmtId="43" fontId="6" fillId="0" borderId="8" xfId="1" applyNumberFormat="1" applyFont="1" applyBorder="1" applyAlignment="1">
      <alignment horizontal="right"/>
    </xf>
    <xf numFmtId="43" fontId="6" fillId="0" borderId="49" xfId="1" applyNumberFormat="1" applyFont="1" applyBorder="1" applyAlignment="1">
      <alignment horizontal="right"/>
    </xf>
    <xf numFmtId="43" fontId="6" fillId="0" borderId="9" xfId="1" applyNumberFormat="1" applyFont="1" applyBorder="1" applyAlignment="1">
      <alignment horizontal="right"/>
    </xf>
    <xf numFmtId="2" fontId="6" fillId="0" borderId="0" xfId="0" applyNumberFormat="1" applyFont="1"/>
    <xf numFmtId="167" fontId="6" fillId="0" borderId="8" xfId="1" applyNumberFormat="1" applyFont="1" applyBorder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latin typeface="Times New Roman" panose="02020603050405020304" pitchFamily="18" charset="0"/>
                <a:cs typeface="Times New Roman" panose="02020603050405020304" pitchFamily="18" charset="0"/>
              </a:rPr>
              <a:t>Histogram of Property Prices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'Q3 Graph'!$D$8:$D$21</c:f>
              <c:strCache>
                <c:ptCount val="14"/>
                <c:pt idx="0">
                  <c:v>$600,000</c:v>
                </c:pt>
                <c:pt idx="1">
                  <c:v>$800,000</c:v>
                </c:pt>
                <c:pt idx="2">
                  <c:v>$1,000,000</c:v>
                </c:pt>
                <c:pt idx="3">
                  <c:v>$1,200,000</c:v>
                </c:pt>
                <c:pt idx="4">
                  <c:v>$1,400,000</c:v>
                </c:pt>
                <c:pt idx="5">
                  <c:v>$1,600,000</c:v>
                </c:pt>
                <c:pt idx="6">
                  <c:v>$1,800,000</c:v>
                </c:pt>
                <c:pt idx="7">
                  <c:v>$2,000,000</c:v>
                </c:pt>
                <c:pt idx="8">
                  <c:v>$2,200,000</c:v>
                </c:pt>
                <c:pt idx="9">
                  <c:v>$2,400,000</c:v>
                </c:pt>
                <c:pt idx="10">
                  <c:v>$2,600,000</c:v>
                </c:pt>
                <c:pt idx="11">
                  <c:v>$2,800,000</c:v>
                </c:pt>
                <c:pt idx="12">
                  <c:v>$3,000,000</c:v>
                </c:pt>
                <c:pt idx="13">
                  <c:v>More</c:v>
                </c:pt>
              </c:strCache>
            </c:strRef>
          </c:cat>
          <c:val>
            <c:numRef>
              <c:f>'Q3 Graph'!$E$8:$E$21</c:f>
              <c:numCache>
                <c:formatCode>General</c:formatCode>
                <c:ptCount val="14"/>
                <c:pt idx="0">
                  <c:v>22</c:v>
                </c:pt>
                <c:pt idx="1">
                  <c:v>18</c:v>
                </c:pt>
                <c:pt idx="2">
                  <c:v>29</c:v>
                </c:pt>
                <c:pt idx="3">
                  <c:v>24</c:v>
                </c:pt>
                <c:pt idx="4">
                  <c:v>29</c:v>
                </c:pt>
                <c:pt idx="5">
                  <c:v>24</c:v>
                </c:pt>
                <c:pt idx="6">
                  <c:v>34</c:v>
                </c:pt>
                <c:pt idx="7">
                  <c:v>18</c:v>
                </c:pt>
                <c:pt idx="8">
                  <c:v>21</c:v>
                </c:pt>
                <c:pt idx="9">
                  <c:v>15</c:v>
                </c:pt>
                <c:pt idx="10">
                  <c:v>23</c:v>
                </c:pt>
                <c:pt idx="11">
                  <c:v>21</c:v>
                </c:pt>
                <c:pt idx="12">
                  <c:v>17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88-455F-B9AA-B1C9647E351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-27"/>
        <c:axId val="1050980424"/>
        <c:axId val="1050981144"/>
      </c:barChart>
      <c:catAx>
        <c:axId val="10509804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50981144"/>
        <c:crosses val="autoZero"/>
        <c:auto val="1"/>
        <c:lblAlgn val="ctr"/>
        <c:lblOffset val="100"/>
        <c:noMultiLvlLbl val="0"/>
      </c:catAx>
      <c:valAx>
        <c:axId val="1050981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50980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Bedrooms vs. House Area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'Q5 Graph'!$A$2:$A$296</c:f>
              <c:numCache>
                <c:formatCode>General</c:formatCode>
                <c:ptCount val="295"/>
                <c:pt idx="0">
                  <c:v>4</c:v>
                </c:pt>
                <c:pt idx="1">
                  <c:v>0</c:v>
                </c:pt>
                <c:pt idx="2">
                  <c:v>3</c:v>
                </c:pt>
                <c:pt idx="3">
                  <c:v>5</c:v>
                </c:pt>
                <c:pt idx="4">
                  <c:v>6</c:v>
                </c:pt>
                <c:pt idx="5">
                  <c:v>2</c:v>
                </c:pt>
                <c:pt idx="6">
                  <c:v>0</c:v>
                </c:pt>
                <c:pt idx="7">
                  <c:v>3</c:v>
                </c:pt>
                <c:pt idx="8">
                  <c:v>1</c:v>
                </c:pt>
                <c:pt idx="9">
                  <c:v>5</c:v>
                </c:pt>
                <c:pt idx="10">
                  <c:v>3</c:v>
                </c:pt>
                <c:pt idx="11">
                  <c:v>4</c:v>
                </c:pt>
                <c:pt idx="12">
                  <c:v>2</c:v>
                </c:pt>
                <c:pt idx="13">
                  <c:v>4</c:v>
                </c:pt>
                <c:pt idx="14">
                  <c:v>3</c:v>
                </c:pt>
                <c:pt idx="15">
                  <c:v>0</c:v>
                </c:pt>
                <c:pt idx="16">
                  <c:v>4</c:v>
                </c:pt>
                <c:pt idx="17">
                  <c:v>5</c:v>
                </c:pt>
                <c:pt idx="18">
                  <c:v>2</c:v>
                </c:pt>
                <c:pt idx="19">
                  <c:v>1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3</c:v>
                </c:pt>
                <c:pt idx="25">
                  <c:v>3</c:v>
                </c:pt>
                <c:pt idx="26">
                  <c:v>5</c:v>
                </c:pt>
                <c:pt idx="27">
                  <c:v>3</c:v>
                </c:pt>
                <c:pt idx="28">
                  <c:v>6</c:v>
                </c:pt>
                <c:pt idx="29">
                  <c:v>3</c:v>
                </c:pt>
                <c:pt idx="30">
                  <c:v>4</c:v>
                </c:pt>
                <c:pt idx="31">
                  <c:v>5</c:v>
                </c:pt>
                <c:pt idx="32">
                  <c:v>2</c:v>
                </c:pt>
                <c:pt idx="33">
                  <c:v>2</c:v>
                </c:pt>
                <c:pt idx="34">
                  <c:v>3</c:v>
                </c:pt>
                <c:pt idx="35">
                  <c:v>3</c:v>
                </c:pt>
                <c:pt idx="36">
                  <c:v>1</c:v>
                </c:pt>
                <c:pt idx="37">
                  <c:v>3</c:v>
                </c:pt>
                <c:pt idx="38">
                  <c:v>5</c:v>
                </c:pt>
                <c:pt idx="39">
                  <c:v>4</c:v>
                </c:pt>
                <c:pt idx="40">
                  <c:v>4</c:v>
                </c:pt>
                <c:pt idx="41">
                  <c:v>1</c:v>
                </c:pt>
                <c:pt idx="42">
                  <c:v>4</c:v>
                </c:pt>
                <c:pt idx="43">
                  <c:v>2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2</c:v>
                </c:pt>
                <c:pt idx="48">
                  <c:v>3</c:v>
                </c:pt>
                <c:pt idx="49">
                  <c:v>5</c:v>
                </c:pt>
                <c:pt idx="50">
                  <c:v>6</c:v>
                </c:pt>
                <c:pt idx="51">
                  <c:v>5</c:v>
                </c:pt>
                <c:pt idx="52">
                  <c:v>2</c:v>
                </c:pt>
                <c:pt idx="53">
                  <c:v>2</c:v>
                </c:pt>
                <c:pt idx="54">
                  <c:v>4</c:v>
                </c:pt>
                <c:pt idx="55">
                  <c:v>3</c:v>
                </c:pt>
                <c:pt idx="56">
                  <c:v>3</c:v>
                </c:pt>
                <c:pt idx="57">
                  <c:v>2</c:v>
                </c:pt>
                <c:pt idx="58">
                  <c:v>2</c:v>
                </c:pt>
                <c:pt idx="59">
                  <c:v>6</c:v>
                </c:pt>
                <c:pt idx="60">
                  <c:v>5</c:v>
                </c:pt>
                <c:pt idx="61">
                  <c:v>3</c:v>
                </c:pt>
                <c:pt idx="62">
                  <c:v>4</c:v>
                </c:pt>
                <c:pt idx="63">
                  <c:v>2</c:v>
                </c:pt>
                <c:pt idx="64">
                  <c:v>5</c:v>
                </c:pt>
                <c:pt idx="65">
                  <c:v>4</c:v>
                </c:pt>
                <c:pt idx="66">
                  <c:v>4</c:v>
                </c:pt>
                <c:pt idx="67">
                  <c:v>3</c:v>
                </c:pt>
                <c:pt idx="68">
                  <c:v>4</c:v>
                </c:pt>
                <c:pt idx="69">
                  <c:v>2</c:v>
                </c:pt>
                <c:pt idx="70">
                  <c:v>4</c:v>
                </c:pt>
                <c:pt idx="71">
                  <c:v>3</c:v>
                </c:pt>
                <c:pt idx="72">
                  <c:v>4</c:v>
                </c:pt>
                <c:pt idx="73">
                  <c:v>5</c:v>
                </c:pt>
                <c:pt idx="74">
                  <c:v>6</c:v>
                </c:pt>
                <c:pt idx="75">
                  <c:v>4</c:v>
                </c:pt>
                <c:pt idx="76">
                  <c:v>3</c:v>
                </c:pt>
                <c:pt idx="77">
                  <c:v>3</c:v>
                </c:pt>
                <c:pt idx="78">
                  <c:v>4</c:v>
                </c:pt>
                <c:pt idx="79">
                  <c:v>2</c:v>
                </c:pt>
                <c:pt idx="80">
                  <c:v>4</c:v>
                </c:pt>
                <c:pt idx="81">
                  <c:v>2</c:v>
                </c:pt>
                <c:pt idx="82">
                  <c:v>4</c:v>
                </c:pt>
                <c:pt idx="83">
                  <c:v>5</c:v>
                </c:pt>
                <c:pt idx="84">
                  <c:v>3</c:v>
                </c:pt>
                <c:pt idx="85">
                  <c:v>6</c:v>
                </c:pt>
                <c:pt idx="86">
                  <c:v>3</c:v>
                </c:pt>
                <c:pt idx="87">
                  <c:v>2</c:v>
                </c:pt>
                <c:pt idx="88">
                  <c:v>4</c:v>
                </c:pt>
                <c:pt idx="89">
                  <c:v>1</c:v>
                </c:pt>
                <c:pt idx="90">
                  <c:v>5</c:v>
                </c:pt>
                <c:pt idx="91">
                  <c:v>1</c:v>
                </c:pt>
                <c:pt idx="92">
                  <c:v>3</c:v>
                </c:pt>
                <c:pt idx="93">
                  <c:v>1</c:v>
                </c:pt>
                <c:pt idx="94">
                  <c:v>4</c:v>
                </c:pt>
                <c:pt idx="95">
                  <c:v>0</c:v>
                </c:pt>
                <c:pt idx="96">
                  <c:v>4</c:v>
                </c:pt>
                <c:pt idx="97">
                  <c:v>1</c:v>
                </c:pt>
                <c:pt idx="98">
                  <c:v>3</c:v>
                </c:pt>
                <c:pt idx="99">
                  <c:v>0</c:v>
                </c:pt>
                <c:pt idx="100">
                  <c:v>4</c:v>
                </c:pt>
                <c:pt idx="101">
                  <c:v>5</c:v>
                </c:pt>
                <c:pt idx="102">
                  <c:v>0</c:v>
                </c:pt>
                <c:pt idx="103">
                  <c:v>1</c:v>
                </c:pt>
                <c:pt idx="104">
                  <c:v>2</c:v>
                </c:pt>
                <c:pt idx="105">
                  <c:v>4</c:v>
                </c:pt>
                <c:pt idx="106">
                  <c:v>2</c:v>
                </c:pt>
                <c:pt idx="107">
                  <c:v>1</c:v>
                </c:pt>
                <c:pt idx="108">
                  <c:v>2</c:v>
                </c:pt>
                <c:pt idx="109">
                  <c:v>6</c:v>
                </c:pt>
                <c:pt idx="110">
                  <c:v>3</c:v>
                </c:pt>
                <c:pt idx="111">
                  <c:v>3</c:v>
                </c:pt>
                <c:pt idx="112">
                  <c:v>0</c:v>
                </c:pt>
                <c:pt idx="113">
                  <c:v>1</c:v>
                </c:pt>
                <c:pt idx="114">
                  <c:v>2</c:v>
                </c:pt>
                <c:pt idx="115">
                  <c:v>2</c:v>
                </c:pt>
                <c:pt idx="116">
                  <c:v>5</c:v>
                </c:pt>
                <c:pt idx="117">
                  <c:v>4</c:v>
                </c:pt>
                <c:pt idx="118">
                  <c:v>3</c:v>
                </c:pt>
                <c:pt idx="119">
                  <c:v>4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4</c:v>
                </c:pt>
                <c:pt idx="125">
                  <c:v>4</c:v>
                </c:pt>
                <c:pt idx="126">
                  <c:v>0</c:v>
                </c:pt>
                <c:pt idx="127">
                  <c:v>4</c:v>
                </c:pt>
                <c:pt idx="128">
                  <c:v>3</c:v>
                </c:pt>
                <c:pt idx="129">
                  <c:v>5</c:v>
                </c:pt>
                <c:pt idx="130">
                  <c:v>4</c:v>
                </c:pt>
                <c:pt idx="131">
                  <c:v>3</c:v>
                </c:pt>
                <c:pt idx="132">
                  <c:v>2</c:v>
                </c:pt>
                <c:pt idx="133">
                  <c:v>5</c:v>
                </c:pt>
                <c:pt idx="134">
                  <c:v>2</c:v>
                </c:pt>
                <c:pt idx="135">
                  <c:v>4</c:v>
                </c:pt>
                <c:pt idx="136">
                  <c:v>5</c:v>
                </c:pt>
                <c:pt idx="137">
                  <c:v>0</c:v>
                </c:pt>
                <c:pt idx="138">
                  <c:v>5</c:v>
                </c:pt>
                <c:pt idx="139">
                  <c:v>3</c:v>
                </c:pt>
                <c:pt idx="140">
                  <c:v>2</c:v>
                </c:pt>
                <c:pt idx="141">
                  <c:v>0</c:v>
                </c:pt>
                <c:pt idx="142">
                  <c:v>2</c:v>
                </c:pt>
                <c:pt idx="143">
                  <c:v>3</c:v>
                </c:pt>
                <c:pt idx="144">
                  <c:v>3</c:v>
                </c:pt>
                <c:pt idx="145">
                  <c:v>2</c:v>
                </c:pt>
                <c:pt idx="146">
                  <c:v>6</c:v>
                </c:pt>
                <c:pt idx="147">
                  <c:v>4</c:v>
                </c:pt>
                <c:pt idx="148">
                  <c:v>4</c:v>
                </c:pt>
                <c:pt idx="149">
                  <c:v>2</c:v>
                </c:pt>
                <c:pt idx="150">
                  <c:v>5</c:v>
                </c:pt>
                <c:pt idx="151">
                  <c:v>0</c:v>
                </c:pt>
                <c:pt idx="152">
                  <c:v>5</c:v>
                </c:pt>
                <c:pt idx="153">
                  <c:v>6</c:v>
                </c:pt>
                <c:pt idx="154">
                  <c:v>4</c:v>
                </c:pt>
                <c:pt idx="155">
                  <c:v>2</c:v>
                </c:pt>
                <c:pt idx="156">
                  <c:v>4</c:v>
                </c:pt>
                <c:pt idx="157">
                  <c:v>5</c:v>
                </c:pt>
                <c:pt idx="158">
                  <c:v>3</c:v>
                </c:pt>
                <c:pt idx="159">
                  <c:v>3</c:v>
                </c:pt>
                <c:pt idx="160">
                  <c:v>4</c:v>
                </c:pt>
                <c:pt idx="161">
                  <c:v>3</c:v>
                </c:pt>
                <c:pt idx="162">
                  <c:v>3</c:v>
                </c:pt>
                <c:pt idx="163">
                  <c:v>2</c:v>
                </c:pt>
                <c:pt idx="164">
                  <c:v>5</c:v>
                </c:pt>
                <c:pt idx="165">
                  <c:v>5</c:v>
                </c:pt>
                <c:pt idx="166">
                  <c:v>4</c:v>
                </c:pt>
                <c:pt idx="167">
                  <c:v>4</c:v>
                </c:pt>
                <c:pt idx="168">
                  <c:v>4</c:v>
                </c:pt>
                <c:pt idx="169">
                  <c:v>6</c:v>
                </c:pt>
                <c:pt idx="170">
                  <c:v>4</c:v>
                </c:pt>
                <c:pt idx="171">
                  <c:v>4</c:v>
                </c:pt>
                <c:pt idx="172">
                  <c:v>2</c:v>
                </c:pt>
                <c:pt idx="173">
                  <c:v>1</c:v>
                </c:pt>
                <c:pt idx="174">
                  <c:v>0</c:v>
                </c:pt>
                <c:pt idx="175">
                  <c:v>1</c:v>
                </c:pt>
                <c:pt idx="176">
                  <c:v>4</c:v>
                </c:pt>
                <c:pt idx="177">
                  <c:v>4</c:v>
                </c:pt>
                <c:pt idx="178">
                  <c:v>2</c:v>
                </c:pt>
                <c:pt idx="179">
                  <c:v>1</c:v>
                </c:pt>
                <c:pt idx="180">
                  <c:v>4</c:v>
                </c:pt>
                <c:pt idx="181">
                  <c:v>5</c:v>
                </c:pt>
                <c:pt idx="182">
                  <c:v>2</c:v>
                </c:pt>
                <c:pt idx="183">
                  <c:v>3</c:v>
                </c:pt>
                <c:pt idx="184">
                  <c:v>4</c:v>
                </c:pt>
                <c:pt idx="185">
                  <c:v>5</c:v>
                </c:pt>
                <c:pt idx="186">
                  <c:v>2</c:v>
                </c:pt>
                <c:pt idx="187">
                  <c:v>3</c:v>
                </c:pt>
                <c:pt idx="188">
                  <c:v>3</c:v>
                </c:pt>
                <c:pt idx="189">
                  <c:v>4</c:v>
                </c:pt>
                <c:pt idx="190">
                  <c:v>1</c:v>
                </c:pt>
                <c:pt idx="191">
                  <c:v>2</c:v>
                </c:pt>
                <c:pt idx="192">
                  <c:v>3</c:v>
                </c:pt>
                <c:pt idx="193">
                  <c:v>1</c:v>
                </c:pt>
                <c:pt idx="194">
                  <c:v>4</c:v>
                </c:pt>
                <c:pt idx="195">
                  <c:v>0</c:v>
                </c:pt>
                <c:pt idx="196">
                  <c:v>4</c:v>
                </c:pt>
                <c:pt idx="197">
                  <c:v>2</c:v>
                </c:pt>
                <c:pt idx="198">
                  <c:v>3</c:v>
                </c:pt>
                <c:pt idx="199">
                  <c:v>3</c:v>
                </c:pt>
                <c:pt idx="200">
                  <c:v>1</c:v>
                </c:pt>
                <c:pt idx="201">
                  <c:v>4</c:v>
                </c:pt>
                <c:pt idx="202">
                  <c:v>2</c:v>
                </c:pt>
                <c:pt idx="203">
                  <c:v>5</c:v>
                </c:pt>
                <c:pt idx="204">
                  <c:v>3</c:v>
                </c:pt>
                <c:pt idx="205">
                  <c:v>3</c:v>
                </c:pt>
                <c:pt idx="206">
                  <c:v>4</c:v>
                </c:pt>
                <c:pt idx="207">
                  <c:v>6</c:v>
                </c:pt>
                <c:pt idx="208">
                  <c:v>3</c:v>
                </c:pt>
                <c:pt idx="209">
                  <c:v>6</c:v>
                </c:pt>
                <c:pt idx="210">
                  <c:v>4</c:v>
                </c:pt>
                <c:pt idx="211">
                  <c:v>6</c:v>
                </c:pt>
                <c:pt idx="212">
                  <c:v>5</c:v>
                </c:pt>
                <c:pt idx="213">
                  <c:v>2</c:v>
                </c:pt>
                <c:pt idx="214">
                  <c:v>3</c:v>
                </c:pt>
                <c:pt idx="215">
                  <c:v>2</c:v>
                </c:pt>
                <c:pt idx="216">
                  <c:v>2</c:v>
                </c:pt>
                <c:pt idx="217">
                  <c:v>3</c:v>
                </c:pt>
                <c:pt idx="218">
                  <c:v>2</c:v>
                </c:pt>
                <c:pt idx="219">
                  <c:v>3</c:v>
                </c:pt>
                <c:pt idx="220">
                  <c:v>4</c:v>
                </c:pt>
                <c:pt idx="221">
                  <c:v>1</c:v>
                </c:pt>
                <c:pt idx="222">
                  <c:v>3</c:v>
                </c:pt>
                <c:pt idx="223">
                  <c:v>3</c:v>
                </c:pt>
                <c:pt idx="224">
                  <c:v>2</c:v>
                </c:pt>
                <c:pt idx="225">
                  <c:v>1</c:v>
                </c:pt>
                <c:pt idx="226">
                  <c:v>3</c:v>
                </c:pt>
                <c:pt idx="227">
                  <c:v>1</c:v>
                </c:pt>
                <c:pt idx="228">
                  <c:v>2</c:v>
                </c:pt>
                <c:pt idx="229">
                  <c:v>2</c:v>
                </c:pt>
                <c:pt idx="230">
                  <c:v>0</c:v>
                </c:pt>
                <c:pt idx="231">
                  <c:v>3</c:v>
                </c:pt>
                <c:pt idx="232">
                  <c:v>4</c:v>
                </c:pt>
                <c:pt idx="233">
                  <c:v>5</c:v>
                </c:pt>
                <c:pt idx="234">
                  <c:v>1</c:v>
                </c:pt>
                <c:pt idx="235">
                  <c:v>4</c:v>
                </c:pt>
                <c:pt idx="236">
                  <c:v>5</c:v>
                </c:pt>
                <c:pt idx="237">
                  <c:v>6</c:v>
                </c:pt>
                <c:pt idx="238">
                  <c:v>4</c:v>
                </c:pt>
                <c:pt idx="239">
                  <c:v>0</c:v>
                </c:pt>
                <c:pt idx="240">
                  <c:v>6</c:v>
                </c:pt>
                <c:pt idx="241">
                  <c:v>2</c:v>
                </c:pt>
                <c:pt idx="242">
                  <c:v>3</c:v>
                </c:pt>
                <c:pt idx="243">
                  <c:v>6</c:v>
                </c:pt>
                <c:pt idx="244">
                  <c:v>1</c:v>
                </c:pt>
                <c:pt idx="245">
                  <c:v>6</c:v>
                </c:pt>
                <c:pt idx="246">
                  <c:v>2</c:v>
                </c:pt>
                <c:pt idx="247">
                  <c:v>2</c:v>
                </c:pt>
                <c:pt idx="248">
                  <c:v>0</c:v>
                </c:pt>
                <c:pt idx="249">
                  <c:v>3</c:v>
                </c:pt>
                <c:pt idx="250">
                  <c:v>1</c:v>
                </c:pt>
                <c:pt idx="251">
                  <c:v>4</c:v>
                </c:pt>
                <c:pt idx="252">
                  <c:v>6</c:v>
                </c:pt>
                <c:pt idx="253">
                  <c:v>4</c:v>
                </c:pt>
                <c:pt idx="254">
                  <c:v>3</c:v>
                </c:pt>
                <c:pt idx="255">
                  <c:v>3</c:v>
                </c:pt>
                <c:pt idx="256">
                  <c:v>2</c:v>
                </c:pt>
                <c:pt idx="257">
                  <c:v>2</c:v>
                </c:pt>
                <c:pt idx="258">
                  <c:v>5</c:v>
                </c:pt>
                <c:pt idx="259">
                  <c:v>0</c:v>
                </c:pt>
                <c:pt idx="260">
                  <c:v>0</c:v>
                </c:pt>
                <c:pt idx="261">
                  <c:v>2</c:v>
                </c:pt>
                <c:pt idx="262">
                  <c:v>5</c:v>
                </c:pt>
                <c:pt idx="263">
                  <c:v>0</c:v>
                </c:pt>
                <c:pt idx="264">
                  <c:v>3</c:v>
                </c:pt>
                <c:pt idx="265">
                  <c:v>4</c:v>
                </c:pt>
                <c:pt idx="266">
                  <c:v>2</c:v>
                </c:pt>
                <c:pt idx="267">
                  <c:v>2</c:v>
                </c:pt>
                <c:pt idx="268">
                  <c:v>3</c:v>
                </c:pt>
                <c:pt idx="269">
                  <c:v>1</c:v>
                </c:pt>
                <c:pt idx="270">
                  <c:v>4</c:v>
                </c:pt>
                <c:pt idx="271">
                  <c:v>5</c:v>
                </c:pt>
                <c:pt idx="272">
                  <c:v>2</c:v>
                </c:pt>
                <c:pt idx="273">
                  <c:v>1</c:v>
                </c:pt>
                <c:pt idx="274">
                  <c:v>3</c:v>
                </c:pt>
                <c:pt idx="275">
                  <c:v>2</c:v>
                </c:pt>
                <c:pt idx="276">
                  <c:v>3</c:v>
                </c:pt>
                <c:pt idx="277">
                  <c:v>3</c:v>
                </c:pt>
                <c:pt idx="278">
                  <c:v>2</c:v>
                </c:pt>
                <c:pt idx="279">
                  <c:v>3</c:v>
                </c:pt>
                <c:pt idx="280">
                  <c:v>4</c:v>
                </c:pt>
                <c:pt idx="281">
                  <c:v>5</c:v>
                </c:pt>
                <c:pt idx="282">
                  <c:v>2</c:v>
                </c:pt>
                <c:pt idx="283">
                  <c:v>1</c:v>
                </c:pt>
                <c:pt idx="284">
                  <c:v>3</c:v>
                </c:pt>
                <c:pt idx="285">
                  <c:v>2</c:v>
                </c:pt>
                <c:pt idx="286">
                  <c:v>4</c:v>
                </c:pt>
                <c:pt idx="287">
                  <c:v>6</c:v>
                </c:pt>
                <c:pt idx="288">
                  <c:v>3</c:v>
                </c:pt>
                <c:pt idx="289">
                  <c:v>2</c:v>
                </c:pt>
                <c:pt idx="290">
                  <c:v>5</c:v>
                </c:pt>
                <c:pt idx="291">
                  <c:v>2</c:v>
                </c:pt>
                <c:pt idx="292">
                  <c:v>1</c:v>
                </c:pt>
                <c:pt idx="293">
                  <c:v>5</c:v>
                </c:pt>
                <c:pt idx="294">
                  <c:v>5</c:v>
                </c:pt>
              </c:numCache>
            </c:numRef>
          </c:xVal>
          <c:yVal>
            <c:numRef>
              <c:f>'Q5 Graph'!$B$2:$B$296</c:f>
              <c:numCache>
                <c:formatCode>General</c:formatCode>
                <c:ptCount val="295"/>
                <c:pt idx="0">
                  <c:v>243</c:v>
                </c:pt>
                <c:pt idx="1">
                  <c:v>77</c:v>
                </c:pt>
                <c:pt idx="2">
                  <c:v>285</c:v>
                </c:pt>
                <c:pt idx="3">
                  <c:v>373</c:v>
                </c:pt>
                <c:pt idx="4">
                  <c:v>355</c:v>
                </c:pt>
                <c:pt idx="5">
                  <c:v>116</c:v>
                </c:pt>
                <c:pt idx="6">
                  <c:v>72</c:v>
                </c:pt>
                <c:pt idx="7">
                  <c:v>290</c:v>
                </c:pt>
                <c:pt idx="8">
                  <c:v>157</c:v>
                </c:pt>
                <c:pt idx="9">
                  <c:v>397</c:v>
                </c:pt>
                <c:pt idx="10">
                  <c:v>97</c:v>
                </c:pt>
                <c:pt idx="11">
                  <c:v>270</c:v>
                </c:pt>
                <c:pt idx="12">
                  <c:v>198</c:v>
                </c:pt>
                <c:pt idx="13">
                  <c:v>254</c:v>
                </c:pt>
                <c:pt idx="14">
                  <c:v>303</c:v>
                </c:pt>
                <c:pt idx="15">
                  <c:v>71</c:v>
                </c:pt>
                <c:pt idx="16">
                  <c:v>389</c:v>
                </c:pt>
                <c:pt idx="17">
                  <c:v>390</c:v>
                </c:pt>
                <c:pt idx="18">
                  <c:v>127</c:v>
                </c:pt>
                <c:pt idx="19">
                  <c:v>94</c:v>
                </c:pt>
                <c:pt idx="20">
                  <c:v>322</c:v>
                </c:pt>
                <c:pt idx="21">
                  <c:v>272</c:v>
                </c:pt>
                <c:pt idx="22">
                  <c:v>316</c:v>
                </c:pt>
                <c:pt idx="23">
                  <c:v>345</c:v>
                </c:pt>
                <c:pt idx="24">
                  <c:v>136</c:v>
                </c:pt>
                <c:pt idx="25">
                  <c:v>180</c:v>
                </c:pt>
                <c:pt idx="26">
                  <c:v>295</c:v>
                </c:pt>
                <c:pt idx="27">
                  <c:v>160</c:v>
                </c:pt>
                <c:pt idx="28">
                  <c:v>345</c:v>
                </c:pt>
                <c:pt idx="29">
                  <c:v>279</c:v>
                </c:pt>
                <c:pt idx="30">
                  <c:v>291</c:v>
                </c:pt>
                <c:pt idx="31">
                  <c:v>396</c:v>
                </c:pt>
                <c:pt idx="32">
                  <c:v>199</c:v>
                </c:pt>
                <c:pt idx="33">
                  <c:v>183</c:v>
                </c:pt>
                <c:pt idx="34">
                  <c:v>315</c:v>
                </c:pt>
                <c:pt idx="35">
                  <c:v>181</c:v>
                </c:pt>
                <c:pt idx="36">
                  <c:v>81</c:v>
                </c:pt>
                <c:pt idx="37">
                  <c:v>156</c:v>
                </c:pt>
                <c:pt idx="38">
                  <c:v>297</c:v>
                </c:pt>
                <c:pt idx="39">
                  <c:v>212</c:v>
                </c:pt>
                <c:pt idx="40">
                  <c:v>358</c:v>
                </c:pt>
                <c:pt idx="41">
                  <c:v>96</c:v>
                </c:pt>
                <c:pt idx="42">
                  <c:v>246</c:v>
                </c:pt>
                <c:pt idx="43">
                  <c:v>62</c:v>
                </c:pt>
                <c:pt idx="44">
                  <c:v>42</c:v>
                </c:pt>
                <c:pt idx="45">
                  <c:v>53</c:v>
                </c:pt>
                <c:pt idx="46">
                  <c:v>69</c:v>
                </c:pt>
                <c:pt idx="47">
                  <c:v>179</c:v>
                </c:pt>
                <c:pt idx="48">
                  <c:v>161</c:v>
                </c:pt>
                <c:pt idx="49">
                  <c:v>344</c:v>
                </c:pt>
                <c:pt idx="50">
                  <c:v>325</c:v>
                </c:pt>
                <c:pt idx="51">
                  <c:v>273</c:v>
                </c:pt>
                <c:pt idx="52">
                  <c:v>87</c:v>
                </c:pt>
                <c:pt idx="53">
                  <c:v>46</c:v>
                </c:pt>
                <c:pt idx="54">
                  <c:v>311</c:v>
                </c:pt>
                <c:pt idx="55">
                  <c:v>285</c:v>
                </c:pt>
                <c:pt idx="56">
                  <c:v>316</c:v>
                </c:pt>
                <c:pt idx="57">
                  <c:v>67</c:v>
                </c:pt>
                <c:pt idx="58">
                  <c:v>83</c:v>
                </c:pt>
                <c:pt idx="59">
                  <c:v>392</c:v>
                </c:pt>
                <c:pt idx="60">
                  <c:v>330</c:v>
                </c:pt>
                <c:pt idx="61">
                  <c:v>311</c:v>
                </c:pt>
                <c:pt idx="62">
                  <c:v>391</c:v>
                </c:pt>
                <c:pt idx="63">
                  <c:v>202</c:v>
                </c:pt>
                <c:pt idx="64">
                  <c:v>367</c:v>
                </c:pt>
                <c:pt idx="65">
                  <c:v>329</c:v>
                </c:pt>
                <c:pt idx="66">
                  <c:v>167</c:v>
                </c:pt>
                <c:pt idx="67">
                  <c:v>162</c:v>
                </c:pt>
                <c:pt idx="68">
                  <c:v>266</c:v>
                </c:pt>
                <c:pt idx="69">
                  <c:v>89</c:v>
                </c:pt>
                <c:pt idx="70">
                  <c:v>280</c:v>
                </c:pt>
                <c:pt idx="71">
                  <c:v>86</c:v>
                </c:pt>
                <c:pt idx="72">
                  <c:v>163</c:v>
                </c:pt>
                <c:pt idx="73">
                  <c:v>368</c:v>
                </c:pt>
                <c:pt idx="74">
                  <c:v>342</c:v>
                </c:pt>
                <c:pt idx="75">
                  <c:v>221</c:v>
                </c:pt>
                <c:pt idx="76">
                  <c:v>192</c:v>
                </c:pt>
                <c:pt idx="77">
                  <c:v>222</c:v>
                </c:pt>
                <c:pt idx="78">
                  <c:v>161</c:v>
                </c:pt>
                <c:pt idx="79">
                  <c:v>195</c:v>
                </c:pt>
                <c:pt idx="80">
                  <c:v>267</c:v>
                </c:pt>
                <c:pt idx="81">
                  <c:v>192</c:v>
                </c:pt>
                <c:pt idx="82">
                  <c:v>272</c:v>
                </c:pt>
                <c:pt idx="83">
                  <c:v>312</c:v>
                </c:pt>
                <c:pt idx="84">
                  <c:v>265</c:v>
                </c:pt>
                <c:pt idx="85">
                  <c:v>381</c:v>
                </c:pt>
                <c:pt idx="86">
                  <c:v>249</c:v>
                </c:pt>
                <c:pt idx="87">
                  <c:v>68</c:v>
                </c:pt>
                <c:pt idx="88">
                  <c:v>264</c:v>
                </c:pt>
                <c:pt idx="89">
                  <c:v>80</c:v>
                </c:pt>
                <c:pt idx="90">
                  <c:v>397</c:v>
                </c:pt>
                <c:pt idx="91">
                  <c:v>144</c:v>
                </c:pt>
                <c:pt idx="92">
                  <c:v>239</c:v>
                </c:pt>
                <c:pt idx="93">
                  <c:v>57</c:v>
                </c:pt>
                <c:pt idx="94">
                  <c:v>372</c:v>
                </c:pt>
                <c:pt idx="95">
                  <c:v>71</c:v>
                </c:pt>
                <c:pt idx="96">
                  <c:v>280</c:v>
                </c:pt>
                <c:pt idx="97">
                  <c:v>104</c:v>
                </c:pt>
                <c:pt idx="98">
                  <c:v>235</c:v>
                </c:pt>
                <c:pt idx="99">
                  <c:v>72</c:v>
                </c:pt>
                <c:pt idx="100">
                  <c:v>264</c:v>
                </c:pt>
                <c:pt idx="101">
                  <c:v>262</c:v>
                </c:pt>
                <c:pt idx="102">
                  <c:v>64</c:v>
                </c:pt>
                <c:pt idx="103">
                  <c:v>62</c:v>
                </c:pt>
                <c:pt idx="104">
                  <c:v>142</c:v>
                </c:pt>
                <c:pt idx="105">
                  <c:v>371</c:v>
                </c:pt>
                <c:pt idx="106">
                  <c:v>111</c:v>
                </c:pt>
                <c:pt idx="107">
                  <c:v>46</c:v>
                </c:pt>
                <c:pt idx="108">
                  <c:v>177</c:v>
                </c:pt>
                <c:pt idx="109">
                  <c:v>397</c:v>
                </c:pt>
                <c:pt idx="110">
                  <c:v>114</c:v>
                </c:pt>
                <c:pt idx="111">
                  <c:v>253</c:v>
                </c:pt>
                <c:pt idx="112">
                  <c:v>59</c:v>
                </c:pt>
                <c:pt idx="113">
                  <c:v>140</c:v>
                </c:pt>
                <c:pt idx="114">
                  <c:v>141</c:v>
                </c:pt>
                <c:pt idx="115">
                  <c:v>123</c:v>
                </c:pt>
                <c:pt idx="116">
                  <c:v>333</c:v>
                </c:pt>
                <c:pt idx="117">
                  <c:v>252</c:v>
                </c:pt>
                <c:pt idx="118">
                  <c:v>304</c:v>
                </c:pt>
                <c:pt idx="119">
                  <c:v>324</c:v>
                </c:pt>
                <c:pt idx="120">
                  <c:v>216</c:v>
                </c:pt>
                <c:pt idx="121">
                  <c:v>140</c:v>
                </c:pt>
                <c:pt idx="122">
                  <c:v>162</c:v>
                </c:pt>
                <c:pt idx="123">
                  <c:v>123</c:v>
                </c:pt>
                <c:pt idx="124">
                  <c:v>211</c:v>
                </c:pt>
                <c:pt idx="125">
                  <c:v>310</c:v>
                </c:pt>
                <c:pt idx="126">
                  <c:v>43</c:v>
                </c:pt>
                <c:pt idx="127">
                  <c:v>236</c:v>
                </c:pt>
                <c:pt idx="128">
                  <c:v>299</c:v>
                </c:pt>
                <c:pt idx="129">
                  <c:v>283</c:v>
                </c:pt>
                <c:pt idx="130">
                  <c:v>304</c:v>
                </c:pt>
                <c:pt idx="131">
                  <c:v>93</c:v>
                </c:pt>
                <c:pt idx="132">
                  <c:v>225</c:v>
                </c:pt>
                <c:pt idx="133">
                  <c:v>400</c:v>
                </c:pt>
                <c:pt idx="134">
                  <c:v>238</c:v>
                </c:pt>
                <c:pt idx="135">
                  <c:v>280</c:v>
                </c:pt>
                <c:pt idx="136">
                  <c:v>346</c:v>
                </c:pt>
                <c:pt idx="137">
                  <c:v>60</c:v>
                </c:pt>
                <c:pt idx="138">
                  <c:v>366</c:v>
                </c:pt>
                <c:pt idx="139">
                  <c:v>216</c:v>
                </c:pt>
                <c:pt idx="140">
                  <c:v>111</c:v>
                </c:pt>
                <c:pt idx="141">
                  <c:v>62</c:v>
                </c:pt>
                <c:pt idx="142">
                  <c:v>212</c:v>
                </c:pt>
                <c:pt idx="143">
                  <c:v>155</c:v>
                </c:pt>
                <c:pt idx="144">
                  <c:v>227</c:v>
                </c:pt>
                <c:pt idx="145">
                  <c:v>183</c:v>
                </c:pt>
                <c:pt idx="146">
                  <c:v>340</c:v>
                </c:pt>
                <c:pt idx="147">
                  <c:v>308</c:v>
                </c:pt>
                <c:pt idx="148">
                  <c:v>205</c:v>
                </c:pt>
                <c:pt idx="149">
                  <c:v>235</c:v>
                </c:pt>
                <c:pt idx="150">
                  <c:v>336</c:v>
                </c:pt>
                <c:pt idx="151">
                  <c:v>66</c:v>
                </c:pt>
                <c:pt idx="152">
                  <c:v>394</c:v>
                </c:pt>
                <c:pt idx="153">
                  <c:v>335</c:v>
                </c:pt>
                <c:pt idx="154">
                  <c:v>240</c:v>
                </c:pt>
                <c:pt idx="155">
                  <c:v>44</c:v>
                </c:pt>
                <c:pt idx="156">
                  <c:v>244</c:v>
                </c:pt>
                <c:pt idx="157">
                  <c:v>259</c:v>
                </c:pt>
                <c:pt idx="158">
                  <c:v>146</c:v>
                </c:pt>
                <c:pt idx="159">
                  <c:v>249</c:v>
                </c:pt>
                <c:pt idx="160">
                  <c:v>173</c:v>
                </c:pt>
                <c:pt idx="161">
                  <c:v>278</c:v>
                </c:pt>
                <c:pt idx="162">
                  <c:v>160</c:v>
                </c:pt>
                <c:pt idx="163">
                  <c:v>224</c:v>
                </c:pt>
                <c:pt idx="164">
                  <c:v>278</c:v>
                </c:pt>
                <c:pt idx="165">
                  <c:v>335</c:v>
                </c:pt>
                <c:pt idx="166">
                  <c:v>387</c:v>
                </c:pt>
                <c:pt idx="167">
                  <c:v>342</c:v>
                </c:pt>
                <c:pt idx="168">
                  <c:v>400</c:v>
                </c:pt>
                <c:pt idx="169">
                  <c:v>356</c:v>
                </c:pt>
                <c:pt idx="170">
                  <c:v>352</c:v>
                </c:pt>
                <c:pt idx="171">
                  <c:v>161</c:v>
                </c:pt>
                <c:pt idx="172">
                  <c:v>57</c:v>
                </c:pt>
                <c:pt idx="173">
                  <c:v>126</c:v>
                </c:pt>
                <c:pt idx="174">
                  <c:v>79</c:v>
                </c:pt>
                <c:pt idx="175">
                  <c:v>125</c:v>
                </c:pt>
                <c:pt idx="176">
                  <c:v>398</c:v>
                </c:pt>
                <c:pt idx="177">
                  <c:v>310</c:v>
                </c:pt>
                <c:pt idx="178">
                  <c:v>196</c:v>
                </c:pt>
                <c:pt idx="179">
                  <c:v>55</c:v>
                </c:pt>
                <c:pt idx="180">
                  <c:v>227</c:v>
                </c:pt>
                <c:pt idx="181">
                  <c:v>391</c:v>
                </c:pt>
                <c:pt idx="182">
                  <c:v>49</c:v>
                </c:pt>
                <c:pt idx="183">
                  <c:v>130</c:v>
                </c:pt>
                <c:pt idx="184">
                  <c:v>280</c:v>
                </c:pt>
                <c:pt idx="185">
                  <c:v>303</c:v>
                </c:pt>
                <c:pt idx="186">
                  <c:v>196</c:v>
                </c:pt>
                <c:pt idx="187">
                  <c:v>99</c:v>
                </c:pt>
                <c:pt idx="188">
                  <c:v>216</c:v>
                </c:pt>
                <c:pt idx="189">
                  <c:v>396</c:v>
                </c:pt>
                <c:pt idx="190">
                  <c:v>93</c:v>
                </c:pt>
                <c:pt idx="191">
                  <c:v>105</c:v>
                </c:pt>
                <c:pt idx="192">
                  <c:v>116</c:v>
                </c:pt>
                <c:pt idx="193">
                  <c:v>119</c:v>
                </c:pt>
                <c:pt idx="194">
                  <c:v>257</c:v>
                </c:pt>
                <c:pt idx="195">
                  <c:v>48</c:v>
                </c:pt>
                <c:pt idx="196">
                  <c:v>297</c:v>
                </c:pt>
                <c:pt idx="197">
                  <c:v>159</c:v>
                </c:pt>
                <c:pt idx="198">
                  <c:v>132</c:v>
                </c:pt>
                <c:pt idx="199">
                  <c:v>104</c:v>
                </c:pt>
                <c:pt idx="200">
                  <c:v>149</c:v>
                </c:pt>
                <c:pt idx="201">
                  <c:v>245</c:v>
                </c:pt>
                <c:pt idx="202">
                  <c:v>194</c:v>
                </c:pt>
                <c:pt idx="203">
                  <c:v>329</c:v>
                </c:pt>
                <c:pt idx="204">
                  <c:v>120</c:v>
                </c:pt>
                <c:pt idx="205">
                  <c:v>189</c:v>
                </c:pt>
                <c:pt idx="206">
                  <c:v>396</c:v>
                </c:pt>
                <c:pt idx="207">
                  <c:v>390</c:v>
                </c:pt>
                <c:pt idx="208">
                  <c:v>169</c:v>
                </c:pt>
                <c:pt idx="209">
                  <c:v>369</c:v>
                </c:pt>
                <c:pt idx="210">
                  <c:v>214</c:v>
                </c:pt>
                <c:pt idx="211">
                  <c:v>321</c:v>
                </c:pt>
                <c:pt idx="212">
                  <c:v>347</c:v>
                </c:pt>
                <c:pt idx="213">
                  <c:v>99</c:v>
                </c:pt>
                <c:pt idx="214">
                  <c:v>288</c:v>
                </c:pt>
                <c:pt idx="215">
                  <c:v>185</c:v>
                </c:pt>
                <c:pt idx="216">
                  <c:v>197</c:v>
                </c:pt>
                <c:pt idx="217">
                  <c:v>96</c:v>
                </c:pt>
                <c:pt idx="218">
                  <c:v>121</c:v>
                </c:pt>
                <c:pt idx="219">
                  <c:v>131</c:v>
                </c:pt>
                <c:pt idx="220">
                  <c:v>377</c:v>
                </c:pt>
                <c:pt idx="221">
                  <c:v>93</c:v>
                </c:pt>
                <c:pt idx="222">
                  <c:v>188</c:v>
                </c:pt>
                <c:pt idx="223">
                  <c:v>295</c:v>
                </c:pt>
                <c:pt idx="224">
                  <c:v>103</c:v>
                </c:pt>
                <c:pt idx="225">
                  <c:v>60</c:v>
                </c:pt>
                <c:pt idx="226">
                  <c:v>216</c:v>
                </c:pt>
                <c:pt idx="227">
                  <c:v>65</c:v>
                </c:pt>
                <c:pt idx="228">
                  <c:v>210</c:v>
                </c:pt>
                <c:pt idx="229">
                  <c:v>176</c:v>
                </c:pt>
                <c:pt idx="230">
                  <c:v>54</c:v>
                </c:pt>
                <c:pt idx="231">
                  <c:v>302</c:v>
                </c:pt>
                <c:pt idx="232">
                  <c:v>318</c:v>
                </c:pt>
                <c:pt idx="233">
                  <c:v>338</c:v>
                </c:pt>
                <c:pt idx="234">
                  <c:v>108</c:v>
                </c:pt>
                <c:pt idx="235">
                  <c:v>280</c:v>
                </c:pt>
                <c:pt idx="236">
                  <c:v>245</c:v>
                </c:pt>
                <c:pt idx="237">
                  <c:v>334</c:v>
                </c:pt>
                <c:pt idx="238">
                  <c:v>228</c:v>
                </c:pt>
                <c:pt idx="239">
                  <c:v>42</c:v>
                </c:pt>
                <c:pt idx="240">
                  <c:v>355</c:v>
                </c:pt>
                <c:pt idx="241">
                  <c:v>168</c:v>
                </c:pt>
                <c:pt idx="242">
                  <c:v>95</c:v>
                </c:pt>
                <c:pt idx="243">
                  <c:v>371</c:v>
                </c:pt>
                <c:pt idx="244">
                  <c:v>80</c:v>
                </c:pt>
                <c:pt idx="245">
                  <c:v>385</c:v>
                </c:pt>
                <c:pt idx="246">
                  <c:v>131</c:v>
                </c:pt>
                <c:pt idx="247">
                  <c:v>61</c:v>
                </c:pt>
                <c:pt idx="248">
                  <c:v>49</c:v>
                </c:pt>
                <c:pt idx="249">
                  <c:v>107</c:v>
                </c:pt>
                <c:pt idx="250">
                  <c:v>119</c:v>
                </c:pt>
                <c:pt idx="251">
                  <c:v>291</c:v>
                </c:pt>
                <c:pt idx="252">
                  <c:v>399</c:v>
                </c:pt>
                <c:pt idx="253">
                  <c:v>183</c:v>
                </c:pt>
                <c:pt idx="254">
                  <c:v>98</c:v>
                </c:pt>
                <c:pt idx="255">
                  <c:v>139</c:v>
                </c:pt>
                <c:pt idx="256">
                  <c:v>210</c:v>
                </c:pt>
                <c:pt idx="257">
                  <c:v>81</c:v>
                </c:pt>
                <c:pt idx="258">
                  <c:v>246</c:v>
                </c:pt>
                <c:pt idx="259">
                  <c:v>71</c:v>
                </c:pt>
                <c:pt idx="260">
                  <c:v>58</c:v>
                </c:pt>
                <c:pt idx="261">
                  <c:v>85</c:v>
                </c:pt>
                <c:pt idx="262">
                  <c:v>343</c:v>
                </c:pt>
                <c:pt idx="263">
                  <c:v>59</c:v>
                </c:pt>
                <c:pt idx="264">
                  <c:v>161</c:v>
                </c:pt>
                <c:pt idx="265">
                  <c:v>312</c:v>
                </c:pt>
                <c:pt idx="266">
                  <c:v>201</c:v>
                </c:pt>
                <c:pt idx="267">
                  <c:v>227</c:v>
                </c:pt>
                <c:pt idx="268">
                  <c:v>200</c:v>
                </c:pt>
                <c:pt idx="269">
                  <c:v>60</c:v>
                </c:pt>
                <c:pt idx="270">
                  <c:v>241</c:v>
                </c:pt>
                <c:pt idx="271">
                  <c:v>286</c:v>
                </c:pt>
                <c:pt idx="272">
                  <c:v>47</c:v>
                </c:pt>
                <c:pt idx="273">
                  <c:v>61</c:v>
                </c:pt>
                <c:pt idx="274">
                  <c:v>171</c:v>
                </c:pt>
                <c:pt idx="275">
                  <c:v>235</c:v>
                </c:pt>
                <c:pt idx="276">
                  <c:v>114</c:v>
                </c:pt>
                <c:pt idx="277">
                  <c:v>205</c:v>
                </c:pt>
                <c:pt idx="278">
                  <c:v>107</c:v>
                </c:pt>
                <c:pt idx="279">
                  <c:v>220</c:v>
                </c:pt>
                <c:pt idx="280">
                  <c:v>171</c:v>
                </c:pt>
                <c:pt idx="281">
                  <c:v>271</c:v>
                </c:pt>
                <c:pt idx="282">
                  <c:v>51</c:v>
                </c:pt>
                <c:pt idx="283">
                  <c:v>83</c:v>
                </c:pt>
                <c:pt idx="284">
                  <c:v>140</c:v>
                </c:pt>
                <c:pt idx="285">
                  <c:v>108</c:v>
                </c:pt>
                <c:pt idx="286">
                  <c:v>396</c:v>
                </c:pt>
                <c:pt idx="287">
                  <c:v>387</c:v>
                </c:pt>
                <c:pt idx="288">
                  <c:v>234</c:v>
                </c:pt>
                <c:pt idx="289">
                  <c:v>133</c:v>
                </c:pt>
                <c:pt idx="290">
                  <c:v>268</c:v>
                </c:pt>
                <c:pt idx="291">
                  <c:v>187</c:v>
                </c:pt>
                <c:pt idx="292">
                  <c:v>149</c:v>
                </c:pt>
                <c:pt idx="293">
                  <c:v>353</c:v>
                </c:pt>
                <c:pt idx="294">
                  <c:v>372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42-4068-B144-C13222B47A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4656160"/>
        <c:axId val="944658320"/>
      </c:scatterChart>
      <c:valAx>
        <c:axId val="944656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Bedrooms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658320"/>
        <c:crosses val="autoZero"/>
        <c:crossBetween val="midCat"/>
      </c:valAx>
      <c:valAx>
        <c:axId val="94465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House Area (sqm)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656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House Area (sqm)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ubbleChart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delete val="1"/>
          </c:dLbls>
          <c:xVal>
            <c:numRef>
              <c:f>'Q6'!$B$2:$B$295</c:f>
              <c:numCache>
                <c:formatCode>General</c:formatCode>
                <c:ptCount val="294"/>
                <c:pt idx="0">
                  <c:v>4</c:v>
                </c:pt>
                <c:pt idx="1">
                  <c:v>0</c:v>
                </c:pt>
                <c:pt idx="2">
                  <c:v>3</c:v>
                </c:pt>
                <c:pt idx="3">
                  <c:v>5</c:v>
                </c:pt>
                <c:pt idx="4">
                  <c:v>6</c:v>
                </c:pt>
                <c:pt idx="5">
                  <c:v>2</c:v>
                </c:pt>
                <c:pt idx="6">
                  <c:v>0</c:v>
                </c:pt>
                <c:pt idx="7">
                  <c:v>3</c:v>
                </c:pt>
                <c:pt idx="8">
                  <c:v>1</c:v>
                </c:pt>
                <c:pt idx="9">
                  <c:v>5</c:v>
                </c:pt>
                <c:pt idx="10">
                  <c:v>3</c:v>
                </c:pt>
                <c:pt idx="11">
                  <c:v>4</c:v>
                </c:pt>
                <c:pt idx="12">
                  <c:v>2</c:v>
                </c:pt>
                <c:pt idx="13">
                  <c:v>4</c:v>
                </c:pt>
                <c:pt idx="14">
                  <c:v>3</c:v>
                </c:pt>
                <c:pt idx="15">
                  <c:v>0</c:v>
                </c:pt>
                <c:pt idx="16">
                  <c:v>4</c:v>
                </c:pt>
                <c:pt idx="17">
                  <c:v>5</c:v>
                </c:pt>
                <c:pt idx="18">
                  <c:v>2</c:v>
                </c:pt>
                <c:pt idx="19">
                  <c:v>1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3</c:v>
                </c:pt>
                <c:pt idx="25">
                  <c:v>3</c:v>
                </c:pt>
                <c:pt idx="26">
                  <c:v>5</c:v>
                </c:pt>
                <c:pt idx="27">
                  <c:v>3</c:v>
                </c:pt>
                <c:pt idx="28">
                  <c:v>6</c:v>
                </c:pt>
                <c:pt idx="29">
                  <c:v>3</c:v>
                </c:pt>
                <c:pt idx="30">
                  <c:v>4</c:v>
                </c:pt>
                <c:pt idx="31">
                  <c:v>5</c:v>
                </c:pt>
                <c:pt idx="32">
                  <c:v>2</c:v>
                </c:pt>
                <c:pt idx="33">
                  <c:v>2</c:v>
                </c:pt>
                <c:pt idx="34">
                  <c:v>3</c:v>
                </c:pt>
                <c:pt idx="35">
                  <c:v>3</c:v>
                </c:pt>
                <c:pt idx="36">
                  <c:v>1</c:v>
                </c:pt>
                <c:pt idx="37">
                  <c:v>3</c:v>
                </c:pt>
                <c:pt idx="38">
                  <c:v>5</c:v>
                </c:pt>
                <c:pt idx="39">
                  <c:v>4</c:v>
                </c:pt>
                <c:pt idx="40">
                  <c:v>4</c:v>
                </c:pt>
                <c:pt idx="41">
                  <c:v>1</c:v>
                </c:pt>
                <c:pt idx="42">
                  <c:v>4</c:v>
                </c:pt>
                <c:pt idx="43">
                  <c:v>2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2</c:v>
                </c:pt>
                <c:pt idx="48">
                  <c:v>3</c:v>
                </c:pt>
                <c:pt idx="49">
                  <c:v>5</c:v>
                </c:pt>
                <c:pt idx="50">
                  <c:v>6</c:v>
                </c:pt>
                <c:pt idx="51">
                  <c:v>5</c:v>
                </c:pt>
                <c:pt idx="52">
                  <c:v>2</c:v>
                </c:pt>
                <c:pt idx="53">
                  <c:v>2</c:v>
                </c:pt>
                <c:pt idx="54">
                  <c:v>4</c:v>
                </c:pt>
                <c:pt idx="55">
                  <c:v>3</c:v>
                </c:pt>
                <c:pt idx="56">
                  <c:v>3</c:v>
                </c:pt>
                <c:pt idx="57">
                  <c:v>2</c:v>
                </c:pt>
                <c:pt idx="58">
                  <c:v>2</c:v>
                </c:pt>
                <c:pt idx="59">
                  <c:v>6</c:v>
                </c:pt>
                <c:pt idx="60">
                  <c:v>5</c:v>
                </c:pt>
                <c:pt idx="61">
                  <c:v>3</c:v>
                </c:pt>
                <c:pt idx="62">
                  <c:v>4</c:v>
                </c:pt>
                <c:pt idx="63">
                  <c:v>2</c:v>
                </c:pt>
                <c:pt idx="64">
                  <c:v>5</c:v>
                </c:pt>
                <c:pt idx="65">
                  <c:v>4</c:v>
                </c:pt>
                <c:pt idx="66">
                  <c:v>4</c:v>
                </c:pt>
                <c:pt idx="67">
                  <c:v>3</c:v>
                </c:pt>
                <c:pt idx="68">
                  <c:v>4</c:v>
                </c:pt>
                <c:pt idx="69">
                  <c:v>2</c:v>
                </c:pt>
                <c:pt idx="70">
                  <c:v>4</c:v>
                </c:pt>
                <c:pt idx="71">
                  <c:v>3</c:v>
                </c:pt>
                <c:pt idx="72">
                  <c:v>4</c:v>
                </c:pt>
                <c:pt idx="73">
                  <c:v>5</c:v>
                </c:pt>
                <c:pt idx="74">
                  <c:v>6</c:v>
                </c:pt>
                <c:pt idx="75">
                  <c:v>4</c:v>
                </c:pt>
                <c:pt idx="76">
                  <c:v>3</c:v>
                </c:pt>
                <c:pt idx="77">
                  <c:v>3</c:v>
                </c:pt>
                <c:pt idx="78">
                  <c:v>4</c:v>
                </c:pt>
                <c:pt idx="79">
                  <c:v>2</c:v>
                </c:pt>
                <c:pt idx="80">
                  <c:v>4</c:v>
                </c:pt>
                <c:pt idx="81">
                  <c:v>2</c:v>
                </c:pt>
                <c:pt idx="82">
                  <c:v>4</c:v>
                </c:pt>
                <c:pt idx="83">
                  <c:v>5</c:v>
                </c:pt>
                <c:pt idx="84">
                  <c:v>3</c:v>
                </c:pt>
                <c:pt idx="85">
                  <c:v>6</c:v>
                </c:pt>
                <c:pt idx="86">
                  <c:v>3</c:v>
                </c:pt>
                <c:pt idx="87">
                  <c:v>2</c:v>
                </c:pt>
                <c:pt idx="88">
                  <c:v>4</c:v>
                </c:pt>
                <c:pt idx="89">
                  <c:v>1</c:v>
                </c:pt>
                <c:pt idx="90">
                  <c:v>5</c:v>
                </c:pt>
                <c:pt idx="91">
                  <c:v>1</c:v>
                </c:pt>
                <c:pt idx="92">
                  <c:v>3</c:v>
                </c:pt>
                <c:pt idx="93">
                  <c:v>1</c:v>
                </c:pt>
                <c:pt idx="94">
                  <c:v>4</c:v>
                </c:pt>
                <c:pt idx="95">
                  <c:v>0</c:v>
                </c:pt>
                <c:pt idx="96">
                  <c:v>4</c:v>
                </c:pt>
                <c:pt idx="97">
                  <c:v>1</c:v>
                </c:pt>
                <c:pt idx="98">
                  <c:v>3</c:v>
                </c:pt>
                <c:pt idx="99">
                  <c:v>0</c:v>
                </c:pt>
                <c:pt idx="100">
                  <c:v>4</c:v>
                </c:pt>
                <c:pt idx="101">
                  <c:v>5</c:v>
                </c:pt>
                <c:pt idx="102">
                  <c:v>0</c:v>
                </c:pt>
                <c:pt idx="103">
                  <c:v>1</c:v>
                </c:pt>
                <c:pt idx="104">
                  <c:v>2</c:v>
                </c:pt>
                <c:pt idx="105">
                  <c:v>4</c:v>
                </c:pt>
                <c:pt idx="106">
                  <c:v>2</c:v>
                </c:pt>
                <c:pt idx="107">
                  <c:v>1</c:v>
                </c:pt>
                <c:pt idx="108">
                  <c:v>2</c:v>
                </c:pt>
                <c:pt idx="109">
                  <c:v>6</c:v>
                </c:pt>
                <c:pt idx="110">
                  <c:v>3</c:v>
                </c:pt>
                <c:pt idx="111">
                  <c:v>3</c:v>
                </c:pt>
                <c:pt idx="112">
                  <c:v>0</c:v>
                </c:pt>
                <c:pt idx="113">
                  <c:v>1</c:v>
                </c:pt>
                <c:pt idx="114">
                  <c:v>2</c:v>
                </c:pt>
                <c:pt idx="115">
                  <c:v>2</c:v>
                </c:pt>
                <c:pt idx="116">
                  <c:v>5</c:v>
                </c:pt>
                <c:pt idx="117">
                  <c:v>4</c:v>
                </c:pt>
                <c:pt idx="118">
                  <c:v>3</c:v>
                </c:pt>
                <c:pt idx="119">
                  <c:v>4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4</c:v>
                </c:pt>
                <c:pt idx="125">
                  <c:v>4</c:v>
                </c:pt>
                <c:pt idx="126">
                  <c:v>0</c:v>
                </c:pt>
                <c:pt idx="127">
                  <c:v>4</c:v>
                </c:pt>
                <c:pt idx="128">
                  <c:v>3</c:v>
                </c:pt>
                <c:pt idx="129">
                  <c:v>5</c:v>
                </c:pt>
                <c:pt idx="130">
                  <c:v>4</c:v>
                </c:pt>
                <c:pt idx="131">
                  <c:v>3</c:v>
                </c:pt>
                <c:pt idx="132">
                  <c:v>2</c:v>
                </c:pt>
                <c:pt idx="133">
                  <c:v>5</c:v>
                </c:pt>
                <c:pt idx="134">
                  <c:v>2</c:v>
                </c:pt>
                <c:pt idx="135">
                  <c:v>4</c:v>
                </c:pt>
                <c:pt idx="136">
                  <c:v>5</c:v>
                </c:pt>
                <c:pt idx="137">
                  <c:v>0</c:v>
                </c:pt>
                <c:pt idx="138">
                  <c:v>5</c:v>
                </c:pt>
                <c:pt idx="139">
                  <c:v>3</c:v>
                </c:pt>
                <c:pt idx="140">
                  <c:v>2</c:v>
                </c:pt>
                <c:pt idx="141">
                  <c:v>0</c:v>
                </c:pt>
                <c:pt idx="142">
                  <c:v>2</c:v>
                </c:pt>
                <c:pt idx="143">
                  <c:v>3</c:v>
                </c:pt>
                <c:pt idx="144">
                  <c:v>3</c:v>
                </c:pt>
                <c:pt idx="145">
                  <c:v>2</c:v>
                </c:pt>
                <c:pt idx="146">
                  <c:v>6</c:v>
                </c:pt>
                <c:pt idx="147">
                  <c:v>4</c:v>
                </c:pt>
                <c:pt idx="148">
                  <c:v>4</c:v>
                </c:pt>
                <c:pt idx="149">
                  <c:v>2</c:v>
                </c:pt>
                <c:pt idx="150">
                  <c:v>5</c:v>
                </c:pt>
                <c:pt idx="151">
                  <c:v>0</c:v>
                </c:pt>
                <c:pt idx="152">
                  <c:v>5</c:v>
                </c:pt>
                <c:pt idx="153">
                  <c:v>6</c:v>
                </c:pt>
                <c:pt idx="154">
                  <c:v>4</c:v>
                </c:pt>
                <c:pt idx="155">
                  <c:v>2</c:v>
                </c:pt>
                <c:pt idx="156">
                  <c:v>4</c:v>
                </c:pt>
                <c:pt idx="157">
                  <c:v>5</c:v>
                </c:pt>
                <c:pt idx="158">
                  <c:v>3</c:v>
                </c:pt>
                <c:pt idx="159">
                  <c:v>3</c:v>
                </c:pt>
                <c:pt idx="160">
                  <c:v>4</c:v>
                </c:pt>
                <c:pt idx="161">
                  <c:v>3</c:v>
                </c:pt>
                <c:pt idx="162">
                  <c:v>3</c:v>
                </c:pt>
                <c:pt idx="163">
                  <c:v>2</c:v>
                </c:pt>
                <c:pt idx="164">
                  <c:v>5</c:v>
                </c:pt>
                <c:pt idx="165">
                  <c:v>5</c:v>
                </c:pt>
                <c:pt idx="166">
                  <c:v>4</c:v>
                </c:pt>
                <c:pt idx="167">
                  <c:v>4</c:v>
                </c:pt>
                <c:pt idx="168">
                  <c:v>4</c:v>
                </c:pt>
                <c:pt idx="169">
                  <c:v>6</c:v>
                </c:pt>
                <c:pt idx="170">
                  <c:v>4</c:v>
                </c:pt>
                <c:pt idx="171">
                  <c:v>4</c:v>
                </c:pt>
                <c:pt idx="172">
                  <c:v>2</c:v>
                </c:pt>
                <c:pt idx="173">
                  <c:v>1</c:v>
                </c:pt>
                <c:pt idx="174">
                  <c:v>0</c:v>
                </c:pt>
                <c:pt idx="175">
                  <c:v>1</c:v>
                </c:pt>
                <c:pt idx="176">
                  <c:v>4</c:v>
                </c:pt>
                <c:pt idx="177">
                  <c:v>4</c:v>
                </c:pt>
                <c:pt idx="178">
                  <c:v>2</c:v>
                </c:pt>
                <c:pt idx="179">
                  <c:v>1</c:v>
                </c:pt>
                <c:pt idx="180">
                  <c:v>4</c:v>
                </c:pt>
                <c:pt idx="181">
                  <c:v>5</c:v>
                </c:pt>
                <c:pt idx="182">
                  <c:v>2</c:v>
                </c:pt>
                <c:pt idx="183">
                  <c:v>3</c:v>
                </c:pt>
                <c:pt idx="184">
                  <c:v>4</c:v>
                </c:pt>
                <c:pt idx="185">
                  <c:v>5</c:v>
                </c:pt>
                <c:pt idx="186">
                  <c:v>2</c:v>
                </c:pt>
                <c:pt idx="187">
                  <c:v>3</c:v>
                </c:pt>
                <c:pt idx="188">
                  <c:v>3</c:v>
                </c:pt>
                <c:pt idx="189">
                  <c:v>4</c:v>
                </c:pt>
                <c:pt idx="190">
                  <c:v>1</c:v>
                </c:pt>
                <c:pt idx="191">
                  <c:v>2</c:v>
                </c:pt>
                <c:pt idx="192">
                  <c:v>3</c:v>
                </c:pt>
                <c:pt idx="193">
                  <c:v>1</c:v>
                </c:pt>
                <c:pt idx="194">
                  <c:v>4</c:v>
                </c:pt>
                <c:pt idx="195">
                  <c:v>0</c:v>
                </c:pt>
                <c:pt idx="196">
                  <c:v>4</c:v>
                </c:pt>
                <c:pt idx="197">
                  <c:v>2</c:v>
                </c:pt>
                <c:pt idx="198">
                  <c:v>3</c:v>
                </c:pt>
                <c:pt idx="199">
                  <c:v>3</c:v>
                </c:pt>
                <c:pt idx="200">
                  <c:v>1</c:v>
                </c:pt>
                <c:pt idx="201">
                  <c:v>4</c:v>
                </c:pt>
                <c:pt idx="202">
                  <c:v>2</c:v>
                </c:pt>
                <c:pt idx="203">
                  <c:v>5</c:v>
                </c:pt>
                <c:pt idx="204">
                  <c:v>3</c:v>
                </c:pt>
                <c:pt idx="205">
                  <c:v>3</c:v>
                </c:pt>
                <c:pt idx="206">
                  <c:v>4</c:v>
                </c:pt>
                <c:pt idx="207">
                  <c:v>6</c:v>
                </c:pt>
                <c:pt idx="208">
                  <c:v>3</c:v>
                </c:pt>
                <c:pt idx="209">
                  <c:v>6</c:v>
                </c:pt>
                <c:pt idx="210">
                  <c:v>4</c:v>
                </c:pt>
                <c:pt idx="211">
                  <c:v>6</c:v>
                </c:pt>
                <c:pt idx="212">
                  <c:v>5</c:v>
                </c:pt>
                <c:pt idx="213">
                  <c:v>2</c:v>
                </c:pt>
                <c:pt idx="214">
                  <c:v>3</c:v>
                </c:pt>
                <c:pt idx="215">
                  <c:v>2</c:v>
                </c:pt>
                <c:pt idx="216">
                  <c:v>2</c:v>
                </c:pt>
                <c:pt idx="217">
                  <c:v>3</c:v>
                </c:pt>
                <c:pt idx="218">
                  <c:v>2</c:v>
                </c:pt>
                <c:pt idx="219">
                  <c:v>3</c:v>
                </c:pt>
                <c:pt idx="220">
                  <c:v>4</c:v>
                </c:pt>
                <c:pt idx="221">
                  <c:v>1</c:v>
                </c:pt>
                <c:pt idx="222">
                  <c:v>3</c:v>
                </c:pt>
                <c:pt idx="223">
                  <c:v>3</c:v>
                </c:pt>
                <c:pt idx="224">
                  <c:v>2</c:v>
                </c:pt>
                <c:pt idx="225">
                  <c:v>1</c:v>
                </c:pt>
                <c:pt idx="226">
                  <c:v>3</c:v>
                </c:pt>
                <c:pt idx="227">
                  <c:v>1</c:v>
                </c:pt>
                <c:pt idx="228">
                  <c:v>2</c:v>
                </c:pt>
                <c:pt idx="229">
                  <c:v>2</c:v>
                </c:pt>
                <c:pt idx="230">
                  <c:v>0</c:v>
                </c:pt>
                <c:pt idx="231">
                  <c:v>3</c:v>
                </c:pt>
                <c:pt idx="232">
                  <c:v>4</c:v>
                </c:pt>
                <c:pt idx="233">
                  <c:v>5</c:v>
                </c:pt>
                <c:pt idx="234">
                  <c:v>1</c:v>
                </c:pt>
                <c:pt idx="235">
                  <c:v>4</c:v>
                </c:pt>
                <c:pt idx="236">
                  <c:v>5</c:v>
                </c:pt>
                <c:pt idx="237">
                  <c:v>6</c:v>
                </c:pt>
                <c:pt idx="238">
                  <c:v>4</c:v>
                </c:pt>
                <c:pt idx="239">
                  <c:v>0</c:v>
                </c:pt>
                <c:pt idx="240">
                  <c:v>6</c:v>
                </c:pt>
                <c:pt idx="241">
                  <c:v>2</c:v>
                </c:pt>
                <c:pt idx="242">
                  <c:v>3</c:v>
                </c:pt>
                <c:pt idx="243">
                  <c:v>6</c:v>
                </c:pt>
                <c:pt idx="244">
                  <c:v>1</c:v>
                </c:pt>
                <c:pt idx="245">
                  <c:v>6</c:v>
                </c:pt>
                <c:pt idx="246">
                  <c:v>2</c:v>
                </c:pt>
                <c:pt idx="247">
                  <c:v>2</c:v>
                </c:pt>
                <c:pt idx="248">
                  <c:v>0</c:v>
                </c:pt>
                <c:pt idx="249">
                  <c:v>3</c:v>
                </c:pt>
                <c:pt idx="250">
                  <c:v>1</c:v>
                </c:pt>
                <c:pt idx="251">
                  <c:v>4</c:v>
                </c:pt>
                <c:pt idx="252">
                  <c:v>6</c:v>
                </c:pt>
                <c:pt idx="253">
                  <c:v>4</c:v>
                </c:pt>
                <c:pt idx="254">
                  <c:v>3</c:v>
                </c:pt>
                <c:pt idx="255">
                  <c:v>3</c:v>
                </c:pt>
                <c:pt idx="256">
                  <c:v>2</c:v>
                </c:pt>
                <c:pt idx="257">
                  <c:v>2</c:v>
                </c:pt>
                <c:pt idx="258">
                  <c:v>5</c:v>
                </c:pt>
                <c:pt idx="259">
                  <c:v>0</c:v>
                </c:pt>
                <c:pt idx="260">
                  <c:v>0</c:v>
                </c:pt>
                <c:pt idx="261">
                  <c:v>2</c:v>
                </c:pt>
                <c:pt idx="262">
                  <c:v>5</c:v>
                </c:pt>
                <c:pt idx="263">
                  <c:v>0</c:v>
                </c:pt>
                <c:pt idx="264">
                  <c:v>3</c:v>
                </c:pt>
                <c:pt idx="265">
                  <c:v>4</c:v>
                </c:pt>
                <c:pt idx="266">
                  <c:v>2</c:v>
                </c:pt>
                <c:pt idx="267">
                  <c:v>2</c:v>
                </c:pt>
                <c:pt idx="268">
                  <c:v>3</c:v>
                </c:pt>
                <c:pt idx="269">
                  <c:v>1</c:v>
                </c:pt>
                <c:pt idx="270">
                  <c:v>4</c:v>
                </c:pt>
                <c:pt idx="271">
                  <c:v>5</c:v>
                </c:pt>
                <c:pt idx="272">
                  <c:v>2</c:v>
                </c:pt>
                <c:pt idx="273">
                  <c:v>1</c:v>
                </c:pt>
                <c:pt idx="274">
                  <c:v>3</c:v>
                </c:pt>
                <c:pt idx="275">
                  <c:v>2</c:v>
                </c:pt>
                <c:pt idx="276">
                  <c:v>3</c:v>
                </c:pt>
                <c:pt idx="277">
                  <c:v>3</c:v>
                </c:pt>
                <c:pt idx="278">
                  <c:v>2</c:v>
                </c:pt>
                <c:pt idx="279">
                  <c:v>3</c:v>
                </c:pt>
                <c:pt idx="280">
                  <c:v>4</c:v>
                </c:pt>
                <c:pt idx="281">
                  <c:v>5</c:v>
                </c:pt>
                <c:pt idx="282">
                  <c:v>2</c:v>
                </c:pt>
                <c:pt idx="283">
                  <c:v>1</c:v>
                </c:pt>
                <c:pt idx="284">
                  <c:v>3</c:v>
                </c:pt>
                <c:pt idx="285">
                  <c:v>2</c:v>
                </c:pt>
                <c:pt idx="286">
                  <c:v>4</c:v>
                </c:pt>
                <c:pt idx="287">
                  <c:v>6</c:v>
                </c:pt>
                <c:pt idx="288">
                  <c:v>3</c:v>
                </c:pt>
                <c:pt idx="289">
                  <c:v>2</c:v>
                </c:pt>
                <c:pt idx="290">
                  <c:v>5</c:v>
                </c:pt>
                <c:pt idx="291">
                  <c:v>2</c:v>
                </c:pt>
                <c:pt idx="292">
                  <c:v>1</c:v>
                </c:pt>
                <c:pt idx="293">
                  <c:v>5</c:v>
                </c:pt>
              </c:numCache>
            </c:numRef>
          </c:xVal>
          <c:yVal>
            <c:numRef>
              <c:f>'Q6'!$C$2:$C$295</c:f>
              <c:numCache>
                <c:formatCode>General</c:formatCode>
                <c:ptCount val="294"/>
                <c:pt idx="0">
                  <c:v>1</c:v>
                </c:pt>
                <c:pt idx="1">
                  <c:v>3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3</c:v>
                </c:pt>
                <c:pt idx="10">
                  <c:v>2</c:v>
                </c:pt>
                <c:pt idx="11">
                  <c:v>3</c:v>
                </c:pt>
                <c:pt idx="12">
                  <c:v>1</c:v>
                </c:pt>
                <c:pt idx="13">
                  <c:v>3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3</c:v>
                </c:pt>
                <c:pt idx="18">
                  <c:v>1</c:v>
                </c:pt>
                <c:pt idx="19">
                  <c:v>3</c:v>
                </c:pt>
                <c:pt idx="20">
                  <c:v>3</c:v>
                </c:pt>
                <c:pt idx="21">
                  <c:v>1</c:v>
                </c:pt>
                <c:pt idx="22">
                  <c:v>1</c:v>
                </c:pt>
                <c:pt idx="23">
                  <c:v>3</c:v>
                </c:pt>
                <c:pt idx="24">
                  <c:v>2</c:v>
                </c:pt>
                <c:pt idx="25">
                  <c:v>3</c:v>
                </c:pt>
                <c:pt idx="26">
                  <c:v>2</c:v>
                </c:pt>
                <c:pt idx="27">
                  <c:v>1</c:v>
                </c:pt>
                <c:pt idx="28">
                  <c:v>2</c:v>
                </c:pt>
                <c:pt idx="29">
                  <c:v>3</c:v>
                </c:pt>
                <c:pt idx="30">
                  <c:v>2</c:v>
                </c:pt>
                <c:pt idx="31">
                  <c:v>2</c:v>
                </c:pt>
                <c:pt idx="32">
                  <c:v>3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3</c:v>
                </c:pt>
                <c:pt idx="38">
                  <c:v>1</c:v>
                </c:pt>
                <c:pt idx="39">
                  <c:v>2</c:v>
                </c:pt>
                <c:pt idx="40">
                  <c:v>3</c:v>
                </c:pt>
                <c:pt idx="41">
                  <c:v>2</c:v>
                </c:pt>
                <c:pt idx="42">
                  <c:v>2</c:v>
                </c:pt>
                <c:pt idx="43">
                  <c:v>1</c:v>
                </c:pt>
                <c:pt idx="44">
                  <c:v>2</c:v>
                </c:pt>
                <c:pt idx="45">
                  <c:v>1</c:v>
                </c:pt>
                <c:pt idx="46">
                  <c:v>1</c:v>
                </c:pt>
                <c:pt idx="47">
                  <c:v>2</c:v>
                </c:pt>
                <c:pt idx="48">
                  <c:v>3</c:v>
                </c:pt>
                <c:pt idx="49">
                  <c:v>2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2</c:v>
                </c:pt>
                <c:pt idx="55">
                  <c:v>2</c:v>
                </c:pt>
                <c:pt idx="56">
                  <c:v>1</c:v>
                </c:pt>
                <c:pt idx="57">
                  <c:v>2</c:v>
                </c:pt>
                <c:pt idx="58">
                  <c:v>1</c:v>
                </c:pt>
                <c:pt idx="59">
                  <c:v>3</c:v>
                </c:pt>
                <c:pt idx="60">
                  <c:v>2</c:v>
                </c:pt>
                <c:pt idx="61">
                  <c:v>1</c:v>
                </c:pt>
                <c:pt idx="62">
                  <c:v>3</c:v>
                </c:pt>
                <c:pt idx="63">
                  <c:v>3</c:v>
                </c:pt>
                <c:pt idx="64">
                  <c:v>1</c:v>
                </c:pt>
                <c:pt idx="65">
                  <c:v>2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2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2</c:v>
                </c:pt>
                <c:pt idx="77">
                  <c:v>1</c:v>
                </c:pt>
                <c:pt idx="78">
                  <c:v>2</c:v>
                </c:pt>
                <c:pt idx="79">
                  <c:v>3</c:v>
                </c:pt>
                <c:pt idx="80">
                  <c:v>2</c:v>
                </c:pt>
                <c:pt idx="81">
                  <c:v>1</c:v>
                </c:pt>
                <c:pt idx="82">
                  <c:v>3</c:v>
                </c:pt>
                <c:pt idx="83">
                  <c:v>2</c:v>
                </c:pt>
                <c:pt idx="84">
                  <c:v>3</c:v>
                </c:pt>
                <c:pt idx="85">
                  <c:v>3</c:v>
                </c:pt>
                <c:pt idx="86">
                  <c:v>2</c:v>
                </c:pt>
                <c:pt idx="87">
                  <c:v>1</c:v>
                </c:pt>
                <c:pt idx="88">
                  <c:v>2</c:v>
                </c:pt>
                <c:pt idx="89">
                  <c:v>2</c:v>
                </c:pt>
                <c:pt idx="90">
                  <c:v>1</c:v>
                </c:pt>
                <c:pt idx="91">
                  <c:v>1</c:v>
                </c:pt>
                <c:pt idx="92">
                  <c:v>3</c:v>
                </c:pt>
                <c:pt idx="93">
                  <c:v>2</c:v>
                </c:pt>
                <c:pt idx="94">
                  <c:v>1</c:v>
                </c:pt>
                <c:pt idx="95">
                  <c:v>1</c:v>
                </c:pt>
                <c:pt idx="96">
                  <c:v>2</c:v>
                </c:pt>
                <c:pt idx="97">
                  <c:v>3</c:v>
                </c:pt>
                <c:pt idx="98">
                  <c:v>3</c:v>
                </c:pt>
                <c:pt idx="99">
                  <c:v>1</c:v>
                </c:pt>
                <c:pt idx="100">
                  <c:v>1</c:v>
                </c:pt>
                <c:pt idx="101">
                  <c:v>3</c:v>
                </c:pt>
                <c:pt idx="102">
                  <c:v>1</c:v>
                </c:pt>
                <c:pt idx="103">
                  <c:v>1</c:v>
                </c:pt>
                <c:pt idx="104">
                  <c:v>2</c:v>
                </c:pt>
                <c:pt idx="105">
                  <c:v>1</c:v>
                </c:pt>
                <c:pt idx="106">
                  <c:v>3</c:v>
                </c:pt>
                <c:pt idx="107">
                  <c:v>1</c:v>
                </c:pt>
                <c:pt idx="108">
                  <c:v>3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2</c:v>
                </c:pt>
                <c:pt idx="113">
                  <c:v>1</c:v>
                </c:pt>
                <c:pt idx="114">
                  <c:v>1</c:v>
                </c:pt>
                <c:pt idx="115">
                  <c:v>2</c:v>
                </c:pt>
                <c:pt idx="116">
                  <c:v>2</c:v>
                </c:pt>
                <c:pt idx="117">
                  <c:v>1</c:v>
                </c:pt>
                <c:pt idx="118">
                  <c:v>2</c:v>
                </c:pt>
                <c:pt idx="119">
                  <c:v>3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1</c:v>
                </c:pt>
                <c:pt idx="125">
                  <c:v>1</c:v>
                </c:pt>
                <c:pt idx="126">
                  <c:v>3</c:v>
                </c:pt>
                <c:pt idx="127">
                  <c:v>1</c:v>
                </c:pt>
                <c:pt idx="128">
                  <c:v>2</c:v>
                </c:pt>
                <c:pt idx="129">
                  <c:v>3</c:v>
                </c:pt>
                <c:pt idx="130">
                  <c:v>2</c:v>
                </c:pt>
                <c:pt idx="131">
                  <c:v>2</c:v>
                </c:pt>
                <c:pt idx="132">
                  <c:v>3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3</c:v>
                </c:pt>
                <c:pt idx="137">
                  <c:v>3</c:v>
                </c:pt>
                <c:pt idx="138">
                  <c:v>1</c:v>
                </c:pt>
                <c:pt idx="139">
                  <c:v>2</c:v>
                </c:pt>
                <c:pt idx="140">
                  <c:v>3</c:v>
                </c:pt>
                <c:pt idx="141">
                  <c:v>3</c:v>
                </c:pt>
                <c:pt idx="142">
                  <c:v>1</c:v>
                </c:pt>
                <c:pt idx="143">
                  <c:v>1</c:v>
                </c:pt>
                <c:pt idx="144">
                  <c:v>2</c:v>
                </c:pt>
                <c:pt idx="145">
                  <c:v>2</c:v>
                </c:pt>
                <c:pt idx="146">
                  <c:v>1</c:v>
                </c:pt>
                <c:pt idx="147">
                  <c:v>2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3</c:v>
                </c:pt>
                <c:pt idx="152">
                  <c:v>3</c:v>
                </c:pt>
                <c:pt idx="153">
                  <c:v>2</c:v>
                </c:pt>
                <c:pt idx="154">
                  <c:v>2</c:v>
                </c:pt>
                <c:pt idx="155">
                  <c:v>3</c:v>
                </c:pt>
                <c:pt idx="156">
                  <c:v>1</c:v>
                </c:pt>
                <c:pt idx="157">
                  <c:v>1</c:v>
                </c:pt>
                <c:pt idx="158">
                  <c:v>3</c:v>
                </c:pt>
                <c:pt idx="159">
                  <c:v>3</c:v>
                </c:pt>
                <c:pt idx="160">
                  <c:v>3</c:v>
                </c:pt>
                <c:pt idx="161">
                  <c:v>1</c:v>
                </c:pt>
                <c:pt idx="162">
                  <c:v>2</c:v>
                </c:pt>
                <c:pt idx="163">
                  <c:v>1</c:v>
                </c:pt>
                <c:pt idx="164">
                  <c:v>3</c:v>
                </c:pt>
                <c:pt idx="165">
                  <c:v>3</c:v>
                </c:pt>
                <c:pt idx="166">
                  <c:v>2</c:v>
                </c:pt>
                <c:pt idx="167">
                  <c:v>1</c:v>
                </c:pt>
                <c:pt idx="168">
                  <c:v>3</c:v>
                </c:pt>
                <c:pt idx="169">
                  <c:v>3</c:v>
                </c:pt>
                <c:pt idx="170">
                  <c:v>3</c:v>
                </c:pt>
                <c:pt idx="171">
                  <c:v>2</c:v>
                </c:pt>
                <c:pt idx="172">
                  <c:v>2</c:v>
                </c:pt>
                <c:pt idx="173">
                  <c:v>1</c:v>
                </c:pt>
                <c:pt idx="174">
                  <c:v>2</c:v>
                </c:pt>
                <c:pt idx="175">
                  <c:v>1</c:v>
                </c:pt>
                <c:pt idx="176">
                  <c:v>2</c:v>
                </c:pt>
                <c:pt idx="177">
                  <c:v>3</c:v>
                </c:pt>
                <c:pt idx="178">
                  <c:v>3</c:v>
                </c:pt>
                <c:pt idx="179">
                  <c:v>1</c:v>
                </c:pt>
                <c:pt idx="180">
                  <c:v>2</c:v>
                </c:pt>
                <c:pt idx="181">
                  <c:v>2</c:v>
                </c:pt>
                <c:pt idx="182">
                  <c:v>1</c:v>
                </c:pt>
                <c:pt idx="183">
                  <c:v>3</c:v>
                </c:pt>
                <c:pt idx="184">
                  <c:v>2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3</c:v>
                </c:pt>
                <c:pt idx="189">
                  <c:v>1</c:v>
                </c:pt>
                <c:pt idx="190">
                  <c:v>3</c:v>
                </c:pt>
                <c:pt idx="191">
                  <c:v>2</c:v>
                </c:pt>
                <c:pt idx="192">
                  <c:v>2</c:v>
                </c:pt>
                <c:pt idx="193">
                  <c:v>1</c:v>
                </c:pt>
                <c:pt idx="194">
                  <c:v>3</c:v>
                </c:pt>
                <c:pt idx="195">
                  <c:v>1</c:v>
                </c:pt>
                <c:pt idx="196">
                  <c:v>2</c:v>
                </c:pt>
                <c:pt idx="197">
                  <c:v>2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3</c:v>
                </c:pt>
                <c:pt idx="202">
                  <c:v>3</c:v>
                </c:pt>
                <c:pt idx="203">
                  <c:v>2</c:v>
                </c:pt>
                <c:pt idx="204">
                  <c:v>1</c:v>
                </c:pt>
                <c:pt idx="205">
                  <c:v>3</c:v>
                </c:pt>
                <c:pt idx="206">
                  <c:v>2</c:v>
                </c:pt>
                <c:pt idx="207">
                  <c:v>2</c:v>
                </c:pt>
                <c:pt idx="208">
                  <c:v>2</c:v>
                </c:pt>
                <c:pt idx="209">
                  <c:v>2</c:v>
                </c:pt>
                <c:pt idx="210">
                  <c:v>3</c:v>
                </c:pt>
                <c:pt idx="211">
                  <c:v>3</c:v>
                </c:pt>
                <c:pt idx="212">
                  <c:v>2</c:v>
                </c:pt>
                <c:pt idx="213">
                  <c:v>1</c:v>
                </c:pt>
                <c:pt idx="214">
                  <c:v>3</c:v>
                </c:pt>
                <c:pt idx="215">
                  <c:v>1</c:v>
                </c:pt>
                <c:pt idx="216">
                  <c:v>3</c:v>
                </c:pt>
                <c:pt idx="217">
                  <c:v>3</c:v>
                </c:pt>
                <c:pt idx="218">
                  <c:v>2</c:v>
                </c:pt>
                <c:pt idx="219">
                  <c:v>3</c:v>
                </c:pt>
                <c:pt idx="220">
                  <c:v>2</c:v>
                </c:pt>
                <c:pt idx="221">
                  <c:v>3</c:v>
                </c:pt>
                <c:pt idx="222">
                  <c:v>1</c:v>
                </c:pt>
                <c:pt idx="223">
                  <c:v>3</c:v>
                </c:pt>
                <c:pt idx="224">
                  <c:v>2</c:v>
                </c:pt>
                <c:pt idx="225">
                  <c:v>3</c:v>
                </c:pt>
                <c:pt idx="226">
                  <c:v>2</c:v>
                </c:pt>
                <c:pt idx="227">
                  <c:v>3</c:v>
                </c:pt>
                <c:pt idx="228">
                  <c:v>1</c:v>
                </c:pt>
                <c:pt idx="229">
                  <c:v>2</c:v>
                </c:pt>
                <c:pt idx="230">
                  <c:v>3</c:v>
                </c:pt>
                <c:pt idx="231">
                  <c:v>1</c:v>
                </c:pt>
                <c:pt idx="232">
                  <c:v>2</c:v>
                </c:pt>
                <c:pt idx="233">
                  <c:v>3</c:v>
                </c:pt>
                <c:pt idx="234">
                  <c:v>1</c:v>
                </c:pt>
                <c:pt idx="235">
                  <c:v>2</c:v>
                </c:pt>
                <c:pt idx="236">
                  <c:v>3</c:v>
                </c:pt>
                <c:pt idx="237">
                  <c:v>3</c:v>
                </c:pt>
                <c:pt idx="238">
                  <c:v>3</c:v>
                </c:pt>
                <c:pt idx="239">
                  <c:v>3</c:v>
                </c:pt>
                <c:pt idx="240">
                  <c:v>2</c:v>
                </c:pt>
                <c:pt idx="241">
                  <c:v>1</c:v>
                </c:pt>
                <c:pt idx="242">
                  <c:v>1</c:v>
                </c:pt>
                <c:pt idx="243">
                  <c:v>2</c:v>
                </c:pt>
                <c:pt idx="244">
                  <c:v>3</c:v>
                </c:pt>
                <c:pt idx="245">
                  <c:v>1</c:v>
                </c:pt>
                <c:pt idx="246">
                  <c:v>3</c:v>
                </c:pt>
                <c:pt idx="247">
                  <c:v>1</c:v>
                </c:pt>
                <c:pt idx="248">
                  <c:v>2</c:v>
                </c:pt>
                <c:pt idx="249">
                  <c:v>2</c:v>
                </c:pt>
                <c:pt idx="250">
                  <c:v>2</c:v>
                </c:pt>
                <c:pt idx="251">
                  <c:v>2</c:v>
                </c:pt>
                <c:pt idx="252">
                  <c:v>3</c:v>
                </c:pt>
                <c:pt idx="253">
                  <c:v>1</c:v>
                </c:pt>
                <c:pt idx="254">
                  <c:v>2</c:v>
                </c:pt>
                <c:pt idx="255">
                  <c:v>2</c:v>
                </c:pt>
                <c:pt idx="256">
                  <c:v>1</c:v>
                </c:pt>
                <c:pt idx="257">
                  <c:v>1</c:v>
                </c:pt>
                <c:pt idx="258">
                  <c:v>2</c:v>
                </c:pt>
                <c:pt idx="259">
                  <c:v>2</c:v>
                </c:pt>
                <c:pt idx="260">
                  <c:v>3</c:v>
                </c:pt>
                <c:pt idx="261">
                  <c:v>1</c:v>
                </c:pt>
                <c:pt idx="262">
                  <c:v>3</c:v>
                </c:pt>
                <c:pt idx="263">
                  <c:v>3</c:v>
                </c:pt>
                <c:pt idx="264">
                  <c:v>1</c:v>
                </c:pt>
                <c:pt idx="265">
                  <c:v>3</c:v>
                </c:pt>
                <c:pt idx="266">
                  <c:v>1</c:v>
                </c:pt>
                <c:pt idx="267">
                  <c:v>1</c:v>
                </c:pt>
                <c:pt idx="268">
                  <c:v>3</c:v>
                </c:pt>
                <c:pt idx="269">
                  <c:v>2</c:v>
                </c:pt>
                <c:pt idx="270">
                  <c:v>3</c:v>
                </c:pt>
                <c:pt idx="271">
                  <c:v>2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2</c:v>
                </c:pt>
                <c:pt idx="277">
                  <c:v>1</c:v>
                </c:pt>
                <c:pt idx="278">
                  <c:v>2</c:v>
                </c:pt>
                <c:pt idx="279">
                  <c:v>2</c:v>
                </c:pt>
                <c:pt idx="280">
                  <c:v>3</c:v>
                </c:pt>
                <c:pt idx="281">
                  <c:v>2</c:v>
                </c:pt>
                <c:pt idx="282">
                  <c:v>2</c:v>
                </c:pt>
                <c:pt idx="283">
                  <c:v>3</c:v>
                </c:pt>
                <c:pt idx="284">
                  <c:v>2</c:v>
                </c:pt>
                <c:pt idx="285">
                  <c:v>2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2</c:v>
                </c:pt>
                <c:pt idx="290">
                  <c:v>2</c:v>
                </c:pt>
                <c:pt idx="291">
                  <c:v>1</c:v>
                </c:pt>
                <c:pt idx="292">
                  <c:v>2</c:v>
                </c:pt>
                <c:pt idx="293">
                  <c:v>1</c:v>
                </c:pt>
              </c:numCache>
            </c:numRef>
          </c:yVal>
          <c:bubbleSize>
            <c:numRef>
              <c:f>'Q6'!$D$2:$D$295</c:f>
              <c:numCache>
                <c:formatCode>General</c:formatCode>
                <c:ptCount val="294"/>
                <c:pt idx="0">
                  <c:v>243</c:v>
                </c:pt>
                <c:pt idx="1">
                  <c:v>77</c:v>
                </c:pt>
                <c:pt idx="2">
                  <c:v>285</c:v>
                </c:pt>
                <c:pt idx="3">
                  <c:v>373</c:v>
                </c:pt>
                <c:pt idx="4">
                  <c:v>355</c:v>
                </c:pt>
                <c:pt idx="5">
                  <c:v>116</c:v>
                </c:pt>
                <c:pt idx="6">
                  <c:v>72</c:v>
                </c:pt>
                <c:pt idx="7">
                  <c:v>290</c:v>
                </c:pt>
                <c:pt idx="8">
                  <c:v>157</c:v>
                </c:pt>
                <c:pt idx="9">
                  <c:v>397</c:v>
                </c:pt>
                <c:pt idx="10">
                  <c:v>97</c:v>
                </c:pt>
                <c:pt idx="11">
                  <c:v>270</c:v>
                </c:pt>
                <c:pt idx="12">
                  <c:v>198</c:v>
                </c:pt>
                <c:pt idx="13">
                  <c:v>254</c:v>
                </c:pt>
                <c:pt idx="14">
                  <c:v>303</c:v>
                </c:pt>
                <c:pt idx="15">
                  <c:v>71</c:v>
                </c:pt>
                <c:pt idx="16">
                  <c:v>389</c:v>
                </c:pt>
                <c:pt idx="17">
                  <c:v>390</c:v>
                </c:pt>
                <c:pt idx="18">
                  <c:v>127</c:v>
                </c:pt>
                <c:pt idx="19">
                  <c:v>94</c:v>
                </c:pt>
                <c:pt idx="20">
                  <c:v>322</c:v>
                </c:pt>
                <c:pt idx="21">
                  <c:v>272</c:v>
                </c:pt>
                <c:pt idx="22">
                  <c:v>316</c:v>
                </c:pt>
                <c:pt idx="23">
                  <c:v>345</c:v>
                </c:pt>
                <c:pt idx="24">
                  <c:v>136</c:v>
                </c:pt>
                <c:pt idx="25">
                  <c:v>180</c:v>
                </c:pt>
                <c:pt idx="26">
                  <c:v>295</c:v>
                </c:pt>
                <c:pt idx="27">
                  <c:v>160</c:v>
                </c:pt>
                <c:pt idx="28">
                  <c:v>345</c:v>
                </c:pt>
                <c:pt idx="29">
                  <c:v>279</c:v>
                </c:pt>
                <c:pt idx="30">
                  <c:v>291</c:v>
                </c:pt>
                <c:pt idx="31">
                  <c:v>396</c:v>
                </c:pt>
                <c:pt idx="32">
                  <c:v>199</c:v>
                </c:pt>
                <c:pt idx="33">
                  <c:v>183</c:v>
                </c:pt>
                <c:pt idx="34">
                  <c:v>315</c:v>
                </c:pt>
                <c:pt idx="35">
                  <c:v>181</c:v>
                </c:pt>
                <c:pt idx="36">
                  <c:v>81</c:v>
                </c:pt>
                <c:pt idx="37">
                  <c:v>156</c:v>
                </c:pt>
                <c:pt idx="38">
                  <c:v>297</c:v>
                </c:pt>
                <c:pt idx="39">
                  <c:v>212</c:v>
                </c:pt>
                <c:pt idx="40">
                  <c:v>358</c:v>
                </c:pt>
                <c:pt idx="41">
                  <c:v>96</c:v>
                </c:pt>
                <c:pt idx="42">
                  <c:v>246</c:v>
                </c:pt>
                <c:pt idx="43">
                  <c:v>62</c:v>
                </c:pt>
                <c:pt idx="44">
                  <c:v>42</c:v>
                </c:pt>
                <c:pt idx="45">
                  <c:v>53</c:v>
                </c:pt>
                <c:pt idx="46">
                  <c:v>69</c:v>
                </c:pt>
                <c:pt idx="47">
                  <c:v>179</c:v>
                </c:pt>
                <c:pt idx="48">
                  <c:v>161</c:v>
                </c:pt>
                <c:pt idx="49">
                  <c:v>344</c:v>
                </c:pt>
                <c:pt idx="50">
                  <c:v>325</c:v>
                </c:pt>
                <c:pt idx="51">
                  <c:v>273</c:v>
                </c:pt>
                <c:pt idx="52">
                  <c:v>87</c:v>
                </c:pt>
                <c:pt idx="53">
                  <c:v>46</c:v>
                </c:pt>
                <c:pt idx="54">
                  <c:v>311</c:v>
                </c:pt>
                <c:pt idx="55">
                  <c:v>285</c:v>
                </c:pt>
                <c:pt idx="56">
                  <c:v>316</c:v>
                </c:pt>
                <c:pt idx="57">
                  <c:v>67</c:v>
                </c:pt>
                <c:pt idx="58">
                  <c:v>83</c:v>
                </c:pt>
                <c:pt idx="59">
                  <c:v>392</c:v>
                </c:pt>
                <c:pt idx="60">
                  <c:v>330</c:v>
                </c:pt>
                <c:pt idx="61">
                  <c:v>311</c:v>
                </c:pt>
                <c:pt idx="62">
                  <c:v>391</c:v>
                </c:pt>
                <c:pt idx="63">
                  <c:v>202</c:v>
                </c:pt>
                <c:pt idx="64">
                  <c:v>367</c:v>
                </c:pt>
                <c:pt idx="65">
                  <c:v>329</c:v>
                </c:pt>
                <c:pt idx="66">
                  <c:v>167</c:v>
                </c:pt>
                <c:pt idx="67">
                  <c:v>162</c:v>
                </c:pt>
                <c:pt idx="68">
                  <c:v>266</c:v>
                </c:pt>
                <c:pt idx="69">
                  <c:v>89</c:v>
                </c:pt>
                <c:pt idx="70">
                  <c:v>280</c:v>
                </c:pt>
                <c:pt idx="71">
                  <c:v>86</c:v>
                </c:pt>
                <c:pt idx="72">
                  <c:v>163</c:v>
                </c:pt>
                <c:pt idx="73">
                  <c:v>368</c:v>
                </c:pt>
                <c:pt idx="74">
                  <c:v>342</c:v>
                </c:pt>
                <c:pt idx="75">
                  <c:v>221</c:v>
                </c:pt>
                <c:pt idx="76">
                  <c:v>192</c:v>
                </c:pt>
                <c:pt idx="77">
                  <c:v>222</c:v>
                </c:pt>
                <c:pt idx="78">
                  <c:v>161</c:v>
                </c:pt>
                <c:pt idx="79">
                  <c:v>195</c:v>
                </c:pt>
                <c:pt idx="80">
                  <c:v>267</c:v>
                </c:pt>
                <c:pt idx="81">
                  <c:v>192</c:v>
                </c:pt>
                <c:pt idx="82">
                  <c:v>272</c:v>
                </c:pt>
                <c:pt idx="83">
                  <c:v>312</c:v>
                </c:pt>
                <c:pt idx="84">
                  <c:v>265</c:v>
                </c:pt>
                <c:pt idx="85">
                  <c:v>381</c:v>
                </c:pt>
                <c:pt idx="86">
                  <c:v>249</c:v>
                </c:pt>
                <c:pt idx="87">
                  <c:v>68</c:v>
                </c:pt>
                <c:pt idx="88">
                  <c:v>264</c:v>
                </c:pt>
                <c:pt idx="89">
                  <c:v>80</c:v>
                </c:pt>
                <c:pt idx="90">
                  <c:v>397</c:v>
                </c:pt>
                <c:pt idx="91">
                  <c:v>144</c:v>
                </c:pt>
                <c:pt idx="92">
                  <c:v>239</c:v>
                </c:pt>
                <c:pt idx="93">
                  <c:v>57</c:v>
                </c:pt>
                <c:pt idx="94">
                  <c:v>372</c:v>
                </c:pt>
                <c:pt idx="95">
                  <c:v>71</c:v>
                </c:pt>
                <c:pt idx="96">
                  <c:v>280</c:v>
                </c:pt>
                <c:pt idx="97">
                  <c:v>104</c:v>
                </c:pt>
                <c:pt idx="98">
                  <c:v>235</c:v>
                </c:pt>
                <c:pt idx="99">
                  <c:v>72</c:v>
                </c:pt>
                <c:pt idx="100">
                  <c:v>264</c:v>
                </c:pt>
                <c:pt idx="101">
                  <c:v>262</c:v>
                </c:pt>
                <c:pt idx="102">
                  <c:v>64</c:v>
                </c:pt>
                <c:pt idx="103">
                  <c:v>62</c:v>
                </c:pt>
                <c:pt idx="104">
                  <c:v>142</c:v>
                </c:pt>
                <c:pt idx="105">
                  <c:v>371</c:v>
                </c:pt>
                <c:pt idx="106">
                  <c:v>111</c:v>
                </c:pt>
                <c:pt idx="107">
                  <c:v>46</c:v>
                </c:pt>
                <c:pt idx="108">
                  <c:v>177</c:v>
                </c:pt>
                <c:pt idx="109">
                  <c:v>397</c:v>
                </c:pt>
                <c:pt idx="110">
                  <c:v>114</c:v>
                </c:pt>
                <c:pt idx="111">
                  <c:v>253</c:v>
                </c:pt>
                <c:pt idx="112">
                  <c:v>59</c:v>
                </c:pt>
                <c:pt idx="113">
                  <c:v>140</c:v>
                </c:pt>
                <c:pt idx="114">
                  <c:v>141</c:v>
                </c:pt>
                <c:pt idx="115">
                  <c:v>123</c:v>
                </c:pt>
                <c:pt idx="116">
                  <c:v>333</c:v>
                </c:pt>
                <c:pt idx="117">
                  <c:v>252</c:v>
                </c:pt>
                <c:pt idx="118">
                  <c:v>304</c:v>
                </c:pt>
                <c:pt idx="119">
                  <c:v>324</c:v>
                </c:pt>
                <c:pt idx="120">
                  <c:v>216</c:v>
                </c:pt>
                <c:pt idx="121">
                  <c:v>140</c:v>
                </c:pt>
                <c:pt idx="122">
                  <c:v>162</c:v>
                </c:pt>
                <c:pt idx="123">
                  <c:v>123</c:v>
                </c:pt>
                <c:pt idx="124">
                  <c:v>211</c:v>
                </c:pt>
                <c:pt idx="125">
                  <c:v>310</c:v>
                </c:pt>
                <c:pt idx="126">
                  <c:v>43</c:v>
                </c:pt>
                <c:pt idx="127">
                  <c:v>236</c:v>
                </c:pt>
                <c:pt idx="128">
                  <c:v>299</c:v>
                </c:pt>
                <c:pt idx="129">
                  <c:v>283</c:v>
                </c:pt>
                <c:pt idx="130">
                  <c:v>304</c:v>
                </c:pt>
                <c:pt idx="131">
                  <c:v>93</c:v>
                </c:pt>
                <c:pt idx="132">
                  <c:v>225</c:v>
                </c:pt>
                <c:pt idx="133">
                  <c:v>400</c:v>
                </c:pt>
                <c:pt idx="134">
                  <c:v>238</c:v>
                </c:pt>
                <c:pt idx="135">
                  <c:v>280</c:v>
                </c:pt>
                <c:pt idx="136">
                  <c:v>346</c:v>
                </c:pt>
                <c:pt idx="137">
                  <c:v>60</c:v>
                </c:pt>
                <c:pt idx="138">
                  <c:v>366</c:v>
                </c:pt>
                <c:pt idx="139">
                  <c:v>216</c:v>
                </c:pt>
                <c:pt idx="140">
                  <c:v>111</c:v>
                </c:pt>
                <c:pt idx="141">
                  <c:v>62</c:v>
                </c:pt>
                <c:pt idx="142">
                  <c:v>212</c:v>
                </c:pt>
                <c:pt idx="143">
                  <c:v>155</c:v>
                </c:pt>
                <c:pt idx="144">
                  <c:v>227</c:v>
                </c:pt>
                <c:pt idx="145">
                  <c:v>183</c:v>
                </c:pt>
                <c:pt idx="146">
                  <c:v>340</c:v>
                </c:pt>
                <c:pt idx="147">
                  <c:v>308</c:v>
                </c:pt>
                <c:pt idx="148">
                  <c:v>205</c:v>
                </c:pt>
                <c:pt idx="149">
                  <c:v>235</c:v>
                </c:pt>
                <c:pt idx="150">
                  <c:v>336</c:v>
                </c:pt>
                <c:pt idx="151">
                  <c:v>66</c:v>
                </c:pt>
                <c:pt idx="152">
                  <c:v>394</c:v>
                </c:pt>
                <c:pt idx="153">
                  <c:v>335</c:v>
                </c:pt>
                <c:pt idx="154">
                  <c:v>240</c:v>
                </c:pt>
                <c:pt idx="155">
                  <c:v>44</c:v>
                </c:pt>
                <c:pt idx="156">
                  <c:v>244</c:v>
                </c:pt>
                <c:pt idx="157">
                  <c:v>259</c:v>
                </c:pt>
                <c:pt idx="158">
                  <c:v>146</c:v>
                </c:pt>
                <c:pt idx="159">
                  <c:v>249</c:v>
                </c:pt>
                <c:pt idx="160">
                  <c:v>173</c:v>
                </c:pt>
                <c:pt idx="161">
                  <c:v>278</c:v>
                </c:pt>
                <c:pt idx="162">
                  <c:v>160</c:v>
                </c:pt>
                <c:pt idx="163">
                  <c:v>224</c:v>
                </c:pt>
                <c:pt idx="164">
                  <c:v>278</c:v>
                </c:pt>
                <c:pt idx="165">
                  <c:v>335</c:v>
                </c:pt>
                <c:pt idx="166">
                  <c:v>387</c:v>
                </c:pt>
                <c:pt idx="167">
                  <c:v>342</c:v>
                </c:pt>
                <c:pt idx="168">
                  <c:v>400</c:v>
                </c:pt>
                <c:pt idx="169">
                  <c:v>356</c:v>
                </c:pt>
                <c:pt idx="170">
                  <c:v>352</c:v>
                </c:pt>
                <c:pt idx="171">
                  <c:v>161</c:v>
                </c:pt>
                <c:pt idx="172">
                  <c:v>57</c:v>
                </c:pt>
                <c:pt idx="173">
                  <c:v>126</c:v>
                </c:pt>
                <c:pt idx="174">
                  <c:v>79</c:v>
                </c:pt>
                <c:pt idx="175">
                  <c:v>125</c:v>
                </c:pt>
                <c:pt idx="176">
                  <c:v>398</c:v>
                </c:pt>
                <c:pt idx="177">
                  <c:v>310</c:v>
                </c:pt>
                <c:pt idx="178">
                  <c:v>196</c:v>
                </c:pt>
                <c:pt idx="179">
                  <c:v>55</c:v>
                </c:pt>
                <c:pt idx="180">
                  <c:v>227</c:v>
                </c:pt>
                <c:pt idx="181">
                  <c:v>391</c:v>
                </c:pt>
                <c:pt idx="182">
                  <c:v>49</c:v>
                </c:pt>
                <c:pt idx="183">
                  <c:v>130</c:v>
                </c:pt>
                <c:pt idx="184">
                  <c:v>280</c:v>
                </c:pt>
                <c:pt idx="185">
                  <c:v>303</c:v>
                </c:pt>
                <c:pt idx="186">
                  <c:v>196</c:v>
                </c:pt>
                <c:pt idx="187">
                  <c:v>99</c:v>
                </c:pt>
                <c:pt idx="188">
                  <c:v>216</c:v>
                </c:pt>
                <c:pt idx="189">
                  <c:v>396</c:v>
                </c:pt>
                <c:pt idx="190">
                  <c:v>93</c:v>
                </c:pt>
                <c:pt idx="191">
                  <c:v>105</c:v>
                </c:pt>
                <c:pt idx="192">
                  <c:v>116</c:v>
                </c:pt>
                <c:pt idx="193">
                  <c:v>119</c:v>
                </c:pt>
                <c:pt idx="194">
                  <c:v>257</c:v>
                </c:pt>
                <c:pt idx="195">
                  <c:v>48</c:v>
                </c:pt>
                <c:pt idx="196">
                  <c:v>297</c:v>
                </c:pt>
                <c:pt idx="197">
                  <c:v>159</c:v>
                </c:pt>
                <c:pt idx="198">
                  <c:v>132</c:v>
                </c:pt>
                <c:pt idx="199">
                  <c:v>104</c:v>
                </c:pt>
                <c:pt idx="200">
                  <c:v>149</c:v>
                </c:pt>
                <c:pt idx="201">
                  <c:v>245</c:v>
                </c:pt>
                <c:pt idx="202">
                  <c:v>194</c:v>
                </c:pt>
                <c:pt idx="203">
                  <c:v>329</c:v>
                </c:pt>
                <c:pt idx="204">
                  <c:v>120</c:v>
                </c:pt>
                <c:pt idx="205">
                  <c:v>189</c:v>
                </c:pt>
                <c:pt idx="206">
                  <c:v>396</c:v>
                </c:pt>
                <c:pt idx="207">
                  <c:v>390</c:v>
                </c:pt>
                <c:pt idx="208">
                  <c:v>169</c:v>
                </c:pt>
                <c:pt idx="209">
                  <c:v>369</c:v>
                </c:pt>
                <c:pt idx="210">
                  <c:v>214</c:v>
                </c:pt>
                <c:pt idx="211">
                  <c:v>321</c:v>
                </c:pt>
                <c:pt idx="212">
                  <c:v>347</c:v>
                </c:pt>
                <c:pt idx="213">
                  <c:v>99</c:v>
                </c:pt>
                <c:pt idx="214">
                  <c:v>288</c:v>
                </c:pt>
                <c:pt idx="215">
                  <c:v>185</c:v>
                </c:pt>
                <c:pt idx="216">
                  <c:v>197</c:v>
                </c:pt>
                <c:pt idx="217">
                  <c:v>96</c:v>
                </c:pt>
                <c:pt idx="218">
                  <c:v>121</c:v>
                </c:pt>
                <c:pt idx="219">
                  <c:v>131</c:v>
                </c:pt>
                <c:pt idx="220">
                  <c:v>377</c:v>
                </c:pt>
                <c:pt idx="221">
                  <c:v>93</c:v>
                </c:pt>
                <c:pt idx="222">
                  <c:v>188</c:v>
                </c:pt>
                <c:pt idx="223">
                  <c:v>295</c:v>
                </c:pt>
                <c:pt idx="224">
                  <c:v>103</c:v>
                </c:pt>
                <c:pt idx="225">
                  <c:v>60</c:v>
                </c:pt>
                <c:pt idx="226">
                  <c:v>216</c:v>
                </c:pt>
                <c:pt idx="227">
                  <c:v>65</c:v>
                </c:pt>
                <c:pt idx="228">
                  <c:v>210</c:v>
                </c:pt>
                <c:pt idx="229">
                  <c:v>176</c:v>
                </c:pt>
                <c:pt idx="230">
                  <c:v>54</c:v>
                </c:pt>
                <c:pt idx="231">
                  <c:v>302</c:v>
                </c:pt>
                <c:pt idx="232">
                  <c:v>318</c:v>
                </c:pt>
                <c:pt idx="233">
                  <c:v>338</c:v>
                </c:pt>
                <c:pt idx="234">
                  <c:v>108</c:v>
                </c:pt>
                <c:pt idx="235">
                  <c:v>280</c:v>
                </c:pt>
                <c:pt idx="236">
                  <c:v>245</c:v>
                </c:pt>
                <c:pt idx="237">
                  <c:v>334</c:v>
                </c:pt>
                <c:pt idx="238">
                  <c:v>228</c:v>
                </c:pt>
                <c:pt idx="239">
                  <c:v>42</c:v>
                </c:pt>
                <c:pt idx="240">
                  <c:v>355</c:v>
                </c:pt>
                <c:pt idx="241">
                  <c:v>168</c:v>
                </c:pt>
                <c:pt idx="242">
                  <c:v>95</c:v>
                </c:pt>
                <c:pt idx="243">
                  <c:v>371</c:v>
                </c:pt>
                <c:pt idx="244">
                  <c:v>80</c:v>
                </c:pt>
                <c:pt idx="245">
                  <c:v>385</c:v>
                </c:pt>
                <c:pt idx="246">
                  <c:v>131</c:v>
                </c:pt>
                <c:pt idx="247">
                  <c:v>61</c:v>
                </c:pt>
                <c:pt idx="248">
                  <c:v>49</c:v>
                </c:pt>
                <c:pt idx="249">
                  <c:v>107</c:v>
                </c:pt>
                <c:pt idx="250">
                  <c:v>119</c:v>
                </c:pt>
                <c:pt idx="251">
                  <c:v>291</c:v>
                </c:pt>
                <c:pt idx="252">
                  <c:v>399</c:v>
                </c:pt>
                <c:pt idx="253">
                  <c:v>183</c:v>
                </c:pt>
                <c:pt idx="254">
                  <c:v>98</c:v>
                </c:pt>
                <c:pt idx="255">
                  <c:v>139</c:v>
                </c:pt>
                <c:pt idx="256">
                  <c:v>210</c:v>
                </c:pt>
                <c:pt idx="257">
                  <c:v>81</c:v>
                </c:pt>
                <c:pt idx="258">
                  <c:v>246</c:v>
                </c:pt>
                <c:pt idx="259">
                  <c:v>71</c:v>
                </c:pt>
                <c:pt idx="260">
                  <c:v>58</c:v>
                </c:pt>
                <c:pt idx="261">
                  <c:v>85</c:v>
                </c:pt>
                <c:pt idx="262">
                  <c:v>343</c:v>
                </c:pt>
                <c:pt idx="263">
                  <c:v>59</c:v>
                </c:pt>
                <c:pt idx="264">
                  <c:v>161</c:v>
                </c:pt>
                <c:pt idx="265">
                  <c:v>312</c:v>
                </c:pt>
                <c:pt idx="266">
                  <c:v>201</c:v>
                </c:pt>
                <c:pt idx="267">
                  <c:v>227</c:v>
                </c:pt>
                <c:pt idx="268">
                  <c:v>200</c:v>
                </c:pt>
                <c:pt idx="269">
                  <c:v>60</c:v>
                </c:pt>
                <c:pt idx="270">
                  <c:v>241</c:v>
                </c:pt>
                <c:pt idx="271">
                  <c:v>286</c:v>
                </c:pt>
                <c:pt idx="272">
                  <c:v>47</c:v>
                </c:pt>
                <c:pt idx="273">
                  <c:v>61</c:v>
                </c:pt>
                <c:pt idx="274">
                  <c:v>171</c:v>
                </c:pt>
                <c:pt idx="275">
                  <c:v>235</c:v>
                </c:pt>
                <c:pt idx="276">
                  <c:v>114</c:v>
                </c:pt>
                <c:pt idx="277">
                  <c:v>205</c:v>
                </c:pt>
                <c:pt idx="278">
                  <c:v>107</c:v>
                </c:pt>
                <c:pt idx="279">
                  <c:v>220</c:v>
                </c:pt>
                <c:pt idx="280">
                  <c:v>171</c:v>
                </c:pt>
                <c:pt idx="281">
                  <c:v>271</c:v>
                </c:pt>
                <c:pt idx="282">
                  <c:v>51</c:v>
                </c:pt>
                <c:pt idx="283">
                  <c:v>83</c:v>
                </c:pt>
                <c:pt idx="284">
                  <c:v>140</c:v>
                </c:pt>
                <c:pt idx="285">
                  <c:v>108</c:v>
                </c:pt>
                <c:pt idx="286">
                  <c:v>396</c:v>
                </c:pt>
                <c:pt idx="287">
                  <c:v>387</c:v>
                </c:pt>
                <c:pt idx="288">
                  <c:v>234</c:v>
                </c:pt>
                <c:pt idx="289">
                  <c:v>133</c:v>
                </c:pt>
                <c:pt idx="290">
                  <c:v>268</c:v>
                </c:pt>
                <c:pt idx="291">
                  <c:v>187</c:v>
                </c:pt>
                <c:pt idx="292">
                  <c:v>149</c:v>
                </c:pt>
                <c:pt idx="293">
                  <c:v>353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F9ED-4FCB-84A1-0FAFB0ABB9B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bubbleScale val="100"/>
        <c:showNegBubbles val="0"/>
        <c:axId val="947437728"/>
        <c:axId val="677761904"/>
      </c:bubbleChart>
      <c:valAx>
        <c:axId val="947437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Bedrooms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0000"/>
                <a:lumOff val="8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77761904"/>
        <c:crosses val="autoZero"/>
        <c:crossBetween val="midCat"/>
      </c:valAx>
      <c:valAx>
        <c:axId val="677761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Bathrooms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47437728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Box Plot of Property Prices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2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Box Plot of Property Prices</a:t>
          </a:r>
        </a:p>
      </cx:txPr>
    </cx:title>
    <cx:plotArea>
      <cx:plotAreaRegion>
        <cx:series layoutId="boxWhisker" uniqueId="{1ACB85CE-1A77-44DC-9D01-7B24E1A19B1C}">
          <cx:spPr>
            <a:ln>
              <a:solidFill>
                <a:schemeClr val="tx1">
                  <a:lumMod val="95000"/>
                  <a:lumOff val="5000"/>
                </a:schemeClr>
              </a:solidFill>
            </a:ln>
          </cx:spPr>
          <cx:dataId val="0"/>
          <cx:layoutPr>
            <cx:visibility meanLine="1" meanMarker="1" nonoutliers="0" outliers="1"/>
            <cx:statistics quartileMethod="exclusive"/>
          </cx:layoutPr>
        </cx:series>
      </cx:plotAreaRegion>
      <cx:axis id="0">
        <cx:catScaling gapWidth="1"/>
        <cx:title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endParaRPr lang="en-US" sz="9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</a:endParaRPr>
            </a:p>
          </cx:txPr>
        </cx:title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>
                    <a:latin typeface="Times New Roman" panose="02020603050405020304" pitchFamily="18" charset="0"/>
                    <a:ea typeface="Times New Roman" panose="02020603050405020304" pitchFamily="18" charset="0"/>
                    <a:cs typeface="Times New Roman" panose="02020603050405020304" pitchFamily="18" charset="0"/>
                  </a:defRPr>
                </a:pPr>
                <a:r>
                  <a:rPr lang="en-US" sz="12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Price</a:t>
                </a:r>
                <a:endPara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x:rich>
          </cx:tx>
        </cx:title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200"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US" sz="12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7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241539</xdr:colOff>
      <xdr:row>6</xdr:row>
      <xdr:rowOff>172528</xdr:rowOff>
    </xdr:from>
    <xdr:to>
      <xdr:col>18</xdr:col>
      <xdr:colOff>437073</xdr:colOff>
      <xdr:row>32</xdr:row>
      <xdr:rowOff>34505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7290395-7C7E-C31B-FE45-D33A8EED58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377151</xdr:colOff>
      <xdr:row>44</xdr:row>
      <xdr:rowOff>64417</xdr:rowOff>
    </xdr:from>
    <xdr:to>
      <xdr:col>15</xdr:col>
      <xdr:colOff>335471</xdr:colOff>
      <xdr:row>65</xdr:row>
      <xdr:rowOff>167735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E75DA575-CB74-1B6E-D480-3433798C2ED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41151" y="8484517"/>
              <a:ext cx="6689320" cy="410381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539697</xdr:colOff>
      <xdr:row>5</xdr:row>
      <xdr:rowOff>148306</xdr:rowOff>
    </xdr:from>
    <xdr:to>
      <xdr:col>17</xdr:col>
      <xdr:colOff>519797</xdr:colOff>
      <xdr:row>41</xdr:row>
      <xdr:rowOff>47398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A3E311-85AF-63E6-5CAC-9141AD9BC0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133407</xdr:colOff>
      <xdr:row>21</xdr:row>
      <xdr:rowOff>188870</xdr:rowOff>
    </xdr:from>
    <xdr:to>
      <xdr:col>27</xdr:col>
      <xdr:colOff>280860</xdr:colOff>
      <xdr:row>52</xdr:row>
      <xdr:rowOff>160492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62F19B5-87DD-AD83-2AB6-C63067F439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16768-E1BF-6043-AED5-1C096D51EE68}">
  <sheetPr>
    <tabColor theme="6" tint="0.39997558519241921"/>
  </sheetPr>
  <dimension ref="A1:R3001"/>
  <sheetViews>
    <sheetView tabSelected="1" workbookViewId="0">
      <pane xSplit="6" ySplit="1" topLeftCell="G2971" activePane="bottomRight" state="frozen"/>
      <selection pane="topRight" activeCell="G1" sqref="G1"/>
      <selection pane="bottomLeft" activeCell="A2" sqref="A2"/>
      <selection pane="bottomRight" activeCell="E62" sqref="E62"/>
    </sheetView>
  </sheetViews>
  <sheetFormatPr baseColWidth="10" defaultColWidth="8.83203125" defaultRowHeight="15" x14ac:dyDescent="0.2"/>
  <cols>
    <col min="1" max="1" width="6.6640625" bestFit="1" customWidth="1"/>
    <col min="2" max="2" width="11.6640625" bestFit="1" customWidth="1"/>
    <col min="3" max="4" width="13.1640625" bestFit="1" customWidth="1"/>
    <col min="5" max="5" width="12.83203125" bestFit="1" customWidth="1"/>
    <col min="6" max="6" width="8" bestFit="1" customWidth="1"/>
    <col min="7" max="18" width="14.1640625" customWidth="1"/>
  </cols>
  <sheetData>
    <row r="1" spans="1:18" s="3" customFormat="1" ht="47.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">
      <c r="A2">
        <v>5</v>
      </c>
      <c r="B2" t="s">
        <v>100</v>
      </c>
      <c r="E2" t="s">
        <v>19</v>
      </c>
      <c r="F2">
        <v>1936967</v>
      </c>
      <c r="G2">
        <v>5</v>
      </c>
      <c r="H2">
        <v>1</v>
      </c>
      <c r="I2">
        <v>140</v>
      </c>
      <c r="J2">
        <v>1999</v>
      </c>
      <c r="K2" s="4">
        <v>45302</v>
      </c>
      <c r="L2" t="s">
        <v>23</v>
      </c>
      <c r="M2" t="s">
        <v>82</v>
      </c>
      <c r="N2">
        <v>3.39</v>
      </c>
      <c r="O2">
        <v>1733</v>
      </c>
      <c r="P2">
        <v>3.32</v>
      </c>
      <c r="Q2">
        <v>302</v>
      </c>
      <c r="R2">
        <v>303</v>
      </c>
    </row>
    <row r="3" spans="1:18" x14ac:dyDescent="0.2">
      <c r="A3">
        <v>3</v>
      </c>
      <c r="B3" t="s">
        <v>39</v>
      </c>
      <c r="E3" t="s">
        <v>36</v>
      </c>
      <c r="F3">
        <v>884945</v>
      </c>
      <c r="G3">
        <v>5</v>
      </c>
      <c r="H3">
        <v>2</v>
      </c>
      <c r="I3">
        <v>525</v>
      </c>
      <c r="J3">
        <v>2016</v>
      </c>
      <c r="K3" s="4">
        <v>45757</v>
      </c>
      <c r="L3" t="s">
        <v>20</v>
      </c>
      <c r="M3" t="s">
        <v>76</v>
      </c>
      <c r="N3">
        <v>2.4700000000000002</v>
      </c>
      <c r="O3">
        <v>2294</v>
      </c>
      <c r="P3">
        <v>3.08</v>
      </c>
      <c r="Q3">
        <v>364</v>
      </c>
      <c r="R3">
        <v>520</v>
      </c>
    </row>
    <row r="4" spans="1:18" x14ac:dyDescent="0.2">
      <c r="A4">
        <v>4</v>
      </c>
      <c r="B4" t="s">
        <v>72</v>
      </c>
      <c r="E4" t="s">
        <v>51</v>
      </c>
      <c r="F4">
        <v>526791</v>
      </c>
      <c r="G4">
        <v>2</v>
      </c>
      <c r="H4">
        <v>2</v>
      </c>
      <c r="I4">
        <v>691</v>
      </c>
      <c r="J4">
        <v>1951</v>
      </c>
      <c r="K4" s="4">
        <v>44957</v>
      </c>
      <c r="L4" t="s">
        <v>30</v>
      </c>
      <c r="M4" t="s">
        <v>21</v>
      </c>
      <c r="N4">
        <v>1.58</v>
      </c>
      <c r="O4">
        <v>2433</v>
      </c>
      <c r="P4">
        <v>2.54</v>
      </c>
      <c r="Q4">
        <v>146</v>
      </c>
      <c r="R4">
        <v>641</v>
      </c>
    </row>
    <row r="5" spans="1:18" x14ac:dyDescent="0.2">
      <c r="A5">
        <v>4</v>
      </c>
      <c r="B5" t="s">
        <v>79</v>
      </c>
      <c r="E5" t="s">
        <v>29</v>
      </c>
      <c r="F5">
        <v>962318</v>
      </c>
      <c r="G5">
        <v>6</v>
      </c>
      <c r="H5">
        <v>1</v>
      </c>
      <c r="I5">
        <v>491</v>
      </c>
      <c r="J5">
        <v>1990</v>
      </c>
      <c r="K5" s="4">
        <v>44415</v>
      </c>
      <c r="L5" t="s">
        <v>26</v>
      </c>
      <c r="M5" t="s">
        <v>56</v>
      </c>
      <c r="N5">
        <v>2.97</v>
      </c>
      <c r="O5">
        <v>1428</v>
      </c>
      <c r="P5">
        <v>3.04</v>
      </c>
      <c r="Q5">
        <v>392</v>
      </c>
      <c r="R5">
        <v>609</v>
      </c>
    </row>
    <row r="6" spans="1:18" x14ac:dyDescent="0.2">
      <c r="A6">
        <v>7</v>
      </c>
      <c r="B6" t="s">
        <v>100</v>
      </c>
      <c r="E6" t="s">
        <v>51</v>
      </c>
      <c r="F6">
        <v>2081519</v>
      </c>
      <c r="G6">
        <v>5</v>
      </c>
      <c r="H6">
        <v>2</v>
      </c>
      <c r="I6">
        <v>774</v>
      </c>
      <c r="J6">
        <v>1958</v>
      </c>
      <c r="K6" s="4">
        <v>45443</v>
      </c>
      <c r="L6" t="s">
        <v>30</v>
      </c>
      <c r="M6" t="s">
        <v>37</v>
      </c>
      <c r="N6">
        <v>2.31</v>
      </c>
      <c r="O6">
        <v>1017</v>
      </c>
      <c r="P6">
        <v>1.43</v>
      </c>
      <c r="Q6">
        <v>309</v>
      </c>
      <c r="R6">
        <v>563</v>
      </c>
    </row>
    <row r="7" spans="1:18" x14ac:dyDescent="0.2">
      <c r="A7">
        <v>4</v>
      </c>
      <c r="B7" t="s">
        <v>50</v>
      </c>
      <c r="E7" t="s">
        <v>51</v>
      </c>
      <c r="F7">
        <v>2995613</v>
      </c>
      <c r="G7">
        <v>2</v>
      </c>
      <c r="H7">
        <v>2</v>
      </c>
      <c r="I7">
        <v>145</v>
      </c>
      <c r="J7">
        <v>1996</v>
      </c>
      <c r="K7" s="4">
        <v>45163</v>
      </c>
      <c r="L7" t="s">
        <v>23</v>
      </c>
      <c r="M7" t="s">
        <v>70</v>
      </c>
      <c r="N7">
        <v>2.68</v>
      </c>
      <c r="O7">
        <v>1568</v>
      </c>
      <c r="P7">
        <v>3.1</v>
      </c>
      <c r="Q7">
        <v>172</v>
      </c>
      <c r="R7">
        <v>512</v>
      </c>
    </row>
    <row r="8" spans="1:18" x14ac:dyDescent="0.2">
      <c r="A8">
        <v>7</v>
      </c>
      <c r="B8" t="s">
        <v>102</v>
      </c>
      <c r="E8" t="s">
        <v>51</v>
      </c>
      <c r="F8">
        <v>899433</v>
      </c>
      <c r="G8">
        <v>2</v>
      </c>
      <c r="H8">
        <v>1</v>
      </c>
      <c r="I8">
        <v>305</v>
      </c>
      <c r="J8">
        <v>1995</v>
      </c>
      <c r="K8" s="4">
        <v>44103</v>
      </c>
      <c r="L8" t="s">
        <v>23</v>
      </c>
      <c r="M8" t="s">
        <v>77</v>
      </c>
      <c r="N8">
        <v>2.21</v>
      </c>
      <c r="O8">
        <v>2298</v>
      </c>
      <c r="P8">
        <v>4.07</v>
      </c>
      <c r="Q8">
        <v>122</v>
      </c>
      <c r="R8">
        <v>427</v>
      </c>
    </row>
    <row r="9" spans="1:18" x14ac:dyDescent="0.2">
      <c r="A9">
        <v>4</v>
      </c>
      <c r="B9" t="s">
        <v>71</v>
      </c>
      <c r="E9" t="s">
        <v>51</v>
      </c>
      <c r="F9">
        <v>1086020</v>
      </c>
      <c r="G9">
        <v>5</v>
      </c>
      <c r="H9">
        <v>3</v>
      </c>
      <c r="I9">
        <v>364</v>
      </c>
      <c r="J9">
        <v>2016</v>
      </c>
      <c r="K9" s="4">
        <v>44230</v>
      </c>
      <c r="L9" t="s">
        <v>30</v>
      </c>
      <c r="M9" t="s">
        <v>70</v>
      </c>
      <c r="N9">
        <v>2.4700000000000002</v>
      </c>
      <c r="O9">
        <v>1250</v>
      </c>
      <c r="P9">
        <v>1.26</v>
      </c>
      <c r="Q9">
        <v>393</v>
      </c>
      <c r="R9">
        <v>431</v>
      </c>
    </row>
    <row r="10" spans="1:18" x14ac:dyDescent="0.2">
      <c r="A10">
        <v>3</v>
      </c>
      <c r="B10" t="s">
        <v>53</v>
      </c>
      <c r="E10" t="s">
        <v>29</v>
      </c>
      <c r="F10">
        <v>1543087</v>
      </c>
      <c r="G10">
        <v>1</v>
      </c>
      <c r="H10">
        <v>1</v>
      </c>
      <c r="I10">
        <v>237</v>
      </c>
      <c r="J10">
        <v>1972</v>
      </c>
      <c r="K10" s="4">
        <v>44873</v>
      </c>
      <c r="L10" t="s">
        <v>26</v>
      </c>
      <c r="M10" t="s">
        <v>31</v>
      </c>
      <c r="N10">
        <v>2.15</v>
      </c>
      <c r="O10">
        <v>2068</v>
      </c>
      <c r="P10">
        <v>1.68</v>
      </c>
      <c r="Q10">
        <v>154</v>
      </c>
      <c r="R10">
        <v>569</v>
      </c>
    </row>
    <row r="11" spans="1:18" x14ac:dyDescent="0.2">
      <c r="A11">
        <v>1</v>
      </c>
      <c r="B11" t="s">
        <v>93</v>
      </c>
      <c r="E11" t="s">
        <v>19</v>
      </c>
      <c r="F11">
        <v>1866856</v>
      </c>
      <c r="G11">
        <v>3</v>
      </c>
      <c r="H11">
        <v>2</v>
      </c>
      <c r="I11">
        <v>832</v>
      </c>
      <c r="J11">
        <v>1990</v>
      </c>
      <c r="K11" s="4">
        <v>45550</v>
      </c>
      <c r="L11" t="s">
        <v>26</v>
      </c>
      <c r="M11" t="s">
        <v>82</v>
      </c>
      <c r="N11">
        <v>1.72</v>
      </c>
      <c r="O11">
        <v>1843</v>
      </c>
      <c r="P11">
        <v>3.12</v>
      </c>
      <c r="Q11">
        <v>136</v>
      </c>
      <c r="R11">
        <v>410</v>
      </c>
    </row>
    <row r="12" spans="1:18" x14ac:dyDescent="0.2">
      <c r="A12">
        <v>0</v>
      </c>
      <c r="B12" t="s">
        <v>18</v>
      </c>
      <c r="E12" t="s">
        <v>19</v>
      </c>
      <c r="F12">
        <v>2667413</v>
      </c>
      <c r="G12">
        <v>6</v>
      </c>
      <c r="H12">
        <v>2</v>
      </c>
      <c r="I12">
        <v>827</v>
      </c>
      <c r="J12">
        <v>2004</v>
      </c>
      <c r="K12" s="4">
        <v>45323</v>
      </c>
      <c r="L12" t="s">
        <v>26</v>
      </c>
      <c r="M12" t="s">
        <v>33</v>
      </c>
      <c r="N12">
        <v>3.3</v>
      </c>
      <c r="O12">
        <v>1568</v>
      </c>
      <c r="P12">
        <v>0.56999999999999995</v>
      </c>
      <c r="Q12">
        <v>355</v>
      </c>
      <c r="R12">
        <v>426</v>
      </c>
    </row>
    <row r="13" spans="1:18" x14ac:dyDescent="0.2">
      <c r="A13">
        <v>5</v>
      </c>
      <c r="B13" t="s">
        <v>86</v>
      </c>
      <c r="E13" t="s">
        <v>36</v>
      </c>
      <c r="F13">
        <v>2373955</v>
      </c>
      <c r="G13">
        <v>2</v>
      </c>
      <c r="H13">
        <v>3</v>
      </c>
      <c r="I13">
        <v>885</v>
      </c>
      <c r="J13">
        <v>1965</v>
      </c>
      <c r="K13" s="4">
        <v>44448</v>
      </c>
      <c r="L13" t="s">
        <v>26</v>
      </c>
      <c r="M13" t="s">
        <v>54</v>
      </c>
      <c r="N13">
        <v>2.38</v>
      </c>
      <c r="O13">
        <v>1779</v>
      </c>
      <c r="P13">
        <v>3.14</v>
      </c>
      <c r="Q13">
        <v>230</v>
      </c>
      <c r="R13">
        <v>426</v>
      </c>
    </row>
    <row r="14" spans="1:18" x14ac:dyDescent="0.2">
      <c r="A14">
        <v>3</v>
      </c>
      <c r="B14" t="s">
        <v>92</v>
      </c>
      <c r="E14" t="s">
        <v>36</v>
      </c>
      <c r="F14">
        <v>2744360</v>
      </c>
      <c r="G14">
        <v>0</v>
      </c>
      <c r="H14">
        <v>3</v>
      </c>
      <c r="I14">
        <v>433</v>
      </c>
      <c r="J14">
        <v>2020</v>
      </c>
      <c r="K14" s="4">
        <v>44940</v>
      </c>
      <c r="L14" t="s">
        <v>30</v>
      </c>
      <c r="M14" t="s">
        <v>74</v>
      </c>
      <c r="N14">
        <v>3.02</v>
      </c>
      <c r="O14">
        <v>1147</v>
      </c>
      <c r="P14">
        <v>1.2</v>
      </c>
      <c r="Q14">
        <v>74</v>
      </c>
      <c r="R14">
        <v>511</v>
      </c>
    </row>
    <row r="15" spans="1:18" x14ac:dyDescent="0.2">
      <c r="A15">
        <v>6</v>
      </c>
      <c r="B15" t="s">
        <v>57</v>
      </c>
      <c r="E15" t="s">
        <v>36</v>
      </c>
      <c r="F15">
        <v>1745804</v>
      </c>
      <c r="G15">
        <v>4</v>
      </c>
      <c r="H15">
        <v>2</v>
      </c>
      <c r="I15">
        <v>417</v>
      </c>
      <c r="J15">
        <v>1953</v>
      </c>
      <c r="K15" s="4">
        <v>44788</v>
      </c>
      <c r="L15" t="s">
        <v>30</v>
      </c>
      <c r="M15" t="s">
        <v>56</v>
      </c>
      <c r="N15">
        <v>2.69</v>
      </c>
      <c r="O15">
        <v>2309</v>
      </c>
      <c r="P15">
        <v>1.1000000000000001</v>
      </c>
      <c r="Q15">
        <v>204</v>
      </c>
      <c r="R15">
        <v>373</v>
      </c>
    </row>
    <row r="16" spans="1:18" x14ac:dyDescent="0.2">
      <c r="A16">
        <v>7</v>
      </c>
      <c r="B16" t="s">
        <v>67</v>
      </c>
      <c r="E16" t="s">
        <v>19</v>
      </c>
      <c r="F16">
        <v>1909900</v>
      </c>
      <c r="G16">
        <v>4</v>
      </c>
      <c r="H16">
        <v>2</v>
      </c>
      <c r="I16">
        <v>710</v>
      </c>
      <c r="J16">
        <v>1988</v>
      </c>
      <c r="K16" s="4">
        <v>45807</v>
      </c>
      <c r="L16" t="s">
        <v>26</v>
      </c>
      <c r="M16" t="s">
        <v>33</v>
      </c>
      <c r="N16">
        <v>2.4900000000000002</v>
      </c>
      <c r="O16">
        <v>1766</v>
      </c>
      <c r="P16">
        <v>4.58</v>
      </c>
      <c r="Q16">
        <v>238</v>
      </c>
      <c r="R16">
        <v>430</v>
      </c>
    </row>
    <row r="17" spans="1:18" x14ac:dyDescent="0.2">
      <c r="A17">
        <v>7</v>
      </c>
      <c r="B17" t="s">
        <v>25</v>
      </c>
      <c r="E17" t="s">
        <v>19</v>
      </c>
      <c r="F17">
        <v>891662</v>
      </c>
      <c r="G17">
        <v>2</v>
      </c>
      <c r="H17">
        <v>3</v>
      </c>
      <c r="I17">
        <v>494</v>
      </c>
      <c r="J17">
        <v>1966</v>
      </c>
      <c r="K17" s="4">
        <v>44563</v>
      </c>
      <c r="L17" t="s">
        <v>30</v>
      </c>
      <c r="M17" t="s">
        <v>37</v>
      </c>
      <c r="N17">
        <v>2.8</v>
      </c>
      <c r="O17">
        <v>1892</v>
      </c>
      <c r="P17">
        <v>2.85</v>
      </c>
      <c r="Q17">
        <v>73</v>
      </c>
      <c r="R17">
        <v>697</v>
      </c>
    </row>
    <row r="18" spans="1:18" x14ac:dyDescent="0.2">
      <c r="A18">
        <v>2</v>
      </c>
      <c r="B18" t="s">
        <v>81</v>
      </c>
      <c r="E18" t="s">
        <v>19</v>
      </c>
      <c r="F18">
        <v>1169061</v>
      </c>
      <c r="G18">
        <v>0</v>
      </c>
      <c r="H18">
        <v>3</v>
      </c>
      <c r="I18">
        <v>860</v>
      </c>
      <c r="J18">
        <v>2009</v>
      </c>
      <c r="K18" s="4">
        <v>44851</v>
      </c>
      <c r="L18" t="s">
        <v>30</v>
      </c>
      <c r="M18" t="s">
        <v>42</v>
      </c>
      <c r="N18">
        <v>2.1</v>
      </c>
      <c r="O18">
        <v>2216</v>
      </c>
      <c r="P18">
        <v>0.24</v>
      </c>
      <c r="Q18">
        <v>45</v>
      </c>
      <c r="R18">
        <v>607</v>
      </c>
    </row>
    <row r="19" spans="1:18" x14ac:dyDescent="0.2">
      <c r="A19">
        <v>2</v>
      </c>
      <c r="B19" t="s">
        <v>72</v>
      </c>
      <c r="E19" t="s">
        <v>29</v>
      </c>
      <c r="F19">
        <v>2432278</v>
      </c>
      <c r="G19">
        <v>4</v>
      </c>
      <c r="H19">
        <v>3</v>
      </c>
      <c r="I19">
        <v>107</v>
      </c>
      <c r="J19">
        <v>1963</v>
      </c>
      <c r="K19" s="4">
        <v>45426</v>
      </c>
      <c r="L19" t="s">
        <v>23</v>
      </c>
      <c r="M19" t="s">
        <v>42</v>
      </c>
      <c r="N19">
        <v>1.88</v>
      </c>
      <c r="O19">
        <v>1289</v>
      </c>
      <c r="P19">
        <v>1.0900000000000001</v>
      </c>
      <c r="Q19">
        <v>386</v>
      </c>
      <c r="R19">
        <v>592</v>
      </c>
    </row>
    <row r="20" spans="1:18" x14ac:dyDescent="0.2">
      <c r="A20">
        <v>6</v>
      </c>
      <c r="B20" t="s">
        <v>98</v>
      </c>
      <c r="E20" t="s">
        <v>19</v>
      </c>
      <c r="F20">
        <v>1956168</v>
      </c>
      <c r="G20">
        <v>4</v>
      </c>
      <c r="H20">
        <v>2</v>
      </c>
      <c r="I20">
        <v>318</v>
      </c>
      <c r="J20">
        <v>1950</v>
      </c>
      <c r="K20" s="4">
        <v>45832</v>
      </c>
      <c r="L20" t="s">
        <v>30</v>
      </c>
      <c r="M20" t="s">
        <v>56</v>
      </c>
      <c r="N20">
        <v>2.6</v>
      </c>
      <c r="O20">
        <v>1156</v>
      </c>
      <c r="P20">
        <v>4.71</v>
      </c>
      <c r="Q20">
        <v>243</v>
      </c>
      <c r="R20">
        <v>550</v>
      </c>
    </row>
    <row r="21" spans="1:18" x14ac:dyDescent="0.2">
      <c r="A21">
        <v>7</v>
      </c>
      <c r="B21" t="s">
        <v>83</v>
      </c>
      <c r="E21" t="s">
        <v>103</v>
      </c>
      <c r="F21">
        <v>2561605</v>
      </c>
      <c r="G21">
        <v>3</v>
      </c>
      <c r="H21">
        <v>2</v>
      </c>
      <c r="I21">
        <v>494</v>
      </c>
      <c r="J21">
        <v>2021</v>
      </c>
      <c r="K21" s="4">
        <v>44557</v>
      </c>
      <c r="L21" t="s">
        <v>20</v>
      </c>
      <c r="M21" t="s">
        <v>54</v>
      </c>
      <c r="N21">
        <v>2.48</v>
      </c>
      <c r="O21">
        <v>1364</v>
      </c>
      <c r="P21">
        <v>2.31</v>
      </c>
      <c r="Q21">
        <v>280</v>
      </c>
      <c r="R21">
        <v>511</v>
      </c>
    </row>
    <row r="22" spans="1:18" x14ac:dyDescent="0.2">
      <c r="A22">
        <v>6</v>
      </c>
      <c r="B22" t="s">
        <v>100</v>
      </c>
      <c r="E22" t="s">
        <v>36</v>
      </c>
      <c r="F22">
        <v>523033</v>
      </c>
      <c r="G22">
        <v>3</v>
      </c>
      <c r="H22">
        <v>3</v>
      </c>
      <c r="I22">
        <v>788</v>
      </c>
      <c r="J22">
        <v>1991</v>
      </c>
      <c r="K22" s="4">
        <v>45796</v>
      </c>
      <c r="L22" t="s">
        <v>23</v>
      </c>
      <c r="M22" t="s">
        <v>89</v>
      </c>
      <c r="N22">
        <v>2.31</v>
      </c>
      <c r="O22">
        <v>921</v>
      </c>
      <c r="P22">
        <v>1.5</v>
      </c>
      <c r="Q22">
        <v>150</v>
      </c>
      <c r="R22">
        <v>581</v>
      </c>
    </row>
    <row r="23" spans="1:18" x14ac:dyDescent="0.2">
      <c r="A23">
        <v>1</v>
      </c>
      <c r="B23" t="s">
        <v>87</v>
      </c>
      <c r="E23" t="s">
        <v>36</v>
      </c>
      <c r="F23">
        <v>1151269</v>
      </c>
      <c r="G23">
        <v>4</v>
      </c>
      <c r="H23">
        <v>2</v>
      </c>
      <c r="I23">
        <v>957</v>
      </c>
      <c r="J23">
        <v>1988</v>
      </c>
      <c r="K23" s="4">
        <v>44140</v>
      </c>
      <c r="L23" t="s">
        <v>26</v>
      </c>
      <c r="M23" t="s">
        <v>42</v>
      </c>
      <c r="N23">
        <v>3.38</v>
      </c>
      <c r="O23">
        <v>2139</v>
      </c>
      <c r="P23">
        <v>1.68</v>
      </c>
      <c r="Q23">
        <v>352</v>
      </c>
      <c r="R23">
        <v>673</v>
      </c>
    </row>
    <row r="24" spans="1:18" x14ac:dyDescent="0.2">
      <c r="A24">
        <v>1</v>
      </c>
      <c r="B24" t="s">
        <v>53</v>
      </c>
      <c r="E24" t="s">
        <v>36</v>
      </c>
      <c r="F24">
        <v>2662784</v>
      </c>
      <c r="G24">
        <v>5</v>
      </c>
      <c r="H24">
        <v>1</v>
      </c>
      <c r="I24">
        <v>625</v>
      </c>
      <c r="J24">
        <v>1954</v>
      </c>
      <c r="K24" s="4">
        <v>44111</v>
      </c>
      <c r="L24" t="s">
        <v>23</v>
      </c>
      <c r="M24" t="s">
        <v>47</v>
      </c>
      <c r="N24">
        <v>2.6</v>
      </c>
      <c r="O24">
        <v>847</v>
      </c>
      <c r="P24">
        <v>2.06</v>
      </c>
      <c r="Q24">
        <v>259</v>
      </c>
      <c r="R24">
        <v>450</v>
      </c>
    </row>
    <row r="25" spans="1:18" x14ac:dyDescent="0.2">
      <c r="A25">
        <v>2</v>
      </c>
      <c r="B25" t="s">
        <v>80</v>
      </c>
      <c r="E25" t="s">
        <v>29</v>
      </c>
      <c r="F25">
        <v>605597</v>
      </c>
      <c r="G25">
        <v>5</v>
      </c>
      <c r="H25">
        <v>3</v>
      </c>
      <c r="I25">
        <v>183</v>
      </c>
      <c r="J25">
        <v>1999</v>
      </c>
      <c r="K25" s="4">
        <v>45502</v>
      </c>
      <c r="L25" t="s">
        <v>30</v>
      </c>
      <c r="M25" t="s">
        <v>37</v>
      </c>
      <c r="N25">
        <v>1.76</v>
      </c>
      <c r="O25">
        <v>1933</v>
      </c>
      <c r="P25">
        <v>0.39</v>
      </c>
      <c r="Q25">
        <v>278</v>
      </c>
      <c r="R25">
        <v>406</v>
      </c>
    </row>
    <row r="26" spans="1:18" x14ac:dyDescent="0.2">
      <c r="A26">
        <v>9</v>
      </c>
      <c r="B26" t="s">
        <v>44</v>
      </c>
      <c r="E26" t="s">
        <v>51</v>
      </c>
      <c r="F26">
        <v>1262106</v>
      </c>
      <c r="G26">
        <v>3</v>
      </c>
      <c r="H26">
        <v>1</v>
      </c>
      <c r="I26">
        <v>500</v>
      </c>
      <c r="J26">
        <v>1989</v>
      </c>
      <c r="K26" s="4">
        <v>44728</v>
      </c>
      <c r="L26" t="s">
        <v>23</v>
      </c>
      <c r="M26" t="s">
        <v>78</v>
      </c>
      <c r="N26">
        <v>3.06</v>
      </c>
      <c r="O26">
        <v>1083</v>
      </c>
      <c r="P26">
        <v>3.2</v>
      </c>
      <c r="Q26">
        <v>176</v>
      </c>
      <c r="R26">
        <v>700</v>
      </c>
    </row>
    <row r="27" spans="1:18" x14ac:dyDescent="0.2">
      <c r="A27">
        <v>5</v>
      </c>
      <c r="B27" t="s">
        <v>94</v>
      </c>
      <c r="E27" t="s">
        <v>29</v>
      </c>
      <c r="F27">
        <v>776773</v>
      </c>
      <c r="G27">
        <v>3</v>
      </c>
      <c r="H27">
        <v>3</v>
      </c>
      <c r="I27">
        <v>565</v>
      </c>
      <c r="J27">
        <v>2003</v>
      </c>
      <c r="K27" s="4">
        <v>44916</v>
      </c>
      <c r="L27" t="s">
        <v>30</v>
      </c>
      <c r="M27" t="s">
        <v>82</v>
      </c>
      <c r="N27">
        <v>1.56</v>
      </c>
      <c r="O27">
        <v>1293</v>
      </c>
      <c r="P27">
        <v>2.72</v>
      </c>
      <c r="Q27">
        <v>109</v>
      </c>
      <c r="R27">
        <v>696</v>
      </c>
    </row>
    <row r="28" spans="1:18" x14ac:dyDescent="0.2">
      <c r="A28">
        <v>1</v>
      </c>
      <c r="B28" t="s">
        <v>98</v>
      </c>
      <c r="E28" t="s">
        <v>29</v>
      </c>
      <c r="F28">
        <v>434401</v>
      </c>
      <c r="G28">
        <v>3</v>
      </c>
      <c r="H28">
        <v>1</v>
      </c>
      <c r="I28">
        <v>947</v>
      </c>
      <c r="J28">
        <v>1966</v>
      </c>
      <c r="K28" s="4">
        <v>44223</v>
      </c>
      <c r="L28" t="s">
        <v>30</v>
      </c>
      <c r="M28" t="s">
        <v>77</v>
      </c>
      <c r="N28">
        <v>2.9</v>
      </c>
      <c r="O28">
        <v>1544</v>
      </c>
      <c r="P28">
        <v>4.3499999999999996</v>
      </c>
      <c r="Q28">
        <v>163</v>
      </c>
      <c r="R28">
        <v>550</v>
      </c>
    </row>
    <row r="29" spans="1:18" x14ac:dyDescent="0.2">
      <c r="A29">
        <v>7</v>
      </c>
      <c r="B29" t="s">
        <v>86</v>
      </c>
      <c r="E29" t="s">
        <v>51</v>
      </c>
      <c r="F29">
        <v>1899449</v>
      </c>
      <c r="G29">
        <v>1</v>
      </c>
      <c r="H29">
        <v>3</v>
      </c>
      <c r="I29">
        <v>855</v>
      </c>
      <c r="J29">
        <v>1968</v>
      </c>
      <c r="K29" s="4">
        <v>44878</v>
      </c>
      <c r="L29" t="s">
        <v>30</v>
      </c>
      <c r="M29" t="s">
        <v>74</v>
      </c>
      <c r="N29">
        <v>3.39</v>
      </c>
      <c r="O29">
        <v>2148</v>
      </c>
      <c r="P29">
        <v>2.4</v>
      </c>
      <c r="Q29">
        <v>140</v>
      </c>
      <c r="R29">
        <v>663</v>
      </c>
    </row>
    <row r="30" spans="1:18" x14ac:dyDescent="0.2">
      <c r="A30">
        <v>0</v>
      </c>
      <c r="B30" t="s">
        <v>62</v>
      </c>
      <c r="E30" t="s">
        <v>19</v>
      </c>
      <c r="F30">
        <v>1546311</v>
      </c>
      <c r="G30">
        <v>5</v>
      </c>
      <c r="H30">
        <v>1</v>
      </c>
      <c r="I30">
        <v>898</v>
      </c>
      <c r="J30">
        <v>2017</v>
      </c>
      <c r="K30" s="4">
        <v>44358</v>
      </c>
      <c r="L30" t="s">
        <v>23</v>
      </c>
      <c r="M30" t="s">
        <v>63</v>
      </c>
      <c r="N30">
        <v>1.84</v>
      </c>
      <c r="O30">
        <v>1533</v>
      </c>
      <c r="P30">
        <v>2.4500000000000002</v>
      </c>
      <c r="Q30">
        <v>391</v>
      </c>
      <c r="R30">
        <v>303</v>
      </c>
    </row>
    <row r="31" spans="1:18" x14ac:dyDescent="0.2">
      <c r="A31">
        <v>4</v>
      </c>
      <c r="B31" t="s">
        <v>46</v>
      </c>
      <c r="E31" t="s">
        <v>51</v>
      </c>
      <c r="F31">
        <v>2042668</v>
      </c>
      <c r="G31">
        <v>5</v>
      </c>
      <c r="H31">
        <v>2</v>
      </c>
      <c r="I31">
        <v>87</v>
      </c>
      <c r="J31">
        <v>1962</v>
      </c>
      <c r="K31" s="4">
        <v>45771</v>
      </c>
      <c r="L31" t="s">
        <v>20</v>
      </c>
      <c r="M31" t="s">
        <v>60</v>
      </c>
      <c r="N31">
        <v>2.94</v>
      </c>
      <c r="O31">
        <v>1252</v>
      </c>
      <c r="P31">
        <v>2.33</v>
      </c>
      <c r="Q31">
        <v>354</v>
      </c>
      <c r="R31">
        <v>340</v>
      </c>
    </row>
    <row r="32" spans="1:18" x14ac:dyDescent="0.2">
      <c r="A32">
        <v>1</v>
      </c>
      <c r="B32" t="s">
        <v>86</v>
      </c>
      <c r="E32" t="s">
        <v>29</v>
      </c>
      <c r="F32">
        <v>2826982</v>
      </c>
      <c r="G32">
        <v>5</v>
      </c>
      <c r="H32">
        <v>1</v>
      </c>
      <c r="I32">
        <v>491</v>
      </c>
      <c r="J32">
        <v>2016</v>
      </c>
      <c r="K32" s="4">
        <v>44191</v>
      </c>
      <c r="L32" t="s">
        <v>30</v>
      </c>
      <c r="M32" t="s">
        <v>45</v>
      </c>
      <c r="N32">
        <v>2</v>
      </c>
      <c r="O32">
        <v>1513</v>
      </c>
      <c r="P32">
        <v>2.91</v>
      </c>
      <c r="Q32">
        <v>364</v>
      </c>
      <c r="R32">
        <v>579</v>
      </c>
    </row>
    <row r="33" spans="1:18" x14ac:dyDescent="0.2">
      <c r="A33">
        <v>8</v>
      </c>
      <c r="B33" t="s">
        <v>46</v>
      </c>
      <c r="E33" t="s">
        <v>29</v>
      </c>
      <c r="F33">
        <v>538096</v>
      </c>
      <c r="G33">
        <v>4</v>
      </c>
      <c r="H33">
        <v>1</v>
      </c>
      <c r="I33">
        <v>236</v>
      </c>
      <c r="J33">
        <v>1996</v>
      </c>
      <c r="K33" s="4">
        <v>45610</v>
      </c>
      <c r="L33" t="s">
        <v>26</v>
      </c>
      <c r="M33" t="s">
        <v>58</v>
      </c>
      <c r="N33">
        <v>2.42</v>
      </c>
      <c r="O33">
        <v>1841</v>
      </c>
      <c r="P33">
        <v>3.87</v>
      </c>
      <c r="Q33">
        <v>243</v>
      </c>
      <c r="R33">
        <v>611</v>
      </c>
    </row>
    <row r="34" spans="1:18" x14ac:dyDescent="0.2">
      <c r="A34">
        <v>3</v>
      </c>
      <c r="B34" t="s">
        <v>18</v>
      </c>
      <c r="E34" t="s">
        <v>19</v>
      </c>
      <c r="F34">
        <v>1697132</v>
      </c>
      <c r="G34">
        <v>3</v>
      </c>
      <c r="H34">
        <v>2</v>
      </c>
      <c r="I34">
        <v>51</v>
      </c>
      <c r="J34">
        <v>1970</v>
      </c>
      <c r="K34" s="4">
        <v>45745</v>
      </c>
      <c r="L34" t="s">
        <v>26</v>
      </c>
      <c r="M34" t="s">
        <v>66</v>
      </c>
      <c r="N34">
        <v>2.64</v>
      </c>
      <c r="O34">
        <v>1779</v>
      </c>
      <c r="P34">
        <v>0.48</v>
      </c>
      <c r="Q34">
        <v>263</v>
      </c>
      <c r="R34">
        <v>491</v>
      </c>
    </row>
    <row r="35" spans="1:18" x14ac:dyDescent="0.2">
      <c r="A35">
        <v>0</v>
      </c>
      <c r="B35" t="s">
        <v>67</v>
      </c>
      <c r="E35" t="s">
        <v>36</v>
      </c>
      <c r="F35">
        <v>2140120</v>
      </c>
      <c r="G35">
        <v>6</v>
      </c>
      <c r="H35">
        <v>2</v>
      </c>
      <c r="I35">
        <v>139</v>
      </c>
      <c r="J35">
        <v>1993</v>
      </c>
      <c r="K35" s="4">
        <v>45157</v>
      </c>
      <c r="L35" t="s">
        <v>23</v>
      </c>
      <c r="M35" t="s">
        <v>59</v>
      </c>
      <c r="N35">
        <v>1.98</v>
      </c>
      <c r="O35">
        <v>1699</v>
      </c>
      <c r="P35">
        <v>1.94</v>
      </c>
      <c r="Q35">
        <v>358</v>
      </c>
      <c r="R35">
        <v>310</v>
      </c>
    </row>
    <row r="36" spans="1:18" x14ac:dyDescent="0.2">
      <c r="A36">
        <v>4</v>
      </c>
      <c r="B36" t="s">
        <v>62</v>
      </c>
      <c r="E36" t="s">
        <v>19</v>
      </c>
      <c r="F36">
        <v>2803271</v>
      </c>
      <c r="G36">
        <v>2</v>
      </c>
      <c r="H36">
        <v>2</v>
      </c>
      <c r="I36">
        <v>735</v>
      </c>
      <c r="J36">
        <v>2021</v>
      </c>
      <c r="K36" s="4">
        <v>45346</v>
      </c>
      <c r="L36" t="s">
        <v>20</v>
      </c>
      <c r="M36" t="s">
        <v>40</v>
      </c>
      <c r="N36">
        <v>1.65</v>
      </c>
      <c r="O36">
        <v>1025</v>
      </c>
      <c r="P36">
        <v>3.17</v>
      </c>
      <c r="Q36">
        <v>181</v>
      </c>
      <c r="R36">
        <v>339</v>
      </c>
    </row>
    <row r="37" spans="1:18" x14ac:dyDescent="0.2">
      <c r="A37">
        <v>1</v>
      </c>
      <c r="B37" t="s">
        <v>61</v>
      </c>
      <c r="E37" t="s">
        <v>36</v>
      </c>
      <c r="F37">
        <v>1711359</v>
      </c>
      <c r="G37">
        <v>1</v>
      </c>
      <c r="H37">
        <v>2</v>
      </c>
      <c r="I37">
        <v>797</v>
      </c>
      <c r="J37">
        <v>1972</v>
      </c>
      <c r="K37" s="4">
        <v>44674</v>
      </c>
      <c r="L37" t="s">
        <v>26</v>
      </c>
      <c r="M37" t="s">
        <v>70</v>
      </c>
      <c r="N37">
        <v>1.7</v>
      </c>
      <c r="O37">
        <v>1217</v>
      </c>
      <c r="P37">
        <v>3.25</v>
      </c>
      <c r="Q37">
        <v>90</v>
      </c>
      <c r="R37">
        <v>381</v>
      </c>
    </row>
    <row r="38" spans="1:18" x14ac:dyDescent="0.2">
      <c r="A38">
        <v>8</v>
      </c>
      <c r="B38" t="s">
        <v>44</v>
      </c>
      <c r="E38" t="s">
        <v>29</v>
      </c>
      <c r="F38">
        <v>2488052</v>
      </c>
      <c r="G38">
        <v>0</v>
      </c>
      <c r="H38">
        <v>3</v>
      </c>
      <c r="I38">
        <v>632</v>
      </c>
      <c r="J38">
        <v>2011</v>
      </c>
      <c r="K38" s="4">
        <v>45680</v>
      </c>
      <c r="L38" t="s">
        <v>20</v>
      </c>
      <c r="M38" t="s">
        <v>54</v>
      </c>
      <c r="N38">
        <v>3.22</v>
      </c>
      <c r="O38">
        <v>1324</v>
      </c>
      <c r="P38">
        <v>2.96</v>
      </c>
      <c r="Q38">
        <v>77</v>
      </c>
      <c r="R38">
        <v>400</v>
      </c>
    </row>
    <row r="39" spans="1:18" x14ac:dyDescent="0.2">
      <c r="A39">
        <v>3</v>
      </c>
      <c r="B39" t="s">
        <v>80</v>
      </c>
      <c r="E39" t="s">
        <v>51</v>
      </c>
      <c r="F39">
        <v>2804395</v>
      </c>
      <c r="G39">
        <v>2</v>
      </c>
      <c r="H39">
        <v>2</v>
      </c>
      <c r="I39">
        <v>498</v>
      </c>
      <c r="J39">
        <v>1986</v>
      </c>
      <c r="K39" s="4">
        <v>44337</v>
      </c>
      <c r="L39" t="s">
        <v>23</v>
      </c>
      <c r="M39" t="s">
        <v>97</v>
      </c>
      <c r="N39">
        <v>2.25</v>
      </c>
      <c r="O39">
        <v>1491</v>
      </c>
      <c r="P39">
        <v>0.44</v>
      </c>
      <c r="Q39">
        <v>238</v>
      </c>
      <c r="R39">
        <v>360</v>
      </c>
    </row>
    <row r="40" spans="1:18" x14ac:dyDescent="0.2">
      <c r="A40">
        <v>1</v>
      </c>
      <c r="B40" t="s">
        <v>106</v>
      </c>
      <c r="E40" t="s">
        <v>19</v>
      </c>
      <c r="F40">
        <v>485888</v>
      </c>
      <c r="G40">
        <v>1</v>
      </c>
      <c r="H40">
        <v>2</v>
      </c>
      <c r="I40">
        <v>692</v>
      </c>
      <c r="J40">
        <v>1952</v>
      </c>
      <c r="K40" s="4">
        <v>44663</v>
      </c>
      <c r="L40" t="s">
        <v>20</v>
      </c>
      <c r="M40" t="s">
        <v>63</v>
      </c>
      <c r="N40">
        <v>1.82</v>
      </c>
      <c r="O40">
        <v>1104</v>
      </c>
      <c r="P40">
        <v>3.13</v>
      </c>
      <c r="Q40">
        <v>70</v>
      </c>
      <c r="R40">
        <v>689</v>
      </c>
    </row>
    <row r="41" spans="1:18" x14ac:dyDescent="0.2">
      <c r="A41">
        <v>1</v>
      </c>
      <c r="B41" t="s">
        <v>87</v>
      </c>
      <c r="E41" t="s">
        <v>19</v>
      </c>
      <c r="F41">
        <v>2322754</v>
      </c>
      <c r="G41">
        <v>0</v>
      </c>
      <c r="H41">
        <v>2</v>
      </c>
      <c r="I41">
        <v>892</v>
      </c>
      <c r="J41">
        <v>1958</v>
      </c>
      <c r="K41" s="4">
        <v>45627</v>
      </c>
      <c r="L41" t="s">
        <v>23</v>
      </c>
      <c r="M41" t="s">
        <v>54</v>
      </c>
      <c r="N41">
        <v>2.34</v>
      </c>
      <c r="O41">
        <v>1874</v>
      </c>
      <c r="P41">
        <v>3.46</v>
      </c>
      <c r="Q41">
        <v>45</v>
      </c>
      <c r="R41">
        <v>656</v>
      </c>
    </row>
    <row r="42" spans="1:18" x14ac:dyDescent="0.2">
      <c r="A42">
        <v>8</v>
      </c>
      <c r="B42" t="s">
        <v>98</v>
      </c>
      <c r="E42" t="s">
        <v>36</v>
      </c>
      <c r="F42">
        <v>1256488</v>
      </c>
      <c r="G42">
        <v>3</v>
      </c>
      <c r="H42">
        <v>2</v>
      </c>
      <c r="I42">
        <v>777</v>
      </c>
      <c r="J42">
        <v>1969</v>
      </c>
      <c r="K42" s="4">
        <v>44673</v>
      </c>
      <c r="L42" t="s">
        <v>20</v>
      </c>
      <c r="M42" t="s">
        <v>40</v>
      </c>
      <c r="N42">
        <v>3.4</v>
      </c>
      <c r="O42">
        <v>1041</v>
      </c>
      <c r="P42">
        <v>4.1900000000000004</v>
      </c>
      <c r="Q42">
        <v>285</v>
      </c>
      <c r="R42">
        <v>665</v>
      </c>
    </row>
    <row r="43" spans="1:18" x14ac:dyDescent="0.2">
      <c r="A43">
        <v>3</v>
      </c>
      <c r="B43" t="s">
        <v>96</v>
      </c>
      <c r="E43" t="s">
        <v>29</v>
      </c>
      <c r="F43">
        <v>1736098</v>
      </c>
      <c r="G43">
        <v>5</v>
      </c>
      <c r="H43">
        <v>3</v>
      </c>
      <c r="I43">
        <v>128</v>
      </c>
      <c r="J43">
        <v>1973</v>
      </c>
      <c r="K43" s="4">
        <v>45501</v>
      </c>
      <c r="L43" t="s">
        <v>23</v>
      </c>
      <c r="M43" t="s">
        <v>56</v>
      </c>
      <c r="N43">
        <v>2.13</v>
      </c>
      <c r="O43">
        <v>1625</v>
      </c>
      <c r="P43">
        <v>3.09</v>
      </c>
      <c r="Q43">
        <v>274</v>
      </c>
      <c r="R43">
        <v>483</v>
      </c>
    </row>
    <row r="44" spans="1:18" x14ac:dyDescent="0.2">
      <c r="A44">
        <v>8</v>
      </c>
      <c r="B44" t="s">
        <v>75</v>
      </c>
      <c r="E44" t="s">
        <v>29</v>
      </c>
      <c r="F44">
        <v>1778980</v>
      </c>
      <c r="G44">
        <v>5</v>
      </c>
      <c r="H44">
        <v>3</v>
      </c>
      <c r="I44">
        <v>941</v>
      </c>
      <c r="J44">
        <v>2002</v>
      </c>
      <c r="K44" s="4">
        <v>45727</v>
      </c>
      <c r="L44" t="s">
        <v>20</v>
      </c>
      <c r="M44" t="s">
        <v>45</v>
      </c>
      <c r="N44">
        <v>2.57</v>
      </c>
      <c r="O44">
        <v>2451</v>
      </c>
      <c r="P44">
        <v>4.0599999999999996</v>
      </c>
      <c r="Q44">
        <v>373</v>
      </c>
      <c r="R44">
        <v>606</v>
      </c>
    </row>
    <row r="45" spans="1:18" x14ac:dyDescent="0.2">
      <c r="A45">
        <v>9</v>
      </c>
      <c r="B45" t="s">
        <v>28</v>
      </c>
      <c r="E45" t="s">
        <v>36</v>
      </c>
      <c r="F45">
        <v>2524763</v>
      </c>
      <c r="G45">
        <v>3</v>
      </c>
      <c r="H45">
        <v>2</v>
      </c>
      <c r="I45">
        <v>349</v>
      </c>
      <c r="J45">
        <v>2005</v>
      </c>
      <c r="K45" s="4">
        <v>44082</v>
      </c>
      <c r="L45" t="s">
        <v>20</v>
      </c>
      <c r="M45" t="s">
        <v>37</v>
      </c>
      <c r="N45">
        <v>1.92</v>
      </c>
      <c r="O45">
        <v>1501</v>
      </c>
      <c r="P45">
        <v>3.66</v>
      </c>
      <c r="Q45">
        <v>115</v>
      </c>
      <c r="R45">
        <v>363</v>
      </c>
    </row>
    <row r="46" spans="1:18" x14ac:dyDescent="0.2">
      <c r="A46">
        <v>0</v>
      </c>
      <c r="B46" t="s">
        <v>34</v>
      </c>
      <c r="E46" t="s">
        <v>19</v>
      </c>
      <c r="F46">
        <v>2593186</v>
      </c>
      <c r="G46">
        <v>0</v>
      </c>
      <c r="H46">
        <v>2</v>
      </c>
      <c r="I46">
        <v>976</v>
      </c>
      <c r="J46">
        <v>1971</v>
      </c>
      <c r="K46" s="4">
        <v>44213</v>
      </c>
      <c r="L46" t="s">
        <v>30</v>
      </c>
      <c r="M46" t="s">
        <v>35</v>
      </c>
      <c r="N46">
        <v>1.66</v>
      </c>
      <c r="O46">
        <v>918</v>
      </c>
      <c r="P46">
        <v>0.11</v>
      </c>
      <c r="Q46">
        <v>42</v>
      </c>
      <c r="R46">
        <v>654</v>
      </c>
    </row>
    <row r="47" spans="1:18" x14ac:dyDescent="0.2">
      <c r="A47">
        <v>5</v>
      </c>
      <c r="B47" t="s">
        <v>25</v>
      </c>
      <c r="E47" t="s">
        <v>36</v>
      </c>
      <c r="F47">
        <v>2735765</v>
      </c>
      <c r="G47">
        <v>6</v>
      </c>
      <c r="H47">
        <v>1</v>
      </c>
      <c r="I47">
        <v>568</v>
      </c>
      <c r="J47">
        <v>2022</v>
      </c>
      <c r="K47" s="4">
        <v>44131</v>
      </c>
      <c r="L47" t="s">
        <v>26</v>
      </c>
      <c r="M47" t="s">
        <v>89</v>
      </c>
      <c r="N47">
        <v>3.44</v>
      </c>
      <c r="O47">
        <v>2167</v>
      </c>
      <c r="P47">
        <v>3.33</v>
      </c>
      <c r="Q47">
        <v>333</v>
      </c>
      <c r="R47">
        <v>611</v>
      </c>
    </row>
    <row r="48" spans="1:18" x14ac:dyDescent="0.2">
      <c r="A48">
        <v>3</v>
      </c>
      <c r="B48" t="s">
        <v>105</v>
      </c>
      <c r="E48" t="s">
        <v>51</v>
      </c>
      <c r="F48">
        <v>1776997</v>
      </c>
      <c r="G48">
        <v>2</v>
      </c>
      <c r="H48">
        <v>3</v>
      </c>
      <c r="I48">
        <v>70</v>
      </c>
      <c r="J48">
        <v>2003</v>
      </c>
      <c r="K48" s="4">
        <v>45077</v>
      </c>
      <c r="L48" t="s">
        <v>20</v>
      </c>
      <c r="M48" t="s">
        <v>74</v>
      </c>
      <c r="N48">
        <v>2.81</v>
      </c>
      <c r="O48">
        <v>953</v>
      </c>
      <c r="P48">
        <v>0.99</v>
      </c>
      <c r="Q48">
        <v>194</v>
      </c>
      <c r="R48">
        <v>625</v>
      </c>
    </row>
    <row r="49" spans="1:18" x14ac:dyDescent="0.2">
      <c r="A49">
        <v>5</v>
      </c>
      <c r="B49" t="s">
        <v>46</v>
      </c>
      <c r="E49" t="s">
        <v>29</v>
      </c>
      <c r="F49">
        <v>1812186</v>
      </c>
      <c r="G49">
        <v>3</v>
      </c>
      <c r="H49">
        <v>3</v>
      </c>
      <c r="I49">
        <v>167</v>
      </c>
      <c r="J49">
        <v>1999</v>
      </c>
      <c r="K49" s="4">
        <v>45831</v>
      </c>
      <c r="L49" t="s">
        <v>30</v>
      </c>
      <c r="M49" t="s">
        <v>33</v>
      </c>
      <c r="N49">
        <v>3.25</v>
      </c>
      <c r="O49">
        <v>1187</v>
      </c>
      <c r="P49">
        <v>4.5999999999999996</v>
      </c>
      <c r="Q49">
        <v>146</v>
      </c>
      <c r="R49">
        <v>573</v>
      </c>
    </row>
    <row r="50" spans="1:18" x14ac:dyDescent="0.2">
      <c r="A50">
        <v>6</v>
      </c>
      <c r="B50" t="s">
        <v>48</v>
      </c>
      <c r="E50" t="s">
        <v>29</v>
      </c>
      <c r="F50">
        <v>1854695</v>
      </c>
      <c r="G50">
        <v>3</v>
      </c>
      <c r="H50">
        <v>1</v>
      </c>
      <c r="I50">
        <v>901</v>
      </c>
      <c r="J50">
        <v>1971</v>
      </c>
      <c r="K50" s="4">
        <v>44103</v>
      </c>
      <c r="L50" t="s">
        <v>20</v>
      </c>
      <c r="M50" t="s">
        <v>45</v>
      </c>
      <c r="N50">
        <v>2.25</v>
      </c>
      <c r="O50">
        <v>1887</v>
      </c>
      <c r="P50">
        <v>4.32</v>
      </c>
      <c r="Q50">
        <v>209</v>
      </c>
      <c r="R50">
        <v>529</v>
      </c>
    </row>
    <row r="51" spans="1:18" x14ac:dyDescent="0.2">
      <c r="A51">
        <v>2</v>
      </c>
      <c r="B51" t="s">
        <v>50</v>
      </c>
      <c r="E51" t="s">
        <v>51</v>
      </c>
      <c r="F51">
        <v>2020143</v>
      </c>
      <c r="G51">
        <v>4</v>
      </c>
      <c r="H51">
        <v>1</v>
      </c>
      <c r="I51">
        <v>254</v>
      </c>
      <c r="J51">
        <v>1972</v>
      </c>
      <c r="K51" s="4">
        <v>44645</v>
      </c>
      <c r="L51" t="s">
        <v>30</v>
      </c>
      <c r="M51" t="s">
        <v>85</v>
      </c>
      <c r="N51">
        <v>2.31</v>
      </c>
      <c r="O51">
        <v>1474</v>
      </c>
      <c r="P51">
        <v>1.45</v>
      </c>
      <c r="Q51">
        <v>292</v>
      </c>
      <c r="R51">
        <v>429</v>
      </c>
    </row>
    <row r="52" spans="1:18" x14ac:dyDescent="0.2">
      <c r="A52">
        <v>0</v>
      </c>
      <c r="B52" t="s">
        <v>32</v>
      </c>
      <c r="E52" t="s">
        <v>19</v>
      </c>
      <c r="F52">
        <v>2239543</v>
      </c>
      <c r="G52">
        <v>1</v>
      </c>
      <c r="H52">
        <v>2</v>
      </c>
      <c r="I52">
        <v>586</v>
      </c>
      <c r="J52">
        <v>1986</v>
      </c>
      <c r="K52" s="4">
        <v>44383</v>
      </c>
      <c r="L52" t="s">
        <v>30</v>
      </c>
      <c r="M52" t="s">
        <v>63</v>
      </c>
      <c r="N52">
        <v>2.0099999999999998</v>
      </c>
      <c r="O52">
        <v>2350</v>
      </c>
      <c r="P52">
        <v>2.5499999999999998</v>
      </c>
      <c r="Q52">
        <v>65</v>
      </c>
      <c r="R52">
        <v>583</v>
      </c>
    </row>
    <row r="53" spans="1:18" x14ac:dyDescent="0.2">
      <c r="A53">
        <v>4</v>
      </c>
      <c r="B53" t="s">
        <v>39</v>
      </c>
      <c r="E53" t="s">
        <v>51</v>
      </c>
      <c r="F53">
        <v>1690089</v>
      </c>
      <c r="G53">
        <v>3</v>
      </c>
      <c r="H53">
        <v>2</v>
      </c>
      <c r="I53">
        <v>505</v>
      </c>
      <c r="J53">
        <v>1972</v>
      </c>
      <c r="K53" s="4">
        <v>45220</v>
      </c>
      <c r="L53" t="s">
        <v>30</v>
      </c>
      <c r="M53" t="s">
        <v>74</v>
      </c>
      <c r="N53">
        <v>3.42</v>
      </c>
      <c r="O53">
        <v>1966</v>
      </c>
      <c r="P53">
        <v>1.37</v>
      </c>
      <c r="Q53">
        <v>315</v>
      </c>
      <c r="R53">
        <v>658</v>
      </c>
    </row>
    <row r="54" spans="1:18" x14ac:dyDescent="0.2">
      <c r="A54">
        <v>2</v>
      </c>
      <c r="B54" t="s">
        <v>79</v>
      </c>
      <c r="E54" t="s">
        <v>36</v>
      </c>
      <c r="F54">
        <v>1579632</v>
      </c>
      <c r="G54">
        <v>4</v>
      </c>
      <c r="H54">
        <v>1</v>
      </c>
      <c r="I54">
        <v>714</v>
      </c>
      <c r="J54">
        <v>1959</v>
      </c>
      <c r="K54" s="4">
        <v>44561</v>
      </c>
      <c r="L54" t="s">
        <v>30</v>
      </c>
      <c r="M54" t="s">
        <v>69</v>
      </c>
      <c r="N54">
        <v>2.62</v>
      </c>
      <c r="O54">
        <v>2061</v>
      </c>
      <c r="P54">
        <v>2.14</v>
      </c>
      <c r="Q54">
        <v>163</v>
      </c>
      <c r="R54">
        <v>310</v>
      </c>
    </row>
    <row r="55" spans="1:18" x14ac:dyDescent="0.2">
      <c r="A55">
        <v>9</v>
      </c>
      <c r="B55" t="s">
        <v>67</v>
      </c>
      <c r="E55" t="s">
        <v>51</v>
      </c>
      <c r="F55">
        <v>494147</v>
      </c>
      <c r="G55">
        <v>3</v>
      </c>
      <c r="H55">
        <v>1</v>
      </c>
      <c r="I55">
        <v>790</v>
      </c>
      <c r="J55">
        <v>1953</v>
      </c>
      <c r="K55" s="4">
        <v>45183</v>
      </c>
      <c r="L55" t="s">
        <v>20</v>
      </c>
      <c r="M55" t="s">
        <v>78</v>
      </c>
      <c r="N55">
        <v>1.8</v>
      </c>
      <c r="O55">
        <v>2062</v>
      </c>
      <c r="P55">
        <v>3.05</v>
      </c>
      <c r="Q55">
        <v>184</v>
      </c>
      <c r="R55">
        <v>408</v>
      </c>
    </row>
    <row r="56" spans="1:18" x14ac:dyDescent="0.2">
      <c r="A56">
        <v>8</v>
      </c>
      <c r="B56" t="s">
        <v>99</v>
      </c>
      <c r="E56" t="s">
        <v>19</v>
      </c>
      <c r="F56">
        <v>2085921</v>
      </c>
      <c r="G56">
        <v>6</v>
      </c>
      <c r="H56">
        <v>1</v>
      </c>
      <c r="I56">
        <v>998</v>
      </c>
      <c r="J56">
        <v>2021</v>
      </c>
      <c r="K56" s="4">
        <v>44512</v>
      </c>
      <c r="L56" t="s">
        <v>26</v>
      </c>
      <c r="M56" t="s">
        <v>37</v>
      </c>
      <c r="N56">
        <v>1.52</v>
      </c>
      <c r="O56">
        <v>1700</v>
      </c>
      <c r="P56">
        <v>4.09</v>
      </c>
      <c r="Q56">
        <v>355</v>
      </c>
      <c r="R56">
        <v>450</v>
      </c>
    </row>
    <row r="57" spans="1:18" x14ac:dyDescent="0.2">
      <c r="A57">
        <v>6</v>
      </c>
      <c r="B57" t="s">
        <v>48</v>
      </c>
      <c r="E57" t="s">
        <v>51</v>
      </c>
      <c r="F57">
        <v>1265093</v>
      </c>
      <c r="G57">
        <v>2</v>
      </c>
      <c r="H57">
        <v>1</v>
      </c>
      <c r="I57">
        <v>784</v>
      </c>
      <c r="J57">
        <v>1979</v>
      </c>
      <c r="K57" s="4">
        <v>44742</v>
      </c>
      <c r="L57" t="s">
        <v>26</v>
      </c>
      <c r="M57" t="s">
        <v>97</v>
      </c>
      <c r="N57">
        <v>2.59</v>
      </c>
      <c r="O57">
        <v>1356</v>
      </c>
      <c r="P57">
        <v>1.05</v>
      </c>
      <c r="Q57">
        <v>227</v>
      </c>
      <c r="R57">
        <v>337</v>
      </c>
    </row>
    <row r="58" spans="1:18" x14ac:dyDescent="0.2">
      <c r="A58">
        <v>3</v>
      </c>
      <c r="B58" t="s">
        <v>83</v>
      </c>
      <c r="E58" t="s">
        <v>51</v>
      </c>
      <c r="F58">
        <v>980954</v>
      </c>
      <c r="G58">
        <v>2</v>
      </c>
      <c r="H58">
        <v>1</v>
      </c>
      <c r="I58">
        <v>627</v>
      </c>
      <c r="J58">
        <v>2000</v>
      </c>
      <c r="K58" s="4">
        <v>44894</v>
      </c>
      <c r="L58" t="s">
        <v>30</v>
      </c>
      <c r="M58" t="s">
        <v>77</v>
      </c>
      <c r="N58">
        <v>3.44</v>
      </c>
      <c r="O58">
        <v>2452</v>
      </c>
      <c r="P58">
        <v>3.04</v>
      </c>
      <c r="Q58">
        <v>116</v>
      </c>
      <c r="R58">
        <v>572</v>
      </c>
    </row>
    <row r="59" spans="1:18" x14ac:dyDescent="0.2">
      <c r="A59">
        <v>2</v>
      </c>
      <c r="B59" t="s">
        <v>98</v>
      </c>
      <c r="E59" t="s">
        <v>36</v>
      </c>
      <c r="F59">
        <v>1995915</v>
      </c>
      <c r="G59">
        <v>4</v>
      </c>
      <c r="H59">
        <v>3</v>
      </c>
      <c r="I59">
        <v>241</v>
      </c>
      <c r="J59">
        <v>1955</v>
      </c>
      <c r="K59" s="4">
        <v>44639</v>
      </c>
      <c r="L59" t="s">
        <v>30</v>
      </c>
      <c r="M59" t="s">
        <v>70</v>
      </c>
      <c r="N59">
        <v>2.1</v>
      </c>
      <c r="O59">
        <v>897</v>
      </c>
      <c r="P59">
        <v>4.8899999999999997</v>
      </c>
      <c r="Q59">
        <v>372</v>
      </c>
      <c r="R59">
        <v>604</v>
      </c>
    </row>
    <row r="60" spans="1:18" x14ac:dyDescent="0.2">
      <c r="A60">
        <v>3</v>
      </c>
      <c r="B60" t="s">
        <v>64</v>
      </c>
      <c r="E60" t="s">
        <v>51</v>
      </c>
      <c r="F60">
        <v>2900417</v>
      </c>
      <c r="G60">
        <v>0</v>
      </c>
      <c r="H60">
        <v>3</v>
      </c>
      <c r="I60">
        <v>416</v>
      </c>
      <c r="J60">
        <v>2010</v>
      </c>
      <c r="K60" s="4">
        <v>44511</v>
      </c>
      <c r="L60" t="s">
        <v>30</v>
      </c>
      <c r="M60" t="s">
        <v>31</v>
      </c>
      <c r="N60">
        <v>3.48</v>
      </c>
      <c r="O60">
        <v>2183</v>
      </c>
      <c r="P60">
        <v>3.83</v>
      </c>
      <c r="Q60">
        <v>59</v>
      </c>
      <c r="R60">
        <v>482</v>
      </c>
    </row>
    <row r="61" spans="1:18" x14ac:dyDescent="0.2">
      <c r="A61">
        <v>0</v>
      </c>
      <c r="B61" t="s">
        <v>102</v>
      </c>
      <c r="E61" t="s">
        <v>51</v>
      </c>
      <c r="F61">
        <v>2254111</v>
      </c>
      <c r="G61">
        <v>2</v>
      </c>
      <c r="H61">
        <v>2</v>
      </c>
      <c r="I61">
        <v>312</v>
      </c>
      <c r="J61">
        <v>1969</v>
      </c>
      <c r="K61" s="4">
        <v>44460</v>
      </c>
      <c r="L61" t="s">
        <v>20</v>
      </c>
      <c r="M61" t="s">
        <v>37</v>
      </c>
      <c r="N61">
        <v>1.56</v>
      </c>
      <c r="O61">
        <v>1647</v>
      </c>
      <c r="P61">
        <v>4.7</v>
      </c>
      <c r="Q61">
        <v>58</v>
      </c>
      <c r="R61">
        <v>397</v>
      </c>
    </row>
    <row r="62" spans="1:18" x14ac:dyDescent="0.2">
      <c r="A62">
        <v>0</v>
      </c>
      <c r="B62" t="s">
        <v>50</v>
      </c>
      <c r="E62" t="s">
        <v>51</v>
      </c>
      <c r="F62">
        <v>2664502</v>
      </c>
      <c r="G62">
        <v>0</v>
      </c>
      <c r="H62">
        <v>2</v>
      </c>
      <c r="I62">
        <v>572</v>
      </c>
      <c r="J62">
        <v>2016</v>
      </c>
      <c r="K62" s="4">
        <v>45740</v>
      </c>
      <c r="L62" t="s">
        <v>26</v>
      </c>
      <c r="M62" t="s">
        <v>74</v>
      </c>
      <c r="N62">
        <v>3.15</v>
      </c>
      <c r="O62">
        <v>891</v>
      </c>
      <c r="P62">
        <v>0.71</v>
      </c>
      <c r="Q62">
        <v>79</v>
      </c>
      <c r="R62">
        <v>352</v>
      </c>
    </row>
    <row r="63" spans="1:18" x14ac:dyDescent="0.2">
      <c r="A63">
        <v>3</v>
      </c>
      <c r="B63" t="s">
        <v>32</v>
      </c>
      <c r="E63" t="s">
        <v>36</v>
      </c>
      <c r="F63">
        <v>1833385</v>
      </c>
      <c r="G63">
        <v>4</v>
      </c>
      <c r="H63">
        <v>1</v>
      </c>
      <c r="I63">
        <v>281</v>
      </c>
      <c r="J63">
        <v>2014</v>
      </c>
      <c r="K63" s="4">
        <v>45359</v>
      </c>
      <c r="L63" t="s">
        <v>26</v>
      </c>
      <c r="M63" t="s">
        <v>21</v>
      </c>
      <c r="N63">
        <v>3.41</v>
      </c>
      <c r="O63">
        <v>980</v>
      </c>
      <c r="P63">
        <v>4.34</v>
      </c>
      <c r="Q63">
        <v>271</v>
      </c>
      <c r="R63">
        <v>699</v>
      </c>
    </row>
    <row r="64" spans="1:18" x14ac:dyDescent="0.2">
      <c r="A64">
        <v>7</v>
      </c>
      <c r="B64" t="s">
        <v>106</v>
      </c>
      <c r="E64" t="s">
        <v>51</v>
      </c>
      <c r="F64">
        <v>1411887</v>
      </c>
      <c r="G64">
        <v>3</v>
      </c>
      <c r="H64">
        <v>1</v>
      </c>
      <c r="I64">
        <v>151</v>
      </c>
      <c r="J64">
        <v>2018</v>
      </c>
      <c r="K64" s="4">
        <v>44092</v>
      </c>
      <c r="L64" t="s">
        <v>30</v>
      </c>
      <c r="M64" t="s">
        <v>97</v>
      </c>
      <c r="N64">
        <v>3.12</v>
      </c>
      <c r="O64">
        <v>2331</v>
      </c>
      <c r="P64">
        <v>3.15</v>
      </c>
      <c r="Q64">
        <v>300</v>
      </c>
      <c r="R64">
        <v>538</v>
      </c>
    </row>
    <row r="65" spans="1:18" x14ac:dyDescent="0.2">
      <c r="A65">
        <v>7</v>
      </c>
      <c r="B65" t="s">
        <v>18</v>
      </c>
      <c r="E65" t="s">
        <v>51</v>
      </c>
      <c r="F65">
        <v>2251516</v>
      </c>
      <c r="G65">
        <v>1</v>
      </c>
      <c r="H65">
        <v>2</v>
      </c>
      <c r="I65">
        <v>725</v>
      </c>
      <c r="J65">
        <v>1991</v>
      </c>
      <c r="K65" s="4">
        <v>45718</v>
      </c>
      <c r="L65" t="s">
        <v>26</v>
      </c>
      <c r="M65" t="s">
        <v>56</v>
      </c>
      <c r="N65">
        <v>2.14</v>
      </c>
      <c r="O65">
        <v>1812</v>
      </c>
      <c r="P65">
        <v>1.75</v>
      </c>
      <c r="Q65">
        <v>60</v>
      </c>
      <c r="R65">
        <v>385</v>
      </c>
    </row>
    <row r="66" spans="1:18" x14ac:dyDescent="0.2">
      <c r="A66">
        <v>4</v>
      </c>
      <c r="B66" t="s">
        <v>38</v>
      </c>
      <c r="E66" t="s">
        <v>51</v>
      </c>
      <c r="F66">
        <v>2639521</v>
      </c>
      <c r="G66">
        <v>1</v>
      </c>
      <c r="H66">
        <v>3</v>
      </c>
      <c r="I66">
        <v>265</v>
      </c>
      <c r="J66">
        <v>1950</v>
      </c>
      <c r="K66" s="4">
        <v>44328</v>
      </c>
      <c r="L66" t="s">
        <v>30</v>
      </c>
      <c r="M66" t="s">
        <v>21</v>
      </c>
      <c r="N66">
        <v>1.65</v>
      </c>
      <c r="O66">
        <v>1287</v>
      </c>
      <c r="P66">
        <v>0.57999999999999996</v>
      </c>
      <c r="Q66">
        <v>80</v>
      </c>
      <c r="R66">
        <v>384</v>
      </c>
    </row>
    <row r="67" spans="1:18" x14ac:dyDescent="0.2">
      <c r="A67">
        <v>4</v>
      </c>
      <c r="B67" t="s">
        <v>90</v>
      </c>
      <c r="E67" t="s">
        <v>19</v>
      </c>
      <c r="F67">
        <v>2948168</v>
      </c>
      <c r="G67">
        <v>2</v>
      </c>
      <c r="H67">
        <v>1</v>
      </c>
      <c r="I67">
        <v>215</v>
      </c>
      <c r="J67">
        <v>1976</v>
      </c>
      <c r="K67" s="4">
        <v>44530</v>
      </c>
      <c r="L67" t="s">
        <v>20</v>
      </c>
      <c r="M67" t="s">
        <v>76</v>
      </c>
      <c r="N67">
        <v>3.32</v>
      </c>
      <c r="O67">
        <v>852</v>
      </c>
      <c r="P67">
        <v>1.5</v>
      </c>
      <c r="Q67">
        <v>140</v>
      </c>
      <c r="R67">
        <v>688</v>
      </c>
    </row>
    <row r="68" spans="1:18" x14ac:dyDescent="0.2">
      <c r="A68">
        <v>8</v>
      </c>
      <c r="B68" t="s">
        <v>73</v>
      </c>
      <c r="E68" t="s">
        <v>19</v>
      </c>
      <c r="F68">
        <v>1484200</v>
      </c>
      <c r="G68">
        <v>2</v>
      </c>
      <c r="H68">
        <v>2</v>
      </c>
      <c r="I68">
        <v>948</v>
      </c>
      <c r="J68">
        <v>1998</v>
      </c>
      <c r="K68" s="4">
        <v>44179</v>
      </c>
      <c r="L68" t="s">
        <v>23</v>
      </c>
      <c r="M68" t="s">
        <v>21</v>
      </c>
      <c r="N68">
        <v>3.42</v>
      </c>
      <c r="O68">
        <v>1487</v>
      </c>
      <c r="P68">
        <v>4.03</v>
      </c>
      <c r="Q68">
        <v>116</v>
      </c>
      <c r="R68">
        <v>658</v>
      </c>
    </row>
    <row r="69" spans="1:18" x14ac:dyDescent="0.2">
      <c r="A69">
        <v>2</v>
      </c>
      <c r="B69" t="s">
        <v>94</v>
      </c>
      <c r="E69" t="s">
        <v>51</v>
      </c>
      <c r="F69">
        <v>1633616</v>
      </c>
      <c r="G69">
        <v>5</v>
      </c>
      <c r="H69">
        <v>3</v>
      </c>
      <c r="I69">
        <v>584</v>
      </c>
      <c r="J69">
        <v>1953</v>
      </c>
      <c r="K69" s="4">
        <v>44980</v>
      </c>
      <c r="L69" t="s">
        <v>20</v>
      </c>
      <c r="M69" t="s">
        <v>52</v>
      </c>
      <c r="N69">
        <v>2.16</v>
      </c>
      <c r="O69">
        <v>2337</v>
      </c>
      <c r="P69">
        <v>2.08</v>
      </c>
      <c r="Q69">
        <v>302</v>
      </c>
      <c r="R69">
        <v>419</v>
      </c>
    </row>
    <row r="70" spans="1:18" x14ac:dyDescent="0.2">
      <c r="A70">
        <v>6</v>
      </c>
      <c r="B70" t="s">
        <v>90</v>
      </c>
      <c r="E70" t="s">
        <v>36</v>
      </c>
      <c r="F70">
        <v>2914399</v>
      </c>
      <c r="G70">
        <v>3</v>
      </c>
      <c r="H70">
        <v>1</v>
      </c>
      <c r="I70">
        <v>284</v>
      </c>
      <c r="J70">
        <v>1993</v>
      </c>
      <c r="K70" s="4">
        <v>45408</v>
      </c>
      <c r="L70" t="s">
        <v>30</v>
      </c>
      <c r="M70" t="s">
        <v>31</v>
      </c>
      <c r="N70">
        <v>1.7</v>
      </c>
      <c r="O70">
        <v>1741</v>
      </c>
      <c r="P70">
        <v>2.29</v>
      </c>
      <c r="Q70">
        <v>246</v>
      </c>
      <c r="R70">
        <v>354</v>
      </c>
    </row>
    <row r="71" spans="1:18" x14ac:dyDescent="0.2">
      <c r="A71">
        <v>4</v>
      </c>
      <c r="B71" t="s">
        <v>81</v>
      </c>
      <c r="E71" t="s">
        <v>19</v>
      </c>
      <c r="F71">
        <v>1459070</v>
      </c>
      <c r="G71">
        <v>2</v>
      </c>
      <c r="H71">
        <v>3</v>
      </c>
      <c r="I71">
        <v>583</v>
      </c>
      <c r="J71">
        <v>1968</v>
      </c>
      <c r="K71" s="4">
        <v>45705</v>
      </c>
      <c r="L71" t="s">
        <v>23</v>
      </c>
      <c r="M71" t="s">
        <v>76</v>
      </c>
      <c r="N71">
        <v>2.7</v>
      </c>
      <c r="O71">
        <v>1727</v>
      </c>
      <c r="P71">
        <v>3.24</v>
      </c>
      <c r="Q71">
        <v>136</v>
      </c>
      <c r="R71">
        <v>650</v>
      </c>
    </row>
    <row r="72" spans="1:18" x14ac:dyDescent="0.2">
      <c r="A72">
        <v>0</v>
      </c>
      <c r="B72" t="s">
        <v>87</v>
      </c>
      <c r="E72" t="s">
        <v>51</v>
      </c>
      <c r="F72">
        <v>1817047</v>
      </c>
      <c r="G72">
        <v>4</v>
      </c>
      <c r="H72">
        <v>2</v>
      </c>
      <c r="I72">
        <v>786</v>
      </c>
      <c r="J72">
        <v>1957</v>
      </c>
      <c r="K72" s="4">
        <v>45067</v>
      </c>
      <c r="L72" t="s">
        <v>26</v>
      </c>
      <c r="M72" t="s">
        <v>78</v>
      </c>
      <c r="N72">
        <v>1.56</v>
      </c>
      <c r="O72">
        <v>2252</v>
      </c>
      <c r="P72">
        <v>0.72</v>
      </c>
      <c r="Q72">
        <v>241</v>
      </c>
      <c r="R72">
        <v>410</v>
      </c>
    </row>
    <row r="73" spans="1:18" x14ac:dyDescent="0.2">
      <c r="A73">
        <v>0</v>
      </c>
      <c r="B73" t="s">
        <v>83</v>
      </c>
      <c r="E73" t="s">
        <v>51</v>
      </c>
      <c r="F73">
        <v>2935312</v>
      </c>
      <c r="G73">
        <v>5</v>
      </c>
      <c r="H73">
        <v>1</v>
      </c>
      <c r="I73">
        <v>382</v>
      </c>
      <c r="J73">
        <v>1992</v>
      </c>
      <c r="K73" s="4">
        <v>45001</v>
      </c>
      <c r="L73" t="s">
        <v>26</v>
      </c>
      <c r="M73" t="s">
        <v>37</v>
      </c>
      <c r="N73">
        <v>1.66</v>
      </c>
      <c r="O73">
        <v>961</v>
      </c>
      <c r="P73">
        <v>4.71</v>
      </c>
      <c r="Q73">
        <v>272</v>
      </c>
      <c r="R73">
        <v>322</v>
      </c>
    </row>
    <row r="74" spans="1:18" x14ac:dyDescent="0.2">
      <c r="A74">
        <v>0</v>
      </c>
      <c r="B74" t="s">
        <v>53</v>
      </c>
      <c r="E74" t="s">
        <v>51</v>
      </c>
      <c r="F74">
        <v>1580090</v>
      </c>
      <c r="G74">
        <v>2</v>
      </c>
      <c r="H74">
        <v>2</v>
      </c>
      <c r="I74">
        <v>667</v>
      </c>
      <c r="J74">
        <v>1967</v>
      </c>
      <c r="K74" s="4">
        <v>44383</v>
      </c>
      <c r="L74" t="s">
        <v>26</v>
      </c>
      <c r="M74" t="s">
        <v>85</v>
      </c>
      <c r="N74">
        <v>1.57</v>
      </c>
      <c r="O74">
        <v>1239</v>
      </c>
      <c r="P74">
        <v>1.42</v>
      </c>
      <c r="Q74">
        <v>92</v>
      </c>
      <c r="R74">
        <v>500</v>
      </c>
    </row>
    <row r="75" spans="1:18" x14ac:dyDescent="0.2">
      <c r="A75">
        <v>2</v>
      </c>
      <c r="B75" t="s">
        <v>105</v>
      </c>
      <c r="E75" t="s">
        <v>36</v>
      </c>
      <c r="F75">
        <v>2376880</v>
      </c>
      <c r="G75">
        <v>5</v>
      </c>
      <c r="H75">
        <v>1</v>
      </c>
      <c r="I75">
        <v>956</v>
      </c>
      <c r="J75">
        <v>1998</v>
      </c>
      <c r="K75" s="4">
        <v>45095</v>
      </c>
      <c r="L75" t="s">
        <v>26</v>
      </c>
      <c r="M75" t="s">
        <v>89</v>
      </c>
      <c r="N75">
        <v>2.59</v>
      </c>
      <c r="O75">
        <v>1650</v>
      </c>
      <c r="P75">
        <v>2.1</v>
      </c>
      <c r="Q75">
        <v>290</v>
      </c>
      <c r="R75">
        <v>680</v>
      </c>
    </row>
    <row r="76" spans="1:18" x14ac:dyDescent="0.2">
      <c r="A76">
        <v>7</v>
      </c>
      <c r="B76" t="s">
        <v>34</v>
      </c>
      <c r="E76" t="s">
        <v>36</v>
      </c>
      <c r="F76">
        <v>990663</v>
      </c>
      <c r="G76">
        <v>3</v>
      </c>
      <c r="H76">
        <v>3</v>
      </c>
      <c r="I76">
        <v>375</v>
      </c>
      <c r="J76">
        <v>2017</v>
      </c>
      <c r="K76" s="4">
        <v>45000</v>
      </c>
      <c r="L76" t="s">
        <v>23</v>
      </c>
      <c r="M76" t="s">
        <v>24</v>
      </c>
      <c r="N76">
        <v>1.53</v>
      </c>
      <c r="O76">
        <v>2142</v>
      </c>
      <c r="P76">
        <v>3.16</v>
      </c>
      <c r="Q76">
        <v>230</v>
      </c>
      <c r="R76">
        <v>636</v>
      </c>
    </row>
    <row r="77" spans="1:18" x14ac:dyDescent="0.2">
      <c r="A77">
        <v>4</v>
      </c>
      <c r="B77" t="s">
        <v>105</v>
      </c>
      <c r="E77" t="s">
        <v>51</v>
      </c>
      <c r="F77">
        <v>691135</v>
      </c>
      <c r="G77">
        <v>5</v>
      </c>
      <c r="H77">
        <v>3</v>
      </c>
      <c r="I77">
        <v>768</v>
      </c>
      <c r="J77">
        <v>1991</v>
      </c>
      <c r="K77" s="4">
        <v>44575</v>
      </c>
      <c r="L77" t="s">
        <v>23</v>
      </c>
      <c r="M77" t="s">
        <v>58</v>
      </c>
      <c r="N77">
        <v>3</v>
      </c>
      <c r="O77">
        <v>851</v>
      </c>
      <c r="P77">
        <v>1.37</v>
      </c>
      <c r="Q77">
        <v>350</v>
      </c>
      <c r="R77">
        <v>442</v>
      </c>
    </row>
    <row r="78" spans="1:18" x14ac:dyDescent="0.2">
      <c r="A78">
        <v>2</v>
      </c>
      <c r="B78" t="s">
        <v>94</v>
      </c>
      <c r="E78" t="s">
        <v>29</v>
      </c>
      <c r="F78">
        <v>1532380</v>
      </c>
      <c r="G78">
        <v>4</v>
      </c>
      <c r="H78">
        <v>2</v>
      </c>
      <c r="I78">
        <v>332</v>
      </c>
      <c r="J78">
        <v>1972</v>
      </c>
      <c r="K78" s="4">
        <v>45591</v>
      </c>
      <c r="L78" t="s">
        <v>23</v>
      </c>
      <c r="M78" t="s">
        <v>59</v>
      </c>
      <c r="N78">
        <v>1.69</v>
      </c>
      <c r="O78">
        <v>883</v>
      </c>
      <c r="P78">
        <v>0.21</v>
      </c>
      <c r="Q78">
        <v>172</v>
      </c>
      <c r="R78">
        <v>688</v>
      </c>
    </row>
    <row r="79" spans="1:18" x14ac:dyDescent="0.2">
      <c r="A79">
        <v>5</v>
      </c>
      <c r="B79" t="s">
        <v>32</v>
      </c>
      <c r="E79" t="s">
        <v>51</v>
      </c>
      <c r="F79">
        <v>1493898</v>
      </c>
      <c r="G79">
        <v>3</v>
      </c>
      <c r="H79">
        <v>1</v>
      </c>
      <c r="I79">
        <v>251</v>
      </c>
      <c r="J79">
        <v>1971</v>
      </c>
      <c r="K79" s="4">
        <v>45455</v>
      </c>
      <c r="L79" t="s">
        <v>23</v>
      </c>
      <c r="M79" t="s">
        <v>78</v>
      </c>
      <c r="N79">
        <v>3.29</v>
      </c>
      <c r="O79">
        <v>1341</v>
      </c>
      <c r="P79">
        <v>3.13</v>
      </c>
      <c r="Q79">
        <v>231</v>
      </c>
      <c r="R79">
        <v>497</v>
      </c>
    </row>
    <row r="80" spans="1:18" x14ac:dyDescent="0.2">
      <c r="A80">
        <v>6</v>
      </c>
      <c r="B80" t="s">
        <v>95</v>
      </c>
      <c r="E80" t="s">
        <v>36</v>
      </c>
      <c r="F80">
        <v>1212119</v>
      </c>
      <c r="G80">
        <v>1</v>
      </c>
      <c r="H80">
        <v>1</v>
      </c>
      <c r="I80">
        <v>750</v>
      </c>
      <c r="J80">
        <v>2010</v>
      </c>
      <c r="K80" s="4">
        <v>44314</v>
      </c>
      <c r="L80" t="s">
        <v>23</v>
      </c>
      <c r="M80" t="s">
        <v>66</v>
      </c>
      <c r="N80">
        <v>3.37</v>
      </c>
      <c r="O80">
        <v>1319</v>
      </c>
      <c r="P80">
        <v>1.8</v>
      </c>
      <c r="Q80">
        <v>155</v>
      </c>
      <c r="R80">
        <v>634</v>
      </c>
    </row>
    <row r="81" spans="1:18" x14ac:dyDescent="0.2">
      <c r="A81">
        <v>3</v>
      </c>
      <c r="B81" t="s">
        <v>93</v>
      </c>
      <c r="E81" t="s">
        <v>29</v>
      </c>
      <c r="F81">
        <v>2360422</v>
      </c>
      <c r="G81">
        <v>5</v>
      </c>
      <c r="H81">
        <v>2</v>
      </c>
      <c r="I81">
        <v>948</v>
      </c>
      <c r="J81">
        <v>1977</v>
      </c>
      <c r="K81" s="4">
        <v>44605</v>
      </c>
      <c r="L81" t="s">
        <v>20</v>
      </c>
      <c r="M81" t="s">
        <v>58</v>
      </c>
      <c r="N81">
        <v>3.23</v>
      </c>
      <c r="O81">
        <v>1683</v>
      </c>
      <c r="P81">
        <v>1.62</v>
      </c>
      <c r="Q81">
        <v>346</v>
      </c>
      <c r="R81">
        <v>657</v>
      </c>
    </row>
    <row r="82" spans="1:18" x14ac:dyDescent="0.2">
      <c r="A82">
        <v>8</v>
      </c>
      <c r="B82" t="s">
        <v>91</v>
      </c>
      <c r="E82" t="s">
        <v>51</v>
      </c>
      <c r="F82">
        <v>1226492</v>
      </c>
      <c r="G82">
        <v>0</v>
      </c>
      <c r="H82">
        <v>2</v>
      </c>
      <c r="I82">
        <v>453</v>
      </c>
      <c r="J82">
        <v>1964</v>
      </c>
      <c r="K82" s="4">
        <v>44667</v>
      </c>
      <c r="L82" t="s">
        <v>23</v>
      </c>
      <c r="M82" t="s">
        <v>35</v>
      </c>
      <c r="N82">
        <v>2.08</v>
      </c>
      <c r="O82">
        <v>2087</v>
      </c>
      <c r="P82">
        <v>0.46</v>
      </c>
      <c r="Q82">
        <v>72</v>
      </c>
      <c r="R82">
        <v>556</v>
      </c>
    </row>
    <row r="83" spans="1:18" x14ac:dyDescent="0.2">
      <c r="A83">
        <v>6</v>
      </c>
      <c r="B83" t="s">
        <v>41</v>
      </c>
      <c r="E83" t="s">
        <v>36</v>
      </c>
      <c r="F83">
        <v>755550</v>
      </c>
      <c r="G83">
        <v>1</v>
      </c>
      <c r="H83">
        <v>2</v>
      </c>
      <c r="I83">
        <v>542</v>
      </c>
      <c r="J83">
        <v>1985</v>
      </c>
      <c r="K83" s="4">
        <v>44588</v>
      </c>
      <c r="L83" t="s">
        <v>30</v>
      </c>
      <c r="M83" t="s">
        <v>54</v>
      </c>
      <c r="N83">
        <v>1.7</v>
      </c>
      <c r="O83">
        <v>1556</v>
      </c>
      <c r="P83">
        <v>4.4800000000000004</v>
      </c>
      <c r="Q83">
        <v>137</v>
      </c>
      <c r="R83">
        <v>559</v>
      </c>
    </row>
    <row r="84" spans="1:18" x14ac:dyDescent="0.2">
      <c r="A84">
        <v>6</v>
      </c>
      <c r="B84" t="s">
        <v>43</v>
      </c>
      <c r="E84" t="s">
        <v>51</v>
      </c>
      <c r="F84">
        <v>1139513</v>
      </c>
      <c r="G84">
        <v>4</v>
      </c>
      <c r="H84">
        <v>1</v>
      </c>
      <c r="I84">
        <v>996</v>
      </c>
      <c r="J84">
        <v>1987</v>
      </c>
      <c r="K84" s="4">
        <v>44092</v>
      </c>
      <c r="L84" t="s">
        <v>26</v>
      </c>
      <c r="M84" t="s">
        <v>40</v>
      </c>
      <c r="N84">
        <v>1.96</v>
      </c>
      <c r="O84">
        <v>1089</v>
      </c>
      <c r="P84">
        <v>3.13</v>
      </c>
      <c r="Q84">
        <v>350</v>
      </c>
      <c r="R84">
        <v>349</v>
      </c>
    </row>
    <row r="85" spans="1:18" x14ac:dyDescent="0.2">
      <c r="A85">
        <v>6</v>
      </c>
      <c r="B85" t="s">
        <v>39</v>
      </c>
      <c r="E85" t="s">
        <v>29</v>
      </c>
      <c r="F85">
        <v>2416831</v>
      </c>
      <c r="G85">
        <v>5</v>
      </c>
      <c r="H85">
        <v>2</v>
      </c>
      <c r="I85">
        <v>361</v>
      </c>
      <c r="J85">
        <v>1990</v>
      </c>
      <c r="K85" s="4">
        <v>44672</v>
      </c>
      <c r="L85" t="s">
        <v>20</v>
      </c>
      <c r="M85" t="s">
        <v>47</v>
      </c>
      <c r="N85">
        <v>2.36</v>
      </c>
      <c r="O85">
        <v>1509</v>
      </c>
      <c r="P85">
        <v>4.4000000000000004</v>
      </c>
      <c r="Q85">
        <v>250</v>
      </c>
      <c r="R85">
        <v>660</v>
      </c>
    </row>
    <row r="86" spans="1:18" x14ac:dyDescent="0.2">
      <c r="A86">
        <v>2</v>
      </c>
      <c r="B86" t="s">
        <v>34</v>
      </c>
      <c r="E86" t="s">
        <v>29</v>
      </c>
      <c r="F86">
        <v>1128096</v>
      </c>
      <c r="G86">
        <v>3</v>
      </c>
      <c r="H86">
        <v>1</v>
      </c>
      <c r="I86">
        <v>931</v>
      </c>
      <c r="J86">
        <v>1998</v>
      </c>
      <c r="K86" s="4">
        <v>44906</v>
      </c>
      <c r="L86" t="s">
        <v>30</v>
      </c>
      <c r="M86" t="s">
        <v>60</v>
      </c>
      <c r="N86">
        <v>2.82</v>
      </c>
      <c r="O86">
        <v>1475</v>
      </c>
      <c r="P86">
        <v>2.44</v>
      </c>
      <c r="Q86">
        <v>206</v>
      </c>
      <c r="R86">
        <v>643</v>
      </c>
    </row>
    <row r="87" spans="1:18" x14ac:dyDescent="0.2">
      <c r="A87">
        <v>3</v>
      </c>
      <c r="B87" t="s">
        <v>94</v>
      </c>
      <c r="E87" t="s">
        <v>36</v>
      </c>
      <c r="F87">
        <v>2713954</v>
      </c>
      <c r="G87">
        <v>3</v>
      </c>
      <c r="H87">
        <v>1</v>
      </c>
      <c r="I87">
        <v>552</v>
      </c>
      <c r="J87">
        <v>1972</v>
      </c>
      <c r="K87" s="4">
        <v>45776</v>
      </c>
      <c r="L87" t="s">
        <v>30</v>
      </c>
      <c r="M87" t="s">
        <v>60</v>
      </c>
      <c r="N87">
        <v>2.5</v>
      </c>
      <c r="O87">
        <v>2281</v>
      </c>
      <c r="P87">
        <v>1.07</v>
      </c>
      <c r="Q87">
        <v>169</v>
      </c>
      <c r="R87">
        <v>386</v>
      </c>
    </row>
    <row r="88" spans="1:18" x14ac:dyDescent="0.2">
      <c r="A88">
        <v>9</v>
      </c>
      <c r="B88" t="s">
        <v>34</v>
      </c>
      <c r="E88" t="s">
        <v>51</v>
      </c>
      <c r="F88">
        <v>2813121</v>
      </c>
      <c r="G88">
        <v>6</v>
      </c>
      <c r="H88">
        <v>3</v>
      </c>
      <c r="I88">
        <v>283</v>
      </c>
      <c r="J88">
        <v>1969</v>
      </c>
      <c r="K88" s="4">
        <v>45212</v>
      </c>
      <c r="L88" t="s">
        <v>20</v>
      </c>
      <c r="M88" t="s">
        <v>33</v>
      </c>
      <c r="N88">
        <v>2.86</v>
      </c>
      <c r="O88">
        <v>1415</v>
      </c>
      <c r="P88">
        <v>0.44</v>
      </c>
      <c r="Q88">
        <v>372</v>
      </c>
      <c r="R88">
        <v>449</v>
      </c>
    </row>
    <row r="89" spans="1:18" x14ac:dyDescent="0.2">
      <c r="A89">
        <v>1</v>
      </c>
      <c r="B89" t="s">
        <v>79</v>
      </c>
      <c r="E89" t="s">
        <v>19</v>
      </c>
      <c r="F89">
        <v>881816</v>
      </c>
      <c r="G89">
        <v>3</v>
      </c>
      <c r="H89">
        <v>2</v>
      </c>
      <c r="I89">
        <v>738</v>
      </c>
      <c r="J89">
        <v>1984</v>
      </c>
      <c r="K89" s="4">
        <v>45355</v>
      </c>
      <c r="L89" t="s">
        <v>30</v>
      </c>
      <c r="M89" t="s">
        <v>24</v>
      </c>
      <c r="N89">
        <v>1.8</v>
      </c>
      <c r="O89">
        <v>1303</v>
      </c>
      <c r="P89">
        <v>1.84</v>
      </c>
      <c r="Q89">
        <v>188</v>
      </c>
      <c r="R89">
        <v>425</v>
      </c>
    </row>
    <row r="90" spans="1:18" x14ac:dyDescent="0.2">
      <c r="A90">
        <v>5</v>
      </c>
      <c r="B90" t="s">
        <v>101</v>
      </c>
      <c r="E90" t="s">
        <v>36</v>
      </c>
      <c r="F90">
        <v>2848223</v>
      </c>
      <c r="G90">
        <v>2</v>
      </c>
      <c r="H90">
        <v>1</v>
      </c>
      <c r="I90">
        <v>386</v>
      </c>
      <c r="J90">
        <v>1976</v>
      </c>
      <c r="K90" s="4">
        <v>45314</v>
      </c>
      <c r="L90" t="s">
        <v>20</v>
      </c>
      <c r="M90" t="s">
        <v>45</v>
      </c>
      <c r="N90">
        <v>1.85</v>
      </c>
      <c r="O90">
        <v>2137</v>
      </c>
      <c r="P90">
        <v>3.96</v>
      </c>
      <c r="Q90">
        <v>104</v>
      </c>
      <c r="R90">
        <v>517</v>
      </c>
    </row>
    <row r="91" spans="1:18" x14ac:dyDescent="0.2">
      <c r="A91">
        <v>3</v>
      </c>
      <c r="B91" t="s">
        <v>93</v>
      </c>
      <c r="E91" t="s">
        <v>51</v>
      </c>
      <c r="F91">
        <v>2029488</v>
      </c>
      <c r="G91">
        <v>5</v>
      </c>
      <c r="H91">
        <v>1</v>
      </c>
      <c r="I91">
        <v>524</v>
      </c>
      <c r="J91">
        <v>1982</v>
      </c>
      <c r="K91" s="4">
        <v>45855</v>
      </c>
      <c r="L91" t="s">
        <v>26</v>
      </c>
      <c r="M91" t="s">
        <v>69</v>
      </c>
      <c r="N91">
        <v>2.82</v>
      </c>
      <c r="O91">
        <v>2045</v>
      </c>
      <c r="P91">
        <v>3.06</v>
      </c>
      <c r="Q91">
        <v>274</v>
      </c>
      <c r="R91">
        <v>422</v>
      </c>
    </row>
    <row r="92" spans="1:18" x14ac:dyDescent="0.2">
      <c r="A92">
        <v>2</v>
      </c>
      <c r="B92" t="s">
        <v>67</v>
      </c>
      <c r="E92" t="s">
        <v>19</v>
      </c>
      <c r="F92">
        <v>1740428</v>
      </c>
      <c r="G92">
        <v>3</v>
      </c>
      <c r="H92">
        <v>1</v>
      </c>
      <c r="I92">
        <v>92</v>
      </c>
      <c r="J92">
        <v>1968</v>
      </c>
      <c r="K92" s="4">
        <v>45261</v>
      </c>
      <c r="L92" t="s">
        <v>23</v>
      </c>
      <c r="M92" t="s">
        <v>74</v>
      </c>
      <c r="N92">
        <v>2.61</v>
      </c>
      <c r="O92">
        <v>1627</v>
      </c>
      <c r="P92">
        <v>2.63</v>
      </c>
      <c r="Q92">
        <v>254</v>
      </c>
      <c r="R92">
        <v>404</v>
      </c>
    </row>
    <row r="93" spans="1:18" x14ac:dyDescent="0.2">
      <c r="A93">
        <v>4</v>
      </c>
      <c r="B93" t="s">
        <v>71</v>
      </c>
      <c r="E93" t="s">
        <v>51</v>
      </c>
      <c r="F93">
        <v>1892543</v>
      </c>
      <c r="G93">
        <v>3</v>
      </c>
      <c r="H93">
        <v>3</v>
      </c>
      <c r="I93">
        <v>719</v>
      </c>
      <c r="J93">
        <v>2012</v>
      </c>
      <c r="K93" s="4">
        <v>45869</v>
      </c>
      <c r="L93" t="s">
        <v>26</v>
      </c>
      <c r="M93" t="s">
        <v>69</v>
      </c>
      <c r="N93">
        <v>2.76</v>
      </c>
      <c r="O93">
        <v>2268</v>
      </c>
      <c r="P93">
        <v>3.55</v>
      </c>
      <c r="Q93">
        <v>112</v>
      </c>
      <c r="R93">
        <v>623</v>
      </c>
    </row>
    <row r="94" spans="1:18" x14ac:dyDescent="0.2">
      <c r="A94">
        <v>4</v>
      </c>
      <c r="B94" t="s">
        <v>92</v>
      </c>
      <c r="E94" t="s">
        <v>51</v>
      </c>
      <c r="F94">
        <v>1626201</v>
      </c>
      <c r="G94">
        <v>4</v>
      </c>
      <c r="H94">
        <v>2</v>
      </c>
      <c r="I94">
        <v>528</v>
      </c>
      <c r="J94">
        <v>1974</v>
      </c>
      <c r="K94" s="4">
        <v>44187</v>
      </c>
      <c r="L94" t="s">
        <v>20</v>
      </c>
      <c r="M94" t="s">
        <v>69</v>
      </c>
      <c r="N94">
        <v>1.98</v>
      </c>
      <c r="O94">
        <v>1730</v>
      </c>
      <c r="P94">
        <v>4.8099999999999996</v>
      </c>
      <c r="Q94">
        <v>216</v>
      </c>
      <c r="R94">
        <v>640</v>
      </c>
    </row>
    <row r="95" spans="1:18" x14ac:dyDescent="0.2">
      <c r="A95">
        <v>1</v>
      </c>
      <c r="B95" t="s">
        <v>65</v>
      </c>
      <c r="E95" t="s">
        <v>29</v>
      </c>
      <c r="F95">
        <v>2300067</v>
      </c>
      <c r="G95">
        <v>2</v>
      </c>
      <c r="H95">
        <v>2</v>
      </c>
      <c r="I95">
        <v>488</v>
      </c>
      <c r="J95">
        <v>1954</v>
      </c>
      <c r="K95" s="4">
        <v>45531</v>
      </c>
      <c r="L95" t="s">
        <v>23</v>
      </c>
      <c r="M95" t="s">
        <v>58</v>
      </c>
      <c r="N95">
        <v>1.63</v>
      </c>
      <c r="O95">
        <v>1713</v>
      </c>
      <c r="P95">
        <v>0.2</v>
      </c>
      <c r="Q95">
        <v>152</v>
      </c>
      <c r="R95">
        <v>498</v>
      </c>
    </row>
    <row r="96" spans="1:18" x14ac:dyDescent="0.2">
      <c r="A96">
        <v>3</v>
      </c>
      <c r="B96" t="s">
        <v>50</v>
      </c>
      <c r="E96" t="s">
        <v>19</v>
      </c>
      <c r="F96">
        <v>466781</v>
      </c>
      <c r="G96">
        <v>0</v>
      </c>
      <c r="H96">
        <v>3</v>
      </c>
      <c r="I96">
        <v>663</v>
      </c>
      <c r="J96">
        <v>1967</v>
      </c>
      <c r="K96" s="4">
        <v>45509</v>
      </c>
      <c r="L96" t="s">
        <v>26</v>
      </c>
      <c r="M96" t="s">
        <v>66</v>
      </c>
      <c r="N96">
        <v>2.73</v>
      </c>
      <c r="O96">
        <v>1910</v>
      </c>
      <c r="P96">
        <v>1.8</v>
      </c>
      <c r="Q96">
        <v>76</v>
      </c>
      <c r="R96">
        <v>571</v>
      </c>
    </row>
    <row r="97" spans="1:18" x14ac:dyDescent="0.2">
      <c r="A97">
        <v>0</v>
      </c>
      <c r="B97" t="s">
        <v>72</v>
      </c>
      <c r="E97" t="s">
        <v>36</v>
      </c>
      <c r="F97">
        <v>2465986</v>
      </c>
      <c r="G97">
        <v>4</v>
      </c>
      <c r="H97">
        <v>2</v>
      </c>
      <c r="I97">
        <v>809</v>
      </c>
      <c r="J97">
        <v>1958</v>
      </c>
      <c r="K97" s="4">
        <v>45407</v>
      </c>
      <c r="L97" t="s">
        <v>26</v>
      </c>
      <c r="M97" t="s">
        <v>54</v>
      </c>
      <c r="N97">
        <v>1.91</v>
      </c>
      <c r="O97">
        <v>2181</v>
      </c>
      <c r="P97">
        <v>2.78</v>
      </c>
      <c r="Q97">
        <v>366</v>
      </c>
      <c r="R97">
        <v>420</v>
      </c>
    </row>
    <row r="98" spans="1:18" x14ac:dyDescent="0.2">
      <c r="A98">
        <v>5</v>
      </c>
      <c r="B98" t="s">
        <v>64</v>
      </c>
      <c r="E98" t="s">
        <v>36</v>
      </c>
      <c r="F98">
        <v>2672341</v>
      </c>
      <c r="G98">
        <v>4</v>
      </c>
      <c r="H98">
        <v>1</v>
      </c>
      <c r="I98">
        <v>500</v>
      </c>
      <c r="J98">
        <v>1951</v>
      </c>
      <c r="K98" s="4">
        <v>45566</v>
      </c>
      <c r="L98" t="s">
        <v>26</v>
      </c>
      <c r="M98" t="s">
        <v>66</v>
      </c>
      <c r="N98">
        <v>3.25</v>
      </c>
      <c r="O98">
        <v>2227</v>
      </c>
      <c r="P98">
        <v>4.92</v>
      </c>
      <c r="Q98">
        <v>349</v>
      </c>
      <c r="R98">
        <v>554</v>
      </c>
    </row>
    <row r="99" spans="1:18" x14ac:dyDescent="0.2">
      <c r="A99">
        <v>3</v>
      </c>
      <c r="B99" t="s">
        <v>72</v>
      </c>
      <c r="E99" t="s">
        <v>19</v>
      </c>
      <c r="F99">
        <v>2054716</v>
      </c>
      <c r="G99">
        <v>4</v>
      </c>
      <c r="H99">
        <v>1</v>
      </c>
      <c r="I99">
        <v>969</v>
      </c>
      <c r="J99">
        <v>1993</v>
      </c>
      <c r="K99" s="4">
        <v>45277</v>
      </c>
      <c r="L99" t="s">
        <v>30</v>
      </c>
      <c r="M99" t="s">
        <v>70</v>
      </c>
      <c r="N99">
        <v>1.93</v>
      </c>
      <c r="O99">
        <v>978</v>
      </c>
      <c r="P99">
        <v>4.32</v>
      </c>
      <c r="Q99">
        <v>326</v>
      </c>
      <c r="R99">
        <v>510</v>
      </c>
    </row>
    <row r="100" spans="1:18" x14ac:dyDescent="0.2">
      <c r="A100">
        <v>2</v>
      </c>
      <c r="B100" t="s">
        <v>81</v>
      </c>
      <c r="E100" t="s">
        <v>51</v>
      </c>
      <c r="F100">
        <v>406239</v>
      </c>
      <c r="G100">
        <v>4</v>
      </c>
      <c r="H100">
        <v>2</v>
      </c>
      <c r="I100">
        <v>630</v>
      </c>
      <c r="J100">
        <v>1958</v>
      </c>
      <c r="K100" s="4">
        <v>44766</v>
      </c>
      <c r="L100" t="s">
        <v>23</v>
      </c>
      <c r="M100" t="s">
        <v>76</v>
      </c>
      <c r="N100">
        <v>1.88</v>
      </c>
      <c r="O100">
        <v>940</v>
      </c>
      <c r="P100">
        <v>0.85</v>
      </c>
      <c r="Q100">
        <v>266</v>
      </c>
      <c r="R100">
        <v>514</v>
      </c>
    </row>
    <row r="101" spans="1:18" x14ac:dyDescent="0.2">
      <c r="A101">
        <v>6</v>
      </c>
      <c r="B101" t="s">
        <v>67</v>
      </c>
      <c r="E101" t="s">
        <v>29</v>
      </c>
      <c r="F101">
        <v>2874071</v>
      </c>
      <c r="G101">
        <v>0</v>
      </c>
      <c r="H101">
        <v>3</v>
      </c>
      <c r="I101">
        <v>590</v>
      </c>
      <c r="J101">
        <v>1966</v>
      </c>
      <c r="K101" s="4">
        <v>45144</v>
      </c>
      <c r="L101" t="s">
        <v>30</v>
      </c>
      <c r="M101" t="s">
        <v>31</v>
      </c>
      <c r="N101">
        <v>2.38</v>
      </c>
      <c r="O101">
        <v>1840</v>
      </c>
      <c r="P101">
        <v>3.12</v>
      </c>
      <c r="Q101">
        <v>48</v>
      </c>
      <c r="R101">
        <v>669</v>
      </c>
    </row>
    <row r="102" spans="1:18" x14ac:dyDescent="0.2">
      <c r="A102">
        <v>4</v>
      </c>
      <c r="B102" t="s">
        <v>25</v>
      </c>
      <c r="E102" t="s">
        <v>19</v>
      </c>
      <c r="F102">
        <v>2377115</v>
      </c>
      <c r="G102">
        <v>5</v>
      </c>
      <c r="H102">
        <v>3</v>
      </c>
      <c r="I102">
        <v>989</v>
      </c>
      <c r="J102">
        <v>1954</v>
      </c>
      <c r="K102" s="4">
        <v>45532</v>
      </c>
      <c r="L102" t="s">
        <v>20</v>
      </c>
      <c r="M102" t="s">
        <v>63</v>
      </c>
      <c r="N102">
        <v>2.71</v>
      </c>
      <c r="O102">
        <v>2114</v>
      </c>
      <c r="P102">
        <v>1.57</v>
      </c>
      <c r="Q102">
        <v>323</v>
      </c>
      <c r="R102">
        <v>663</v>
      </c>
    </row>
    <row r="103" spans="1:18" x14ac:dyDescent="0.2">
      <c r="A103">
        <v>1</v>
      </c>
      <c r="B103" t="s">
        <v>87</v>
      </c>
      <c r="E103" t="s">
        <v>29</v>
      </c>
      <c r="F103">
        <v>2378244</v>
      </c>
      <c r="G103">
        <v>1</v>
      </c>
      <c r="H103">
        <v>2</v>
      </c>
      <c r="I103">
        <v>761</v>
      </c>
      <c r="J103">
        <v>1955</v>
      </c>
      <c r="K103" s="4">
        <v>45158</v>
      </c>
      <c r="L103" t="s">
        <v>23</v>
      </c>
      <c r="M103" t="s">
        <v>74</v>
      </c>
      <c r="N103">
        <v>3.28</v>
      </c>
      <c r="O103">
        <v>1056</v>
      </c>
      <c r="P103">
        <v>4.87</v>
      </c>
      <c r="Q103">
        <v>159</v>
      </c>
      <c r="R103">
        <v>562</v>
      </c>
    </row>
    <row r="104" spans="1:18" x14ac:dyDescent="0.2">
      <c r="A104">
        <v>4</v>
      </c>
      <c r="B104" t="s">
        <v>84</v>
      </c>
      <c r="E104" t="s">
        <v>19</v>
      </c>
      <c r="F104">
        <v>1542491</v>
      </c>
      <c r="G104">
        <v>2</v>
      </c>
      <c r="H104">
        <v>2</v>
      </c>
      <c r="I104">
        <v>467</v>
      </c>
      <c r="J104">
        <v>1988</v>
      </c>
      <c r="K104" s="4">
        <v>44199</v>
      </c>
      <c r="L104" t="s">
        <v>26</v>
      </c>
      <c r="M104" t="s">
        <v>35</v>
      </c>
      <c r="N104">
        <v>3.26</v>
      </c>
      <c r="O104">
        <v>1781</v>
      </c>
      <c r="P104">
        <v>2.58</v>
      </c>
      <c r="Q104">
        <v>230</v>
      </c>
      <c r="R104">
        <v>571</v>
      </c>
    </row>
    <row r="105" spans="1:18" x14ac:dyDescent="0.2">
      <c r="A105">
        <v>1</v>
      </c>
      <c r="B105" t="s">
        <v>62</v>
      </c>
      <c r="E105" t="s">
        <v>19</v>
      </c>
      <c r="F105">
        <v>1557202</v>
      </c>
      <c r="G105">
        <v>2</v>
      </c>
      <c r="H105">
        <v>1</v>
      </c>
      <c r="I105">
        <v>603</v>
      </c>
      <c r="J105">
        <v>1978</v>
      </c>
      <c r="K105" s="4">
        <v>44070</v>
      </c>
      <c r="L105" t="s">
        <v>23</v>
      </c>
      <c r="M105" t="s">
        <v>82</v>
      </c>
      <c r="N105">
        <v>2.4700000000000002</v>
      </c>
      <c r="O105">
        <v>1113</v>
      </c>
      <c r="P105">
        <v>3.5</v>
      </c>
      <c r="Q105">
        <v>43</v>
      </c>
      <c r="R105">
        <v>514</v>
      </c>
    </row>
    <row r="106" spans="1:18" x14ac:dyDescent="0.2">
      <c r="A106">
        <v>0</v>
      </c>
      <c r="B106" t="s">
        <v>90</v>
      </c>
      <c r="E106" t="s">
        <v>36</v>
      </c>
      <c r="F106">
        <v>1104181</v>
      </c>
      <c r="G106">
        <v>3</v>
      </c>
      <c r="H106">
        <v>3</v>
      </c>
      <c r="I106">
        <v>666</v>
      </c>
      <c r="J106">
        <v>2018</v>
      </c>
      <c r="K106" s="4">
        <v>45469</v>
      </c>
      <c r="L106" t="s">
        <v>30</v>
      </c>
      <c r="M106" t="s">
        <v>33</v>
      </c>
      <c r="N106">
        <v>3.36</v>
      </c>
      <c r="O106">
        <v>2265</v>
      </c>
      <c r="P106">
        <v>0.85</v>
      </c>
      <c r="Q106">
        <v>135</v>
      </c>
      <c r="R106">
        <v>574</v>
      </c>
    </row>
    <row r="107" spans="1:18" x14ac:dyDescent="0.2">
      <c r="A107">
        <v>7</v>
      </c>
      <c r="B107" t="s">
        <v>99</v>
      </c>
      <c r="E107" t="s">
        <v>36</v>
      </c>
      <c r="F107">
        <v>1854747</v>
      </c>
      <c r="G107">
        <v>2</v>
      </c>
      <c r="H107">
        <v>1</v>
      </c>
      <c r="I107">
        <v>604</v>
      </c>
      <c r="J107">
        <v>2009</v>
      </c>
      <c r="K107" s="4">
        <v>45646</v>
      </c>
      <c r="L107" t="s">
        <v>30</v>
      </c>
      <c r="M107" t="s">
        <v>97</v>
      </c>
      <c r="N107">
        <v>3.46</v>
      </c>
      <c r="O107">
        <v>1846</v>
      </c>
      <c r="P107">
        <v>4.74</v>
      </c>
      <c r="Q107">
        <v>177</v>
      </c>
      <c r="R107">
        <v>404</v>
      </c>
    </row>
    <row r="108" spans="1:18" x14ac:dyDescent="0.2">
      <c r="A108">
        <v>3</v>
      </c>
      <c r="B108" t="s">
        <v>104</v>
      </c>
      <c r="E108" t="s">
        <v>51</v>
      </c>
      <c r="F108">
        <v>652364</v>
      </c>
      <c r="G108">
        <v>5</v>
      </c>
      <c r="H108">
        <v>2</v>
      </c>
      <c r="I108">
        <v>540</v>
      </c>
      <c r="J108">
        <v>1971</v>
      </c>
      <c r="K108" s="4">
        <v>45566</v>
      </c>
      <c r="L108" t="s">
        <v>20</v>
      </c>
      <c r="M108" t="s">
        <v>37</v>
      </c>
      <c r="N108">
        <v>1.88</v>
      </c>
      <c r="O108">
        <v>1302</v>
      </c>
      <c r="P108">
        <v>1.55</v>
      </c>
      <c r="Q108">
        <v>243</v>
      </c>
      <c r="R108">
        <v>652</v>
      </c>
    </row>
    <row r="109" spans="1:18" x14ac:dyDescent="0.2">
      <c r="A109">
        <v>5</v>
      </c>
      <c r="B109" t="s">
        <v>64</v>
      </c>
      <c r="E109" t="s">
        <v>19</v>
      </c>
      <c r="F109">
        <v>2573638</v>
      </c>
      <c r="G109">
        <v>3</v>
      </c>
      <c r="H109">
        <v>3</v>
      </c>
      <c r="I109">
        <v>839</v>
      </c>
      <c r="J109">
        <v>2010</v>
      </c>
      <c r="K109" s="4">
        <v>44601</v>
      </c>
      <c r="L109" t="s">
        <v>30</v>
      </c>
      <c r="M109" t="s">
        <v>31</v>
      </c>
      <c r="N109">
        <v>2.3199999999999998</v>
      </c>
      <c r="O109">
        <v>951</v>
      </c>
      <c r="P109">
        <v>2.13</v>
      </c>
      <c r="Q109">
        <v>245</v>
      </c>
      <c r="R109">
        <v>628</v>
      </c>
    </row>
    <row r="110" spans="1:18" x14ac:dyDescent="0.2">
      <c r="A110">
        <v>5</v>
      </c>
      <c r="B110" t="s">
        <v>102</v>
      </c>
      <c r="E110" t="s">
        <v>36</v>
      </c>
      <c r="F110">
        <v>2807812</v>
      </c>
      <c r="G110">
        <v>4</v>
      </c>
      <c r="H110">
        <v>3</v>
      </c>
      <c r="I110">
        <v>66</v>
      </c>
      <c r="J110">
        <v>1958</v>
      </c>
      <c r="K110" s="4">
        <v>45751</v>
      </c>
      <c r="L110" t="s">
        <v>20</v>
      </c>
      <c r="M110" t="s">
        <v>78</v>
      </c>
      <c r="N110">
        <v>1.58</v>
      </c>
      <c r="O110">
        <v>1498</v>
      </c>
      <c r="P110">
        <v>0.89</v>
      </c>
      <c r="Q110">
        <v>304</v>
      </c>
      <c r="R110">
        <v>438</v>
      </c>
    </row>
    <row r="111" spans="1:18" x14ac:dyDescent="0.2">
      <c r="A111">
        <v>4</v>
      </c>
      <c r="B111" t="s">
        <v>87</v>
      </c>
      <c r="E111" t="s">
        <v>51</v>
      </c>
      <c r="F111">
        <v>1680623</v>
      </c>
      <c r="G111">
        <v>1</v>
      </c>
      <c r="H111">
        <v>2</v>
      </c>
      <c r="I111">
        <v>642</v>
      </c>
      <c r="J111">
        <v>2014</v>
      </c>
      <c r="K111" s="4">
        <v>45038</v>
      </c>
      <c r="L111" t="s">
        <v>30</v>
      </c>
      <c r="M111" t="s">
        <v>77</v>
      </c>
      <c r="N111">
        <v>3.1</v>
      </c>
      <c r="O111">
        <v>1268</v>
      </c>
      <c r="P111">
        <v>2.98</v>
      </c>
      <c r="Q111">
        <v>74</v>
      </c>
      <c r="R111">
        <v>599</v>
      </c>
    </row>
    <row r="112" spans="1:18" x14ac:dyDescent="0.2">
      <c r="A112">
        <v>5</v>
      </c>
      <c r="B112" t="s">
        <v>96</v>
      </c>
      <c r="E112" t="s">
        <v>36</v>
      </c>
      <c r="F112">
        <v>883300</v>
      </c>
      <c r="G112">
        <v>2</v>
      </c>
      <c r="H112">
        <v>2</v>
      </c>
      <c r="I112">
        <v>358</v>
      </c>
      <c r="J112">
        <v>1990</v>
      </c>
      <c r="K112" s="4">
        <v>44475</v>
      </c>
      <c r="L112" t="s">
        <v>20</v>
      </c>
      <c r="M112" t="s">
        <v>54</v>
      </c>
      <c r="N112">
        <v>2.15</v>
      </c>
      <c r="O112">
        <v>2214</v>
      </c>
      <c r="P112">
        <v>2.3199999999999998</v>
      </c>
      <c r="Q112">
        <v>207</v>
      </c>
      <c r="R112">
        <v>309</v>
      </c>
    </row>
    <row r="113" spans="1:18" x14ac:dyDescent="0.2">
      <c r="A113">
        <v>3</v>
      </c>
      <c r="B113" t="s">
        <v>86</v>
      </c>
      <c r="E113" t="s">
        <v>51</v>
      </c>
      <c r="F113">
        <v>1861511</v>
      </c>
      <c r="G113">
        <v>4</v>
      </c>
      <c r="H113">
        <v>2</v>
      </c>
      <c r="I113">
        <v>625</v>
      </c>
      <c r="J113">
        <v>2011</v>
      </c>
      <c r="K113" s="4">
        <v>44408</v>
      </c>
      <c r="L113" t="s">
        <v>26</v>
      </c>
      <c r="M113" t="s">
        <v>21</v>
      </c>
      <c r="N113">
        <v>3.45</v>
      </c>
      <c r="O113">
        <v>868</v>
      </c>
      <c r="P113">
        <v>0.81</v>
      </c>
      <c r="Q113">
        <v>315</v>
      </c>
      <c r="R113">
        <v>482</v>
      </c>
    </row>
    <row r="114" spans="1:18" x14ac:dyDescent="0.2">
      <c r="A114">
        <v>0</v>
      </c>
      <c r="B114" t="s">
        <v>84</v>
      </c>
      <c r="E114" t="s">
        <v>51</v>
      </c>
      <c r="F114">
        <v>1715932</v>
      </c>
      <c r="G114">
        <v>2</v>
      </c>
      <c r="H114">
        <v>3</v>
      </c>
      <c r="I114">
        <v>619</v>
      </c>
      <c r="J114">
        <v>1980</v>
      </c>
      <c r="K114" s="4">
        <v>44528</v>
      </c>
      <c r="L114" t="s">
        <v>23</v>
      </c>
      <c r="M114" t="s">
        <v>70</v>
      </c>
      <c r="N114">
        <v>2.99</v>
      </c>
      <c r="O114">
        <v>1967</v>
      </c>
      <c r="P114">
        <v>1.74</v>
      </c>
      <c r="Q114">
        <v>157</v>
      </c>
      <c r="R114">
        <v>681</v>
      </c>
    </row>
    <row r="115" spans="1:18" x14ac:dyDescent="0.2">
      <c r="A115">
        <v>0</v>
      </c>
      <c r="B115" t="s">
        <v>99</v>
      </c>
      <c r="E115" t="s">
        <v>36</v>
      </c>
      <c r="F115">
        <v>521710</v>
      </c>
      <c r="G115">
        <v>2</v>
      </c>
      <c r="H115">
        <v>3</v>
      </c>
      <c r="I115">
        <v>541</v>
      </c>
      <c r="J115">
        <v>1964</v>
      </c>
      <c r="K115" s="4">
        <v>45835</v>
      </c>
      <c r="L115" t="s">
        <v>26</v>
      </c>
      <c r="M115" t="s">
        <v>89</v>
      </c>
      <c r="N115">
        <v>3</v>
      </c>
      <c r="O115">
        <v>1249</v>
      </c>
      <c r="P115">
        <v>2.06</v>
      </c>
      <c r="Q115">
        <v>60</v>
      </c>
      <c r="R115">
        <v>570</v>
      </c>
    </row>
    <row r="116" spans="1:18" x14ac:dyDescent="0.2">
      <c r="A116">
        <v>7</v>
      </c>
      <c r="B116" t="s">
        <v>106</v>
      </c>
      <c r="E116" t="s">
        <v>36</v>
      </c>
      <c r="F116">
        <v>2550682</v>
      </c>
      <c r="G116">
        <v>4</v>
      </c>
      <c r="H116">
        <v>2</v>
      </c>
      <c r="I116">
        <v>102</v>
      </c>
      <c r="J116">
        <v>2015</v>
      </c>
      <c r="K116" s="4">
        <v>44140</v>
      </c>
      <c r="L116" t="s">
        <v>26</v>
      </c>
      <c r="M116" t="s">
        <v>66</v>
      </c>
      <c r="N116">
        <v>3.46</v>
      </c>
      <c r="O116">
        <v>2376</v>
      </c>
      <c r="P116">
        <v>3.45</v>
      </c>
      <c r="Q116">
        <v>349</v>
      </c>
      <c r="R116">
        <v>344</v>
      </c>
    </row>
    <row r="117" spans="1:18" x14ac:dyDescent="0.2">
      <c r="A117">
        <v>9</v>
      </c>
      <c r="B117" t="s">
        <v>67</v>
      </c>
      <c r="E117" t="s">
        <v>29</v>
      </c>
      <c r="F117">
        <v>1627423</v>
      </c>
      <c r="G117">
        <v>5</v>
      </c>
      <c r="H117">
        <v>1</v>
      </c>
      <c r="I117">
        <v>743</v>
      </c>
      <c r="J117">
        <v>1954</v>
      </c>
      <c r="K117" s="4">
        <v>44274</v>
      </c>
      <c r="L117" t="s">
        <v>26</v>
      </c>
      <c r="M117" t="s">
        <v>70</v>
      </c>
      <c r="N117">
        <v>2.95</v>
      </c>
      <c r="O117">
        <v>816</v>
      </c>
      <c r="P117">
        <v>2.7</v>
      </c>
      <c r="Q117">
        <v>349</v>
      </c>
      <c r="R117">
        <v>356</v>
      </c>
    </row>
    <row r="118" spans="1:18" x14ac:dyDescent="0.2">
      <c r="A118">
        <v>5</v>
      </c>
      <c r="B118" t="s">
        <v>80</v>
      </c>
      <c r="E118" t="s">
        <v>29</v>
      </c>
      <c r="F118">
        <v>2364131</v>
      </c>
      <c r="G118">
        <v>4</v>
      </c>
      <c r="H118">
        <v>3</v>
      </c>
      <c r="I118">
        <v>430</v>
      </c>
      <c r="J118">
        <v>2014</v>
      </c>
      <c r="K118" s="4">
        <v>44827</v>
      </c>
      <c r="L118" t="s">
        <v>23</v>
      </c>
      <c r="M118" t="s">
        <v>70</v>
      </c>
      <c r="N118">
        <v>2.44</v>
      </c>
      <c r="O118">
        <v>1288</v>
      </c>
      <c r="P118">
        <v>1.86</v>
      </c>
      <c r="Q118">
        <v>322</v>
      </c>
      <c r="R118">
        <v>332</v>
      </c>
    </row>
    <row r="119" spans="1:18" x14ac:dyDescent="0.2">
      <c r="A119">
        <v>2</v>
      </c>
      <c r="B119" t="s">
        <v>91</v>
      </c>
      <c r="E119" t="s">
        <v>29</v>
      </c>
      <c r="F119">
        <v>2729754</v>
      </c>
      <c r="G119">
        <v>2</v>
      </c>
      <c r="H119">
        <v>2</v>
      </c>
      <c r="I119">
        <v>796</v>
      </c>
      <c r="J119">
        <v>2012</v>
      </c>
      <c r="K119" s="4">
        <v>44328</v>
      </c>
      <c r="L119" t="s">
        <v>20</v>
      </c>
      <c r="M119" t="s">
        <v>76</v>
      </c>
      <c r="N119">
        <v>3.11</v>
      </c>
      <c r="O119">
        <v>2380</v>
      </c>
      <c r="P119">
        <v>2.52</v>
      </c>
      <c r="Q119">
        <v>109</v>
      </c>
      <c r="R119">
        <v>458</v>
      </c>
    </row>
    <row r="120" spans="1:18" x14ac:dyDescent="0.2">
      <c r="A120">
        <v>2</v>
      </c>
      <c r="B120" t="s">
        <v>71</v>
      </c>
      <c r="E120" t="s">
        <v>19</v>
      </c>
      <c r="F120">
        <v>488718</v>
      </c>
      <c r="G120">
        <v>1</v>
      </c>
      <c r="H120">
        <v>3</v>
      </c>
      <c r="I120">
        <v>328</v>
      </c>
      <c r="J120">
        <v>2020</v>
      </c>
      <c r="K120" s="4">
        <v>45126</v>
      </c>
      <c r="L120" t="s">
        <v>30</v>
      </c>
      <c r="M120" t="s">
        <v>42</v>
      </c>
      <c r="N120">
        <v>1.88</v>
      </c>
      <c r="O120">
        <v>2149</v>
      </c>
      <c r="P120">
        <v>0.85</v>
      </c>
      <c r="Q120">
        <v>125</v>
      </c>
      <c r="R120">
        <v>454</v>
      </c>
    </row>
    <row r="121" spans="1:18" x14ac:dyDescent="0.2">
      <c r="A121">
        <v>1</v>
      </c>
      <c r="B121" t="s">
        <v>67</v>
      </c>
      <c r="E121" t="s">
        <v>51</v>
      </c>
      <c r="F121">
        <v>710495</v>
      </c>
      <c r="G121">
        <v>1</v>
      </c>
      <c r="H121">
        <v>1</v>
      </c>
      <c r="I121">
        <v>216</v>
      </c>
      <c r="J121">
        <v>1986</v>
      </c>
      <c r="K121" s="4">
        <v>44983</v>
      </c>
      <c r="L121" t="s">
        <v>23</v>
      </c>
      <c r="M121" t="s">
        <v>40</v>
      </c>
      <c r="N121">
        <v>2.27</v>
      </c>
      <c r="O121">
        <v>1814</v>
      </c>
      <c r="P121">
        <v>0.11</v>
      </c>
      <c r="Q121">
        <v>136</v>
      </c>
      <c r="R121">
        <v>674</v>
      </c>
    </row>
    <row r="122" spans="1:18" x14ac:dyDescent="0.2">
      <c r="A122">
        <v>8</v>
      </c>
      <c r="B122" t="s">
        <v>38</v>
      </c>
      <c r="E122" t="s">
        <v>19</v>
      </c>
      <c r="F122">
        <v>2518595</v>
      </c>
      <c r="G122">
        <v>3</v>
      </c>
      <c r="H122">
        <v>2</v>
      </c>
      <c r="I122">
        <v>380</v>
      </c>
      <c r="J122">
        <v>1974</v>
      </c>
      <c r="K122" s="4">
        <v>44371</v>
      </c>
      <c r="L122" t="s">
        <v>30</v>
      </c>
      <c r="M122" t="s">
        <v>74</v>
      </c>
      <c r="N122">
        <v>2.11</v>
      </c>
      <c r="O122">
        <v>1075</v>
      </c>
      <c r="P122">
        <v>3.15</v>
      </c>
      <c r="Q122">
        <v>290</v>
      </c>
      <c r="R122">
        <v>316</v>
      </c>
    </row>
    <row r="123" spans="1:18" x14ac:dyDescent="0.2">
      <c r="A123">
        <v>5</v>
      </c>
      <c r="B123" t="s">
        <v>41</v>
      </c>
      <c r="E123" t="s">
        <v>19</v>
      </c>
      <c r="F123">
        <v>1620627</v>
      </c>
      <c r="G123">
        <v>4</v>
      </c>
      <c r="H123">
        <v>1</v>
      </c>
      <c r="I123">
        <v>310</v>
      </c>
      <c r="J123">
        <v>1962</v>
      </c>
      <c r="K123" s="4">
        <v>44325</v>
      </c>
      <c r="L123" t="s">
        <v>20</v>
      </c>
      <c r="M123" t="s">
        <v>40</v>
      </c>
      <c r="N123">
        <v>2.2599999999999998</v>
      </c>
      <c r="O123">
        <v>1259</v>
      </c>
      <c r="P123">
        <v>3.56</v>
      </c>
      <c r="Q123">
        <v>384</v>
      </c>
      <c r="R123">
        <v>323</v>
      </c>
    </row>
    <row r="124" spans="1:18" x14ac:dyDescent="0.2">
      <c r="A124">
        <v>7</v>
      </c>
      <c r="B124" t="s">
        <v>92</v>
      </c>
      <c r="E124" t="s">
        <v>36</v>
      </c>
      <c r="F124">
        <v>1591866</v>
      </c>
      <c r="G124">
        <v>4</v>
      </c>
      <c r="H124">
        <v>3</v>
      </c>
      <c r="I124">
        <v>919</v>
      </c>
      <c r="J124">
        <v>1950</v>
      </c>
      <c r="K124" s="4">
        <v>45704</v>
      </c>
      <c r="L124" t="s">
        <v>30</v>
      </c>
      <c r="M124" t="s">
        <v>89</v>
      </c>
      <c r="N124">
        <v>2.4700000000000002</v>
      </c>
      <c r="O124">
        <v>1565</v>
      </c>
      <c r="P124">
        <v>4.26</v>
      </c>
      <c r="Q124">
        <v>196</v>
      </c>
      <c r="R124">
        <v>393</v>
      </c>
    </row>
    <row r="125" spans="1:18" x14ac:dyDescent="0.2">
      <c r="A125">
        <v>1</v>
      </c>
      <c r="B125" t="s">
        <v>39</v>
      </c>
      <c r="E125" t="s">
        <v>36</v>
      </c>
      <c r="F125">
        <v>1476385</v>
      </c>
      <c r="G125">
        <v>4</v>
      </c>
      <c r="H125">
        <v>3</v>
      </c>
      <c r="I125">
        <v>148</v>
      </c>
      <c r="J125">
        <v>1972</v>
      </c>
      <c r="K125" s="4">
        <v>45045</v>
      </c>
      <c r="L125" t="s">
        <v>23</v>
      </c>
      <c r="M125" t="s">
        <v>45</v>
      </c>
      <c r="N125">
        <v>2.31</v>
      </c>
      <c r="O125">
        <v>1542</v>
      </c>
      <c r="P125">
        <v>1.55</v>
      </c>
      <c r="Q125">
        <v>309</v>
      </c>
      <c r="R125">
        <v>673</v>
      </c>
    </row>
    <row r="126" spans="1:18" x14ac:dyDescent="0.2">
      <c r="A126">
        <v>1</v>
      </c>
      <c r="B126" t="s">
        <v>44</v>
      </c>
      <c r="E126" t="s">
        <v>29</v>
      </c>
      <c r="F126">
        <v>1095472</v>
      </c>
      <c r="G126">
        <v>3</v>
      </c>
      <c r="H126">
        <v>1</v>
      </c>
      <c r="I126">
        <v>535</v>
      </c>
      <c r="J126">
        <v>1971</v>
      </c>
      <c r="K126" s="4">
        <v>44990</v>
      </c>
      <c r="L126" t="s">
        <v>23</v>
      </c>
      <c r="M126" t="s">
        <v>78</v>
      </c>
      <c r="N126">
        <v>2.78</v>
      </c>
      <c r="O126">
        <v>2050</v>
      </c>
      <c r="P126">
        <v>0.88</v>
      </c>
      <c r="Q126">
        <v>201</v>
      </c>
      <c r="R126">
        <v>498</v>
      </c>
    </row>
    <row r="127" spans="1:18" x14ac:dyDescent="0.2">
      <c r="A127">
        <v>7</v>
      </c>
      <c r="B127" t="s">
        <v>99</v>
      </c>
      <c r="E127" t="s">
        <v>19</v>
      </c>
      <c r="F127">
        <v>2950239</v>
      </c>
      <c r="G127">
        <v>3</v>
      </c>
      <c r="H127">
        <v>1</v>
      </c>
      <c r="I127">
        <v>236</v>
      </c>
      <c r="J127">
        <v>2022</v>
      </c>
      <c r="K127" s="4">
        <v>45553</v>
      </c>
      <c r="L127" t="s">
        <v>30</v>
      </c>
      <c r="M127" t="s">
        <v>54</v>
      </c>
      <c r="N127">
        <v>2.56</v>
      </c>
      <c r="O127">
        <v>848</v>
      </c>
      <c r="P127">
        <v>2.11</v>
      </c>
      <c r="Q127">
        <v>306</v>
      </c>
      <c r="R127">
        <v>464</v>
      </c>
    </row>
    <row r="128" spans="1:18" x14ac:dyDescent="0.2">
      <c r="A128">
        <v>5</v>
      </c>
      <c r="B128" t="s">
        <v>92</v>
      </c>
      <c r="E128" t="s">
        <v>36</v>
      </c>
      <c r="F128">
        <v>2330245</v>
      </c>
      <c r="G128">
        <v>1</v>
      </c>
      <c r="H128">
        <v>1</v>
      </c>
      <c r="I128">
        <v>521</v>
      </c>
      <c r="J128">
        <v>2009</v>
      </c>
      <c r="K128" s="4">
        <v>44390</v>
      </c>
      <c r="L128" t="s">
        <v>23</v>
      </c>
      <c r="M128" t="s">
        <v>45</v>
      </c>
      <c r="N128">
        <v>1.56</v>
      </c>
      <c r="O128">
        <v>808</v>
      </c>
      <c r="P128">
        <v>2.92</v>
      </c>
      <c r="Q128">
        <v>61</v>
      </c>
      <c r="R128">
        <v>521</v>
      </c>
    </row>
    <row r="129" spans="1:18" x14ac:dyDescent="0.2">
      <c r="A129">
        <v>5</v>
      </c>
      <c r="B129" t="s">
        <v>49</v>
      </c>
      <c r="E129" t="s">
        <v>36</v>
      </c>
      <c r="F129">
        <v>819079</v>
      </c>
      <c r="G129">
        <v>2</v>
      </c>
      <c r="H129">
        <v>2</v>
      </c>
      <c r="I129">
        <v>230</v>
      </c>
      <c r="J129">
        <v>2000</v>
      </c>
      <c r="K129" s="4">
        <v>44217</v>
      </c>
      <c r="L129" t="s">
        <v>20</v>
      </c>
      <c r="M129" t="s">
        <v>47</v>
      </c>
      <c r="N129">
        <v>1.89</v>
      </c>
      <c r="O129">
        <v>1442</v>
      </c>
      <c r="P129">
        <v>1.28</v>
      </c>
      <c r="Q129">
        <v>45</v>
      </c>
      <c r="R129">
        <v>630</v>
      </c>
    </row>
    <row r="130" spans="1:18" x14ac:dyDescent="0.2">
      <c r="A130">
        <v>8</v>
      </c>
      <c r="B130" t="s">
        <v>92</v>
      </c>
      <c r="E130" t="s">
        <v>19</v>
      </c>
      <c r="F130">
        <v>2729157</v>
      </c>
      <c r="G130">
        <v>1</v>
      </c>
      <c r="H130">
        <v>2</v>
      </c>
      <c r="I130">
        <v>483</v>
      </c>
      <c r="J130">
        <v>1987</v>
      </c>
      <c r="K130" s="4">
        <v>44716</v>
      </c>
      <c r="L130" t="s">
        <v>26</v>
      </c>
      <c r="M130" t="s">
        <v>31</v>
      </c>
      <c r="N130">
        <v>3.17</v>
      </c>
      <c r="O130">
        <v>1472</v>
      </c>
      <c r="P130">
        <v>2.85</v>
      </c>
      <c r="Q130">
        <v>157</v>
      </c>
      <c r="R130">
        <v>548</v>
      </c>
    </row>
    <row r="131" spans="1:18" x14ac:dyDescent="0.2">
      <c r="A131">
        <v>3</v>
      </c>
      <c r="B131" t="s">
        <v>95</v>
      </c>
      <c r="E131" t="s">
        <v>29</v>
      </c>
      <c r="F131">
        <v>2767933</v>
      </c>
      <c r="G131">
        <v>4</v>
      </c>
      <c r="H131">
        <v>2</v>
      </c>
      <c r="I131">
        <v>540</v>
      </c>
      <c r="J131">
        <v>1971</v>
      </c>
      <c r="K131" s="4">
        <v>45666</v>
      </c>
      <c r="L131" t="s">
        <v>26</v>
      </c>
      <c r="M131" t="s">
        <v>31</v>
      </c>
      <c r="N131">
        <v>1.91</v>
      </c>
      <c r="O131">
        <v>2421</v>
      </c>
      <c r="P131">
        <v>2.31</v>
      </c>
      <c r="Q131">
        <v>355</v>
      </c>
      <c r="R131">
        <v>659</v>
      </c>
    </row>
    <row r="132" spans="1:18" x14ac:dyDescent="0.2">
      <c r="A132">
        <v>1</v>
      </c>
      <c r="B132" t="s">
        <v>99</v>
      </c>
      <c r="E132" t="s">
        <v>29</v>
      </c>
      <c r="F132">
        <v>1562282</v>
      </c>
      <c r="G132">
        <v>3</v>
      </c>
      <c r="H132">
        <v>2</v>
      </c>
      <c r="I132">
        <v>794</v>
      </c>
      <c r="J132">
        <v>1999</v>
      </c>
      <c r="K132" s="4">
        <v>45882</v>
      </c>
      <c r="L132" t="s">
        <v>30</v>
      </c>
      <c r="M132" t="s">
        <v>97</v>
      </c>
      <c r="N132">
        <v>2.48</v>
      </c>
      <c r="O132">
        <v>1515</v>
      </c>
      <c r="P132">
        <v>3.55</v>
      </c>
      <c r="Q132">
        <v>284</v>
      </c>
      <c r="R132">
        <v>447</v>
      </c>
    </row>
    <row r="133" spans="1:18" x14ac:dyDescent="0.2">
      <c r="A133">
        <v>4</v>
      </c>
      <c r="B133" t="s">
        <v>104</v>
      </c>
      <c r="E133" t="s">
        <v>36</v>
      </c>
      <c r="F133">
        <v>2365948</v>
      </c>
      <c r="G133">
        <v>4</v>
      </c>
      <c r="H133">
        <v>2</v>
      </c>
      <c r="I133">
        <v>938</v>
      </c>
      <c r="J133">
        <v>2002</v>
      </c>
      <c r="K133" s="4">
        <v>44102</v>
      </c>
      <c r="L133" t="s">
        <v>30</v>
      </c>
      <c r="M133" t="s">
        <v>21</v>
      </c>
      <c r="N133">
        <v>1.54</v>
      </c>
      <c r="O133">
        <v>853</v>
      </c>
      <c r="P133">
        <v>4.24</v>
      </c>
      <c r="Q133">
        <v>258</v>
      </c>
      <c r="R133">
        <v>389</v>
      </c>
    </row>
    <row r="134" spans="1:18" x14ac:dyDescent="0.2">
      <c r="A134">
        <v>0</v>
      </c>
      <c r="B134" t="s">
        <v>18</v>
      </c>
      <c r="E134" t="s">
        <v>29</v>
      </c>
      <c r="F134">
        <v>564782</v>
      </c>
      <c r="G134">
        <v>1</v>
      </c>
      <c r="H134">
        <v>2</v>
      </c>
      <c r="I134">
        <v>297</v>
      </c>
      <c r="J134">
        <v>1966</v>
      </c>
      <c r="K134" s="4">
        <v>44615</v>
      </c>
      <c r="L134" t="s">
        <v>20</v>
      </c>
      <c r="M134" t="s">
        <v>70</v>
      </c>
      <c r="N134">
        <v>3.11</v>
      </c>
      <c r="O134">
        <v>931</v>
      </c>
      <c r="P134">
        <v>3.89</v>
      </c>
      <c r="Q134">
        <v>148</v>
      </c>
      <c r="R134">
        <v>417</v>
      </c>
    </row>
    <row r="135" spans="1:18" x14ac:dyDescent="0.2">
      <c r="A135">
        <v>2</v>
      </c>
      <c r="B135" t="s">
        <v>32</v>
      </c>
      <c r="E135" t="s">
        <v>36</v>
      </c>
      <c r="F135">
        <v>2555382</v>
      </c>
      <c r="G135">
        <v>3</v>
      </c>
      <c r="H135">
        <v>2</v>
      </c>
      <c r="I135">
        <v>943</v>
      </c>
      <c r="J135">
        <v>2000</v>
      </c>
      <c r="K135" s="4">
        <v>44849</v>
      </c>
      <c r="L135" t="s">
        <v>23</v>
      </c>
      <c r="M135" t="s">
        <v>21</v>
      </c>
      <c r="N135">
        <v>1.88</v>
      </c>
      <c r="O135">
        <v>2008</v>
      </c>
      <c r="P135">
        <v>0.75</v>
      </c>
      <c r="Q135">
        <v>206</v>
      </c>
      <c r="R135">
        <v>615</v>
      </c>
    </row>
    <row r="136" spans="1:18" x14ac:dyDescent="0.2">
      <c r="A136">
        <v>9</v>
      </c>
      <c r="B136" t="s">
        <v>34</v>
      </c>
      <c r="E136" t="s">
        <v>51</v>
      </c>
      <c r="F136">
        <v>1986881</v>
      </c>
      <c r="G136">
        <v>4</v>
      </c>
      <c r="H136">
        <v>2</v>
      </c>
      <c r="I136">
        <v>51</v>
      </c>
      <c r="J136">
        <v>2017</v>
      </c>
      <c r="K136" s="4">
        <v>45574</v>
      </c>
      <c r="L136" t="s">
        <v>26</v>
      </c>
      <c r="M136" t="s">
        <v>24</v>
      </c>
      <c r="N136">
        <v>2.0699999999999998</v>
      </c>
      <c r="O136">
        <v>2266</v>
      </c>
      <c r="P136">
        <v>1.36</v>
      </c>
      <c r="Q136">
        <v>265</v>
      </c>
      <c r="R136">
        <v>317</v>
      </c>
    </row>
    <row r="137" spans="1:18" x14ac:dyDescent="0.2">
      <c r="A137">
        <v>1</v>
      </c>
      <c r="B137" t="s">
        <v>98</v>
      </c>
      <c r="E137" t="s">
        <v>51</v>
      </c>
      <c r="F137">
        <v>601869</v>
      </c>
      <c r="G137">
        <v>2</v>
      </c>
      <c r="H137">
        <v>1</v>
      </c>
      <c r="I137">
        <v>770</v>
      </c>
      <c r="J137">
        <v>1957</v>
      </c>
      <c r="K137" s="4">
        <v>45130</v>
      </c>
      <c r="L137" t="s">
        <v>20</v>
      </c>
      <c r="M137" t="s">
        <v>35</v>
      </c>
      <c r="N137">
        <v>3.32</v>
      </c>
      <c r="O137">
        <v>2229</v>
      </c>
      <c r="P137">
        <v>3.99</v>
      </c>
      <c r="Q137">
        <v>162</v>
      </c>
      <c r="R137">
        <v>436</v>
      </c>
    </row>
    <row r="138" spans="1:18" x14ac:dyDescent="0.2">
      <c r="A138">
        <v>5</v>
      </c>
      <c r="B138" t="s">
        <v>92</v>
      </c>
      <c r="E138" t="s">
        <v>51</v>
      </c>
      <c r="F138">
        <v>400584</v>
      </c>
      <c r="G138">
        <v>1</v>
      </c>
      <c r="H138">
        <v>2</v>
      </c>
      <c r="I138">
        <v>837</v>
      </c>
      <c r="J138">
        <v>1959</v>
      </c>
      <c r="K138" s="4">
        <v>44822</v>
      </c>
      <c r="L138" t="s">
        <v>26</v>
      </c>
      <c r="M138" t="s">
        <v>68</v>
      </c>
      <c r="N138">
        <v>3.33</v>
      </c>
      <c r="O138">
        <v>991</v>
      </c>
      <c r="P138">
        <v>0.68</v>
      </c>
      <c r="Q138">
        <v>129</v>
      </c>
      <c r="R138">
        <v>323</v>
      </c>
    </row>
    <row r="139" spans="1:18" x14ac:dyDescent="0.2">
      <c r="A139">
        <v>1</v>
      </c>
      <c r="B139" t="s">
        <v>55</v>
      </c>
      <c r="E139" t="s">
        <v>19</v>
      </c>
      <c r="F139">
        <v>2771652</v>
      </c>
      <c r="G139">
        <v>5</v>
      </c>
      <c r="H139">
        <v>3</v>
      </c>
      <c r="I139">
        <v>622</v>
      </c>
      <c r="J139">
        <v>2022</v>
      </c>
      <c r="K139" s="4">
        <v>45767</v>
      </c>
      <c r="L139" t="s">
        <v>20</v>
      </c>
      <c r="M139" t="s">
        <v>45</v>
      </c>
      <c r="N139">
        <v>1.96</v>
      </c>
      <c r="O139">
        <v>2478</v>
      </c>
      <c r="P139">
        <v>1.1599999999999999</v>
      </c>
      <c r="Q139">
        <v>333</v>
      </c>
      <c r="R139">
        <v>574</v>
      </c>
    </row>
    <row r="140" spans="1:18" x14ac:dyDescent="0.2">
      <c r="A140">
        <v>1</v>
      </c>
      <c r="B140" t="s">
        <v>34</v>
      </c>
      <c r="E140" t="s">
        <v>29</v>
      </c>
      <c r="F140">
        <v>2067262</v>
      </c>
      <c r="G140">
        <v>2</v>
      </c>
      <c r="H140">
        <v>2</v>
      </c>
      <c r="I140">
        <v>717</v>
      </c>
      <c r="J140">
        <v>2012</v>
      </c>
      <c r="K140" s="4">
        <v>45708</v>
      </c>
      <c r="L140" t="s">
        <v>30</v>
      </c>
      <c r="M140" t="s">
        <v>52</v>
      </c>
      <c r="N140">
        <v>1.68</v>
      </c>
      <c r="O140">
        <v>1453</v>
      </c>
      <c r="P140">
        <v>0.12</v>
      </c>
      <c r="Q140">
        <v>53</v>
      </c>
      <c r="R140">
        <v>590</v>
      </c>
    </row>
    <row r="141" spans="1:18" x14ac:dyDescent="0.2">
      <c r="A141">
        <v>1</v>
      </c>
      <c r="B141" t="s">
        <v>96</v>
      </c>
      <c r="E141" t="s">
        <v>36</v>
      </c>
      <c r="F141">
        <v>2805843</v>
      </c>
      <c r="G141">
        <v>2</v>
      </c>
      <c r="H141">
        <v>1</v>
      </c>
      <c r="I141">
        <v>636</v>
      </c>
      <c r="J141">
        <v>1950</v>
      </c>
      <c r="K141" s="4">
        <v>44894</v>
      </c>
      <c r="L141" t="s">
        <v>23</v>
      </c>
      <c r="M141" t="s">
        <v>77</v>
      </c>
      <c r="N141">
        <v>2.88</v>
      </c>
      <c r="O141">
        <v>950</v>
      </c>
      <c r="P141">
        <v>0.67</v>
      </c>
      <c r="Q141">
        <v>100</v>
      </c>
      <c r="R141">
        <v>538</v>
      </c>
    </row>
    <row r="142" spans="1:18" x14ac:dyDescent="0.2">
      <c r="A142">
        <v>1</v>
      </c>
      <c r="B142" t="s">
        <v>86</v>
      </c>
      <c r="E142" t="s">
        <v>51</v>
      </c>
      <c r="F142">
        <v>2615442</v>
      </c>
      <c r="G142">
        <v>2</v>
      </c>
      <c r="H142">
        <v>2</v>
      </c>
      <c r="I142">
        <v>534</v>
      </c>
      <c r="J142">
        <v>1963</v>
      </c>
      <c r="K142" s="4">
        <v>44865</v>
      </c>
      <c r="L142" t="s">
        <v>23</v>
      </c>
      <c r="M142" t="s">
        <v>66</v>
      </c>
      <c r="N142">
        <v>1.59</v>
      </c>
      <c r="O142">
        <v>2430</v>
      </c>
      <c r="P142">
        <v>1.35</v>
      </c>
      <c r="Q142">
        <v>223</v>
      </c>
      <c r="R142">
        <v>572</v>
      </c>
    </row>
    <row r="143" spans="1:18" x14ac:dyDescent="0.2">
      <c r="A143">
        <v>0</v>
      </c>
      <c r="B143" t="s">
        <v>95</v>
      </c>
      <c r="E143" t="s">
        <v>36</v>
      </c>
      <c r="F143">
        <v>886381</v>
      </c>
      <c r="G143">
        <v>1</v>
      </c>
      <c r="H143">
        <v>2</v>
      </c>
      <c r="I143">
        <v>164</v>
      </c>
      <c r="J143">
        <v>2018</v>
      </c>
      <c r="K143" s="4">
        <v>45147</v>
      </c>
      <c r="L143" t="s">
        <v>23</v>
      </c>
      <c r="M143" t="s">
        <v>31</v>
      </c>
      <c r="N143">
        <v>3.5</v>
      </c>
      <c r="O143">
        <v>1170</v>
      </c>
      <c r="P143">
        <v>0.96</v>
      </c>
      <c r="Q143">
        <v>102</v>
      </c>
      <c r="R143">
        <v>380</v>
      </c>
    </row>
    <row r="144" spans="1:18" x14ac:dyDescent="0.2">
      <c r="A144">
        <v>5</v>
      </c>
      <c r="B144" t="s">
        <v>34</v>
      </c>
      <c r="E144" t="s">
        <v>36</v>
      </c>
      <c r="F144">
        <v>2375223</v>
      </c>
      <c r="G144">
        <v>2</v>
      </c>
      <c r="H144">
        <v>2</v>
      </c>
      <c r="I144">
        <v>440</v>
      </c>
      <c r="J144">
        <v>2002</v>
      </c>
      <c r="K144" s="4">
        <v>45486</v>
      </c>
      <c r="L144" t="s">
        <v>20</v>
      </c>
      <c r="M144" t="s">
        <v>33</v>
      </c>
      <c r="N144">
        <v>2.94</v>
      </c>
      <c r="O144">
        <v>1211</v>
      </c>
      <c r="P144">
        <v>2.72</v>
      </c>
      <c r="Q144">
        <v>62</v>
      </c>
      <c r="R144">
        <v>447</v>
      </c>
    </row>
    <row r="145" spans="1:18" x14ac:dyDescent="0.2">
      <c r="A145">
        <v>7</v>
      </c>
      <c r="B145" t="s">
        <v>80</v>
      </c>
      <c r="E145" t="s">
        <v>19</v>
      </c>
      <c r="F145">
        <v>2233323</v>
      </c>
      <c r="G145">
        <v>1</v>
      </c>
      <c r="H145">
        <v>3</v>
      </c>
      <c r="I145">
        <v>340</v>
      </c>
      <c r="J145">
        <v>1989</v>
      </c>
      <c r="K145" s="4">
        <v>45624</v>
      </c>
      <c r="L145" t="s">
        <v>20</v>
      </c>
      <c r="M145" t="s">
        <v>77</v>
      </c>
      <c r="N145">
        <v>1.57</v>
      </c>
      <c r="O145">
        <v>1154</v>
      </c>
      <c r="P145">
        <v>4.78</v>
      </c>
      <c r="Q145">
        <v>78</v>
      </c>
      <c r="R145">
        <v>595</v>
      </c>
    </row>
    <row r="146" spans="1:18" x14ac:dyDescent="0.2">
      <c r="A146">
        <v>3</v>
      </c>
      <c r="B146" t="s">
        <v>99</v>
      </c>
      <c r="E146" t="s">
        <v>36</v>
      </c>
      <c r="F146">
        <v>947995</v>
      </c>
      <c r="G146">
        <v>2</v>
      </c>
      <c r="H146">
        <v>2</v>
      </c>
      <c r="I146">
        <v>234</v>
      </c>
      <c r="J146">
        <v>1994</v>
      </c>
      <c r="K146" s="4">
        <v>45851</v>
      </c>
      <c r="L146" t="s">
        <v>26</v>
      </c>
      <c r="M146" t="s">
        <v>85</v>
      </c>
      <c r="N146">
        <v>1.73</v>
      </c>
      <c r="O146">
        <v>1429</v>
      </c>
      <c r="P146">
        <v>3.82</v>
      </c>
      <c r="Q146">
        <v>103</v>
      </c>
      <c r="R146">
        <v>486</v>
      </c>
    </row>
    <row r="147" spans="1:18" x14ac:dyDescent="0.2">
      <c r="A147">
        <v>8</v>
      </c>
      <c r="B147" t="s">
        <v>72</v>
      </c>
      <c r="E147" t="s">
        <v>19</v>
      </c>
      <c r="F147">
        <v>2340435</v>
      </c>
      <c r="G147">
        <v>5</v>
      </c>
      <c r="H147">
        <v>3</v>
      </c>
      <c r="I147">
        <v>352</v>
      </c>
      <c r="J147">
        <v>1954</v>
      </c>
      <c r="K147" s="4">
        <v>44427</v>
      </c>
      <c r="L147" t="s">
        <v>26</v>
      </c>
      <c r="M147" t="s">
        <v>77</v>
      </c>
      <c r="N147">
        <v>3.23</v>
      </c>
      <c r="O147">
        <v>2003</v>
      </c>
      <c r="P147">
        <v>4.42</v>
      </c>
      <c r="Q147">
        <v>397</v>
      </c>
      <c r="R147">
        <v>617</v>
      </c>
    </row>
    <row r="148" spans="1:18" x14ac:dyDescent="0.2">
      <c r="A148">
        <v>1</v>
      </c>
      <c r="B148" t="s">
        <v>105</v>
      </c>
      <c r="E148" t="s">
        <v>36</v>
      </c>
      <c r="F148">
        <v>425034</v>
      </c>
      <c r="G148">
        <v>1</v>
      </c>
      <c r="H148">
        <v>1</v>
      </c>
      <c r="I148">
        <v>258</v>
      </c>
      <c r="J148">
        <v>2003</v>
      </c>
      <c r="K148" s="4">
        <v>44590</v>
      </c>
      <c r="L148" t="s">
        <v>23</v>
      </c>
      <c r="M148" t="s">
        <v>40</v>
      </c>
      <c r="N148">
        <v>2.67</v>
      </c>
      <c r="O148">
        <v>945</v>
      </c>
      <c r="P148">
        <v>0.93</v>
      </c>
      <c r="Q148">
        <v>87</v>
      </c>
      <c r="R148">
        <v>463</v>
      </c>
    </row>
    <row r="149" spans="1:18" x14ac:dyDescent="0.2">
      <c r="A149">
        <v>0</v>
      </c>
      <c r="B149" t="s">
        <v>98</v>
      </c>
      <c r="E149" t="s">
        <v>29</v>
      </c>
      <c r="F149">
        <v>2404178</v>
      </c>
      <c r="G149">
        <v>1</v>
      </c>
      <c r="H149">
        <v>2</v>
      </c>
      <c r="I149">
        <v>710</v>
      </c>
      <c r="J149">
        <v>1960</v>
      </c>
      <c r="K149" s="4">
        <v>44943</v>
      </c>
      <c r="L149" t="s">
        <v>26</v>
      </c>
      <c r="M149" t="s">
        <v>85</v>
      </c>
      <c r="N149">
        <v>2.5299999999999998</v>
      </c>
      <c r="O149">
        <v>1714</v>
      </c>
      <c r="P149">
        <v>2.68</v>
      </c>
      <c r="Q149">
        <v>41</v>
      </c>
      <c r="R149">
        <v>593</v>
      </c>
    </row>
    <row r="150" spans="1:18" x14ac:dyDescent="0.2">
      <c r="A150">
        <v>1</v>
      </c>
      <c r="B150" t="s">
        <v>57</v>
      </c>
      <c r="E150" t="s">
        <v>51</v>
      </c>
      <c r="F150">
        <v>2523271</v>
      </c>
      <c r="G150">
        <v>5</v>
      </c>
      <c r="H150">
        <v>1</v>
      </c>
      <c r="I150">
        <v>424</v>
      </c>
      <c r="J150">
        <v>2015</v>
      </c>
      <c r="K150" s="4">
        <v>45219</v>
      </c>
      <c r="L150" t="s">
        <v>26</v>
      </c>
      <c r="M150" t="s">
        <v>76</v>
      </c>
      <c r="N150">
        <v>1.66</v>
      </c>
      <c r="O150">
        <v>2177</v>
      </c>
      <c r="P150">
        <v>0.2</v>
      </c>
      <c r="Q150">
        <v>390</v>
      </c>
      <c r="R150">
        <v>499</v>
      </c>
    </row>
    <row r="151" spans="1:18" x14ac:dyDescent="0.2">
      <c r="A151">
        <v>8</v>
      </c>
      <c r="B151" t="s">
        <v>28</v>
      </c>
      <c r="E151" t="s">
        <v>29</v>
      </c>
      <c r="F151">
        <v>2162008</v>
      </c>
      <c r="G151">
        <v>3</v>
      </c>
      <c r="H151">
        <v>2</v>
      </c>
      <c r="I151">
        <v>705</v>
      </c>
      <c r="J151">
        <v>2013</v>
      </c>
      <c r="K151" s="4">
        <v>44539</v>
      </c>
      <c r="L151" t="s">
        <v>30</v>
      </c>
      <c r="M151" t="s">
        <v>56</v>
      </c>
      <c r="N151">
        <v>1.9</v>
      </c>
      <c r="O151">
        <v>1382</v>
      </c>
      <c r="P151">
        <v>0.23</v>
      </c>
      <c r="Q151">
        <v>97</v>
      </c>
      <c r="R151">
        <v>445</v>
      </c>
    </row>
    <row r="152" spans="1:18" x14ac:dyDescent="0.2">
      <c r="A152">
        <v>6</v>
      </c>
      <c r="B152" t="s">
        <v>106</v>
      </c>
      <c r="E152" t="s">
        <v>51</v>
      </c>
      <c r="F152">
        <v>1196514</v>
      </c>
      <c r="G152">
        <v>3</v>
      </c>
      <c r="H152">
        <v>3</v>
      </c>
      <c r="I152">
        <v>241</v>
      </c>
      <c r="J152">
        <v>2006</v>
      </c>
      <c r="K152" s="4">
        <v>44897</v>
      </c>
      <c r="L152" t="s">
        <v>26</v>
      </c>
      <c r="M152" t="s">
        <v>56</v>
      </c>
      <c r="N152">
        <v>2.4300000000000002</v>
      </c>
      <c r="O152">
        <v>1193</v>
      </c>
      <c r="P152">
        <v>1.1100000000000001</v>
      </c>
      <c r="Q152">
        <v>104</v>
      </c>
      <c r="R152">
        <v>689</v>
      </c>
    </row>
    <row r="153" spans="1:18" x14ac:dyDescent="0.2">
      <c r="A153">
        <v>1</v>
      </c>
      <c r="B153" t="s">
        <v>22</v>
      </c>
      <c r="E153" t="s">
        <v>19</v>
      </c>
      <c r="F153">
        <v>1649618</v>
      </c>
      <c r="G153">
        <v>2</v>
      </c>
      <c r="H153">
        <v>1</v>
      </c>
      <c r="I153">
        <v>62</v>
      </c>
      <c r="J153">
        <v>1996</v>
      </c>
      <c r="K153" s="4">
        <v>45369</v>
      </c>
      <c r="L153" t="s">
        <v>20</v>
      </c>
      <c r="M153" t="s">
        <v>66</v>
      </c>
      <c r="N153">
        <v>1.54</v>
      </c>
      <c r="O153">
        <v>1220</v>
      </c>
      <c r="P153">
        <v>2.5</v>
      </c>
      <c r="Q153">
        <v>162</v>
      </c>
      <c r="R153">
        <v>312</v>
      </c>
    </row>
    <row r="154" spans="1:18" x14ac:dyDescent="0.2">
      <c r="A154">
        <v>9</v>
      </c>
      <c r="B154" t="s">
        <v>104</v>
      </c>
      <c r="E154" t="s">
        <v>36</v>
      </c>
      <c r="F154">
        <v>1598267</v>
      </c>
      <c r="G154">
        <v>1</v>
      </c>
      <c r="H154">
        <v>2</v>
      </c>
      <c r="I154">
        <v>599</v>
      </c>
      <c r="J154">
        <v>1981</v>
      </c>
      <c r="K154" s="4">
        <v>45618</v>
      </c>
      <c r="L154" t="s">
        <v>20</v>
      </c>
      <c r="M154" t="s">
        <v>31</v>
      </c>
      <c r="N154">
        <v>2.5</v>
      </c>
      <c r="O154">
        <v>969</v>
      </c>
      <c r="P154">
        <v>3.6</v>
      </c>
      <c r="Q154">
        <v>118</v>
      </c>
      <c r="R154">
        <v>359</v>
      </c>
    </row>
    <row r="155" spans="1:18" x14ac:dyDescent="0.2">
      <c r="A155">
        <v>2</v>
      </c>
      <c r="B155" t="s">
        <v>34</v>
      </c>
      <c r="E155" t="s">
        <v>29</v>
      </c>
      <c r="F155">
        <v>1119794</v>
      </c>
      <c r="G155">
        <v>6</v>
      </c>
      <c r="H155">
        <v>1</v>
      </c>
      <c r="I155">
        <v>183</v>
      </c>
      <c r="J155">
        <v>1978</v>
      </c>
      <c r="K155" s="4">
        <v>45407</v>
      </c>
      <c r="L155" t="s">
        <v>23</v>
      </c>
      <c r="M155" t="s">
        <v>69</v>
      </c>
      <c r="N155">
        <v>1.61</v>
      </c>
      <c r="O155">
        <v>905</v>
      </c>
      <c r="P155">
        <v>1.54</v>
      </c>
      <c r="Q155">
        <v>351</v>
      </c>
      <c r="R155">
        <v>401</v>
      </c>
    </row>
    <row r="156" spans="1:18" x14ac:dyDescent="0.2">
      <c r="A156">
        <v>5</v>
      </c>
      <c r="B156" t="s">
        <v>104</v>
      </c>
      <c r="E156" t="s">
        <v>51</v>
      </c>
      <c r="F156">
        <v>2606031</v>
      </c>
      <c r="G156">
        <v>4</v>
      </c>
      <c r="H156">
        <v>2</v>
      </c>
      <c r="I156">
        <v>329</v>
      </c>
      <c r="J156">
        <v>2007</v>
      </c>
      <c r="K156" s="4">
        <v>44847</v>
      </c>
      <c r="L156" t="s">
        <v>20</v>
      </c>
      <c r="M156" t="s">
        <v>85</v>
      </c>
      <c r="N156">
        <v>2.97</v>
      </c>
      <c r="O156">
        <v>2372</v>
      </c>
      <c r="P156">
        <v>1.72</v>
      </c>
      <c r="Q156">
        <v>261</v>
      </c>
      <c r="R156">
        <v>442</v>
      </c>
    </row>
    <row r="157" spans="1:18" x14ac:dyDescent="0.2">
      <c r="A157">
        <v>1</v>
      </c>
      <c r="B157" t="s">
        <v>41</v>
      </c>
      <c r="E157" t="s">
        <v>36</v>
      </c>
      <c r="F157">
        <v>847509</v>
      </c>
      <c r="G157">
        <v>2</v>
      </c>
      <c r="H157">
        <v>1</v>
      </c>
      <c r="I157">
        <v>188</v>
      </c>
      <c r="J157">
        <v>1978</v>
      </c>
      <c r="K157" s="4">
        <v>45883</v>
      </c>
      <c r="L157" t="s">
        <v>30</v>
      </c>
      <c r="M157" t="s">
        <v>89</v>
      </c>
      <c r="N157">
        <v>2.5299999999999998</v>
      </c>
      <c r="O157">
        <v>1352</v>
      </c>
      <c r="P157">
        <v>4.37</v>
      </c>
      <c r="Q157">
        <v>49</v>
      </c>
      <c r="R157">
        <v>473</v>
      </c>
    </row>
    <row r="158" spans="1:18" x14ac:dyDescent="0.2">
      <c r="A158">
        <v>1</v>
      </c>
      <c r="B158" t="s">
        <v>75</v>
      </c>
      <c r="E158" t="s">
        <v>29</v>
      </c>
      <c r="F158">
        <v>440046</v>
      </c>
      <c r="G158">
        <v>3</v>
      </c>
      <c r="H158">
        <v>1</v>
      </c>
      <c r="I158">
        <v>480</v>
      </c>
      <c r="J158">
        <v>1983</v>
      </c>
      <c r="K158" s="4">
        <v>45327</v>
      </c>
      <c r="L158" t="s">
        <v>20</v>
      </c>
      <c r="M158" t="s">
        <v>77</v>
      </c>
      <c r="N158">
        <v>3.2</v>
      </c>
      <c r="O158">
        <v>1498</v>
      </c>
      <c r="P158">
        <v>4.9400000000000004</v>
      </c>
      <c r="Q158">
        <v>167</v>
      </c>
      <c r="R158">
        <v>451</v>
      </c>
    </row>
    <row r="159" spans="1:18" x14ac:dyDescent="0.2">
      <c r="A159">
        <v>0</v>
      </c>
      <c r="B159" t="s">
        <v>80</v>
      </c>
      <c r="E159" t="s">
        <v>29</v>
      </c>
      <c r="F159">
        <v>1499471</v>
      </c>
      <c r="G159">
        <v>2</v>
      </c>
      <c r="H159">
        <v>3</v>
      </c>
      <c r="I159">
        <v>750</v>
      </c>
      <c r="J159">
        <v>1987</v>
      </c>
      <c r="K159" s="4">
        <v>45645</v>
      </c>
      <c r="L159" t="s">
        <v>20</v>
      </c>
      <c r="M159" t="s">
        <v>47</v>
      </c>
      <c r="N159">
        <v>2.4500000000000002</v>
      </c>
      <c r="O159">
        <v>1191</v>
      </c>
      <c r="P159">
        <v>3.64</v>
      </c>
      <c r="Q159">
        <v>50</v>
      </c>
      <c r="R159">
        <v>667</v>
      </c>
    </row>
    <row r="160" spans="1:18" x14ac:dyDescent="0.2">
      <c r="A160">
        <v>5</v>
      </c>
      <c r="B160" t="s">
        <v>25</v>
      </c>
      <c r="E160" t="s">
        <v>51</v>
      </c>
      <c r="F160">
        <v>583508</v>
      </c>
      <c r="G160">
        <v>3</v>
      </c>
      <c r="H160">
        <v>2</v>
      </c>
      <c r="I160">
        <v>140</v>
      </c>
      <c r="J160">
        <v>1978</v>
      </c>
      <c r="K160" s="4">
        <v>44231</v>
      </c>
      <c r="L160" t="s">
        <v>26</v>
      </c>
      <c r="M160" t="s">
        <v>89</v>
      </c>
      <c r="N160">
        <v>2.11</v>
      </c>
      <c r="O160">
        <v>2470</v>
      </c>
      <c r="P160">
        <v>0.17</v>
      </c>
      <c r="Q160">
        <v>111</v>
      </c>
      <c r="R160">
        <v>520</v>
      </c>
    </row>
    <row r="161" spans="1:18" x14ac:dyDescent="0.2">
      <c r="A161">
        <v>0</v>
      </c>
      <c r="B161" t="s">
        <v>67</v>
      </c>
      <c r="E161" t="s">
        <v>51</v>
      </c>
      <c r="F161">
        <v>2661461</v>
      </c>
      <c r="G161">
        <v>4</v>
      </c>
      <c r="H161">
        <v>2</v>
      </c>
      <c r="I161">
        <v>880</v>
      </c>
      <c r="J161">
        <v>2015</v>
      </c>
      <c r="K161" s="4">
        <v>44293</v>
      </c>
      <c r="L161" t="s">
        <v>26</v>
      </c>
      <c r="M161" t="s">
        <v>68</v>
      </c>
      <c r="N161">
        <v>2.25</v>
      </c>
      <c r="O161">
        <v>2279</v>
      </c>
      <c r="P161">
        <v>1.27</v>
      </c>
      <c r="Q161">
        <v>392</v>
      </c>
      <c r="R161">
        <v>698</v>
      </c>
    </row>
    <row r="162" spans="1:18" x14ac:dyDescent="0.2">
      <c r="A162">
        <v>2</v>
      </c>
      <c r="B162" t="s">
        <v>101</v>
      </c>
      <c r="E162" t="s">
        <v>29</v>
      </c>
      <c r="F162">
        <v>1354343</v>
      </c>
      <c r="G162">
        <v>2</v>
      </c>
      <c r="H162">
        <v>3</v>
      </c>
      <c r="I162">
        <v>754</v>
      </c>
      <c r="J162">
        <v>2009</v>
      </c>
      <c r="K162" s="4">
        <v>44284</v>
      </c>
      <c r="L162" t="s">
        <v>20</v>
      </c>
      <c r="M162" t="s">
        <v>89</v>
      </c>
      <c r="N162">
        <v>1.96</v>
      </c>
      <c r="O162">
        <v>1026</v>
      </c>
      <c r="P162">
        <v>0.98</v>
      </c>
      <c r="Q162">
        <v>46</v>
      </c>
      <c r="R162">
        <v>649</v>
      </c>
    </row>
    <row r="163" spans="1:18" x14ac:dyDescent="0.2">
      <c r="A163">
        <v>9</v>
      </c>
      <c r="B163" t="s">
        <v>46</v>
      </c>
      <c r="E163" t="s">
        <v>19</v>
      </c>
      <c r="F163">
        <v>2522471</v>
      </c>
      <c r="G163">
        <v>1</v>
      </c>
      <c r="H163">
        <v>2</v>
      </c>
      <c r="I163">
        <v>312</v>
      </c>
      <c r="J163">
        <v>1997</v>
      </c>
      <c r="K163" s="4">
        <v>44676</v>
      </c>
      <c r="L163" t="s">
        <v>30</v>
      </c>
      <c r="M163" t="s">
        <v>74</v>
      </c>
      <c r="N163">
        <v>2.92</v>
      </c>
      <c r="O163">
        <v>1512</v>
      </c>
      <c r="P163">
        <v>0.16</v>
      </c>
      <c r="Q163">
        <v>84</v>
      </c>
      <c r="R163">
        <v>344</v>
      </c>
    </row>
    <row r="164" spans="1:18" x14ac:dyDescent="0.2">
      <c r="A164">
        <v>2</v>
      </c>
      <c r="B164" t="s">
        <v>43</v>
      </c>
      <c r="E164" t="s">
        <v>29</v>
      </c>
      <c r="F164">
        <v>2658281</v>
      </c>
      <c r="G164">
        <v>1</v>
      </c>
      <c r="H164">
        <v>1</v>
      </c>
      <c r="I164">
        <v>84</v>
      </c>
      <c r="J164">
        <v>1974</v>
      </c>
      <c r="K164" s="4">
        <v>44869</v>
      </c>
      <c r="L164" t="s">
        <v>23</v>
      </c>
      <c r="M164" t="s">
        <v>68</v>
      </c>
      <c r="N164">
        <v>3.44</v>
      </c>
      <c r="O164">
        <v>1453</v>
      </c>
      <c r="P164">
        <v>2.92</v>
      </c>
      <c r="Q164">
        <v>120</v>
      </c>
      <c r="R164">
        <v>420</v>
      </c>
    </row>
    <row r="165" spans="1:18" x14ac:dyDescent="0.2">
      <c r="A165">
        <v>4</v>
      </c>
      <c r="B165" t="s">
        <v>65</v>
      </c>
      <c r="E165" t="s">
        <v>29</v>
      </c>
      <c r="F165">
        <v>1946304</v>
      </c>
      <c r="G165">
        <v>2</v>
      </c>
      <c r="H165">
        <v>1</v>
      </c>
      <c r="I165">
        <v>914</v>
      </c>
      <c r="J165">
        <v>2026</v>
      </c>
      <c r="K165" s="4">
        <v>44701</v>
      </c>
      <c r="L165" t="s">
        <v>23</v>
      </c>
      <c r="M165" t="s">
        <v>97</v>
      </c>
      <c r="N165">
        <v>2.1</v>
      </c>
      <c r="O165">
        <v>1538</v>
      </c>
      <c r="P165">
        <v>3.62</v>
      </c>
      <c r="Q165">
        <v>201</v>
      </c>
      <c r="R165">
        <v>336</v>
      </c>
    </row>
    <row r="166" spans="1:18" x14ac:dyDescent="0.2">
      <c r="A166">
        <v>1</v>
      </c>
      <c r="B166" t="s">
        <v>22</v>
      </c>
      <c r="E166" t="s">
        <v>51</v>
      </c>
      <c r="F166">
        <v>580091</v>
      </c>
      <c r="G166">
        <v>5</v>
      </c>
      <c r="H166">
        <v>3</v>
      </c>
      <c r="I166">
        <v>278</v>
      </c>
      <c r="J166">
        <v>1953</v>
      </c>
      <c r="K166" s="4">
        <v>44298</v>
      </c>
      <c r="L166" t="s">
        <v>20</v>
      </c>
      <c r="M166" t="s">
        <v>21</v>
      </c>
      <c r="N166">
        <v>2.86</v>
      </c>
      <c r="O166">
        <v>1805</v>
      </c>
      <c r="P166">
        <v>4.5199999999999996</v>
      </c>
      <c r="Q166">
        <v>321</v>
      </c>
      <c r="R166">
        <v>697</v>
      </c>
    </row>
    <row r="167" spans="1:18" x14ac:dyDescent="0.2">
      <c r="A167">
        <v>6</v>
      </c>
      <c r="B167" t="s">
        <v>101</v>
      </c>
      <c r="E167" t="s">
        <v>19</v>
      </c>
      <c r="F167">
        <v>1473464</v>
      </c>
      <c r="G167">
        <v>3</v>
      </c>
      <c r="H167">
        <v>3</v>
      </c>
      <c r="I167">
        <v>497</v>
      </c>
      <c r="J167">
        <v>2014</v>
      </c>
      <c r="K167" s="4">
        <v>44670</v>
      </c>
      <c r="L167" t="s">
        <v>26</v>
      </c>
      <c r="M167" t="s">
        <v>70</v>
      </c>
      <c r="N167">
        <v>1.99</v>
      </c>
      <c r="O167">
        <v>1389</v>
      </c>
      <c r="P167">
        <v>2.88</v>
      </c>
      <c r="Q167">
        <v>257</v>
      </c>
      <c r="R167">
        <v>375</v>
      </c>
    </row>
    <row r="168" spans="1:18" x14ac:dyDescent="0.2">
      <c r="A168">
        <v>1</v>
      </c>
      <c r="B168" t="s">
        <v>72</v>
      </c>
      <c r="E168" t="s">
        <v>51</v>
      </c>
      <c r="F168">
        <v>1266375</v>
      </c>
      <c r="G168">
        <v>1</v>
      </c>
      <c r="H168">
        <v>2</v>
      </c>
      <c r="I168">
        <v>123</v>
      </c>
      <c r="J168">
        <v>2026</v>
      </c>
      <c r="K168" s="4">
        <v>44963</v>
      </c>
      <c r="L168" t="s">
        <v>30</v>
      </c>
      <c r="M168" t="s">
        <v>35</v>
      </c>
      <c r="N168">
        <v>3.13</v>
      </c>
      <c r="O168">
        <v>839</v>
      </c>
      <c r="P168">
        <v>1.33</v>
      </c>
      <c r="Q168">
        <v>108</v>
      </c>
      <c r="R168">
        <v>357</v>
      </c>
    </row>
    <row r="169" spans="1:18" x14ac:dyDescent="0.2">
      <c r="A169">
        <v>2</v>
      </c>
      <c r="B169" t="s">
        <v>101</v>
      </c>
      <c r="E169" t="s">
        <v>19</v>
      </c>
      <c r="F169">
        <v>621605</v>
      </c>
      <c r="G169">
        <v>3</v>
      </c>
      <c r="H169">
        <v>2</v>
      </c>
      <c r="I169">
        <v>134</v>
      </c>
      <c r="J169">
        <v>1972</v>
      </c>
      <c r="K169" s="4">
        <v>44930</v>
      </c>
      <c r="L169" t="s">
        <v>30</v>
      </c>
      <c r="M169" t="s">
        <v>24</v>
      </c>
      <c r="N169">
        <v>3.26</v>
      </c>
      <c r="O169">
        <v>1104</v>
      </c>
      <c r="P169">
        <v>2.23</v>
      </c>
      <c r="Q169">
        <v>213</v>
      </c>
      <c r="R169">
        <v>481</v>
      </c>
    </row>
    <row r="170" spans="1:18" x14ac:dyDescent="0.2">
      <c r="A170">
        <v>8</v>
      </c>
      <c r="B170" t="s">
        <v>99</v>
      </c>
      <c r="E170" t="s">
        <v>36</v>
      </c>
      <c r="F170">
        <v>517794</v>
      </c>
      <c r="G170">
        <v>4</v>
      </c>
      <c r="H170">
        <v>3</v>
      </c>
      <c r="I170">
        <v>87</v>
      </c>
      <c r="J170">
        <v>1992</v>
      </c>
      <c r="K170" s="4">
        <v>44166</v>
      </c>
      <c r="L170" t="s">
        <v>20</v>
      </c>
      <c r="M170" t="s">
        <v>24</v>
      </c>
      <c r="N170">
        <v>1.54</v>
      </c>
      <c r="O170">
        <v>869</v>
      </c>
      <c r="P170">
        <v>0.22</v>
      </c>
      <c r="Q170">
        <v>270</v>
      </c>
      <c r="R170">
        <v>619</v>
      </c>
    </row>
    <row r="171" spans="1:18" x14ac:dyDescent="0.2">
      <c r="A171">
        <v>6</v>
      </c>
      <c r="B171" t="s">
        <v>18</v>
      </c>
      <c r="E171" t="s">
        <v>36</v>
      </c>
      <c r="F171">
        <v>404257</v>
      </c>
      <c r="G171">
        <v>5</v>
      </c>
      <c r="H171">
        <v>1</v>
      </c>
      <c r="I171">
        <v>925</v>
      </c>
      <c r="J171">
        <v>1960</v>
      </c>
      <c r="K171" s="4">
        <v>44854</v>
      </c>
      <c r="L171" t="s">
        <v>23</v>
      </c>
      <c r="M171" t="s">
        <v>82</v>
      </c>
      <c r="N171">
        <v>2.5499999999999998</v>
      </c>
      <c r="O171">
        <v>1591</v>
      </c>
      <c r="P171">
        <v>0.64</v>
      </c>
      <c r="Q171">
        <v>296</v>
      </c>
      <c r="R171">
        <v>693</v>
      </c>
    </row>
    <row r="172" spans="1:18" x14ac:dyDescent="0.2">
      <c r="A172">
        <v>5</v>
      </c>
      <c r="B172" t="s">
        <v>102</v>
      </c>
      <c r="E172" t="s">
        <v>19</v>
      </c>
      <c r="F172">
        <v>844075</v>
      </c>
      <c r="G172">
        <v>6</v>
      </c>
      <c r="H172">
        <v>2</v>
      </c>
      <c r="I172">
        <v>382</v>
      </c>
      <c r="J172">
        <v>1956</v>
      </c>
      <c r="K172" s="4">
        <v>44254</v>
      </c>
      <c r="L172" t="s">
        <v>20</v>
      </c>
      <c r="M172" t="s">
        <v>69</v>
      </c>
      <c r="N172">
        <v>1.99</v>
      </c>
      <c r="O172">
        <v>2332</v>
      </c>
      <c r="P172">
        <v>4.55</v>
      </c>
      <c r="Q172">
        <v>367</v>
      </c>
      <c r="R172">
        <v>662</v>
      </c>
    </row>
    <row r="173" spans="1:18" x14ac:dyDescent="0.2">
      <c r="A173">
        <v>2</v>
      </c>
      <c r="B173" t="s">
        <v>75</v>
      </c>
      <c r="E173" t="s">
        <v>29</v>
      </c>
      <c r="F173">
        <v>2665431</v>
      </c>
      <c r="G173">
        <v>1</v>
      </c>
      <c r="H173">
        <v>3</v>
      </c>
      <c r="I173">
        <v>527</v>
      </c>
      <c r="J173">
        <v>1983</v>
      </c>
      <c r="K173" s="4">
        <v>45159</v>
      </c>
      <c r="L173" t="s">
        <v>20</v>
      </c>
      <c r="M173" t="s">
        <v>68</v>
      </c>
      <c r="N173">
        <v>1.51</v>
      </c>
      <c r="O173">
        <v>1576</v>
      </c>
      <c r="P173">
        <v>0.78</v>
      </c>
      <c r="Q173">
        <v>136</v>
      </c>
      <c r="R173">
        <v>516</v>
      </c>
    </row>
    <row r="174" spans="1:18" x14ac:dyDescent="0.2">
      <c r="A174">
        <v>2</v>
      </c>
      <c r="B174" t="s">
        <v>43</v>
      </c>
      <c r="E174" t="s">
        <v>19</v>
      </c>
      <c r="F174">
        <v>742973</v>
      </c>
      <c r="G174">
        <v>4</v>
      </c>
      <c r="H174">
        <v>1</v>
      </c>
      <c r="I174">
        <v>396</v>
      </c>
      <c r="J174">
        <v>1995</v>
      </c>
      <c r="K174" s="4">
        <v>45581</v>
      </c>
      <c r="L174" t="s">
        <v>23</v>
      </c>
      <c r="M174" t="s">
        <v>82</v>
      </c>
      <c r="N174">
        <v>2.7</v>
      </c>
      <c r="O174">
        <v>963</v>
      </c>
      <c r="P174">
        <v>2.52</v>
      </c>
      <c r="Q174">
        <v>198</v>
      </c>
      <c r="R174">
        <v>498</v>
      </c>
    </row>
    <row r="175" spans="1:18" x14ac:dyDescent="0.2">
      <c r="A175">
        <v>0</v>
      </c>
      <c r="B175" t="s">
        <v>62</v>
      </c>
      <c r="E175" t="s">
        <v>51</v>
      </c>
      <c r="F175">
        <v>2313438</v>
      </c>
      <c r="G175">
        <v>3</v>
      </c>
      <c r="H175">
        <v>2</v>
      </c>
      <c r="I175">
        <v>657</v>
      </c>
      <c r="J175">
        <v>1982</v>
      </c>
      <c r="K175" s="4">
        <v>44339</v>
      </c>
      <c r="L175" t="s">
        <v>20</v>
      </c>
      <c r="M175" t="s">
        <v>58</v>
      </c>
      <c r="N175">
        <v>3.2</v>
      </c>
      <c r="O175">
        <v>2374</v>
      </c>
      <c r="P175">
        <v>3.88</v>
      </c>
      <c r="Q175">
        <v>197</v>
      </c>
      <c r="R175">
        <v>382</v>
      </c>
    </row>
    <row r="176" spans="1:18" x14ac:dyDescent="0.2">
      <c r="A176">
        <v>9</v>
      </c>
      <c r="B176" t="s">
        <v>32</v>
      </c>
      <c r="E176" t="s">
        <v>51</v>
      </c>
      <c r="F176">
        <v>1602009</v>
      </c>
      <c r="G176">
        <v>4</v>
      </c>
      <c r="H176">
        <v>3</v>
      </c>
      <c r="I176">
        <v>764</v>
      </c>
      <c r="J176">
        <v>1978</v>
      </c>
      <c r="K176" s="4">
        <v>44207</v>
      </c>
      <c r="L176" t="s">
        <v>20</v>
      </c>
      <c r="M176" t="s">
        <v>89</v>
      </c>
      <c r="N176">
        <v>3.38</v>
      </c>
      <c r="O176">
        <v>1169</v>
      </c>
      <c r="P176">
        <v>3.96</v>
      </c>
      <c r="Q176">
        <v>193</v>
      </c>
      <c r="R176">
        <v>331</v>
      </c>
    </row>
    <row r="177" spans="1:18" x14ac:dyDescent="0.2">
      <c r="A177">
        <v>2</v>
      </c>
      <c r="B177" t="s">
        <v>100</v>
      </c>
      <c r="E177" t="s">
        <v>29</v>
      </c>
      <c r="F177">
        <v>1666242</v>
      </c>
      <c r="G177">
        <v>1</v>
      </c>
      <c r="H177">
        <v>3</v>
      </c>
      <c r="I177">
        <v>743</v>
      </c>
      <c r="J177">
        <v>1996</v>
      </c>
      <c r="K177" s="4">
        <v>44610</v>
      </c>
      <c r="L177" t="s">
        <v>20</v>
      </c>
      <c r="M177" t="s">
        <v>68</v>
      </c>
      <c r="N177">
        <v>1.97</v>
      </c>
      <c r="O177">
        <v>1682</v>
      </c>
      <c r="P177">
        <v>0.84</v>
      </c>
      <c r="Q177">
        <v>139</v>
      </c>
      <c r="R177">
        <v>465</v>
      </c>
    </row>
    <row r="178" spans="1:18" x14ac:dyDescent="0.2">
      <c r="A178">
        <v>8</v>
      </c>
      <c r="B178" t="s">
        <v>46</v>
      </c>
      <c r="E178" t="s">
        <v>36</v>
      </c>
      <c r="F178">
        <v>551879</v>
      </c>
      <c r="G178">
        <v>2</v>
      </c>
      <c r="H178">
        <v>1</v>
      </c>
      <c r="I178">
        <v>438</v>
      </c>
      <c r="J178">
        <v>1996</v>
      </c>
      <c r="K178" s="4">
        <v>44681</v>
      </c>
      <c r="L178" t="s">
        <v>20</v>
      </c>
      <c r="M178" t="s">
        <v>74</v>
      </c>
      <c r="N178">
        <v>3.32</v>
      </c>
      <c r="O178">
        <v>2347</v>
      </c>
      <c r="P178">
        <v>4.78</v>
      </c>
      <c r="Q178">
        <v>198</v>
      </c>
      <c r="R178">
        <v>429</v>
      </c>
    </row>
    <row r="179" spans="1:18" x14ac:dyDescent="0.2">
      <c r="A179">
        <v>0</v>
      </c>
      <c r="B179" t="s">
        <v>43</v>
      </c>
      <c r="E179" t="s">
        <v>36</v>
      </c>
      <c r="F179">
        <v>1651904</v>
      </c>
      <c r="G179">
        <v>3</v>
      </c>
      <c r="H179">
        <v>1</v>
      </c>
      <c r="I179">
        <v>781</v>
      </c>
      <c r="J179">
        <v>1971</v>
      </c>
      <c r="K179" s="4">
        <v>44978</v>
      </c>
      <c r="L179" t="s">
        <v>30</v>
      </c>
      <c r="M179" t="s">
        <v>54</v>
      </c>
      <c r="N179">
        <v>2.98</v>
      </c>
      <c r="O179">
        <v>2325</v>
      </c>
      <c r="P179">
        <v>0.34</v>
      </c>
      <c r="Q179">
        <v>266</v>
      </c>
      <c r="R179">
        <v>592</v>
      </c>
    </row>
    <row r="180" spans="1:18" x14ac:dyDescent="0.2">
      <c r="A180">
        <v>6</v>
      </c>
      <c r="B180" t="s">
        <v>81</v>
      </c>
      <c r="E180" t="s">
        <v>19</v>
      </c>
      <c r="F180">
        <v>2999303</v>
      </c>
      <c r="G180">
        <v>3</v>
      </c>
      <c r="H180">
        <v>2</v>
      </c>
      <c r="I180">
        <v>68</v>
      </c>
      <c r="J180">
        <v>1980</v>
      </c>
      <c r="K180" s="4">
        <v>45740</v>
      </c>
      <c r="L180" t="s">
        <v>26</v>
      </c>
      <c r="M180" t="s">
        <v>40</v>
      </c>
      <c r="N180">
        <v>2.79</v>
      </c>
      <c r="O180">
        <v>806</v>
      </c>
      <c r="P180">
        <v>4.7300000000000004</v>
      </c>
      <c r="Q180">
        <v>284</v>
      </c>
      <c r="R180">
        <v>585</v>
      </c>
    </row>
    <row r="181" spans="1:18" x14ac:dyDescent="0.2">
      <c r="A181">
        <v>2</v>
      </c>
      <c r="B181" t="s">
        <v>83</v>
      </c>
      <c r="E181" t="s">
        <v>36</v>
      </c>
      <c r="F181">
        <v>955427</v>
      </c>
      <c r="G181">
        <v>3</v>
      </c>
      <c r="H181">
        <v>3</v>
      </c>
      <c r="I181">
        <v>594</v>
      </c>
      <c r="J181">
        <v>1998</v>
      </c>
      <c r="K181" s="4">
        <v>44630</v>
      </c>
      <c r="L181" t="s">
        <v>20</v>
      </c>
      <c r="M181" t="s">
        <v>76</v>
      </c>
      <c r="N181">
        <v>2.61</v>
      </c>
      <c r="O181">
        <v>2232</v>
      </c>
      <c r="P181">
        <v>2.69</v>
      </c>
      <c r="Q181">
        <v>182</v>
      </c>
      <c r="R181">
        <v>661</v>
      </c>
    </row>
    <row r="182" spans="1:18" x14ac:dyDescent="0.2">
      <c r="A182">
        <v>4</v>
      </c>
      <c r="B182" t="s">
        <v>81</v>
      </c>
      <c r="E182" t="s">
        <v>51</v>
      </c>
      <c r="F182">
        <v>659878</v>
      </c>
      <c r="G182">
        <v>3</v>
      </c>
      <c r="H182">
        <v>2</v>
      </c>
      <c r="I182">
        <v>147</v>
      </c>
      <c r="J182">
        <v>2004</v>
      </c>
      <c r="K182" s="4">
        <v>44806</v>
      </c>
      <c r="L182" t="s">
        <v>30</v>
      </c>
      <c r="M182" t="s">
        <v>58</v>
      </c>
      <c r="N182">
        <v>3.07</v>
      </c>
      <c r="O182">
        <v>1076</v>
      </c>
      <c r="P182">
        <v>4.0999999999999996</v>
      </c>
      <c r="Q182">
        <v>185</v>
      </c>
      <c r="R182">
        <v>591</v>
      </c>
    </row>
    <row r="183" spans="1:18" x14ac:dyDescent="0.2">
      <c r="A183">
        <v>3</v>
      </c>
      <c r="B183" t="s">
        <v>84</v>
      </c>
      <c r="E183" t="s">
        <v>29</v>
      </c>
      <c r="F183">
        <v>918155</v>
      </c>
      <c r="G183">
        <v>6</v>
      </c>
      <c r="H183">
        <v>2</v>
      </c>
      <c r="I183">
        <v>244</v>
      </c>
      <c r="J183">
        <v>1970</v>
      </c>
      <c r="K183" s="4">
        <v>44425</v>
      </c>
      <c r="L183" t="s">
        <v>30</v>
      </c>
      <c r="M183" t="s">
        <v>52</v>
      </c>
      <c r="N183">
        <v>2.84</v>
      </c>
      <c r="O183">
        <v>818</v>
      </c>
      <c r="P183">
        <v>0.77</v>
      </c>
      <c r="Q183">
        <v>351</v>
      </c>
      <c r="R183">
        <v>646</v>
      </c>
    </row>
    <row r="184" spans="1:18" x14ac:dyDescent="0.2">
      <c r="A184">
        <v>8</v>
      </c>
      <c r="B184" t="s">
        <v>100</v>
      </c>
      <c r="E184" t="s">
        <v>51</v>
      </c>
      <c r="F184">
        <v>2630926</v>
      </c>
      <c r="G184">
        <v>4</v>
      </c>
      <c r="H184">
        <v>3</v>
      </c>
      <c r="I184">
        <v>702</v>
      </c>
      <c r="J184">
        <v>2022</v>
      </c>
      <c r="K184" s="4">
        <v>45756</v>
      </c>
      <c r="L184" t="s">
        <v>30</v>
      </c>
      <c r="M184" t="s">
        <v>56</v>
      </c>
      <c r="N184">
        <v>1.89</v>
      </c>
      <c r="O184">
        <v>1419</v>
      </c>
      <c r="P184">
        <v>1.83</v>
      </c>
      <c r="Q184">
        <v>254</v>
      </c>
      <c r="R184">
        <v>524</v>
      </c>
    </row>
    <row r="185" spans="1:18" x14ac:dyDescent="0.2">
      <c r="A185">
        <v>2</v>
      </c>
      <c r="B185" t="s">
        <v>34</v>
      </c>
      <c r="E185" t="s">
        <v>29</v>
      </c>
      <c r="F185">
        <v>1451409</v>
      </c>
      <c r="G185">
        <v>2</v>
      </c>
      <c r="H185">
        <v>1</v>
      </c>
      <c r="I185">
        <v>119</v>
      </c>
      <c r="J185">
        <v>2010</v>
      </c>
      <c r="K185" s="4">
        <v>45232</v>
      </c>
      <c r="L185" t="s">
        <v>26</v>
      </c>
      <c r="M185" t="s">
        <v>60</v>
      </c>
      <c r="N185">
        <v>1.55</v>
      </c>
      <c r="O185">
        <v>1320</v>
      </c>
      <c r="P185">
        <v>4.6399999999999997</v>
      </c>
      <c r="Q185">
        <v>87</v>
      </c>
      <c r="R185">
        <v>322</v>
      </c>
    </row>
    <row r="186" spans="1:18" x14ac:dyDescent="0.2">
      <c r="A186">
        <v>9</v>
      </c>
      <c r="B186" t="s">
        <v>105</v>
      </c>
      <c r="E186" t="s">
        <v>29</v>
      </c>
      <c r="F186">
        <v>2935673</v>
      </c>
      <c r="G186">
        <v>2</v>
      </c>
      <c r="H186">
        <v>2</v>
      </c>
      <c r="I186">
        <v>441</v>
      </c>
      <c r="J186">
        <v>1965</v>
      </c>
      <c r="K186" s="4">
        <v>45774</v>
      </c>
      <c r="L186" t="s">
        <v>26</v>
      </c>
      <c r="M186" t="s">
        <v>68</v>
      </c>
      <c r="N186">
        <v>2.89</v>
      </c>
      <c r="O186">
        <v>1972</v>
      </c>
      <c r="P186">
        <v>4.03</v>
      </c>
      <c r="Q186">
        <v>236</v>
      </c>
      <c r="R186">
        <v>335</v>
      </c>
    </row>
    <row r="187" spans="1:18" x14ac:dyDescent="0.2">
      <c r="A187">
        <v>5</v>
      </c>
      <c r="B187" t="s">
        <v>94</v>
      </c>
      <c r="E187" t="s">
        <v>51</v>
      </c>
      <c r="F187">
        <v>2922050</v>
      </c>
      <c r="G187">
        <v>3</v>
      </c>
      <c r="H187">
        <v>3</v>
      </c>
      <c r="I187">
        <v>809</v>
      </c>
      <c r="J187">
        <v>1971</v>
      </c>
      <c r="K187" s="4">
        <v>44162</v>
      </c>
      <c r="L187" t="s">
        <v>23</v>
      </c>
      <c r="M187" t="s">
        <v>58</v>
      </c>
      <c r="N187">
        <v>3</v>
      </c>
      <c r="O187">
        <v>1034</v>
      </c>
      <c r="P187">
        <v>3.05</v>
      </c>
      <c r="Q187">
        <v>163</v>
      </c>
      <c r="R187">
        <v>513</v>
      </c>
    </row>
    <row r="188" spans="1:18" x14ac:dyDescent="0.2">
      <c r="A188">
        <v>0</v>
      </c>
      <c r="B188" t="s">
        <v>32</v>
      </c>
      <c r="E188" t="s">
        <v>19</v>
      </c>
      <c r="F188">
        <v>1041467</v>
      </c>
      <c r="G188">
        <v>3</v>
      </c>
      <c r="H188">
        <v>3</v>
      </c>
      <c r="I188">
        <v>978</v>
      </c>
      <c r="J188">
        <v>1983</v>
      </c>
      <c r="K188" s="4">
        <v>45148</v>
      </c>
      <c r="L188" t="s">
        <v>23</v>
      </c>
      <c r="M188" t="s">
        <v>33</v>
      </c>
      <c r="N188">
        <v>2.12</v>
      </c>
      <c r="O188">
        <v>1023</v>
      </c>
      <c r="P188">
        <v>3.69</v>
      </c>
      <c r="Q188">
        <v>114</v>
      </c>
      <c r="R188">
        <v>529</v>
      </c>
    </row>
    <row r="189" spans="1:18" x14ac:dyDescent="0.2">
      <c r="A189">
        <v>9</v>
      </c>
      <c r="B189" t="s">
        <v>106</v>
      </c>
      <c r="E189" t="s">
        <v>103</v>
      </c>
      <c r="F189">
        <v>2915853</v>
      </c>
      <c r="G189">
        <v>2</v>
      </c>
      <c r="H189">
        <v>2</v>
      </c>
      <c r="I189">
        <v>520</v>
      </c>
      <c r="J189">
        <v>1970</v>
      </c>
      <c r="K189" s="4">
        <v>45255</v>
      </c>
      <c r="L189" t="s">
        <v>26</v>
      </c>
      <c r="M189" t="s">
        <v>60</v>
      </c>
      <c r="N189">
        <v>3.08</v>
      </c>
      <c r="O189">
        <v>1432</v>
      </c>
      <c r="P189">
        <v>3.71</v>
      </c>
      <c r="Q189">
        <v>139</v>
      </c>
      <c r="R189">
        <v>454</v>
      </c>
    </row>
    <row r="190" spans="1:18" x14ac:dyDescent="0.2">
      <c r="A190">
        <v>3</v>
      </c>
      <c r="B190" t="s">
        <v>67</v>
      </c>
      <c r="E190" t="s">
        <v>29</v>
      </c>
      <c r="F190">
        <v>1777812</v>
      </c>
      <c r="G190">
        <v>4</v>
      </c>
      <c r="H190">
        <v>3</v>
      </c>
      <c r="I190">
        <v>882</v>
      </c>
      <c r="J190">
        <v>1965</v>
      </c>
      <c r="K190" s="4">
        <v>45192</v>
      </c>
      <c r="L190" t="s">
        <v>23</v>
      </c>
      <c r="M190" t="s">
        <v>52</v>
      </c>
      <c r="N190">
        <v>3.15</v>
      </c>
      <c r="O190">
        <v>1257</v>
      </c>
      <c r="P190">
        <v>0.26</v>
      </c>
      <c r="Q190">
        <v>227</v>
      </c>
      <c r="R190">
        <v>373</v>
      </c>
    </row>
    <row r="191" spans="1:18" x14ac:dyDescent="0.2">
      <c r="A191">
        <v>8</v>
      </c>
      <c r="B191" t="s">
        <v>50</v>
      </c>
      <c r="E191" t="s">
        <v>19</v>
      </c>
      <c r="F191">
        <v>530849</v>
      </c>
      <c r="G191">
        <v>3</v>
      </c>
      <c r="H191">
        <v>2</v>
      </c>
      <c r="I191">
        <v>105</v>
      </c>
      <c r="J191">
        <v>1953</v>
      </c>
      <c r="K191" s="4">
        <v>44576</v>
      </c>
      <c r="L191" t="s">
        <v>26</v>
      </c>
      <c r="M191" t="s">
        <v>42</v>
      </c>
      <c r="N191">
        <v>3.37</v>
      </c>
      <c r="O191">
        <v>2358</v>
      </c>
      <c r="P191">
        <v>2.86</v>
      </c>
      <c r="Q191">
        <v>303</v>
      </c>
      <c r="R191">
        <v>427</v>
      </c>
    </row>
    <row r="192" spans="1:18" x14ac:dyDescent="0.2">
      <c r="A192">
        <v>9</v>
      </c>
      <c r="B192" t="s">
        <v>98</v>
      </c>
      <c r="E192" t="s">
        <v>36</v>
      </c>
      <c r="F192">
        <v>1147607</v>
      </c>
      <c r="G192">
        <v>2</v>
      </c>
      <c r="H192">
        <v>1</v>
      </c>
      <c r="I192">
        <v>831</v>
      </c>
      <c r="J192">
        <v>2020</v>
      </c>
      <c r="K192" s="4">
        <v>45299</v>
      </c>
      <c r="L192" t="s">
        <v>26</v>
      </c>
      <c r="M192" t="s">
        <v>78</v>
      </c>
      <c r="N192">
        <v>2.85</v>
      </c>
      <c r="O192">
        <v>1476</v>
      </c>
      <c r="P192">
        <v>0.33</v>
      </c>
      <c r="Q192">
        <v>106</v>
      </c>
      <c r="R192">
        <v>324</v>
      </c>
    </row>
    <row r="193" spans="1:18" x14ac:dyDescent="0.2">
      <c r="A193">
        <v>5</v>
      </c>
      <c r="B193" t="s">
        <v>92</v>
      </c>
      <c r="E193" t="s">
        <v>36</v>
      </c>
      <c r="F193">
        <v>2563010</v>
      </c>
      <c r="G193">
        <v>1</v>
      </c>
      <c r="H193">
        <v>3</v>
      </c>
      <c r="I193">
        <v>374</v>
      </c>
      <c r="J193">
        <v>1950</v>
      </c>
      <c r="K193" s="4">
        <v>45261</v>
      </c>
      <c r="L193" t="s">
        <v>30</v>
      </c>
      <c r="M193" t="s">
        <v>97</v>
      </c>
      <c r="N193">
        <v>3.19</v>
      </c>
      <c r="O193">
        <v>1007</v>
      </c>
      <c r="P193">
        <v>0.31</v>
      </c>
      <c r="Q193">
        <v>144</v>
      </c>
      <c r="R193">
        <v>674</v>
      </c>
    </row>
    <row r="194" spans="1:18" x14ac:dyDescent="0.2">
      <c r="A194">
        <v>8</v>
      </c>
      <c r="B194" t="s">
        <v>94</v>
      </c>
      <c r="E194" t="s">
        <v>19</v>
      </c>
      <c r="F194">
        <v>912151</v>
      </c>
      <c r="G194">
        <v>0</v>
      </c>
      <c r="H194">
        <v>1</v>
      </c>
      <c r="I194">
        <v>352</v>
      </c>
      <c r="J194">
        <v>1967</v>
      </c>
      <c r="K194" s="4">
        <v>44143</v>
      </c>
      <c r="L194" t="s">
        <v>30</v>
      </c>
      <c r="M194" t="s">
        <v>68</v>
      </c>
      <c r="N194">
        <v>2.08</v>
      </c>
      <c r="O194">
        <v>2323</v>
      </c>
      <c r="P194">
        <v>3.31</v>
      </c>
      <c r="Q194">
        <v>71</v>
      </c>
      <c r="R194">
        <v>369</v>
      </c>
    </row>
    <row r="195" spans="1:18" x14ac:dyDescent="0.2">
      <c r="A195">
        <v>5</v>
      </c>
      <c r="B195" t="s">
        <v>62</v>
      </c>
      <c r="E195" t="s">
        <v>51</v>
      </c>
      <c r="F195">
        <v>2347868</v>
      </c>
      <c r="G195">
        <v>4</v>
      </c>
      <c r="H195">
        <v>1</v>
      </c>
      <c r="I195">
        <v>184</v>
      </c>
      <c r="J195">
        <v>2018</v>
      </c>
      <c r="K195" s="4">
        <v>45485</v>
      </c>
      <c r="L195" t="s">
        <v>30</v>
      </c>
      <c r="M195" t="s">
        <v>97</v>
      </c>
      <c r="N195">
        <v>2.92</v>
      </c>
      <c r="O195">
        <v>1538</v>
      </c>
      <c r="P195">
        <v>3.64</v>
      </c>
      <c r="Q195">
        <v>361</v>
      </c>
      <c r="R195">
        <v>369</v>
      </c>
    </row>
    <row r="196" spans="1:18" x14ac:dyDescent="0.2">
      <c r="A196">
        <v>6</v>
      </c>
      <c r="B196" t="s">
        <v>48</v>
      </c>
      <c r="E196" t="s">
        <v>51</v>
      </c>
      <c r="F196">
        <v>677570</v>
      </c>
      <c r="G196">
        <v>4</v>
      </c>
      <c r="H196">
        <v>3</v>
      </c>
      <c r="I196">
        <v>626</v>
      </c>
      <c r="J196">
        <v>1981</v>
      </c>
      <c r="K196" s="4">
        <v>44259</v>
      </c>
      <c r="L196" t="s">
        <v>23</v>
      </c>
      <c r="M196" t="s">
        <v>40</v>
      </c>
      <c r="N196">
        <v>2.44</v>
      </c>
      <c r="O196">
        <v>1111</v>
      </c>
      <c r="P196">
        <v>4.96</v>
      </c>
      <c r="Q196">
        <v>336</v>
      </c>
      <c r="R196">
        <v>393</v>
      </c>
    </row>
    <row r="197" spans="1:18" x14ac:dyDescent="0.2">
      <c r="A197">
        <v>7</v>
      </c>
      <c r="B197" t="s">
        <v>41</v>
      </c>
      <c r="E197" t="s">
        <v>19</v>
      </c>
      <c r="F197">
        <v>472132</v>
      </c>
      <c r="G197">
        <v>5</v>
      </c>
      <c r="H197">
        <v>3</v>
      </c>
      <c r="I197">
        <v>306</v>
      </c>
      <c r="J197">
        <v>1990</v>
      </c>
      <c r="K197" s="4">
        <v>44500</v>
      </c>
      <c r="L197" t="s">
        <v>26</v>
      </c>
      <c r="M197" t="s">
        <v>33</v>
      </c>
      <c r="N197">
        <v>2.0699999999999998</v>
      </c>
      <c r="O197">
        <v>2219</v>
      </c>
      <c r="P197">
        <v>2.91</v>
      </c>
      <c r="Q197">
        <v>272</v>
      </c>
      <c r="R197">
        <v>487</v>
      </c>
    </row>
    <row r="198" spans="1:18" x14ac:dyDescent="0.2">
      <c r="A198">
        <v>0</v>
      </c>
      <c r="B198" t="s">
        <v>53</v>
      </c>
      <c r="E198" t="s">
        <v>19</v>
      </c>
      <c r="F198">
        <v>633602</v>
      </c>
      <c r="G198">
        <v>2</v>
      </c>
      <c r="H198">
        <v>1</v>
      </c>
      <c r="I198">
        <v>844</v>
      </c>
      <c r="J198">
        <v>2004</v>
      </c>
      <c r="K198" s="4">
        <v>45628</v>
      </c>
      <c r="L198" t="s">
        <v>30</v>
      </c>
      <c r="M198" t="s">
        <v>77</v>
      </c>
      <c r="N198">
        <v>1.86</v>
      </c>
      <c r="O198">
        <v>1435</v>
      </c>
      <c r="P198">
        <v>1.1599999999999999</v>
      </c>
      <c r="Q198">
        <v>82</v>
      </c>
      <c r="R198">
        <v>302</v>
      </c>
    </row>
    <row r="199" spans="1:18" x14ac:dyDescent="0.2">
      <c r="A199">
        <v>8</v>
      </c>
      <c r="B199" t="s">
        <v>106</v>
      </c>
      <c r="E199" t="s">
        <v>19</v>
      </c>
      <c r="F199">
        <v>2358256</v>
      </c>
      <c r="G199">
        <v>4</v>
      </c>
      <c r="H199">
        <v>1</v>
      </c>
      <c r="I199">
        <v>990</v>
      </c>
      <c r="J199">
        <v>2003</v>
      </c>
      <c r="K199" s="4">
        <v>44356</v>
      </c>
      <c r="L199" t="s">
        <v>26</v>
      </c>
      <c r="M199" t="s">
        <v>42</v>
      </c>
      <c r="N199">
        <v>1.79</v>
      </c>
      <c r="O199">
        <v>1958</v>
      </c>
      <c r="P199">
        <v>4.51</v>
      </c>
      <c r="Q199">
        <v>389</v>
      </c>
      <c r="R199">
        <v>347</v>
      </c>
    </row>
    <row r="200" spans="1:18" x14ac:dyDescent="0.2">
      <c r="A200">
        <v>5</v>
      </c>
      <c r="B200" t="s">
        <v>92</v>
      </c>
      <c r="E200" t="s">
        <v>19</v>
      </c>
      <c r="F200">
        <v>852077</v>
      </c>
      <c r="G200">
        <v>4</v>
      </c>
      <c r="H200">
        <v>1</v>
      </c>
      <c r="I200">
        <v>496</v>
      </c>
      <c r="J200">
        <v>2001</v>
      </c>
      <c r="K200" s="4">
        <v>44852</v>
      </c>
      <c r="L200" t="s">
        <v>30</v>
      </c>
      <c r="M200" t="s">
        <v>77</v>
      </c>
      <c r="N200">
        <v>1.74</v>
      </c>
      <c r="O200">
        <v>1622</v>
      </c>
      <c r="P200">
        <v>0.24</v>
      </c>
      <c r="Q200">
        <v>314</v>
      </c>
      <c r="R200">
        <v>657</v>
      </c>
    </row>
    <row r="201" spans="1:18" x14ac:dyDescent="0.2">
      <c r="A201">
        <v>7</v>
      </c>
      <c r="B201" t="s">
        <v>98</v>
      </c>
      <c r="E201" t="s">
        <v>29</v>
      </c>
      <c r="F201">
        <v>2355701</v>
      </c>
      <c r="G201">
        <v>1</v>
      </c>
      <c r="H201">
        <v>3</v>
      </c>
      <c r="I201">
        <v>901</v>
      </c>
      <c r="J201">
        <v>1973</v>
      </c>
      <c r="K201" s="4">
        <v>45305</v>
      </c>
      <c r="L201" t="s">
        <v>26</v>
      </c>
      <c r="M201" t="s">
        <v>70</v>
      </c>
      <c r="N201">
        <v>1.79</v>
      </c>
      <c r="O201">
        <v>1456</v>
      </c>
      <c r="P201">
        <v>2.29</v>
      </c>
      <c r="Q201">
        <v>132</v>
      </c>
      <c r="R201">
        <v>586</v>
      </c>
    </row>
    <row r="202" spans="1:18" x14ac:dyDescent="0.2">
      <c r="A202">
        <v>4</v>
      </c>
      <c r="B202" t="s">
        <v>87</v>
      </c>
      <c r="E202" t="s">
        <v>19</v>
      </c>
      <c r="F202">
        <v>1441409</v>
      </c>
      <c r="G202">
        <v>0</v>
      </c>
      <c r="H202">
        <v>1</v>
      </c>
      <c r="I202">
        <v>506</v>
      </c>
      <c r="J202">
        <v>2004</v>
      </c>
      <c r="K202" s="4">
        <v>45079</v>
      </c>
      <c r="L202" t="s">
        <v>23</v>
      </c>
      <c r="M202" t="s">
        <v>54</v>
      </c>
      <c r="N202">
        <v>2.15</v>
      </c>
      <c r="O202">
        <v>2115</v>
      </c>
      <c r="P202">
        <v>2.31</v>
      </c>
      <c r="Q202">
        <v>60</v>
      </c>
      <c r="R202">
        <v>507</v>
      </c>
    </row>
    <row r="203" spans="1:18" x14ac:dyDescent="0.2">
      <c r="A203">
        <v>4</v>
      </c>
      <c r="B203" t="s">
        <v>79</v>
      </c>
      <c r="E203" t="s">
        <v>51</v>
      </c>
      <c r="F203">
        <v>1903782</v>
      </c>
      <c r="G203">
        <v>3</v>
      </c>
      <c r="H203">
        <v>3</v>
      </c>
      <c r="I203">
        <v>954</v>
      </c>
      <c r="J203">
        <v>1960</v>
      </c>
      <c r="K203" s="4">
        <v>44551</v>
      </c>
      <c r="L203" t="s">
        <v>26</v>
      </c>
      <c r="M203" t="s">
        <v>56</v>
      </c>
      <c r="N203">
        <v>3.4</v>
      </c>
      <c r="O203">
        <v>1865</v>
      </c>
      <c r="P203">
        <v>4.49</v>
      </c>
      <c r="Q203">
        <v>117</v>
      </c>
      <c r="R203">
        <v>565</v>
      </c>
    </row>
    <row r="204" spans="1:18" x14ac:dyDescent="0.2">
      <c r="A204">
        <v>5</v>
      </c>
      <c r="B204" t="s">
        <v>84</v>
      </c>
      <c r="E204" t="s">
        <v>51</v>
      </c>
      <c r="F204">
        <v>1277904</v>
      </c>
      <c r="G204">
        <v>1</v>
      </c>
      <c r="H204">
        <v>3</v>
      </c>
      <c r="I204">
        <v>779</v>
      </c>
      <c r="J204">
        <v>1976</v>
      </c>
      <c r="K204" s="4">
        <v>45720</v>
      </c>
      <c r="L204" t="s">
        <v>26</v>
      </c>
      <c r="M204" t="s">
        <v>35</v>
      </c>
      <c r="N204">
        <v>2.71</v>
      </c>
      <c r="O204">
        <v>1999</v>
      </c>
      <c r="P204">
        <v>1.95</v>
      </c>
      <c r="Q204">
        <v>116</v>
      </c>
      <c r="R204">
        <v>529</v>
      </c>
    </row>
    <row r="205" spans="1:18" x14ac:dyDescent="0.2">
      <c r="A205">
        <v>9</v>
      </c>
      <c r="B205" t="s">
        <v>39</v>
      </c>
      <c r="E205" t="s">
        <v>19</v>
      </c>
      <c r="F205">
        <v>1421350</v>
      </c>
      <c r="G205">
        <v>3</v>
      </c>
      <c r="H205">
        <v>3</v>
      </c>
      <c r="I205">
        <v>632</v>
      </c>
      <c r="J205">
        <v>1993</v>
      </c>
      <c r="K205" s="4">
        <v>45576</v>
      </c>
      <c r="L205" t="s">
        <v>26</v>
      </c>
      <c r="M205" t="s">
        <v>42</v>
      </c>
      <c r="N205">
        <v>2.79</v>
      </c>
      <c r="O205">
        <v>1633</v>
      </c>
      <c r="P205">
        <v>3.05</v>
      </c>
      <c r="Q205">
        <v>293</v>
      </c>
      <c r="R205">
        <v>333</v>
      </c>
    </row>
    <row r="206" spans="1:18" x14ac:dyDescent="0.2">
      <c r="A206">
        <v>0</v>
      </c>
      <c r="B206" t="s">
        <v>57</v>
      </c>
      <c r="E206" t="s">
        <v>19</v>
      </c>
      <c r="F206">
        <v>2344765</v>
      </c>
      <c r="G206">
        <v>2</v>
      </c>
      <c r="H206">
        <v>1</v>
      </c>
      <c r="I206">
        <v>160</v>
      </c>
      <c r="J206">
        <v>1987</v>
      </c>
      <c r="K206" s="4">
        <v>44377</v>
      </c>
      <c r="L206" t="s">
        <v>20</v>
      </c>
      <c r="M206" t="s">
        <v>63</v>
      </c>
      <c r="N206">
        <v>1.96</v>
      </c>
      <c r="O206">
        <v>1684</v>
      </c>
      <c r="P206">
        <v>0.74</v>
      </c>
      <c r="Q206">
        <v>140</v>
      </c>
      <c r="R206">
        <v>603</v>
      </c>
    </row>
    <row r="207" spans="1:18" x14ac:dyDescent="0.2">
      <c r="A207">
        <v>7</v>
      </c>
      <c r="B207" t="s">
        <v>102</v>
      </c>
      <c r="E207" t="s">
        <v>51</v>
      </c>
      <c r="F207">
        <v>2262700</v>
      </c>
      <c r="G207">
        <v>5</v>
      </c>
      <c r="H207">
        <v>3</v>
      </c>
      <c r="I207">
        <v>966</v>
      </c>
      <c r="J207">
        <v>1975</v>
      </c>
      <c r="K207" s="4">
        <v>45600</v>
      </c>
      <c r="L207" t="s">
        <v>26</v>
      </c>
      <c r="M207" t="s">
        <v>33</v>
      </c>
      <c r="N207">
        <v>2.63</v>
      </c>
      <c r="O207">
        <v>1424</v>
      </c>
      <c r="P207">
        <v>2.82</v>
      </c>
      <c r="Q207">
        <v>244</v>
      </c>
      <c r="R207">
        <v>421</v>
      </c>
    </row>
    <row r="208" spans="1:18" x14ac:dyDescent="0.2">
      <c r="A208">
        <v>4</v>
      </c>
      <c r="B208" t="s">
        <v>81</v>
      </c>
      <c r="E208" t="s">
        <v>51</v>
      </c>
      <c r="F208">
        <v>1925031</v>
      </c>
      <c r="G208">
        <v>3</v>
      </c>
      <c r="H208">
        <v>3</v>
      </c>
      <c r="I208">
        <v>125</v>
      </c>
      <c r="J208">
        <v>1991</v>
      </c>
      <c r="K208" s="4">
        <v>45590</v>
      </c>
      <c r="L208" t="s">
        <v>23</v>
      </c>
      <c r="M208" t="s">
        <v>63</v>
      </c>
      <c r="N208">
        <v>2.44</v>
      </c>
      <c r="O208">
        <v>1098</v>
      </c>
      <c r="P208">
        <v>1.78</v>
      </c>
      <c r="Q208">
        <v>221</v>
      </c>
      <c r="R208">
        <v>651</v>
      </c>
    </row>
    <row r="209" spans="1:18" x14ac:dyDescent="0.2">
      <c r="A209">
        <v>7</v>
      </c>
      <c r="B209" t="s">
        <v>105</v>
      </c>
      <c r="E209" t="s">
        <v>19</v>
      </c>
      <c r="F209">
        <v>2134397</v>
      </c>
      <c r="G209">
        <v>4</v>
      </c>
      <c r="H209">
        <v>1</v>
      </c>
      <c r="I209">
        <v>633</v>
      </c>
      <c r="J209">
        <v>1957</v>
      </c>
      <c r="K209" s="4">
        <v>44810</v>
      </c>
      <c r="L209" t="s">
        <v>26</v>
      </c>
      <c r="M209" t="s">
        <v>33</v>
      </c>
      <c r="N209">
        <v>2.46</v>
      </c>
      <c r="O209">
        <v>1851</v>
      </c>
      <c r="P209">
        <v>0.73</v>
      </c>
      <c r="Q209">
        <v>166</v>
      </c>
      <c r="R209">
        <v>649</v>
      </c>
    </row>
    <row r="210" spans="1:18" x14ac:dyDescent="0.2">
      <c r="A210">
        <v>9</v>
      </c>
      <c r="B210" t="s">
        <v>94</v>
      </c>
      <c r="E210" t="s">
        <v>51</v>
      </c>
      <c r="F210">
        <v>2676601</v>
      </c>
      <c r="G210">
        <v>5</v>
      </c>
      <c r="H210">
        <v>2</v>
      </c>
      <c r="I210">
        <v>149</v>
      </c>
      <c r="J210">
        <v>1959</v>
      </c>
      <c r="K210" s="4">
        <v>45803</v>
      </c>
      <c r="L210" t="s">
        <v>23</v>
      </c>
      <c r="M210" t="s">
        <v>89</v>
      </c>
      <c r="N210">
        <v>2.76</v>
      </c>
      <c r="O210">
        <v>1310</v>
      </c>
      <c r="P210">
        <v>3.13</v>
      </c>
      <c r="Q210">
        <v>305</v>
      </c>
      <c r="R210">
        <v>605</v>
      </c>
    </row>
    <row r="211" spans="1:18" x14ac:dyDescent="0.2">
      <c r="A211">
        <v>7</v>
      </c>
      <c r="B211" t="s">
        <v>18</v>
      </c>
      <c r="E211" t="s">
        <v>29</v>
      </c>
      <c r="F211">
        <v>934005</v>
      </c>
      <c r="G211">
        <v>4</v>
      </c>
      <c r="H211">
        <v>1</v>
      </c>
      <c r="I211">
        <v>390</v>
      </c>
      <c r="J211">
        <v>1953</v>
      </c>
      <c r="K211" s="4">
        <v>44187</v>
      </c>
      <c r="L211" t="s">
        <v>26</v>
      </c>
      <c r="M211" t="s">
        <v>59</v>
      </c>
      <c r="N211">
        <v>2.38</v>
      </c>
      <c r="O211">
        <v>1997</v>
      </c>
      <c r="P211">
        <v>1.51</v>
      </c>
      <c r="Q211">
        <v>179</v>
      </c>
      <c r="R211">
        <v>622</v>
      </c>
    </row>
    <row r="212" spans="1:18" x14ac:dyDescent="0.2">
      <c r="A212">
        <v>6</v>
      </c>
      <c r="B212" t="s">
        <v>79</v>
      </c>
      <c r="E212" t="s">
        <v>51</v>
      </c>
      <c r="F212">
        <v>2801025</v>
      </c>
      <c r="G212">
        <v>0</v>
      </c>
      <c r="H212">
        <v>2</v>
      </c>
      <c r="I212">
        <v>822</v>
      </c>
      <c r="J212">
        <v>2000</v>
      </c>
      <c r="K212" s="4">
        <v>45203</v>
      </c>
      <c r="L212" t="s">
        <v>20</v>
      </c>
      <c r="M212" t="s">
        <v>70</v>
      </c>
      <c r="N212">
        <v>1.65</v>
      </c>
      <c r="O212">
        <v>1298</v>
      </c>
      <c r="P212">
        <v>2.17</v>
      </c>
      <c r="Q212">
        <v>59</v>
      </c>
      <c r="R212">
        <v>326</v>
      </c>
    </row>
    <row r="213" spans="1:18" x14ac:dyDescent="0.2">
      <c r="A213">
        <v>4</v>
      </c>
      <c r="B213" t="s">
        <v>65</v>
      </c>
      <c r="E213" t="s">
        <v>29</v>
      </c>
      <c r="F213">
        <v>566986</v>
      </c>
      <c r="G213">
        <v>2</v>
      </c>
      <c r="H213">
        <v>2</v>
      </c>
      <c r="I213">
        <v>435</v>
      </c>
      <c r="J213">
        <v>1959</v>
      </c>
      <c r="K213" s="4">
        <v>45876</v>
      </c>
      <c r="L213" t="s">
        <v>30</v>
      </c>
      <c r="M213" t="s">
        <v>97</v>
      </c>
      <c r="N213">
        <v>3.41</v>
      </c>
      <c r="O213">
        <v>1239</v>
      </c>
      <c r="P213">
        <v>1.87</v>
      </c>
      <c r="Q213">
        <v>206</v>
      </c>
      <c r="R213">
        <v>537</v>
      </c>
    </row>
    <row r="214" spans="1:18" x14ac:dyDescent="0.2">
      <c r="A214">
        <v>9</v>
      </c>
      <c r="B214" t="s">
        <v>39</v>
      </c>
      <c r="E214" t="s">
        <v>51</v>
      </c>
      <c r="F214">
        <v>2069982</v>
      </c>
      <c r="G214">
        <v>4</v>
      </c>
      <c r="H214">
        <v>1</v>
      </c>
      <c r="I214">
        <v>111</v>
      </c>
      <c r="J214">
        <v>1986</v>
      </c>
      <c r="K214" s="4">
        <v>44736</v>
      </c>
      <c r="L214" t="s">
        <v>30</v>
      </c>
      <c r="M214" t="s">
        <v>68</v>
      </c>
      <c r="N214">
        <v>1.77</v>
      </c>
      <c r="O214">
        <v>1924</v>
      </c>
      <c r="P214">
        <v>4.93</v>
      </c>
      <c r="Q214">
        <v>391</v>
      </c>
      <c r="R214">
        <v>306</v>
      </c>
    </row>
    <row r="215" spans="1:18" x14ac:dyDescent="0.2">
      <c r="A215">
        <v>6</v>
      </c>
      <c r="B215" t="s">
        <v>49</v>
      </c>
      <c r="E215" t="s">
        <v>51</v>
      </c>
      <c r="F215">
        <v>1046646</v>
      </c>
      <c r="G215">
        <v>6</v>
      </c>
      <c r="H215">
        <v>3</v>
      </c>
      <c r="I215">
        <v>797</v>
      </c>
      <c r="J215">
        <v>2019</v>
      </c>
      <c r="K215" s="4">
        <v>45045</v>
      </c>
      <c r="L215" t="s">
        <v>26</v>
      </c>
      <c r="M215" t="s">
        <v>52</v>
      </c>
      <c r="N215">
        <v>2.85</v>
      </c>
      <c r="O215">
        <v>1009</v>
      </c>
      <c r="P215">
        <v>0.73</v>
      </c>
      <c r="Q215">
        <v>385</v>
      </c>
      <c r="R215">
        <v>597</v>
      </c>
    </row>
    <row r="216" spans="1:18" x14ac:dyDescent="0.2">
      <c r="A216">
        <v>0</v>
      </c>
      <c r="B216" t="s">
        <v>49</v>
      </c>
      <c r="E216" t="s">
        <v>29</v>
      </c>
      <c r="F216">
        <v>2512364</v>
      </c>
      <c r="G216">
        <v>2</v>
      </c>
      <c r="H216">
        <v>3</v>
      </c>
      <c r="I216">
        <v>932</v>
      </c>
      <c r="J216">
        <v>1977</v>
      </c>
      <c r="K216" s="4">
        <v>44278</v>
      </c>
      <c r="L216" t="s">
        <v>20</v>
      </c>
      <c r="M216" t="s">
        <v>42</v>
      </c>
      <c r="N216">
        <v>1.54</v>
      </c>
      <c r="O216">
        <v>1767</v>
      </c>
      <c r="P216">
        <v>2.11</v>
      </c>
      <c r="Q216">
        <v>202</v>
      </c>
      <c r="R216">
        <v>650</v>
      </c>
    </row>
    <row r="217" spans="1:18" x14ac:dyDescent="0.2">
      <c r="A217">
        <v>3</v>
      </c>
      <c r="B217" t="s">
        <v>99</v>
      </c>
      <c r="E217" t="s">
        <v>29</v>
      </c>
      <c r="F217">
        <v>2840035</v>
      </c>
      <c r="G217">
        <v>1</v>
      </c>
      <c r="H217">
        <v>2</v>
      </c>
      <c r="I217">
        <v>525</v>
      </c>
      <c r="J217">
        <v>1976</v>
      </c>
      <c r="K217" s="4">
        <v>44260</v>
      </c>
      <c r="L217" t="s">
        <v>30</v>
      </c>
      <c r="M217" t="s">
        <v>21</v>
      </c>
      <c r="N217">
        <v>2.06</v>
      </c>
      <c r="O217">
        <v>2446</v>
      </c>
      <c r="P217">
        <v>1.03</v>
      </c>
      <c r="Q217">
        <v>76</v>
      </c>
      <c r="R217">
        <v>391</v>
      </c>
    </row>
    <row r="218" spans="1:18" x14ac:dyDescent="0.2">
      <c r="A218">
        <v>8</v>
      </c>
      <c r="B218" t="s">
        <v>73</v>
      </c>
      <c r="E218" t="s">
        <v>51</v>
      </c>
      <c r="F218">
        <v>1715874</v>
      </c>
      <c r="G218">
        <v>5</v>
      </c>
      <c r="H218">
        <v>3</v>
      </c>
      <c r="I218">
        <v>628</v>
      </c>
      <c r="J218">
        <v>1971</v>
      </c>
      <c r="K218" s="4">
        <v>45842</v>
      </c>
      <c r="L218" t="s">
        <v>30</v>
      </c>
      <c r="M218" t="s">
        <v>60</v>
      </c>
      <c r="N218">
        <v>3.44</v>
      </c>
      <c r="O218">
        <v>2333</v>
      </c>
      <c r="P218">
        <v>4.3099999999999996</v>
      </c>
      <c r="Q218">
        <v>390</v>
      </c>
      <c r="R218">
        <v>603</v>
      </c>
    </row>
    <row r="219" spans="1:18" x14ac:dyDescent="0.2">
      <c r="A219">
        <v>7</v>
      </c>
      <c r="B219" t="s">
        <v>61</v>
      </c>
      <c r="E219" t="s">
        <v>19</v>
      </c>
      <c r="F219">
        <v>2080257</v>
      </c>
      <c r="G219">
        <v>3</v>
      </c>
      <c r="H219">
        <v>1</v>
      </c>
      <c r="I219">
        <v>628</v>
      </c>
      <c r="J219">
        <v>1956</v>
      </c>
      <c r="K219" s="4">
        <v>44615</v>
      </c>
      <c r="L219" t="s">
        <v>26</v>
      </c>
      <c r="M219" t="s">
        <v>37</v>
      </c>
      <c r="N219">
        <v>3.02</v>
      </c>
      <c r="O219">
        <v>1394</v>
      </c>
      <c r="P219">
        <v>0.24</v>
      </c>
      <c r="Q219">
        <v>104</v>
      </c>
      <c r="R219">
        <v>643</v>
      </c>
    </row>
    <row r="220" spans="1:18" x14ac:dyDescent="0.2">
      <c r="A220">
        <v>8</v>
      </c>
      <c r="B220" t="s">
        <v>102</v>
      </c>
      <c r="E220" t="s">
        <v>51</v>
      </c>
      <c r="F220">
        <v>2391665</v>
      </c>
      <c r="G220">
        <v>2</v>
      </c>
      <c r="H220">
        <v>1</v>
      </c>
      <c r="I220">
        <v>899</v>
      </c>
      <c r="J220">
        <v>2014</v>
      </c>
      <c r="K220" s="4">
        <v>45537</v>
      </c>
      <c r="L220" t="s">
        <v>26</v>
      </c>
      <c r="M220" t="s">
        <v>45</v>
      </c>
      <c r="N220">
        <v>3.33</v>
      </c>
      <c r="O220">
        <v>1083</v>
      </c>
      <c r="P220">
        <v>1.4</v>
      </c>
      <c r="Q220">
        <v>127</v>
      </c>
      <c r="R220">
        <v>335</v>
      </c>
    </row>
    <row r="221" spans="1:18" x14ac:dyDescent="0.2">
      <c r="A221">
        <v>0</v>
      </c>
      <c r="B221" t="s">
        <v>73</v>
      </c>
      <c r="E221" t="s">
        <v>19</v>
      </c>
      <c r="F221">
        <v>1283466</v>
      </c>
      <c r="G221">
        <v>3</v>
      </c>
      <c r="H221">
        <v>3</v>
      </c>
      <c r="I221">
        <v>95</v>
      </c>
      <c r="J221">
        <v>1979</v>
      </c>
      <c r="K221" s="4">
        <v>45327</v>
      </c>
      <c r="L221" t="s">
        <v>26</v>
      </c>
      <c r="M221" t="s">
        <v>60</v>
      </c>
      <c r="N221">
        <v>2.38</v>
      </c>
      <c r="O221">
        <v>1089</v>
      </c>
      <c r="P221">
        <v>2.97</v>
      </c>
      <c r="Q221">
        <v>234</v>
      </c>
      <c r="R221">
        <v>651</v>
      </c>
    </row>
    <row r="222" spans="1:18" x14ac:dyDescent="0.2">
      <c r="A222">
        <v>0</v>
      </c>
      <c r="B222" t="s">
        <v>84</v>
      </c>
      <c r="E222" t="s">
        <v>29</v>
      </c>
      <c r="F222">
        <v>1519708</v>
      </c>
      <c r="G222">
        <v>2</v>
      </c>
      <c r="H222">
        <v>3</v>
      </c>
      <c r="I222">
        <v>283</v>
      </c>
      <c r="J222">
        <v>1992</v>
      </c>
      <c r="K222" s="4">
        <v>44487</v>
      </c>
      <c r="L222" t="s">
        <v>23</v>
      </c>
      <c r="M222" t="s">
        <v>35</v>
      </c>
      <c r="N222">
        <v>3.27</v>
      </c>
      <c r="O222">
        <v>1342</v>
      </c>
      <c r="P222">
        <v>1.04</v>
      </c>
      <c r="Q222">
        <v>220</v>
      </c>
      <c r="R222">
        <v>337</v>
      </c>
    </row>
    <row r="223" spans="1:18" x14ac:dyDescent="0.2">
      <c r="A223">
        <v>8</v>
      </c>
      <c r="B223" t="s">
        <v>71</v>
      </c>
      <c r="E223" t="s">
        <v>51</v>
      </c>
      <c r="F223">
        <v>1752561</v>
      </c>
      <c r="G223">
        <v>1</v>
      </c>
      <c r="H223">
        <v>3</v>
      </c>
      <c r="I223">
        <v>607</v>
      </c>
      <c r="J223">
        <v>1973</v>
      </c>
      <c r="K223" s="4">
        <v>45031</v>
      </c>
      <c r="L223" t="s">
        <v>20</v>
      </c>
      <c r="M223" t="s">
        <v>74</v>
      </c>
      <c r="N223">
        <v>2.4900000000000002</v>
      </c>
      <c r="O223">
        <v>2259</v>
      </c>
      <c r="P223">
        <v>4.05</v>
      </c>
      <c r="Q223">
        <v>94</v>
      </c>
      <c r="R223">
        <v>321</v>
      </c>
    </row>
    <row r="224" spans="1:18" x14ac:dyDescent="0.2">
      <c r="A224">
        <v>8</v>
      </c>
      <c r="B224" t="s">
        <v>44</v>
      </c>
      <c r="E224" t="s">
        <v>36</v>
      </c>
      <c r="F224">
        <v>1185465</v>
      </c>
      <c r="G224">
        <v>5</v>
      </c>
      <c r="H224">
        <v>3</v>
      </c>
      <c r="I224">
        <v>78</v>
      </c>
      <c r="J224">
        <v>2019</v>
      </c>
      <c r="K224" s="4">
        <v>45608</v>
      </c>
      <c r="L224" t="s">
        <v>26</v>
      </c>
      <c r="M224" t="s">
        <v>85</v>
      </c>
      <c r="N224">
        <v>2.92</v>
      </c>
      <c r="O224">
        <v>1390</v>
      </c>
      <c r="P224">
        <v>3.55</v>
      </c>
      <c r="Q224">
        <v>322</v>
      </c>
      <c r="R224">
        <v>647</v>
      </c>
    </row>
    <row r="225" spans="1:18" x14ac:dyDescent="0.2">
      <c r="A225">
        <v>0</v>
      </c>
      <c r="B225" t="s">
        <v>53</v>
      </c>
      <c r="E225" t="s">
        <v>29</v>
      </c>
      <c r="F225">
        <v>2364183</v>
      </c>
      <c r="G225">
        <v>1</v>
      </c>
      <c r="H225">
        <v>2</v>
      </c>
      <c r="I225">
        <v>328</v>
      </c>
      <c r="J225">
        <v>2020</v>
      </c>
      <c r="K225" s="4">
        <v>44400</v>
      </c>
      <c r="L225" t="s">
        <v>23</v>
      </c>
      <c r="M225" t="s">
        <v>68</v>
      </c>
      <c r="N225">
        <v>3.11</v>
      </c>
      <c r="O225">
        <v>2178</v>
      </c>
      <c r="P225">
        <v>2.65</v>
      </c>
      <c r="Q225">
        <v>115</v>
      </c>
      <c r="R225">
        <v>614</v>
      </c>
    </row>
    <row r="226" spans="1:18" x14ac:dyDescent="0.2">
      <c r="A226">
        <v>9</v>
      </c>
      <c r="B226" t="s">
        <v>25</v>
      </c>
      <c r="E226" t="s">
        <v>29</v>
      </c>
      <c r="F226">
        <v>614214</v>
      </c>
      <c r="G226">
        <v>4</v>
      </c>
      <c r="H226">
        <v>3</v>
      </c>
      <c r="I226">
        <v>136</v>
      </c>
      <c r="J226">
        <v>1969</v>
      </c>
      <c r="K226" s="4">
        <v>44571</v>
      </c>
      <c r="L226" t="s">
        <v>20</v>
      </c>
      <c r="M226" t="s">
        <v>21</v>
      </c>
      <c r="N226">
        <v>3.05</v>
      </c>
      <c r="O226">
        <v>2214</v>
      </c>
      <c r="P226">
        <v>3.68</v>
      </c>
      <c r="Q226">
        <v>304</v>
      </c>
      <c r="R226">
        <v>341</v>
      </c>
    </row>
    <row r="227" spans="1:18" x14ac:dyDescent="0.2">
      <c r="A227">
        <v>5</v>
      </c>
      <c r="B227" t="s">
        <v>25</v>
      </c>
      <c r="E227" t="s">
        <v>29</v>
      </c>
      <c r="F227">
        <v>1747482</v>
      </c>
      <c r="G227">
        <v>2</v>
      </c>
      <c r="H227">
        <v>1</v>
      </c>
      <c r="I227">
        <v>541</v>
      </c>
      <c r="J227">
        <v>1976</v>
      </c>
      <c r="K227" s="4">
        <v>44964</v>
      </c>
      <c r="L227" t="s">
        <v>23</v>
      </c>
      <c r="M227" t="s">
        <v>63</v>
      </c>
      <c r="N227">
        <v>3.02</v>
      </c>
      <c r="O227">
        <v>1265</v>
      </c>
      <c r="P227">
        <v>4.42</v>
      </c>
      <c r="Q227">
        <v>118</v>
      </c>
      <c r="R227">
        <v>688</v>
      </c>
    </row>
    <row r="228" spans="1:18" x14ac:dyDescent="0.2">
      <c r="A228">
        <v>3</v>
      </c>
      <c r="B228" t="s">
        <v>48</v>
      </c>
      <c r="E228" t="s">
        <v>51</v>
      </c>
      <c r="F228">
        <v>495865</v>
      </c>
      <c r="G228">
        <v>4</v>
      </c>
      <c r="H228">
        <v>1</v>
      </c>
      <c r="I228">
        <v>166</v>
      </c>
      <c r="J228">
        <v>1985</v>
      </c>
      <c r="K228" s="4">
        <v>44505</v>
      </c>
      <c r="L228" t="s">
        <v>23</v>
      </c>
      <c r="M228" t="s">
        <v>45</v>
      </c>
      <c r="N228">
        <v>2.0699999999999998</v>
      </c>
      <c r="O228">
        <v>870</v>
      </c>
      <c r="P228">
        <v>1.65</v>
      </c>
      <c r="Q228">
        <v>284</v>
      </c>
      <c r="R228">
        <v>555</v>
      </c>
    </row>
    <row r="229" spans="1:18" x14ac:dyDescent="0.2">
      <c r="A229">
        <v>6</v>
      </c>
      <c r="B229" t="s">
        <v>79</v>
      </c>
      <c r="E229" t="s">
        <v>36</v>
      </c>
      <c r="F229">
        <v>555236</v>
      </c>
      <c r="G229">
        <v>4</v>
      </c>
      <c r="H229">
        <v>3</v>
      </c>
      <c r="I229">
        <v>382</v>
      </c>
      <c r="J229">
        <v>1975</v>
      </c>
      <c r="K229" s="4">
        <v>44838</v>
      </c>
      <c r="L229" t="s">
        <v>26</v>
      </c>
      <c r="M229" t="s">
        <v>82</v>
      </c>
      <c r="N229">
        <v>3.4</v>
      </c>
      <c r="O229">
        <v>2305</v>
      </c>
      <c r="P229">
        <v>3.13</v>
      </c>
      <c r="Q229">
        <v>203</v>
      </c>
      <c r="R229">
        <v>676</v>
      </c>
    </row>
    <row r="230" spans="1:18" x14ac:dyDescent="0.2">
      <c r="A230">
        <v>8</v>
      </c>
      <c r="B230" t="s">
        <v>83</v>
      </c>
      <c r="E230" t="s">
        <v>29</v>
      </c>
      <c r="F230">
        <v>567597</v>
      </c>
      <c r="G230">
        <v>5</v>
      </c>
      <c r="H230">
        <v>1</v>
      </c>
      <c r="I230">
        <v>646</v>
      </c>
      <c r="J230">
        <v>1997</v>
      </c>
      <c r="K230" s="4">
        <v>44189</v>
      </c>
      <c r="L230" t="s">
        <v>20</v>
      </c>
      <c r="M230" t="s">
        <v>59</v>
      </c>
      <c r="N230">
        <v>1.98</v>
      </c>
      <c r="O230">
        <v>1213</v>
      </c>
      <c r="P230">
        <v>3.86</v>
      </c>
      <c r="Q230">
        <v>272</v>
      </c>
      <c r="R230">
        <v>633</v>
      </c>
    </row>
    <row r="231" spans="1:18" x14ac:dyDescent="0.2">
      <c r="A231">
        <v>9</v>
      </c>
      <c r="B231" t="s">
        <v>94</v>
      </c>
      <c r="E231" t="s">
        <v>19</v>
      </c>
      <c r="F231">
        <v>2437260</v>
      </c>
      <c r="G231">
        <v>4</v>
      </c>
      <c r="H231">
        <v>2</v>
      </c>
      <c r="I231">
        <v>330</v>
      </c>
      <c r="J231">
        <v>2008</v>
      </c>
      <c r="K231" s="4">
        <v>45314</v>
      </c>
      <c r="L231" t="s">
        <v>23</v>
      </c>
      <c r="M231" t="s">
        <v>21</v>
      </c>
      <c r="N231">
        <v>3.43</v>
      </c>
      <c r="O231">
        <v>1295</v>
      </c>
      <c r="P231">
        <v>0.23</v>
      </c>
      <c r="Q231">
        <v>283</v>
      </c>
      <c r="R231">
        <v>348</v>
      </c>
    </row>
    <row r="232" spans="1:18" x14ac:dyDescent="0.2">
      <c r="A232">
        <v>7</v>
      </c>
      <c r="B232" t="s">
        <v>91</v>
      </c>
      <c r="E232" t="s">
        <v>51</v>
      </c>
      <c r="F232">
        <v>754310</v>
      </c>
      <c r="G232">
        <v>1</v>
      </c>
      <c r="H232">
        <v>1</v>
      </c>
      <c r="I232">
        <v>92</v>
      </c>
      <c r="J232">
        <v>2005</v>
      </c>
      <c r="K232" s="4">
        <v>45279</v>
      </c>
      <c r="L232" t="s">
        <v>23</v>
      </c>
      <c r="M232" t="s">
        <v>58</v>
      </c>
      <c r="N232">
        <v>1.79</v>
      </c>
      <c r="O232">
        <v>1401</v>
      </c>
      <c r="P232">
        <v>0.92</v>
      </c>
      <c r="Q232">
        <v>60</v>
      </c>
      <c r="R232">
        <v>503</v>
      </c>
    </row>
    <row r="233" spans="1:18" x14ac:dyDescent="0.2">
      <c r="A233">
        <v>2</v>
      </c>
      <c r="B233" t="s">
        <v>105</v>
      </c>
      <c r="E233" t="s">
        <v>29</v>
      </c>
      <c r="F233">
        <v>2618247</v>
      </c>
      <c r="G233">
        <v>3</v>
      </c>
      <c r="H233">
        <v>1</v>
      </c>
      <c r="I233">
        <v>252</v>
      </c>
      <c r="J233">
        <v>1984</v>
      </c>
      <c r="K233" s="4">
        <v>45238</v>
      </c>
      <c r="L233" t="s">
        <v>30</v>
      </c>
      <c r="M233" t="s">
        <v>42</v>
      </c>
      <c r="N233">
        <v>1.84</v>
      </c>
      <c r="O233">
        <v>1139</v>
      </c>
      <c r="P233">
        <v>4.2300000000000004</v>
      </c>
      <c r="Q233">
        <v>313</v>
      </c>
      <c r="R233">
        <v>555</v>
      </c>
    </row>
    <row r="234" spans="1:18" x14ac:dyDescent="0.2">
      <c r="A234">
        <v>4</v>
      </c>
      <c r="B234" t="s">
        <v>95</v>
      </c>
      <c r="E234" t="s">
        <v>29</v>
      </c>
      <c r="F234">
        <v>2707572</v>
      </c>
      <c r="G234">
        <v>0</v>
      </c>
      <c r="H234">
        <v>2</v>
      </c>
      <c r="I234">
        <v>920</v>
      </c>
      <c r="J234">
        <v>1963</v>
      </c>
      <c r="K234" s="4">
        <v>44415</v>
      </c>
      <c r="L234" t="s">
        <v>23</v>
      </c>
      <c r="M234" t="s">
        <v>66</v>
      </c>
      <c r="N234">
        <v>2.71</v>
      </c>
      <c r="O234">
        <v>1863</v>
      </c>
      <c r="P234">
        <v>4.47</v>
      </c>
      <c r="Q234">
        <v>49</v>
      </c>
      <c r="R234">
        <v>539</v>
      </c>
    </row>
    <row r="235" spans="1:18" x14ac:dyDescent="0.2">
      <c r="A235">
        <v>5</v>
      </c>
      <c r="B235" t="s">
        <v>80</v>
      </c>
      <c r="E235" t="s">
        <v>19</v>
      </c>
      <c r="F235">
        <v>1504689</v>
      </c>
      <c r="G235">
        <v>1</v>
      </c>
      <c r="H235">
        <v>1</v>
      </c>
      <c r="I235">
        <v>725</v>
      </c>
      <c r="J235">
        <v>1993</v>
      </c>
      <c r="K235" s="4">
        <v>44474</v>
      </c>
      <c r="L235" t="s">
        <v>23</v>
      </c>
      <c r="M235" t="s">
        <v>97</v>
      </c>
      <c r="N235">
        <v>2.13</v>
      </c>
      <c r="O235">
        <v>1996</v>
      </c>
      <c r="P235">
        <v>2.23</v>
      </c>
      <c r="Q235">
        <v>118</v>
      </c>
      <c r="R235">
        <v>444</v>
      </c>
    </row>
    <row r="236" spans="1:18" x14ac:dyDescent="0.2">
      <c r="A236">
        <v>0</v>
      </c>
      <c r="B236" t="s">
        <v>18</v>
      </c>
      <c r="E236" t="s">
        <v>19</v>
      </c>
      <c r="F236">
        <v>1654420</v>
      </c>
      <c r="G236">
        <v>4</v>
      </c>
      <c r="H236">
        <v>1</v>
      </c>
      <c r="I236">
        <v>1000</v>
      </c>
      <c r="J236">
        <v>1968</v>
      </c>
      <c r="K236" s="4">
        <v>45831</v>
      </c>
      <c r="L236" t="s">
        <v>20</v>
      </c>
      <c r="M236" t="s">
        <v>21</v>
      </c>
      <c r="N236">
        <v>2.72</v>
      </c>
      <c r="O236">
        <v>1924</v>
      </c>
      <c r="P236">
        <v>3.93</v>
      </c>
      <c r="Q236">
        <v>315</v>
      </c>
      <c r="R236">
        <v>508</v>
      </c>
    </row>
    <row r="237" spans="1:18" x14ac:dyDescent="0.2">
      <c r="A237">
        <v>9</v>
      </c>
      <c r="B237" t="s">
        <v>80</v>
      </c>
      <c r="E237" t="s">
        <v>29</v>
      </c>
      <c r="F237">
        <v>1175712</v>
      </c>
      <c r="G237">
        <v>4</v>
      </c>
      <c r="H237">
        <v>1</v>
      </c>
      <c r="I237">
        <v>791</v>
      </c>
      <c r="J237">
        <v>1977</v>
      </c>
      <c r="K237" s="4">
        <v>45054</v>
      </c>
      <c r="L237" t="s">
        <v>20</v>
      </c>
      <c r="M237" t="s">
        <v>77</v>
      </c>
      <c r="N237">
        <v>2.64</v>
      </c>
      <c r="O237">
        <v>1179</v>
      </c>
      <c r="P237">
        <v>4.54</v>
      </c>
      <c r="Q237">
        <v>299</v>
      </c>
      <c r="R237">
        <v>577</v>
      </c>
    </row>
    <row r="238" spans="1:18" x14ac:dyDescent="0.2">
      <c r="A238">
        <v>9</v>
      </c>
      <c r="B238" t="s">
        <v>25</v>
      </c>
      <c r="E238" t="s">
        <v>19</v>
      </c>
      <c r="F238">
        <v>498904</v>
      </c>
      <c r="G238">
        <v>4</v>
      </c>
      <c r="H238">
        <v>2</v>
      </c>
      <c r="I238">
        <v>563</v>
      </c>
      <c r="J238">
        <v>1975</v>
      </c>
      <c r="K238" s="4">
        <v>44670</v>
      </c>
      <c r="L238" t="s">
        <v>26</v>
      </c>
      <c r="M238" t="s">
        <v>76</v>
      </c>
      <c r="N238">
        <v>2.58</v>
      </c>
      <c r="O238">
        <v>2361</v>
      </c>
      <c r="P238">
        <v>3.87</v>
      </c>
      <c r="Q238">
        <v>258</v>
      </c>
      <c r="R238">
        <v>671</v>
      </c>
    </row>
    <row r="239" spans="1:18" x14ac:dyDescent="0.2">
      <c r="A239">
        <v>0</v>
      </c>
      <c r="B239" t="s">
        <v>98</v>
      </c>
      <c r="E239" t="s">
        <v>36</v>
      </c>
      <c r="F239">
        <v>1813749</v>
      </c>
      <c r="G239">
        <v>3</v>
      </c>
      <c r="H239">
        <v>2</v>
      </c>
      <c r="I239">
        <v>342</v>
      </c>
      <c r="J239">
        <v>1972</v>
      </c>
      <c r="K239" s="4">
        <v>44969</v>
      </c>
      <c r="L239" t="s">
        <v>23</v>
      </c>
      <c r="M239" t="s">
        <v>52</v>
      </c>
      <c r="N239">
        <v>2.87</v>
      </c>
      <c r="O239">
        <v>2092</v>
      </c>
      <c r="P239">
        <v>3.16</v>
      </c>
      <c r="Q239">
        <v>82</v>
      </c>
      <c r="R239">
        <v>352</v>
      </c>
    </row>
    <row r="240" spans="1:18" x14ac:dyDescent="0.2">
      <c r="A240">
        <v>3</v>
      </c>
      <c r="B240" t="s">
        <v>104</v>
      </c>
      <c r="E240" t="s">
        <v>51</v>
      </c>
      <c r="F240">
        <v>2598428</v>
      </c>
      <c r="G240">
        <v>2</v>
      </c>
      <c r="H240">
        <v>3</v>
      </c>
      <c r="I240">
        <v>476</v>
      </c>
      <c r="J240">
        <v>2000</v>
      </c>
      <c r="K240" s="4">
        <v>45046</v>
      </c>
      <c r="L240" t="s">
        <v>20</v>
      </c>
      <c r="M240" t="s">
        <v>74</v>
      </c>
      <c r="N240">
        <v>2.63</v>
      </c>
      <c r="O240">
        <v>2098</v>
      </c>
      <c r="P240">
        <v>3.73</v>
      </c>
      <c r="Q240">
        <v>186</v>
      </c>
      <c r="R240">
        <v>384</v>
      </c>
    </row>
    <row r="241" spans="1:18" x14ac:dyDescent="0.2">
      <c r="A241">
        <v>2</v>
      </c>
      <c r="B241" t="s">
        <v>75</v>
      </c>
      <c r="E241" t="s">
        <v>29</v>
      </c>
      <c r="F241">
        <v>473479</v>
      </c>
      <c r="G241">
        <v>4</v>
      </c>
      <c r="H241">
        <v>3</v>
      </c>
      <c r="I241">
        <v>657</v>
      </c>
      <c r="J241">
        <v>1982</v>
      </c>
      <c r="K241" s="4">
        <v>44487</v>
      </c>
      <c r="L241" t="s">
        <v>23</v>
      </c>
      <c r="M241" t="s">
        <v>74</v>
      </c>
      <c r="N241">
        <v>3.24</v>
      </c>
      <c r="O241">
        <v>2374</v>
      </c>
      <c r="P241">
        <v>1.67</v>
      </c>
      <c r="Q241">
        <v>358</v>
      </c>
      <c r="R241">
        <v>688</v>
      </c>
    </row>
    <row r="242" spans="1:18" x14ac:dyDescent="0.2">
      <c r="A242">
        <v>4</v>
      </c>
      <c r="B242" t="s">
        <v>88</v>
      </c>
      <c r="E242" t="s">
        <v>51</v>
      </c>
      <c r="F242">
        <v>691242</v>
      </c>
      <c r="G242">
        <v>2</v>
      </c>
      <c r="H242">
        <v>2</v>
      </c>
      <c r="I242">
        <v>302</v>
      </c>
      <c r="J242">
        <v>1995</v>
      </c>
      <c r="K242" s="4">
        <v>45274</v>
      </c>
      <c r="L242" t="s">
        <v>20</v>
      </c>
      <c r="M242" t="s">
        <v>68</v>
      </c>
      <c r="N242">
        <v>2.86</v>
      </c>
      <c r="O242">
        <v>890</v>
      </c>
      <c r="P242">
        <v>1.27</v>
      </c>
      <c r="Q242">
        <v>223</v>
      </c>
      <c r="R242">
        <v>551</v>
      </c>
    </row>
    <row r="243" spans="1:18" x14ac:dyDescent="0.2">
      <c r="A243">
        <v>2</v>
      </c>
      <c r="B243" t="s">
        <v>92</v>
      </c>
      <c r="E243" t="s">
        <v>29</v>
      </c>
      <c r="F243">
        <v>2963479</v>
      </c>
      <c r="G243">
        <v>4</v>
      </c>
      <c r="H243">
        <v>1</v>
      </c>
      <c r="I243">
        <v>200</v>
      </c>
      <c r="J243">
        <v>1998</v>
      </c>
      <c r="K243" s="4">
        <v>44898</v>
      </c>
      <c r="L243" t="s">
        <v>30</v>
      </c>
      <c r="M243" t="s">
        <v>70</v>
      </c>
      <c r="N243">
        <v>2.73</v>
      </c>
      <c r="O243">
        <v>1393</v>
      </c>
      <c r="P243">
        <v>1.78</v>
      </c>
      <c r="Q243">
        <v>328</v>
      </c>
      <c r="R243">
        <v>456</v>
      </c>
    </row>
    <row r="244" spans="1:18" x14ac:dyDescent="0.2">
      <c r="A244">
        <v>4</v>
      </c>
      <c r="B244" t="s">
        <v>88</v>
      </c>
      <c r="E244" t="s">
        <v>29</v>
      </c>
      <c r="F244">
        <v>1603891</v>
      </c>
      <c r="G244">
        <v>3</v>
      </c>
      <c r="H244">
        <v>2</v>
      </c>
      <c r="I244">
        <v>866</v>
      </c>
      <c r="J244">
        <v>1978</v>
      </c>
      <c r="K244" s="4">
        <v>44113</v>
      </c>
      <c r="L244" t="s">
        <v>23</v>
      </c>
      <c r="M244" t="s">
        <v>33</v>
      </c>
      <c r="N244">
        <v>1.7</v>
      </c>
      <c r="O244">
        <v>854</v>
      </c>
      <c r="P244">
        <v>0.36</v>
      </c>
      <c r="Q244">
        <v>131</v>
      </c>
      <c r="R244">
        <v>508</v>
      </c>
    </row>
    <row r="245" spans="1:18" x14ac:dyDescent="0.2">
      <c r="A245">
        <v>7</v>
      </c>
      <c r="B245" t="s">
        <v>41</v>
      </c>
      <c r="E245" t="s">
        <v>36</v>
      </c>
      <c r="F245">
        <v>1441532</v>
      </c>
      <c r="G245">
        <v>6</v>
      </c>
      <c r="H245">
        <v>3</v>
      </c>
      <c r="I245">
        <v>261</v>
      </c>
      <c r="J245">
        <v>1992</v>
      </c>
      <c r="K245" s="4">
        <v>44532</v>
      </c>
      <c r="L245" t="s">
        <v>23</v>
      </c>
      <c r="M245" t="s">
        <v>37</v>
      </c>
      <c r="N245">
        <v>2.89</v>
      </c>
      <c r="O245">
        <v>1039</v>
      </c>
      <c r="P245">
        <v>3.24</v>
      </c>
      <c r="Q245">
        <v>366</v>
      </c>
      <c r="R245">
        <v>386</v>
      </c>
    </row>
    <row r="246" spans="1:18" x14ac:dyDescent="0.2">
      <c r="A246">
        <v>1</v>
      </c>
      <c r="B246" t="s">
        <v>53</v>
      </c>
      <c r="E246" t="s">
        <v>29</v>
      </c>
      <c r="F246">
        <v>749703</v>
      </c>
      <c r="G246">
        <v>3</v>
      </c>
      <c r="H246">
        <v>2</v>
      </c>
      <c r="I246">
        <v>465</v>
      </c>
      <c r="J246">
        <v>2001</v>
      </c>
      <c r="K246" s="4">
        <v>45304</v>
      </c>
      <c r="L246" t="s">
        <v>30</v>
      </c>
      <c r="M246" t="s">
        <v>33</v>
      </c>
      <c r="N246">
        <v>3.07</v>
      </c>
      <c r="O246">
        <v>829</v>
      </c>
      <c r="P246">
        <v>1.31</v>
      </c>
      <c r="Q246">
        <v>126</v>
      </c>
      <c r="R246">
        <v>444</v>
      </c>
    </row>
    <row r="247" spans="1:18" x14ac:dyDescent="0.2">
      <c r="A247">
        <v>4</v>
      </c>
      <c r="B247" t="s">
        <v>62</v>
      </c>
      <c r="E247" t="s">
        <v>36</v>
      </c>
      <c r="F247">
        <v>2091614</v>
      </c>
      <c r="G247">
        <v>2</v>
      </c>
      <c r="H247">
        <v>3</v>
      </c>
      <c r="I247">
        <v>147</v>
      </c>
      <c r="J247">
        <v>1964</v>
      </c>
      <c r="K247" s="4">
        <v>45684</v>
      </c>
      <c r="L247" t="s">
        <v>26</v>
      </c>
      <c r="M247" t="s">
        <v>68</v>
      </c>
      <c r="N247">
        <v>2.62</v>
      </c>
      <c r="O247">
        <v>1797</v>
      </c>
      <c r="P247">
        <v>0.95</v>
      </c>
      <c r="Q247">
        <v>184</v>
      </c>
      <c r="R247">
        <v>393</v>
      </c>
    </row>
    <row r="248" spans="1:18" x14ac:dyDescent="0.2">
      <c r="A248">
        <v>2</v>
      </c>
      <c r="B248" t="s">
        <v>43</v>
      </c>
      <c r="E248" t="s">
        <v>51</v>
      </c>
      <c r="F248">
        <v>1519499</v>
      </c>
      <c r="G248">
        <v>4</v>
      </c>
      <c r="H248">
        <v>2</v>
      </c>
      <c r="I248">
        <v>92</v>
      </c>
      <c r="J248">
        <v>1959</v>
      </c>
      <c r="K248" s="4">
        <v>45246</v>
      </c>
      <c r="L248" t="s">
        <v>26</v>
      </c>
      <c r="M248" t="s">
        <v>33</v>
      </c>
      <c r="N248">
        <v>1.55</v>
      </c>
      <c r="O248">
        <v>1025</v>
      </c>
      <c r="P248">
        <v>3.53</v>
      </c>
      <c r="Q248">
        <v>180</v>
      </c>
      <c r="R248">
        <v>577</v>
      </c>
    </row>
    <row r="249" spans="1:18" x14ac:dyDescent="0.2">
      <c r="A249">
        <v>1</v>
      </c>
      <c r="B249" t="s">
        <v>83</v>
      </c>
      <c r="E249" t="s">
        <v>29</v>
      </c>
      <c r="F249">
        <v>455205</v>
      </c>
      <c r="G249">
        <v>4</v>
      </c>
      <c r="H249">
        <v>1</v>
      </c>
      <c r="I249">
        <v>929</v>
      </c>
      <c r="J249">
        <v>1959</v>
      </c>
      <c r="K249" s="4">
        <v>45625</v>
      </c>
      <c r="L249" t="s">
        <v>23</v>
      </c>
      <c r="M249" t="s">
        <v>47</v>
      </c>
      <c r="N249">
        <v>2.14</v>
      </c>
      <c r="O249">
        <v>2365</v>
      </c>
      <c r="P249">
        <v>0.3</v>
      </c>
      <c r="Q249">
        <v>217</v>
      </c>
      <c r="R249">
        <v>581</v>
      </c>
    </row>
    <row r="250" spans="1:18" x14ac:dyDescent="0.2">
      <c r="A250">
        <v>9</v>
      </c>
      <c r="B250" t="s">
        <v>57</v>
      </c>
      <c r="E250" t="s">
        <v>51</v>
      </c>
      <c r="F250">
        <v>2189202</v>
      </c>
      <c r="G250">
        <v>4</v>
      </c>
      <c r="H250">
        <v>3</v>
      </c>
      <c r="I250">
        <v>575</v>
      </c>
      <c r="J250">
        <v>1977</v>
      </c>
      <c r="K250" s="4">
        <v>45792</v>
      </c>
      <c r="L250" t="s">
        <v>23</v>
      </c>
      <c r="M250" t="s">
        <v>27</v>
      </c>
      <c r="N250">
        <v>2</v>
      </c>
      <c r="O250">
        <v>1490</v>
      </c>
      <c r="P250">
        <v>0.97</v>
      </c>
      <c r="Q250">
        <v>197</v>
      </c>
      <c r="R250">
        <v>344</v>
      </c>
    </row>
    <row r="251" spans="1:18" x14ac:dyDescent="0.2">
      <c r="A251">
        <v>6</v>
      </c>
      <c r="B251" t="s">
        <v>64</v>
      </c>
      <c r="E251" t="s">
        <v>29</v>
      </c>
      <c r="F251">
        <v>436711</v>
      </c>
      <c r="G251">
        <v>4</v>
      </c>
      <c r="H251">
        <v>2</v>
      </c>
      <c r="I251">
        <v>808</v>
      </c>
      <c r="J251">
        <v>1975</v>
      </c>
      <c r="K251" s="4">
        <v>44800</v>
      </c>
      <c r="L251" t="s">
        <v>30</v>
      </c>
      <c r="M251" t="s">
        <v>24</v>
      </c>
      <c r="N251">
        <v>2.82</v>
      </c>
      <c r="O251">
        <v>1901</v>
      </c>
      <c r="P251">
        <v>4.3099999999999996</v>
      </c>
      <c r="Q251">
        <v>261</v>
      </c>
      <c r="R251">
        <v>561</v>
      </c>
    </row>
    <row r="252" spans="1:18" x14ac:dyDescent="0.2">
      <c r="A252">
        <v>5</v>
      </c>
      <c r="B252" t="s">
        <v>71</v>
      </c>
      <c r="E252" t="s">
        <v>29</v>
      </c>
      <c r="F252">
        <v>2997993</v>
      </c>
      <c r="G252">
        <v>4</v>
      </c>
      <c r="H252">
        <v>1</v>
      </c>
      <c r="I252">
        <v>237</v>
      </c>
      <c r="J252">
        <v>1982</v>
      </c>
      <c r="K252" s="4">
        <v>45801</v>
      </c>
      <c r="L252" t="s">
        <v>30</v>
      </c>
      <c r="M252" t="s">
        <v>89</v>
      </c>
      <c r="N252">
        <v>2.7</v>
      </c>
      <c r="O252">
        <v>1985</v>
      </c>
      <c r="P252">
        <v>3.12</v>
      </c>
      <c r="Q252">
        <v>196</v>
      </c>
      <c r="R252">
        <v>594</v>
      </c>
    </row>
    <row r="253" spans="1:18" x14ac:dyDescent="0.2">
      <c r="A253">
        <v>7</v>
      </c>
      <c r="B253" t="s">
        <v>83</v>
      </c>
      <c r="E253" t="s">
        <v>51</v>
      </c>
      <c r="F253">
        <v>1026383</v>
      </c>
      <c r="G253">
        <v>5</v>
      </c>
      <c r="H253">
        <v>1</v>
      </c>
      <c r="I253">
        <v>489</v>
      </c>
      <c r="J253">
        <v>1956</v>
      </c>
      <c r="K253" s="4">
        <v>45827</v>
      </c>
      <c r="L253" t="s">
        <v>23</v>
      </c>
      <c r="M253" t="s">
        <v>77</v>
      </c>
      <c r="N253">
        <v>3.43</v>
      </c>
      <c r="O253">
        <v>826</v>
      </c>
      <c r="P253">
        <v>4.16</v>
      </c>
      <c r="Q253">
        <v>327</v>
      </c>
      <c r="R253">
        <v>426</v>
      </c>
    </row>
    <row r="254" spans="1:18" x14ac:dyDescent="0.2">
      <c r="A254">
        <v>6</v>
      </c>
      <c r="B254" t="s">
        <v>25</v>
      </c>
      <c r="E254" t="s">
        <v>19</v>
      </c>
      <c r="F254">
        <v>2709950</v>
      </c>
      <c r="G254">
        <v>5</v>
      </c>
      <c r="H254">
        <v>2</v>
      </c>
      <c r="I254">
        <v>550</v>
      </c>
      <c r="J254">
        <v>2009</v>
      </c>
      <c r="K254" s="4">
        <v>45723</v>
      </c>
      <c r="L254" t="s">
        <v>23</v>
      </c>
      <c r="M254" t="s">
        <v>58</v>
      </c>
      <c r="N254">
        <v>3.42</v>
      </c>
      <c r="O254">
        <v>1633</v>
      </c>
      <c r="P254">
        <v>1.1299999999999999</v>
      </c>
      <c r="Q254">
        <v>385</v>
      </c>
      <c r="R254">
        <v>359</v>
      </c>
    </row>
    <row r="255" spans="1:18" x14ac:dyDescent="0.2">
      <c r="A255">
        <v>3</v>
      </c>
      <c r="B255" t="s">
        <v>38</v>
      </c>
      <c r="E255" t="s">
        <v>19</v>
      </c>
      <c r="F255">
        <v>2386066</v>
      </c>
      <c r="G255">
        <v>2</v>
      </c>
      <c r="H255">
        <v>3</v>
      </c>
      <c r="I255">
        <v>522</v>
      </c>
      <c r="J255">
        <v>1994</v>
      </c>
      <c r="K255" s="4">
        <v>44782</v>
      </c>
      <c r="L255" t="s">
        <v>30</v>
      </c>
      <c r="M255" t="s">
        <v>54</v>
      </c>
      <c r="N255">
        <v>2.2400000000000002</v>
      </c>
      <c r="O255">
        <v>1114</v>
      </c>
      <c r="P255">
        <v>2.1</v>
      </c>
      <c r="Q255">
        <v>233</v>
      </c>
      <c r="R255">
        <v>642</v>
      </c>
    </row>
    <row r="256" spans="1:18" x14ac:dyDescent="0.2">
      <c r="A256">
        <v>8</v>
      </c>
      <c r="B256" t="s">
        <v>41</v>
      </c>
      <c r="E256" t="s">
        <v>51</v>
      </c>
      <c r="F256">
        <v>679961</v>
      </c>
      <c r="G256">
        <v>5</v>
      </c>
      <c r="H256">
        <v>1</v>
      </c>
      <c r="I256">
        <v>643</v>
      </c>
      <c r="J256">
        <v>2010</v>
      </c>
      <c r="K256" s="4">
        <v>44917</v>
      </c>
      <c r="L256" t="s">
        <v>23</v>
      </c>
      <c r="M256" t="s">
        <v>82</v>
      </c>
      <c r="N256">
        <v>3.37</v>
      </c>
      <c r="O256">
        <v>1190</v>
      </c>
      <c r="P256">
        <v>0.86</v>
      </c>
      <c r="Q256">
        <v>316</v>
      </c>
      <c r="R256">
        <v>582</v>
      </c>
    </row>
    <row r="257" spans="1:18" x14ac:dyDescent="0.2">
      <c r="A257">
        <v>6</v>
      </c>
      <c r="B257" t="s">
        <v>98</v>
      </c>
      <c r="E257" t="s">
        <v>36</v>
      </c>
      <c r="F257">
        <v>2065293</v>
      </c>
      <c r="G257">
        <v>6</v>
      </c>
      <c r="H257">
        <v>1</v>
      </c>
      <c r="I257">
        <v>900</v>
      </c>
      <c r="J257">
        <v>1977</v>
      </c>
      <c r="K257" s="4">
        <v>44080</v>
      </c>
      <c r="L257" t="s">
        <v>20</v>
      </c>
      <c r="M257" t="s">
        <v>89</v>
      </c>
      <c r="N257">
        <v>2.66</v>
      </c>
      <c r="O257">
        <v>1084</v>
      </c>
      <c r="P257">
        <v>0.34</v>
      </c>
      <c r="Q257">
        <v>361</v>
      </c>
      <c r="R257">
        <v>688</v>
      </c>
    </row>
    <row r="258" spans="1:18" x14ac:dyDescent="0.2">
      <c r="A258">
        <v>6</v>
      </c>
      <c r="B258" t="s">
        <v>88</v>
      </c>
      <c r="E258" t="s">
        <v>51</v>
      </c>
      <c r="F258">
        <v>750376</v>
      </c>
      <c r="G258">
        <v>6</v>
      </c>
      <c r="H258">
        <v>2</v>
      </c>
      <c r="I258">
        <v>745</v>
      </c>
      <c r="J258">
        <v>1979</v>
      </c>
      <c r="K258" s="4">
        <v>45443</v>
      </c>
      <c r="L258" t="s">
        <v>26</v>
      </c>
      <c r="M258" t="s">
        <v>56</v>
      </c>
      <c r="N258">
        <v>2.63</v>
      </c>
      <c r="O258">
        <v>892</v>
      </c>
      <c r="P258">
        <v>4.2300000000000004</v>
      </c>
      <c r="Q258">
        <v>352</v>
      </c>
      <c r="R258">
        <v>477</v>
      </c>
    </row>
    <row r="259" spans="1:18" x14ac:dyDescent="0.2">
      <c r="A259">
        <v>5</v>
      </c>
      <c r="B259" t="s">
        <v>18</v>
      </c>
      <c r="E259" t="s">
        <v>51</v>
      </c>
      <c r="F259">
        <v>812938</v>
      </c>
      <c r="G259">
        <v>1</v>
      </c>
      <c r="H259">
        <v>2</v>
      </c>
      <c r="I259">
        <v>581</v>
      </c>
      <c r="J259">
        <v>1970</v>
      </c>
      <c r="K259" s="4">
        <v>45300</v>
      </c>
      <c r="L259" t="s">
        <v>20</v>
      </c>
      <c r="M259" t="s">
        <v>68</v>
      </c>
      <c r="N259">
        <v>3.29</v>
      </c>
      <c r="O259">
        <v>2342</v>
      </c>
      <c r="P259">
        <v>4.6900000000000004</v>
      </c>
      <c r="Q259">
        <v>93</v>
      </c>
      <c r="R259">
        <v>305</v>
      </c>
    </row>
    <row r="260" spans="1:18" x14ac:dyDescent="0.2">
      <c r="A260">
        <v>2</v>
      </c>
      <c r="B260" t="s">
        <v>75</v>
      </c>
      <c r="E260" t="s">
        <v>36</v>
      </c>
      <c r="F260">
        <v>2435854</v>
      </c>
      <c r="G260">
        <v>2</v>
      </c>
      <c r="H260">
        <v>1</v>
      </c>
      <c r="I260">
        <v>599</v>
      </c>
      <c r="J260">
        <v>2002</v>
      </c>
      <c r="K260" s="4">
        <v>45760</v>
      </c>
      <c r="L260" t="s">
        <v>20</v>
      </c>
      <c r="M260" t="s">
        <v>58</v>
      </c>
      <c r="N260">
        <v>3.29</v>
      </c>
      <c r="O260">
        <v>1738</v>
      </c>
      <c r="P260">
        <v>2.3199999999999998</v>
      </c>
      <c r="Q260">
        <v>132</v>
      </c>
      <c r="R260">
        <v>318</v>
      </c>
    </row>
    <row r="261" spans="1:18" x14ac:dyDescent="0.2">
      <c r="A261">
        <v>4</v>
      </c>
      <c r="B261" t="s">
        <v>39</v>
      </c>
      <c r="E261" t="s">
        <v>51</v>
      </c>
      <c r="F261">
        <v>2033478</v>
      </c>
      <c r="G261">
        <v>4</v>
      </c>
      <c r="H261">
        <v>2</v>
      </c>
      <c r="I261">
        <v>624</v>
      </c>
      <c r="J261">
        <v>1989</v>
      </c>
      <c r="K261" s="4">
        <v>45095</v>
      </c>
      <c r="L261" t="s">
        <v>30</v>
      </c>
      <c r="M261" t="s">
        <v>68</v>
      </c>
      <c r="N261">
        <v>2.81</v>
      </c>
      <c r="O261">
        <v>968</v>
      </c>
      <c r="P261">
        <v>0.35</v>
      </c>
      <c r="Q261">
        <v>376</v>
      </c>
      <c r="R261">
        <v>643</v>
      </c>
    </row>
    <row r="262" spans="1:18" x14ac:dyDescent="0.2">
      <c r="A262">
        <v>9</v>
      </c>
      <c r="B262" t="s">
        <v>94</v>
      </c>
      <c r="E262" t="s">
        <v>51</v>
      </c>
      <c r="F262">
        <v>2160548</v>
      </c>
      <c r="G262">
        <v>2</v>
      </c>
      <c r="H262">
        <v>2</v>
      </c>
      <c r="I262">
        <v>421</v>
      </c>
      <c r="J262">
        <v>2005</v>
      </c>
      <c r="K262" s="4">
        <v>44151</v>
      </c>
      <c r="L262" t="s">
        <v>30</v>
      </c>
      <c r="M262" t="s">
        <v>24</v>
      </c>
      <c r="N262">
        <v>3.41</v>
      </c>
      <c r="O262">
        <v>1811</v>
      </c>
      <c r="P262">
        <v>3.82</v>
      </c>
      <c r="Q262">
        <v>102</v>
      </c>
      <c r="R262">
        <v>332</v>
      </c>
    </row>
    <row r="263" spans="1:18" x14ac:dyDescent="0.2">
      <c r="A263">
        <v>8</v>
      </c>
      <c r="B263" t="s">
        <v>34</v>
      </c>
      <c r="E263" t="s">
        <v>29</v>
      </c>
      <c r="F263">
        <v>556626</v>
      </c>
      <c r="G263">
        <v>5</v>
      </c>
      <c r="H263">
        <v>3</v>
      </c>
      <c r="I263">
        <v>983</v>
      </c>
      <c r="J263">
        <v>1991</v>
      </c>
      <c r="K263" s="4">
        <v>44822</v>
      </c>
      <c r="L263" t="s">
        <v>26</v>
      </c>
      <c r="M263" t="s">
        <v>60</v>
      </c>
      <c r="N263">
        <v>1.56</v>
      </c>
      <c r="O263">
        <v>1399</v>
      </c>
      <c r="P263">
        <v>4.4000000000000004</v>
      </c>
      <c r="Q263">
        <v>345</v>
      </c>
      <c r="R263">
        <v>464</v>
      </c>
    </row>
    <row r="264" spans="1:18" x14ac:dyDescent="0.2">
      <c r="A264">
        <v>3</v>
      </c>
      <c r="B264" t="s">
        <v>67</v>
      </c>
      <c r="E264" t="s">
        <v>51</v>
      </c>
      <c r="F264">
        <v>2107071</v>
      </c>
      <c r="G264">
        <v>5</v>
      </c>
      <c r="H264">
        <v>3</v>
      </c>
      <c r="I264">
        <v>902</v>
      </c>
      <c r="J264">
        <v>1973</v>
      </c>
      <c r="K264" s="4">
        <v>44225</v>
      </c>
      <c r="L264" t="s">
        <v>30</v>
      </c>
      <c r="M264" t="s">
        <v>33</v>
      </c>
      <c r="N264">
        <v>3.26</v>
      </c>
      <c r="O264">
        <v>2014</v>
      </c>
      <c r="P264">
        <v>3.8</v>
      </c>
      <c r="Q264">
        <v>245</v>
      </c>
      <c r="R264">
        <v>429</v>
      </c>
    </row>
    <row r="265" spans="1:18" x14ac:dyDescent="0.2">
      <c r="A265">
        <v>6</v>
      </c>
      <c r="B265" t="s">
        <v>55</v>
      </c>
      <c r="E265" t="s">
        <v>36</v>
      </c>
      <c r="F265">
        <v>1769417</v>
      </c>
      <c r="G265">
        <v>5</v>
      </c>
      <c r="H265">
        <v>1</v>
      </c>
      <c r="I265">
        <v>590</v>
      </c>
      <c r="J265">
        <v>1958</v>
      </c>
      <c r="K265" s="4">
        <v>44238</v>
      </c>
      <c r="L265" t="s">
        <v>23</v>
      </c>
      <c r="M265" t="s">
        <v>69</v>
      </c>
      <c r="N265">
        <v>2.02</v>
      </c>
      <c r="O265">
        <v>2335</v>
      </c>
      <c r="P265">
        <v>1.77</v>
      </c>
      <c r="Q265">
        <v>283</v>
      </c>
      <c r="R265">
        <v>319</v>
      </c>
    </row>
    <row r="266" spans="1:18" x14ac:dyDescent="0.2">
      <c r="A266">
        <v>6</v>
      </c>
      <c r="B266" t="s">
        <v>90</v>
      </c>
      <c r="E266" t="s">
        <v>51</v>
      </c>
      <c r="F266">
        <v>1125251</v>
      </c>
      <c r="G266">
        <v>4</v>
      </c>
      <c r="H266">
        <v>1</v>
      </c>
      <c r="I266">
        <v>580</v>
      </c>
      <c r="J266">
        <v>1994</v>
      </c>
      <c r="K266" s="4">
        <v>45656</v>
      </c>
      <c r="L266" t="s">
        <v>20</v>
      </c>
      <c r="M266" t="s">
        <v>24</v>
      </c>
      <c r="N266">
        <v>3.29</v>
      </c>
      <c r="O266">
        <v>1389</v>
      </c>
      <c r="P266">
        <v>0.91</v>
      </c>
      <c r="Q266">
        <v>243</v>
      </c>
      <c r="R266">
        <v>482</v>
      </c>
    </row>
    <row r="267" spans="1:18" x14ac:dyDescent="0.2">
      <c r="A267">
        <v>3</v>
      </c>
      <c r="B267" t="s">
        <v>18</v>
      </c>
      <c r="E267" t="s">
        <v>29</v>
      </c>
      <c r="F267">
        <v>1356880</v>
      </c>
      <c r="G267">
        <v>4</v>
      </c>
      <c r="H267">
        <v>2</v>
      </c>
      <c r="I267">
        <v>122</v>
      </c>
      <c r="J267">
        <v>1952</v>
      </c>
      <c r="K267" s="4">
        <v>45261</v>
      </c>
      <c r="L267" t="s">
        <v>26</v>
      </c>
      <c r="M267" t="s">
        <v>89</v>
      </c>
      <c r="N267">
        <v>1.73</v>
      </c>
      <c r="O267">
        <v>985</v>
      </c>
      <c r="P267">
        <v>2.95</v>
      </c>
      <c r="Q267">
        <v>169</v>
      </c>
      <c r="R267">
        <v>670</v>
      </c>
    </row>
    <row r="268" spans="1:18" x14ac:dyDescent="0.2">
      <c r="A268">
        <v>3</v>
      </c>
      <c r="B268" t="s">
        <v>41</v>
      </c>
      <c r="E268" t="s">
        <v>29</v>
      </c>
      <c r="F268">
        <v>2919876</v>
      </c>
      <c r="G268">
        <v>2</v>
      </c>
      <c r="H268">
        <v>2</v>
      </c>
      <c r="I268">
        <v>742</v>
      </c>
      <c r="J268">
        <v>1987</v>
      </c>
      <c r="K268" s="4">
        <v>45870</v>
      </c>
      <c r="L268" t="s">
        <v>23</v>
      </c>
      <c r="M268" t="s">
        <v>70</v>
      </c>
      <c r="N268">
        <v>2.77</v>
      </c>
      <c r="O268">
        <v>1183</v>
      </c>
      <c r="P268">
        <v>2.38</v>
      </c>
      <c r="Q268">
        <v>226</v>
      </c>
      <c r="R268">
        <v>495</v>
      </c>
    </row>
    <row r="269" spans="1:18" x14ac:dyDescent="0.2">
      <c r="A269">
        <v>7</v>
      </c>
      <c r="B269" t="s">
        <v>75</v>
      </c>
      <c r="E269" t="s">
        <v>29</v>
      </c>
      <c r="F269">
        <v>1100472</v>
      </c>
      <c r="G269">
        <v>1</v>
      </c>
      <c r="H269">
        <v>3</v>
      </c>
      <c r="I269">
        <v>234</v>
      </c>
      <c r="J269">
        <v>1953</v>
      </c>
      <c r="K269" s="4">
        <v>45536</v>
      </c>
      <c r="L269" t="s">
        <v>23</v>
      </c>
      <c r="M269" t="s">
        <v>85</v>
      </c>
      <c r="N269">
        <v>3.03</v>
      </c>
      <c r="O269">
        <v>2341</v>
      </c>
      <c r="P269">
        <v>1.19</v>
      </c>
      <c r="Q269">
        <v>50</v>
      </c>
      <c r="R269">
        <v>402</v>
      </c>
    </row>
    <row r="270" spans="1:18" x14ac:dyDescent="0.2">
      <c r="A270">
        <v>1</v>
      </c>
      <c r="B270" t="s">
        <v>22</v>
      </c>
      <c r="E270" t="s">
        <v>51</v>
      </c>
      <c r="F270">
        <v>1755596</v>
      </c>
      <c r="G270">
        <v>1</v>
      </c>
      <c r="H270">
        <v>3</v>
      </c>
      <c r="I270">
        <v>706</v>
      </c>
      <c r="J270">
        <v>1995</v>
      </c>
      <c r="K270" s="4">
        <v>44569</v>
      </c>
      <c r="L270" t="s">
        <v>23</v>
      </c>
      <c r="M270" t="s">
        <v>78</v>
      </c>
      <c r="N270">
        <v>2.99</v>
      </c>
      <c r="O270">
        <v>2134</v>
      </c>
      <c r="P270">
        <v>2.54</v>
      </c>
      <c r="Q270">
        <v>67</v>
      </c>
      <c r="R270">
        <v>411</v>
      </c>
    </row>
    <row r="271" spans="1:18" x14ac:dyDescent="0.2">
      <c r="A271">
        <v>7</v>
      </c>
      <c r="B271" t="s">
        <v>104</v>
      </c>
      <c r="E271" t="s">
        <v>36</v>
      </c>
      <c r="F271">
        <v>2482071</v>
      </c>
      <c r="G271">
        <v>4</v>
      </c>
      <c r="H271">
        <v>1</v>
      </c>
      <c r="I271">
        <v>579</v>
      </c>
      <c r="J271">
        <v>2010</v>
      </c>
      <c r="K271" s="4">
        <v>45511</v>
      </c>
      <c r="L271" t="s">
        <v>26</v>
      </c>
      <c r="M271" t="s">
        <v>97</v>
      </c>
      <c r="N271">
        <v>1.83</v>
      </c>
      <c r="O271">
        <v>2020</v>
      </c>
      <c r="P271">
        <v>2.38</v>
      </c>
      <c r="Q271">
        <v>321</v>
      </c>
      <c r="R271">
        <v>431</v>
      </c>
    </row>
    <row r="272" spans="1:18" x14ac:dyDescent="0.2">
      <c r="A272">
        <v>7</v>
      </c>
      <c r="B272" t="s">
        <v>90</v>
      </c>
      <c r="E272" t="s">
        <v>51</v>
      </c>
      <c r="F272">
        <v>1792835</v>
      </c>
      <c r="G272">
        <v>4</v>
      </c>
      <c r="H272">
        <v>1</v>
      </c>
      <c r="I272">
        <v>939</v>
      </c>
      <c r="J272">
        <v>2017</v>
      </c>
      <c r="K272" s="4">
        <v>44934</v>
      </c>
      <c r="L272" t="s">
        <v>23</v>
      </c>
      <c r="M272" t="s">
        <v>59</v>
      </c>
      <c r="N272">
        <v>2.58</v>
      </c>
      <c r="O272">
        <v>803</v>
      </c>
      <c r="P272">
        <v>4</v>
      </c>
      <c r="Q272">
        <v>223</v>
      </c>
      <c r="R272">
        <v>603</v>
      </c>
    </row>
    <row r="273" spans="1:18" x14ac:dyDescent="0.2">
      <c r="A273">
        <v>8</v>
      </c>
      <c r="B273" t="s">
        <v>79</v>
      </c>
      <c r="E273" t="s">
        <v>36</v>
      </c>
      <c r="F273">
        <v>1729801</v>
      </c>
      <c r="G273">
        <v>3</v>
      </c>
      <c r="H273">
        <v>2</v>
      </c>
      <c r="I273">
        <v>334</v>
      </c>
      <c r="J273">
        <v>1990</v>
      </c>
      <c r="K273" s="4">
        <v>44375</v>
      </c>
      <c r="L273" t="s">
        <v>26</v>
      </c>
      <c r="M273" t="s">
        <v>59</v>
      </c>
      <c r="N273">
        <v>2.94</v>
      </c>
      <c r="O273">
        <v>1266</v>
      </c>
      <c r="P273">
        <v>4.05</v>
      </c>
      <c r="Q273">
        <v>136</v>
      </c>
      <c r="R273">
        <v>359</v>
      </c>
    </row>
    <row r="274" spans="1:18" x14ac:dyDescent="0.2">
      <c r="A274">
        <v>1</v>
      </c>
      <c r="B274" t="s">
        <v>84</v>
      </c>
      <c r="E274" t="s">
        <v>19</v>
      </c>
      <c r="F274">
        <v>1892383</v>
      </c>
      <c r="G274">
        <v>3</v>
      </c>
      <c r="H274">
        <v>2</v>
      </c>
      <c r="I274">
        <v>631</v>
      </c>
      <c r="J274">
        <v>2004</v>
      </c>
      <c r="K274" s="4">
        <v>45636</v>
      </c>
      <c r="L274" t="s">
        <v>26</v>
      </c>
      <c r="M274" t="s">
        <v>70</v>
      </c>
      <c r="N274">
        <v>2.27</v>
      </c>
      <c r="O274">
        <v>867</v>
      </c>
      <c r="P274">
        <v>1.95</v>
      </c>
      <c r="Q274">
        <v>270</v>
      </c>
      <c r="R274">
        <v>659</v>
      </c>
    </row>
    <row r="275" spans="1:18" x14ac:dyDescent="0.2">
      <c r="A275">
        <v>5</v>
      </c>
      <c r="B275" t="s">
        <v>57</v>
      </c>
      <c r="E275" t="s">
        <v>19</v>
      </c>
      <c r="F275">
        <v>469761</v>
      </c>
      <c r="G275">
        <v>6</v>
      </c>
      <c r="H275">
        <v>3</v>
      </c>
      <c r="I275">
        <v>636</v>
      </c>
      <c r="J275">
        <v>1972</v>
      </c>
      <c r="K275" s="4">
        <v>45074</v>
      </c>
      <c r="L275" t="s">
        <v>20</v>
      </c>
      <c r="M275" t="s">
        <v>69</v>
      </c>
      <c r="N275">
        <v>1.71</v>
      </c>
      <c r="O275">
        <v>1977</v>
      </c>
      <c r="P275">
        <v>2.72</v>
      </c>
      <c r="Q275">
        <v>332</v>
      </c>
      <c r="R275">
        <v>651</v>
      </c>
    </row>
    <row r="276" spans="1:18" x14ac:dyDescent="0.2">
      <c r="A276">
        <v>7</v>
      </c>
      <c r="B276" t="s">
        <v>55</v>
      </c>
      <c r="E276" t="s">
        <v>36</v>
      </c>
      <c r="F276">
        <v>1390764</v>
      </c>
      <c r="G276">
        <v>4</v>
      </c>
      <c r="H276">
        <v>1</v>
      </c>
      <c r="I276">
        <v>442</v>
      </c>
      <c r="J276">
        <v>2015</v>
      </c>
      <c r="K276" s="4">
        <v>44551</v>
      </c>
      <c r="L276" t="s">
        <v>26</v>
      </c>
      <c r="M276" t="s">
        <v>21</v>
      </c>
      <c r="N276">
        <v>3.45</v>
      </c>
      <c r="O276">
        <v>2458</v>
      </c>
      <c r="P276">
        <v>3.5</v>
      </c>
      <c r="Q276">
        <v>242</v>
      </c>
      <c r="R276">
        <v>355</v>
      </c>
    </row>
    <row r="277" spans="1:18" x14ac:dyDescent="0.2">
      <c r="A277">
        <v>4</v>
      </c>
      <c r="B277" t="s">
        <v>102</v>
      </c>
      <c r="E277" t="s">
        <v>29</v>
      </c>
      <c r="F277">
        <v>1790762</v>
      </c>
      <c r="G277">
        <v>6</v>
      </c>
      <c r="H277">
        <v>1</v>
      </c>
      <c r="I277">
        <v>224</v>
      </c>
      <c r="J277">
        <v>1994</v>
      </c>
      <c r="K277" s="4">
        <v>45541</v>
      </c>
      <c r="L277" t="s">
        <v>26</v>
      </c>
      <c r="M277" t="s">
        <v>27</v>
      </c>
      <c r="N277">
        <v>2.36</v>
      </c>
      <c r="O277">
        <v>1534</v>
      </c>
      <c r="P277">
        <v>2.4900000000000002</v>
      </c>
      <c r="Q277">
        <v>358</v>
      </c>
      <c r="R277">
        <v>323</v>
      </c>
    </row>
    <row r="278" spans="1:18" x14ac:dyDescent="0.2">
      <c r="A278">
        <v>7</v>
      </c>
      <c r="B278" t="s">
        <v>34</v>
      </c>
      <c r="E278" t="s">
        <v>51</v>
      </c>
      <c r="F278">
        <v>1077355</v>
      </c>
      <c r="G278">
        <v>3</v>
      </c>
      <c r="H278">
        <v>2</v>
      </c>
      <c r="I278">
        <v>756</v>
      </c>
      <c r="J278">
        <v>2000</v>
      </c>
      <c r="K278" s="4">
        <v>44197</v>
      </c>
      <c r="L278" t="s">
        <v>26</v>
      </c>
      <c r="M278" t="s">
        <v>56</v>
      </c>
      <c r="N278">
        <v>2.33</v>
      </c>
      <c r="O278">
        <v>1226</v>
      </c>
      <c r="P278">
        <v>2.69</v>
      </c>
      <c r="Q278">
        <v>123</v>
      </c>
      <c r="R278">
        <v>444</v>
      </c>
    </row>
    <row r="279" spans="1:18" x14ac:dyDescent="0.2">
      <c r="A279">
        <v>7</v>
      </c>
      <c r="B279" t="s">
        <v>98</v>
      </c>
      <c r="E279" t="s">
        <v>51</v>
      </c>
      <c r="F279">
        <v>557421</v>
      </c>
      <c r="G279">
        <v>3</v>
      </c>
      <c r="H279">
        <v>3</v>
      </c>
      <c r="I279">
        <v>585</v>
      </c>
      <c r="J279">
        <v>1989</v>
      </c>
      <c r="K279" s="4">
        <v>45669</v>
      </c>
      <c r="L279" t="s">
        <v>20</v>
      </c>
      <c r="M279" t="s">
        <v>60</v>
      </c>
      <c r="N279">
        <v>2.63</v>
      </c>
      <c r="O279">
        <v>1829</v>
      </c>
      <c r="P279">
        <v>1.21</v>
      </c>
      <c r="Q279">
        <v>199</v>
      </c>
      <c r="R279">
        <v>477</v>
      </c>
    </row>
    <row r="280" spans="1:18" x14ac:dyDescent="0.2">
      <c r="A280">
        <v>9</v>
      </c>
      <c r="B280" t="s">
        <v>88</v>
      </c>
      <c r="E280" t="s">
        <v>19</v>
      </c>
      <c r="F280">
        <v>1734617</v>
      </c>
      <c r="G280">
        <v>5</v>
      </c>
      <c r="H280">
        <v>3</v>
      </c>
      <c r="I280">
        <v>84</v>
      </c>
      <c r="J280">
        <v>1996</v>
      </c>
      <c r="K280" s="4">
        <v>45312</v>
      </c>
      <c r="L280" t="s">
        <v>30</v>
      </c>
      <c r="M280" t="s">
        <v>27</v>
      </c>
      <c r="N280">
        <v>2.2200000000000002</v>
      </c>
      <c r="O280">
        <v>2258</v>
      </c>
      <c r="P280">
        <v>0.21</v>
      </c>
      <c r="Q280">
        <v>311</v>
      </c>
      <c r="R280">
        <v>646</v>
      </c>
    </row>
    <row r="281" spans="1:18" x14ac:dyDescent="0.2">
      <c r="A281">
        <v>7</v>
      </c>
      <c r="B281" t="s">
        <v>48</v>
      </c>
      <c r="E281" t="s">
        <v>36</v>
      </c>
      <c r="F281">
        <v>2170452</v>
      </c>
      <c r="G281">
        <v>4</v>
      </c>
      <c r="H281">
        <v>1</v>
      </c>
      <c r="I281">
        <v>212</v>
      </c>
      <c r="J281">
        <v>1961</v>
      </c>
      <c r="K281" s="4">
        <v>45125</v>
      </c>
      <c r="L281" t="s">
        <v>26</v>
      </c>
      <c r="M281" t="s">
        <v>56</v>
      </c>
      <c r="N281">
        <v>2.0499999999999998</v>
      </c>
      <c r="O281">
        <v>2404</v>
      </c>
      <c r="P281">
        <v>0.89</v>
      </c>
      <c r="Q281">
        <v>233</v>
      </c>
      <c r="R281">
        <v>442</v>
      </c>
    </row>
    <row r="282" spans="1:18" x14ac:dyDescent="0.2">
      <c r="A282">
        <v>3</v>
      </c>
      <c r="B282" t="s">
        <v>90</v>
      </c>
      <c r="E282" t="s">
        <v>51</v>
      </c>
      <c r="F282">
        <v>2823199</v>
      </c>
      <c r="G282">
        <v>2</v>
      </c>
      <c r="H282">
        <v>3</v>
      </c>
      <c r="I282">
        <v>753</v>
      </c>
      <c r="J282">
        <v>1989</v>
      </c>
      <c r="K282" s="4">
        <v>45693</v>
      </c>
      <c r="L282" t="s">
        <v>20</v>
      </c>
      <c r="M282" t="s">
        <v>27</v>
      </c>
      <c r="N282">
        <v>2.4500000000000002</v>
      </c>
      <c r="O282">
        <v>926</v>
      </c>
      <c r="P282">
        <v>1.1200000000000001</v>
      </c>
      <c r="Q282">
        <v>67</v>
      </c>
      <c r="R282">
        <v>305</v>
      </c>
    </row>
    <row r="283" spans="1:18" x14ac:dyDescent="0.2">
      <c r="A283">
        <v>4</v>
      </c>
      <c r="B283" t="s">
        <v>55</v>
      </c>
      <c r="E283" t="s">
        <v>51</v>
      </c>
      <c r="F283">
        <v>2378551</v>
      </c>
      <c r="G283">
        <v>4</v>
      </c>
      <c r="H283">
        <v>2</v>
      </c>
      <c r="I283">
        <v>483</v>
      </c>
      <c r="J283">
        <v>2018</v>
      </c>
      <c r="K283" s="4">
        <v>44236</v>
      </c>
      <c r="L283" t="s">
        <v>23</v>
      </c>
      <c r="M283" t="s">
        <v>78</v>
      </c>
      <c r="N283">
        <v>3.24</v>
      </c>
      <c r="O283">
        <v>1533</v>
      </c>
      <c r="P283">
        <v>3.12</v>
      </c>
      <c r="Q283">
        <v>283</v>
      </c>
      <c r="R283">
        <v>333</v>
      </c>
    </row>
    <row r="284" spans="1:18" x14ac:dyDescent="0.2">
      <c r="A284">
        <v>6</v>
      </c>
      <c r="B284" t="s">
        <v>91</v>
      </c>
      <c r="E284" t="s">
        <v>51</v>
      </c>
      <c r="F284">
        <v>1101639</v>
      </c>
      <c r="G284">
        <v>2</v>
      </c>
      <c r="H284">
        <v>3</v>
      </c>
      <c r="I284">
        <v>561</v>
      </c>
      <c r="J284">
        <v>1970</v>
      </c>
      <c r="K284" s="4">
        <v>45826</v>
      </c>
      <c r="L284" t="s">
        <v>26</v>
      </c>
      <c r="M284" t="s">
        <v>52</v>
      </c>
      <c r="N284">
        <v>1.93</v>
      </c>
      <c r="O284">
        <v>1461</v>
      </c>
      <c r="P284">
        <v>2.5</v>
      </c>
      <c r="Q284">
        <v>61</v>
      </c>
      <c r="R284">
        <v>319</v>
      </c>
    </row>
    <row r="285" spans="1:18" x14ac:dyDescent="0.2">
      <c r="A285">
        <v>6</v>
      </c>
      <c r="B285" t="s">
        <v>73</v>
      </c>
      <c r="E285" t="s">
        <v>29</v>
      </c>
      <c r="F285">
        <v>2075991</v>
      </c>
      <c r="G285">
        <v>6</v>
      </c>
      <c r="H285">
        <v>2</v>
      </c>
      <c r="I285">
        <v>133</v>
      </c>
      <c r="J285">
        <v>2012</v>
      </c>
      <c r="K285" s="4">
        <v>44769</v>
      </c>
      <c r="L285" t="s">
        <v>30</v>
      </c>
      <c r="M285" t="s">
        <v>89</v>
      </c>
      <c r="N285">
        <v>3.29</v>
      </c>
      <c r="O285">
        <v>1410</v>
      </c>
      <c r="P285">
        <v>4.37</v>
      </c>
      <c r="Q285">
        <v>346</v>
      </c>
      <c r="R285">
        <v>621</v>
      </c>
    </row>
    <row r="286" spans="1:18" x14ac:dyDescent="0.2">
      <c r="A286">
        <v>8</v>
      </c>
      <c r="B286" t="s">
        <v>67</v>
      </c>
      <c r="E286" t="s">
        <v>36</v>
      </c>
      <c r="F286">
        <v>2966416</v>
      </c>
      <c r="G286">
        <v>3</v>
      </c>
      <c r="H286">
        <v>3</v>
      </c>
      <c r="I286">
        <v>482</v>
      </c>
      <c r="J286">
        <v>1963</v>
      </c>
      <c r="K286" s="4">
        <v>45457</v>
      </c>
      <c r="L286" t="s">
        <v>20</v>
      </c>
      <c r="M286" t="s">
        <v>60</v>
      </c>
      <c r="N286">
        <v>3.12</v>
      </c>
      <c r="O286">
        <v>1738</v>
      </c>
      <c r="P286">
        <v>1.68</v>
      </c>
      <c r="Q286">
        <v>180</v>
      </c>
      <c r="R286">
        <v>426</v>
      </c>
    </row>
    <row r="287" spans="1:18" x14ac:dyDescent="0.2">
      <c r="A287">
        <v>2</v>
      </c>
      <c r="B287" t="s">
        <v>83</v>
      </c>
      <c r="E287" t="s">
        <v>29</v>
      </c>
      <c r="F287">
        <v>1836572</v>
      </c>
      <c r="G287">
        <v>3</v>
      </c>
      <c r="H287">
        <v>1</v>
      </c>
      <c r="I287">
        <v>892</v>
      </c>
      <c r="J287">
        <v>1978</v>
      </c>
      <c r="K287" s="4">
        <v>44648</v>
      </c>
      <c r="L287" t="s">
        <v>26</v>
      </c>
      <c r="M287" t="s">
        <v>68</v>
      </c>
      <c r="N287">
        <v>2.3199999999999998</v>
      </c>
      <c r="O287">
        <v>1403</v>
      </c>
      <c r="P287">
        <v>1.79</v>
      </c>
      <c r="Q287">
        <v>265</v>
      </c>
      <c r="R287">
        <v>471</v>
      </c>
    </row>
    <row r="288" spans="1:18" x14ac:dyDescent="0.2">
      <c r="A288">
        <v>0</v>
      </c>
      <c r="B288" t="s">
        <v>43</v>
      </c>
      <c r="E288" t="s">
        <v>19</v>
      </c>
      <c r="F288">
        <v>1315570</v>
      </c>
      <c r="G288">
        <v>5</v>
      </c>
      <c r="H288">
        <v>3</v>
      </c>
      <c r="I288">
        <v>53</v>
      </c>
      <c r="J288">
        <v>1951</v>
      </c>
      <c r="K288" s="4">
        <v>45712</v>
      </c>
      <c r="L288" t="s">
        <v>26</v>
      </c>
      <c r="M288" t="s">
        <v>78</v>
      </c>
      <c r="N288">
        <v>3.19</v>
      </c>
      <c r="O288">
        <v>1145</v>
      </c>
      <c r="P288">
        <v>4.5599999999999996</v>
      </c>
      <c r="Q288">
        <v>358</v>
      </c>
      <c r="R288">
        <v>556</v>
      </c>
    </row>
    <row r="289" spans="1:18" x14ac:dyDescent="0.2">
      <c r="A289">
        <v>1</v>
      </c>
      <c r="B289" t="s">
        <v>61</v>
      </c>
      <c r="E289" t="s">
        <v>51</v>
      </c>
      <c r="F289">
        <v>1669150</v>
      </c>
      <c r="G289">
        <v>4</v>
      </c>
      <c r="H289">
        <v>3</v>
      </c>
      <c r="I289">
        <v>606</v>
      </c>
      <c r="J289">
        <v>1952</v>
      </c>
      <c r="K289" s="4">
        <v>44139</v>
      </c>
      <c r="L289" t="s">
        <v>30</v>
      </c>
      <c r="M289" t="s">
        <v>35</v>
      </c>
      <c r="N289">
        <v>2.2599999999999998</v>
      </c>
      <c r="O289">
        <v>1206</v>
      </c>
      <c r="P289">
        <v>1.73</v>
      </c>
      <c r="Q289">
        <v>379</v>
      </c>
      <c r="R289">
        <v>515</v>
      </c>
    </row>
    <row r="290" spans="1:18" x14ac:dyDescent="0.2">
      <c r="A290">
        <v>5</v>
      </c>
      <c r="B290" t="s">
        <v>72</v>
      </c>
      <c r="E290" t="s">
        <v>29</v>
      </c>
      <c r="F290">
        <v>1165864</v>
      </c>
      <c r="G290">
        <v>2</v>
      </c>
      <c r="H290">
        <v>3</v>
      </c>
      <c r="I290">
        <v>332</v>
      </c>
      <c r="J290">
        <v>1956</v>
      </c>
      <c r="K290" s="4">
        <v>44471</v>
      </c>
      <c r="L290" t="s">
        <v>20</v>
      </c>
      <c r="M290" t="s">
        <v>74</v>
      </c>
      <c r="N290">
        <v>2.52</v>
      </c>
      <c r="O290">
        <v>1790</v>
      </c>
      <c r="P290">
        <v>4.1900000000000004</v>
      </c>
      <c r="Q290">
        <v>172</v>
      </c>
      <c r="R290">
        <v>409</v>
      </c>
    </row>
    <row r="291" spans="1:18" x14ac:dyDescent="0.2">
      <c r="A291">
        <v>7</v>
      </c>
      <c r="B291" t="s">
        <v>32</v>
      </c>
      <c r="E291" t="s">
        <v>19</v>
      </c>
      <c r="F291">
        <v>1704987</v>
      </c>
      <c r="G291">
        <v>5</v>
      </c>
      <c r="H291">
        <v>3</v>
      </c>
      <c r="I291">
        <v>788</v>
      </c>
      <c r="J291">
        <v>2008</v>
      </c>
      <c r="K291" s="4">
        <v>44844</v>
      </c>
      <c r="L291" t="s">
        <v>30</v>
      </c>
      <c r="M291" t="s">
        <v>47</v>
      </c>
      <c r="N291">
        <v>1.69</v>
      </c>
      <c r="O291">
        <v>1425</v>
      </c>
      <c r="P291">
        <v>0.46</v>
      </c>
      <c r="Q291">
        <v>284</v>
      </c>
      <c r="R291">
        <v>335</v>
      </c>
    </row>
    <row r="292" spans="1:18" x14ac:dyDescent="0.2">
      <c r="A292">
        <v>9</v>
      </c>
      <c r="B292" t="s">
        <v>73</v>
      </c>
      <c r="E292" t="s">
        <v>51</v>
      </c>
      <c r="F292">
        <v>515621</v>
      </c>
      <c r="G292">
        <v>4</v>
      </c>
      <c r="H292">
        <v>2</v>
      </c>
      <c r="I292">
        <v>926</v>
      </c>
      <c r="J292">
        <v>1955</v>
      </c>
      <c r="K292" s="4">
        <v>45405</v>
      </c>
      <c r="L292" t="s">
        <v>23</v>
      </c>
      <c r="M292" t="s">
        <v>82</v>
      </c>
      <c r="N292">
        <v>3.06</v>
      </c>
      <c r="O292">
        <v>2239</v>
      </c>
      <c r="P292">
        <v>3.05</v>
      </c>
      <c r="Q292">
        <v>174</v>
      </c>
      <c r="R292">
        <v>380</v>
      </c>
    </row>
    <row r="293" spans="1:18" x14ac:dyDescent="0.2">
      <c r="A293">
        <v>0</v>
      </c>
      <c r="B293" t="s">
        <v>80</v>
      </c>
      <c r="E293" t="s">
        <v>19</v>
      </c>
      <c r="F293">
        <v>1537273</v>
      </c>
      <c r="G293">
        <v>0</v>
      </c>
      <c r="H293">
        <v>3</v>
      </c>
      <c r="I293">
        <v>305</v>
      </c>
      <c r="J293">
        <v>1985</v>
      </c>
      <c r="K293" s="4">
        <v>44853</v>
      </c>
      <c r="L293" t="s">
        <v>20</v>
      </c>
      <c r="M293" t="s">
        <v>35</v>
      </c>
      <c r="N293">
        <v>3.38</v>
      </c>
      <c r="O293">
        <v>2239</v>
      </c>
      <c r="P293">
        <v>4.1900000000000004</v>
      </c>
      <c r="Q293">
        <v>56</v>
      </c>
      <c r="R293">
        <v>502</v>
      </c>
    </row>
    <row r="294" spans="1:18" x14ac:dyDescent="0.2">
      <c r="A294">
        <v>7</v>
      </c>
      <c r="B294" t="s">
        <v>48</v>
      </c>
      <c r="E294" t="s">
        <v>29</v>
      </c>
      <c r="F294">
        <v>437805</v>
      </c>
      <c r="G294">
        <v>4</v>
      </c>
      <c r="H294">
        <v>2</v>
      </c>
      <c r="I294">
        <v>763</v>
      </c>
      <c r="J294">
        <v>1998</v>
      </c>
      <c r="K294" s="4">
        <v>44293</v>
      </c>
      <c r="L294" t="s">
        <v>26</v>
      </c>
      <c r="M294" t="s">
        <v>66</v>
      </c>
      <c r="N294">
        <v>2.54</v>
      </c>
      <c r="O294">
        <v>824</v>
      </c>
      <c r="P294">
        <v>0.98</v>
      </c>
      <c r="Q294">
        <v>369</v>
      </c>
      <c r="R294">
        <v>677</v>
      </c>
    </row>
    <row r="295" spans="1:18" x14ac:dyDescent="0.2">
      <c r="A295">
        <v>8</v>
      </c>
      <c r="B295" t="s">
        <v>99</v>
      </c>
      <c r="E295" t="s">
        <v>19</v>
      </c>
      <c r="F295">
        <v>1308029</v>
      </c>
      <c r="G295">
        <v>5</v>
      </c>
      <c r="H295">
        <v>2</v>
      </c>
      <c r="I295">
        <v>722</v>
      </c>
      <c r="J295">
        <v>1968</v>
      </c>
      <c r="K295" s="4">
        <v>44622</v>
      </c>
      <c r="L295" t="s">
        <v>30</v>
      </c>
      <c r="M295" t="s">
        <v>37</v>
      </c>
      <c r="N295">
        <v>2.91</v>
      </c>
      <c r="O295">
        <v>1955</v>
      </c>
      <c r="P295">
        <v>4.38</v>
      </c>
      <c r="Q295">
        <v>295</v>
      </c>
      <c r="R295">
        <v>631</v>
      </c>
    </row>
    <row r="296" spans="1:18" x14ac:dyDescent="0.2">
      <c r="A296">
        <v>8</v>
      </c>
      <c r="B296" t="s">
        <v>44</v>
      </c>
      <c r="E296" t="s">
        <v>29</v>
      </c>
      <c r="F296">
        <v>2124077</v>
      </c>
      <c r="G296">
        <v>3</v>
      </c>
      <c r="H296">
        <v>1</v>
      </c>
      <c r="I296">
        <v>876</v>
      </c>
      <c r="J296">
        <v>2002</v>
      </c>
      <c r="K296" s="4">
        <v>45735</v>
      </c>
      <c r="L296" t="s">
        <v>20</v>
      </c>
      <c r="M296" t="s">
        <v>69</v>
      </c>
      <c r="N296">
        <v>2.9</v>
      </c>
      <c r="O296">
        <v>1910</v>
      </c>
      <c r="P296">
        <v>2.4</v>
      </c>
      <c r="Q296">
        <v>160</v>
      </c>
      <c r="R296">
        <v>357</v>
      </c>
    </row>
    <row r="297" spans="1:18" x14ac:dyDescent="0.2">
      <c r="A297">
        <v>2</v>
      </c>
      <c r="B297" t="s">
        <v>87</v>
      </c>
      <c r="E297" t="s">
        <v>19</v>
      </c>
      <c r="F297">
        <v>627389</v>
      </c>
      <c r="G297">
        <v>2</v>
      </c>
      <c r="H297">
        <v>1</v>
      </c>
      <c r="I297">
        <v>451</v>
      </c>
      <c r="J297">
        <v>1972</v>
      </c>
      <c r="K297" s="4">
        <v>45266</v>
      </c>
      <c r="L297" t="s">
        <v>26</v>
      </c>
      <c r="M297" t="s">
        <v>35</v>
      </c>
      <c r="N297">
        <v>2.2999999999999998</v>
      </c>
      <c r="O297">
        <v>2410</v>
      </c>
      <c r="P297">
        <v>0.31</v>
      </c>
      <c r="Q297">
        <v>162</v>
      </c>
      <c r="R297">
        <v>617</v>
      </c>
    </row>
    <row r="298" spans="1:18" x14ac:dyDescent="0.2">
      <c r="A298">
        <v>3</v>
      </c>
      <c r="B298" t="s">
        <v>48</v>
      </c>
      <c r="E298" t="s">
        <v>19</v>
      </c>
      <c r="F298">
        <v>1114885</v>
      </c>
      <c r="G298">
        <v>0</v>
      </c>
      <c r="H298">
        <v>2</v>
      </c>
      <c r="I298">
        <v>268</v>
      </c>
      <c r="J298">
        <v>2005</v>
      </c>
      <c r="K298" s="4">
        <v>45586</v>
      </c>
      <c r="L298" t="s">
        <v>30</v>
      </c>
      <c r="M298" t="s">
        <v>68</v>
      </c>
      <c r="N298">
        <v>2.2200000000000002</v>
      </c>
      <c r="O298">
        <v>1727</v>
      </c>
      <c r="P298">
        <v>2.88</v>
      </c>
      <c r="Q298">
        <v>43</v>
      </c>
      <c r="R298">
        <v>435</v>
      </c>
    </row>
    <row r="299" spans="1:18" x14ac:dyDescent="0.2">
      <c r="A299">
        <v>1</v>
      </c>
      <c r="B299" t="s">
        <v>72</v>
      </c>
      <c r="E299" t="s">
        <v>36</v>
      </c>
      <c r="F299">
        <v>950728</v>
      </c>
      <c r="G299">
        <v>3</v>
      </c>
      <c r="H299">
        <v>2</v>
      </c>
      <c r="I299">
        <v>723</v>
      </c>
      <c r="J299">
        <v>1999</v>
      </c>
      <c r="K299" s="4">
        <v>45397</v>
      </c>
      <c r="L299" t="s">
        <v>20</v>
      </c>
      <c r="M299" t="s">
        <v>24</v>
      </c>
      <c r="N299">
        <v>1.61</v>
      </c>
      <c r="O299">
        <v>1881</v>
      </c>
      <c r="P299">
        <v>2.99</v>
      </c>
      <c r="Q299">
        <v>219</v>
      </c>
      <c r="R299">
        <v>514</v>
      </c>
    </row>
    <row r="300" spans="1:18" x14ac:dyDescent="0.2">
      <c r="A300">
        <v>5</v>
      </c>
      <c r="B300" t="s">
        <v>18</v>
      </c>
      <c r="E300" t="s">
        <v>36</v>
      </c>
      <c r="F300">
        <v>2131406</v>
      </c>
      <c r="G300">
        <v>1</v>
      </c>
      <c r="H300">
        <v>3</v>
      </c>
      <c r="I300">
        <v>889</v>
      </c>
      <c r="J300">
        <v>2010</v>
      </c>
      <c r="K300" s="4">
        <v>44075</v>
      </c>
      <c r="L300" t="s">
        <v>20</v>
      </c>
      <c r="M300" t="s">
        <v>68</v>
      </c>
      <c r="N300">
        <v>2.75</v>
      </c>
      <c r="O300">
        <v>2340</v>
      </c>
      <c r="P300">
        <v>2.83</v>
      </c>
      <c r="Q300">
        <v>114</v>
      </c>
      <c r="R300">
        <v>644</v>
      </c>
    </row>
    <row r="301" spans="1:18" x14ac:dyDescent="0.2">
      <c r="A301">
        <v>6</v>
      </c>
      <c r="B301" t="s">
        <v>55</v>
      </c>
      <c r="E301" t="s">
        <v>51</v>
      </c>
      <c r="F301">
        <v>2137310</v>
      </c>
      <c r="G301">
        <v>1</v>
      </c>
      <c r="H301">
        <v>2</v>
      </c>
      <c r="I301">
        <v>334</v>
      </c>
      <c r="J301">
        <v>1984</v>
      </c>
      <c r="K301" s="4">
        <v>45602</v>
      </c>
      <c r="L301" t="s">
        <v>30</v>
      </c>
      <c r="M301" t="s">
        <v>54</v>
      </c>
      <c r="N301">
        <v>3.27</v>
      </c>
      <c r="O301">
        <v>1845</v>
      </c>
      <c r="P301">
        <v>0.47</v>
      </c>
      <c r="Q301">
        <v>83</v>
      </c>
      <c r="R301">
        <v>532</v>
      </c>
    </row>
    <row r="302" spans="1:18" x14ac:dyDescent="0.2">
      <c r="A302">
        <v>6</v>
      </c>
      <c r="B302" t="s">
        <v>102</v>
      </c>
      <c r="E302" t="s">
        <v>29</v>
      </c>
      <c r="F302">
        <v>1571820</v>
      </c>
      <c r="G302">
        <v>3</v>
      </c>
      <c r="H302">
        <v>3</v>
      </c>
      <c r="I302">
        <v>708</v>
      </c>
      <c r="J302">
        <v>2003</v>
      </c>
      <c r="K302" s="4">
        <v>44751</v>
      </c>
      <c r="L302" t="s">
        <v>20</v>
      </c>
      <c r="M302" t="s">
        <v>40</v>
      </c>
      <c r="N302">
        <v>1.58</v>
      </c>
      <c r="O302">
        <v>974</v>
      </c>
      <c r="P302">
        <v>2.5299999999999998</v>
      </c>
      <c r="Q302">
        <v>255</v>
      </c>
      <c r="R302">
        <v>578</v>
      </c>
    </row>
    <row r="303" spans="1:18" x14ac:dyDescent="0.2">
      <c r="A303">
        <v>6</v>
      </c>
      <c r="B303" t="s">
        <v>50</v>
      </c>
      <c r="E303" t="s">
        <v>36</v>
      </c>
      <c r="F303">
        <v>1746293</v>
      </c>
      <c r="G303">
        <v>2</v>
      </c>
      <c r="H303">
        <v>1</v>
      </c>
      <c r="I303">
        <v>365</v>
      </c>
      <c r="J303">
        <v>2020</v>
      </c>
      <c r="K303" s="4">
        <v>45207</v>
      </c>
      <c r="L303" t="s">
        <v>30</v>
      </c>
      <c r="M303" t="s">
        <v>45</v>
      </c>
      <c r="N303">
        <v>3.33</v>
      </c>
      <c r="O303">
        <v>2304</v>
      </c>
      <c r="P303">
        <v>3.93</v>
      </c>
      <c r="Q303">
        <v>134</v>
      </c>
      <c r="R303">
        <v>303</v>
      </c>
    </row>
    <row r="304" spans="1:18" x14ac:dyDescent="0.2">
      <c r="A304">
        <v>0</v>
      </c>
      <c r="B304" t="s">
        <v>86</v>
      </c>
      <c r="E304" t="s">
        <v>29</v>
      </c>
      <c r="F304">
        <v>2561479</v>
      </c>
      <c r="G304">
        <v>1</v>
      </c>
      <c r="H304">
        <v>2</v>
      </c>
      <c r="I304">
        <v>390</v>
      </c>
      <c r="J304">
        <v>1981</v>
      </c>
      <c r="K304" s="4">
        <v>45877</v>
      </c>
      <c r="L304" t="s">
        <v>20</v>
      </c>
      <c r="M304" t="s">
        <v>78</v>
      </c>
      <c r="N304">
        <v>3.46</v>
      </c>
      <c r="O304">
        <v>1077</v>
      </c>
      <c r="P304">
        <v>3.76</v>
      </c>
      <c r="Q304">
        <v>46</v>
      </c>
      <c r="R304">
        <v>309</v>
      </c>
    </row>
    <row r="305" spans="1:18" x14ac:dyDescent="0.2">
      <c r="A305">
        <v>9</v>
      </c>
      <c r="B305" t="s">
        <v>44</v>
      </c>
      <c r="E305" t="s">
        <v>29</v>
      </c>
      <c r="F305">
        <v>2098207</v>
      </c>
      <c r="G305">
        <v>6</v>
      </c>
      <c r="H305">
        <v>3</v>
      </c>
      <c r="I305">
        <v>454</v>
      </c>
      <c r="J305">
        <v>1982</v>
      </c>
      <c r="K305" s="4">
        <v>45196</v>
      </c>
      <c r="L305" t="s">
        <v>20</v>
      </c>
      <c r="M305" t="s">
        <v>59</v>
      </c>
      <c r="N305">
        <v>2.2599999999999998</v>
      </c>
      <c r="O305">
        <v>1408</v>
      </c>
      <c r="P305">
        <v>1.72</v>
      </c>
      <c r="Q305">
        <v>386</v>
      </c>
      <c r="R305">
        <v>324</v>
      </c>
    </row>
    <row r="306" spans="1:18" x14ac:dyDescent="0.2">
      <c r="A306">
        <v>5</v>
      </c>
      <c r="B306" t="s">
        <v>90</v>
      </c>
      <c r="E306" t="s">
        <v>51</v>
      </c>
      <c r="F306">
        <v>801552</v>
      </c>
      <c r="G306">
        <v>3</v>
      </c>
      <c r="H306">
        <v>2</v>
      </c>
      <c r="I306">
        <v>450</v>
      </c>
      <c r="J306">
        <v>1987</v>
      </c>
      <c r="K306" s="4">
        <v>44227</v>
      </c>
      <c r="L306" t="s">
        <v>26</v>
      </c>
      <c r="M306" t="s">
        <v>21</v>
      </c>
      <c r="N306">
        <v>1.74</v>
      </c>
      <c r="O306">
        <v>2443</v>
      </c>
      <c r="P306">
        <v>1.67</v>
      </c>
      <c r="Q306">
        <v>176</v>
      </c>
      <c r="R306">
        <v>551</v>
      </c>
    </row>
    <row r="307" spans="1:18" x14ac:dyDescent="0.2">
      <c r="A307">
        <v>4</v>
      </c>
      <c r="B307" t="s">
        <v>86</v>
      </c>
      <c r="E307" t="s">
        <v>36</v>
      </c>
      <c r="F307">
        <v>1060606</v>
      </c>
      <c r="G307">
        <v>2</v>
      </c>
      <c r="H307">
        <v>3</v>
      </c>
      <c r="I307">
        <v>976</v>
      </c>
      <c r="J307">
        <v>2011</v>
      </c>
      <c r="K307" s="4">
        <v>45523</v>
      </c>
      <c r="L307" t="s">
        <v>30</v>
      </c>
      <c r="M307" t="s">
        <v>35</v>
      </c>
      <c r="N307">
        <v>2.0299999999999998</v>
      </c>
      <c r="O307">
        <v>1528</v>
      </c>
      <c r="P307">
        <v>0.88</v>
      </c>
      <c r="Q307">
        <v>185</v>
      </c>
      <c r="R307">
        <v>448</v>
      </c>
    </row>
    <row r="308" spans="1:18" x14ac:dyDescent="0.2">
      <c r="A308">
        <v>1</v>
      </c>
      <c r="B308" t="s">
        <v>92</v>
      </c>
      <c r="E308" t="s">
        <v>19</v>
      </c>
      <c r="F308">
        <v>1132015</v>
      </c>
      <c r="G308">
        <v>5</v>
      </c>
      <c r="H308">
        <v>2</v>
      </c>
      <c r="I308">
        <v>602</v>
      </c>
      <c r="J308">
        <v>1995</v>
      </c>
      <c r="K308" s="4">
        <v>45524</v>
      </c>
      <c r="L308" t="s">
        <v>26</v>
      </c>
      <c r="M308" t="s">
        <v>58</v>
      </c>
      <c r="N308">
        <v>2.21</v>
      </c>
      <c r="O308">
        <v>1341</v>
      </c>
      <c r="P308">
        <v>4.05</v>
      </c>
      <c r="Q308">
        <v>322</v>
      </c>
      <c r="R308">
        <v>593</v>
      </c>
    </row>
    <row r="309" spans="1:18" x14ac:dyDescent="0.2">
      <c r="A309">
        <v>5</v>
      </c>
      <c r="B309" t="s">
        <v>55</v>
      </c>
      <c r="E309" t="s">
        <v>51</v>
      </c>
      <c r="F309">
        <v>1266301</v>
      </c>
      <c r="G309">
        <v>3</v>
      </c>
      <c r="H309">
        <v>1</v>
      </c>
      <c r="I309">
        <v>294</v>
      </c>
      <c r="J309">
        <v>1998</v>
      </c>
      <c r="K309" s="4">
        <v>44511</v>
      </c>
      <c r="L309" t="s">
        <v>23</v>
      </c>
      <c r="M309" t="s">
        <v>47</v>
      </c>
      <c r="N309">
        <v>1.86</v>
      </c>
      <c r="O309">
        <v>947</v>
      </c>
      <c r="P309">
        <v>1.49</v>
      </c>
      <c r="Q309">
        <v>93</v>
      </c>
      <c r="R309">
        <v>348</v>
      </c>
    </row>
    <row r="310" spans="1:18" x14ac:dyDescent="0.2">
      <c r="A310">
        <v>5</v>
      </c>
      <c r="B310" t="s">
        <v>81</v>
      </c>
      <c r="E310" t="s">
        <v>19</v>
      </c>
      <c r="F310">
        <v>1419245</v>
      </c>
      <c r="G310">
        <v>2</v>
      </c>
      <c r="H310">
        <v>3</v>
      </c>
      <c r="I310">
        <v>753</v>
      </c>
      <c r="J310">
        <v>1971</v>
      </c>
      <c r="K310" s="4">
        <v>45230</v>
      </c>
      <c r="L310" t="s">
        <v>26</v>
      </c>
      <c r="M310" t="s">
        <v>58</v>
      </c>
      <c r="N310">
        <v>1.6</v>
      </c>
      <c r="O310">
        <v>1774</v>
      </c>
      <c r="P310">
        <v>4.18</v>
      </c>
      <c r="Q310">
        <v>156</v>
      </c>
      <c r="R310">
        <v>452</v>
      </c>
    </row>
    <row r="311" spans="1:18" x14ac:dyDescent="0.2">
      <c r="A311">
        <v>4</v>
      </c>
      <c r="B311" t="s">
        <v>80</v>
      </c>
      <c r="E311" t="s">
        <v>19</v>
      </c>
      <c r="F311">
        <v>1524071</v>
      </c>
      <c r="G311">
        <v>5</v>
      </c>
      <c r="H311">
        <v>1</v>
      </c>
      <c r="I311">
        <v>165</v>
      </c>
      <c r="J311">
        <v>1960</v>
      </c>
      <c r="K311" s="4">
        <v>45475</v>
      </c>
      <c r="L311" t="s">
        <v>30</v>
      </c>
      <c r="M311" t="s">
        <v>59</v>
      </c>
      <c r="N311">
        <v>2.69</v>
      </c>
      <c r="O311">
        <v>2298</v>
      </c>
      <c r="P311">
        <v>1.67</v>
      </c>
      <c r="Q311">
        <v>251</v>
      </c>
      <c r="R311">
        <v>454</v>
      </c>
    </row>
    <row r="312" spans="1:18" x14ac:dyDescent="0.2">
      <c r="A312">
        <v>5</v>
      </c>
      <c r="B312" t="s">
        <v>93</v>
      </c>
      <c r="E312" t="s">
        <v>19</v>
      </c>
      <c r="F312">
        <v>1657090</v>
      </c>
      <c r="G312">
        <v>2</v>
      </c>
      <c r="H312">
        <v>1</v>
      </c>
      <c r="I312">
        <v>155</v>
      </c>
      <c r="J312">
        <v>1984</v>
      </c>
      <c r="K312" s="4">
        <v>44943</v>
      </c>
      <c r="L312" t="s">
        <v>23</v>
      </c>
      <c r="M312" t="s">
        <v>63</v>
      </c>
      <c r="N312">
        <v>3</v>
      </c>
      <c r="O312">
        <v>1452</v>
      </c>
      <c r="P312">
        <v>1.5</v>
      </c>
      <c r="Q312">
        <v>145</v>
      </c>
      <c r="R312">
        <v>521</v>
      </c>
    </row>
    <row r="313" spans="1:18" x14ac:dyDescent="0.2">
      <c r="A313">
        <v>9</v>
      </c>
      <c r="B313" t="s">
        <v>34</v>
      </c>
      <c r="E313" t="s">
        <v>29</v>
      </c>
      <c r="F313">
        <v>2936879</v>
      </c>
      <c r="G313">
        <v>3</v>
      </c>
      <c r="H313">
        <v>3</v>
      </c>
      <c r="I313">
        <v>795</v>
      </c>
      <c r="J313">
        <v>1983</v>
      </c>
      <c r="K313" s="4">
        <v>45532</v>
      </c>
      <c r="L313" t="s">
        <v>30</v>
      </c>
      <c r="M313" t="s">
        <v>77</v>
      </c>
      <c r="N313">
        <v>1.9</v>
      </c>
      <c r="O313">
        <v>1017</v>
      </c>
      <c r="P313">
        <v>1.42</v>
      </c>
      <c r="Q313">
        <v>186</v>
      </c>
      <c r="R313">
        <v>378</v>
      </c>
    </row>
    <row r="314" spans="1:18" x14ac:dyDescent="0.2">
      <c r="A314">
        <v>8</v>
      </c>
      <c r="B314" t="s">
        <v>94</v>
      </c>
      <c r="E314" t="s">
        <v>51</v>
      </c>
      <c r="F314">
        <v>885651</v>
      </c>
      <c r="G314">
        <v>6</v>
      </c>
      <c r="H314">
        <v>2</v>
      </c>
      <c r="I314">
        <v>62</v>
      </c>
      <c r="J314">
        <v>2017</v>
      </c>
      <c r="K314" s="4">
        <v>44283</v>
      </c>
      <c r="L314" t="s">
        <v>20</v>
      </c>
      <c r="M314" t="s">
        <v>59</v>
      </c>
      <c r="N314">
        <v>2.4700000000000002</v>
      </c>
      <c r="O314">
        <v>1689</v>
      </c>
      <c r="P314">
        <v>2.71</v>
      </c>
      <c r="Q314">
        <v>345</v>
      </c>
      <c r="R314">
        <v>634</v>
      </c>
    </row>
    <row r="315" spans="1:18" x14ac:dyDescent="0.2">
      <c r="A315">
        <v>8</v>
      </c>
      <c r="B315" t="s">
        <v>32</v>
      </c>
      <c r="E315" t="s">
        <v>51</v>
      </c>
      <c r="F315">
        <v>2518011</v>
      </c>
      <c r="G315">
        <v>3</v>
      </c>
      <c r="H315">
        <v>3</v>
      </c>
      <c r="I315">
        <v>498</v>
      </c>
      <c r="J315">
        <v>1966</v>
      </c>
      <c r="K315" s="4">
        <v>45614</v>
      </c>
      <c r="L315" t="s">
        <v>30</v>
      </c>
      <c r="M315" t="s">
        <v>35</v>
      </c>
      <c r="N315">
        <v>1.75</v>
      </c>
      <c r="O315">
        <v>2466</v>
      </c>
      <c r="P315">
        <v>4.9400000000000004</v>
      </c>
      <c r="Q315">
        <v>279</v>
      </c>
      <c r="R315">
        <v>386</v>
      </c>
    </row>
    <row r="316" spans="1:18" x14ac:dyDescent="0.2">
      <c r="A316">
        <v>7</v>
      </c>
      <c r="B316" t="s">
        <v>81</v>
      </c>
      <c r="E316" t="s">
        <v>51</v>
      </c>
      <c r="F316">
        <v>2780525</v>
      </c>
      <c r="G316">
        <v>4</v>
      </c>
      <c r="H316">
        <v>3</v>
      </c>
      <c r="I316">
        <v>391</v>
      </c>
      <c r="J316">
        <v>2002</v>
      </c>
      <c r="K316" s="4">
        <v>45228</v>
      </c>
      <c r="L316" t="s">
        <v>20</v>
      </c>
      <c r="M316" t="s">
        <v>58</v>
      </c>
      <c r="N316">
        <v>2.0499999999999998</v>
      </c>
      <c r="O316">
        <v>2010</v>
      </c>
      <c r="P316">
        <v>1.53</v>
      </c>
      <c r="Q316">
        <v>311</v>
      </c>
      <c r="R316">
        <v>671</v>
      </c>
    </row>
    <row r="317" spans="1:18" x14ac:dyDescent="0.2">
      <c r="A317">
        <v>5</v>
      </c>
      <c r="B317" t="s">
        <v>100</v>
      </c>
      <c r="E317" t="s">
        <v>19</v>
      </c>
      <c r="F317">
        <v>632619</v>
      </c>
      <c r="G317">
        <v>4</v>
      </c>
      <c r="H317">
        <v>2</v>
      </c>
      <c r="I317">
        <v>693</v>
      </c>
      <c r="J317">
        <v>1951</v>
      </c>
      <c r="K317" s="4">
        <v>45355</v>
      </c>
      <c r="L317" t="s">
        <v>20</v>
      </c>
      <c r="M317" t="s">
        <v>74</v>
      </c>
      <c r="N317">
        <v>3.12</v>
      </c>
      <c r="O317">
        <v>2203</v>
      </c>
      <c r="P317">
        <v>2.27</v>
      </c>
      <c r="Q317">
        <v>390</v>
      </c>
      <c r="R317">
        <v>304</v>
      </c>
    </row>
    <row r="318" spans="1:18" x14ac:dyDescent="0.2">
      <c r="A318">
        <v>4</v>
      </c>
      <c r="B318" t="s">
        <v>79</v>
      </c>
      <c r="E318" t="s">
        <v>36</v>
      </c>
      <c r="F318">
        <v>805140</v>
      </c>
      <c r="G318">
        <v>1</v>
      </c>
      <c r="H318">
        <v>2</v>
      </c>
      <c r="I318">
        <v>592</v>
      </c>
      <c r="J318">
        <v>1956</v>
      </c>
      <c r="K318" s="4">
        <v>45436</v>
      </c>
      <c r="L318" t="s">
        <v>30</v>
      </c>
      <c r="M318" t="s">
        <v>31</v>
      </c>
      <c r="N318">
        <v>2.68</v>
      </c>
      <c r="O318">
        <v>1841</v>
      </c>
      <c r="P318">
        <v>1.28</v>
      </c>
      <c r="Q318">
        <v>113</v>
      </c>
      <c r="R318">
        <v>492</v>
      </c>
    </row>
    <row r="319" spans="1:18" x14ac:dyDescent="0.2">
      <c r="A319">
        <v>7</v>
      </c>
      <c r="B319" t="s">
        <v>44</v>
      </c>
      <c r="E319" t="s">
        <v>19</v>
      </c>
      <c r="F319">
        <v>2904600</v>
      </c>
      <c r="G319">
        <v>3</v>
      </c>
      <c r="H319">
        <v>1</v>
      </c>
      <c r="I319">
        <v>350</v>
      </c>
      <c r="J319">
        <v>2013</v>
      </c>
      <c r="K319" s="4">
        <v>44119</v>
      </c>
      <c r="L319" t="s">
        <v>26</v>
      </c>
      <c r="M319" t="s">
        <v>42</v>
      </c>
      <c r="N319">
        <v>1.71</v>
      </c>
      <c r="O319">
        <v>1913</v>
      </c>
      <c r="P319">
        <v>2.09</v>
      </c>
      <c r="Q319">
        <v>274</v>
      </c>
      <c r="R319">
        <v>383</v>
      </c>
    </row>
    <row r="320" spans="1:18" x14ac:dyDescent="0.2">
      <c r="A320">
        <v>6</v>
      </c>
      <c r="B320" t="s">
        <v>43</v>
      </c>
      <c r="E320" t="s">
        <v>51</v>
      </c>
      <c r="F320">
        <v>2425193</v>
      </c>
      <c r="G320">
        <v>4</v>
      </c>
      <c r="H320">
        <v>1</v>
      </c>
      <c r="I320">
        <v>616</v>
      </c>
      <c r="J320">
        <v>1982</v>
      </c>
      <c r="K320" s="4">
        <v>45395</v>
      </c>
      <c r="L320" t="s">
        <v>26</v>
      </c>
      <c r="M320" t="s">
        <v>52</v>
      </c>
      <c r="N320">
        <v>2.87</v>
      </c>
      <c r="O320">
        <v>1240</v>
      </c>
      <c r="P320">
        <v>1.7</v>
      </c>
      <c r="Q320">
        <v>185</v>
      </c>
      <c r="R320">
        <v>438</v>
      </c>
    </row>
    <row r="321" spans="1:18" x14ac:dyDescent="0.2">
      <c r="A321">
        <v>2</v>
      </c>
      <c r="B321" t="s">
        <v>43</v>
      </c>
      <c r="E321" t="s">
        <v>29</v>
      </c>
      <c r="F321">
        <v>2590995</v>
      </c>
      <c r="G321">
        <v>-2</v>
      </c>
      <c r="H321">
        <v>2</v>
      </c>
      <c r="I321">
        <v>487</v>
      </c>
      <c r="J321">
        <v>1977</v>
      </c>
      <c r="K321" s="4">
        <v>44554</v>
      </c>
      <c r="L321" t="s">
        <v>30</v>
      </c>
      <c r="M321" t="s">
        <v>78</v>
      </c>
      <c r="N321">
        <v>2.64</v>
      </c>
      <c r="O321">
        <v>1413</v>
      </c>
      <c r="P321">
        <v>2.95</v>
      </c>
      <c r="Q321">
        <v>222</v>
      </c>
      <c r="R321">
        <v>475</v>
      </c>
    </row>
    <row r="322" spans="1:18" x14ac:dyDescent="0.2">
      <c r="A322">
        <v>5</v>
      </c>
      <c r="B322" t="s">
        <v>99</v>
      </c>
      <c r="E322" t="s">
        <v>29</v>
      </c>
      <c r="F322">
        <v>2545764</v>
      </c>
      <c r="G322">
        <v>4</v>
      </c>
      <c r="H322">
        <v>1</v>
      </c>
      <c r="I322">
        <v>334</v>
      </c>
      <c r="J322">
        <v>1972</v>
      </c>
      <c r="K322" s="4">
        <v>45755</v>
      </c>
      <c r="L322" t="s">
        <v>20</v>
      </c>
      <c r="M322" t="s">
        <v>58</v>
      </c>
      <c r="N322">
        <v>1.86</v>
      </c>
      <c r="O322">
        <v>920</v>
      </c>
      <c r="P322">
        <v>1.32</v>
      </c>
      <c r="Q322">
        <v>308</v>
      </c>
      <c r="R322">
        <v>615</v>
      </c>
    </row>
    <row r="323" spans="1:18" x14ac:dyDescent="0.2">
      <c r="A323">
        <v>7</v>
      </c>
      <c r="B323" t="s">
        <v>87</v>
      </c>
      <c r="E323" t="s">
        <v>19</v>
      </c>
      <c r="F323">
        <v>518109</v>
      </c>
      <c r="G323">
        <v>4</v>
      </c>
      <c r="H323">
        <v>3</v>
      </c>
      <c r="I323">
        <v>65</v>
      </c>
      <c r="J323">
        <v>1964</v>
      </c>
      <c r="K323" s="4">
        <v>44098</v>
      </c>
      <c r="L323" t="s">
        <v>26</v>
      </c>
      <c r="M323" t="s">
        <v>58</v>
      </c>
      <c r="N323">
        <v>3.5</v>
      </c>
      <c r="O323">
        <v>2006</v>
      </c>
      <c r="P323">
        <v>3.49</v>
      </c>
      <c r="Q323">
        <v>253</v>
      </c>
      <c r="R323">
        <v>619</v>
      </c>
    </row>
    <row r="324" spans="1:18" x14ac:dyDescent="0.2">
      <c r="A324">
        <v>4</v>
      </c>
      <c r="B324" t="s">
        <v>87</v>
      </c>
      <c r="E324" t="s">
        <v>19</v>
      </c>
      <c r="F324">
        <v>1361175</v>
      </c>
      <c r="G324">
        <v>2</v>
      </c>
      <c r="H324">
        <v>3</v>
      </c>
      <c r="I324">
        <v>195</v>
      </c>
      <c r="J324">
        <v>1966</v>
      </c>
      <c r="K324" s="4">
        <v>45857</v>
      </c>
      <c r="L324" t="s">
        <v>20</v>
      </c>
      <c r="M324" t="s">
        <v>40</v>
      </c>
      <c r="N324">
        <v>2.63</v>
      </c>
      <c r="O324">
        <v>1179</v>
      </c>
      <c r="P324">
        <v>1.55</v>
      </c>
      <c r="Q324">
        <v>165</v>
      </c>
      <c r="R324">
        <v>446</v>
      </c>
    </row>
    <row r="325" spans="1:18" x14ac:dyDescent="0.2">
      <c r="A325">
        <v>3</v>
      </c>
      <c r="B325" t="s">
        <v>90</v>
      </c>
      <c r="E325" t="s">
        <v>19</v>
      </c>
      <c r="F325">
        <v>993403</v>
      </c>
      <c r="G325">
        <v>3</v>
      </c>
      <c r="H325">
        <v>3</v>
      </c>
      <c r="I325">
        <v>468</v>
      </c>
      <c r="J325">
        <v>1970</v>
      </c>
      <c r="K325" s="4">
        <v>45807</v>
      </c>
      <c r="L325" t="s">
        <v>20</v>
      </c>
      <c r="M325" t="s">
        <v>78</v>
      </c>
      <c r="N325">
        <v>2.77</v>
      </c>
      <c r="O325">
        <v>1381</v>
      </c>
      <c r="P325">
        <v>3.84</v>
      </c>
      <c r="Q325">
        <v>184</v>
      </c>
      <c r="R325">
        <v>511</v>
      </c>
    </row>
    <row r="326" spans="1:18" x14ac:dyDescent="0.2">
      <c r="A326">
        <v>6</v>
      </c>
      <c r="B326" t="s">
        <v>71</v>
      </c>
      <c r="E326" t="s">
        <v>29</v>
      </c>
      <c r="F326">
        <v>2527249</v>
      </c>
      <c r="G326">
        <v>3</v>
      </c>
      <c r="H326">
        <v>1</v>
      </c>
      <c r="I326">
        <v>283</v>
      </c>
      <c r="J326">
        <v>2011</v>
      </c>
      <c r="K326" s="4">
        <v>45479</v>
      </c>
      <c r="L326" t="s">
        <v>26</v>
      </c>
      <c r="M326" t="s">
        <v>31</v>
      </c>
      <c r="N326">
        <v>2.68</v>
      </c>
      <c r="O326">
        <v>852</v>
      </c>
      <c r="P326">
        <v>0.67</v>
      </c>
      <c r="Q326">
        <v>255</v>
      </c>
      <c r="R326">
        <v>465</v>
      </c>
    </row>
    <row r="327" spans="1:18" x14ac:dyDescent="0.2">
      <c r="A327">
        <v>1</v>
      </c>
      <c r="B327" t="s">
        <v>55</v>
      </c>
      <c r="E327" t="s">
        <v>51</v>
      </c>
      <c r="F327">
        <v>2573556</v>
      </c>
      <c r="G327">
        <v>6</v>
      </c>
      <c r="H327">
        <v>1</v>
      </c>
      <c r="I327">
        <v>729</v>
      </c>
      <c r="J327">
        <v>1977</v>
      </c>
      <c r="K327" s="4">
        <v>44884</v>
      </c>
      <c r="L327" t="s">
        <v>30</v>
      </c>
      <c r="M327" t="s">
        <v>89</v>
      </c>
      <c r="N327">
        <v>1.6</v>
      </c>
      <c r="O327">
        <v>1898</v>
      </c>
      <c r="P327">
        <v>3.72</v>
      </c>
      <c r="Q327">
        <v>335</v>
      </c>
      <c r="R327">
        <v>598</v>
      </c>
    </row>
    <row r="328" spans="1:18" x14ac:dyDescent="0.2">
      <c r="A328">
        <v>6</v>
      </c>
      <c r="B328" t="s">
        <v>81</v>
      </c>
      <c r="E328" t="s">
        <v>36</v>
      </c>
      <c r="F328">
        <v>2719810</v>
      </c>
      <c r="G328">
        <v>3</v>
      </c>
      <c r="H328">
        <v>3</v>
      </c>
      <c r="I328">
        <v>724</v>
      </c>
      <c r="J328">
        <v>1953</v>
      </c>
      <c r="K328" s="4">
        <v>45544</v>
      </c>
      <c r="L328" t="s">
        <v>26</v>
      </c>
      <c r="M328" t="s">
        <v>58</v>
      </c>
      <c r="N328">
        <v>2.25</v>
      </c>
      <c r="O328">
        <v>1712</v>
      </c>
      <c r="P328">
        <v>1.23</v>
      </c>
      <c r="Q328">
        <v>181</v>
      </c>
      <c r="R328">
        <v>579</v>
      </c>
    </row>
    <row r="329" spans="1:18" x14ac:dyDescent="0.2">
      <c r="A329">
        <v>3</v>
      </c>
      <c r="B329" t="s">
        <v>96</v>
      </c>
      <c r="E329" t="s">
        <v>29</v>
      </c>
      <c r="F329">
        <v>2364640</v>
      </c>
      <c r="G329">
        <v>2</v>
      </c>
      <c r="H329">
        <v>2</v>
      </c>
      <c r="I329">
        <v>67</v>
      </c>
      <c r="J329">
        <v>1960</v>
      </c>
      <c r="K329" s="4">
        <v>44908</v>
      </c>
      <c r="L329" t="s">
        <v>20</v>
      </c>
      <c r="M329" t="s">
        <v>74</v>
      </c>
      <c r="N329">
        <v>2.44</v>
      </c>
      <c r="O329">
        <v>1423</v>
      </c>
      <c r="P329">
        <v>1.4</v>
      </c>
      <c r="Q329">
        <v>228</v>
      </c>
      <c r="R329">
        <v>433</v>
      </c>
    </row>
    <row r="330" spans="1:18" x14ac:dyDescent="0.2">
      <c r="A330">
        <v>4</v>
      </c>
      <c r="B330" t="s">
        <v>34</v>
      </c>
      <c r="E330" t="s">
        <v>29</v>
      </c>
      <c r="F330">
        <v>552178</v>
      </c>
      <c r="G330">
        <v>2</v>
      </c>
      <c r="H330">
        <v>1</v>
      </c>
      <c r="I330">
        <v>408</v>
      </c>
      <c r="J330">
        <v>1970</v>
      </c>
      <c r="K330" s="4">
        <v>45053</v>
      </c>
      <c r="L330" t="s">
        <v>30</v>
      </c>
      <c r="M330" t="s">
        <v>58</v>
      </c>
      <c r="N330">
        <v>2.77</v>
      </c>
      <c r="O330">
        <v>2153</v>
      </c>
      <c r="P330">
        <v>4.07</v>
      </c>
      <c r="Q330">
        <v>128</v>
      </c>
      <c r="R330">
        <v>519</v>
      </c>
    </row>
    <row r="331" spans="1:18" x14ac:dyDescent="0.2">
      <c r="A331">
        <v>5</v>
      </c>
      <c r="B331" t="s">
        <v>84</v>
      </c>
      <c r="E331" t="s">
        <v>51</v>
      </c>
      <c r="F331">
        <v>1148107</v>
      </c>
      <c r="G331">
        <v>3</v>
      </c>
      <c r="H331">
        <v>2</v>
      </c>
      <c r="I331">
        <v>429</v>
      </c>
      <c r="J331">
        <v>1999</v>
      </c>
      <c r="K331" s="4">
        <v>45122</v>
      </c>
      <c r="L331" t="s">
        <v>30</v>
      </c>
      <c r="M331" t="s">
        <v>33</v>
      </c>
      <c r="N331">
        <v>2.68</v>
      </c>
      <c r="O331">
        <v>2182</v>
      </c>
      <c r="P331">
        <v>4.76</v>
      </c>
      <c r="Q331">
        <v>114</v>
      </c>
      <c r="R331">
        <v>571</v>
      </c>
    </row>
    <row r="332" spans="1:18" x14ac:dyDescent="0.2">
      <c r="A332">
        <v>0</v>
      </c>
      <c r="B332" t="s">
        <v>75</v>
      </c>
      <c r="E332" t="s">
        <v>29</v>
      </c>
      <c r="F332">
        <v>1694815</v>
      </c>
      <c r="G332">
        <v>2</v>
      </c>
      <c r="H332">
        <v>1</v>
      </c>
      <c r="I332">
        <v>846</v>
      </c>
      <c r="J332">
        <v>2018</v>
      </c>
      <c r="K332" s="4">
        <v>45303</v>
      </c>
      <c r="L332" t="s">
        <v>26</v>
      </c>
      <c r="M332" t="s">
        <v>56</v>
      </c>
      <c r="N332">
        <v>2.76</v>
      </c>
      <c r="O332">
        <v>811</v>
      </c>
      <c r="P332">
        <v>2.99</v>
      </c>
      <c r="Q332">
        <v>76</v>
      </c>
      <c r="R332">
        <v>487</v>
      </c>
    </row>
    <row r="333" spans="1:18" x14ac:dyDescent="0.2">
      <c r="A333">
        <v>6</v>
      </c>
      <c r="B333" t="s">
        <v>99</v>
      </c>
      <c r="E333" t="s">
        <v>19</v>
      </c>
      <c r="F333">
        <v>2136535</v>
      </c>
      <c r="G333">
        <v>3</v>
      </c>
      <c r="H333">
        <v>1</v>
      </c>
      <c r="I333">
        <v>139</v>
      </c>
      <c r="J333">
        <v>1984</v>
      </c>
      <c r="K333" s="4">
        <v>44828</v>
      </c>
      <c r="L333" t="s">
        <v>23</v>
      </c>
      <c r="M333" t="s">
        <v>58</v>
      </c>
      <c r="N333">
        <v>3.44</v>
      </c>
      <c r="O333">
        <v>1678</v>
      </c>
      <c r="P333">
        <v>1.51</v>
      </c>
      <c r="Q333">
        <v>205</v>
      </c>
      <c r="R333">
        <v>523</v>
      </c>
    </row>
    <row r="334" spans="1:18" x14ac:dyDescent="0.2">
      <c r="A334">
        <v>1</v>
      </c>
      <c r="B334" t="s">
        <v>57</v>
      </c>
      <c r="E334" t="s">
        <v>19</v>
      </c>
      <c r="F334">
        <v>723260</v>
      </c>
      <c r="G334">
        <v>5</v>
      </c>
      <c r="H334">
        <v>3</v>
      </c>
      <c r="I334">
        <v>333</v>
      </c>
      <c r="J334">
        <v>1965</v>
      </c>
      <c r="K334" s="4">
        <v>44948</v>
      </c>
      <c r="L334" t="s">
        <v>23</v>
      </c>
      <c r="M334" t="s">
        <v>56</v>
      </c>
      <c r="N334">
        <v>2.0499999999999998</v>
      </c>
      <c r="O334">
        <v>904</v>
      </c>
      <c r="P334">
        <v>3.96</v>
      </c>
      <c r="Q334">
        <v>255</v>
      </c>
      <c r="R334">
        <v>363</v>
      </c>
    </row>
    <row r="335" spans="1:18" x14ac:dyDescent="0.2">
      <c r="A335">
        <v>5</v>
      </c>
      <c r="B335" t="s">
        <v>73</v>
      </c>
      <c r="E335" t="s">
        <v>19</v>
      </c>
      <c r="F335">
        <v>1135285</v>
      </c>
      <c r="G335">
        <v>5</v>
      </c>
      <c r="H335">
        <v>2</v>
      </c>
      <c r="I335">
        <v>878</v>
      </c>
      <c r="J335">
        <v>2013</v>
      </c>
      <c r="K335" s="4">
        <v>45163</v>
      </c>
      <c r="L335" t="s">
        <v>23</v>
      </c>
      <c r="M335" t="s">
        <v>59</v>
      </c>
      <c r="N335">
        <v>2.73</v>
      </c>
      <c r="O335">
        <v>1135</v>
      </c>
      <c r="P335">
        <v>0.7</v>
      </c>
      <c r="Q335">
        <v>290</v>
      </c>
      <c r="R335">
        <v>330</v>
      </c>
    </row>
    <row r="336" spans="1:18" x14ac:dyDescent="0.2">
      <c r="A336">
        <v>7</v>
      </c>
      <c r="B336" t="s">
        <v>105</v>
      </c>
      <c r="E336" t="s">
        <v>51</v>
      </c>
      <c r="F336">
        <v>1987293</v>
      </c>
      <c r="G336">
        <v>5</v>
      </c>
      <c r="H336">
        <v>2</v>
      </c>
      <c r="I336">
        <v>702</v>
      </c>
      <c r="J336">
        <v>1957</v>
      </c>
      <c r="K336" s="4">
        <v>44705</v>
      </c>
      <c r="L336" t="s">
        <v>23</v>
      </c>
      <c r="M336" t="s">
        <v>37</v>
      </c>
      <c r="N336">
        <v>2.16</v>
      </c>
      <c r="O336">
        <v>2071</v>
      </c>
      <c r="P336">
        <v>4.63</v>
      </c>
      <c r="Q336">
        <v>304</v>
      </c>
      <c r="R336">
        <v>662</v>
      </c>
    </row>
    <row r="337" spans="1:18" x14ac:dyDescent="0.2">
      <c r="A337">
        <v>0</v>
      </c>
      <c r="B337" t="s">
        <v>41</v>
      </c>
      <c r="E337" t="s">
        <v>51</v>
      </c>
      <c r="F337">
        <v>1909689</v>
      </c>
      <c r="G337">
        <v>3</v>
      </c>
      <c r="H337">
        <v>2</v>
      </c>
      <c r="I337">
        <v>607</v>
      </c>
      <c r="J337">
        <v>2012</v>
      </c>
      <c r="K337" s="4">
        <v>45017</v>
      </c>
      <c r="L337" t="s">
        <v>30</v>
      </c>
      <c r="M337" t="s">
        <v>68</v>
      </c>
      <c r="N337">
        <v>2.67</v>
      </c>
      <c r="O337">
        <v>1858</v>
      </c>
      <c r="P337">
        <v>3.29</v>
      </c>
      <c r="Q337">
        <v>301</v>
      </c>
      <c r="R337">
        <v>379</v>
      </c>
    </row>
    <row r="338" spans="1:18" x14ac:dyDescent="0.2">
      <c r="A338">
        <v>6</v>
      </c>
      <c r="B338" t="s">
        <v>28</v>
      </c>
      <c r="E338" t="s">
        <v>51</v>
      </c>
      <c r="F338">
        <v>2538712</v>
      </c>
      <c r="G338">
        <v>4</v>
      </c>
      <c r="H338">
        <v>3</v>
      </c>
      <c r="I338">
        <v>514</v>
      </c>
      <c r="J338">
        <v>2019</v>
      </c>
      <c r="K338" s="4">
        <v>44403</v>
      </c>
      <c r="L338" t="s">
        <v>30</v>
      </c>
      <c r="M338" t="s">
        <v>27</v>
      </c>
      <c r="N338">
        <v>2.65</v>
      </c>
      <c r="O338">
        <v>1912</v>
      </c>
      <c r="P338">
        <v>1.17</v>
      </c>
      <c r="Q338">
        <v>177</v>
      </c>
      <c r="R338">
        <v>637</v>
      </c>
    </row>
    <row r="339" spans="1:18" x14ac:dyDescent="0.2">
      <c r="A339">
        <v>7</v>
      </c>
      <c r="B339" t="s">
        <v>105</v>
      </c>
      <c r="E339" t="s">
        <v>29</v>
      </c>
      <c r="F339">
        <v>646586</v>
      </c>
      <c r="G339">
        <v>4</v>
      </c>
      <c r="H339">
        <v>2</v>
      </c>
      <c r="I339">
        <v>229</v>
      </c>
      <c r="J339">
        <v>1952</v>
      </c>
      <c r="K339" s="4">
        <v>44124</v>
      </c>
      <c r="L339" t="s">
        <v>23</v>
      </c>
      <c r="M339" t="s">
        <v>68</v>
      </c>
      <c r="N339">
        <v>3.12</v>
      </c>
      <c r="O339">
        <v>1165</v>
      </c>
      <c r="P339">
        <v>4.66</v>
      </c>
      <c r="Q339">
        <v>341</v>
      </c>
      <c r="R339">
        <v>404</v>
      </c>
    </row>
    <row r="340" spans="1:18" x14ac:dyDescent="0.2">
      <c r="A340">
        <v>4</v>
      </c>
      <c r="B340" t="s">
        <v>44</v>
      </c>
      <c r="E340" t="s">
        <v>29</v>
      </c>
      <c r="F340">
        <v>1845232</v>
      </c>
      <c r="G340">
        <v>5</v>
      </c>
      <c r="H340">
        <v>2</v>
      </c>
      <c r="I340">
        <v>659</v>
      </c>
      <c r="J340">
        <v>2003</v>
      </c>
      <c r="K340" s="4">
        <v>44248</v>
      </c>
      <c r="L340" t="s">
        <v>26</v>
      </c>
      <c r="M340" t="s">
        <v>56</v>
      </c>
      <c r="N340">
        <v>2.2400000000000002</v>
      </c>
      <c r="O340">
        <v>1068</v>
      </c>
      <c r="P340">
        <v>0.36</v>
      </c>
      <c r="Q340">
        <v>313</v>
      </c>
      <c r="R340">
        <v>579</v>
      </c>
    </row>
    <row r="341" spans="1:18" x14ac:dyDescent="0.2">
      <c r="A341">
        <v>7</v>
      </c>
      <c r="B341" t="s">
        <v>88</v>
      </c>
      <c r="E341" t="s">
        <v>36</v>
      </c>
      <c r="F341">
        <v>1775274</v>
      </c>
      <c r="G341">
        <v>6</v>
      </c>
      <c r="H341">
        <v>2</v>
      </c>
      <c r="I341">
        <v>522</v>
      </c>
      <c r="J341">
        <v>1981</v>
      </c>
      <c r="K341" s="4">
        <v>44399</v>
      </c>
      <c r="L341" t="s">
        <v>23</v>
      </c>
      <c r="M341" t="s">
        <v>37</v>
      </c>
      <c r="N341">
        <v>1.54</v>
      </c>
      <c r="O341">
        <v>2059</v>
      </c>
      <c r="P341">
        <v>0.11</v>
      </c>
      <c r="Q341">
        <v>389</v>
      </c>
      <c r="R341">
        <v>364</v>
      </c>
    </row>
    <row r="342" spans="1:18" x14ac:dyDescent="0.2">
      <c r="A342">
        <v>6</v>
      </c>
      <c r="B342" t="s">
        <v>96</v>
      </c>
      <c r="E342" t="s">
        <v>36</v>
      </c>
      <c r="F342">
        <v>2958791</v>
      </c>
      <c r="G342">
        <v>4</v>
      </c>
      <c r="H342">
        <v>3</v>
      </c>
      <c r="I342">
        <v>889</v>
      </c>
      <c r="J342">
        <v>1994</v>
      </c>
      <c r="K342" s="4">
        <v>44402</v>
      </c>
      <c r="L342" t="s">
        <v>23</v>
      </c>
      <c r="M342" t="s">
        <v>66</v>
      </c>
      <c r="N342">
        <v>1.88</v>
      </c>
      <c r="O342">
        <v>913</v>
      </c>
      <c r="P342">
        <v>1.1000000000000001</v>
      </c>
      <c r="Q342">
        <v>357</v>
      </c>
      <c r="R342">
        <v>317</v>
      </c>
    </row>
    <row r="343" spans="1:18" x14ac:dyDescent="0.2">
      <c r="A343">
        <v>4</v>
      </c>
      <c r="B343" t="s">
        <v>49</v>
      </c>
      <c r="E343" t="s">
        <v>51</v>
      </c>
      <c r="F343">
        <v>1778567</v>
      </c>
      <c r="G343">
        <v>3</v>
      </c>
      <c r="H343">
        <v>3</v>
      </c>
      <c r="I343">
        <v>707</v>
      </c>
      <c r="J343">
        <v>1966</v>
      </c>
      <c r="K343" s="4">
        <v>44606</v>
      </c>
      <c r="L343" t="s">
        <v>26</v>
      </c>
      <c r="M343" t="s">
        <v>77</v>
      </c>
      <c r="N343">
        <v>2.92</v>
      </c>
      <c r="O343">
        <v>934</v>
      </c>
      <c r="P343">
        <v>2.08</v>
      </c>
      <c r="Q343">
        <v>233</v>
      </c>
      <c r="R343">
        <v>368</v>
      </c>
    </row>
    <row r="344" spans="1:18" x14ac:dyDescent="0.2">
      <c r="A344">
        <v>4</v>
      </c>
      <c r="B344" t="s">
        <v>71</v>
      </c>
      <c r="E344" t="s">
        <v>36</v>
      </c>
      <c r="F344">
        <v>1946904</v>
      </c>
      <c r="G344">
        <v>2</v>
      </c>
      <c r="H344">
        <v>3</v>
      </c>
      <c r="I344">
        <v>693</v>
      </c>
      <c r="J344">
        <v>1986</v>
      </c>
      <c r="K344" s="4">
        <v>44515</v>
      </c>
      <c r="L344" t="s">
        <v>23</v>
      </c>
      <c r="M344" t="s">
        <v>68</v>
      </c>
      <c r="N344">
        <v>3.21</v>
      </c>
      <c r="O344">
        <v>1525</v>
      </c>
      <c r="P344">
        <v>4.2</v>
      </c>
      <c r="Q344">
        <v>171</v>
      </c>
      <c r="R344">
        <v>375</v>
      </c>
    </row>
    <row r="345" spans="1:18" x14ac:dyDescent="0.2">
      <c r="A345">
        <v>6</v>
      </c>
      <c r="B345" t="s">
        <v>83</v>
      </c>
      <c r="E345" t="s">
        <v>19</v>
      </c>
      <c r="F345">
        <v>1758087</v>
      </c>
      <c r="G345">
        <v>5</v>
      </c>
      <c r="H345">
        <v>2</v>
      </c>
      <c r="I345">
        <v>610</v>
      </c>
      <c r="J345">
        <v>2008</v>
      </c>
      <c r="K345" s="4">
        <v>44096</v>
      </c>
      <c r="L345" t="s">
        <v>23</v>
      </c>
      <c r="M345" t="s">
        <v>56</v>
      </c>
      <c r="N345">
        <v>1.8</v>
      </c>
      <c r="O345">
        <v>1036</v>
      </c>
      <c r="P345">
        <v>1.53</v>
      </c>
      <c r="Q345">
        <v>251</v>
      </c>
      <c r="R345">
        <v>456</v>
      </c>
    </row>
    <row r="346" spans="1:18" x14ac:dyDescent="0.2">
      <c r="A346">
        <v>5</v>
      </c>
      <c r="B346" t="s">
        <v>64</v>
      </c>
      <c r="E346" t="s">
        <v>51</v>
      </c>
      <c r="F346">
        <v>1308981</v>
      </c>
      <c r="G346">
        <v>1</v>
      </c>
      <c r="H346">
        <v>2</v>
      </c>
      <c r="I346">
        <v>723</v>
      </c>
      <c r="J346">
        <v>1974</v>
      </c>
      <c r="K346" s="4">
        <v>44533</v>
      </c>
      <c r="L346" t="s">
        <v>23</v>
      </c>
      <c r="M346" t="s">
        <v>54</v>
      </c>
      <c r="N346">
        <v>1.75</v>
      </c>
      <c r="O346">
        <v>2383</v>
      </c>
      <c r="P346">
        <v>1.08</v>
      </c>
      <c r="Q346">
        <v>87</v>
      </c>
      <c r="R346">
        <v>507</v>
      </c>
    </row>
    <row r="347" spans="1:18" x14ac:dyDescent="0.2">
      <c r="A347">
        <v>3</v>
      </c>
      <c r="B347" t="s">
        <v>98</v>
      </c>
      <c r="E347" t="s">
        <v>36</v>
      </c>
      <c r="F347">
        <v>2096844</v>
      </c>
      <c r="G347">
        <v>4</v>
      </c>
      <c r="H347">
        <v>2</v>
      </c>
      <c r="I347">
        <v>962</v>
      </c>
      <c r="J347">
        <v>1960</v>
      </c>
      <c r="K347" s="4">
        <v>45615</v>
      </c>
      <c r="L347" t="s">
        <v>26</v>
      </c>
      <c r="M347" t="s">
        <v>56</v>
      </c>
      <c r="N347">
        <v>1.87</v>
      </c>
      <c r="O347">
        <v>1754</v>
      </c>
      <c r="P347">
        <v>2.16</v>
      </c>
      <c r="Q347">
        <v>248</v>
      </c>
      <c r="R347">
        <v>393</v>
      </c>
    </row>
    <row r="348" spans="1:18" x14ac:dyDescent="0.2">
      <c r="A348">
        <v>2</v>
      </c>
      <c r="B348" t="s">
        <v>18</v>
      </c>
      <c r="E348" t="s">
        <v>29</v>
      </c>
      <c r="F348">
        <v>1952583</v>
      </c>
      <c r="G348">
        <v>3</v>
      </c>
      <c r="H348">
        <v>1</v>
      </c>
      <c r="I348">
        <v>299</v>
      </c>
      <c r="J348">
        <v>1954</v>
      </c>
      <c r="K348" s="4">
        <v>44733</v>
      </c>
      <c r="L348" t="s">
        <v>26</v>
      </c>
      <c r="M348" t="s">
        <v>40</v>
      </c>
      <c r="N348">
        <v>1.91</v>
      </c>
      <c r="O348">
        <v>2256</v>
      </c>
      <c r="P348">
        <v>0.63</v>
      </c>
      <c r="Q348">
        <v>318</v>
      </c>
      <c r="R348">
        <v>632</v>
      </c>
    </row>
    <row r="349" spans="1:18" x14ac:dyDescent="0.2">
      <c r="A349">
        <v>3</v>
      </c>
      <c r="B349" t="s">
        <v>100</v>
      </c>
      <c r="E349" t="s">
        <v>36</v>
      </c>
      <c r="F349">
        <v>2086468</v>
      </c>
      <c r="G349">
        <v>5</v>
      </c>
      <c r="H349">
        <v>1</v>
      </c>
      <c r="I349">
        <v>354</v>
      </c>
      <c r="J349">
        <v>2010</v>
      </c>
      <c r="K349" s="4">
        <v>45698</v>
      </c>
      <c r="L349" t="s">
        <v>30</v>
      </c>
      <c r="M349" t="s">
        <v>60</v>
      </c>
      <c r="N349">
        <v>3.39</v>
      </c>
      <c r="O349">
        <v>2416</v>
      </c>
      <c r="P349">
        <v>1.17</v>
      </c>
      <c r="Q349">
        <v>352</v>
      </c>
      <c r="R349">
        <v>608</v>
      </c>
    </row>
    <row r="350" spans="1:18" x14ac:dyDescent="0.2">
      <c r="A350">
        <v>0</v>
      </c>
      <c r="B350" t="s">
        <v>22</v>
      </c>
      <c r="E350" t="s">
        <v>51</v>
      </c>
      <c r="F350">
        <v>504028</v>
      </c>
      <c r="G350">
        <v>3</v>
      </c>
      <c r="H350">
        <v>2</v>
      </c>
      <c r="I350">
        <v>428</v>
      </c>
      <c r="J350">
        <v>1966</v>
      </c>
      <c r="K350" s="4">
        <v>45502</v>
      </c>
      <c r="L350" t="s">
        <v>30</v>
      </c>
      <c r="M350" t="s">
        <v>40</v>
      </c>
      <c r="N350">
        <v>3.05</v>
      </c>
      <c r="O350">
        <v>1813</v>
      </c>
      <c r="P350">
        <v>4.03</v>
      </c>
      <c r="Q350">
        <v>315</v>
      </c>
      <c r="R350">
        <v>489</v>
      </c>
    </row>
    <row r="351" spans="1:18" x14ac:dyDescent="0.2">
      <c r="A351">
        <v>4</v>
      </c>
      <c r="B351" t="s">
        <v>39</v>
      </c>
      <c r="E351" t="s">
        <v>29</v>
      </c>
      <c r="F351">
        <v>2040603</v>
      </c>
      <c r="G351">
        <v>5</v>
      </c>
      <c r="H351">
        <v>3</v>
      </c>
      <c r="I351">
        <v>687</v>
      </c>
      <c r="J351">
        <v>1983</v>
      </c>
      <c r="K351" s="4">
        <v>45155</v>
      </c>
      <c r="L351" t="s">
        <v>26</v>
      </c>
      <c r="M351" t="s">
        <v>89</v>
      </c>
      <c r="N351">
        <v>3.18</v>
      </c>
      <c r="O351">
        <v>834</v>
      </c>
      <c r="P351">
        <v>2.11</v>
      </c>
      <c r="Q351">
        <v>274</v>
      </c>
      <c r="R351">
        <v>620</v>
      </c>
    </row>
    <row r="352" spans="1:18" x14ac:dyDescent="0.2">
      <c r="A352">
        <v>4</v>
      </c>
      <c r="B352" t="s">
        <v>96</v>
      </c>
      <c r="E352" t="s">
        <v>51</v>
      </c>
      <c r="F352">
        <v>591253</v>
      </c>
      <c r="G352">
        <v>5</v>
      </c>
      <c r="H352">
        <v>1</v>
      </c>
      <c r="I352">
        <v>334</v>
      </c>
      <c r="J352">
        <v>1968</v>
      </c>
      <c r="K352" s="4">
        <v>44100</v>
      </c>
      <c r="L352" t="s">
        <v>20</v>
      </c>
      <c r="M352" t="s">
        <v>63</v>
      </c>
      <c r="N352">
        <v>1.75</v>
      </c>
      <c r="O352">
        <v>1571</v>
      </c>
      <c r="P352">
        <v>0.39</v>
      </c>
      <c r="Q352">
        <v>352</v>
      </c>
      <c r="R352">
        <v>393</v>
      </c>
    </row>
    <row r="353" spans="1:18" x14ac:dyDescent="0.2">
      <c r="A353">
        <v>4</v>
      </c>
      <c r="B353" t="s">
        <v>50</v>
      </c>
      <c r="E353" t="s">
        <v>51</v>
      </c>
      <c r="F353">
        <v>1273480</v>
      </c>
      <c r="G353">
        <v>3</v>
      </c>
      <c r="H353">
        <v>3</v>
      </c>
      <c r="I353">
        <v>318</v>
      </c>
      <c r="J353">
        <v>1954</v>
      </c>
      <c r="K353" s="4">
        <v>45404</v>
      </c>
      <c r="L353" t="s">
        <v>26</v>
      </c>
      <c r="M353" t="s">
        <v>42</v>
      </c>
      <c r="N353">
        <v>2.87</v>
      </c>
      <c r="O353">
        <v>2100</v>
      </c>
      <c r="P353">
        <v>0.15</v>
      </c>
      <c r="Q353">
        <v>261</v>
      </c>
      <c r="R353">
        <v>478</v>
      </c>
    </row>
    <row r="354" spans="1:18" x14ac:dyDescent="0.2">
      <c r="A354">
        <v>3</v>
      </c>
      <c r="B354" t="s">
        <v>41</v>
      </c>
      <c r="E354" t="s">
        <v>19</v>
      </c>
      <c r="F354">
        <v>663840</v>
      </c>
      <c r="G354">
        <v>6</v>
      </c>
      <c r="H354">
        <v>2</v>
      </c>
      <c r="I354">
        <v>614</v>
      </c>
      <c r="J354">
        <v>2007</v>
      </c>
      <c r="K354" s="4">
        <v>44901</v>
      </c>
      <c r="L354" t="s">
        <v>26</v>
      </c>
      <c r="M354" t="s">
        <v>89</v>
      </c>
      <c r="N354">
        <v>1.68</v>
      </c>
      <c r="O354">
        <v>1579</v>
      </c>
      <c r="P354">
        <v>4.21</v>
      </c>
      <c r="Q354">
        <v>390</v>
      </c>
      <c r="R354">
        <v>595</v>
      </c>
    </row>
    <row r="355" spans="1:18" x14ac:dyDescent="0.2">
      <c r="A355">
        <v>3</v>
      </c>
      <c r="B355" t="s">
        <v>99</v>
      </c>
      <c r="E355" t="s">
        <v>36</v>
      </c>
      <c r="F355">
        <v>2319876</v>
      </c>
      <c r="G355">
        <v>3</v>
      </c>
      <c r="H355">
        <v>2</v>
      </c>
      <c r="I355">
        <v>912</v>
      </c>
      <c r="J355">
        <v>1957</v>
      </c>
      <c r="K355" s="4">
        <v>45770</v>
      </c>
      <c r="L355" t="s">
        <v>30</v>
      </c>
      <c r="M355" t="s">
        <v>52</v>
      </c>
      <c r="N355">
        <v>2.16</v>
      </c>
      <c r="O355">
        <v>1709</v>
      </c>
      <c r="P355">
        <v>2.29</v>
      </c>
      <c r="Q355">
        <v>147</v>
      </c>
      <c r="R355">
        <v>510</v>
      </c>
    </row>
    <row r="356" spans="1:18" x14ac:dyDescent="0.2">
      <c r="A356">
        <v>6</v>
      </c>
      <c r="B356" t="s">
        <v>105</v>
      </c>
      <c r="E356" t="s">
        <v>19</v>
      </c>
      <c r="F356">
        <v>2102208</v>
      </c>
      <c r="G356">
        <v>1</v>
      </c>
      <c r="H356">
        <v>3</v>
      </c>
      <c r="I356">
        <v>980</v>
      </c>
      <c r="J356">
        <v>1981</v>
      </c>
      <c r="K356" s="4">
        <v>44750</v>
      </c>
      <c r="L356" t="s">
        <v>20</v>
      </c>
      <c r="M356" t="s">
        <v>97</v>
      </c>
      <c r="N356">
        <v>2.1</v>
      </c>
      <c r="O356">
        <v>1949</v>
      </c>
      <c r="P356">
        <v>2.4</v>
      </c>
      <c r="Q356">
        <v>141</v>
      </c>
      <c r="R356">
        <v>388</v>
      </c>
    </row>
    <row r="357" spans="1:18" x14ac:dyDescent="0.2">
      <c r="A357">
        <v>1</v>
      </c>
      <c r="B357" t="s">
        <v>99</v>
      </c>
      <c r="E357" t="s">
        <v>51</v>
      </c>
      <c r="F357">
        <v>2875715</v>
      </c>
      <c r="G357">
        <v>4</v>
      </c>
      <c r="H357">
        <v>3</v>
      </c>
      <c r="I357">
        <v>744</v>
      </c>
      <c r="J357">
        <v>1962</v>
      </c>
      <c r="K357" s="4">
        <v>45580</v>
      </c>
      <c r="L357" t="s">
        <v>23</v>
      </c>
      <c r="M357" t="s">
        <v>47</v>
      </c>
      <c r="N357">
        <v>1.86</v>
      </c>
      <c r="O357">
        <v>1703</v>
      </c>
      <c r="P357">
        <v>0.83</v>
      </c>
      <c r="Q357">
        <v>195</v>
      </c>
      <c r="R357">
        <v>300</v>
      </c>
    </row>
    <row r="358" spans="1:18" x14ac:dyDescent="0.2">
      <c r="A358">
        <v>5</v>
      </c>
      <c r="B358" t="s">
        <v>86</v>
      </c>
      <c r="E358" t="s">
        <v>51</v>
      </c>
      <c r="F358">
        <v>845349</v>
      </c>
      <c r="G358">
        <v>2</v>
      </c>
      <c r="H358">
        <v>3</v>
      </c>
      <c r="I358">
        <v>611</v>
      </c>
      <c r="J358">
        <v>2018</v>
      </c>
      <c r="K358" s="4">
        <v>44203</v>
      </c>
      <c r="L358" t="s">
        <v>26</v>
      </c>
      <c r="M358" t="s">
        <v>45</v>
      </c>
      <c r="N358">
        <v>2.52</v>
      </c>
      <c r="O358">
        <v>1100</v>
      </c>
      <c r="P358">
        <v>1.86</v>
      </c>
      <c r="Q358">
        <v>157</v>
      </c>
      <c r="R358">
        <v>313</v>
      </c>
    </row>
    <row r="359" spans="1:18" x14ac:dyDescent="0.2">
      <c r="A359">
        <v>5</v>
      </c>
      <c r="B359" t="s">
        <v>46</v>
      </c>
      <c r="E359" t="s">
        <v>29</v>
      </c>
      <c r="F359">
        <v>1764106</v>
      </c>
      <c r="G359">
        <v>5</v>
      </c>
      <c r="H359">
        <v>3</v>
      </c>
      <c r="I359">
        <v>74</v>
      </c>
      <c r="J359">
        <v>2015</v>
      </c>
      <c r="K359" s="4">
        <v>44430</v>
      </c>
      <c r="L359" t="s">
        <v>26</v>
      </c>
      <c r="M359" t="s">
        <v>52</v>
      </c>
      <c r="N359">
        <v>1.59</v>
      </c>
      <c r="O359">
        <v>1654</v>
      </c>
      <c r="P359">
        <v>4.7</v>
      </c>
      <c r="Q359">
        <v>246</v>
      </c>
      <c r="R359">
        <v>651</v>
      </c>
    </row>
    <row r="360" spans="1:18" x14ac:dyDescent="0.2">
      <c r="A360">
        <v>3</v>
      </c>
      <c r="B360" t="s">
        <v>43</v>
      </c>
      <c r="E360" t="s">
        <v>29</v>
      </c>
      <c r="F360">
        <v>830217</v>
      </c>
      <c r="G360">
        <v>2</v>
      </c>
      <c r="H360">
        <v>3</v>
      </c>
      <c r="I360">
        <v>247</v>
      </c>
      <c r="J360">
        <v>1981</v>
      </c>
      <c r="K360" s="4">
        <v>44560</v>
      </c>
      <c r="L360" t="s">
        <v>20</v>
      </c>
      <c r="M360" t="s">
        <v>42</v>
      </c>
      <c r="N360">
        <v>1.7</v>
      </c>
      <c r="O360">
        <v>2104</v>
      </c>
      <c r="P360">
        <v>0.28000000000000003</v>
      </c>
      <c r="Q360">
        <v>230</v>
      </c>
      <c r="R360">
        <v>645</v>
      </c>
    </row>
    <row r="361" spans="1:18" x14ac:dyDescent="0.2">
      <c r="A361">
        <v>7</v>
      </c>
      <c r="B361" t="s">
        <v>75</v>
      </c>
      <c r="E361" t="s">
        <v>36</v>
      </c>
      <c r="F361">
        <v>2462779</v>
      </c>
      <c r="G361">
        <v>4</v>
      </c>
      <c r="H361">
        <v>1</v>
      </c>
      <c r="I361">
        <v>264</v>
      </c>
      <c r="J361">
        <v>2004</v>
      </c>
      <c r="K361" s="4">
        <v>45655</v>
      </c>
      <c r="L361" t="s">
        <v>30</v>
      </c>
      <c r="M361" t="s">
        <v>27</v>
      </c>
      <c r="N361">
        <v>1.76</v>
      </c>
      <c r="O361">
        <v>1182</v>
      </c>
      <c r="P361">
        <v>4.12</v>
      </c>
      <c r="Q361">
        <v>206</v>
      </c>
      <c r="R361">
        <v>655</v>
      </c>
    </row>
    <row r="362" spans="1:18" x14ac:dyDescent="0.2">
      <c r="A362">
        <v>9</v>
      </c>
      <c r="B362" t="s">
        <v>94</v>
      </c>
      <c r="E362" t="s">
        <v>51</v>
      </c>
      <c r="F362">
        <v>2487235</v>
      </c>
      <c r="G362">
        <v>3</v>
      </c>
      <c r="H362">
        <v>1</v>
      </c>
      <c r="I362">
        <v>850</v>
      </c>
      <c r="J362">
        <v>1993</v>
      </c>
      <c r="K362" s="4">
        <v>44067</v>
      </c>
      <c r="L362" t="s">
        <v>20</v>
      </c>
      <c r="M362" t="s">
        <v>54</v>
      </c>
      <c r="N362">
        <v>3.45</v>
      </c>
      <c r="O362">
        <v>2189</v>
      </c>
      <c r="P362">
        <v>1.41</v>
      </c>
      <c r="Q362">
        <v>303</v>
      </c>
      <c r="R362">
        <v>696</v>
      </c>
    </row>
    <row r="363" spans="1:18" x14ac:dyDescent="0.2">
      <c r="A363">
        <v>0</v>
      </c>
      <c r="B363" t="s">
        <v>53</v>
      </c>
      <c r="E363" t="s">
        <v>51</v>
      </c>
      <c r="F363">
        <v>552632</v>
      </c>
      <c r="G363">
        <v>4</v>
      </c>
      <c r="H363">
        <v>2</v>
      </c>
      <c r="I363">
        <v>353</v>
      </c>
      <c r="J363">
        <v>2004</v>
      </c>
      <c r="K363" s="4">
        <v>44249</v>
      </c>
      <c r="L363" t="s">
        <v>23</v>
      </c>
      <c r="M363" t="s">
        <v>45</v>
      </c>
      <c r="N363">
        <v>3.38</v>
      </c>
      <c r="O363">
        <v>1866</v>
      </c>
      <c r="P363">
        <v>2.12</v>
      </c>
      <c r="Q363">
        <v>309</v>
      </c>
      <c r="R363">
        <v>482</v>
      </c>
    </row>
    <row r="364" spans="1:18" x14ac:dyDescent="0.2">
      <c r="A364">
        <v>8</v>
      </c>
      <c r="B364" t="s">
        <v>104</v>
      </c>
      <c r="E364" t="s">
        <v>36</v>
      </c>
      <c r="F364">
        <v>765646</v>
      </c>
      <c r="G364">
        <v>4</v>
      </c>
      <c r="H364">
        <v>2</v>
      </c>
      <c r="I364">
        <v>776</v>
      </c>
      <c r="J364">
        <v>1992</v>
      </c>
      <c r="K364" s="4">
        <v>45836</v>
      </c>
      <c r="L364" t="s">
        <v>30</v>
      </c>
      <c r="M364" t="s">
        <v>77</v>
      </c>
      <c r="N364">
        <v>2.76</v>
      </c>
      <c r="O364">
        <v>1733</v>
      </c>
      <c r="P364">
        <v>4.09</v>
      </c>
      <c r="Q364">
        <v>291</v>
      </c>
      <c r="R364">
        <v>309</v>
      </c>
    </row>
    <row r="365" spans="1:18" x14ac:dyDescent="0.2">
      <c r="A365">
        <v>1</v>
      </c>
      <c r="B365" t="s">
        <v>22</v>
      </c>
      <c r="E365" t="s">
        <v>51</v>
      </c>
      <c r="F365">
        <v>2412806</v>
      </c>
      <c r="G365">
        <v>1</v>
      </c>
      <c r="H365">
        <v>2</v>
      </c>
      <c r="I365">
        <v>182</v>
      </c>
      <c r="J365">
        <v>2022</v>
      </c>
      <c r="K365" s="4">
        <v>45710</v>
      </c>
      <c r="L365" t="s">
        <v>20</v>
      </c>
      <c r="M365" t="s">
        <v>35</v>
      </c>
      <c r="N365">
        <v>2.1800000000000002</v>
      </c>
      <c r="O365">
        <v>1704</v>
      </c>
      <c r="P365">
        <v>2.67</v>
      </c>
      <c r="Q365">
        <v>142</v>
      </c>
      <c r="R365">
        <v>526</v>
      </c>
    </row>
    <row r="366" spans="1:18" x14ac:dyDescent="0.2">
      <c r="A366">
        <v>5</v>
      </c>
      <c r="B366" t="s">
        <v>79</v>
      </c>
      <c r="E366" t="s">
        <v>29</v>
      </c>
      <c r="F366">
        <v>2576905</v>
      </c>
      <c r="G366">
        <v>3</v>
      </c>
      <c r="H366">
        <v>3</v>
      </c>
      <c r="I366">
        <v>131</v>
      </c>
      <c r="J366">
        <v>2002</v>
      </c>
      <c r="K366" s="4">
        <v>45322</v>
      </c>
      <c r="L366" t="s">
        <v>30</v>
      </c>
      <c r="M366" t="s">
        <v>27</v>
      </c>
      <c r="N366">
        <v>1.61</v>
      </c>
      <c r="O366">
        <v>1744</v>
      </c>
      <c r="P366">
        <v>3.92</v>
      </c>
      <c r="Q366">
        <v>92</v>
      </c>
      <c r="R366">
        <v>387</v>
      </c>
    </row>
    <row r="367" spans="1:18" x14ac:dyDescent="0.2">
      <c r="A367">
        <v>7</v>
      </c>
      <c r="B367" t="s">
        <v>96</v>
      </c>
      <c r="E367" t="s">
        <v>19</v>
      </c>
      <c r="F367">
        <v>1054420</v>
      </c>
      <c r="G367">
        <v>3</v>
      </c>
      <c r="H367">
        <v>1</v>
      </c>
      <c r="I367">
        <v>940</v>
      </c>
      <c r="J367">
        <v>1963</v>
      </c>
      <c r="K367" s="4">
        <v>45778</v>
      </c>
      <c r="L367" t="s">
        <v>30</v>
      </c>
      <c r="M367" t="s">
        <v>97</v>
      </c>
      <c r="N367">
        <v>2.11</v>
      </c>
      <c r="O367">
        <v>1664</v>
      </c>
      <c r="P367">
        <v>4.78</v>
      </c>
      <c r="Q367">
        <v>247</v>
      </c>
      <c r="R367">
        <v>365</v>
      </c>
    </row>
    <row r="368" spans="1:18" x14ac:dyDescent="0.2">
      <c r="A368">
        <v>7</v>
      </c>
      <c r="B368" t="s">
        <v>102</v>
      </c>
      <c r="E368" t="s">
        <v>19</v>
      </c>
      <c r="F368">
        <v>1706110</v>
      </c>
      <c r="G368">
        <v>1</v>
      </c>
      <c r="H368">
        <v>1</v>
      </c>
      <c r="I368">
        <v>581</v>
      </c>
      <c r="J368">
        <v>2009</v>
      </c>
      <c r="K368" s="4">
        <v>45011</v>
      </c>
      <c r="L368" t="s">
        <v>23</v>
      </c>
      <c r="M368" t="s">
        <v>77</v>
      </c>
      <c r="N368">
        <v>3.1</v>
      </c>
      <c r="O368">
        <v>1690</v>
      </c>
      <c r="P368">
        <v>3.27</v>
      </c>
      <c r="Q368">
        <v>51</v>
      </c>
      <c r="R368">
        <v>426</v>
      </c>
    </row>
    <row r="369" spans="1:18" x14ac:dyDescent="0.2">
      <c r="A369">
        <v>9</v>
      </c>
      <c r="B369" t="s">
        <v>92</v>
      </c>
      <c r="E369" t="s">
        <v>19</v>
      </c>
      <c r="F369">
        <v>1331114</v>
      </c>
      <c r="G369">
        <v>6</v>
      </c>
      <c r="H369">
        <v>3</v>
      </c>
      <c r="I369">
        <v>542</v>
      </c>
      <c r="J369">
        <v>1984</v>
      </c>
      <c r="K369" s="4">
        <v>44304</v>
      </c>
      <c r="L369" t="s">
        <v>26</v>
      </c>
      <c r="M369" t="s">
        <v>69</v>
      </c>
      <c r="N369">
        <v>2.2200000000000002</v>
      </c>
      <c r="O369">
        <v>2175</v>
      </c>
      <c r="P369">
        <v>3.57</v>
      </c>
      <c r="Q369">
        <v>330</v>
      </c>
      <c r="R369">
        <v>301</v>
      </c>
    </row>
    <row r="370" spans="1:18" x14ac:dyDescent="0.2">
      <c r="A370">
        <v>2</v>
      </c>
      <c r="B370" t="s">
        <v>72</v>
      </c>
      <c r="E370" t="s">
        <v>51</v>
      </c>
      <c r="F370">
        <v>1631409</v>
      </c>
      <c r="G370">
        <v>6</v>
      </c>
      <c r="H370">
        <v>3</v>
      </c>
      <c r="I370">
        <v>873</v>
      </c>
      <c r="J370">
        <v>1976</v>
      </c>
      <c r="K370" s="4">
        <v>44940</v>
      </c>
      <c r="L370" t="s">
        <v>23</v>
      </c>
      <c r="M370" t="s">
        <v>82</v>
      </c>
      <c r="N370">
        <v>1.75</v>
      </c>
      <c r="O370">
        <v>2191</v>
      </c>
      <c r="P370">
        <v>1.21</v>
      </c>
      <c r="Q370">
        <v>389</v>
      </c>
      <c r="R370">
        <v>335</v>
      </c>
    </row>
    <row r="371" spans="1:18" x14ac:dyDescent="0.2">
      <c r="A371">
        <v>2</v>
      </c>
      <c r="B371" t="s">
        <v>75</v>
      </c>
      <c r="E371" t="s">
        <v>51</v>
      </c>
      <c r="F371">
        <v>1734439</v>
      </c>
      <c r="G371">
        <v>2</v>
      </c>
      <c r="H371">
        <v>1</v>
      </c>
      <c r="I371">
        <v>793</v>
      </c>
      <c r="J371">
        <v>2010</v>
      </c>
      <c r="K371" s="4">
        <v>44293</v>
      </c>
      <c r="L371" t="s">
        <v>26</v>
      </c>
      <c r="M371" t="s">
        <v>40</v>
      </c>
      <c r="N371">
        <v>1.99</v>
      </c>
      <c r="O371">
        <v>862</v>
      </c>
      <c r="P371">
        <v>0.6</v>
      </c>
      <c r="Q371">
        <v>181</v>
      </c>
      <c r="R371">
        <v>319</v>
      </c>
    </row>
    <row r="372" spans="1:18" x14ac:dyDescent="0.2">
      <c r="A372">
        <v>8</v>
      </c>
      <c r="B372" t="s">
        <v>80</v>
      </c>
      <c r="E372" t="s">
        <v>36</v>
      </c>
      <c r="F372">
        <v>1621700</v>
      </c>
      <c r="G372">
        <v>-2</v>
      </c>
      <c r="H372">
        <v>2</v>
      </c>
      <c r="I372">
        <v>495</v>
      </c>
      <c r="J372">
        <v>1978</v>
      </c>
      <c r="K372" s="4">
        <v>44819</v>
      </c>
      <c r="L372" t="s">
        <v>20</v>
      </c>
      <c r="M372" t="s">
        <v>89</v>
      </c>
      <c r="N372">
        <v>3.17</v>
      </c>
      <c r="O372">
        <v>1256</v>
      </c>
      <c r="P372">
        <v>3.61</v>
      </c>
      <c r="Q372">
        <v>153</v>
      </c>
      <c r="R372">
        <v>450</v>
      </c>
    </row>
    <row r="373" spans="1:18" x14ac:dyDescent="0.2">
      <c r="A373">
        <v>9</v>
      </c>
      <c r="B373" t="s">
        <v>79</v>
      </c>
      <c r="E373" t="s">
        <v>19</v>
      </c>
      <c r="F373">
        <v>2488945</v>
      </c>
      <c r="G373">
        <v>4</v>
      </c>
      <c r="H373">
        <v>2</v>
      </c>
      <c r="I373">
        <v>340</v>
      </c>
      <c r="J373">
        <v>2018</v>
      </c>
      <c r="K373" s="4">
        <v>44508</v>
      </c>
      <c r="L373" t="s">
        <v>26</v>
      </c>
      <c r="M373" t="s">
        <v>21</v>
      </c>
      <c r="N373">
        <v>1.91</v>
      </c>
      <c r="O373">
        <v>891</v>
      </c>
      <c r="P373">
        <v>4.29</v>
      </c>
      <c r="Q373">
        <v>245</v>
      </c>
      <c r="R373">
        <v>428</v>
      </c>
    </row>
    <row r="374" spans="1:18" x14ac:dyDescent="0.2">
      <c r="A374">
        <v>2</v>
      </c>
      <c r="B374" t="s">
        <v>53</v>
      </c>
      <c r="E374" t="s">
        <v>51</v>
      </c>
      <c r="F374">
        <v>2246543</v>
      </c>
      <c r="G374">
        <v>1</v>
      </c>
      <c r="H374">
        <v>3</v>
      </c>
      <c r="I374">
        <v>536</v>
      </c>
      <c r="J374">
        <v>1969</v>
      </c>
      <c r="K374" s="4">
        <v>45884</v>
      </c>
      <c r="L374" t="s">
        <v>30</v>
      </c>
      <c r="M374" t="s">
        <v>97</v>
      </c>
      <c r="N374">
        <v>1.84</v>
      </c>
      <c r="O374">
        <v>2219</v>
      </c>
      <c r="P374">
        <v>0.5</v>
      </c>
      <c r="Q374">
        <v>83</v>
      </c>
      <c r="R374">
        <v>592</v>
      </c>
    </row>
    <row r="375" spans="1:18" x14ac:dyDescent="0.2">
      <c r="A375">
        <v>0</v>
      </c>
      <c r="B375" t="s">
        <v>32</v>
      </c>
      <c r="E375" t="s">
        <v>51</v>
      </c>
      <c r="F375">
        <v>1021565</v>
      </c>
      <c r="G375">
        <v>3</v>
      </c>
      <c r="H375">
        <v>1</v>
      </c>
      <c r="I375">
        <v>796</v>
      </c>
      <c r="J375">
        <v>1956</v>
      </c>
      <c r="K375" s="4">
        <v>44392</v>
      </c>
      <c r="L375" t="s">
        <v>23</v>
      </c>
      <c r="M375" t="s">
        <v>78</v>
      </c>
      <c r="N375">
        <v>2.13</v>
      </c>
      <c r="O375">
        <v>1472</v>
      </c>
      <c r="P375">
        <v>3.84</v>
      </c>
      <c r="Q375">
        <v>181</v>
      </c>
      <c r="R375">
        <v>462</v>
      </c>
    </row>
    <row r="376" spans="1:18" x14ac:dyDescent="0.2">
      <c r="A376">
        <v>7</v>
      </c>
      <c r="B376" t="s">
        <v>41</v>
      </c>
      <c r="E376" t="s">
        <v>51</v>
      </c>
      <c r="F376">
        <v>1698479</v>
      </c>
      <c r="G376">
        <v>2</v>
      </c>
      <c r="H376">
        <v>2</v>
      </c>
      <c r="I376">
        <v>901</v>
      </c>
      <c r="J376">
        <v>2005</v>
      </c>
      <c r="K376" s="4">
        <v>45845</v>
      </c>
      <c r="L376" t="s">
        <v>23</v>
      </c>
      <c r="M376" t="s">
        <v>58</v>
      </c>
      <c r="N376">
        <v>1.51</v>
      </c>
      <c r="O376">
        <v>1999</v>
      </c>
      <c r="P376">
        <v>3.76</v>
      </c>
      <c r="Q376">
        <v>116</v>
      </c>
      <c r="R376">
        <v>619</v>
      </c>
    </row>
    <row r="377" spans="1:18" x14ac:dyDescent="0.2">
      <c r="A377">
        <v>9</v>
      </c>
      <c r="B377" t="s">
        <v>81</v>
      </c>
      <c r="E377" t="s">
        <v>29</v>
      </c>
      <c r="F377">
        <v>1060663</v>
      </c>
      <c r="G377">
        <v>2</v>
      </c>
      <c r="H377">
        <v>1</v>
      </c>
      <c r="I377">
        <v>512</v>
      </c>
      <c r="J377">
        <v>1971</v>
      </c>
      <c r="K377" s="4">
        <v>45059</v>
      </c>
      <c r="L377" t="s">
        <v>23</v>
      </c>
      <c r="M377" t="s">
        <v>58</v>
      </c>
      <c r="N377">
        <v>1.84</v>
      </c>
      <c r="O377">
        <v>848</v>
      </c>
      <c r="P377">
        <v>3.08</v>
      </c>
      <c r="Q377">
        <v>132</v>
      </c>
      <c r="R377">
        <v>687</v>
      </c>
    </row>
    <row r="378" spans="1:18" x14ac:dyDescent="0.2">
      <c r="A378">
        <v>9</v>
      </c>
      <c r="B378" t="s">
        <v>98</v>
      </c>
      <c r="E378" t="s">
        <v>29</v>
      </c>
      <c r="F378">
        <v>1875342</v>
      </c>
      <c r="G378">
        <v>3</v>
      </c>
      <c r="H378">
        <v>1</v>
      </c>
      <c r="I378">
        <v>262</v>
      </c>
      <c r="J378">
        <v>2017</v>
      </c>
      <c r="K378" s="4">
        <v>45451</v>
      </c>
      <c r="L378" t="s">
        <v>30</v>
      </c>
      <c r="M378" t="s">
        <v>60</v>
      </c>
      <c r="N378">
        <v>2</v>
      </c>
      <c r="O378">
        <v>1658</v>
      </c>
      <c r="P378">
        <v>3.17</v>
      </c>
      <c r="Q378">
        <v>234</v>
      </c>
      <c r="R378">
        <v>387</v>
      </c>
    </row>
    <row r="379" spans="1:18" x14ac:dyDescent="0.2">
      <c r="A379">
        <v>0</v>
      </c>
      <c r="B379" t="s">
        <v>61</v>
      </c>
      <c r="E379" t="s">
        <v>19</v>
      </c>
      <c r="F379">
        <v>2731401</v>
      </c>
      <c r="G379">
        <v>1</v>
      </c>
      <c r="H379">
        <v>3</v>
      </c>
      <c r="I379">
        <v>178</v>
      </c>
      <c r="J379">
        <v>1959</v>
      </c>
      <c r="K379" s="4">
        <v>44227</v>
      </c>
      <c r="L379" t="s">
        <v>30</v>
      </c>
      <c r="M379" t="s">
        <v>68</v>
      </c>
      <c r="N379">
        <v>2.9</v>
      </c>
      <c r="O379">
        <v>1874</v>
      </c>
      <c r="P379">
        <v>2.9</v>
      </c>
      <c r="Q379">
        <v>83</v>
      </c>
      <c r="R379">
        <v>676</v>
      </c>
    </row>
    <row r="380" spans="1:18" x14ac:dyDescent="0.2">
      <c r="A380">
        <v>1</v>
      </c>
      <c r="B380" t="s">
        <v>75</v>
      </c>
      <c r="E380" t="s">
        <v>19</v>
      </c>
      <c r="F380">
        <v>1742431</v>
      </c>
      <c r="G380">
        <v>5</v>
      </c>
      <c r="H380">
        <v>2</v>
      </c>
      <c r="I380">
        <v>535</v>
      </c>
      <c r="J380">
        <v>1955</v>
      </c>
      <c r="K380" s="4">
        <v>44619</v>
      </c>
      <c r="L380" t="s">
        <v>30</v>
      </c>
      <c r="M380" t="s">
        <v>89</v>
      </c>
      <c r="N380">
        <v>2.56</v>
      </c>
      <c r="O380">
        <v>1070</v>
      </c>
      <c r="P380">
        <v>0.68</v>
      </c>
      <c r="Q380">
        <v>290</v>
      </c>
      <c r="R380">
        <v>301</v>
      </c>
    </row>
    <row r="381" spans="1:18" x14ac:dyDescent="0.2">
      <c r="A381">
        <v>2</v>
      </c>
      <c r="B381" t="s">
        <v>65</v>
      </c>
      <c r="E381" t="s">
        <v>19</v>
      </c>
      <c r="F381">
        <v>1443977</v>
      </c>
      <c r="G381">
        <v>6</v>
      </c>
      <c r="H381">
        <v>1</v>
      </c>
      <c r="I381">
        <v>712</v>
      </c>
      <c r="J381">
        <v>1964</v>
      </c>
      <c r="K381" s="4">
        <v>45772</v>
      </c>
      <c r="L381" t="s">
        <v>30</v>
      </c>
      <c r="M381" t="s">
        <v>37</v>
      </c>
      <c r="N381">
        <v>1.88</v>
      </c>
      <c r="O381">
        <v>2155</v>
      </c>
      <c r="P381">
        <v>3.2</v>
      </c>
      <c r="Q381">
        <v>371</v>
      </c>
      <c r="R381">
        <v>599</v>
      </c>
    </row>
    <row r="382" spans="1:18" x14ac:dyDescent="0.2">
      <c r="A382">
        <v>2</v>
      </c>
      <c r="B382" t="s">
        <v>64</v>
      </c>
      <c r="E382" t="s">
        <v>51</v>
      </c>
      <c r="F382">
        <v>593088</v>
      </c>
      <c r="G382">
        <v>2</v>
      </c>
      <c r="H382">
        <v>1</v>
      </c>
      <c r="I382">
        <v>652</v>
      </c>
      <c r="J382">
        <v>1973</v>
      </c>
      <c r="K382" s="4">
        <v>45411</v>
      </c>
      <c r="L382" t="s">
        <v>30</v>
      </c>
      <c r="M382" t="s">
        <v>68</v>
      </c>
      <c r="N382">
        <v>2.0699999999999998</v>
      </c>
      <c r="O382">
        <v>1850</v>
      </c>
      <c r="P382">
        <v>3.88</v>
      </c>
      <c r="Q382">
        <v>166</v>
      </c>
      <c r="R382">
        <v>405</v>
      </c>
    </row>
    <row r="383" spans="1:18" x14ac:dyDescent="0.2">
      <c r="A383">
        <v>5</v>
      </c>
      <c r="B383" t="s">
        <v>38</v>
      </c>
      <c r="E383" t="s">
        <v>29</v>
      </c>
      <c r="F383">
        <v>675998</v>
      </c>
      <c r="G383">
        <v>6</v>
      </c>
      <c r="H383">
        <v>3</v>
      </c>
      <c r="I383">
        <v>396</v>
      </c>
      <c r="J383">
        <v>2017</v>
      </c>
      <c r="K383" s="4">
        <v>45855</v>
      </c>
      <c r="L383" t="s">
        <v>26</v>
      </c>
      <c r="M383" t="s">
        <v>33</v>
      </c>
      <c r="N383">
        <v>2.2200000000000002</v>
      </c>
      <c r="O383">
        <v>2285</v>
      </c>
      <c r="P383">
        <v>2.4500000000000002</v>
      </c>
      <c r="Q383">
        <v>389</v>
      </c>
      <c r="R383">
        <v>512</v>
      </c>
    </row>
    <row r="384" spans="1:18" x14ac:dyDescent="0.2">
      <c r="A384">
        <v>1</v>
      </c>
      <c r="B384" t="s">
        <v>94</v>
      </c>
      <c r="E384" t="s">
        <v>51</v>
      </c>
      <c r="F384">
        <v>1743784</v>
      </c>
      <c r="G384">
        <v>3</v>
      </c>
      <c r="H384">
        <v>3</v>
      </c>
      <c r="I384">
        <v>380</v>
      </c>
      <c r="J384">
        <v>2007</v>
      </c>
      <c r="K384" s="4">
        <v>44351</v>
      </c>
      <c r="L384" t="s">
        <v>23</v>
      </c>
      <c r="M384" t="s">
        <v>85</v>
      </c>
      <c r="N384">
        <v>2.56</v>
      </c>
      <c r="O384">
        <v>1826</v>
      </c>
      <c r="P384">
        <v>4.0199999999999996</v>
      </c>
      <c r="Q384">
        <v>185</v>
      </c>
      <c r="R384">
        <v>370</v>
      </c>
    </row>
    <row r="385" spans="1:18" x14ac:dyDescent="0.2">
      <c r="A385">
        <v>7</v>
      </c>
      <c r="B385" t="s">
        <v>22</v>
      </c>
      <c r="E385" t="s">
        <v>29</v>
      </c>
      <c r="F385">
        <v>1936053</v>
      </c>
      <c r="G385">
        <v>4</v>
      </c>
      <c r="H385">
        <v>1</v>
      </c>
      <c r="I385">
        <v>396</v>
      </c>
      <c r="J385">
        <v>1958</v>
      </c>
      <c r="K385" s="4">
        <v>45305</v>
      </c>
      <c r="L385" t="s">
        <v>20</v>
      </c>
      <c r="M385" t="s">
        <v>78</v>
      </c>
      <c r="N385">
        <v>2.99</v>
      </c>
      <c r="O385">
        <v>2467</v>
      </c>
      <c r="P385">
        <v>1.99</v>
      </c>
      <c r="Q385">
        <v>320</v>
      </c>
      <c r="R385">
        <v>604</v>
      </c>
    </row>
    <row r="386" spans="1:18" x14ac:dyDescent="0.2">
      <c r="A386">
        <v>4</v>
      </c>
      <c r="B386" t="s">
        <v>93</v>
      </c>
      <c r="E386" t="s">
        <v>51</v>
      </c>
      <c r="F386">
        <v>894240</v>
      </c>
      <c r="G386">
        <v>2</v>
      </c>
      <c r="H386">
        <v>2</v>
      </c>
      <c r="I386">
        <v>146</v>
      </c>
      <c r="J386">
        <v>1964</v>
      </c>
      <c r="K386" s="4">
        <v>44126</v>
      </c>
      <c r="L386" t="s">
        <v>26</v>
      </c>
      <c r="M386" t="s">
        <v>45</v>
      </c>
      <c r="N386">
        <v>1.92</v>
      </c>
      <c r="O386">
        <v>2436</v>
      </c>
      <c r="P386">
        <v>0.12</v>
      </c>
      <c r="Q386">
        <v>83</v>
      </c>
      <c r="R386">
        <v>431</v>
      </c>
    </row>
    <row r="387" spans="1:18" x14ac:dyDescent="0.2">
      <c r="A387">
        <v>6</v>
      </c>
      <c r="B387" t="s">
        <v>91</v>
      </c>
      <c r="E387" t="s">
        <v>29</v>
      </c>
      <c r="F387">
        <v>1670656</v>
      </c>
      <c r="G387">
        <v>1</v>
      </c>
      <c r="H387">
        <v>2</v>
      </c>
      <c r="I387">
        <v>542</v>
      </c>
      <c r="J387">
        <v>1981</v>
      </c>
      <c r="K387" s="4">
        <v>44354</v>
      </c>
      <c r="L387" t="s">
        <v>20</v>
      </c>
      <c r="M387" t="s">
        <v>42</v>
      </c>
      <c r="N387">
        <v>3.09</v>
      </c>
      <c r="O387">
        <v>2062</v>
      </c>
      <c r="P387">
        <v>3.17</v>
      </c>
      <c r="Q387">
        <v>134</v>
      </c>
      <c r="R387">
        <v>478</v>
      </c>
    </row>
    <row r="388" spans="1:18" x14ac:dyDescent="0.2">
      <c r="A388">
        <v>5</v>
      </c>
      <c r="B388" t="s">
        <v>49</v>
      </c>
      <c r="E388" t="s">
        <v>36</v>
      </c>
      <c r="F388">
        <v>668018</v>
      </c>
      <c r="G388">
        <v>4</v>
      </c>
      <c r="H388">
        <v>3</v>
      </c>
      <c r="I388">
        <v>527</v>
      </c>
      <c r="J388">
        <v>1970</v>
      </c>
      <c r="K388" s="4">
        <v>45128</v>
      </c>
      <c r="L388" t="s">
        <v>26</v>
      </c>
      <c r="M388" t="s">
        <v>66</v>
      </c>
      <c r="N388">
        <v>1.75</v>
      </c>
      <c r="O388">
        <v>1018</v>
      </c>
      <c r="P388">
        <v>4.66</v>
      </c>
      <c r="Q388">
        <v>342</v>
      </c>
      <c r="R388">
        <v>385</v>
      </c>
    </row>
    <row r="389" spans="1:18" x14ac:dyDescent="0.2">
      <c r="A389">
        <v>5</v>
      </c>
      <c r="B389" t="s">
        <v>32</v>
      </c>
      <c r="E389" t="s">
        <v>103</v>
      </c>
      <c r="F389">
        <v>2215007</v>
      </c>
      <c r="G389">
        <v>0</v>
      </c>
      <c r="H389">
        <v>1</v>
      </c>
      <c r="I389">
        <v>437</v>
      </c>
      <c r="J389">
        <v>1971</v>
      </c>
      <c r="K389" s="4">
        <v>44146</v>
      </c>
      <c r="L389" t="s">
        <v>30</v>
      </c>
      <c r="M389" t="s">
        <v>35</v>
      </c>
      <c r="N389">
        <v>1.94</v>
      </c>
      <c r="O389">
        <v>2287</v>
      </c>
      <c r="P389">
        <v>3.05</v>
      </c>
      <c r="Q389">
        <v>60</v>
      </c>
      <c r="R389">
        <v>660</v>
      </c>
    </row>
    <row r="390" spans="1:18" x14ac:dyDescent="0.2">
      <c r="A390">
        <v>2</v>
      </c>
      <c r="B390" t="s">
        <v>79</v>
      </c>
      <c r="E390" t="s">
        <v>29</v>
      </c>
      <c r="F390">
        <v>1237530</v>
      </c>
      <c r="G390">
        <v>5</v>
      </c>
      <c r="H390">
        <v>1</v>
      </c>
      <c r="I390">
        <v>65</v>
      </c>
      <c r="J390">
        <v>1996</v>
      </c>
      <c r="K390" s="4">
        <v>45469</v>
      </c>
      <c r="L390" t="s">
        <v>23</v>
      </c>
      <c r="M390" t="s">
        <v>82</v>
      </c>
      <c r="N390">
        <v>1.96</v>
      </c>
      <c r="O390">
        <v>1531</v>
      </c>
      <c r="P390">
        <v>1.1599999999999999</v>
      </c>
      <c r="Q390">
        <v>319</v>
      </c>
      <c r="R390">
        <v>672</v>
      </c>
    </row>
    <row r="391" spans="1:18" x14ac:dyDescent="0.2">
      <c r="A391">
        <v>1</v>
      </c>
      <c r="B391" t="s">
        <v>95</v>
      </c>
      <c r="E391" t="s">
        <v>36</v>
      </c>
      <c r="F391">
        <v>2690265</v>
      </c>
      <c r="G391">
        <v>3</v>
      </c>
      <c r="H391">
        <v>2</v>
      </c>
      <c r="I391">
        <v>214</v>
      </c>
      <c r="J391">
        <v>1966</v>
      </c>
      <c r="K391" s="4">
        <v>44578</v>
      </c>
      <c r="L391" t="s">
        <v>23</v>
      </c>
      <c r="M391" t="s">
        <v>24</v>
      </c>
      <c r="N391">
        <v>3.11</v>
      </c>
      <c r="O391">
        <v>2178</v>
      </c>
      <c r="P391">
        <v>0.9</v>
      </c>
      <c r="Q391">
        <v>195</v>
      </c>
      <c r="R391">
        <v>532</v>
      </c>
    </row>
    <row r="392" spans="1:18" x14ac:dyDescent="0.2">
      <c r="A392">
        <v>2</v>
      </c>
      <c r="B392" t="s">
        <v>92</v>
      </c>
      <c r="E392" t="s">
        <v>51</v>
      </c>
      <c r="F392">
        <v>806896</v>
      </c>
      <c r="G392">
        <v>1</v>
      </c>
      <c r="H392">
        <v>2</v>
      </c>
      <c r="I392">
        <v>366</v>
      </c>
      <c r="J392">
        <v>1969</v>
      </c>
      <c r="K392" s="4">
        <v>44743</v>
      </c>
      <c r="L392" t="s">
        <v>26</v>
      </c>
      <c r="M392" t="s">
        <v>54</v>
      </c>
      <c r="N392">
        <v>3.2</v>
      </c>
      <c r="O392">
        <v>1528</v>
      </c>
      <c r="P392">
        <v>4.63</v>
      </c>
      <c r="Q392">
        <v>82</v>
      </c>
      <c r="R392">
        <v>609</v>
      </c>
    </row>
    <row r="393" spans="1:18" x14ac:dyDescent="0.2">
      <c r="A393">
        <v>1</v>
      </c>
      <c r="B393" t="s">
        <v>32</v>
      </c>
      <c r="E393" t="s">
        <v>36</v>
      </c>
      <c r="F393">
        <v>2525698</v>
      </c>
      <c r="G393">
        <v>3</v>
      </c>
      <c r="H393">
        <v>2</v>
      </c>
      <c r="I393">
        <v>656</v>
      </c>
      <c r="J393">
        <v>1969</v>
      </c>
      <c r="K393" s="4">
        <v>45499</v>
      </c>
      <c r="L393" t="s">
        <v>30</v>
      </c>
      <c r="M393" t="s">
        <v>58</v>
      </c>
      <c r="N393">
        <v>3.46</v>
      </c>
      <c r="O393">
        <v>1147</v>
      </c>
      <c r="P393">
        <v>0.31</v>
      </c>
      <c r="Q393">
        <v>215</v>
      </c>
      <c r="R393">
        <v>392</v>
      </c>
    </row>
    <row r="394" spans="1:18" x14ac:dyDescent="0.2">
      <c r="A394">
        <v>3</v>
      </c>
      <c r="B394" t="s">
        <v>95</v>
      </c>
      <c r="E394" t="s">
        <v>36</v>
      </c>
      <c r="F394">
        <v>2854342</v>
      </c>
      <c r="G394">
        <v>4</v>
      </c>
      <c r="H394">
        <v>2</v>
      </c>
      <c r="I394">
        <v>282</v>
      </c>
      <c r="J394">
        <v>1994</v>
      </c>
      <c r="K394" s="4">
        <v>45010</v>
      </c>
      <c r="L394" t="s">
        <v>20</v>
      </c>
      <c r="M394" t="s">
        <v>59</v>
      </c>
      <c r="N394">
        <v>2.08</v>
      </c>
      <c r="O394">
        <v>1189</v>
      </c>
      <c r="P394">
        <v>4.8499999999999996</v>
      </c>
      <c r="Q394">
        <v>189</v>
      </c>
      <c r="R394">
        <v>665</v>
      </c>
    </row>
    <row r="395" spans="1:18" x14ac:dyDescent="0.2">
      <c r="A395">
        <v>4</v>
      </c>
      <c r="B395" t="s">
        <v>65</v>
      </c>
      <c r="E395" t="s">
        <v>36</v>
      </c>
      <c r="F395">
        <v>823817</v>
      </c>
      <c r="G395">
        <v>4</v>
      </c>
      <c r="H395">
        <v>2</v>
      </c>
      <c r="I395">
        <v>663</v>
      </c>
      <c r="J395">
        <v>2002</v>
      </c>
      <c r="K395" s="4">
        <v>44500</v>
      </c>
      <c r="L395" t="s">
        <v>30</v>
      </c>
      <c r="M395" t="s">
        <v>77</v>
      </c>
      <c r="N395">
        <v>2.7</v>
      </c>
      <c r="O395">
        <v>1627</v>
      </c>
      <c r="P395">
        <v>4.2300000000000004</v>
      </c>
      <c r="Q395">
        <v>248</v>
      </c>
      <c r="R395">
        <v>532</v>
      </c>
    </row>
    <row r="396" spans="1:18" x14ac:dyDescent="0.2">
      <c r="A396">
        <v>1</v>
      </c>
      <c r="B396" t="s">
        <v>71</v>
      </c>
      <c r="E396" t="s">
        <v>19</v>
      </c>
      <c r="F396">
        <v>2649840</v>
      </c>
      <c r="G396">
        <v>2</v>
      </c>
      <c r="H396">
        <v>3</v>
      </c>
      <c r="I396">
        <v>581</v>
      </c>
      <c r="J396">
        <v>2000</v>
      </c>
      <c r="K396" s="4">
        <v>44446</v>
      </c>
      <c r="L396" t="s">
        <v>30</v>
      </c>
      <c r="M396" t="s">
        <v>89</v>
      </c>
      <c r="N396">
        <v>2.7</v>
      </c>
      <c r="O396">
        <v>1796</v>
      </c>
      <c r="P396">
        <v>3.62</v>
      </c>
      <c r="Q396">
        <v>67</v>
      </c>
      <c r="R396">
        <v>360</v>
      </c>
    </row>
    <row r="397" spans="1:18" x14ac:dyDescent="0.2">
      <c r="A397">
        <v>3</v>
      </c>
      <c r="B397" t="s">
        <v>81</v>
      </c>
      <c r="E397" t="s">
        <v>19</v>
      </c>
      <c r="F397">
        <v>2654387</v>
      </c>
      <c r="G397">
        <v>0</v>
      </c>
      <c r="H397">
        <v>1</v>
      </c>
      <c r="I397">
        <v>763</v>
      </c>
      <c r="J397">
        <v>1990</v>
      </c>
      <c r="K397" s="4">
        <v>45585</v>
      </c>
      <c r="L397" t="s">
        <v>23</v>
      </c>
      <c r="M397" t="s">
        <v>68</v>
      </c>
      <c r="N397">
        <v>2.42</v>
      </c>
      <c r="O397">
        <v>1602</v>
      </c>
      <c r="P397">
        <v>0.12</v>
      </c>
      <c r="Q397">
        <v>40</v>
      </c>
      <c r="R397">
        <v>469</v>
      </c>
    </row>
    <row r="398" spans="1:18" x14ac:dyDescent="0.2">
      <c r="A398">
        <v>7</v>
      </c>
      <c r="B398" t="s">
        <v>43</v>
      </c>
      <c r="E398" t="s">
        <v>51</v>
      </c>
      <c r="F398">
        <v>2972240</v>
      </c>
      <c r="G398">
        <v>4</v>
      </c>
      <c r="H398">
        <v>1</v>
      </c>
      <c r="I398">
        <v>944</v>
      </c>
      <c r="J398">
        <v>2000</v>
      </c>
      <c r="K398" s="4">
        <v>45452</v>
      </c>
      <c r="L398" t="s">
        <v>20</v>
      </c>
      <c r="M398" t="s">
        <v>76</v>
      </c>
      <c r="N398">
        <v>2.94</v>
      </c>
      <c r="O398">
        <v>1489</v>
      </c>
      <c r="P398">
        <v>2.66</v>
      </c>
      <c r="Q398">
        <v>244</v>
      </c>
      <c r="R398">
        <v>638</v>
      </c>
    </row>
    <row r="399" spans="1:18" x14ac:dyDescent="0.2">
      <c r="A399">
        <v>2</v>
      </c>
      <c r="B399" t="s">
        <v>44</v>
      </c>
      <c r="E399" t="s">
        <v>19</v>
      </c>
      <c r="F399">
        <v>1937005</v>
      </c>
      <c r="G399">
        <v>1</v>
      </c>
      <c r="H399">
        <v>1</v>
      </c>
      <c r="I399">
        <v>770</v>
      </c>
      <c r="J399">
        <v>1961</v>
      </c>
      <c r="K399" s="4">
        <v>45326</v>
      </c>
      <c r="L399" t="s">
        <v>26</v>
      </c>
      <c r="M399" t="s">
        <v>97</v>
      </c>
      <c r="N399">
        <v>2.78</v>
      </c>
      <c r="O399">
        <v>2120</v>
      </c>
      <c r="P399">
        <v>1.34</v>
      </c>
      <c r="Q399">
        <v>84</v>
      </c>
      <c r="R399">
        <v>506</v>
      </c>
    </row>
    <row r="400" spans="1:18" x14ac:dyDescent="0.2">
      <c r="A400">
        <v>4</v>
      </c>
      <c r="B400" t="s">
        <v>83</v>
      </c>
      <c r="E400" t="s">
        <v>29</v>
      </c>
      <c r="F400">
        <v>2508612</v>
      </c>
      <c r="G400">
        <v>1</v>
      </c>
      <c r="H400">
        <v>3</v>
      </c>
      <c r="I400">
        <v>69</v>
      </c>
      <c r="J400">
        <v>1989</v>
      </c>
      <c r="K400" s="4">
        <v>44691</v>
      </c>
      <c r="L400" t="s">
        <v>30</v>
      </c>
      <c r="M400" t="s">
        <v>24</v>
      </c>
      <c r="N400">
        <v>3.43</v>
      </c>
      <c r="O400">
        <v>2332</v>
      </c>
      <c r="P400">
        <v>3.67</v>
      </c>
      <c r="Q400">
        <v>50</v>
      </c>
      <c r="R400">
        <v>564</v>
      </c>
    </row>
    <row r="401" spans="1:18" x14ac:dyDescent="0.2">
      <c r="A401">
        <v>4</v>
      </c>
      <c r="B401" t="s">
        <v>87</v>
      </c>
      <c r="E401" t="s">
        <v>29</v>
      </c>
      <c r="F401">
        <v>2419234</v>
      </c>
      <c r="G401">
        <v>3</v>
      </c>
      <c r="H401">
        <v>2</v>
      </c>
      <c r="I401">
        <v>326</v>
      </c>
      <c r="J401">
        <v>1952</v>
      </c>
      <c r="K401" s="4">
        <v>44536</v>
      </c>
      <c r="L401" t="s">
        <v>20</v>
      </c>
      <c r="M401" t="s">
        <v>33</v>
      </c>
      <c r="N401">
        <v>1.54</v>
      </c>
      <c r="O401">
        <v>2305</v>
      </c>
      <c r="P401">
        <v>3.9</v>
      </c>
      <c r="Q401">
        <v>128</v>
      </c>
      <c r="R401">
        <v>698</v>
      </c>
    </row>
    <row r="402" spans="1:18" x14ac:dyDescent="0.2">
      <c r="A402">
        <v>7</v>
      </c>
      <c r="B402" t="s">
        <v>94</v>
      </c>
      <c r="E402" t="s">
        <v>51</v>
      </c>
      <c r="F402">
        <v>823952</v>
      </c>
      <c r="G402">
        <v>2</v>
      </c>
      <c r="H402">
        <v>2</v>
      </c>
      <c r="I402">
        <v>184</v>
      </c>
      <c r="J402">
        <v>2003</v>
      </c>
      <c r="K402" s="4">
        <v>44375</v>
      </c>
      <c r="L402" t="s">
        <v>30</v>
      </c>
      <c r="M402" t="s">
        <v>74</v>
      </c>
      <c r="N402">
        <v>3.12</v>
      </c>
      <c r="O402">
        <v>2146</v>
      </c>
      <c r="P402">
        <v>4.09</v>
      </c>
      <c r="Q402">
        <v>181</v>
      </c>
      <c r="R402">
        <v>603</v>
      </c>
    </row>
    <row r="403" spans="1:18" x14ac:dyDescent="0.2">
      <c r="A403">
        <v>8</v>
      </c>
      <c r="B403" t="s">
        <v>49</v>
      </c>
      <c r="E403" t="s">
        <v>19</v>
      </c>
      <c r="F403">
        <v>533729</v>
      </c>
      <c r="G403">
        <v>5</v>
      </c>
      <c r="H403">
        <v>2</v>
      </c>
      <c r="I403">
        <v>472</v>
      </c>
      <c r="J403">
        <v>2013</v>
      </c>
      <c r="K403" s="4">
        <v>45666</v>
      </c>
      <c r="L403" t="s">
        <v>20</v>
      </c>
      <c r="M403" t="s">
        <v>21</v>
      </c>
      <c r="N403">
        <v>1.91</v>
      </c>
      <c r="O403">
        <v>1523</v>
      </c>
      <c r="P403">
        <v>0.12</v>
      </c>
      <c r="Q403">
        <v>396</v>
      </c>
      <c r="R403">
        <v>496</v>
      </c>
    </row>
    <row r="404" spans="1:18" x14ac:dyDescent="0.2">
      <c r="A404">
        <v>4</v>
      </c>
      <c r="B404" t="s">
        <v>96</v>
      </c>
      <c r="E404" t="s">
        <v>51</v>
      </c>
      <c r="F404">
        <v>2870727</v>
      </c>
      <c r="G404">
        <v>3</v>
      </c>
      <c r="H404">
        <v>2</v>
      </c>
      <c r="I404">
        <v>587</v>
      </c>
      <c r="J404">
        <v>1968</v>
      </c>
      <c r="K404" s="4">
        <v>45247</v>
      </c>
      <c r="L404" t="s">
        <v>26</v>
      </c>
      <c r="M404" t="s">
        <v>69</v>
      </c>
      <c r="N404">
        <v>2.35</v>
      </c>
      <c r="O404">
        <v>2219</v>
      </c>
      <c r="P404">
        <v>3.6</v>
      </c>
      <c r="Q404">
        <v>133</v>
      </c>
      <c r="R404">
        <v>351</v>
      </c>
    </row>
    <row r="405" spans="1:18" x14ac:dyDescent="0.2">
      <c r="A405">
        <v>1</v>
      </c>
      <c r="B405" t="s">
        <v>39</v>
      </c>
      <c r="E405" t="s">
        <v>51</v>
      </c>
      <c r="F405">
        <v>2975534</v>
      </c>
      <c r="G405">
        <v>4</v>
      </c>
      <c r="H405">
        <v>2</v>
      </c>
      <c r="I405">
        <v>331</v>
      </c>
      <c r="J405">
        <v>1956</v>
      </c>
      <c r="K405" s="4">
        <v>44796</v>
      </c>
      <c r="L405" t="s">
        <v>23</v>
      </c>
      <c r="M405" t="s">
        <v>97</v>
      </c>
      <c r="N405">
        <v>2.2200000000000002</v>
      </c>
      <c r="O405">
        <v>887</v>
      </c>
      <c r="P405">
        <v>4.5199999999999996</v>
      </c>
      <c r="Q405">
        <v>339</v>
      </c>
      <c r="R405">
        <v>313</v>
      </c>
    </row>
    <row r="406" spans="1:18" x14ac:dyDescent="0.2">
      <c r="A406">
        <v>5</v>
      </c>
      <c r="B406" t="s">
        <v>88</v>
      </c>
      <c r="E406" t="s">
        <v>51</v>
      </c>
      <c r="F406">
        <v>1358884</v>
      </c>
      <c r="G406">
        <v>3</v>
      </c>
      <c r="H406">
        <v>1</v>
      </c>
      <c r="I406">
        <v>329</v>
      </c>
      <c r="J406">
        <v>1954</v>
      </c>
      <c r="K406" s="4">
        <v>44872</v>
      </c>
      <c r="L406" t="s">
        <v>23</v>
      </c>
      <c r="M406" t="s">
        <v>97</v>
      </c>
      <c r="N406">
        <v>1.64</v>
      </c>
      <c r="O406">
        <v>892</v>
      </c>
      <c r="P406">
        <v>2.4300000000000002</v>
      </c>
      <c r="Q406">
        <v>291</v>
      </c>
      <c r="R406">
        <v>311</v>
      </c>
    </row>
    <row r="407" spans="1:18" x14ac:dyDescent="0.2">
      <c r="A407">
        <v>0</v>
      </c>
      <c r="B407" t="s">
        <v>57</v>
      </c>
      <c r="E407" t="s">
        <v>51</v>
      </c>
      <c r="F407">
        <v>1023361</v>
      </c>
      <c r="G407">
        <v>-2</v>
      </c>
      <c r="H407">
        <v>3</v>
      </c>
      <c r="I407">
        <v>917</v>
      </c>
      <c r="J407">
        <v>1994</v>
      </c>
      <c r="K407" s="4">
        <v>45469</v>
      </c>
      <c r="L407" t="s">
        <v>20</v>
      </c>
      <c r="M407" t="s">
        <v>58</v>
      </c>
      <c r="N407">
        <v>2.68</v>
      </c>
      <c r="O407">
        <v>2242</v>
      </c>
      <c r="P407">
        <v>3.18</v>
      </c>
      <c r="Q407">
        <v>276</v>
      </c>
      <c r="R407">
        <v>572</v>
      </c>
    </row>
    <row r="408" spans="1:18" x14ac:dyDescent="0.2">
      <c r="A408">
        <v>5</v>
      </c>
      <c r="B408" t="s">
        <v>95</v>
      </c>
      <c r="E408" t="s">
        <v>51</v>
      </c>
      <c r="F408">
        <v>1061368</v>
      </c>
      <c r="G408">
        <v>6</v>
      </c>
      <c r="H408">
        <v>1</v>
      </c>
      <c r="I408">
        <v>590</v>
      </c>
      <c r="J408">
        <v>2000</v>
      </c>
      <c r="K408" s="4">
        <v>44388</v>
      </c>
      <c r="L408" t="s">
        <v>26</v>
      </c>
      <c r="M408" t="s">
        <v>52</v>
      </c>
      <c r="N408">
        <v>2.4</v>
      </c>
      <c r="O408">
        <v>1758</v>
      </c>
      <c r="P408">
        <v>1.94</v>
      </c>
      <c r="Q408">
        <v>348</v>
      </c>
      <c r="R408">
        <v>364</v>
      </c>
    </row>
    <row r="409" spans="1:18" x14ac:dyDescent="0.2">
      <c r="A409">
        <v>3</v>
      </c>
      <c r="B409" t="s">
        <v>75</v>
      </c>
      <c r="E409" t="s">
        <v>19</v>
      </c>
      <c r="F409">
        <v>2395106</v>
      </c>
      <c r="G409">
        <v>3</v>
      </c>
      <c r="H409">
        <v>1</v>
      </c>
      <c r="I409">
        <v>903</v>
      </c>
      <c r="J409">
        <v>2005</v>
      </c>
      <c r="K409" s="4">
        <v>44087</v>
      </c>
      <c r="L409" t="s">
        <v>23</v>
      </c>
      <c r="M409" t="s">
        <v>37</v>
      </c>
      <c r="N409">
        <v>2.54</v>
      </c>
      <c r="O409">
        <v>1022</v>
      </c>
      <c r="P409">
        <v>3.57</v>
      </c>
      <c r="Q409">
        <v>93</v>
      </c>
      <c r="R409">
        <v>644</v>
      </c>
    </row>
    <row r="410" spans="1:18" x14ac:dyDescent="0.2">
      <c r="A410">
        <v>7</v>
      </c>
      <c r="B410" t="s">
        <v>90</v>
      </c>
      <c r="E410" t="s">
        <v>51</v>
      </c>
      <c r="F410">
        <v>1718826</v>
      </c>
      <c r="G410">
        <v>1</v>
      </c>
      <c r="H410">
        <v>1</v>
      </c>
      <c r="I410">
        <v>916</v>
      </c>
      <c r="J410">
        <v>2017</v>
      </c>
      <c r="K410" s="4">
        <v>45823</v>
      </c>
      <c r="L410" t="s">
        <v>26</v>
      </c>
      <c r="M410" t="s">
        <v>35</v>
      </c>
      <c r="N410">
        <v>2.1</v>
      </c>
      <c r="O410">
        <v>2309</v>
      </c>
      <c r="P410">
        <v>1.87</v>
      </c>
      <c r="Q410">
        <v>122</v>
      </c>
      <c r="R410">
        <v>361</v>
      </c>
    </row>
    <row r="411" spans="1:18" x14ac:dyDescent="0.2">
      <c r="A411">
        <v>3</v>
      </c>
      <c r="B411" t="s">
        <v>53</v>
      </c>
      <c r="E411" t="s">
        <v>19</v>
      </c>
      <c r="F411">
        <v>2857533</v>
      </c>
      <c r="G411">
        <v>3</v>
      </c>
      <c r="H411">
        <v>2</v>
      </c>
      <c r="I411">
        <v>924</v>
      </c>
      <c r="J411">
        <v>2009</v>
      </c>
      <c r="K411" s="4">
        <v>44987</v>
      </c>
      <c r="L411" t="s">
        <v>23</v>
      </c>
      <c r="M411" t="s">
        <v>70</v>
      </c>
      <c r="N411">
        <v>3.12</v>
      </c>
      <c r="O411">
        <v>1580</v>
      </c>
      <c r="P411">
        <v>4.2</v>
      </c>
      <c r="Q411">
        <v>255</v>
      </c>
      <c r="R411">
        <v>589</v>
      </c>
    </row>
    <row r="412" spans="1:18" x14ac:dyDescent="0.2">
      <c r="A412">
        <v>1</v>
      </c>
      <c r="B412" t="s">
        <v>91</v>
      </c>
      <c r="E412" t="s">
        <v>51</v>
      </c>
      <c r="F412">
        <v>2631961</v>
      </c>
      <c r="G412">
        <v>1</v>
      </c>
      <c r="H412">
        <v>3</v>
      </c>
      <c r="I412">
        <v>845</v>
      </c>
      <c r="J412">
        <v>2001</v>
      </c>
      <c r="K412" s="4">
        <v>44198</v>
      </c>
      <c r="L412" t="s">
        <v>23</v>
      </c>
      <c r="M412" t="s">
        <v>97</v>
      </c>
      <c r="N412">
        <v>2.15</v>
      </c>
      <c r="O412">
        <v>2462</v>
      </c>
      <c r="P412">
        <v>1.31</v>
      </c>
      <c r="Q412">
        <v>148</v>
      </c>
      <c r="R412">
        <v>506</v>
      </c>
    </row>
    <row r="413" spans="1:18" x14ac:dyDescent="0.2">
      <c r="A413">
        <v>9</v>
      </c>
      <c r="B413" t="s">
        <v>99</v>
      </c>
      <c r="E413" t="s">
        <v>36</v>
      </c>
      <c r="F413">
        <v>1414764</v>
      </c>
      <c r="G413">
        <v>3</v>
      </c>
      <c r="H413">
        <v>2</v>
      </c>
      <c r="I413">
        <v>177</v>
      </c>
      <c r="J413">
        <v>1981</v>
      </c>
      <c r="K413" s="4">
        <v>45192</v>
      </c>
      <c r="L413" t="s">
        <v>30</v>
      </c>
      <c r="M413" t="s">
        <v>37</v>
      </c>
      <c r="N413">
        <v>2.02</v>
      </c>
      <c r="O413">
        <v>1990</v>
      </c>
      <c r="P413">
        <v>4.09</v>
      </c>
      <c r="Q413">
        <v>83</v>
      </c>
      <c r="R413">
        <v>693</v>
      </c>
    </row>
    <row r="414" spans="1:18" x14ac:dyDescent="0.2">
      <c r="A414">
        <v>4</v>
      </c>
      <c r="B414" t="s">
        <v>86</v>
      </c>
      <c r="E414" t="s">
        <v>29</v>
      </c>
      <c r="F414">
        <v>783424</v>
      </c>
      <c r="G414">
        <v>0</v>
      </c>
      <c r="H414">
        <v>3</v>
      </c>
      <c r="I414">
        <v>313</v>
      </c>
      <c r="J414">
        <v>1963</v>
      </c>
      <c r="K414" s="4">
        <v>45259</v>
      </c>
      <c r="L414" t="s">
        <v>26</v>
      </c>
      <c r="M414" t="s">
        <v>97</v>
      </c>
      <c r="N414">
        <v>2.2799999999999998</v>
      </c>
      <c r="O414">
        <v>1258</v>
      </c>
      <c r="P414">
        <v>1.66</v>
      </c>
      <c r="Q414">
        <v>42</v>
      </c>
      <c r="R414">
        <v>344</v>
      </c>
    </row>
    <row r="415" spans="1:18" x14ac:dyDescent="0.2">
      <c r="A415">
        <v>5</v>
      </c>
      <c r="B415" t="s">
        <v>50</v>
      </c>
      <c r="E415" t="s">
        <v>19</v>
      </c>
      <c r="F415">
        <v>414771</v>
      </c>
      <c r="G415">
        <v>6</v>
      </c>
      <c r="H415">
        <v>1</v>
      </c>
      <c r="I415">
        <v>225</v>
      </c>
      <c r="J415">
        <v>1997</v>
      </c>
      <c r="K415" s="4">
        <v>44815</v>
      </c>
      <c r="L415" t="s">
        <v>23</v>
      </c>
      <c r="M415" t="s">
        <v>89</v>
      </c>
      <c r="N415">
        <v>2.59</v>
      </c>
      <c r="O415">
        <v>1036</v>
      </c>
      <c r="P415">
        <v>4.84</v>
      </c>
      <c r="Q415">
        <v>354</v>
      </c>
      <c r="R415">
        <v>675</v>
      </c>
    </row>
    <row r="416" spans="1:18" x14ac:dyDescent="0.2">
      <c r="A416">
        <v>6</v>
      </c>
      <c r="B416" t="s">
        <v>104</v>
      </c>
      <c r="E416" t="s">
        <v>19</v>
      </c>
      <c r="F416">
        <v>2045717</v>
      </c>
      <c r="G416">
        <v>3</v>
      </c>
      <c r="H416">
        <v>1</v>
      </c>
      <c r="I416">
        <v>129</v>
      </c>
      <c r="J416">
        <v>1983</v>
      </c>
      <c r="K416" s="4">
        <v>44509</v>
      </c>
      <c r="L416" t="s">
        <v>30</v>
      </c>
      <c r="M416" t="s">
        <v>60</v>
      </c>
      <c r="N416">
        <v>2.2400000000000002</v>
      </c>
      <c r="O416">
        <v>1643</v>
      </c>
      <c r="P416">
        <v>1.06</v>
      </c>
      <c r="Q416">
        <v>237</v>
      </c>
      <c r="R416">
        <v>332</v>
      </c>
    </row>
    <row r="417" spans="1:18" x14ac:dyDescent="0.2">
      <c r="A417">
        <v>0</v>
      </c>
      <c r="B417" t="s">
        <v>44</v>
      </c>
      <c r="E417" t="s">
        <v>19</v>
      </c>
      <c r="F417">
        <v>530114</v>
      </c>
      <c r="G417">
        <v>2</v>
      </c>
      <c r="H417">
        <v>1</v>
      </c>
      <c r="I417">
        <v>95</v>
      </c>
      <c r="J417">
        <v>1980</v>
      </c>
      <c r="K417" s="4">
        <v>45624</v>
      </c>
      <c r="L417" t="s">
        <v>23</v>
      </c>
      <c r="M417" t="s">
        <v>70</v>
      </c>
      <c r="N417">
        <v>1.58</v>
      </c>
      <c r="O417">
        <v>2260</v>
      </c>
      <c r="P417">
        <v>3.75</v>
      </c>
      <c r="Q417">
        <v>198</v>
      </c>
      <c r="R417">
        <v>627</v>
      </c>
    </row>
    <row r="418" spans="1:18" x14ac:dyDescent="0.2">
      <c r="A418">
        <v>2</v>
      </c>
      <c r="B418" t="s">
        <v>100</v>
      </c>
      <c r="E418" t="s">
        <v>51</v>
      </c>
      <c r="F418">
        <v>1503946</v>
      </c>
      <c r="G418">
        <v>1</v>
      </c>
      <c r="H418">
        <v>1</v>
      </c>
      <c r="I418">
        <v>874</v>
      </c>
      <c r="J418">
        <v>1955</v>
      </c>
      <c r="K418" s="4">
        <v>44620</v>
      </c>
      <c r="L418" t="s">
        <v>30</v>
      </c>
      <c r="M418" t="s">
        <v>35</v>
      </c>
      <c r="N418">
        <v>3.47</v>
      </c>
      <c r="O418">
        <v>1980</v>
      </c>
      <c r="P418">
        <v>0.8</v>
      </c>
      <c r="Q418">
        <v>125</v>
      </c>
      <c r="R418">
        <v>586</v>
      </c>
    </row>
    <row r="419" spans="1:18" x14ac:dyDescent="0.2">
      <c r="A419">
        <v>4</v>
      </c>
      <c r="B419" t="s">
        <v>104</v>
      </c>
      <c r="E419" t="s">
        <v>19</v>
      </c>
      <c r="F419">
        <v>2071194</v>
      </c>
      <c r="G419">
        <v>3</v>
      </c>
      <c r="H419">
        <v>2</v>
      </c>
      <c r="I419">
        <v>303</v>
      </c>
      <c r="J419">
        <v>1952</v>
      </c>
      <c r="K419" s="4">
        <v>45105</v>
      </c>
      <c r="L419" t="s">
        <v>23</v>
      </c>
      <c r="M419" t="s">
        <v>77</v>
      </c>
      <c r="N419">
        <v>2.59</v>
      </c>
      <c r="O419">
        <v>2430</v>
      </c>
      <c r="P419">
        <v>3.81</v>
      </c>
      <c r="Q419">
        <v>174</v>
      </c>
      <c r="R419">
        <v>382</v>
      </c>
    </row>
    <row r="420" spans="1:18" x14ac:dyDescent="0.2">
      <c r="A420">
        <v>2</v>
      </c>
      <c r="B420" t="s">
        <v>65</v>
      </c>
      <c r="E420" t="s">
        <v>36</v>
      </c>
      <c r="F420">
        <v>2785177</v>
      </c>
      <c r="G420">
        <v>3</v>
      </c>
      <c r="H420">
        <v>3</v>
      </c>
      <c r="I420">
        <v>262</v>
      </c>
      <c r="J420">
        <v>1963</v>
      </c>
      <c r="K420" s="4">
        <v>44376</v>
      </c>
      <c r="L420" t="s">
        <v>23</v>
      </c>
      <c r="M420" t="s">
        <v>42</v>
      </c>
      <c r="N420">
        <v>3.28</v>
      </c>
      <c r="O420">
        <v>836</v>
      </c>
      <c r="P420">
        <v>4.46</v>
      </c>
      <c r="Q420">
        <v>298</v>
      </c>
      <c r="R420">
        <v>309</v>
      </c>
    </row>
    <row r="421" spans="1:18" x14ac:dyDescent="0.2">
      <c r="A421">
        <v>9</v>
      </c>
      <c r="B421" t="s">
        <v>43</v>
      </c>
      <c r="E421" t="s">
        <v>29</v>
      </c>
      <c r="F421">
        <v>857785</v>
      </c>
      <c r="G421">
        <v>4</v>
      </c>
      <c r="H421">
        <v>2</v>
      </c>
      <c r="I421">
        <v>920</v>
      </c>
      <c r="J421">
        <v>2013</v>
      </c>
      <c r="K421" s="4">
        <v>44289</v>
      </c>
      <c r="L421" t="s">
        <v>23</v>
      </c>
      <c r="M421" t="s">
        <v>59</v>
      </c>
      <c r="N421">
        <v>2.96</v>
      </c>
      <c r="O421">
        <v>2314</v>
      </c>
      <c r="P421">
        <v>1.36</v>
      </c>
      <c r="Q421">
        <v>196</v>
      </c>
      <c r="R421">
        <v>382</v>
      </c>
    </row>
    <row r="422" spans="1:18" x14ac:dyDescent="0.2">
      <c r="A422">
        <v>2</v>
      </c>
      <c r="B422" t="s">
        <v>92</v>
      </c>
      <c r="E422" t="s">
        <v>51</v>
      </c>
      <c r="F422">
        <v>860871</v>
      </c>
      <c r="G422">
        <v>1</v>
      </c>
      <c r="H422">
        <v>2</v>
      </c>
      <c r="I422">
        <v>108</v>
      </c>
      <c r="J422">
        <v>1989</v>
      </c>
      <c r="K422" s="4">
        <v>45031</v>
      </c>
      <c r="L422" t="s">
        <v>26</v>
      </c>
      <c r="M422" t="s">
        <v>42</v>
      </c>
      <c r="N422">
        <v>2.91</v>
      </c>
      <c r="O422">
        <v>2449</v>
      </c>
      <c r="P422">
        <v>3.76</v>
      </c>
      <c r="Q422">
        <v>99</v>
      </c>
      <c r="R422">
        <v>391</v>
      </c>
    </row>
    <row r="423" spans="1:18" x14ac:dyDescent="0.2">
      <c r="A423">
        <v>3</v>
      </c>
      <c r="B423" t="s">
        <v>43</v>
      </c>
      <c r="E423" t="s">
        <v>51</v>
      </c>
      <c r="F423">
        <v>1584086</v>
      </c>
      <c r="G423">
        <v>1</v>
      </c>
      <c r="H423">
        <v>2</v>
      </c>
      <c r="I423">
        <v>518</v>
      </c>
      <c r="J423">
        <v>1967</v>
      </c>
      <c r="K423" s="4">
        <v>45387</v>
      </c>
      <c r="L423" t="s">
        <v>26</v>
      </c>
      <c r="M423" t="s">
        <v>77</v>
      </c>
      <c r="N423">
        <v>1.6</v>
      </c>
      <c r="O423">
        <v>1614</v>
      </c>
      <c r="P423">
        <v>4.87</v>
      </c>
      <c r="Q423">
        <v>44</v>
      </c>
      <c r="R423">
        <v>309</v>
      </c>
    </row>
    <row r="424" spans="1:18" x14ac:dyDescent="0.2">
      <c r="A424">
        <v>9</v>
      </c>
      <c r="B424" t="s">
        <v>100</v>
      </c>
      <c r="E424" t="s">
        <v>36</v>
      </c>
      <c r="F424">
        <v>482226</v>
      </c>
      <c r="G424">
        <v>6</v>
      </c>
      <c r="H424">
        <v>1</v>
      </c>
      <c r="I424">
        <v>297</v>
      </c>
      <c r="J424">
        <v>2002</v>
      </c>
      <c r="K424" s="4">
        <v>44321</v>
      </c>
      <c r="L424" t="s">
        <v>30</v>
      </c>
      <c r="M424" t="s">
        <v>69</v>
      </c>
      <c r="N424">
        <v>3.28</v>
      </c>
      <c r="O424">
        <v>2308</v>
      </c>
      <c r="P424">
        <v>1.51</v>
      </c>
      <c r="Q424">
        <v>335</v>
      </c>
      <c r="R424">
        <v>423</v>
      </c>
    </row>
    <row r="425" spans="1:18" x14ac:dyDescent="0.2">
      <c r="A425">
        <v>0</v>
      </c>
      <c r="B425" t="s">
        <v>81</v>
      </c>
      <c r="E425" t="s">
        <v>51</v>
      </c>
      <c r="F425">
        <v>2901010</v>
      </c>
      <c r="G425">
        <v>3</v>
      </c>
      <c r="H425">
        <v>3</v>
      </c>
      <c r="I425">
        <v>444</v>
      </c>
      <c r="J425">
        <v>1958</v>
      </c>
      <c r="K425" s="4">
        <v>44368</v>
      </c>
      <c r="L425" t="s">
        <v>30</v>
      </c>
      <c r="M425" t="s">
        <v>37</v>
      </c>
      <c r="N425">
        <v>2.61</v>
      </c>
      <c r="O425">
        <v>1042</v>
      </c>
      <c r="P425">
        <v>1.49</v>
      </c>
      <c r="Q425">
        <v>118</v>
      </c>
      <c r="R425">
        <v>387</v>
      </c>
    </row>
    <row r="426" spans="1:18" x14ac:dyDescent="0.2">
      <c r="A426">
        <v>4</v>
      </c>
      <c r="B426" t="s">
        <v>87</v>
      </c>
      <c r="E426" t="s">
        <v>51</v>
      </c>
      <c r="F426">
        <v>2297686</v>
      </c>
      <c r="G426">
        <v>3</v>
      </c>
      <c r="H426">
        <v>3</v>
      </c>
      <c r="I426">
        <v>145</v>
      </c>
      <c r="J426">
        <v>1988</v>
      </c>
      <c r="K426" s="4">
        <v>44521</v>
      </c>
      <c r="L426" t="s">
        <v>23</v>
      </c>
      <c r="M426" t="s">
        <v>27</v>
      </c>
      <c r="N426">
        <v>1.6</v>
      </c>
      <c r="O426">
        <v>2208</v>
      </c>
      <c r="P426">
        <v>3.81</v>
      </c>
      <c r="Q426">
        <v>91</v>
      </c>
      <c r="R426">
        <v>338</v>
      </c>
    </row>
    <row r="427" spans="1:18" x14ac:dyDescent="0.2">
      <c r="A427">
        <v>0</v>
      </c>
      <c r="B427" t="s">
        <v>34</v>
      </c>
      <c r="E427" t="s">
        <v>36</v>
      </c>
      <c r="F427">
        <v>587519</v>
      </c>
      <c r="G427">
        <v>5</v>
      </c>
      <c r="H427">
        <v>3</v>
      </c>
      <c r="I427">
        <v>241</v>
      </c>
      <c r="J427">
        <v>2022</v>
      </c>
      <c r="K427" s="4">
        <v>45696</v>
      </c>
      <c r="L427" t="s">
        <v>20</v>
      </c>
      <c r="M427" t="s">
        <v>59</v>
      </c>
      <c r="N427">
        <v>2.0699999999999998</v>
      </c>
      <c r="O427">
        <v>1916</v>
      </c>
      <c r="P427">
        <v>0.53</v>
      </c>
      <c r="Q427">
        <v>319</v>
      </c>
      <c r="R427">
        <v>385</v>
      </c>
    </row>
    <row r="428" spans="1:18" x14ac:dyDescent="0.2">
      <c r="A428">
        <v>7</v>
      </c>
      <c r="B428" t="s">
        <v>39</v>
      </c>
      <c r="E428" t="s">
        <v>51</v>
      </c>
      <c r="F428">
        <v>2919516</v>
      </c>
      <c r="G428">
        <v>5</v>
      </c>
      <c r="H428">
        <v>1</v>
      </c>
      <c r="I428">
        <v>401</v>
      </c>
      <c r="J428">
        <v>1990</v>
      </c>
      <c r="K428" s="4">
        <v>44214</v>
      </c>
      <c r="L428" t="s">
        <v>23</v>
      </c>
      <c r="M428" t="s">
        <v>33</v>
      </c>
      <c r="N428">
        <v>3.05</v>
      </c>
      <c r="O428">
        <v>2436</v>
      </c>
      <c r="P428">
        <v>0.14000000000000001</v>
      </c>
      <c r="Q428">
        <v>315</v>
      </c>
      <c r="R428">
        <v>385</v>
      </c>
    </row>
    <row r="429" spans="1:18" x14ac:dyDescent="0.2">
      <c r="A429">
        <v>5</v>
      </c>
      <c r="B429" t="s">
        <v>32</v>
      </c>
      <c r="E429" t="s">
        <v>29</v>
      </c>
      <c r="F429">
        <v>645312</v>
      </c>
      <c r="G429">
        <v>3</v>
      </c>
      <c r="H429">
        <v>2</v>
      </c>
      <c r="I429">
        <v>71</v>
      </c>
      <c r="J429">
        <v>2022</v>
      </c>
      <c r="K429" s="4">
        <v>44137</v>
      </c>
      <c r="L429" t="s">
        <v>23</v>
      </c>
      <c r="M429" t="s">
        <v>82</v>
      </c>
      <c r="N429">
        <v>2.38</v>
      </c>
      <c r="O429">
        <v>1406</v>
      </c>
      <c r="P429">
        <v>1.7</v>
      </c>
      <c r="Q429">
        <v>139</v>
      </c>
      <c r="R429">
        <v>666</v>
      </c>
    </row>
    <row r="430" spans="1:18" x14ac:dyDescent="0.2">
      <c r="A430">
        <v>1</v>
      </c>
      <c r="B430" t="s">
        <v>95</v>
      </c>
      <c r="E430" t="s">
        <v>36</v>
      </c>
      <c r="F430">
        <v>2301833</v>
      </c>
      <c r="G430">
        <v>2</v>
      </c>
      <c r="H430">
        <v>3</v>
      </c>
      <c r="I430">
        <v>452</v>
      </c>
      <c r="J430">
        <v>1965</v>
      </c>
      <c r="K430" s="4">
        <v>45350</v>
      </c>
      <c r="L430" t="s">
        <v>20</v>
      </c>
      <c r="M430" t="s">
        <v>24</v>
      </c>
      <c r="N430">
        <v>1.88</v>
      </c>
      <c r="O430">
        <v>2180</v>
      </c>
      <c r="P430">
        <v>4.8899999999999997</v>
      </c>
      <c r="Q430">
        <v>158</v>
      </c>
      <c r="R430">
        <v>570</v>
      </c>
    </row>
    <row r="431" spans="1:18" x14ac:dyDescent="0.2">
      <c r="A431">
        <v>7</v>
      </c>
      <c r="B431" t="s">
        <v>80</v>
      </c>
      <c r="E431" t="s">
        <v>51</v>
      </c>
      <c r="F431">
        <v>1482938</v>
      </c>
      <c r="G431">
        <v>2</v>
      </c>
      <c r="H431">
        <v>3</v>
      </c>
      <c r="I431">
        <v>445</v>
      </c>
      <c r="J431">
        <v>1981</v>
      </c>
      <c r="K431" s="4">
        <v>44783</v>
      </c>
      <c r="L431" t="s">
        <v>30</v>
      </c>
      <c r="M431" t="s">
        <v>69</v>
      </c>
      <c r="N431">
        <v>1.82</v>
      </c>
      <c r="O431">
        <v>1809</v>
      </c>
      <c r="P431">
        <v>1.31</v>
      </c>
      <c r="Q431">
        <v>56</v>
      </c>
      <c r="R431">
        <v>692</v>
      </c>
    </row>
    <row r="432" spans="1:18" x14ac:dyDescent="0.2">
      <c r="A432">
        <v>2</v>
      </c>
      <c r="B432" t="s">
        <v>46</v>
      </c>
      <c r="E432" t="s">
        <v>51</v>
      </c>
      <c r="F432">
        <v>1853605</v>
      </c>
      <c r="G432">
        <v>6</v>
      </c>
      <c r="H432">
        <v>3</v>
      </c>
      <c r="I432">
        <v>436</v>
      </c>
      <c r="J432">
        <v>1973</v>
      </c>
      <c r="K432" s="4">
        <v>44565</v>
      </c>
      <c r="L432" t="s">
        <v>23</v>
      </c>
      <c r="M432" t="s">
        <v>47</v>
      </c>
      <c r="N432">
        <v>3.41</v>
      </c>
      <c r="O432">
        <v>1050</v>
      </c>
      <c r="P432">
        <v>2.61</v>
      </c>
      <c r="Q432">
        <v>396</v>
      </c>
      <c r="R432">
        <v>547</v>
      </c>
    </row>
    <row r="433" spans="1:18" x14ac:dyDescent="0.2">
      <c r="A433">
        <v>1</v>
      </c>
      <c r="B433" t="s">
        <v>32</v>
      </c>
      <c r="E433" t="s">
        <v>51</v>
      </c>
      <c r="F433">
        <v>1821213</v>
      </c>
      <c r="G433">
        <v>4</v>
      </c>
      <c r="H433">
        <v>1</v>
      </c>
      <c r="I433">
        <v>208</v>
      </c>
      <c r="J433">
        <v>2014</v>
      </c>
      <c r="K433" s="4">
        <v>44283</v>
      </c>
      <c r="L433" t="s">
        <v>20</v>
      </c>
      <c r="M433" t="s">
        <v>56</v>
      </c>
      <c r="N433">
        <v>2.5299999999999998</v>
      </c>
      <c r="O433">
        <v>1895</v>
      </c>
      <c r="P433">
        <v>3.74</v>
      </c>
      <c r="Q433">
        <v>191</v>
      </c>
      <c r="R433">
        <v>384</v>
      </c>
    </row>
    <row r="434" spans="1:18" x14ac:dyDescent="0.2">
      <c r="A434">
        <v>9</v>
      </c>
      <c r="B434" t="s">
        <v>79</v>
      </c>
      <c r="E434" t="s">
        <v>19</v>
      </c>
      <c r="F434">
        <v>883446</v>
      </c>
      <c r="G434">
        <v>1</v>
      </c>
      <c r="H434">
        <v>2</v>
      </c>
      <c r="I434">
        <v>407</v>
      </c>
      <c r="J434">
        <v>1988</v>
      </c>
      <c r="K434" s="4">
        <v>44455</v>
      </c>
      <c r="L434" t="s">
        <v>30</v>
      </c>
      <c r="M434" t="s">
        <v>31</v>
      </c>
      <c r="N434">
        <v>3.15</v>
      </c>
      <c r="O434">
        <v>1563</v>
      </c>
      <c r="P434">
        <v>4.74</v>
      </c>
      <c r="Q434">
        <v>160</v>
      </c>
      <c r="R434">
        <v>429</v>
      </c>
    </row>
    <row r="435" spans="1:18" x14ac:dyDescent="0.2">
      <c r="A435">
        <v>5</v>
      </c>
      <c r="B435" t="s">
        <v>34</v>
      </c>
      <c r="E435" t="s">
        <v>51</v>
      </c>
      <c r="F435">
        <v>481526</v>
      </c>
      <c r="G435">
        <v>5</v>
      </c>
      <c r="H435">
        <v>3</v>
      </c>
      <c r="I435">
        <v>239</v>
      </c>
      <c r="J435">
        <v>1957</v>
      </c>
      <c r="K435" s="4">
        <v>44754</v>
      </c>
      <c r="L435" t="s">
        <v>30</v>
      </c>
      <c r="M435" t="s">
        <v>85</v>
      </c>
      <c r="N435">
        <v>2.36</v>
      </c>
      <c r="O435">
        <v>2316</v>
      </c>
      <c r="P435">
        <v>3.27</v>
      </c>
      <c r="Q435">
        <v>333</v>
      </c>
      <c r="R435">
        <v>355</v>
      </c>
    </row>
    <row r="436" spans="1:18" x14ac:dyDescent="0.2">
      <c r="A436">
        <v>9</v>
      </c>
      <c r="B436" t="s">
        <v>39</v>
      </c>
      <c r="E436" t="s">
        <v>51</v>
      </c>
      <c r="F436">
        <v>478404</v>
      </c>
      <c r="G436">
        <v>2</v>
      </c>
      <c r="H436">
        <v>1</v>
      </c>
      <c r="I436">
        <v>479</v>
      </c>
      <c r="J436">
        <v>2016</v>
      </c>
      <c r="K436" s="4">
        <v>44279</v>
      </c>
      <c r="L436" t="s">
        <v>23</v>
      </c>
      <c r="M436" t="s">
        <v>40</v>
      </c>
      <c r="N436">
        <v>2.92</v>
      </c>
      <c r="O436">
        <v>2081</v>
      </c>
      <c r="P436">
        <v>4.8499999999999996</v>
      </c>
      <c r="Q436">
        <v>161</v>
      </c>
      <c r="R436">
        <v>442</v>
      </c>
    </row>
    <row r="437" spans="1:18" x14ac:dyDescent="0.2">
      <c r="A437">
        <v>5</v>
      </c>
      <c r="B437" t="s">
        <v>87</v>
      </c>
      <c r="E437" t="s">
        <v>51</v>
      </c>
      <c r="F437">
        <v>2950487</v>
      </c>
      <c r="G437">
        <v>3</v>
      </c>
      <c r="H437">
        <v>1</v>
      </c>
      <c r="I437">
        <v>74</v>
      </c>
      <c r="J437">
        <v>1960</v>
      </c>
      <c r="K437" s="4">
        <v>44857</v>
      </c>
      <c r="L437" t="s">
        <v>23</v>
      </c>
      <c r="M437" t="s">
        <v>37</v>
      </c>
      <c r="N437">
        <v>2.81</v>
      </c>
      <c r="O437">
        <v>2083</v>
      </c>
      <c r="P437">
        <v>1.17</v>
      </c>
      <c r="Q437">
        <v>143</v>
      </c>
      <c r="R437">
        <v>346</v>
      </c>
    </row>
    <row r="438" spans="1:18" x14ac:dyDescent="0.2">
      <c r="A438">
        <v>3</v>
      </c>
      <c r="B438" t="s">
        <v>39</v>
      </c>
      <c r="E438" t="s">
        <v>19</v>
      </c>
      <c r="F438">
        <v>1855684</v>
      </c>
      <c r="G438">
        <v>4</v>
      </c>
      <c r="H438">
        <v>2</v>
      </c>
      <c r="I438">
        <v>352</v>
      </c>
      <c r="J438">
        <v>2022</v>
      </c>
      <c r="K438" s="4">
        <v>44288</v>
      </c>
      <c r="L438" t="s">
        <v>23</v>
      </c>
      <c r="M438" t="s">
        <v>37</v>
      </c>
      <c r="N438">
        <v>3.17</v>
      </c>
      <c r="O438">
        <v>1477</v>
      </c>
      <c r="P438">
        <v>3.82</v>
      </c>
      <c r="Q438">
        <v>171</v>
      </c>
      <c r="R438">
        <v>489</v>
      </c>
    </row>
    <row r="439" spans="1:18" x14ac:dyDescent="0.2">
      <c r="A439">
        <v>8</v>
      </c>
      <c r="B439" t="s">
        <v>99</v>
      </c>
      <c r="E439" t="s">
        <v>51</v>
      </c>
      <c r="F439">
        <v>568454</v>
      </c>
      <c r="G439">
        <v>2</v>
      </c>
      <c r="H439">
        <v>3</v>
      </c>
      <c r="I439">
        <v>563</v>
      </c>
      <c r="J439">
        <v>1974</v>
      </c>
      <c r="K439" s="4">
        <v>44841</v>
      </c>
      <c r="L439" t="s">
        <v>26</v>
      </c>
      <c r="M439" t="s">
        <v>42</v>
      </c>
      <c r="N439">
        <v>2.75</v>
      </c>
      <c r="O439">
        <v>916</v>
      </c>
      <c r="P439">
        <v>4.1500000000000004</v>
      </c>
      <c r="Q439">
        <v>199</v>
      </c>
      <c r="R439">
        <v>371</v>
      </c>
    </row>
    <row r="440" spans="1:18" x14ac:dyDescent="0.2">
      <c r="A440">
        <v>7</v>
      </c>
      <c r="B440" t="s">
        <v>48</v>
      </c>
      <c r="E440" t="s">
        <v>19</v>
      </c>
      <c r="F440">
        <v>2683935</v>
      </c>
      <c r="G440">
        <v>0</v>
      </c>
      <c r="H440">
        <v>2</v>
      </c>
      <c r="I440">
        <v>396</v>
      </c>
      <c r="J440">
        <v>1997</v>
      </c>
      <c r="K440" s="4">
        <v>44879</v>
      </c>
      <c r="L440" t="s">
        <v>23</v>
      </c>
      <c r="M440" t="s">
        <v>35</v>
      </c>
      <c r="N440">
        <v>1.98</v>
      </c>
      <c r="O440">
        <v>1944</v>
      </c>
      <c r="P440">
        <v>0.7</v>
      </c>
      <c r="Q440">
        <v>48</v>
      </c>
      <c r="R440">
        <v>617</v>
      </c>
    </row>
    <row r="441" spans="1:18" x14ac:dyDescent="0.2">
      <c r="A441">
        <v>6</v>
      </c>
      <c r="B441" t="s">
        <v>92</v>
      </c>
      <c r="E441" t="s">
        <v>51</v>
      </c>
      <c r="F441">
        <v>905451</v>
      </c>
      <c r="G441">
        <v>4</v>
      </c>
      <c r="H441">
        <v>1</v>
      </c>
      <c r="I441">
        <v>244</v>
      </c>
      <c r="J441">
        <v>2006</v>
      </c>
      <c r="K441" s="4">
        <v>44149</v>
      </c>
      <c r="L441" t="s">
        <v>26</v>
      </c>
      <c r="M441" t="s">
        <v>58</v>
      </c>
      <c r="N441">
        <v>1.67</v>
      </c>
      <c r="O441">
        <v>848</v>
      </c>
      <c r="P441">
        <v>2.09</v>
      </c>
      <c r="Q441">
        <v>306</v>
      </c>
      <c r="R441">
        <v>393</v>
      </c>
    </row>
    <row r="442" spans="1:18" x14ac:dyDescent="0.2">
      <c r="A442">
        <v>5</v>
      </c>
      <c r="B442" t="s">
        <v>61</v>
      </c>
      <c r="E442" t="s">
        <v>36</v>
      </c>
      <c r="F442">
        <v>1979091</v>
      </c>
      <c r="G442">
        <v>3</v>
      </c>
      <c r="H442">
        <v>1</v>
      </c>
      <c r="I442">
        <v>482</v>
      </c>
      <c r="J442">
        <v>1985</v>
      </c>
      <c r="K442" s="4">
        <v>45419</v>
      </c>
      <c r="L442" t="s">
        <v>26</v>
      </c>
      <c r="M442" t="s">
        <v>58</v>
      </c>
      <c r="N442">
        <v>1.68</v>
      </c>
      <c r="O442">
        <v>1931</v>
      </c>
      <c r="P442">
        <v>0.46</v>
      </c>
      <c r="Q442">
        <v>221</v>
      </c>
      <c r="R442">
        <v>580</v>
      </c>
    </row>
    <row r="443" spans="1:18" x14ac:dyDescent="0.2">
      <c r="A443">
        <v>8</v>
      </c>
      <c r="B443" t="s">
        <v>62</v>
      </c>
      <c r="E443" t="s">
        <v>29</v>
      </c>
      <c r="F443">
        <v>1562336</v>
      </c>
      <c r="G443">
        <v>2</v>
      </c>
      <c r="H443">
        <v>2</v>
      </c>
      <c r="I443">
        <v>949</v>
      </c>
      <c r="J443">
        <v>2007</v>
      </c>
      <c r="K443" s="4">
        <v>45069</v>
      </c>
      <c r="L443" t="s">
        <v>30</v>
      </c>
      <c r="M443" t="s">
        <v>35</v>
      </c>
      <c r="N443">
        <v>3.15</v>
      </c>
      <c r="O443">
        <v>1076</v>
      </c>
      <c r="P443">
        <v>4.58</v>
      </c>
      <c r="Q443">
        <v>183</v>
      </c>
      <c r="R443">
        <v>673</v>
      </c>
    </row>
    <row r="444" spans="1:18" x14ac:dyDescent="0.2">
      <c r="A444">
        <v>1</v>
      </c>
      <c r="B444" t="s">
        <v>94</v>
      </c>
      <c r="E444" t="s">
        <v>36</v>
      </c>
      <c r="F444">
        <v>1950170</v>
      </c>
      <c r="G444">
        <v>6</v>
      </c>
      <c r="H444">
        <v>2</v>
      </c>
      <c r="I444">
        <v>276</v>
      </c>
      <c r="J444">
        <v>2002</v>
      </c>
      <c r="K444" s="4">
        <v>44205</v>
      </c>
      <c r="L444" t="s">
        <v>23</v>
      </c>
      <c r="M444" t="s">
        <v>56</v>
      </c>
      <c r="N444">
        <v>3.01</v>
      </c>
      <c r="O444">
        <v>1932</v>
      </c>
      <c r="P444">
        <v>1.81</v>
      </c>
      <c r="Q444">
        <v>395</v>
      </c>
      <c r="R444">
        <v>696</v>
      </c>
    </row>
    <row r="445" spans="1:18" x14ac:dyDescent="0.2">
      <c r="A445">
        <v>3</v>
      </c>
      <c r="B445" t="s">
        <v>32</v>
      </c>
      <c r="E445" t="s">
        <v>36</v>
      </c>
      <c r="F445">
        <v>1638595</v>
      </c>
      <c r="G445">
        <v>5</v>
      </c>
      <c r="H445">
        <v>1</v>
      </c>
      <c r="I445">
        <v>315</v>
      </c>
      <c r="J445">
        <v>1992</v>
      </c>
      <c r="K445" s="4">
        <v>44083</v>
      </c>
      <c r="L445" t="s">
        <v>20</v>
      </c>
      <c r="M445" t="s">
        <v>27</v>
      </c>
      <c r="N445">
        <v>1.75</v>
      </c>
      <c r="O445">
        <v>1287</v>
      </c>
      <c r="P445">
        <v>1.24</v>
      </c>
      <c r="Q445">
        <v>301</v>
      </c>
      <c r="R445">
        <v>478</v>
      </c>
    </row>
    <row r="446" spans="1:18" x14ac:dyDescent="0.2">
      <c r="A446">
        <v>3</v>
      </c>
      <c r="B446" t="s">
        <v>86</v>
      </c>
      <c r="E446" t="s">
        <v>51</v>
      </c>
      <c r="F446">
        <v>2564558</v>
      </c>
      <c r="G446">
        <v>1</v>
      </c>
      <c r="H446">
        <v>1</v>
      </c>
      <c r="I446">
        <v>77</v>
      </c>
      <c r="J446">
        <v>1968</v>
      </c>
      <c r="K446" s="4">
        <v>45111</v>
      </c>
      <c r="L446" t="s">
        <v>23</v>
      </c>
      <c r="M446" t="s">
        <v>40</v>
      </c>
      <c r="N446">
        <v>1.63</v>
      </c>
      <c r="O446">
        <v>1602</v>
      </c>
      <c r="P446">
        <v>2.58</v>
      </c>
      <c r="Q446">
        <v>131</v>
      </c>
      <c r="R446">
        <v>489</v>
      </c>
    </row>
    <row r="447" spans="1:18" x14ac:dyDescent="0.2">
      <c r="A447">
        <v>4</v>
      </c>
      <c r="B447" t="s">
        <v>34</v>
      </c>
      <c r="E447" t="s">
        <v>51</v>
      </c>
      <c r="F447">
        <v>733741</v>
      </c>
      <c r="G447">
        <v>3</v>
      </c>
      <c r="H447">
        <v>1</v>
      </c>
      <c r="I447">
        <v>194</v>
      </c>
      <c r="J447">
        <v>1957</v>
      </c>
      <c r="K447" s="4">
        <v>45212</v>
      </c>
      <c r="L447" t="s">
        <v>30</v>
      </c>
      <c r="M447" t="s">
        <v>68</v>
      </c>
      <c r="N447">
        <v>3.01</v>
      </c>
      <c r="O447">
        <v>2177</v>
      </c>
      <c r="P447">
        <v>1.38</v>
      </c>
      <c r="Q447">
        <v>311</v>
      </c>
      <c r="R447">
        <v>644</v>
      </c>
    </row>
    <row r="448" spans="1:18" x14ac:dyDescent="0.2">
      <c r="A448">
        <v>4</v>
      </c>
      <c r="B448" t="s">
        <v>32</v>
      </c>
      <c r="E448" t="s">
        <v>51</v>
      </c>
      <c r="F448">
        <v>2174013</v>
      </c>
      <c r="G448">
        <v>6</v>
      </c>
      <c r="H448">
        <v>3</v>
      </c>
      <c r="I448">
        <v>65</v>
      </c>
      <c r="J448">
        <v>1958</v>
      </c>
      <c r="K448" s="4">
        <v>45414</v>
      </c>
      <c r="L448" t="s">
        <v>26</v>
      </c>
      <c r="M448" t="s">
        <v>33</v>
      </c>
      <c r="N448">
        <v>1.99</v>
      </c>
      <c r="O448">
        <v>1062</v>
      </c>
      <c r="P448">
        <v>3.44</v>
      </c>
      <c r="Q448">
        <v>356</v>
      </c>
      <c r="R448">
        <v>446</v>
      </c>
    </row>
    <row r="449" spans="1:18" x14ac:dyDescent="0.2">
      <c r="A449">
        <v>0</v>
      </c>
      <c r="B449" t="s">
        <v>46</v>
      </c>
      <c r="E449" t="s">
        <v>36</v>
      </c>
      <c r="F449">
        <v>2661079</v>
      </c>
      <c r="G449">
        <v>2</v>
      </c>
      <c r="H449">
        <v>1</v>
      </c>
      <c r="I449">
        <v>243</v>
      </c>
      <c r="J449">
        <v>1965</v>
      </c>
      <c r="K449" s="4">
        <v>45880</v>
      </c>
      <c r="L449" t="s">
        <v>30</v>
      </c>
      <c r="M449" t="s">
        <v>68</v>
      </c>
      <c r="N449">
        <v>2.59</v>
      </c>
      <c r="O449">
        <v>1116</v>
      </c>
      <c r="P449">
        <v>2.33</v>
      </c>
      <c r="Q449">
        <v>212</v>
      </c>
      <c r="R449">
        <v>691</v>
      </c>
    </row>
    <row r="450" spans="1:18" x14ac:dyDescent="0.2">
      <c r="A450">
        <v>5</v>
      </c>
      <c r="B450" t="s">
        <v>104</v>
      </c>
      <c r="E450" t="s">
        <v>36</v>
      </c>
      <c r="F450">
        <v>1868962</v>
      </c>
      <c r="G450">
        <v>6</v>
      </c>
      <c r="H450">
        <v>2</v>
      </c>
      <c r="I450">
        <v>176</v>
      </c>
      <c r="J450">
        <v>2017</v>
      </c>
      <c r="K450" s="4">
        <v>44197</v>
      </c>
      <c r="L450" t="s">
        <v>20</v>
      </c>
      <c r="M450" t="s">
        <v>56</v>
      </c>
      <c r="N450">
        <v>2.19</v>
      </c>
      <c r="O450">
        <v>990</v>
      </c>
      <c r="P450">
        <v>3.83</v>
      </c>
      <c r="Q450">
        <v>368</v>
      </c>
      <c r="R450">
        <v>585</v>
      </c>
    </row>
    <row r="451" spans="1:18" x14ac:dyDescent="0.2">
      <c r="A451">
        <v>4</v>
      </c>
      <c r="B451" t="s">
        <v>88</v>
      </c>
      <c r="E451" t="s">
        <v>36</v>
      </c>
      <c r="F451">
        <v>1551084</v>
      </c>
      <c r="G451">
        <v>1</v>
      </c>
      <c r="H451">
        <v>3</v>
      </c>
      <c r="I451">
        <v>361</v>
      </c>
      <c r="J451">
        <v>2004</v>
      </c>
      <c r="K451" s="4">
        <v>44132</v>
      </c>
      <c r="L451" t="s">
        <v>30</v>
      </c>
      <c r="M451" t="s">
        <v>54</v>
      </c>
      <c r="N451">
        <v>2.4300000000000002</v>
      </c>
      <c r="O451">
        <v>992</v>
      </c>
      <c r="P451">
        <v>1.1499999999999999</v>
      </c>
      <c r="Q451">
        <v>150</v>
      </c>
      <c r="R451">
        <v>678</v>
      </c>
    </row>
    <row r="452" spans="1:18" x14ac:dyDescent="0.2">
      <c r="A452">
        <v>0</v>
      </c>
      <c r="B452" t="s">
        <v>98</v>
      </c>
      <c r="E452" t="s">
        <v>19</v>
      </c>
      <c r="F452">
        <v>1846419</v>
      </c>
      <c r="G452">
        <v>4</v>
      </c>
      <c r="H452">
        <v>1</v>
      </c>
      <c r="I452">
        <v>376</v>
      </c>
      <c r="J452">
        <v>1977</v>
      </c>
      <c r="K452" s="4">
        <v>44869</v>
      </c>
      <c r="L452" t="s">
        <v>20</v>
      </c>
      <c r="M452" t="s">
        <v>97</v>
      </c>
      <c r="N452">
        <v>3.07</v>
      </c>
      <c r="O452">
        <v>1035</v>
      </c>
      <c r="P452">
        <v>4.8600000000000003</v>
      </c>
      <c r="Q452">
        <v>372</v>
      </c>
      <c r="R452">
        <v>351</v>
      </c>
    </row>
    <row r="453" spans="1:18" x14ac:dyDescent="0.2">
      <c r="A453">
        <v>6</v>
      </c>
      <c r="B453" t="s">
        <v>93</v>
      </c>
      <c r="E453" t="s">
        <v>19</v>
      </c>
      <c r="F453">
        <v>1276435</v>
      </c>
      <c r="G453">
        <v>2</v>
      </c>
      <c r="H453">
        <v>2</v>
      </c>
      <c r="I453">
        <v>367</v>
      </c>
      <c r="J453">
        <v>1950</v>
      </c>
      <c r="K453" s="4">
        <v>45048</v>
      </c>
      <c r="L453" t="s">
        <v>26</v>
      </c>
      <c r="M453" t="s">
        <v>45</v>
      </c>
      <c r="N453">
        <v>3.21</v>
      </c>
      <c r="O453">
        <v>1931</v>
      </c>
      <c r="P453">
        <v>0.28999999999999998</v>
      </c>
      <c r="Q453">
        <v>150</v>
      </c>
      <c r="R453">
        <v>694</v>
      </c>
    </row>
    <row r="454" spans="1:18" x14ac:dyDescent="0.2">
      <c r="A454">
        <v>8</v>
      </c>
      <c r="B454" t="s">
        <v>106</v>
      </c>
      <c r="E454" t="s">
        <v>36</v>
      </c>
      <c r="F454">
        <v>2413424</v>
      </c>
      <c r="G454">
        <v>3</v>
      </c>
      <c r="H454">
        <v>2</v>
      </c>
      <c r="I454">
        <v>738</v>
      </c>
      <c r="J454">
        <v>1975</v>
      </c>
      <c r="K454" s="4">
        <v>44634</v>
      </c>
      <c r="L454" t="s">
        <v>30</v>
      </c>
      <c r="M454" t="s">
        <v>74</v>
      </c>
      <c r="N454">
        <v>2.0699999999999998</v>
      </c>
      <c r="O454">
        <v>1216</v>
      </c>
      <c r="P454">
        <v>3.82</v>
      </c>
      <c r="Q454">
        <v>315</v>
      </c>
      <c r="R454">
        <v>389</v>
      </c>
    </row>
    <row r="455" spans="1:18" x14ac:dyDescent="0.2">
      <c r="A455">
        <v>5</v>
      </c>
      <c r="B455" t="s">
        <v>61</v>
      </c>
      <c r="E455" t="s">
        <v>36</v>
      </c>
      <c r="F455">
        <v>2555960</v>
      </c>
      <c r="G455">
        <v>0</v>
      </c>
      <c r="H455">
        <v>3</v>
      </c>
      <c r="I455">
        <v>324</v>
      </c>
      <c r="J455">
        <v>2002</v>
      </c>
      <c r="K455" s="4">
        <v>44538</v>
      </c>
      <c r="L455" t="s">
        <v>23</v>
      </c>
      <c r="M455" t="s">
        <v>66</v>
      </c>
      <c r="N455">
        <v>1.92</v>
      </c>
      <c r="O455">
        <v>1058</v>
      </c>
      <c r="P455">
        <v>1.1000000000000001</v>
      </c>
      <c r="Q455">
        <v>49</v>
      </c>
      <c r="R455">
        <v>429</v>
      </c>
    </row>
    <row r="456" spans="1:18" x14ac:dyDescent="0.2">
      <c r="A456">
        <v>5</v>
      </c>
      <c r="B456" t="s">
        <v>55</v>
      </c>
      <c r="E456" t="s">
        <v>29</v>
      </c>
      <c r="F456">
        <v>1114448</v>
      </c>
      <c r="G456">
        <v>0</v>
      </c>
      <c r="H456">
        <v>3</v>
      </c>
      <c r="I456">
        <v>958</v>
      </c>
      <c r="J456">
        <v>1979</v>
      </c>
      <c r="K456" s="4">
        <v>44857</v>
      </c>
      <c r="L456" t="s">
        <v>20</v>
      </c>
      <c r="M456" t="s">
        <v>54</v>
      </c>
      <c r="N456">
        <v>2.89</v>
      </c>
      <c r="O456">
        <v>1881</v>
      </c>
      <c r="P456">
        <v>2.0299999999999998</v>
      </c>
      <c r="Q456">
        <v>52</v>
      </c>
      <c r="R456">
        <v>372</v>
      </c>
    </row>
    <row r="457" spans="1:18" x14ac:dyDescent="0.2">
      <c r="A457">
        <v>3</v>
      </c>
      <c r="B457" t="s">
        <v>92</v>
      </c>
      <c r="E457" t="s">
        <v>19</v>
      </c>
      <c r="F457">
        <v>2163250</v>
      </c>
      <c r="G457">
        <v>3</v>
      </c>
      <c r="H457">
        <v>3</v>
      </c>
      <c r="I457">
        <v>875</v>
      </c>
      <c r="J457">
        <v>2012</v>
      </c>
      <c r="K457" s="4">
        <v>45444</v>
      </c>
      <c r="L457" t="s">
        <v>23</v>
      </c>
      <c r="M457" t="s">
        <v>60</v>
      </c>
      <c r="N457">
        <v>3.42</v>
      </c>
      <c r="O457">
        <v>1386</v>
      </c>
      <c r="P457">
        <v>2.59</v>
      </c>
      <c r="Q457">
        <v>168</v>
      </c>
      <c r="R457">
        <v>377</v>
      </c>
    </row>
    <row r="458" spans="1:18" x14ac:dyDescent="0.2">
      <c r="A458">
        <v>7</v>
      </c>
      <c r="B458" t="s">
        <v>46</v>
      </c>
      <c r="E458" t="s">
        <v>29</v>
      </c>
      <c r="F458">
        <v>2641626</v>
      </c>
      <c r="G458">
        <v>3</v>
      </c>
      <c r="H458">
        <v>1</v>
      </c>
      <c r="I458">
        <v>427</v>
      </c>
      <c r="J458">
        <v>1957</v>
      </c>
      <c r="K458" s="4">
        <v>44377</v>
      </c>
      <c r="L458" t="s">
        <v>23</v>
      </c>
      <c r="M458" t="s">
        <v>60</v>
      </c>
      <c r="N458">
        <v>3.08</v>
      </c>
      <c r="O458">
        <v>1666</v>
      </c>
      <c r="P458">
        <v>0.4</v>
      </c>
      <c r="Q458">
        <v>220</v>
      </c>
      <c r="R458">
        <v>369</v>
      </c>
    </row>
    <row r="459" spans="1:18" x14ac:dyDescent="0.2">
      <c r="A459">
        <v>9</v>
      </c>
      <c r="B459" t="s">
        <v>105</v>
      </c>
      <c r="E459" t="s">
        <v>36</v>
      </c>
      <c r="F459">
        <v>831767</v>
      </c>
      <c r="G459">
        <v>1</v>
      </c>
      <c r="H459">
        <v>3</v>
      </c>
      <c r="I459">
        <v>88</v>
      </c>
      <c r="J459">
        <v>1954</v>
      </c>
      <c r="K459" s="4">
        <v>44164</v>
      </c>
      <c r="L459" t="s">
        <v>30</v>
      </c>
      <c r="M459" t="s">
        <v>40</v>
      </c>
      <c r="N459">
        <v>2.73</v>
      </c>
      <c r="O459">
        <v>1860</v>
      </c>
      <c r="P459">
        <v>3.48</v>
      </c>
      <c r="Q459">
        <v>94</v>
      </c>
      <c r="R459">
        <v>326</v>
      </c>
    </row>
    <row r="460" spans="1:18" x14ac:dyDescent="0.2">
      <c r="A460">
        <v>3</v>
      </c>
      <c r="B460" t="s">
        <v>100</v>
      </c>
      <c r="E460" t="s">
        <v>29</v>
      </c>
      <c r="F460">
        <v>899413</v>
      </c>
      <c r="G460">
        <v>2</v>
      </c>
      <c r="H460">
        <v>2</v>
      </c>
      <c r="I460">
        <v>179</v>
      </c>
      <c r="J460">
        <v>1986</v>
      </c>
      <c r="K460" s="4">
        <v>44929</v>
      </c>
      <c r="L460" t="s">
        <v>20</v>
      </c>
      <c r="M460" t="s">
        <v>24</v>
      </c>
      <c r="N460">
        <v>2.4700000000000002</v>
      </c>
      <c r="O460">
        <v>839</v>
      </c>
      <c r="P460">
        <v>0.57999999999999996</v>
      </c>
      <c r="Q460">
        <v>97</v>
      </c>
      <c r="R460">
        <v>507</v>
      </c>
    </row>
    <row r="461" spans="1:18" x14ac:dyDescent="0.2">
      <c r="A461">
        <v>8</v>
      </c>
      <c r="B461" t="s">
        <v>18</v>
      </c>
      <c r="E461" t="s">
        <v>19</v>
      </c>
      <c r="F461">
        <v>665192</v>
      </c>
      <c r="G461">
        <v>3</v>
      </c>
      <c r="H461">
        <v>2</v>
      </c>
      <c r="I461">
        <v>454</v>
      </c>
      <c r="J461">
        <v>1959</v>
      </c>
      <c r="K461" s="4">
        <v>44230</v>
      </c>
      <c r="L461" t="s">
        <v>30</v>
      </c>
      <c r="M461" t="s">
        <v>24</v>
      </c>
      <c r="N461">
        <v>3.2</v>
      </c>
      <c r="O461">
        <v>1175</v>
      </c>
      <c r="P461">
        <v>2.82</v>
      </c>
      <c r="Q461">
        <v>181</v>
      </c>
      <c r="R461">
        <v>667</v>
      </c>
    </row>
    <row r="462" spans="1:18" x14ac:dyDescent="0.2">
      <c r="A462">
        <v>0</v>
      </c>
      <c r="B462" t="s">
        <v>50</v>
      </c>
      <c r="E462" t="s">
        <v>19</v>
      </c>
      <c r="F462">
        <v>1556843</v>
      </c>
      <c r="G462">
        <v>5</v>
      </c>
      <c r="H462">
        <v>3</v>
      </c>
      <c r="I462">
        <v>403</v>
      </c>
      <c r="J462">
        <v>1954</v>
      </c>
      <c r="K462" s="4">
        <v>45244</v>
      </c>
      <c r="L462" t="s">
        <v>26</v>
      </c>
      <c r="M462" t="s">
        <v>56</v>
      </c>
      <c r="N462">
        <v>3.08</v>
      </c>
      <c r="O462">
        <v>932</v>
      </c>
      <c r="P462">
        <v>2.91</v>
      </c>
      <c r="Q462">
        <v>318</v>
      </c>
      <c r="R462">
        <v>309</v>
      </c>
    </row>
    <row r="463" spans="1:18" x14ac:dyDescent="0.2">
      <c r="A463">
        <v>6</v>
      </c>
      <c r="B463" t="s">
        <v>71</v>
      </c>
      <c r="E463" t="s">
        <v>29</v>
      </c>
      <c r="F463">
        <v>1687160</v>
      </c>
      <c r="G463">
        <v>4</v>
      </c>
      <c r="H463">
        <v>1</v>
      </c>
      <c r="I463">
        <v>796</v>
      </c>
      <c r="J463">
        <v>2000</v>
      </c>
      <c r="K463" s="4">
        <v>44691</v>
      </c>
      <c r="L463" t="s">
        <v>26</v>
      </c>
      <c r="M463" t="s">
        <v>56</v>
      </c>
      <c r="N463">
        <v>2.64</v>
      </c>
      <c r="O463">
        <v>1895</v>
      </c>
      <c r="P463">
        <v>1.99</v>
      </c>
      <c r="Q463">
        <v>188</v>
      </c>
      <c r="R463">
        <v>467</v>
      </c>
    </row>
    <row r="464" spans="1:18" x14ac:dyDescent="0.2">
      <c r="A464">
        <v>9</v>
      </c>
      <c r="B464" t="s">
        <v>86</v>
      </c>
      <c r="E464" t="s">
        <v>51</v>
      </c>
      <c r="F464">
        <v>2099845</v>
      </c>
      <c r="G464">
        <v>3</v>
      </c>
      <c r="H464">
        <v>1</v>
      </c>
      <c r="I464">
        <v>447</v>
      </c>
      <c r="J464">
        <v>1980</v>
      </c>
      <c r="K464" s="4">
        <v>44405</v>
      </c>
      <c r="L464" t="s">
        <v>20</v>
      </c>
      <c r="M464" t="s">
        <v>66</v>
      </c>
      <c r="N464">
        <v>1.7</v>
      </c>
      <c r="O464">
        <v>2098</v>
      </c>
      <c r="P464">
        <v>2.9</v>
      </c>
      <c r="Q464">
        <v>294</v>
      </c>
      <c r="R464">
        <v>329</v>
      </c>
    </row>
    <row r="465" spans="1:18" x14ac:dyDescent="0.2">
      <c r="A465">
        <v>4</v>
      </c>
      <c r="B465" t="s">
        <v>98</v>
      </c>
      <c r="E465" t="s">
        <v>19</v>
      </c>
      <c r="F465">
        <v>1151796</v>
      </c>
      <c r="G465">
        <v>2</v>
      </c>
      <c r="H465">
        <v>3</v>
      </c>
      <c r="I465">
        <v>621</v>
      </c>
      <c r="J465">
        <v>1958</v>
      </c>
      <c r="K465" s="4">
        <v>44892</v>
      </c>
      <c r="L465" t="s">
        <v>30</v>
      </c>
      <c r="M465" t="s">
        <v>45</v>
      </c>
      <c r="N465">
        <v>1.76</v>
      </c>
      <c r="O465">
        <v>1701</v>
      </c>
      <c r="P465">
        <v>0.46</v>
      </c>
      <c r="Q465">
        <v>127</v>
      </c>
      <c r="R465">
        <v>409</v>
      </c>
    </row>
    <row r="466" spans="1:18" x14ac:dyDescent="0.2">
      <c r="A466">
        <v>9</v>
      </c>
      <c r="B466" t="s">
        <v>94</v>
      </c>
      <c r="E466" t="s">
        <v>36</v>
      </c>
      <c r="F466">
        <v>1605352</v>
      </c>
      <c r="G466">
        <v>1</v>
      </c>
      <c r="H466">
        <v>3</v>
      </c>
      <c r="I466">
        <v>796</v>
      </c>
      <c r="J466">
        <v>2019</v>
      </c>
      <c r="K466" s="4">
        <v>45478</v>
      </c>
      <c r="L466" t="s">
        <v>23</v>
      </c>
      <c r="M466" t="s">
        <v>78</v>
      </c>
      <c r="N466">
        <v>2.4900000000000002</v>
      </c>
      <c r="O466">
        <v>1080</v>
      </c>
      <c r="P466">
        <v>1</v>
      </c>
      <c r="Q466">
        <v>55</v>
      </c>
      <c r="R466">
        <v>637</v>
      </c>
    </row>
    <row r="467" spans="1:18" x14ac:dyDescent="0.2">
      <c r="A467">
        <v>6</v>
      </c>
      <c r="B467" t="s">
        <v>61</v>
      </c>
      <c r="E467" t="s">
        <v>51</v>
      </c>
      <c r="F467">
        <v>890678</v>
      </c>
      <c r="G467">
        <v>1</v>
      </c>
      <c r="H467">
        <v>1</v>
      </c>
      <c r="I467">
        <v>731</v>
      </c>
      <c r="J467">
        <v>1950</v>
      </c>
      <c r="K467" s="4">
        <v>44069</v>
      </c>
      <c r="L467" t="s">
        <v>30</v>
      </c>
      <c r="M467" t="s">
        <v>77</v>
      </c>
      <c r="N467">
        <v>3.46</v>
      </c>
      <c r="O467">
        <v>1246</v>
      </c>
      <c r="P467">
        <v>4.63</v>
      </c>
      <c r="Q467">
        <v>62</v>
      </c>
      <c r="R467">
        <v>673</v>
      </c>
    </row>
    <row r="468" spans="1:18" x14ac:dyDescent="0.2">
      <c r="A468">
        <v>2</v>
      </c>
      <c r="B468" t="s">
        <v>46</v>
      </c>
      <c r="E468" t="s">
        <v>29</v>
      </c>
      <c r="F468">
        <v>2868767</v>
      </c>
      <c r="G468">
        <v>4</v>
      </c>
      <c r="H468">
        <v>2</v>
      </c>
      <c r="I468">
        <v>391</v>
      </c>
      <c r="J468">
        <v>2002</v>
      </c>
      <c r="K468" s="4">
        <v>44625</v>
      </c>
      <c r="L468" t="s">
        <v>23</v>
      </c>
      <c r="M468" t="s">
        <v>97</v>
      </c>
      <c r="N468">
        <v>2.1800000000000002</v>
      </c>
      <c r="O468">
        <v>1766</v>
      </c>
      <c r="P468">
        <v>3.14</v>
      </c>
      <c r="Q468">
        <v>394</v>
      </c>
      <c r="R468">
        <v>619</v>
      </c>
    </row>
    <row r="469" spans="1:18" x14ac:dyDescent="0.2">
      <c r="A469">
        <v>6</v>
      </c>
      <c r="B469" t="s">
        <v>88</v>
      </c>
      <c r="E469" t="s">
        <v>29</v>
      </c>
      <c r="F469">
        <v>407884</v>
      </c>
      <c r="G469">
        <v>2</v>
      </c>
      <c r="H469">
        <v>3</v>
      </c>
      <c r="I469">
        <v>440</v>
      </c>
      <c r="J469">
        <v>1960</v>
      </c>
      <c r="K469" s="4">
        <v>44918</v>
      </c>
      <c r="L469" t="s">
        <v>30</v>
      </c>
      <c r="M469" t="s">
        <v>31</v>
      </c>
      <c r="N469">
        <v>2.8</v>
      </c>
      <c r="O469">
        <v>2185</v>
      </c>
      <c r="P469">
        <v>3.06</v>
      </c>
      <c r="Q469">
        <v>211</v>
      </c>
      <c r="R469">
        <v>481</v>
      </c>
    </row>
    <row r="470" spans="1:18" x14ac:dyDescent="0.2">
      <c r="A470">
        <v>0</v>
      </c>
      <c r="B470" t="s">
        <v>55</v>
      </c>
      <c r="E470" t="s">
        <v>19</v>
      </c>
      <c r="F470">
        <v>1822925</v>
      </c>
      <c r="G470">
        <v>3</v>
      </c>
      <c r="H470">
        <v>1</v>
      </c>
      <c r="I470">
        <v>346</v>
      </c>
      <c r="J470">
        <v>1998</v>
      </c>
      <c r="K470" s="4">
        <v>45886</v>
      </c>
      <c r="L470" t="s">
        <v>23</v>
      </c>
      <c r="M470" t="s">
        <v>27</v>
      </c>
      <c r="N470">
        <v>1.8</v>
      </c>
      <c r="O470">
        <v>858</v>
      </c>
      <c r="P470">
        <v>4.72</v>
      </c>
      <c r="Q470">
        <v>138</v>
      </c>
      <c r="R470">
        <v>369</v>
      </c>
    </row>
    <row r="471" spans="1:18" x14ac:dyDescent="0.2">
      <c r="A471">
        <v>1</v>
      </c>
      <c r="B471" t="s">
        <v>53</v>
      </c>
      <c r="E471" t="s">
        <v>36</v>
      </c>
      <c r="F471">
        <v>2710868</v>
      </c>
      <c r="G471">
        <v>5</v>
      </c>
      <c r="H471">
        <v>3</v>
      </c>
      <c r="I471">
        <v>237</v>
      </c>
      <c r="J471">
        <v>2001</v>
      </c>
      <c r="K471" s="4">
        <v>45488</v>
      </c>
      <c r="L471" t="s">
        <v>26</v>
      </c>
      <c r="M471" t="s">
        <v>82</v>
      </c>
      <c r="N471">
        <v>2.37</v>
      </c>
      <c r="O471">
        <v>1658</v>
      </c>
      <c r="P471">
        <v>5</v>
      </c>
      <c r="Q471">
        <v>264</v>
      </c>
      <c r="R471">
        <v>686</v>
      </c>
    </row>
    <row r="472" spans="1:18" x14ac:dyDescent="0.2">
      <c r="A472">
        <v>5</v>
      </c>
      <c r="B472" t="s">
        <v>105</v>
      </c>
      <c r="E472" t="s">
        <v>29</v>
      </c>
      <c r="F472">
        <v>2211936</v>
      </c>
      <c r="G472">
        <v>4</v>
      </c>
      <c r="H472">
        <v>2</v>
      </c>
      <c r="I472">
        <v>299</v>
      </c>
      <c r="J472">
        <v>2003</v>
      </c>
      <c r="K472" s="4">
        <v>44911</v>
      </c>
      <c r="L472" t="s">
        <v>20</v>
      </c>
      <c r="M472" t="s">
        <v>97</v>
      </c>
      <c r="N472">
        <v>2.68</v>
      </c>
      <c r="O472">
        <v>1200</v>
      </c>
      <c r="P472">
        <v>0.53</v>
      </c>
      <c r="Q472">
        <v>340</v>
      </c>
      <c r="R472">
        <v>500</v>
      </c>
    </row>
    <row r="473" spans="1:18" x14ac:dyDescent="0.2">
      <c r="A473">
        <v>1</v>
      </c>
      <c r="B473" t="s">
        <v>41</v>
      </c>
      <c r="E473" t="s">
        <v>36</v>
      </c>
      <c r="F473">
        <v>2645953</v>
      </c>
      <c r="G473">
        <v>4</v>
      </c>
      <c r="H473">
        <v>1</v>
      </c>
      <c r="I473">
        <v>471</v>
      </c>
      <c r="J473">
        <v>1991</v>
      </c>
      <c r="K473" s="4">
        <v>45885</v>
      </c>
      <c r="L473" t="s">
        <v>20</v>
      </c>
      <c r="M473" t="s">
        <v>63</v>
      </c>
      <c r="N473">
        <v>2.34</v>
      </c>
      <c r="O473">
        <v>1044</v>
      </c>
      <c r="P473">
        <v>2.5499999999999998</v>
      </c>
      <c r="Q473">
        <v>262</v>
      </c>
      <c r="R473">
        <v>354</v>
      </c>
    </row>
    <row r="474" spans="1:18" x14ac:dyDescent="0.2">
      <c r="A474">
        <v>2</v>
      </c>
      <c r="B474" t="s">
        <v>101</v>
      </c>
      <c r="E474" t="s">
        <v>19</v>
      </c>
      <c r="F474">
        <v>2884517</v>
      </c>
      <c r="G474">
        <v>1</v>
      </c>
      <c r="H474">
        <v>2</v>
      </c>
      <c r="I474">
        <v>128</v>
      </c>
      <c r="J474">
        <v>1995</v>
      </c>
      <c r="K474" s="4">
        <v>44553</v>
      </c>
      <c r="L474" t="s">
        <v>30</v>
      </c>
      <c r="M474" t="s">
        <v>42</v>
      </c>
      <c r="N474">
        <v>3.43</v>
      </c>
      <c r="O474">
        <v>2495</v>
      </c>
      <c r="P474">
        <v>4.2</v>
      </c>
      <c r="Q474">
        <v>92</v>
      </c>
      <c r="R474">
        <v>401</v>
      </c>
    </row>
    <row r="475" spans="1:18" x14ac:dyDescent="0.2">
      <c r="A475">
        <v>6</v>
      </c>
      <c r="B475" t="s">
        <v>80</v>
      </c>
      <c r="E475" t="s">
        <v>19</v>
      </c>
      <c r="F475">
        <v>704142</v>
      </c>
      <c r="G475">
        <v>2</v>
      </c>
      <c r="H475">
        <v>2</v>
      </c>
      <c r="I475">
        <v>316</v>
      </c>
      <c r="J475">
        <v>2008</v>
      </c>
      <c r="K475" s="4">
        <v>45073</v>
      </c>
      <c r="L475" t="s">
        <v>26</v>
      </c>
      <c r="M475" t="s">
        <v>35</v>
      </c>
      <c r="N475">
        <v>2.58</v>
      </c>
      <c r="O475">
        <v>1253</v>
      </c>
      <c r="P475">
        <v>2.11</v>
      </c>
      <c r="Q475">
        <v>214</v>
      </c>
      <c r="R475">
        <v>385</v>
      </c>
    </row>
    <row r="476" spans="1:18" x14ac:dyDescent="0.2">
      <c r="A476">
        <v>1</v>
      </c>
      <c r="B476" t="s">
        <v>44</v>
      </c>
      <c r="E476" t="s">
        <v>29</v>
      </c>
      <c r="F476">
        <v>835060</v>
      </c>
      <c r="G476">
        <v>2</v>
      </c>
      <c r="H476">
        <v>1</v>
      </c>
      <c r="I476">
        <v>874</v>
      </c>
      <c r="J476">
        <v>1963</v>
      </c>
      <c r="K476" s="4">
        <v>44606</v>
      </c>
      <c r="L476" t="s">
        <v>30</v>
      </c>
      <c r="M476" t="s">
        <v>40</v>
      </c>
      <c r="N476">
        <v>1.78</v>
      </c>
      <c r="O476">
        <v>1672</v>
      </c>
      <c r="P476">
        <v>0.32</v>
      </c>
      <c r="Q476">
        <v>233</v>
      </c>
      <c r="R476">
        <v>514</v>
      </c>
    </row>
    <row r="477" spans="1:18" x14ac:dyDescent="0.2">
      <c r="A477">
        <v>2</v>
      </c>
      <c r="B477" t="s">
        <v>75</v>
      </c>
      <c r="E477" t="s">
        <v>19</v>
      </c>
      <c r="F477">
        <v>1360453</v>
      </c>
      <c r="G477">
        <v>3</v>
      </c>
      <c r="H477">
        <v>3</v>
      </c>
      <c r="I477">
        <v>69</v>
      </c>
      <c r="J477">
        <v>1992</v>
      </c>
      <c r="K477" s="4">
        <v>44885</v>
      </c>
      <c r="L477" t="s">
        <v>26</v>
      </c>
      <c r="M477" t="s">
        <v>58</v>
      </c>
      <c r="N477">
        <v>2.74</v>
      </c>
      <c r="O477">
        <v>1486</v>
      </c>
      <c r="P477">
        <v>1.64</v>
      </c>
      <c r="Q477">
        <v>236</v>
      </c>
      <c r="R477">
        <v>437</v>
      </c>
    </row>
    <row r="478" spans="1:18" x14ac:dyDescent="0.2">
      <c r="A478">
        <v>0</v>
      </c>
      <c r="B478" t="s">
        <v>41</v>
      </c>
      <c r="E478" t="s">
        <v>36</v>
      </c>
      <c r="F478">
        <v>2125292</v>
      </c>
      <c r="G478">
        <v>4</v>
      </c>
      <c r="H478">
        <v>3</v>
      </c>
      <c r="I478">
        <v>913</v>
      </c>
      <c r="J478">
        <v>2003</v>
      </c>
      <c r="K478" s="4">
        <v>44559</v>
      </c>
      <c r="L478" t="s">
        <v>23</v>
      </c>
      <c r="M478" t="s">
        <v>59</v>
      </c>
      <c r="N478">
        <v>2.78</v>
      </c>
      <c r="O478">
        <v>943</v>
      </c>
      <c r="P478">
        <v>2.64</v>
      </c>
      <c r="Q478">
        <v>173</v>
      </c>
      <c r="R478">
        <v>688</v>
      </c>
    </row>
    <row r="479" spans="1:18" x14ac:dyDescent="0.2">
      <c r="A479">
        <v>8</v>
      </c>
      <c r="B479" t="s">
        <v>80</v>
      </c>
      <c r="E479" t="s">
        <v>19</v>
      </c>
      <c r="F479">
        <v>1041720</v>
      </c>
      <c r="G479">
        <v>1</v>
      </c>
      <c r="H479">
        <v>2</v>
      </c>
      <c r="I479">
        <v>952</v>
      </c>
      <c r="J479">
        <v>1978</v>
      </c>
      <c r="K479" s="4">
        <v>44788</v>
      </c>
      <c r="L479" t="s">
        <v>23</v>
      </c>
      <c r="M479" t="s">
        <v>42</v>
      </c>
      <c r="N479">
        <v>2.65</v>
      </c>
      <c r="O479">
        <v>2467</v>
      </c>
      <c r="P479">
        <v>1.63</v>
      </c>
      <c r="Q479">
        <v>81</v>
      </c>
      <c r="R479">
        <v>586</v>
      </c>
    </row>
    <row r="480" spans="1:18" x14ac:dyDescent="0.2">
      <c r="A480">
        <v>0</v>
      </c>
      <c r="B480" t="s">
        <v>105</v>
      </c>
      <c r="E480" t="s">
        <v>19</v>
      </c>
      <c r="F480">
        <v>476652</v>
      </c>
      <c r="G480">
        <v>0</v>
      </c>
      <c r="H480">
        <v>3</v>
      </c>
      <c r="I480">
        <v>135</v>
      </c>
      <c r="J480">
        <v>1968</v>
      </c>
      <c r="K480" s="4">
        <v>45020</v>
      </c>
      <c r="L480" t="s">
        <v>26</v>
      </c>
      <c r="M480" t="s">
        <v>70</v>
      </c>
      <c r="N480">
        <v>2.13</v>
      </c>
      <c r="O480">
        <v>2312</v>
      </c>
      <c r="P480">
        <v>3.12</v>
      </c>
      <c r="Q480">
        <v>53</v>
      </c>
      <c r="R480">
        <v>651</v>
      </c>
    </row>
    <row r="481" spans="1:18" x14ac:dyDescent="0.2">
      <c r="A481">
        <v>1</v>
      </c>
      <c r="B481" t="s">
        <v>91</v>
      </c>
      <c r="E481" t="s">
        <v>29</v>
      </c>
      <c r="F481">
        <v>2941910</v>
      </c>
      <c r="G481">
        <v>4</v>
      </c>
      <c r="H481">
        <v>1</v>
      </c>
      <c r="I481">
        <v>717</v>
      </c>
      <c r="J481">
        <v>2018</v>
      </c>
      <c r="K481" s="4">
        <v>44943</v>
      </c>
      <c r="L481" t="s">
        <v>30</v>
      </c>
      <c r="M481" t="s">
        <v>82</v>
      </c>
      <c r="N481">
        <v>3.38</v>
      </c>
      <c r="O481">
        <v>1003</v>
      </c>
      <c r="P481">
        <v>1.54</v>
      </c>
      <c r="Q481">
        <v>215</v>
      </c>
      <c r="R481">
        <v>674</v>
      </c>
    </row>
    <row r="482" spans="1:18" x14ac:dyDescent="0.2">
      <c r="A482">
        <v>6</v>
      </c>
      <c r="B482" t="s">
        <v>43</v>
      </c>
      <c r="E482" t="s">
        <v>51</v>
      </c>
      <c r="F482">
        <v>545687</v>
      </c>
      <c r="G482">
        <v>6</v>
      </c>
      <c r="H482">
        <v>3</v>
      </c>
      <c r="I482">
        <v>518</v>
      </c>
      <c r="J482">
        <v>1976</v>
      </c>
      <c r="K482" s="4">
        <v>45462</v>
      </c>
      <c r="L482" t="s">
        <v>23</v>
      </c>
      <c r="M482" t="s">
        <v>59</v>
      </c>
      <c r="N482">
        <v>2.17</v>
      </c>
      <c r="O482">
        <v>1179</v>
      </c>
      <c r="P482">
        <v>3.75</v>
      </c>
      <c r="Q482">
        <v>385</v>
      </c>
      <c r="R482">
        <v>406</v>
      </c>
    </row>
    <row r="483" spans="1:18" x14ac:dyDescent="0.2">
      <c r="A483">
        <v>9</v>
      </c>
      <c r="B483" t="s">
        <v>62</v>
      </c>
      <c r="E483" t="s">
        <v>36</v>
      </c>
      <c r="F483">
        <v>2565970</v>
      </c>
      <c r="G483">
        <v>1</v>
      </c>
      <c r="H483">
        <v>1</v>
      </c>
      <c r="I483">
        <v>801</v>
      </c>
      <c r="J483">
        <v>2000</v>
      </c>
      <c r="K483" s="4">
        <v>45178</v>
      </c>
      <c r="L483" t="s">
        <v>23</v>
      </c>
      <c r="M483" t="s">
        <v>66</v>
      </c>
      <c r="N483">
        <v>2.99</v>
      </c>
      <c r="O483">
        <v>828</v>
      </c>
      <c r="P483">
        <v>4.34</v>
      </c>
      <c r="Q483">
        <v>112</v>
      </c>
      <c r="R483">
        <v>653</v>
      </c>
    </row>
    <row r="484" spans="1:18" x14ac:dyDescent="0.2">
      <c r="A484">
        <v>4</v>
      </c>
      <c r="B484" t="s">
        <v>71</v>
      </c>
      <c r="E484" t="s">
        <v>29</v>
      </c>
      <c r="F484">
        <v>2349690</v>
      </c>
      <c r="G484">
        <v>2</v>
      </c>
      <c r="H484">
        <v>1</v>
      </c>
      <c r="I484">
        <v>206</v>
      </c>
      <c r="J484">
        <v>1963</v>
      </c>
      <c r="K484" s="4">
        <v>44414</v>
      </c>
      <c r="L484" t="s">
        <v>20</v>
      </c>
      <c r="M484" t="s">
        <v>45</v>
      </c>
      <c r="N484">
        <v>2.44</v>
      </c>
      <c r="O484">
        <v>1475</v>
      </c>
      <c r="P484">
        <v>4.2</v>
      </c>
      <c r="Q484">
        <v>100</v>
      </c>
      <c r="R484">
        <v>396</v>
      </c>
    </row>
    <row r="485" spans="1:18" x14ac:dyDescent="0.2">
      <c r="A485">
        <v>1</v>
      </c>
      <c r="B485" t="s">
        <v>48</v>
      </c>
      <c r="E485" t="s">
        <v>36</v>
      </c>
      <c r="F485">
        <v>1493488</v>
      </c>
      <c r="G485">
        <v>2</v>
      </c>
      <c r="H485">
        <v>3</v>
      </c>
      <c r="I485">
        <v>744</v>
      </c>
      <c r="J485">
        <v>2009</v>
      </c>
      <c r="K485" s="4">
        <v>44810</v>
      </c>
      <c r="L485" t="s">
        <v>26</v>
      </c>
      <c r="M485" t="s">
        <v>76</v>
      </c>
      <c r="N485">
        <v>1.5</v>
      </c>
      <c r="O485">
        <v>2228</v>
      </c>
      <c r="P485">
        <v>2.38</v>
      </c>
      <c r="Q485">
        <v>96</v>
      </c>
      <c r="R485">
        <v>530</v>
      </c>
    </row>
    <row r="486" spans="1:18" x14ac:dyDescent="0.2">
      <c r="A486">
        <v>3</v>
      </c>
      <c r="B486" t="s">
        <v>73</v>
      </c>
      <c r="E486" t="s">
        <v>36</v>
      </c>
      <c r="F486">
        <v>536044</v>
      </c>
      <c r="G486">
        <v>3</v>
      </c>
      <c r="H486">
        <v>2</v>
      </c>
      <c r="I486">
        <v>915</v>
      </c>
      <c r="J486">
        <v>1992</v>
      </c>
      <c r="K486" s="4">
        <v>44118</v>
      </c>
      <c r="L486" t="s">
        <v>20</v>
      </c>
      <c r="M486" t="s">
        <v>47</v>
      </c>
      <c r="N486">
        <v>1.56</v>
      </c>
      <c r="O486">
        <v>1874</v>
      </c>
      <c r="P486">
        <v>3.75</v>
      </c>
      <c r="Q486">
        <v>106</v>
      </c>
      <c r="R486">
        <v>640</v>
      </c>
    </row>
    <row r="487" spans="1:18" x14ac:dyDescent="0.2">
      <c r="A487">
        <v>5</v>
      </c>
      <c r="B487" t="s">
        <v>73</v>
      </c>
      <c r="E487" t="s">
        <v>29</v>
      </c>
      <c r="F487">
        <v>2330660</v>
      </c>
      <c r="G487">
        <v>6</v>
      </c>
      <c r="H487">
        <v>3</v>
      </c>
      <c r="I487">
        <v>861</v>
      </c>
      <c r="J487">
        <v>1954</v>
      </c>
      <c r="K487" s="4">
        <v>44618</v>
      </c>
      <c r="L487" t="s">
        <v>23</v>
      </c>
      <c r="M487" t="s">
        <v>52</v>
      </c>
      <c r="N487">
        <v>1.6</v>
      </c>
      <c r="O487">
        <v>1511</v>
      </c>
      <c r="P487">
        <v>1.06</v>
      </c>
      <c r="Q487">
        <v>381</v>
      </c>
      <c r="R487">
        <v>333</v>
      </c>
    </row>
    <row r="488" spans="1:18" x14ac:dyDescent="0.2">
      <c r="A488">
        <v>3</v>
      </c>
      <c r="B488" t="s">
        <v>72</v>
      </c>
      <c r="E488" t="s">
        <v>19</v>
      </c>
      <c r="F488">
        <v>1178732</v>
      </c>
      <c r="G488">
        <v>3</v>
      </c>
      <c r="H488">
        <v>2</v>
      </c>
      <c r="I488">
        <v>827</v>
      </c>
      <c r="J488">
        <v>2001</v>
      </c>
      <c r="K488" s="4">
        <v>45626</v>
      </c>
      <c r="L488" t="s">
        <v>26</v>
      </c>
      <c r="M488" t="s">
        <v>33</v>
      </c>
      <c r="N488">
        <v>2.2599999999999998</v>
      </c>
      <c r="O488">
        <v>909</v>
      </c>
      <c r="P488">
        <v>4.3099999999999996</v>
      </c>
      <c r="Q488">
        <v>123</v>
      </c>
      <c r="R488">
        <v>627</v>
      </c>
    </row>
    <row r="489" spans="1:18" x14ac:dyDescent="0.2">
      <c r="A489">
        <v>8</v>
      </c>
      <c r="B489" t="s">
        <v>41</v>
      </c>
      <c r="E489" t="s">
        <v>29</v>
      </c>
      <c r="F489">
        <v>580179</v>
      </c>
      <c r="G489">
        <v>3</v>
      </c>
      <c r="H489">
        <v>3</v>
      </c>
      <c r="I489">
        <v>926</v>
      </c>
      <c r="J489">
        <v>1988</v>
      </c>
      <c r="K489" s="4">
        <v>44777</v>
      </c>
      <c r="L489" t="s">
        <v>30</v>
      </c>
      <c r="M489" t="s">
        <v>37</v>
      </c>
      <c r="N489">
        <v>2.11</v>
      </c>
      <c r="O489">
        <v>1058</v>
      </c>
      <c r="P489">
        <v>1.1399999999999999</v>
      </c>
      <c r="Q489">
        <v>156</v>
      </c>
      <c r="R489">
        <v>410</v>
      </c>
    </row>
    <row r="490" spans="1:18" x14ac:dyDescent="0.2">
      <c r="A490">
        <v>6</v>
      </c>
      <c r="B490" t="s">
        <v>43</v>
      </c>
      <c r="E490" t="s">
        <v>36</v>
      </c>
      <c r="F490">
        <v>811032</v>
      </c>
      <c r="G490">
        <v>6</v>
      </c>
      <c r="H490">
        <v>2</v>
      </c>
      <c r="I490">
        <v>267</v>
      </c>
      <c r="J490">
        <v>1960</v>
      </c>
      <c r="K490" s="4">
        <v>45880</v>
      </c>
      <c r="L490" t="s">
        <v>20</v>
      </c>
      <c r="M490" t="s">
        <v>52</v>
      </c>
      <c r="N490">
        <v>2.11</v>
      </c>
      <c r="O490">
        <v>972</v>
      </c>
      <c r="P490">
        <v>4.45</v>
      </c>
      <c r="Q490">
        <v>352</v>
      </c>
      <c r="R490">
        <v>634</v>
      </c>
    </row>
    <row r="491" spans="1:18" x14ac:dyDescent="0.2">
      <c r="A491">
        <v>6</v>
      </c>
      <c r="B491" t="s">
        <v>48</v>
      </c>
      <c r="E491" t="s">
        <v>51</v>
      </c>
      <c r="F491">
        <v>1594003</v>
      </c>
      <c r="G491">
        <v>1</v>
      </c>
      <c r="H491">
        <v>2</v>
      </c>
      <c r="I491">
        <v>989</v>
      </c>
      <c r="J491">
        <v>2001</v>
      </c>
      <c r="K491" s="4">
        <v>44682</v>
      </c>
      <c r="L491" t="s">
        <v>26</v>
      </c>
      <c r="M491" t="s">
        <v>74</v>
      </c>
      <c r="N491">
        <v>2.2200000000000002</v>
      </c>
      <c r="O491">
        <v>2124</v>
      </c>
      <c r="P491">
        <v>3.53</v>
      </c>
      <c r="Q491">
        <v>100</v>
      </c>
      <c r="R491">
        <v>489</v>
      </c>
    </row>
    <row r="492" spans="1:18" x14ac:dyDescent="0.2">
      <c r="A492">
        <v>3</v>
      </c>
      <c r="B492" t="s">
        <v>102</v>
      </c>
      <c r="E492" t="s">
        <v>51</v>
      </c>
      <c r="F492">
        <v>1522207</v>
      </c>
      <c r="G492">
        <v>4</v>
      </c>
      <c r="H492">
        <v>3</v>
      </c>
      <c r="I492">
        <v>411</v>
      </c>
      <c r="J492">
        <v>2003</v>
      </c>
      <c r="K492" s="4">
        <v>44295</v>
      </c>
      <c r="L492" t="s">
        <v>23</v>
      </c>
      <c r="M492" t="s">
        <v>33</v>
      </c>
      <c r="N492">
        <v>1.8</v>
      </c>
      <c r="O492">
        <v>2016</v>
      </c>
      <c r="P492">
        <v>3.99</v>
      </c>
      <c r="Q492">
        <v>217</v>
      </c>
      <c r="R492">
        <v>631</v>
      </c>
    </row>
    <row r="493" spans="1:18" x14ac:dyDescent="0.2">
      <c r="A493">
        <v>9</v>
      </c>
      <c r="B493" t="s">
        <v>50</v>
      </c>
      <c r="E493" t="s">
        <v>29</v>
      </c>
      <c r="F493">
        <v>1891807</v>
      </c>
      <c r="G493">
        <v>3</v>
      </c>
      <c r="H493">
        <v>3</v>
      </c>
      <c r="I493">
        <v>867</v>
      </c>
      <c r="J493">
        <v>1975</v>
      </c>
      <c r="K493" s="4">
        <v>45596</v>
      </c>
      <c r="L493" t="s">
        <v>30</v>
      </c>
      <c r="M493" t="s">
        <v>31</v>
      </c>
      <c r="N493">
        <v>2.2999999999999998</v>
      </c>
      <c r="O493">
        <v>2316</v>
      </c>
      <c r="P493">
        <v>1.45</v>
      </c>
      <c r="Q493">
        <v>244</v>
      </c>
      <c r="R493">
        <v>325</v>
      </c>
    </row>
    <row r="494" spans="1:18" x14ac:dyDescent="0.2">
      <c r="A494">
        <v>7</v>
      </c>
      <c r="B494" t="s">
        <v>34</v>
      </c>
      <c r="E494" t="s">
        <v>29</v>
      </c>
      <c r="F494">
        <v>2248231</v>
      </c>
      <c r="G494">
        <v>6</v>
      </c>
      <c r="H494">
        <v>3</v>
      </c>
      <c r="I494">
        <v>313</v>
      </c>
      <c r="J494">
        <v>2000</v>
      </c>
      <c r="K494" s="4">
        <v>44276</v>
      </c>
      <c r="L494" t="s">
        <v>26</v>
      </c>
      <c r="M494" t="s">
        <v>47</v>
      </c>
      <c r="N494">
        <v>2.2200000000000002</v>
      </c>
      <c r="O494">
        <v>1056</v>
      </c>
      <c r="P494">
        <v>1.04</v>
      </c>
      <c r="Q494">
        <v>324</v>
      </c>
      <c r="R494">
        <v>425</v>
      </c>
    </row>
    <row r="495" spans="1:18" x14ac:dyDescent="0.2">
      <c r="A495">
        <v>6</v>
      </c>
      <c r="B495" t="s">
        <v>88</v>
      </c>
      <c r="E495" t="s">
        <v>36</v>
      </c>
      <c r="F495">
        <v>2284746</v>
      </c>
      <c r="G495">
        <v>3</v>
      </c>
      <c r="H495">
        <v>1</v>
      </c>
      <c r="I495">
        <v>359</v>
      </c>
      <c r="J495">
        <v>2017</v>
      </c>
      <c r="K495" s="4">
        <v>44851</v>
      </c>
      <c r="L495" t="s">
        <v>20</v>
      </c>
      <c r="M495" t="s">
        <v>27</v>
      </c>
      <c r="N495">
        <v>1.86</v>
      </c>
      <c r="O495">
        <v>2137</v>
      </c>
      <c r="P495">
        <v>1.1299999999999999</v>
      </c>
      <c r="Q495">
        <v>111</v>
      </c>
      <c r="R495">
        <v>330</v>
      </c>
    </row>
    <row r="496" spans="1:18" x14ac:dyDescent="0.2">
      <c r="A496">
        <v>6</v>
      </c>
      <c r="B496" t="s">
        <v>34</v>
      </c>
      <c r="E496" t="s">
        <v>36</v>
      </c>
      <c r="F496">
        <v>2291317</v>
      </c>
      <c r="G496">
        <v>4</v>
      </c>
      <c r="H496">
        <v>2</v>
      </c>
      <c r="I496">
        <v>711</v>
      </c>
      <c r="J496">
        <v>1972</v>
      </c>
      <c r="K496" s="4">
        <v>45253</v>
      </c>
      <c r="L496" t="s">
        <v>20</v>
      </c>
      <c r="M496" t="s">
        <v>78</v>
      </c>
      <c r="N496">
        <v>2.69</v>
      </c>
      <c r="O496">
        <v>1117</v>
      </c>
      <c r="P496">
        <v>2.2799999999999998</v>
      </c>
      <c r="Q496">
        <v>261</v>
      </c>
      <c r="R496">
        <v>481</v>
      </c>
    </row>
    <row r="497" spans="1:18" x14ac:dyDescent="0.2">
      <c r="A497">
        <v>4</v>
      </c>
      <c r="B497" t="s">
        <v>87</v>
      </c>
      <c r="E497" t="s">
        <v>29</v>
      </c>
      <c r="F497">
        <v>998574</v>
      </c>
      <c r="G497">
        <v>3</v>
      </c>
      <c r="H497">
        <v>3</v>
      </c>
      <c r="I497">
        <v>939</v>
      </c>
      <c r="J497">
        <v>1955</v>
      </c>
      <c r="K497" s="4">
        <v>45007</v>
      </c>
      <c r="L497" t="s">
        <v>26</v>
      </c>
      <c r="M497" t="s">
        <v>78</v>
      </c>
      <c r="N497">
        <v>1.89</v>
      </c>
      <c r="O497">
        <v>2280</v>
      </c>
      <c r="P497">
        <v>1.68</v>
      </c>
      <c r="Q497">
        <v>165</v>
      </c>
      <c r="R497">
        <v>523</v>
      </c>
    </row>
    <row r="498" spans="1:18" x14ac:dyDescent="0.2">
      <c r="A498">
        <v>9</v>
      </c>
      <c r="B498" t="s">
        <v>39</v>
      </c>
      <c r="E498" t="s">
        <v>19</v>
      </c>
      <c r="F498">
        <v>2291611</v>
      </c>
      <c r="G498">
        <v>4</v>
      </c>
      <c r="H498">
        <v>1</v>
      </c>
      <c r="I498">
        <v>566</v>
      </c>
      <c r="J498">
        <v>1982</v>
      </c>
      <c r="K498" s="4">
        <v>45460</v>
      </c>
      <c r="L498" t="s">
        <v>20</v>
      </c>
      <c r="M498" t="s">
        <v>21</v>
      </c>
      <c r="N498">
        <v>1.92</v>
      </c>
      <c r="O498">
        <v>1473</v>
      </c>
      <c r="P498">
        <v>4.12</v>
      </c>
      <c r="Q498">
        <v>265</v>
      </c>
      <c r="R498">
        <v>623</v>
      </c>
    </row>
    <row r="499" spans="1:18" x14ac:dyDescent="0.2">
      <c r="A499">
        <v>6</v>
      </c>
      <c r="B499" t="s">
        <v>98</v>
      </c>
      <c r="E499" t="s">
        <v>29</v>
      </c>
      <c r="F499">
        <v>1808306</v>
      </c>
      <c r="G499">
        <v>6</v>
      </c>
      <c r="H499">
        <v>2</v>
      </c>
      <c r="I499">
        <v>531</v>
      </c>
      <c r="J499">
        <v>1975</v>
      </c>
      <c r="K499" s="4">
        <v>44375</v>
      </c>
      <c r="L499" t="s">
        <v>30</v>
      </c>
      <c r="M499" t="s">
        <v>27</v>
      </c>
      <c r="N499">
        <v>2.81</v>
      </c>
      <c r="O499">
        <v>2484</v>
      </c>
      <c r="P499">
        <v>1.67</v>
      </c>
      <c r="Q499">
        <v>368</v>
      </c>
      <c r="R499">
        <v>608</v>
      </c>
    </row>
    <row r="500" spans="1:18" x14ac:dyDescent="0.2">
      <c r="A500">
        <v>7</v>
      </c>
      <c r="B500" t="s">
        <v>22</v>
      </c>
      <c r="E500" t="s">
        <v>19</v>
      </c>
      <c r="F500">
        <v>2213841</v>
      </c>
      <c r="G500">
        <v>3</v>
      </c>
      <c r="H500">
        <v>2</v>
      </c>
      <c r="I500">
        <v>53</v>
      </c>
      <c r="J500">
        <v>1987</v>
      </c>
      <c r="K500" s="4">
        <v>45571</v>
      </c>
      <c r="L500" t="s">
        <v>20</v>
      </c>
      <c r="M500" t="s">
        <v>58</v>
      </c>
      <c r="N500">
        <v>2.06</v>
      </c>
      <c r="O500">
        <v>800</v>
      </c>
      <c r="P500">
        <v>2.0099999999999998</v>
      </c>
      <c r="Q500">
        <v>179</v>
      </c>
      <c r="R500">
        <v>609</v>
      </c>
    </row>
    <row r="501" spans="1:18" x14ac:dyDescent="0.2">
      <c r="A501">
        <v>7</v>
      </c>
      <c r="B501" t="s">
        <v>57</v>
      </c>
      <c r="E501" t="s">
        <v>19</v>
      </c>
      <c r="F501">
        <v>2670010</v>
      </c>
      <c r="G501">
        <v>4</v>
      </c>
      <c r="H501">
        <v>1</v>
      </c>
      <c r="I501">
        <v>276</v>
      </c>
      <c r="J501">
        <v>1972</v>
      </c>
      <c r="K501" s="4">
        <v>44330</v>
      </c>
      <c r="L501" t="s">
        <v>30</v>
      </c>
      <c r="M501" t="s">
        <v>60</v>
      </c>
      <c r="N501">
        <v>1.89</v>
      </c>
      <c r="O501">
        <v>1356</v>
      </c>
      <c r="P501">
        <v>4.7</v>
      </c>
      <c r="Q501">
        <v>264</v>
      </c>
      <c r="R501">
        <v>552</v>
      </c>
    </row>
    <row r="502" spans="1:18" x14ac:dyDescent="0.2">
      <c r="A502">
        <v>8</v>
      </c>
      <c r="B502" t="s">
        <v>87</v>
      </c>
      <c r="E502" t="s">
        <v>19</v>
      </c>
      <c r="F502">
        <v>2170715</v>
      </c>
      <c r="G502">
        <v>5</v>
      </c>
      <c r="H502">
        <v>1</v>
      </c>
      <c r="I502">
        <v>998</v>
      </c>
      <c r="J502">
        <v>1960</v>
      </c>
      <c r="K502" s="4">
        <v>44735</v>
      </c>
      <c r="L502" t="s">
        <v>30</v>
      </c>
      <c r="M502" t="s">
        <v>33</v>
      </c>
      <c r="N502">
        <v>2.04</v>
      </c>
      <c r="O502">
        <v>1967</v>
      </c>
      <c r="P502">
        <v>0.28999999999999998</v>
      </c>
      <c r="Q502">
        <v>297</v>
      </c>
      <c r="R502">
        <v>488</v>
      </c>
    </row>
    <row r="503" spans="1:18" x14ac:dyDescent="0.2">
      <c r="A503">
        <v>2</v>
      </c>
      <c r="B503" t="s">
        <v>61</v>
      </c>
      <c r="E503" t="s">
        <v>19</v>
      </c>
      <c r="F503">
        <v>1967222</v>
      </c>
      <c r="G503">
        <v>2</v>
      </c>
      <c r="H503">
        <v>2</v>
      </c>
      <c r="I503">
        <v>996</v>
      </c>
      <c r="J503">
        <v>1965</v>
      </c>
      <c r="K503" s="4">
        <v>45550</v>
      </c>
      <c r="L503" t="s">
        <v>30</v>
      </c>
      <c r="M503" t="s">
        <v>52</v>
      </c>
      <c r="N503">
        <v>1.94</v>
      </c>
      <c r="O503">
        <v>2043</v>
      </c>
      <c r="P503">
        <v>4.67</v>
      </c>
      <c r="Q503">
        <v>78</v>
      </c>
      <c r="R503">
        <v>461</v>
      </c>
    </row>
    <row r="504" spans="1:18" x14ac:dyDescent="0.2">
      <c r="A504">
        <v>6</v>
      </c>
      <c r="B504" t="s">
        <v>93</v>
      </c>
      <c r="E504" t="s">
        <v>29</v>
      </c>
      <c r="F504">
        <v>1430306</v>
      </c>
      <c r="G504">
        <v>5</v>
      </c>
      <c r="H504">
        <v>3</v>
      </c>
      <c r="I504">
        <v>447</v>
      </c>
      <c r="J504">
        <v>2007</v>
      </c>
      <c r="K504" s="4">
        <v>45228</v>
      </c>
      <c r="L504" t="s">
        <v>30</v>
      </c>
      <c r="M504" t="s">
        <v>78</v>
      </c>
      <c r="N504">
        <v>3.27</v>
      </c>
      <c r="O504">
        <v>1801</v>
      </c>
      <c r="P504">
        <v>0.48</v>
      </c>
      <c r="Q504">
        <v>337</v>
      </c>
      <c r="R504">
        <v>663</v>
      </c>
    </row>
    <row r="505" spans="1:18" x14ac:dyDescent="0.2">
      <c r="A505">
        <v>5</v>
      </c>
      <c r="B505" t="s">
        <v>65</v>
      </c>
      <c r="E505" t="s">
        <v>29</v>
      </c>
      <c r="F505">
        <v>2737544</v>
      </c>
      <c r="G505">
        <v>4</v>
      </c>
      <c r="H505">
        <v>2</v>
      </c>
      <c r="I505">
        <v>711</v>
      </c>
      <c r="J505">
        <v>1950</v>
      </c>
      <c r="K505" s="4">
        <v>45285</v>
      </c>
      <c r="L505" t="s">
        <v>26</v>
      </c>
      <c r="M505" t="s">
        <v>76</v>
      </c>
      <c r="N505">
        <v>2.35</v>
      </c>
      <c r="O505">
        <v>1427</v>
      </c>
      <c r="P505">
        <v>1.63</v>
      </c>
      <c r="Q505">
        <v>268</v>
      </c>
      <c r="R505">
        <v>305</v>
      </c>
    </row>
    <row r="506" spans="1:18" x14ac:dyDescent="0.2">
      <c r="A506">
        <v>2</v>
      </c>
      <c r="B506" t="s">
        <v>99</v>
      </c>
      <c r="E506" t="s">
        <v>29</v>
      </c>
      <c r="F506">
        <v>2794318</v>
      </c>
      <c r="G506">
        <v>2</v>
      </c>
      <c r="H506">
        <v>1</v>
      </c>
      <c r="I506">
        <v>377</v>
      </c>
      <c r="J506">
        <v>1969</v>
      </c>
      <c r="K506" s="4">
        <v>45356</v>
      </c>
      <c r="L506" t="s">
        <v>30</v>
      </c>
      <c r="M506" t="s">
        <v>33</v>
      </c>
      <c r="N506">
        <v>2.62</v>
      </c>
      <c r="O506">
        <v>874</v>
      </c>
      <c r="P506">
        <v>4.12</v>
      </c>
      <c r="Q506">
        <v>59</v>
      </c>
      <c r="R506">
        <v>578</v>
      </c>
    </row>
    <row r="507" spans="1:18" x14ac:dyDescent="0.2">
      <c r="A507">
        <v>8</v>
      </c>
      <c r="B507" t="s">
        <v>46</v>
      </c>
      <c r="E507" t="s">
        <v>29</v>
      </c>
      <c r="F507">
        <v>987676</v>
      </c>
      <c r="G507">
        <v>4</v>
      </c>
      <c r="H507">
        <v>2</v>
      </c>
      <c r="I507">
        <v>486</v>
      </c>
      <c r="J507">
        <v>1989</v>
      </c>
      <c r="K507" s="4">
        <v>44935</v>
      </c>
      <c r="L507" t="s">
        <v>23</v>
      </c>
      <c r="M507" t="s">
        <v>52</v>
      </c>
      <c r="N507">
        <v>1.9</v>
      </c>
      <c r="O507">
        <v>2153</v>
      </c>
      <c r="P507">
        <v>0.59</v>
      </c>
      <c r="Q507">
        <v>212</v>
      </c>
      <c r="R507">
        <v>356</v>
      </c>
    </row>
    <row r="508" spans="1:18" x14ac:dyDescent="0.2">
      <c r="A508">
        <v>0</v>
      </c>
      <c r="B508" t="s">
        <v>39</v>
      </c>
      <c r="E508" t="s">
        <v>36</v>
      </c>
      <c r="F508">
        <v>1703536</v>
      </c>
      <c r="G508">
        <v>4</v>
      </c>
      <c r="H508">
        <v>2</v>
      </c>
      <c r="I508">
        <v>672</v>
      </c>
      <c r="J508">
        <v>2015</v>
      </c>
      <c r="K508" s="4">
        <v>44807</v>
      </c>
      <c r="L508" t="s">
        <v>30</v>
      </c>
      <c r="M508" t="s">
        <v>89</v>
      </c>
      <c r="N508">
        <v>1.57</v>
      </c>
      <c r="O508">
        <v>1051</v>
      </c>
      <c r="P508">
        <v>1.93</v>
      </c>
      <c r="Q508">
        <v>185</v>
      </c>
      <c r="R508">
        <v>398</v>
      </c>
    </row>
    <row r="509" spans="1:18" x14ac:dyDescent="0.2">
      <c r="A509">
        <v>4</v>
      </c>
      <c r="B509" t="s">
        <v>79</v>
      </c>
      <c r="E509" t="s">
        <v>51</v>
      </c>
      <c r="F509">
        <v>2050144</v>
      </c>
      <c r="G509">
        <v>6</v>
      </c>
      <c r="H509">
        <v>2</v>
      </c>
      <c r="I509">
        <v>783</v>
      </c>
      <c r="J509">
        <v>1969</v>
      </c>
      <c r="K509" s="4">
        <v>44796</v>
      </c>
      <c r="L509" t="s">
        <v>23</v>
      </c>
      <c r="M509" t="s">
        <v>33</v>
      </c>
      <c r="N509">
        <v>1.91</v>
      </c>
      <c r="O509">
        <v>1464</v>
      </c>
      <c r="P509">
        <v>3.82</v>
      </c>
      <c r="Q509">
        <v>366</v>
      </c>
      <c r="R509">
        <v>613</v>
      </c>
    </row>
    <row r="510" spans="1:18" x14ac:dyDescent="0.2">
      <c r="A510">
        <v>1</v>
      </c>
      <c r="B510" t="s">
        <v>48</v>
      </c>
      <c r="E510" t="s">
        <v>19</v>
      </c>
      <c r="F510">
        <v>2679967</v>
      </c>
      <c r="G510">
        <v>4</v>
      </c>
      <c r="H510">
        <v>2</v>
      </c>
      <c r="I510">
        <v>892</v>
      </c>
      <c r="J510">
        <v>1983</v>
      </c>
      <c r="K510" s="4">
        <v>44204</v>
      </c>
      <c r="L510" t="s">
        <v>23</v>
      </c>
      <c r="M510" t="s">
        <v>47</v>
      </c>
      <c r="N510">
        <v>1.77</v>
      </c>
      <c r="O510">
        <v>2124</v>
      </c>
      <c r="P510">
        <v>1.1100000000000001</v>
      </c>
      <c r="Q510">
        <v>218</v>
      </c>
      <c r="R510">
        <v>428</v>
      </c>
    </row>
    <row r="511" spans="1:18" x14ac:dyDescent="0.2">
      <c r="A511">
        <v>6</v>
      </c>
      <c r="B511" t="s">
        <v>72</v>
      </c>
      <c r="E511" t="s">
        <v>29</v>
      </c>
      <c r="F511">
        <v>2727080</v>
      </c>
      <c r="G511">
        <v>4</v>
      </c>
      <c r="H511">
        <v>3</v>
      </c>
      <c r="I511">
        <v>514</v>
      </c>
      <c r="J511">
        <v>1970</v>
      </c>
      <c r="K511" s="4">
        <v>44128</v>
      </c>
      <c r="L511" t="s">
        <v>20</v>
      </c>
      <c r="M511" t="s">
        <v>27</v>
      </c>
      <c r="N511">
        <v>2.44</v>
      </c>
      <c r="O511">
        <v>1307</v>
      </c>
      <c r="P511">
        <v>3.39</v>
      </c>
      <c r="Q511">
        <v>237</v>
      </c>
      <c r="R511">
        <v>435</v>
      </c>
    </row>
    <row r="512" spans="1:18" x14ac:dyDescent="0.2">
      <c r="A512">
        <v>9</v>
      </c>
      <c r="B512" t="s">
        <v>80</v>
      </c>
      <c r="E512" t="s">
        <v>36</v>
      </c>
      <c r="F512">
        <v>650005</v>
      </c>
      <c r="G512">
        <v>5</v>
      </c>
      <c r="H512">
        <v>1</v>
      </c>
      <c r="I512">
        <v>203</v>
      </c>
      <c r="J512">
        <v>1974</v>
      </c>
      <c r="K512" s="4">
        <v>45510</v>
      </c>
      <c r="L512" t="s">
        <v>30</v>
      </c>
      <c r="M512" t="s">
        <v>27</v>
      </c>
      <c r="N512">
        <v>2</v>
      </c>
      <c r="O512">
        <v>2343</v>
      </c>
      <c r="P512">
        <v>2.95</v>
      </c>
      <c r="Q512">
        <v>313</v>
      </c>
      <c r="R512">
        <v>453</v>
      </c>
    </row>
    <row r="513" spans="1:18" x14ac:dyDescent="0.2">
      <c r="A513">
        <v>0</v>
      </c>
      <c r="B513" t="s">
        <v>101</v>
      </c>
      <c r="E513" t="s">
        <v>51</v>
      </c>
      <c r="F513">
        <v>2203177</v>
      </c>
      <c r="G513">
        <v>3</v>
      </c>
      <c r="H513">
        <v>2</v>
      </c>
      <c r="I513">
        <v>629</v>
      </c>
      <c r="J513">
        <v>1950</v>
      </c>
      <c r="K513" s="4">
        <v>45661</v>
      </c>
      <c r="L513" t="s">
        <v>26</v>
      </c>
      <c r="M513" t="s">
        <v>78</v>
      </c>
      <c r="N513">
        <v>3.31</v>
      </c>
      <c r="O513">
        <v>1826</v>
      </c>
      <c r="P513">
        <v>2.92</v>
      </c>
      <c r="Q513">
        <v>179</v>
      </c>
      <c r="R513">
        <v>399</v>
      </c>
    </row>
    <row r="514" spans="1:18" x14ac:dyDescent="0.2">
      <c r="A514">
        <v>1</v>
      </c>
      <c r="B514" t="s">
        <v>57</v>
      </c>
      <c r="E514" t="s">
        <v>36</v>
      </c>
      <c r="F514">
        <v>1628844</v>
      </c>
      <c r="G514">
        <v>1</v>
      </c>
      <c r="H514">
        <v>1</v>
      </c>
      <c r="I514">
        <v>703</v>
      </c>
      <c r="J514">
        <v>2008</v>
      </c>
      <c r="K514" s="4">
        <v>45203</v>
      </c>
      <c r="L514" t="s">
        <v>30</v>
      </c>
      <c r="M514" t="s">
        <v>35</v>
      </c>
      <c r="N514">
        <v>1.91</v>
      </c>
      <c r="O514">
        <v>971</v>
      </c>
      <c r="P514">
        <v>2.0299999999999998</v>
      </c>
      <c r="Q514">
        <v>111</v>
      </c>
      <c r="R514">
        <v>473</v>
      </c>
    </row>
    <row r="515" spans="1:18" x14ac:dyDescent="0.2">
      <c r="A515">
        <v>9</v>
      </c>
      <c r="B515" t="s">
        <v>49</v>
      </c>
      <c r="E515" t="s">
        <v>29</v>
      </c>
      <c r="F515">
        <v>2046680</v>
      </c>
      <c r="G515">
        <v>2</v>
      </c>
      <c r="H515">
        <v>1</v>
      </c>
      <c r="I515">
        <v>593</v>
      </c>
      <c r="J515">
        <v>1999</v>
      </c>
      <c r="K515" s="4">
        <v>45449</v>
      </c>
      <c r="L515" t="s">
        <v>26</v>
      </c>
      <c r="M515" t="s">
        <v>24</v>
      </c>
      <c r="N515">
        <v>2.97</v>
      </c>
      <c r="O515">
        <v>2263</v>
      </c>
      <c r="P515">
        <v>4.72</v>
      </c>
      <c r="Q515">
        <v>81</v>
      </c>
      <c r="R515">
        <v>486</v>
      </c>
    </row>
    <row r="516" spans="1:18" x14ac:dyDescent="0.2">
      <c r="A516">
        <v>7</v>
      </c>
      <c r="B516" t="s">
        <v>34</v>
      </c>
      <c r="E516" t="s">
        <v>19</v>
      </c>
      <c r="F516">
        <v>674186</v>
      </c>
      <c r="G516">
        <v>2</v>
      </c>
      <c r="H516">
        <v>3</v>
      </c>
      <c r="I516">
        <v>993</v>
      </c>
      <c r="J516">
        <v>1990</v>
      </c>
      <c r="K516" s="4">
        <v>45120</v>
      </c>
      <c r="L516" t="s">
        <v>30</v>
      </c>
      <c r="M516" t="s">
        <v>58</v>
      </c>
      <c r="N516">
        <v>2.93</v>
      </c>
      <c r="O516">
        <v>1715</v>
      </c>
      <c r="P516">
        <v>4.9000000000000004</v>
      </c>
      <c r="Q516">
        <v>114</v>
      </c>
      <c r="R516">
        <v>313</v>
      </c>
    </row>
    <row r="517" spans="1:18" x14ac:dyDescent="0.2">
      <c r="A517">
        <v>1</v>
      </c>
      <c r="B517" t="s">
        <v>55</v>
      </c>
      <c r="E517" t="s">
        <v>51</v>
      </c>
      <c r="F517">
        <v>2345221</v>
      </c>
      <c r="G517">
        <v>2</v>
      </c>
      <c r="H517">
        <v>2</v>
      </c>
      <c r="I517">
        <v>999</v>
      </c>
      <c r="J517">
        <v>1975</v>
      </c>
      <c r="K517" s="4">
        <v>44253</v>
      </c>
      <c r="L517" t="s">
        <v>20</v>
      </c>
      <c r="M517" t="s">
        <v>59</v>
      </c>
      <c r="N517">
        <v>1.84</v>
      </c>
      <c r="O517">
        <v>2012</v>
      </c>
      <c r="P517">
        <v>2.2200000000000002</v>
      </c>
      <c r="Q517">
        <v>68</v>
      </c>
      <c r="R517">
        <v>658</v>
      </c>
    </row>
    <row r="518" spans="1:18" x14ac:dyDescent="0.2">
      <c r="A518">
        <v>5</v>
      </c>
      <c r="B518" t="s">
        <v>87</v>
      </c>
      <c r="E518" t="s">
        <v>19</v>
      </c>
      <c r="F518">
        <v>1119741</v>
      </c>
      <c r="G518">
        <v>0</v>
      </c>
      <c r="H518">
        <v>1</v>
      </c>
      <c r="I518">
        <v>521</v>
      </c>
      <c r="J518">
        <v>1985</v>
      </c>
      <c r="K518" s="4">
        <v>45586</v>
      </c>
      <c r="L518" t="s">
        <v>26</v>
      </c>
      <c r="M518" t="s">
        <v>97</v>
      </c>
      <c r="N518">
        <v>3.29</v>
      </c>
      <c r="O518">
        <v>1868</v>
      </c>
      <c r="P518">
        <v>4.0199999999999996</v>
      </c>
      <c r="Q518">
        <v>62</v>
      </c>
      <c r="R518">
        <v>423</v>
      </c>
    </row>
    <row r="519" spans="1:18" x14ac:dyDescent="0.2">
      <c r="A519">
        <v>1</v>
      </c>
      <c r="B519" t="s">
        <v>73</v>
      </c>
      <c r="E519" t="s">
        <v>19</v>
      </c>
      <c r="F519">
        <v>1702323</v>
      </c>
      <c r="G519">
        <v>3</v>
      </c>
      <c r="H519">
        <v>3</v>
      </c>
      <c r="I519">
        <v>605</v>
      </c>
      <c r="J519">
        <v>1976</v>
      </c>
      <c r="K519" s="4">
        <v>45591</v>
      </c>
      <c r="L519" t="s">
        <v>30</v>
      </c>
      <c r="M519" t="s">
        <v>21</v>
      </c>
      <c r="N519">
        <v>2.06</v>
      </c>
      <c r="O519">
        <v>2444</v>
      </c>
      <c r="P519">
        <v>3.32</v>
      </c>
      <c r="Q519">
        <v>161</v>
      </c>
      <c r="R519">
        <v>675</v>
      </c>
    </row>
    <row r="520" spans="1:18" x14ac:dyDescent="0.2">
      <c r="A520">
        <v>8</v>
      </c>
      <c r="B520" t="s">
        <v>106</v>
      </c>
      <c r="E520" t="s">
        <v>29</v>
      </c>
      <c r="F520">
        <v>2755253</v>
      </c>
      <c r="G520">
        <v>4</v>
      </c>
      <c r="H520">
        <v>3</v>
      </c>
      <c r="I520">
        <v>193</v>
      </c>
      <c r="J520">
        <v>2018</v>
      </c>
      <c r="K520" s="4">
        <v>45112</v>
      </c>
      <c r="L520" t="s">
        <v>23</v>
      </c>
      <c r="M520" t="s">
        <v>97</v>
      </c>
      <c r="N520">
        <v>2.16</v>
      </c>
      <c r="O520">
        <v>2012</v>
      </c>
      <c r="P520">
        <v>0.14000000000000001</v>
      </c>
      <c r="Q520">
        <v>358</v>
      </c>
      <c r="R520">
        <v>670</v>
      </c>
    </row>
    <row r="521" spans="1:18" x14ac:dyDescent="0.2">
      <c r="A521">
        <v>3</v>
      </c>
      <c r="B521" t="s">
        <v>93</v>
      </c>
      <c r="E521" t="s">
        <v>19</v>
      </c>
      <c r="F521">
        <v>2802020</v>
      </c>
      <c r="G521">
        <v>3</v>
      </c>
      <c r="H521">
        <v>3</v>
      </c>
      <c r="I521">
        <v>936</v>
      </c>
      <c r="J521">
        <v>2017</v>
      </c>
      <c r="K521" s="4">
        <v>44792</v>
      </c>
      <c r="L521" t="s">
        <v>26</v>
      </c>
      <c r="M521" t="s">
        <v>42</v>
      </c>
      <c r="N521">
        <v>2.0699999999999998</v>
      </c>
      <c r="O521">
        <v>1544</v>
      </c>
      <c r="P521">
        <v>1.73</v>
      </c>
      <c r="Q521">
        <v>242</v>
      </c>
      <c r="R521">
        <v>308</v>
      </c>
    </row>
    <row r="522" spans="1:18" x14ac:dyDescent="0.2">
      <c r="A522">
        <v>2</v>
      </c>
      <c r="B522" t="s">
        <v>44</v>
      </c>
      <c r="E522" t="s">
        <v>51</v>
      </c>
      <c r="F522">
        <v>1546245</v>
      </c>
      <c r="G522">
        <v>4</v>
      </c>
      <c r="H522">
        <v>1</v>
      </c>
      <c r="I522">
        <v>220</v>
      </c>
      <c r="J522">
        <v>1985</v>
      </c>
      <c r="K522" s="4">
        <v>44067</v>
      </c>
      <c r="L522" t="s">
        <v>26</v>
      </c>
      <c r="M522" t="s">
        <v>52</v>
      </c>
      <c r="N522">
        <v>3.18</v>
      </c>
      <c r="O522">
        <v>1917</v>
      </c>
      <c r="P522">
        <v>2.08</v>
      </c>
      <c r="Q522">
        <v>220</v>
      </c>
      <c r="R522">
        <v>363</v>
      </c>
    </row>
    <row r="523" spans="1:18" x14ac:dyDescent="0.2">
      <c r="A523">
        <v>3</v>
      </c>
      <c r="B523" t="s">
        <v>62</v>
      </c>
      <c r="E523" t="s">
        <v>19</v>
      </c>
      <c r="F523">
        <v>2944339</v>
      </c>
      <c r="G523">
        <v>6</v>
      </c>
      <c r="H523">
        <v>3</v>
      </c>
      <c r="I523">
        <v>426</v>
      </c>
      <c r="J523">
        <v>1962</v>
      </c>
      <c r="K523" s="4">
        <v>45040</v>
      </c>
      <c r="L523" t="s">
        <v>30</v>
      </c>
      <c r="M523" t="s">
        <v>82</v>
      </c>
      <c r="N523">
        <v>3.31</v>
      </c>
      <c r="O523">
        <v>1134</v>
      </c>
      <c r="P523">
        <v>3.97</v>
      </c>
      <c r="Q523">
        <v>381</v>
      </c>
      <c r="R523">
        <v>613</v>
      </c>
    </row>
    <row r="524" spans="1:18" x14ac:dyDescent="0.2">
      <c r="A524">
        <v>6</v>
      </c>
      <c r="B524" t="s">
        <v>72</v>
      </c>
      <c r="E524" t="s">
        <v>19</v>
      </c>
      <c r="F524">
        <v>1058838</v>
      </c>
      <c r="G524">
        <v>4</v>
      </c>
      <c r="H524">
        <v>1</v>
      </c>
      <c r="I524">
        <v>181</v>
      </c>
      <c r="J524">
        <v>1957</v>
      </c>
      <c r="K524" s="4">
        <v>45656</v>
      </c>
      <c r="L524" t="s">
        <v>26</v>
      </c>
      <c r="M524" t="s">
        <v>85</v>
      </c>
      <c r="N524">
        <v>2.2400000000000002</v>
      </c>
      <c r="O524">
        <v>1197</v>
      </c>
      <c r="P524">
        <v>4.26</v>
      </c>
      <c r="Q524">
        <v>285</v>
      </c>
      <c r="R524">
        <v>302</v>
      </c>
    </row>
    <row r="525" spans="1:18" x14ac:dyDescent="0.2">
      <c r="A525">
        <v>1</v>
      </c>
      <c r="B525" t="s">
        <v>65</v>
      </c>
      <c r="E525" t="s">
        <v>36</v>
      </c>
      <c r="F525">
        <v>1330115</v>
      </c>
      <c r="G525">
        <v>3</v>
      </c>
      <c r="H525">
        <v>3</v>
      </c>
      <c r="I525">
        <v>652</v>
      </c>
      <c r="J525">
        <v>1994</v>
      </c>
      <c r="K525" s="4">
        <v>45231</v>
      </c>
      <c r="L525" t="s">
        <v>26</v>
      </c>
      <c r="M525" t="s">
        <v>68</v>
      </c>
      <c r="N525">
        <v>2.3199999999999998</v>
      </c>
      <c r="O525">
        <v>1357</v>
      </c>
      <c r="P525">
        <v>1.49</v>
      </c>
      <c r="Q525">
        <v>292</v>
      </c>
      <c r="R525">
        <v>311</v>
      </c>
    </row>
    <row r="526" spans="1:18" x14ac:dyDescent="0.2">
      <c r="A526">
        <v>8</v>
      </c>
      <c r="B526" t="s">
        <v>65</v>
      </c>
      <c r="E526" t="s">
        <v>51</v>
      </c>
      <c r="F526">
        <v>1388611</v>
      </c>
      <c r="G526">
        <v>1</v>
      </c>
      <c r="H526">
        <v>2</v>
      </c>
      <c r="I526">
        <v>146</v>
      </c>
      <c r="J526">
        <v>2006</v>
      </c>
      <c r="K526" s="4">
        <v>44326</v>
      </c>
      <c r="L526" t="s">
        <v>20</v>
      </c>
      <c r="M526" t="s">
        <v>42</v>
      </c>
      <c r="N526">
        <v>3.35</v>
      </c>
      <c r="O526">
        <v>1851</v>
      </c>
      <c r="P526">
        <v>3.31</v>
      </c>
      <c r="Q526">
        <v>96</v>
      </c>
      <c r="R526">
        <v>612</v>
      </c>
    </row>
    <row r="527" spans="1:18" x14ac:dyDescent="0.2">
      <c r="A527">
        <v>4</v>
      </c>
      <c r="B527" t="s">
        <v>44</v>
      </c>
      <c r="E527" t="s">
        <v>36</v>
      </c>
      <c r="F527">
        <v>1847095</v>
      </c>
      <c r="G527">
        <v>0</v>
      </c>
      <c r="H527">
        <v>1</v>
      </c>
      <c r="I527">
        <v>686</v>
      </c>
      <c r="J527">
        <v>1959</v>
      </c>
      <c r="K527" s="4">
        <v>44736</v>
      </c>
      <c r="L527" t="s">
        <v>23</v>
      </c>
      <c r="M527" t="s">
        <v>35</v>
      </c>
      <c r="N527">
        <v>1.73</v>
      </c>
      <c r="O527">
        <v>1664</v>
      </c>
      <c r="P527">
        <v>3.9</v>
      </c>
      <c r="Q527">
        <v>45</v>
      </c>
      <c r="R527">
        <v>371</v>
      </c>
    </row>
    <row r="528" spans="1:18" x14ac:dyDescent="0.2">
      <c r="A528">
        <v>1</v>
      </c>
      <c r="B528" t="s">
        <v>43</v>
      </c>
      <c r="E528" t="s">
        <v>36</v>
      </c>
      <c r="F528">
        <v>2941171</v>
      </c>
      <c r="G528">
        <v>1</v>
      </c>
      <c r="H528">
        <v>2</v>
      </c>
      <c r="I528">
        <v>227</v>
      </c>
      <c r="J528">
        <v>2006</v>
      </c>
      <c r="K528" s="4">
        <v>44219</v>
      </c>
      <c r="L528" t="s">
        <v>20</v>
      </c>
      <c r="M528" t="s">
        <v>60</v>
      </c>
      <c r="N528">
        <v>1.62</v>
      </c>
      <c r="O528">
        <v>2251</v>
      </c>
      <c r="P528">
        <v>4.09</v>
      </c>
      <c r="Q528">
        <v>50</v>
      </c>
      <c r="R528">
        <v>312</v>
      </c>
    </row>
    <row r="529" spans="1:18" x14ac:dyDescent="0.2">
      <c r="A529">
        <v>5</v>
      </c>
      <c r="B529" t="s">
        <v>102</v>
      </c>
      <c r="E529" t="s">
        <v>19</v>
      </c>
      <c r="F529">
        <v>2710022</v>
      </c>
      <c r="G529">
        <v>2</v>
      </c>
      <c r="H529">
        <v>2</v>
      </c>
      <c r="I529">
        <v>707</v>
      </c>
      <c r="J529">
        <v>1995</v>
      </c>
      <c r="K529" s="4">
        <v>44130</v>
      </c>
      <c r="L529" t="s">
        <v>23</v>
      </c>
      <c r="M529" t="s">
        <v>59</v>
      </c>
      <c r="N529">
        <v>2.39</v>
      </c>
      <c r="O529">
        <v>2102</v>
      </c>
      <c r="P529">
        <v>4.54</v>
      </c>
      <c r="Q529">
        <v>45</v>
      </c>
      <c r="R529">
        <v>621</v>
      </c>
    </row>
    <row r="530" spans="1:18" x14ac:dyDescent="0.2">
      <c r="A530">
        <v>1</v>
      </c>
      <c r="B530" t="s">
        <v>53</v>
      </c>
      <c r="E530" t="s">
        <v>51</v>
      </c>
      <c r="F530">
        <v>1241543</v>
      </c>
      <c r="G530">
        <v>3</v>
      </c>
      <c r="H530">
        <v>3</v>
      </c>
      <c r="I530">
        <v>807</v>
      </c>
      <c r="J530">
        <v>2007</v>
      </c>
      <c r="K530" s="4">
        <v>44215</v>
      </c>
      <c r="L530" t="s">
        <v>26</v>
      </c>
      <c r="M530" t="s">
        <v>40</v>
      </c>
      <c r="N530">
        <v>2.2000000000000002</v>
      </c>
      <c r="O530">
        <v>1159</v>
      </c>
      <c r="P530">
        <v>3.99</v>
      </c>
      <c r="Q530">
        <v>252</v>
      </c>
      <c r="R530">
        <v>499</v>
      </c>
    </row>
    <row r="531" spans="1:18" x14ac:dyDescent="0.2">
      <c r="A531">
        <v>9</v>
      </c>
      <c r="B531" t="s">
        <v>34</v>
      </c>
      <c r="E531" t="s">
        <v>19</v>
      </c>
      <c r="F531">
        <v>480849</v>
      </c>
      <c r="G531">
        <v>4</v>
      </c>
      <c r="H531">
        <v>3</v>
      </c>
      <c r="I531">
        <v>813</v>
      </c>
      <c r="J531">
        <v>1960</v>
      </c>
      <c r="K531" s="4">
        <v>44779</v>
      </c>
      <c r="L531" t="s">
        <v>26</v>
      </c>
      <c r="M531" t="s">
        <v>97</v>
      </c>
      <c r="N531">
        <v>1.55</v>
      </c>
      <c r="O531">
        <v>2483</v>
      </c>
      <c r="P531">
        <v>1.06</v>
      </c>
      <c r="Q531">
        <v>358</v>
      </c>
      <c r="R531">
        <v>456</v>
      </c>
    </row>
    <row r="532" spans="1:18" x14ac:dyDescent="0.2">
      <c r="A532">
        <v>1</v>
      </c>
      <c r="B532" t="s">
        <v>38</v>
      </c>
      <c r="E532" t="s">
        <v>51</v>
      </c>
      <c r="F532">
        <v>1450769</v>
      </c>
      <c r="G532">
        <v>4</v>
      </c>
      <c r="H532">
        <v>2</v>
      </c>
      <c r="I532">
        <v>132</v>
      </c>
      <c r="J532">
        <v>1988</v>
      </c>
      <c r="K532" s="4">
        <v>45068</v>
      </c>
      <c r="L532" t="s">
        <v>26</v>
      </c>
      <c r="M532" t="s">
        <v>27</v>
      </c>
      <c r="N532">
        <v>2.5499999999999998</v>
      </c>
      <c r="O532">
        <v>880</v>
      </c>
      <c r="P532">
        <v>4.16</v>
      </c>
      <c r="Q532">
        <v>237</v>
      </c>
      <c r="R532">
        <v>653</v>
      </c>
    </row>
    <row r="533" spans="1:18" x14ac:dyDescent="0.2">
      <c r="A533">
        <v>6</v>
      </c>
      <c r="B533" t="s">
        <v>75</v>
      </c>
      <c r="E533" t="s">
        <v>19</v>
      </c>
      <c r="F533">
        <v>832147</v>
      </c>
      <c r="G533">
        <v>4</v>
      </c>
      <c r="H533">
        <v>2</v>
      </c>
      <c r="I533">
        <v>383</v>
      </c>
      <c r="J533">
        <v>1973</v>
      </c>
      <c r="K533" s="4">
        <v>45102</v>
      </c>
      <c r="L533" t="s">
        <v>20</v>
      </c>
      <c r="M533" t="s">
        <v>42</v>
      </c>
      <c r="N533">
        <v>1.7</v>
      </c>
      <c r="O533">
        <v>2481</v>
      </c>
      <c r="P533">
        <v>0.73</v>
      </c>
      <c r="Q533">
        <v>349</v>
      </c>
      <c r="R533">
        <v>640</v>
      </c>
    </row>
    <row r="534" spans="1:18" x14ac:dyDescent="0.2">
      <c r="A534">
        <v>8</v>
      </c>
      <c r="B534" t="s">
        <v>57</v>
      </c>
      <c r="E534" t="s">
        <v>19</v>
      </c>
      <c r="F534">
        <v>1573906</v>
      </c>
      <c r="G534">
        <v>4</v>
      </c>
      <c r="H534">
        <v>2</v>
      </c>
      <c r="I534">
        <v>612</v>
      </c>
      <c r="J534">
        <v>2004</v>
      </c>
      <c r="K534" s="4">
        <v>44880</v>
      </c>
      <c r="L534" t="s">
        <v>30</v>
      </c>
      <c r="M534" t="s">
        <v>78</v>
      </c>
      <c r="N534">
        <v>1.57</v>
      </c>
      <c r="O534">
        <v>1566</v>
      </c>
      <c r="P534">
        <v>2.72</v>
      </c>
      <c r="Q534">
        <v>246</v>
      </c>
      <c r="R534">
        <v>351</v>
      </c>
    </row>
    <row r="535" spans="1:18" x14ac:dyDescent="0.2">
      <c r="A535">
        <v>1</v>
      </c>
      <c r="B535" t="s">
        <v>101</v>
      </c>
      <c r="E535" t="s">
        <v>36</v>
      </c>
      <c r="F535">
        <v>2815359</v>
      </c>
      <c r="G535">
        <v>3</v>
      </c>
      <c r="H535">
        <v>1</v>
      </c>
      <c r="I535">
        <v>216</v>
      </c>
      <c r="J535">
        <v>1978</v>
      </c>
      <c r="K535" s="4">
        <v>44563</v>
      </c>
      <c r="L535" t="s">
        <v>26</v>
      </c>
      <c r="M535" t="s">
        <v>58</v>
      </c>
      <c r="N535">
        <v>3.27</v>
      </c>
      <c r="O535">
        <v>2072</v>
      </c>
      <c r="P535">
        <v>4.25</v>
      </c>
      <c r="Q535">
        <v>177</v>
      </c>
      <c r="R535">
        <v>636</v>
      </c>
    </row>
    <row r="536" spans="1:18" x14ac:dyDescent="0.2">
      <c r="A536">
        <v>9</v>
      </c>
      <c r="B536" t="s">
        <v>71</v>
      </c>
      <c r="E536" t="s">
        <v>19</v>
      </c>
      <c r="F536">
        <v>2591438</v>
      </c>
      <c r="G536">
        <v>2</v>
      </c>
      <c r="H536">
        <v>3</v>
      </c>
      <c r="I536">
        <v>953</v>
      </c>
      <c r="J536">
        <v>1995</v>
      </c>
      <c r="K536" s="4">
        <v>45236</v>
      </c>
      <c r="L536" t="s">
        <v>20</v>
      </c>
      <c r="M536" t="s">
        <v>35</v>
      </c>
      <c r="N536">
        <v>2.25</v>
      </c>
      <c r="O536">
        <v>1197</v>
      </c>
      <c r="P536">
        <v>4.17</v>
      </c>
      <c r="Q536">
        <v>188</v>
      </c>
      <c r="R536">
        <v>330</v>
      </c>
    </row>
    <row r="537" spans="1:18" x14ac:dyDescent="0.2">
      <c r="A537">
        <v>9</v>
      </c>
      <c r="B537" t="s">
        <v>25</v>
      </c>
      <c r="E537" t="s">
        <v>36</v>
      </c>
      <c r="F537">
        <v>1590250</v>
      </c>
      <c r="G537">
        <v>5</v>
      </c>
      <c r="H537">
        <v>2</v>
      </c>
      <c r="I537">
        <v>673</v>
      </c>
      <c r="J537">
        <v>1961</v>
      </c>
      <c r="K537" s="4">
        <v>45117</v>
      </c>
      <c r="L537" t="s">
        <v>20</v>
      </c>
      <c r="M537" t="s">
        <v>78</v>
      </c>
      <c r="N537">
        <v>2.5499999999999998</v>
      </c>
      <c r="O537">
        <v>1565</v>
      </c>
      <c r="P537">
        <v>2.75</v>
      </c>
      <c r="Q537">
        <v>387</v>
      </c>
      <c r="R537">
        <v>319</v>
      </c>
    </row>
    <row r="538" spans="1:18" x14ac:dyDescent="0.2">
      <c r="A538">
        <v>9</v>
      </c>
      <c r="B538" t="s">
        <v>106</v>
      </c>
      <c r="E538" t="s">
        <v>19</v>
      </c>
      <c r="F538">
        <v>2305510</v>
      </c>
      <c r="G538">
        <v>0</v>
      </c>
      <c r="H538">
        <v>2</v>
      </c>
      <c r="I538">
        <v>553</v>
      </c>
      <c r="J538">
        <v>2017</v>
      </c>
      <c r="K538" s="4">
        <v>45192</v>
      </c>
      <c r="L538" t="s">
        <v>30</v>
      </c>
      <c r="M538" t="s">
        <v>35</v>
      </c>
      <c r="N538">
        <v>1.82</v>
      </c>
      <c r="O538">
        <v>1191</v>
      </c>
      <c r="P538">
        <v>3.91</v>
      </c>
      <c r="Q538">
        <v>46</v>
      </c>
      <c r="R538">
        <v>327</v>
      </c>
    </row>
    <row r="539" spans="1:18" x14ac:dyDescent="0.2">
      <c r="A539">
        <v>9</v>
      </c>
      <c r="B539" t="s">
        <v>64</v>
      </c>
      <c r="E539" t="s">
        <v>19</v>
      </c>
      <c r="F539">
        <v>960840</v>
      </c>
      <c r="G539">
        <v>5</v>
      </c>
      <c r="H539">
        <v>2</v>
      </c>
      <c r="I539">
        <v>465</v>
      </c>
      <c r="J539">
        <v>1992</v>
      </c>
      <c r="K539" s="4">
        <v>45244</v>
      </c>
      <c r="L539" t="s">
        <v>20</v>
      </c>
      <c r="M539" t="s">
        <v>45</v>
      </c>
      <c r="N539">
        <v>2.93</v>
      </c>
      <c r="O539">
        <v>2334</v>
      </c>
      <c r="P539">
        <v>2.68</v>
      </c>
      <c r="Q539">
        <v>357</v>
      </c>
      <c r="R539">
        <v>353</v>
      </c>
    </row>
    <row r="540" spans="1:18" x14ac:dyDescent="0.2">
      <c r="A540">
        <v>8</v>
      </c>
      <c r="B540" t="s">
        <v>98</v>
      </c>
      <c r="E540" t="s">
        <v>29</v>
      </c>
      <c r="F540">
        <v>1340353</v>
      </c>
      <c r="G540">
        <v>2</v>
      </c>
      <c r="H540">
        <v>1</v>
      </c>
      <c r="I540">
        <v>317</v>
      </c>
      <c r="J540">
        <v>1967</v>
      </c>
      <c r="K540" s="4">
        <v>45512</v>
      </c>
      <c r="L540" t="s">
        <v>30</v>
      </c>
      <c r="M540" t="s">
        <v>89</v>
      </c>
      <c r="N540">
        <v>2.13</v>
      </c>
      <c r="O540">
        <v>2467</v>
      </c>
      <c r="P540">
        <v>0.23</v>
      </c>
      <c r="Q540">
        <v>62</v>
      </c>
      <c r="R540">
        <v>590</v>
      </c>
    </row>
    <row r="541" spans="1:18" x14ac:dyDescent="0.2">
      <c r="A541">
        <v>6</v>
      </c>
      <c r="B541" t="s">
        <v>57</v>
      </c>
      <c r="E541" t="s">
        <v>29</v>
      </c>
      <c r="F541">
        <v>2660614</v>
      </c>
      <c r="G541">
        <v>3</v>
      </c>
      <c r="H541">
        <v>3</v>
      </c>
      <c r="I541">
        <v>187</v>
      </c>
      <c r="J541">
        <v>2002</v>
      </c>
      <c r="K541" s="4">
        <v>45378</v>
      </c>
      <c r="L541" t="s">
        <v>20</v>
      </c>
      <c r="M541" t="s">
        <v>42</v>
      </c>
      <c r="N541">
        <v>1.87</v>
      </c>
      <c r="O541">
        <v>2179</v>
      </c>
      <c r="P541">
        <v>0.36</v>
      </c>
      <c r="Q541">
        <v>275</v>
      </c>
      <c r="R541">
        <v>518</v>
      </c>
    </row>
    <row r="542" spans="1:18" x14ac:dyDescent="0.2">
      <c r="A542">
        <v>7</v>
      </c>
      <c r="B542" t="s">
        <v>86</v>
      </c>
      <c r="E542" t="s">
        <v>29</v>
      </c>
      <c r="F542">
        <v>991767</v>
      </c>
      <c r="G542">
        <v>6</v>
      </c>
      <c r="H542">
        <v>3</v>
      </c>
      <c r="I542">
        <v>804</v>
      </c>
      <c r="J542">
        <v>1985</v>
      </c>
      <c r="K542" s="4">
        <v>44568</v>
      </c>
      <c r="L542" t="s">
        <v>30</v>
      </c>
      <c r="M542" t="s">
        <v>27</v>
      </c>
      <c r="N542">
        <v>2.81</v>
      </c>
      <c r="O542">
        <v>2248</v>
      </c>
      <c r="P542">
        <v>4.66</v>
      </c>
      <c r="Q542">
        <v>359</v>
      </c>
      <c r="R542">
        <v>499</v>
      </c>
    </row>
    <row r="543" spans="1:18" x14ac:dyDescent="0.2">
      <c r="A543">
        <v>4</v>
      </c>
      <c r="B543" t="s">
        <v>80</v>
      </c>
      <c r="E543" t="s">
        <v>36</v>
      </c>
      <c r="F543">
        <v>1642308</v>
      </c>
      <c r="G543">
        <v>4</v>
      </c>
      <c r="H543">
        <v>1</v>
      </c>
      <c r="I543">
        <v>207</v>
      </c>
      <c r="J543">
        <v>1957</v>
      </c>
      <c r="K543" s="4">
        <v>45838</v>
      </c>
      <c r="L543" t="s">
        <v>20</v>
      </c>
      <c r="M543" t="s">
        <v>69</v>
      </c>
      <c r="N543">
        <v>1.9</v>
      </c>
      <c r="O543">
        <v>2318</v>
      </c>
      <c r="P543">
        <v>3.35</v>
      </c>
      <c r="Q543">
        <v>216</v>
      </c>
      <c r="R543">
        <v>320</v>
      </c>
    </row>
    <row r="544" spans="1:18" x14ac:dyDescent="0.2">
      <c r="A544">
        <v>5</v>
      </c>
      <c r="B544" t="s">
        <v>106</v>
      </c>
      <c r="E544" t="s">
        <v>29</v>
      </c>
      <c r="F544">
        <v>1657682</v>
      </c>
      <c r="G544">
        <v>4</v>
      </c>
      <c r="H544">
        <v>1</v>
      </c>
      <c r="I544">
        <v>692</v>
      </c>
      <c r="J544">
        <v>1992</v>
      </c>
      <c r="K544" s="4">
        <v>44496</v>
      </c>
      <c r="L544" t="s">
        <v>30</v>
      </c>
      <c r="M544" t="s">
        <v>82</v>
      </c>
      <c r="N544">
        <v>2.0099999999999998</v>
      </c>
      <c r="O544">
        <v>2101</v>
      </c>
      <c r="P544">
        <v>3.63</v>
      </c>
      <c r="Q544">
        <v>175</v>
      </c>
      <c r="R544">
        <v>323</v>
      </c>
    </row>
    <row r="545" spans="1:18" x14ac:dyDescent="0.2">
      <c r="A545">
        <v>9</v>
      </c>
      <c r="B545" t="s">
        <v>72</v>
      </c>
      <c r="E545" t="s">
        <v>19</v>
      </c>
      <c r="F545">
        <v>1033161</v>
      </c>
      <c r="G545">
        <v>1</v>
      </c>
      <c r="H545">
        <v>1</v>
      </c>
      <c r="I545">
        <v>823</v>
      </c>
      <c r="J545">
        <v>1979</v>
      </c>
      <c r="K545" s="4">
        <v>44410</v>
      </c>
      <c r="L545" t="s">
        <v>20</v>
      </c>
      <c r="M545" t="s">
        <v>74</v>
      </c>
      <c r="N545">
        <v>2.87</v>
      </c>
      <c r="O545">
        <v>1167</v>
      </c>
      <c r="P545">
        <v>1.1599999999999999</v>
      </c>
      <c r="Q545">
        <v>82</v>
      </c>
      <c r="R545">
        <v>676</v>
      </c>
    </row>
    <row r="546" spans="1:18" x14ac:dyDescent="0.2">
      <c r="A546">
        <v>8</v>
      </c>
      <c r="B546" t="s">
        <v>100</v>
      </c>
      <c r="E546" t="s">
        <v>36</v>
      </c>
      <c r="F546">
        <v>2596099</v>
      </c>
      <c r="G546">
        <v>1</v>
      </c>
      <c r="H546">
        <v>2</v>
      </c>
      <c r="I546">
        <v>796</v>
      </c>
      <c r="J546">
        <v>1969</v>
      </c>
      <c r="K546" s="4">
        <v>44612</v>
      </c>
      <c r="L546" t="s">
        <v>30</v>
      </c>
      <c r="M546" t="s">
        <v>76</v>
      </c>
      <c r="N546">
        <v>2.4700000000000002</v>
      </c>
      <c r="O546">
        <v>942</v>
      </c>
      <c r="P546">
        <v>4.16</v>
      </c>
      <c r="Q546">
        <v>42</v>
      </c>
      <c r="R546">
        <v>577</v>
      </c>
    </row>
    <row r="547" spans="1:18" x14ac:dyDescent="0.2">
      <c r="A547">
        <v>4</v>
      </c>
      <c r="B547" t="s">
        <v>71</v>
      </c>
      <c r="E547" t="s">
        <v>36</v>
      </c>
      <c r="F547">
        <v>2614625</v>
      </c>
      <c r="G547">
        <v>2</v>
      </c>
      <c r="H547">
        <v>3</v>
      </c>
      <c r="I547">
        <v>782</v>
      </c>
      <c r="J547">
        <v>1966</v>
      </c>
      <c r="K547" s="4">
        <v>45434</v>
      </c>
      <c r="L547" t="s">
        <v>26</v>
      </c>
      <c r="M547" t="s">
        <v>66</v>
      </c>
      <c r="N547">
        <v>2.82</v>
      </c>
      <c r="O547">
        <v>2160</v>
      </c>
      <c r="P547">
        <v>1.76</v>
      </c>
      <c r="Q547">
        <v>178</v>
      </c>
      <c r="R547">
        <v>409</v>
      </c>
    </row>
    <row r="548" spans="1:18" x14ac:dyDescent="0.2">
      <c r="A548">
        <v>1</v>
      </c>
      <c r="B548" t="s">
        <v>96</v>
      </c>
      <c r="E548" t="s">
        <v>36</v>
      </c>
      <c r="F548">
        <v>2734057</v>
      </c>
      <c r="G548">
        <v>5</v>
      </c>
      <c r="H548">
        <v>2</v>
      </c>
      <c r="I548">
        <v>121</v>
      </c>
      <c r="J548">
        <v>1999</v>
      </c>
      <c r="K548" s="4">
        <v>45483</v>
      </c>
      <c r="L548" t="s">
        <v>30</v>
      </c>
      <c r="M548" t="s">
        <v>37</v>
      </c>
      <c r="N548">
        <v>3.18</v>
      </c>
      <c r="O548">
        <v>1868</v>
      </c>
      <c r="P548">
        <v>4.45</v>
      </c>
      <c r="Q548">
        <v>281</v>
      </c>
      <c r="R548">
        <v>498</v>
      </c>
    </row>
    <row r="549" spans="1:18" x14ac:dyDescent="0.2">
      <c r="A549">
        <v>8</v>
      </c>
      <c r="B549" t="s">
        <v>39</v>
      </c>
      <c r="E549" t="s">
        <v>36</v>
      </c>
      <c r="F549">
        <v>1272387</v>
      </c>
      <c r="G549">
        <v>1</v>
      </c>
      <c r="H549">
        <v>1</v>
      </c>
      <c r="I549">
        <v>761</v>
      </c>
      <c r="J549">
        <v>1974</v>
      </c>
      <c r="K549" s="4">
        <v>44611</v>
      </c>
      <c r="L549" t="s">
        <v>26</v>
      </c>
      <c r="M549" t="s">
        <v>21</v>
      </c>
      <c r="N549">
        <v>3.42</v>
      </c>
      <c r="O549">
        <v>2314</v>
      </c>
      <c r="P549">
        <v>1.1599999999999999</v>
      </c>
      <c r="Q549">
        <v>53</v>
      </c>
      <c r="R549">
        <v>661</v>
      </c>
    </row>
    <row r="550" spans="1:18" x14ac:dyDescent="0.2">
      <c r="A550">
        <v>2</v>
      </c>
      <c r="B550" t="s">
        <v>100</v>
      </c>
      <c r="E550" t="s">
        <v>19</v>
      </c>
      <c r="F550">
        <v>1785739</v>
      </c>
      <c r="G550">
        <v>5</v>
      </c>
      <c r="H550">
        <v>3</v>
      </c>
      <c r="I550">
        <v>339</v>
      </c>
      <c r="J550">
        <v>2013</v>
      </c>
      <c r="K550" s="4">
        <v>45845</v>
      </c>
      <c r="L550" t="s">
        <v>30</v>
      </c>
      <c r="M550" t="s">
        <v>60</v>
      </c>
      <c r="N550">
        <v>1.57</v>
      </c>
      <c r="O550">
        <v>2149</v>
      </c>
      <c r="P550">
        <v>2.98</v>
      </c>
      <c r="Q550">
        <v>339</v>
      </c>
      <c r="R550">
        <v>460</v>
      </c>
    </row>
    <row r="551" spans="1:18" x14ac:dyDescent="0.2">
      <c r="A551">
        <v>8</v>
      </c>
      <c r="B551" t="s">
        <v>98</v>
      </c>
      <c r="E551" t="s">
        <v>19</v>
      </c>
      <c r="F551">
        <v>1468035</v>
      </c>
      <c r="G551">
        <v>1</v>
      </c>
      <c r="H551">
        <v>1</v>
      </c>
      <c r="I551">
        <v>937</v>
      </c>
      <c r="J551">
        <v>1960</v>
      </c>
      <c r="K551" s="4">
        <v>44843</v>
      </c>
      <c r="L551" t="s">
        <v>26</v>
      </c>
      <c r="M551" t="s">
        <v>78</v>
      </c>
      <c r="N551">
        <v>3.09</v>
      </c>
      <c r="O551">
        <v>1541</v>
      </c>
      <c r="P551">
        <v>2.98</v>
      </c>
      <c r="Q551">
        <v>69</v>
      </c>
      <c r="R551">
        <v>497</v>
      </c>
    </row>
    <row r="552" spans="1:18" x14ac:dyDescent="0.2">
      <c r="A552">
        <v>7</v>
      </c>
      <c r="B552" t="s">
        <v>55</v>
      </c>
      <c r="E552" t="s">
        <v>19</v>
      </c>
      <c r="F552">
        <v>2076646</v>
      </c>
      <c r="G552">
        <v>3</v>
      </c>
      <c r="H552">
        <v>3</v>
      </c>
      <c r="I552">
        <v>266</v>
      </c>
      <c r="J552">
        <v>1988</v>
      </c>
      <c r="K552" s="4">
        <v>44672</v>
      </c>
      <c r="L552" t="s">
        <v>30</v>
      </c>
      <c r="M552" t="s">
        <v>42</v>
      </c>
      <c r="N552">
        <v>2.48</v>
      </c>
      <c r="O552">
        <v>1663</v>
      </c>
      <c r="P552">
        <v>3.4</v>
      </c>
      <c r="Q552">
        <v>260</v>
      </c>
      <c r="R552">
        <v>612</v>
      </c>
    </row>
    <row r="553" spans="1:18" x14ac:dyDescent="0.2">
      <c r="A553">
        <v>2</v>
      </c>
      <c r="B553" t="s">
        <v>90</v>
      </c>
      <c r="E553" t="s">
        <v>29</v>
      </c>
      <c r="F553">
        <v>2316676</v>
      </c>
      <c r="G553">
        <v>3</v>
      </c>
      <c r="H553">
        <v>3</v>
      </c>
      <c r="I553">
        <v>148</v>
      </c>
      <c r="J553">
        <v>1986</v>
      </c>
      <c r="K553" s="4">
        <v>45444</v>
      </c>
      <c r="L553" t="s">
        <v>30</v>
      </c>
      <c r="M553" t="s">
        <v>47</v>
      </c>
      <c r="N553">
        <v>3.46</v>
      </c>
      <c r="O553">
        <v>2429</v>
      </c>
      <c r="P553">
        <v>1.55</v>
      </c>
      <c r="Q553">
        <v>109</v>
      </c>
      <c r="R553">
        <v>541</v>
      </c>
    </row>
    <row r="554" spans="1:18" x14ac:dyDescent="0.2">
      <c r="A554">
        <v>4</v>
      </c>
      <c r="B554" t="s">
        <v>87</v>
      </c>
      <c r="E554" t="s">
        <v>29</v>
      </c>
      <c r="F554">
        <v>675395</v>
      </c>
      <c r="G554">
        <v>1</v>
      </c>
      <c r="H554">
        <v>2</v>
      </c>
      <c r="I554">
        <v>757</v>
      </c>
      <c r="J554">
        <v>1992</v>
      </c>
      <c r="K554" s="4">
        <v>45227</v>
      </c>
      <c r="L554" t="s">
        <v>30</v>
      </c>
      <c r="M554" t="s">
        <v>35</v>
      </c>
      <c r="N554">
        <v>2.95</v>
      </c>
      <c r="O554">
        <v>901</v>
      </c>
      <c r="P554">
        <v>2.1800000000000002</v>
      </c>
      <c r="Q554">
        <v>84</v>
      </c>
      <c r="R554">
        <v>407</v>
      </c>
    </row>
    <row r="555" spans="1:18" x14ac:dyDescent="0.2">
      <c r="A555">
        <v>5</v>
      </c>
      <c r="B555" t="s">
        <v>72</v>
      </c>
      <c r="E555" t="s">
        <v>19</v>
      </c>
      <c r="F555">
        <v>2625059</v>
      </c>
      <c r="G555">
        <v>0</v>
      </c>
      <c r="H555">
        <v>2</v>
      </c>
      <c r="I555">
        <v>902</v>
      </c>
      <c r="J555">
        <v>2010</v>
      </c>
      <c r="K555" s="4">
        <v>44630</v>
      </c>
      <c r="L555" t="s">
        <v>26</v>
      </c>
      <c r="M555" t="s">
        <v>97</v>
      </c>
      <c r="N555">
        <v>2.96</v>
      </c>
      <c r="O555">
        <v>2324</v>
      </c>
      <c r="P555">
        <v>2.94</v>
      </c>
      <c r="Q555">
        <v>49</v>
      </c>
      <c r="R555">
        <v>693</v>
      </c>
    </row>
    <row r="556" spans="1:18" x14ac:dyDescent="0.2">
      <c r="A556">
        <v>2</v>
      </c>
      <c r="B556" t="s">
        <v>81</v>
      </c>
      <c r="E556" t="s">
        <v>36</v>
      </c>
      <c r="F556">
        <v>2460996</v>
      </c>
      <c r="G556">
        <v>3</v>
      </c>
      <c r="H556">
        <v>3</v>
      </c>
      <c r="I556">
        <v>831</v>
      </c>
      <c r="J556">
        <v>2019</v>
      </c>
      <c r="K556" s="4">
        <v>44301</v>
      </c>
      <c r="L556" t="s">
        <v>23</v>
      </c>
      <c r="M556" t="s">
        <v>69</v>
      </c>
      <c r="N556">
        <v>2.92</v>
      </c>
      <c r="O556">
        <v>1442</v>
      </c>
      <c r="P556">
        <v>4.4400000000000004</v>
      </c>
      <c r="Q556">
        <v>99</v>
      </c>
      <c r="R556">
        <v>469</v>
      </c>
    </row>
    <row r="557" spans="1:18" x14ac:dyDescent="0.2">
      <c r="A557">
        <v>8</v>
      </c>
      <c r="B557" t="s">
        <v>96</v>
      </c>
      <c r="E557" t="s">
        <v>51</v>
      </c>
      <c r="F557">
        <v>2043730</v>
      </c>
      <c r="G557">
        <v>2</v>
      </c>
      <c r="H557">
        <v>2</v>
      </c>
      <c r="I557">
        <v>836</v>
      </c>
      <c r="J557">
        <v>1997</v>
      </c>
      <c r="K557" s="4">
        <v>44189</v>
      </c>
      <c r="L557" t="s">
        <v>30</v>
      </c>
      <c r="M557" t="s">
        <v>54</v>
      </c>
      <c r="N557">
        <v>3.22</v>
      </c>
      <c r="O557">
        <v>1254</v>
      </c>
      <c r="P557">
        <v>0.65</v>
      </c>
      <c r="Q557">
        <v>179</v>
      </c>
      <c r="R557">
        <v>393</v>
      </c>
    </row>
    <row r="558" spans="1:18" x14ac:dyDescent="0.2">
      <c r="A558">
        <v>4</v>
      </c>
      <c r="B558" t="s">
        <v>102</v>
      </c>
      <c r="E558" t="s">
        <v>36</v>
      </c>
      <c r="F558">
        <v>2546281</v>
      </c>
      <c r="G558">
        <v>2</v>
      </c>
      <c r="H558">
        <v>3</v>
      </c>
      <c r="I558">
        <v>213</v>
      </c>
      <c r="J558">
        <v>1964</v>
      </c>
      <c r="K558" s="4">
        <v>45538</v>
      </c>
      <c r="L558" t="s">
        <v>23</v>
      </c>
      <c r="M558" t="s">
        <v>54</v>
      </c>
      <c r="N558">
        <v>2.63</v>
      </c>
      <c r="O558">
        <v>2035</v>
      </c>
      <c r="P558">
        <v>3.83</v>
      </c>
      <c r="Q558">
        <v>171</v>
      </c>
      <c r="R558">
        <v>691</v>
      </c>
    </row>
    <row r="559" spans="1:18" x14ac:dyDescent="0.2">
      <c r="A559">
        <v>8</v>
      </c>
      <c r="B559" t="s">
        <v>106</v>
      </c>
      <c r="E559" t="s">
        <v>36</v>
      </c>
      <c r="F559">
        <v>1528674</v>
      </c>
      <c r="G559">
        <v>3</v>
      </c>
      <c r="H559">
        <v>3</v>
      </c>
      <c r="I559">
        <v>861</v>
      </c>
      <c r="J559">
        <v>1995</v>
      </c>
      <c r="K559" s="4">
        <v>44788</v>
      </c>
      <c r="L559" t="s">
        <v>23</v>
      </c>
      <c r="M559" t="s">
        <v>24</v>
      </c>
      <c r="N559">
        <v>2.57</v>
      </c>
      <c r="O559">
        <v>2082</v>
      </c>
      <c r="P559">
        <v>1.22</v>
      </c>
      <c r="Q559">
        <v>161</v>
      </c>
      <c r="R559">
        <v>528</v>
      </c>
    </row>
    <row r="560" spans="1:18" x14ac:dyDescent="0.2">
      <c r="A560">
        <v>3</v>
      </c>
      <c r="B560" t="s">
        <v>83</v>
      </c>
      <c r="E560" t="s">
        <v>19</v>
      </c>
      <c r="F560">
        <v>2576838</v>
      </c>
      <c r="G560">
        <v>3</v>
      </c>
      <c r="H560">
        <v>3</v>
      </c>
      <c r="I560">
        <v>529</v>
      </c>
      <c r="J560">
        <v>2006</v>
      </c>
      <c r="K560" s="4">
        <v>44147</v>
      </c>
      <c r="L560" t="s">
        <v>26</v>
      </c>
      <c r="M560" t="s">
        <v>24</v>
      </c>
      <c r="N560">
        <v>1.69</v>
      </c>
      <c r="O560">
        <v>2475</v>
      </c>
      <c r="P560">
        <v>2.97</v>
      </c>
      <c r="Q560">
        <v>195</v>
      </c>
      <c r="R560">
        <v>348</v>
      </c>
    </row>
    <row r="561" spans="1:18" x14ac:dyDescent="0.2">
      <c r="A561">
        <v>5</v>
      </c>
      <c r="B561" t="s">
        <v>46</v>
      </c>
      <c r="E561" t="s">
        <v>29</v>
      </c>
      <c r="F561">
        <v>617246</v>
      </c>
      <c r="G561">
        <v>6</v>
      </c>
      <c r="H561">
        <v>3</v>
      </c>
      <c r="I561">
        <v>443</v>
      </c>
      <c r="J561">
        <v>1990</v>
      </c>
      <c r="K561" s="4">
        <v>45713</v>
      </c>
      <c r="L561" t="s">
        <v>23</v>
      </c>
      <c r="M561" t="s">
        <v>82</v>
      </c>
      <c r="N561">
        <v>2.73</v>
      </c>
      <c r="O561">
        <v>2280</v>
      </c>
      <c r="P561">
        <v>3.94</v>
      </c>
      <c r="Q561">
        <v>395</v>
      </c>
      <c r="R561">
        <v>632</v>
      </c>
    </row>
    <row r="562" spans="1:18" x14ac:dyDescent="0.2">
      <c r="A562">
        <v>5</v>
      </c>
      <c r="B562" t="s">
        <v>99</v>
      </c>
      <c r="E562" t="s">
        <v>51</v>
      </c>
      <c r="F562">
        <v>1956610</v>
      </c>
      <c r="G562">
        <v>3</v>
      </c>
      <c r="H562">
        <v>2</v>
      </c>
      <c r="I562">
        <v>588</v>
      </c>
      <c r="J562">
        <v>2000</v>
      </c>
      <c r="K562" s="4">
        <v>44609</v>
      </c>
      <c r="L562" t="s">
        <v>23</v>
      </c>
      <c r="M562" t="s">
        <v>24</v>
      </c>
      <c r="N562">
        <v>1.77</v>
      </c>
      <c r="O562">
        <v>2466</v>
      </c>
      <c r="P562">
        <v>4.47</v>
      </c>
      <c r="Q562">
        <v>173</v>
      </c>
      <c r="R562">
        <v>700</v>
      </c>
    </row>
    <row r="563" spans="1:18" x14ac:dyDescent="0.2">
      <c r="A563">
        <v>2</v>
      </c>
      <c r="B563" t="s">
        <v>84</v>
      </c>
      <c r="E563" t="s">
        <v>19</v>
      </c>
      <c r="F563">
        <v>1940541</v>
      </c>
      <c r="G563">
        <v>2</v>
      </c>
      <c r="H563">
        <v>2</v>
      </c>
      <c r="I563">
        <v>757</v>
      </c>
      <c r="J563">
        <v>2004</v>
      </c>
      <c r="K563" s="4">
        <v>45835</v>
      </c>
      <c r="L563" t="s">
        <v>23</v>
      </c>
      <c r="M563" t="s">
        <v>40</v>
      </c>
      <c r="N563">
        <v>3.29</v>
      </c>
      <c r="O563">
        <v>2116</v>
      </c>
      <c r="P563">
        <v>2.95</v>
      </c>
      <c r="Q563">
        <v>169</v>
      </c>
      <c r="R563">
        <v>694</v>
      </c>
    </row>
    <row r="564" spans="1:18" x14ac:dyDescent="0.2">
      <c r="A564">
        <v>0</v>
      </c>
      <c r="B564" t="s">
        <v>34</v>
      </c>
      <c r="E564" t="s">
        <v>29</v>
      </c>
      <c r="F564">
        <v>1013161</v>
      </c>
      <c r="G564">
        <v>2</v>
      </c>
      <c r="H564">
        <v>2</v>
      </c>
      <c r="I564">
        <v>647</v>
      </c>
      <c r="J564">
        <v>1982</v>
      </c>
      <c r="K564" s="4">
        <v>45385</v>
      </c>
      <c r="L564" t="s">
        <v>23</v>
      </c>
      <c r="M564" t="s">
        <v>63</v>
      </c>
      <c r="N564">
        <v>1.77</v>
      </c>
      <c r="O564">
        <v>2224</v>
      </c>
      <c r="P564">
        <v>4.29</v>
      </c>
      <c r="Q564">
        <v>150</v>
      </c>
      <c r="R564">
        <v>596</v>
      </c>
    </row>
    <row r="565" spans="1:18" x14ac:dyDescent="0.2">
      <c r="A565">
        <v>4</v>
      </c>
      <c r="B565" t="s">
        <v>73</v>
      </c>
      <c r="E565" t="s">
        <v>36</v>
      </c>
      <c r="F565">
        <v>2938780</v>
      </c>
      <c r="G565">
        <v>0</v>
      </c>
      <c r="H565">
        <v>3</v>
      </c>
      <c r="I565">
        <v>72</v>
      </c>
      <c r="J565">
        <v>1981</v>
      </c>
      <c r="K565" s="4">
        <v>45889</v>
      </c>
      <c r="L565" t="s">
        <v>30</v>
      </c>
      <c r="M565" t="s">
        <v>54</v>
      </c>
      <c r="N565">
        <v>3.25</v>
      </c>
      <c r="O565">
        <v>1075</v>
      </c>
      <c r="P565">
        <v>4.95</v>
      </c>
      <c r="Q565">
        <v>74</v>
      </c>
      <c r="R565">
        <v>495</v>
      </c>
    </row>
    <row r="566" spans="1:18" x14ac:dyDescent="0.2">
      <c r="A566">
        <v>0</v>
      </c>
      <c r="B566" t="s">
        <v>18</v>
      </c>
      <c r="E566" t="s">
        <v>51</v>
      </c>
      <c r="F566">
        <v>2640766</v>
      </c>
      <c r="G566">
        <v>5</v>
      </c>
      <c r="H566">
        <v>1</v>
      </c>
      <c r="I566">
        <v>125</v>
      </c>
      <c r="J566">
        <v>1957</v>
      </c>
      <c r="K566" s="4">
        <v>44747</v>
      </c>
      <c r="L566" t="s">
        <v>26</v>
      </c>
      <c r="M566" t="s">
        <v>63</v>
      </c>
      <c r="N566">
        <v>3.03</v>
      </c>
      <c r="O566">
        <v>2103</v>
      </c>
      <c r="P566">
        <v>4.33</v>
      </c>
      <c r="Q566">
        <v>337</v>
      </c>
      <c r="R566">
        <v>455</v>
      </c>
    </row>
    <row r="567" spans="1:18" x14ac:dyDescent="0.2">
      <c r="A567">
        <v>3</v>
      </c>
      <c r="B567" t="s">
        <v>106</v>
      </c>
      <c r="E567" t="s">
        <v>29</v>
      </c>
      <c r="F567">
        <v>2361242</v>
      </c>
      <c r="G567">
        <v>4</v>
      </c>
      <c r="H567">
        <v>3</v>
      </c>
      <c r="I567">
        <v>252</v>
      </c>
      <c r="J567">
        <v>2012</v>
      </c>
      <c r="K567" s="4">
        <v>44962</v>
      </c>
      <c r="L567" t="s">
        <v>26</v>
      </c>
      <c r="M567" t="s">
        <v>66</v>
      </c>
      <c r="N567">
        <v>1.99</v>
      </c>
      <c r="O567">
        <v>2270</v>
      </c>
      <c r="P567">
        <v>0.46</v>
      </c>
      <c r="Q567">
        <v>326</v>
      </c>
      <c r="R567">
        <v>560</v>
      </c>
    </row>
    <row r="568" spans="1:18" x14ac:dyDescent="0.2">
      <c r="A568">
        <v>9</v>
      </c>
      <c r="B568" t="s">
        <v>75</v>
      </c>
      <c r="E568" t="s">
        <v>29</v>
      </c>
      <c r="F568">
        <v>2576616</v>
      </c>
      <c r="G568">
        <v>1</v>
      </c>
      <c r="H568">
        <v>3</v>
      </c>
      <c r="I568">
        <v>778</v>
      </c>
      <c r="J568">
        <v>1995</v>
      </c>
      <c r="K568" s="4">
        <v>44932</v>
      </c>
      <c r="L568" t="s">
        <v>20</v>
      </c>
      <c r="M568" t="s">
        <v>78</v>
      </c>
      <c r="N568">
        <v>2.85</v>
      </c>
      <c r="O568">
        <v>2169</v>
      </c>
      <c r="P568">
        <v>0.73</v>
      </c>
      <c r="Q568">
        <v>50</v>
      </c>
      <c r="R568">
        <v>639</v>
      </c>
    </row>
    <row r="569" spans="1:18" x14ac:dyDescent="0.2">
      <c r="A569">
        <v>2</v>
      </c>
      <c r="B569" t="s">
        <v>84</v>
      </c>
      <c r="E569" t="s">
        <v>29</v>
      </c>
      <c r="F569">
        <v>1812113</v>
      </c>
      <c r="G569">
        <v>5</v>
      </c>
      <c r="H569">
        <v>3</v>
      </c>
      <c r="I569">
        <v>979</v>
      </c>
      <c r="J569">
        <v>1983</v>
      </c>
      <c r="K569" s="4">
        <v>45610</v>
      </c>
      <c r="L569" t="s">
        <v>26</v>
      </c>
      <c r="M569" t="s">
        <v>52</v>
      </c>
      <c r="N569">
        <v>2.0299999999999998</v>
      </c>
      <c r="O569">
        <v>816</v>
      </c>
      <c r="P569">
        <v>1.85</v>
      </c>
      <c r="Q569">
        <v>300</v>
      </c>
      <c r="R569">
        <v>605</v>
      </c>
    </row>
    <row r="570" spans="1:18" x14ac:dyDescent="0.2">
      <c r="A570">
        <v>8</v>
      </c>
      <c r="B570" t="s">
        <v>93</v>
      </c>
      <c r="E570" t="s">
        <v>36</v>
      </c>
      <c r="F570">
        <v>2869629</v>
      </c>
      <c r="G570">
        <v>3</v>
      </c>
      <c r="H570">
        <v>3</v>
      </c>
      <c r="I570">
        <v>430</v>
      </c>
      <c r="J570">
        <v>1955</v>
      </c>
      <c r="K570" s="4">
        <v>45198</v>
      </c>
      <c r="L570" t="s">
        <v>20</v>
      </c>
      <c r="M570" t="s">
        <v>12</v>
      </c>
      <c r="N570">
        <v>1.84</v>
      </c>
      <c r="O570">
        <v>2142</v>
      </c>
      <c r="P570">
        <v>1.49</v>
      </c>
      <c r="Q570">
        <v>241</v>
      </c>
      <c r="R570">
        <v>508</v>
      </c>
    </row>
    <row r="571" spans="1:18" x14ac:dyDescent="0.2">
      <c r="A571">
        <v>7</v>
      </c>
      <c r="B571" t="s">
        <v>95</v>
      </c>
      <c r="E571" t="s">
        <v>36</v>
      </c>
      <c r="F571">
        <v>2910046</v>
      </c>
      <c r="G571">
        <v>2</v>
      </c>
      <c r="H571">
        <v>2</v>
      </c>
      <c r="I571">
        <v>838</v>
      </c>
      <c r="J571">
        <v>1965</v>
      </c>
      <c r="K571" s="4">
        <v>45124</v>
      </c>
      <c r="L571" t="s">
        <v>23</v>
      </c>
      <c r="M571" t="s">
        <v>37</v>
      </c>
      <c r="N571">
        <v>2.86</v>
      </c>
      <c r="O571">
        <v>2451</v>
      </c>
      <c r="P571">
        <v>3.4</v>
      </c>
      <c r="Q571">
        <v>60</v>
      </c>
      <c r="R571">
        <v>374</v>
      </c>
    </row>
    <row r="572" spans="1:18" x14ac:dyDescent="0.2">
      <c r="A572">
        <v>7</v>
      </c>
      <c r="B572" t="s">
        <v>55</v>
      </c>
      <c r="E572" t="s">
        <v>29</v>
      </c>
      <c r="F572">
        <v>1459656</v>
      </c>
      <c r="G572">
        <v>4</v>
      </c>
      <c r="H572">
        <v>2</v>
      </c>
      <c r="I572">
        <v>284</v>
      </c>
      <c r="J572">
        <v>2011</v>
      </c>
      <c r="K572" s="4">
        <v>45793</v>
      </c>
      <c r="L572" t="s">
        <v>26</v>
      </c>
      <c r="M572" t="s">
        <v>54</v>
      </c>
      <c r="N572">
        <v>1.77</v>
      </c>
      <c r="O572">
        <v>2153</v>
      </c>
      <c r="P572">
        <v>4.63</v>
      </c>
      <c r="Q572">
        <v>370</v>
      </c>
      <c r="R572">
        <v>700</v>
      </c>
    </row>
    <row r="573" spans="1:18" x14ac:dyDescent="0.2">
      <c r="A573">
        <v>6</v>
      </c>
      <c r="B573" t="s">
        <v>84</v>
      </c>
      <c r="E573" t="s">
        <v>19</v>
      </c>
      <c r="F573">
        <v>2397039</v>
      </c>
      <c r="G573">
        <v>2</v>
      </c>
      <c r="H573">
        <v>2</v>
      </c>
      <c r="I573">
        <v>994</v>
      </c>
      <c r="J573">
        <v>2021</v>
      </c>
      <c r="K573" s="4">
        <v>45093</v>
      </c>
      <c r="L573" t="s">
        <v>30</v>
      </c>
      <c r="M573" t="s">
        <v>33</v>
      </c>
      <c r="N573">
        <v>3.33</v>
      </c>
      <c r="O573">
        <v>1713</v>
      </c>
      <c r="P573">
        <v>0.93</v>
      </c>
      <c r="Q573">
        <v>49</v>
      </c>
      <c r="R573">
        <v>345</v>
      </c>
    </row>
    <row r="574" spans="1:18" x14ac:dyDescent="0.2">
      <c r="A574">
        <v>9</v>
      </c>
      <c r="B574" t="s">
        <v>67</v>
      </c>
      <c r="E574" t="s">
        <v>51</v>
      </c>
      <c r="F574">
        <v>1089487</v>
      </c>
      <c r="G574">
        <v>2</v>
      </c>
      <c r="H574">
        <v>1</v>
      </c>
      <c r="I574">
        <v>110</v>
      </c>
      <c r="J574">
        <v>2019</v>
      </c>
      <c r="K574" s="4">
        <v>45114</v>
      </c>
      <c r="L574" t="s">
        <v>23</v>
      </c>
      <c r="M574" t="s">
        <v>58</v>
      </c>
      <c r="N574">
        <v>2.72</v>
      </c>
      <c r="O574">
        <v>2051</v>
      </c>
      <c r="P574">
        <v>0.38</v>
      </c>
      <c r="Q574">
        <v>139</v>
      </c>
      <c r="R574">
        <v>616</v>
      </c>
    </row>
    <row r="575" spans="1:18" x14ac:dyDescent="0.2">
      <c r="A575">
        <v>4</v>
      </c>
      <c r="B575" t="s">
        <v>75</v>
      </c>
      <c r="E575" t="s">
        <v>19</v>
      </c>
      <c r="F575">
        <v>2196891</v>
      </c>
      <c r="G575">
        <v>5</v>
      </c>
      <c r="H575">
        <v>2</v>
      </c>
      <c r="I575">
        <v>600</v>
      </c>
      <c r="J575">
        <v>1996</v>
      </c>
      <c r="K575" s="4">
        <v>45020</v>
      </c>
      <c r="L575" t="s">
        <v>26</v>
      </c>
      <c r="M575" t="s">
        <v>33</v>
      </c>
      <c r="N575">
        <v>1.59</v>
      </c>
      <c r="O575">
        <v>1002</v>
      </c>
      <c r="P575">
        <v>4.96</v>
      </c>
      <c r="Q575">
        <v>315</v>
      </c>
      <c r="R575">
        <v>540</v>
      </c>
    </row>
    <row r="576" spans="1:18" x14ac:dyDescent="0.2">
      <c r="A576">
        <v>2</v>
      </c>
      <c r="B576" t="s">
        <v>44</v>
      </c>
      <c r="E576" t="s">
        <v>51</v>
      </c>
      <c r="F576">
        <v>670837</v>
      </c>
      <c r="G576">
        <v>4</v>
      </c>
      <c r="H576">
        <v>1</v>
      </c>
      <c r="I576">
        <v>951</v>
      </c>
      <c r="J576">
        <v>1975</v>
      </c>
      <c r="K576" s="4">
        <v>44901</v>
      </c>
      <c r="L576" t="s">
        <v>20</v>
      </c>
      <c r="M576" t="s">
        <v>69</v>
      </c>
      <c r="N576">
        <v>1.56</v>
      </c>
      <c r="O576">
        <v>901</v>
      </c>
      <c r="P576">
        <v>2.96</v>
      </c>
      <c r="Q576">
        <v>190</v>
      </c>
      <c r="R576">
        <v>406</v>
      </c>
    </row>
    <row r="577" spans="1:18" x14ac:dyDescent="0.2">
      <c r="A577">
        <v>5</v>
      </c>
      <c r="B577" t="s">
        <v>43</v>
      </c>
      <c r="E577" t="s">
        <v>36</v>
      </c>
      <c r="F577">
        <v>742496</v>
      </c>
      <c r="G577">
        <v>2</v>
      </c>
      <c r="H577">
        <v>2</v>
      </c>
      <c r="I577">
        <v>401</v>
      </c>
      <c r="J577">
        <v>2011</v>
      </c>
      <c r="K577" s="4">
        <v>45612</v>
      </c>
      <c r="L577" t="s">
        <v>20</v>
      </c>
      <c r="M577" t="s">
        <v>45</v>
      </c>
      <c r="N577">
        <v>1.53</v>
      </c>
      <c r="O577">
        <v>1122</v>
      </c>
      <c r="P577">
        <v>3.87</v>
      </c>
      <c r="Q577">
        <v>144</v>
      </c>
      <c r="R577">
        <v>399</v>
      </c>
    </row>
    <row r="578" spans="1:18" x14ac:dyDescent="0.2">
      <c r="A578">
        <v>9</v>
      </c>
      <c r="B578" t="s">
        <v>41</v>
      </c>
      <c r="E578" t="s">
        <v>29</v>
      </c>
      <c r="F578">
        <v>437377</v>
      </c>
      <c r="G578">
        <v>3</v>
      </c>
      <c r="H578">
        <v>1</v>
      </c>
      <c r="I578">
        <v>89</v>
      </c>
      <c r="J578">
        <v>1975</v>
      </c>
      <c r="K578" s="4">
        <v>44538</v>
      </c>
      <c r="L578" t="s">
        <v>26</v>
      </c>
      <c r="M578" t="s">
        <v>56</v>
      </c>
      <c r="N578">
        <v>2.12</v>
      </c>
      <c r="O578">
        <v>2207</v>
      </c>
      <c r="P578">
        <v>3.35</v>
      </c>
      <c r="Q578">
        <v>150</v>
      </c>
      <c r="R578">
        <v>335</v>
      </c>
    </row>
    <row r="579" spans="1:18" x14ac:dyDescent="0.2">
      <c r="A579">
        <v>7</v>
      </c>
      <c r="B579" t="s">
        <v>93</v>
      </c>
      <c r="E579" t="s">
        <v>51</v>
      </c>
      <c r="F579">
        <v>858002</v>
      </c>
      <c r="G579">
        <v>4</v>
      </c>
      <c r="H579">
        <v>3</v>
      </c>
      <c r="I579">
        <v>508</v>
      </c>
      <c r="J579">
        <v>1959</v>
      </c>
      <c r="K579" s="4">
        <v>44209</v>
      </c>
      <c r="L579" t="s">
        <v>20</v>
      </c>
      <c r="M579" t="s">
        <v>70</v>
      </c>
      <c r="N579">
        <v>3.41</v>
      </c>
      <c r="O579">
        <v>989</v>
      </c>
      <c r="P579">
        <v>2.73</v>
      </c>
      <c r="Q579">
        <v>273</v>
      </c>
      <c r="R579">
        <v>472</v>
      </c>
    </row>
    <row r="580" spans="1:18" x14ac:dyDescent="0.2">
      <c r="A580">
        <v>8</v>
      </c>
      <c r="B580" t="s">
        <v>83</v>
      </c>
      <c r="E580" t="s">
        <v>19</v>
      </c>
      <c r="F580">
        <v>2402702</v>
      </c>
      <c r="G580">
        <v>5</v>
      </c>
      <c r="H580">
        <v>2</v>
      </c>
      <c r="I580">
        <v>435</v>
      </c>
      <c r="J580">
        <v>1983</v>
      </c>
      <c r="K580" s="4">
        <v>45101</v>
      </c>
      <c r="L580" t="s">
        <v>20</v>
      </c>
      <c r="M580" t="s">
        <v>76</v>
      </c>
      <c r="N580">
        <v>1.8</v>
      </c>
      <c r="O580">
        <v>2336</v>
      </c>
      <c r="P580">
        <v>0.83</v>
      </c>
      <c r="Q580">
        <v>344</v>
      </c>
      <c r="R580">
        <v>651</v>
      </c>
    </row>
    <row r="581" spans="1:18" x14ac:dyDescent="0.2">
      <c r="A581">
        <v>6</v>
      </c>
      <c r="B581" t="s">
        <v>75</v>
      </c>
      <c r="E581" t="s">
        <v>51</v>
      </c>
      <c r="F581">
        <v>933367</v>
      </c>
      <c r="G581">
        <v>5</v>
      </c>
      <c r="H581">
        <v>1</v>
      </c>
      <c r="I581">
        <v>497</v>
      </c>
      <c r="J581">
        <v>1986</v>
      </c>
      <c r="K581" s="4">
        <v>44707</v>
      </c>
      <c r="L581" t="s">
        <v>23</v>
      </c>
      <c r="M581" t="s">
        <v>69</v>
      </c>
      <c r="N581">
        <v>2.4500000000000002</v>
      </c>
      <c r="O581">
        <v>1293</v>
      </c>
      <c r="P581">
        <v>4.32</v>
      </c>
      <c r="Q581">
        <v>268</v>
      </c>
      <c r="R581">
        <v>404</v>
      </c>
    </row>
    <row r="582" spans="1:18" x14ac:dyDescent="0.2">
      <c r="A582">
        <v>1</v>
      </c>
      <c r="B582" t="s">
        <v>44</v>
      </c>
      <c r="E582" t="s">
        <v>29</v>
      </c>
      <c r="F582">
        <v>2931211</v>
      </c>
      <c r="G582">
        <v>5</v>
      </c>
      <c r="H582">
        <v>2</v>
      </c>
      <c r="I582">
        <v>512</v>
      </c>
      <c r="J582">
        <v>1995</v>
      </c>
      <c r="K582" s="4">
        <v>45083</v>
      </c>
      <c r="L582" t="s">
        <v>26</v>
      </c>
      <c r="M582" t="s">
        <v>59</v>
      </c>
      <c r="N582">
        <v>1.55</v>
      </c>
      <c r="O582">
        <v>909</v>
      </c>
      <c r="P582">
        <v>2.2200000000000002</v>
      </c>
      <c r="Q582">
        <v>274</v>
      </c>
      <c r="R582">
        <v>418</v>
      </c>
    </row>
    <row r="583" spans="1:18" x14ac:dyDescent="0.2">
      <c r="A583">
        <v>6</v>
      </c>
      <c r="B583" t="s">
        <v>55</v>
      </c>
      <c r="E583" t="s">
        <v>36</v>
      </c>
      <c r="F583">
        <v>823011</v>
      </c>
      <c r="G583">
        <v>2</v>
      </c>
      <c r="H583">
        <v>3</v>
      </c>
      <c r="I583">
        <v>168</v>
      </c>
      <c r="J583">
        <v>1980</v>
      </c>
      <c r="K583" s="4">
        <v>44597</v>
      </c>
      <c r="L583" t="s">
        <v>30</v>
      </c>
      <c r="M583" t="s">
        <v>59</v>
      </c>
      <c r="N583">
        <v>3.2</v>
      </c>
      <c r="O583">
        <v>961</v>
      </c>
      <c r="P583">
        <v>4.76</v>
      </c>
      <c r="Q583">
        <v>63</v>
      </c>
      <c r="R583">
        <v>676</v>
      </c>
    </row>
    <row r="584" spans="1:18" x14ac:dyDescent="0.2">
      <c r="A584">
        <v>6</v>
      </c>
      <c r="B584" t="s">
        <v>91</v>
      </c>
      <c r="E584" t="s">
        <v>36</v>
      </c>
      <c r="F584">
        <v>2437849</v>
      </c>
      <c r="G584">
        <v>4</v>
      </c>
      <c r="H584">
        <v>1</v>
      </c>
      <c r="I584">
        <v>201</v>
      </c>
      <c r="J584">
        <v>1970</v>
      </c>
      <c r="K584" s="4">
        <v>44526</v>
      </c>
      <c r="L584" t="s">
        <v>26</v>
      </c>
      <c r="M584" t="s">
        <v>76</v>
      </c>
      <c r="N584">
        <v>2.71</v>
      </c>
      <c r="O584">
        <v>1217</v>
      </c>
      <c r="P584">
        <v>0.82</v>
      </c>
      <c r="Q584">
        <v>300</v>
      </c>
      <c r="R584">
        <v>371</v>
      </c>
    </row>
    <row r="585" spans="1:18" x14ac:dyDescent="0.2">
      <c r="A585">
        <v>3</v>
      </c>
      <c r="B585" t="s">
        <v>44</v>
      </c>
      <c r="E585" t="s">
        <v>29</v>
      </c>
      <c r="F585">
        <v>1447954</v>
      </c>
      <c r="G585">
        <v>3</v>
      </c>
      <c r="H585">
        <v>2</v>
      </c>
      <c r="I585">
        <v>419</v>
      </c>
      <c r="J585">
        <v>2014</v>
      </c>
      <c r="K585" s="4">
        <v>44882</v>
      </c>
      <c r="L585" t="s">
        <v>26</v>
      </c>
      <c r="M585" t="s">
        <v>42</v>
      </c>
      <c r="N585">
        <v>1.93</v>
      </c>
      <c r="O585">
        <v>1590</v>
      </c>
      <c r="P585">
        <v>1.57</v>
      </c>
      <c r="Q585">
        <v>313</v>
      </c>
      <c r="R585">
        <v>642</v>
      </c>
    </row>
    <row r="586" spans="1:18" x14ac:dyDescent="0.2">
      <c r="A586">
        <v>2</v>
      </c>
      <c r="B586" t="s">
        <v>55</v>
      </c>
      <c r="E586" t="s">
        <v>29</v>
      </c>
      <c r="F586">
        <v>1050961</v>
      </c>
      <c r="G586">
        <v>4</v>
      </c>
      <c r="H586">
        <v>3</v>
      </c>
      <c r="I586">
        <v>342</v>
      </c>
      <c r="J586">
        <v>1975</v>
      </c>
      <c r="K586" s="4">
        <v>44431</v>
      </c>
      <c r="L586" t="s">
        <v>30</v>
      </c>
      <c r="M586" t="s">
        <v>47</v>
      </c>
      <c r="N586">
        <v>3.05</v>
      </c>
      <c r="O586">
        <v>2173</v>
      </c>
      <c r="P586">
        <v>4.1100000000000003</v>
      </c>
      <c r="Q586">
        <v>235</v>
      </c>
      <c r="R586">
        <v>538</v>
      </c>
    </row>
    <row r="587" spans="1:18" x14ac:dyDescent="0.2">
      <c r="A587">
        <v>2</v>
      </c>
      <c r="B587" t="s">
        <v>49</v>
      </c>
      <c r="E587" t="s">
        <v>36</v>
      </c>
      <c r="F587">
        <v>1947581</v>
      </c>
      <c r="G587">
        <v>2</v>
      </c>
      <c r="H587">
        <v>1</v>
      </c>
      <c r="I587">
        <v>79</v>
      </c>
      <c r="J587">
        <v>2000</v>
      </c>
      <c r="K587" s="4">
        <v>44418</v>
      </c>
      <c r="L587" t="s">
        <v>30</v>
      </c>
      <c r="M587" t="s">
        <v>59</v>
      </c>
      <c r="N587">
        <v>2.5</v>
      </c>
      <c r="O587">
        <v>1203</v>
      </c>
      <c r="P587">
        <v>1.76</v>
      </c>
      <c r="Q587">
        <v>70</v>
      </c>
      <c r="R587">
        <v>615</v>
      </c>
    </row>
    <row r="588" spans="1:18" x14ac:dyDescent="0.2">
      <c r="A588">
        <v>3</v>
      </c>
      <c r="B588" t="s">
        <v>64</v>
      </c>
      <c r="E588" t="s">
        <v>36</v>
      </c>
      <c r="F588">
        <v>2185796</v>
      </c>
      <c r="G588">
        <v>3</v>
      </c>
      <c r="H588">
        <v>2</v>
      </c>
      <c r="I588">
        <v>803</v>
      </c>
      <c r="J588">
        <v>1965</v>
      </c>
      <c r="K588" s="4">
        <v>44818</v>
      </c>
      <c r="L588" t="s">
        <v>20</v>
      </c>
      <c r="M588" t="s">
        <v>56</v>
      </c>
      <c r="N588">
        <v>2.98</v>
      </c>
      <c r="O588">
        <v>1726</v>
      </c>
      <c r="P588">
        <v>4.4800000000000004</v>
      </c>
      <c r="Q588">
        <v>121</v>
      </c>
      <c r="R588">
        <v>639</v>
      </c>
    </row>
    <row r="589" spans="1:18" x14ac:dyDescent="0.2">
      <c r="A589">
        <v>7</v>
      </c>
      <c r="B589" t="s">
        <v>65</v>
      </c>
      <c r="E589" t="s">
        <v>36</v>
      </c>
      <c r="F589">
        <v>712937</v>
      </c>
      <c r="G589">
        <v>6</v>
      </c>
      <c r="H589">
        <v>3</v>
      </c>
      <c r="I589">
        <v>813</v>
      </c>
      <c r="J589">
        <v>1982</v>
      </c>
      <c r="K589" s="4">
        <v>44272</v>
      </c>
      <c r="L589" t="s">
        <v>30</v>
      </c>
      <c r="M589" t="s">
        <v>27</v>
      </c>
      <c r="N589">
        <v>2.38</v>
      </c>
      <c r="O589">
        <v>1891</v>
      </c>
      <c r="P589">
        <v>4.9800000000000004</v>
      </c>
      <c r="Q589">
        <v>324</v>
      </c>
      <c r="R589">
        <v>521</v>
      </c>
    </row>
    <row r="590" spans="1:18" x14ac:dyDescent="0.2">
      <c r="A590">
        <v>5</v>
      </c>
      <c r="B590" t="s">
        <v>101</v>
      </c>
      <c r="E590" t="s">
        <v>29</v>
      </c>
      <c r="F590">
        <v>1714701</v>
      </c>
      <c r="G590">
        <v>1</v>
      </c>
      <c r="H590">
        <v>3</v>
      </c>
      <c r="I590">
        <v>140</v>
      </c>
      <c r="J590">
        <v>1974</v>
      </c>
      <c r="K590" s="4">
        <v>45534</v>
      </c>
      <c r="L590" t="s">
        <v>30</v>
      </c>
      <c r="M590" t="s">
        <v>42</v>
      </c>
      <c r="N590">
        <v>3.22</v>
      </c>
      <c r="O590">
        <v>2250</v>
      </c>
      <c r="P590">
        <v>1.99</v>
      </c>
      <c r="Q590">
        <v>157</v>
      </c>
      <c r="R590">
        <v>524</v>
      </c>
    </row>
    <row r="591" spans="1:18" x14ac:dyDescent="0.2">
      <c r="A591">
        <v>8</v>
      </c>
      <c r="B591" t="s">
        <v>92</v>
      </c>
      <c r="E591" t="s">
        <v>36</v>
      </c>
      <c r="F591">
        <v>2623285</v>
      </c>
      <c r="G591">
        <v>6</v>
      </c>
      <c r="H591">
        <v>3</v>
      </c>
      <c r="I591">
        <v>200</v>
      </c>
      <c r="J591">
        <v>1999</v>
      </c>
      <c r="K591" s="4">
        <v>44204</v>
      </c>
      <c r="L591" t="s">
        <v>20</v>
      </c>
      <c r="M591" t="s">
        <v>27</v>
      </c>
      <c r="N591">
        <v>2.29</v>
      </c>
      <c r="O591">
        <v>914</v>
      </c>
      <c r="P591">
        <v>1.57</v>
      </c>
      <c r="Q591">
        <v>325</v>
      </c>
      <c r="R591">
        <v>489</v>
      </c>
    </row>
    <row r="592" spans="1:18" x14ac:dyDescent="0.2">
      <c r="A592">
        <v>4</v>
      </c>
      <c r="B592" t="s">
        <v>99</v>
      </c>
      <c r="E592" t="s">
        <v>19</v>
      </c>
      <c r="F592">
        <v>2156181</v>
      </c>
      <c r="G592">
        <v>3</v>
      </c>
      <c r="H592">
        <v>1</v>
      </c>
      <c r="I592">
        <v>982</v>
      </c>
      <c r="J592">
        <v>1961</v>
      </c>
      <c r="K592" s="4">
        <v>44661</v>
      </c>
      <c r="L592" t="s">
        <v>30</v>
      </c>
      <c r="M592" t="s">
        <v>31</v>
      </c>
      <c r="N592">
        <v>2.27</v>
      </c>
      <c r="O592">
        <v>848</v>
      </c>
      <c r="P592">
        <v>0.14000000000000001</v>
      </c>
      <c r="Q592">
        <v>316</v>
      </c>
      <c r="R592">
        <v>500</v>
      </c>
    </row>
    <row r="593" spans="1:18" x14ac:dyDescent="0.2">
      <c r="A593">
        <v>3</v>
      </c>
      <c r="B593" t="s">
        <v>65</v>
      </c>
      <c r="E593" t="s">
        <v>36</v>
      </c>
      <c r="F593">
        <v>980465</v>
      </c>
      <c r="G593">
        <v>2</v>
      </c>
      <c r="H593">
        <v>2</v>
      </c>
      <c r="I593">
        <v>787</v>
      </c>
      <c r="J593">
        <v>1965</v>
      </c>
      <c r="K593" s="4">
        <v>44939</v>
      </c>
      <c r="L593" t="s">
        <v>20</v>
      </c>
      <c r="M593" t="s">
        <v>56</v>
      </c>
      <c r="N593">
        <v>3.43</v>
      </c>
      <c r="O593">
        <v>2084</v>
      </c>
      <c r="P593">
        <v>0.85</v>
      </c>
      <c r="Q593">
        <v>46</v>
      </c>
      <c r="R593">
        <v>517</v>
      </c>
    </row>
    <row r="594" spans="1:18" x14ac:dyDescent="0.2">
      <c r="A594">
        <v>2</v>
      </c>
      <c r="B594" t="s">
        <v>22</v>
      </c>
      <c r="E594" t="s">
        <v>19</v>
      </c>
      <c r="F594">
        <v>764528</v>
      </c>
      <c r="G594">
        <v>2</v>
      </c>
      <c r="H594">
        <v>1</v>
      </c>
      <c r="I594">
        <v>569</v>
      </c>
      <c r="J594">
        <v>2007</v>
      </c>
      <c r="K594" s="4">
        <v>45187</v>
      </c>
      <c r="L594" t="s">
        <v>30</v>
      </c>
      <c r="M594" t="s">
        <v>54</v>
      </c>
      <c r="N594">
        <v>3.31</v>
      </c>
      <c r="O594">
        <v>2134</v>
      </c>
      <c r="P594">
        <v>4.53</v>
      </c>
      <c r="Q594">
        <v>206</v>
      </c>
      <c r="R594">
        <v>539</v>
      </c>
    </row>
    <row r="595" spans="1:18" x14ac:dyDescent="0.2">
      <c r="A595">
        <v>7</v>
      </c>
      <c r="B595" t="s">
        <v>91</v>
      </c>
      <c r="E595" t="s">
        <v>36</v>
      </c>
      <c r="F595">
        <v>558964</v>
      </c>
      <c r="G595">
        <v>6</v>
      </c>
      <c r="H595">
        <v>3</v>
      </c>
      <c r="I595">
        <v>972</v>
      </c>
      <c r="J595">
        <v>1950</v>
      </c>
      <c r="K595" s="4">
        <v>45177</v>
      </c>
      <c r="L595" t="s">
        <v>20</v>
      </c>
      <c r="M595" t="s">
        <v>82</v>
      </c>
      <c r="N595">
        <v>1.61</v>
      </c>
      <c r="O595">
        <v>1663</v>
      </c>
      <c r="P595">
        <v>0.67</v>
      </c>
      <c r="Q595">
        <v>388</v>
      </c>
      <c r="R595">
        <v>636</v>
      </c>
    </row>
    <row r="596" spans="1:18" x14ac:dyDescent="0.2">
      <c r="A596">
        <v>5</v>
      </c>
      <c r="B596" t="s">
        <v>49</v>
      </c>
      <c r="E596" t="s">
        <v>51</v>
      </c>
      <c r="F596">
        <v>1444912</v>
      </c>
      <c r="G596">
        <v>5</v>
      </c>
      <c r="H596">
        <v>2</v>
      </c>
      <c r="I596">
        <v>134</v>
      </c>
      <c r="J596">
        <v>2013</v>
      </c>
      <c r="K596" s="4">
        <v>45062</v>
      </c>
      <c r="L596" t="s">
        <v>20</v>
      </c>
      <c r="M596" t="s">
        <v>37</v>
      </c>
      <c r="N596">
        <v>3.08</v>
      </c>
      <c r="O596">
        <v>2049</v>
      </c>
      <c r="P596">
        <v>0.67</v>
      </c>
      <c r="Q596">
        <v>241</v>
      </c>
      <c r="R596">
        <v>303</v>
      </c>
    </row>
    <row r="597" spans="1:18" x14ac:dyDescent="0.2">
      <c r="A597">
        <v>3</v>
      </c>
      <c r="B597" t="s">
        <v>28</v>
      </c>
      <c r="E597" t="s">
        <v>19</v>
      </c>
      <c r="F597">
        <v>2561571</v>
      </c>
      <c r="G597">
        <v>2</v>
      </c>
      <c r="H597">
        <v>3</v>
      </c>
      <c r="I597">
        <v>416</v>
      </c>
      <c r="J597">
        <v>1974</v>
      </c>
      <c r="K597" s="4">
        <v>44631</v>
      </c>
      <c r="L597" t="s">
        <v>26</v>
      </c>
      <c r="M597" t="s">
        <v>24</v>
      </c>
      <c r="N597">
        <v>2.91</v>
      </c>
      <c r="O597">
        <v>1803</v>
      </c>
      <c r="P597">
        <v>2.59</v>
      </c>
      <c r="Q597">
        <v>149</v>
      </c>
      <c r="R597">
        <v>624</v>
      </c>
    </row>
    <row r="598" spans="1:18" x14ac:dyDescent="0.2">
      <c r="A598">
        <v>3</v>
      </c>
      <c r="B598" t="s">
        <v>93</v>
      </c>
      <c r="E598" t="s">
        <v>19</v>
      </c>
      <c r="F598">
        <v>2065896</v>
      </c>
      <c r="G598">
        <v>2</v>
      </c>
      <c r="H598">
        <v>3</v>
      </c>
      <c r="I598">
        <v>131</v>
      </c>
      <c r="J598">
        <v>1951</v>
      </c>
      <c r="K598" s="4">
        <v>44351</v>
      </c>
      <c r="L598" t="s">
        <v>26</v>
      </c>
      <c r="M598" t="s">
        <v>85</v>
      </c>
      <c r="N598">
        <v>2.34</v>
      </c>
      <c r="O598">
        <v>858</v>
      </c>
      <c r="P598">
        <v>0.38</v>
      </c>
      <c r="Q598">
        <v>100</v>
      </c>
      <c r="R598">
        <v>542</v>
      </c>
    </row>
    <row r="599" spans="1:18" x14ac:dyDescent="0.2">
      <c r="A599">
        <v>5</v>
      </c>
      <c r="B599" t="s">
        <v>39</v>
      </c>
      <c r="E599" t="s">
        <v>29</v>
      </c>
      <c r="F599">
        <v>2805316</v>
      </c>
      <c r="G599">
        <v>4</v>
      </c>
      <c r="H599">
        <v>2</v>
      </c>
      <c r="I599">
        <v>93</v>
      </c>
      <c r="J599">
        <v>2000</v>
      </c>
      <c r="K599" s="4">
        <v>45279</v>
      </c>
      <c r="L599" t="s">
        <v>20</v>
      </c>
      <c r="M599" t="s">
        <v>76</v>
      </c>
      <c r="N599">
        <v>1.8</v>
      </c>
      <c r="O599">
        <v>1239</v>
      </c>
      <c r="P599">
        <v>0.19</v>
      </c>
      <c r="Q599">
        <v>252</v>
      </c>
      <c r="R599">
        <v>677</v>
      </c>
    </row>
    <row r="600" spans="1:18" x14ac:dyDescent="0.2">
      <c r="A600">
        <v>7</v>
      </c>
      <c r="B600" t="s">
        <v>61</v>
      </c>
      <c r="E600" t="s">
        <v>51</v>
      </c>
      <c r="F600">
        <v>1180063</v>
      </c>
      <c r="G600">
        <v>4</v>
      </c>
      <c r="H600">
        <v>1</v>
      </c>
      <c r="I600">
        <v>662</v>
      </c>
      <c r="J600">
        <v>1978</v>
      </c>
      <c r="K600" s="4">
        <v>45070</v>
      </c>
      <c r="L600" t="s">
        <v>26</v>
      </c>
      <c r="M600" t="s">
        <v>97</v>
      </c>
      <c r="N600">
        <v>1.54</v>
      </c>
      <c r="O600">
        <v>976</v>
      </c>
      <c r="P600">
        <v>3.59</v>
      </c>
      <c r="Q600">
        <v>383</v>
      </c>
      <c r="R600">
        <v>305</v>
      </c>
    </row>
    <row r="601" spans="1:18" x14ac:dyDescent="0.2">
      <c r="A601">
        <v>0</v>
      </c>
      <c r="B601" t="s">
        <v>73</v>
      </c>
      <c r="E601" t="s">
        <v>19</v>
      </c>
      <c r="F601">
        <v>1062967</v>
      </c>
      <c r="G601">
        <v>0</v>
      </c>
      <c r="H601">
        <v>2</v>
      </c>
      <c r="I601">
        <v>455</v>
      </c>
      <c r="J601">
        <v>1953</v>
      </c>
      <c r="K601" s="4">
        <v>44580</v>
      </c>
      <c r="L601" t="s">
        <v>26</v>
      </c>
      <c r="M601" t="s">
        <v>66</v>
      </c>
      <c r="N601">
        <v>1.66</v>
      </c>
      <c r="O601">
        <v>2233</v>
      </c>
      <c r="P601">
        <v>1.32</v>
      </c>
      <c r="Q601">
        <v>67</v>
      </c>
      <c r="R601">
        <v>458</v>
      </c>
    </row>
    <row r="602" spans="1:18" x14ac:dyDescent="0.2">
      <c r="A602">
        <v>6</v>
      </c>
      <c r="B602" t="s">
        <v>87</v>
      </c>
      <c r="E602" t="s">
        <v>51</v>
      </c>
      <c r="F602">
        <v>403683</v>
      </c>
      <c r="G602">
        <v>4</v>
      </c>
      <c r="H602">
        <v>3</v>
      </c>
      <c r="I602">
        <v>523</v>
      </c>
      <c r="J602">
        <v>1983</v>
      </c>
      <c r="K602" s="4">
        <v>44709</v>
      </c>
      <c r="L602" t="s">
        <v>26</v>
      </c>
      <c r="M602" t="s">
        <v>40</v>
      </c>
      <c r="N602">
        <v>2.68</v>
      </c>
      <c r="O602">
        <v>1646</v>
      </c>
      <c r="P602">
        <v>4.3600000000000003</v>
      </c>
      <c r="Q602">
        <v>376</v>
      </c>
      <c r="R602">
        <v>586</v>
      </c>
    </row>
    <row r="603" spans="1:18" x14ac:dyDescent="0.2">
      <c r="A603">
        <v>1</v>
      </c>
      <c r="B603" t="s">
        <v>28</v>
      </c>
      <c r="E603" t="s">
        <v>19</v>
      </c>
      <c r="F603">
        <v>2106523</v>
      </c>
      <c r="G603">
        <v>2</v>
      </c>
      <c r="H603">
        <v>3</v>
      </c>
      <c r="I603">
        <v>220</v>
      </c>
      <c r="J603">
        <v>1972</v>
      </c>
      <c r="K603" s="4">
        <v>45644</v>
      </c>
      <c r="L603" t="s">
        <v>26</v>
      </c>
      <c r="M603" t="s">
        <v>27</v>
      </c>
      <c r="N603">
        <v>3.18</v>
      </c>
      <c r="O603">
        <v>1201</v>
      </c>
      <c r="P603">
        <v>4.04</v>
      </c>
      <c r="Q603">
        <v>42</v>
      </c>
      <c r="R603">
        <v>430</v>
      </c>
    </row>
    <row r="604" spans="1:18" x14ac:dyDescent="0.2">
      <c r="A604">
        <v>2</v>
      </c>
      <c r="B604" t="s">
        <v>72</v>
      </c>
      <c r="E604" t="s">
        <v>29</v>
      </c>
      <c r="F604">
        <v>651140</v>
      </c>
      <c r="G604">
        <v>4</v>
      </c>
      <c r="H604">
        <v>3</v>
      </c>
      <c r="I604">
        <v>173</v>
      </c>
      <c r="J604">
        <v>1960</v>
      </c>
      <c r="K604" s="4">
        <v>44308</v>
      </c>
      <c r="L604" t="s">
        <v>20</v>
      </c>
      <c r="M604" t="s">
        <v>78</v>
      </c>
      <c r="N604">
        <v>3.05</v>
      </c>
      <c r="O604">
        <v>1096</v>
      </c>
      <c r="P604">
        <v>1.85</v>
      </c>
      <c r="Q604">
        <v>298</v>
      </c>
      <c r="R604">
        <v>652</v>
      </c>
    </row>
    <row r="605" spans="1:18" x14ac:dyDescent="0.2">
      <c r="A605">
        <v>8</v>
      </c>
      <c r="B605" t="s">
        <v>80</v>
      </c>
      <c r="E605" t="s">
        <v>29</v>
      </c>
      <c r="F605">
        <v>2746789</v>
      </c>
      <c r="G605">
        <v>5</v>
      </c>
      <c r="H605">
        <v>3</v>
      </c>
      <c r="I605">
        <v>558</v>
      </c>
      <c r="J605">
        <v>1987</v>
      </c>
      <c r="K605" s="4">
        <v>44705</v>
      </c>
      <c r="L605" t="s">
        <v>26</v>
      </c>
      <c r="M605" t="s">
        <v>47</v>
      </c>
      <c r="N605">
        <v>2.09</v>
      </c>
      <c r="O605">
        <v>1242</v>
      </c>
      <c r="P605">
        <v>2.23</v>
      </c>
      <c r="Q605">
        <v>273</v>
      </c>
      <c r="R605">
        <v>687</v>
      </c>
    </row>
    <row r="606" spans="1:18" x14ac:dyDescent="0.2">
      <c r="A606">
        <v>9</v>
      </c>
      <c r="B606" t="s">
        <v>102</v>
      </c>
      <c r="E606" t="s">
        <v>36</v>
      </c>
      <c r="F606">
        <v>2456366</v>
      </c>
      <c r="G606">
        <v>2</v>
      </c>
      <c r="H606">
        <v>3</v>
      </c>
      <c r="I606">
        <v>736</v>
      </c>
      <c r="J606">
        <v>1956</v>
      </c>
      <c r="K606" s="4">
        <v>45056</v>
      </c>
      <c r="L606" t="s">
        <v>30</v>
      </c>
      <c r="M606" t="s">
        <v>68</v>
      </c>
      <c r="N606">
        <v>1.99</v>
      </c>
      <c r="O606">
        <v>1366</v>
      </c>
      <c r="P606">
        <v>2.56</v>
      </c>
      <c r="Q606">
        <v>210</v>
      </c>
      <c r="R606">
        <v>463</v>
      </c>
    </row>
    <row r="607" spans="1:18" x14ac:dyDescent="0.2">
      <c r="A607">
        <v>6</v>
      </c>
      <c r="B607" t="s">
        <v>104</v>
      </c>
      <c r="E607" t="s">
        <v>51</v>
      </c>
      <c r="F607">
        <v>1730585</v>
      </c>
      <c r="G607">
        <v>1</v>
      </c>
      <c r="H607">
        <v>3</v>
      </c>
      <c r="I607">
        <v>447</v>
      </c>
      <c r="J607">
        <v>1999</v>
      </c>
      <c r="K607" s="4">
        <v>45644</v>
      </c>
      <c r="L607" t="s">
        <v>23</v>
      </c>
      <c r="M607" t="s">
        <v>70</v>
      </c>
      <c r="N607">
        <v>3.22</v>
      </c>
      <c r="O607">
        <v>2285</v>
      </c>
      <c r="P607">
        <v>0.34</v>
      </c>
      <c r="Q607">
        <v>111</v>
      </c>
      <c r="R607">
        <v>533</v>
      </c>
    </row>
    <row r="608" spans="1:18" x14ac:dyDescent="0.2">
      <c r="A608">
        <v>9</v>
      </c>
      <c r="B608" t="s">
        <v>53</v>
      </c>
      <c r="E608" t="s">
        <v>19</v>
      </c>
      <c r="F608">
        <v>1092914</v>
      </c>
      <c r="G608">
        <v>1</v>
      </c>
      <c r="H608">
        <v>3</v>
      </c>
      <c r="I608">
        <v>95</v>
      </c>
      <c r="J608">
        <v>2008</v>
      </c>
      <c r="K608" s="4">
        <v>44281</v>
      </c>
      <c r="L608" t="s">
        <v>20</v>
      </c>
      <c r="M608" t="s">
        <v>54</v>
      </c>
      <c r="N608">
        <v>1.75</v>
      </c>
      <c r="O608">
        <v>1640</v>
      </c>
      <c r="P608">
        <v>0.22</v>
      </c>
      <c r="Q608">
        <v>128</v>
      </c>
      <c r="R608">
        <v>646</v>
      </c>
    </row>
    <row r="609" spans="1:18" x14ac:dyDescent="0.2">
      <c r="A609">
        <v>7</v>
      </c>
      <c r="B609" t="s">
        <v>105</v>
      </c>
      <c r="E609" t="s">
        <v>36</v>
      </c>
      <c r="F609">
        <v>1337273</v>
      </c>
      <c r="G609">
        <v>2</v>
      </c>
      <c r="H609">
        <v>2</v>
      </c>
      <c r="I609">
        <v>243</v>
      </c>
      <c r="J609">
        <v>2010</v>
      </c>
      <c r="K609" s="4">
        <v>44325</v>
      </c>
      <c r="L609" t="s">
        <v>23</v>
      </c>
      <c r="M609" t="s">
        <v>37</v>
      </c>
      <c r="N609">
        <v>2.36</v>
      </c>
      <c r="O609">
        <v>2495</v>
      </c>
      <c r="P609">
        <v>0.79</v>
      </c>
      <c r="Q609">
        <v>41</v>
      </c>
      <c r="R609">
        <v>303</v>
      </c>
    </row>
    <row r="610" spans="1:18" x14ac:dyDescent="0.2">
      <c r="A610">
        <v>1</v>
      </c>
      <c r="B610" t="s">
        <v>72</v>
      </c>
      <c r="E610" t="s">
        <v>19</v>
      </c>
      <c r="F610">
        <v>1102836</v>
      </c>
      <c r="G610">
        <v>2</v>
      </c>
      <c r="H610">
        <v>1</v>
      </c>
      <c r="I610">
        <v>64</v>
      </c>
      <c r="J610">
        <v>1962</v>
      </c>
      <c r="K610" s="4">
        <v>44705</v>
      </c>
      <c r="L610" t="s">
        <v>20</v>
      </c>
      <c r="M610" t="s">
        <v>56</v>
      </c>
      <c r="N610">
        <v>2.2000000000000002</v>
      </c>
      <c r="O610">
        <v>1089</v>
      </c>
      <c r="P610">
        <v>4.82</v>
      </c>
      <c r="Q610">
        <v>56</v>
      </c>
      <c r="R610">
        <v>392</v>
      </c>
    </row>
    <row r="611" spans="1:18" x14ac:dyDescent="0.2">
      <c r="A611">
        <v>0</v>
      </c>
      <c r="B611" t="s">
        <v>67</v>
      </c>
      <c r="E611" t="s">
        <v>36</v>
      </c>
      <c r="F611">
        <v>1095060</v>
      </c>
      <c r="G611">
        <v>1</v>
      </c>
      <c r="H611">
        <v>3</v>
      </c>
      <c r="I611">
        <v>486</v>
      </c>
      <c r="J611">
        <v>1964</v>
      </c>
      <c r="K611" s="4">
        <v>44744</v>
      </c>
      <c r="L611" t="s">
        <v>20</v>
      </c>
      <c r="M611" t="s">
        <v>42</v>
      </c>
      <c r="N611">
        <v>3.34</v>
      </c>
      <c r="O611">
        <v>2353</v>
      </c>
      <c r="P611">
        <v>4.9400000000000004</v>
      </c>
      <c r="Q611">
        <v>111</v>
      </c>
      <c r="R611">
        <v>388</v>
      </c>
    </row>
    <row r="612" spans="1:18" x14ac:dyDescent="0.2">
      <c r="A612">
        <v>0</v>
      </c>
      <c r="B612" t="s">
        <v>104</v>
      </c>
      <c r="E612" t="s">
        <v>36</v>
      </c>
      <c r="F612">
        <v>2617496</v>
      </c>
      <c r="G612">
        <v>1</v>
      </c>
      <c r="H612">
        <v>3</v>
      </c>
      <c r="I612">
        <v>536</v>
      </c>
      <c r="J612">
        <v>1950</v>
      </c>
      <c r="K612" s="4">
        <v>45060</v>
      </c>
      <c r="L612" t="s">
        <v>26</v>
      </c>
      <c r="M612" t="s">
        <v>68</v>
      </c>
      <c r="N612">
        <v>2.96</v>
      </c>
      <c r="O612">
        <v>2283</v>
      </c>
      <c r="P612">
        <v>2</v>
      </c>
      <c r="Q612">
        <v>160</v>
      </c>
      <c r="R612">
        <v>418</v>
      </c>
    </row>
    <row r="613" spans="1:18" x14ac:dyDescent="0.2">
      <c r="A613">
        <v>1</v>
      </c>
      <c r="B613" t="s">
        <v>102</v>
      </c>
      <c r="E613" t="s">
        <v>51</v>
      </c>
      <c r="F613">
        <v>1410898</v>
      </c>
      <c r="G613">
        <v>2</v>
      </c>
      <c r="H613">
        <v>3</v>
      </c>
      <c r="I613">
        <v>443</v>
      </c>
      <c r="J613">
        <v>1994</v>
      </c>
      <c r="K613" s="4">
        <v>44910</v>
      </c>
      <c r="L613" t="s">
        <v>26</v>
      </c>
      <c r="M613" t="s">
        <v>70</v>
      </c>
      <c r="N613">
        <v>3.18</v>
      </c>
      <c r="O613">
        <v>1642</v>
      </c>
      <c r="P613">
        <v>2.15</v>
      </c>
      <c r="Q613">
        <v>196</v>
      </c>
      <c r="R613">
        <v>357</v>
      </c>
    </row>
    <row r="614" spans="1:18" x14ac:dyDescent="0.2">
      <c r="A614">
        <v>9</v>
      </c>
      <c r="B614" t="s">
        <v>84</v>
      </c>
      <c r="E614" t="s">
        <v>19</v>
      </c>
      <c r="F614">
        <v>1192880</v>
      </c>
      <c r="G614">
        <v>0</v>
      </c>
      <c r="H614">
        <v>2</v>
      </c>
      <c r="I614">
        <v>957</v>
      </c>
      <c r="J614">
        <v>2005</v>
      </c>
      <c r="K614" s="4">
        <v>45361</v>
      </c>
      <c r="L614" t="s">
        <v>20</v>
      </c>
      <c r="M614" t="s">
        <v>35</v>
      </c>
      <c r="N614">
        <v>2.0499999999999998</v>
      </c>
      <c r="O614">
        <v>1175</v>
      </c>
      <c r="P614">
        <v>3.5</v>
      </c>
      <c r="Q614">
        <v>43</v>
      </c>
      <c r="R614">
        <v>499</v>
      </c>
    </row>
    <row r="615" spans="1:18" x14ac:dyDescent="0.2">
      <c r="A615">
        <v>5</v>
      </c>
      <c r="B615" t="s">
        <v>91</v>
      </c>
      <c r="E615" t="s">
        <v>19</v>
      </c>
      <c r="F615">
        <v>2656194</v>
      </c>
      <c r="G615">
        <v>1</v>
      </c>
      <c r="H615">
        <v>3</v>
      </c>
      <c r="I615">
        <v>672</v>
      </c>
      <c r="J615">
        <v>2014</v>
      </c>
      <c r="K615" s="4">
        <v>45220</v>
      </c>
      <c r="L615" t="s">
        <v>26</v>
      </c>
      <c r="M615" t="s">
        <v>58</v>
      </c>
      <c r="N615">
        <v>2.88</v>
      </c>
      <c r="O615">
        <v>2476</v>
      </c>
      <c r="P615">
        <v>2.99</v>
      </c>
      <c r="Q615">
        <v>41</v>
      </c>
      <c r="R615">
        <v>623</v>
      </c>
    </row>
    <row r="616" spans="1:18" x14ac:dyDescent="0.2">
      <c r="A616">
        <v>7</v>
      </c>
      <c r="B616" t="s">
        <v>62</v>
      </c>
      <c r="E616" t="s">
        <v>51</v>
      </c>
      <c r="F616">
        <v>2758689</v>
      </c>
      <c r="G616">
        <v>2</v>
      </c>
      <c r="H616">
        <v>3</v>
      </c>
      <c r="I616">
        <v>989</v>
      </c>
      <c r="J616">
        <v>1954</v>
      </c>
      <c r="K616" s="4">
        <v>45400</v>
      </c>
      <c r="L616" t="s">
        <v>30</v>
      </c>
      <c r="M616" t="s">
        <v>40</v>
      </c>
      <c r="N616">
        <v>3.01</v>
      </c>
      <c r="O616">
        <v>1280</v>
      </c>
      <c r="P616">
        <v>4.97</v>
      </c>
      <c r="Q616">
        <v>229</v>
      </c>
      <c r="R616">
        <v>616</v>
      </c>
    </row>
    <row r="617" spans="1:18" x14ac:dyDescent="0.2">
      <c r="A617">
        <v>0</v>
      </c>
      <c r="B617" t="s">
        <v>91</v>
      </c>
      <c r="E617" t="s">
        <v>19</v>
      </c>
      <c r="F617">
        <v>1311977</v>
      </c>
      <c r="G617">
        <v>3</v>
      </c>
      <c r="H617">
        <v>1</v>
      </c>
      <c r="I617">
        <v>772</v>
      </c>
      <c r="J617">
        <v>1977</v>
      </c>
      <c r="K617" s="4">
        <v>44088</v>
      </c>
      <c r="L617" t="s">
        <v>20</v>
      </c>
      <c r="M617" t="s">
        <v>70</v>
      </c>
      <c r="N617">
        <v>1.59</v>
      </c>
      <c r="O617">
        <v>1831</v>
      </c>
      <c r="P617">
        <v>2.98</v>
      </c>
      <c r="Q617">
        <v>197</v>
      </c>
      <c r="R617">
        <v>698</v>
      </c>
    </row>
    <row r="618" spans="1:18" x14ac:dyDescent="0.2">
      <c r="A618">
        <v>5</v>
      </c>
      <c r="B618" t="s">
        <v>84</v>
      </c>
      <c r="E618" t="s">
        <v>29</v>
      </c>
      <c r="F618">
        <v>2603426</v>
      </c>
      <c r="G618">
        <v>2</v>
      </c>
      <c r="H618">
        <v>1</v>
      </c>
      <c r="I618">
        <v>123</v>
      </c>
      <c r="J618">
        <v>1977</v>
      </c>
      <c r="K618" s="4">
        <v>45645</v>
      </c>
      <c r="L618" t="s">
        <v>30</v>
      </c>
      <c r="M618" t="s">
        <v>35</v>
      </c>
      <c r="N618">
        <v>3.26</v>
      </c>
      <c r="O618">
        <v>1335</v>
      </c>
      <c r="P618">
        <v>0.77</v>
      </c>
      <c r="Q618">
        <v>170</v>
      </c>
      <c r="R618">
        <v>449</v>
      </c>
    </row>
    <row r="619" spans="1:18" x14ac:dyDescent="0.2">
      <c r="A619">
        <v>5</v>
      </c>
      <c r="B619" t="s">
        <v>87</v>
      </c>
      <c r="E619" t="s">
        <v>29</v>
      </c>
      <c r="F619">
        <v>1811846</v>
      </c>
      <c r="G619">
        <v>2</v>
      </c>
      <c r="H619">
        <v>2</v>
      </c>
      <c r="I619">
        <v>241</v>
      </c>
      <c r="J619">
        <v>1982</v>
      </c>
      <c r="K619" s="4">
        <v>44553</v>
      </c>
      <c r="L619" t="s">
        <v>26</v>
      </c>
      <c r="M619" t="s">
        <v>70</v>
      </c>
      <c r="N619">
        <v>1.6</v>
      </c>
      <c r="O619">
        <v>1968</v>
      </c>
      <c r="P619">
        <v>0.53</v>
      </c>
      <c r="Q619">
        <v>133</v>
      </c>
      <c r="R619">
        <v>552</v>
      </c>
    </row>
    <row r="620" spans="1:18" x14ac:dyDescent="0.2">
      <c r="A620">
        <v>3</v>
      </c>
      <c r="B620" t="s">
        <v>67</v>
      </c>
      <c r="E620" t="s">
        <v>29</v>
      </c>
      <c r="F620">
        <v>2289598</v>
      </c>
      <c r="G620">
        <v>2</v>
      </c>
      <c r="H620">
        <v>3</v>
      </c>
      <c r="I620">
        <v>757</v>
      </c>
      <c r="J620">
        <v>1956</v>
      </c>
      <c r="K620" s="4">
        <v>44796</v>
      </c>
      <c r="L620" t="s">
        <v>20</v>
      </c>
      <c r="M620" t="s">
        <v>97</v>
      </c>
      <c r="N620">
        <v>2.4</v>
      </c>
      <c r="O620">
        <v>2078</v>
      </c>
      <c r="P620">
        <v>0.56999999999999995</v>
      </c>
      <c r="Q620">
        <v>172</v>
      </c>
      <c r="R620">
        <v>547</v>
      </c>
    </row>
    <row r="621" spans="1:18" x14ac:dyDescent="0.2">
      <c r="A621">
        <v>1</v>
      </c>
      <c r="B621" t="s">
        <v>49</v>
      </c>
      <c r="E621" t="s">
        <v>19</v>
      </c>
      <c r="F621">
        <v>1276198</v>
      </c>
      <c r="G621">
        <v>5</v>
      </c>
      <c r="H621">
        <v>2</v>
      </c>
      <c r="I621">
        <v>698</v>
      </c>
      <c r="J621">
        <v>1978</v>
      </c>
      <c r="K621" s="4">
        <v>45165</v>
      </c>
      <c r="L621" t="s">
        <v>23</v>
      </c>
      <c r="M621" t="s">
        <v>47</v>
      </c>
      <c r="N621">
        <v>2.72</v>
      </c>
      <c r="O621">
        <v>1506</v>
      </c>
      <c r="P621">
        <v>0.34</v>
      </c>
      <c r="Q621">
        <v>308</v>
      </c>
      <c r="R621">
        <v>631</v>
      </c>
    </row>
    <row r="622" spans="1:18" x14ac:dyDescent="0.2">
      <c r="A622">
        <v>2</v>
      </c>
      <c r="B622" t="s">
        <v>101</v>
      </c>
      <c r="E622" t="s">
        <v>36</v>
      </c>
      <c r="F622">
        <v>2883705</v>
      </c>
      <c r="G622">
        <v>3</v>
      </c>
      <c r="H622">
        <v>1</v>
      </c>
      <c r="I622">
        <v>723</v>
      </c>
      <c r="J622">
        <v>1972</v>
      </c>
      <c r="K622" s="4">
        <v>44676</v>
      </c>
      <c r="L622" t="s">
        <v>20</v>
      </c>
      <c r="M622" t="s">
        <v>56</v>
      </c>
      <c r="N622">
        <v>3.48</v>
      </c>
      <c r="O622">
        <v>1586</v>
      </c>
      <c r="P622">
        <v>2.4500000000000002</v>
      </c>
      <c r="Q622">
        <v>125</v>
      </c>
      <c r="R622">
        <v>422</v>
      </c>
    </row>
    <row r="623" spans="1:18" x14ac:dyDescent="0.2">
      <c r="A623">
        <v>1</v>
      </c>
      <c r="B623" t="s">
        <v>101</v>
      </c>
      <c r="E623" t="s">
        <v>51</v>
      </c>
      <c r="F623">
        <v>1876829</v>
      </c>
      <c r="G623">
        <v>3</v>
      </c>
      <c r="H623">
        <v>3</v>
      </c>
      <c r="I623">
        <v>455</v>
      </c>
      <c r="J623">
        <v>1978</v>
      </c>
      <c r="K623" s="4">
        <v>45250</v>
      </c>
      <c r="L623" t="s">
        <v>23</v>
      </c>
      <c r="M623" t="s">
        <v>40</v>
      </c>
      <c r="N623">
        <v>3.2</v>
      </c>
      <c r="O623">
        <v>915</v>
      </c>
      <c r="P623">
        <v>1.49</v>
      </c>
      <c r="Q623">
        <v>270</v>
      </c>
      <c r="R623">
        <v>442</v>
      </c>
    </row>
    <row r="624" spans="1:18" x14ac:dyDescent="0.2">
      <c r="A624">
        <v>5</v>
      </c>
      <c r="B624" t="s">
        <v>81</v>
      </c>
      <c r="E624" t="s">
        <v>29</v>
      </c>
      <c r="F624">
        <v>2391034</v>
      </c>
      <c r="G624">
        <v>2</v>
      </c>
      <c r="H624">
        <v>3</v>
      </c>
      <c r="I624">
        <v>547</v>
      </c>
      <c r="J624">
        <v>1956</v>
      </c>
      <c r="K624" s="4">
        <v>44916</v>
      </c>
      <c r="L624" t="s">
        <v>23</v>
      </c>
      <c r="M624" t="s">
        <v>76</v>
      </c>
      <c r="N624">
        <v>1.78</v>
      </c>
      <c r="O624">
        <v>1189</v>
      </c>
      <c r="P624">
        <v>1.02</v>
      </c>
      <c r="Q624">
        <v>159</v>
      </c>
      <c r="R624">
        <v>354</v>
      </c>
    </row>
    <row r="625" spans="1:18" x14ac:dyDescent="0.2">
      <c r="A625">
        <v>8</v>
      </c>
      <c r="B625" t="s">
        <v>34</v>
      </c>
      <c r="E625" t="s">
        <v>51</v>
      </c>
      <c r="F625">
        <v>1114283</v>
      </c>
      <c r="G625">
        <v>2</v>
      </c>
      <c r="H625">
        <v>3</v>
      </c>
      <c r="I625">
        <v>212</v>
      </c>
      <c r="J625">
        <v>1978</v>
      </c>
      <c r="K625" s="4">
        <v>44492</v>
      </c>
      <c r="L625" t="s">
        <v>20</v>
      </c>
      <c r="M625" t="s">
        <v>76</v>
      </c>
      <c r="N625">
        <v>1.61</v>
      </c>
      <c r="O625">
        <v>1571</v>
      </c>
      <c r="P625">
        <v>4.8499999999999996</v>
      </c>
      <c r="Q625">
        <v>87</v>
      </c>
      <c r="R625">
        <v>453</v>
      </c>
    </row>
    <row r="626" spans="1:18" x14ac:dyDescent="0.2">
      <c r="A626">
        <v>2</v>
      </c>
      <c r="B626" t="s">
        <v>55</v>
      </c>
      <c r="E626" t="s">
        <v>29</v>
      </c>
      <c r="F626">
        <v>2665758</v>
      </c>
      <c r="G626">
        <v>5</v>
      </c>
      <c r="H626">
        <v>2</v>
      </c>
      <c r="I626">
        <v>211</v>
      </c>
      <c r="J626">
        <v>1973</v>
      </c>
      <c r="K626" s="4">
        <v>45477</v>
      </c>
      <c r="L626" t="s">
        <v>20</v>
      </c>
      <c r="M626" t="s">
        <v>85</v>
      </c>
      <c r="N626">
        <v>2.87</v>
      </c>
      <c r="O626">
        <v>2399</v>
      </c>
      <c r="P626">
        <v>2.87</v>
      </c>
      <c r="Q626">
        <v>345</v>
      </c>
      <c r="R626">
        <v>655</v>
      </c>
    </row>
    <row r="627" spans="1:18" x14ac:dyDescent="0.2">
      <c r="A627">
        <v>7</v>
      </c>
      <c r="B627" t="s">
        <v>64</v>
      </c>
      <c r="E627" t="s">
        <v>36</v>
      </c>
      <c r="F627">
        <v>2577432</v>
      </c>
      <c r="G627">
        <v>5</v>
      </c>
      <c r="H627">
        <v>1</v>
      </c>
      <c r="I627">
        <v>198</v>
      </c>
      <c r="J627">
        <v>1951</v>
      </c>
      <c r="K627" s="4">
        <v>45171</v>
      </c>
      <c r="L627" t="s">
        <v>26</v>
      </c>
      <c r="M627" t="s">
        <v>21</v>
      </c>
      <c r="N627">
        <v>1.51</v>
      </c>
      <c r="O627">
        <v>1520</v>
      </c>
      <c r="P627">
        <v>0.93</v>
      </c>
      <c r="Q627">
        <v>343</v>
      </c>
      <c r="R627">
        <v>645</v>
      </c>
    </row>
    <row r="628" spans="1:18" x14ac:dyDescent="0.2">
      <c r="A628">
        <v>3</v>
      </c>
      <c r="B628" t="s">
        <v>84</v>
      </c>
      <c r="E628" t="s">
        <v>51</v>
      </c>
      <c r="F628">
        <v>1196721</v>
      </c>
      <c r="G628">
        <v>3</v>
      </c>
      <c r="H628">
        <v>3</v>
      </c>
      <c r="I628">
        <v>925</v>
      </c>
      <c r="J628">
        <v>2005</v>
      </c>
      <c r="K628" s="4">
        <v>44226</v>
      </c>
      <c r="L628" t="s">
        <v>23</v>
      </c>
      <c r="M628" t="s">
        <v>52</v>
      </c>
      <c r="N628">
        <v>2.64</v>
      </c>
      <c r="O628">
        <v>1841</v>
      </c>
      <c r="P628">
        <v>3.32</v>
      </c>
      <c r="Q628">
        <v>128</v>
      </c>
      <c r="R628">
        <v>455</v>
      </c>
    </row>
    <row r="629" spans="1:18" x14ac:dyDescent="0.2">
      <c r="A629">
        <v>8</v>
      </c>
      <c r="B629" t="s">
        <v>32</v>
      </c>
      <c r="E629" t="s">
        <v>29</v>
      </c>
      <c r="F629">
        <v>1152022</v>
      </c>
      <c r="G629">
        <v>2</v>
      </c>
      <c r="H629">
        <v>3</v>
      </c>
      <c r="I629">
        <v>574</v>
      </c>
      <c r="J629">
        <v>1977</v>
      </c>
      <c r="K629" s="4">
        <v>44210</v>
      </c>
      <c r="L629" t="s">
        <v>23</v>
      </c>
      <c r="M629" t="s">
        <v>52</v>
      </c>
      <c r="N629">
        <v>2.1</v>
      </c>
      <c r="O629">
        <v>1607</v>
      </c>
      <c r="P629">
        <v>4.75</v>
      </c>
      <c r="Q629">
        <v>46</v>
      </c>
      <c r="R629">
        <v>584</v>
      </c>
    </row>
    <row r="630" spans="1:18" x14ac:dyDescent="0.2">
      <c r="A630">
        <v>7</v>
      </c>
      <c r="B630" t="s">
        <v>106</v>
      </c>
      <c r="E630" t="s">
        <v>36</v>
      </c>
      <c r="F630">
        <v>2897883</v>
      </c>
      <c r="G630">
        <v>2</v>
      </c>
      <c r="H630">
        <v>3</v>
      </c>
      <c r="I630">
        <v>375</v>
      </c>
      <c r="J630">
        <v>1965</v>
      </c>
      <c r="K630" s="4">
        <v>45281</v>
      </c>
      <c r="L630" t="s">
        <v>26</v>
      </c>
      <c r="M630" t="s">
        <v>70</v>
      </c>
      <c r="N630">
        <v>2.44</v>
      </c>
      <c r="O630">
        <v>2281</v>
      </c>
      <c r="P630">
        <v>0.71</v>
      </c>
      <c r="Q630">
        <v>239</v>
      </c>
      <c r="R630">
        <v>684</v>
      </c>
    </row>
    <row r="631" spans="1:18" x14ac:dyDescent="0.2">
      <c r="A631">
        <v>7</v>
      </c>
      <c r="B631" t="s">
        <v>73</v>
      </c>
      <c r="E631" t="s">
        <v>36</v>
      </c>
      <c r="F631">
        <v>1121757</v>
      </c>
      <c r="G631">
        <v>3</v>
      </c>
      <c r="H631">
        <v>3</v>
      </c>
      <c r="I631">
        <v>51</v>
      </c>
      <c r="J631">
        <v>1963</v>
      </c>
      <c r="K631" s="4">
        <v>44925</v>
      </c>
      <c r="L631" t="s">
        <v>20</v>
      </c>
      <c r="M631" t="s">
        <v>35</v>
      </c>
      <c r="N631">
        <v>2.54</v>
      </c>
      <c r="O631">
        <v>892</v>
      </c>
      <c r="P631">
        <v>2.48</v>
      </c>
      <c r="Q631">
        <v>280</v>
      </c>
      <c r="R631">
        <v>624</v>
      </c>
    </row>
    <row r="632" spans="1:18" x14ac:dyDescent="0.2">
      <c r="A632">
        <v>0</v>
      </c>
      <c r="B632" t="s">
        <v>48</v>
      </c>
      <c r="E632" t="s">
        <v>36</v>
      </c>
      <c r="F632">
        <v>2795327</v>
      </c>
      <c r="G632">
        <v>3</v>
      </c>
      <c r="H632">
        <v>2</v>
      </c>
      <c r="I632">
        <v>934</v>
      </c>
      <c r="J632">
        <v>1995</v>
      </c>
      <c r="K632" s="4">
        <v>44732</v>
      </c>
      <c r="L632" t="s">
        <v>20</v>
      </c>
      <c r="M632" t="s">
        <v>33</v>
      </c>
      <c r="N632">
        <v>1.76</v>
      </c>
      <c r="O632">
        <v>1683</v>
      </c>
      <c r="P632">
        <v>0.68</v>
      </c>
      <c r="Q632">
        <v>122</v>
      </c>
      <c r="R632">
        <v>358</v>
      </c>
    </row>
    <row r="633" spans="1:18" x14ac:dyDescent="0.2">
      <c r="A633">
        <v>2</v>
      </c>
      <c r="B633" t="s">
        <v>102</v>
      </c>
      <c r="E633" t="s">
        <v>19</v>
      </c>
      <c r="F633">
        <v>1747546</v>
      </c>
      <c r="G633">
        <v>4</v>
      </c>
      <c r="H633">
        <v>3</v>
      </c>
      <c r="I633">
        <v>280</v>
      </c>
      <c r="J633">
        <v>1994</v>
      </c>
      <c r="K633" s="4">
        <v>45676</v>
      </c>
      <c r="L633" t="s">
        <v>26</v>
      </c>
      <c r="M633" t="s">
        <v>70</v>
      </c>
      <c r="N633">
        <v>2.84</v>
      </c>
      <c r="O633">
        <v>1657</v>
      </c>
      <c r="P633">
        <v>4.16</v>
      </c>
      <c r="Q633">
        <v>322</v>
      </c>
      <c r="R633">
        <v>326</v>
      </c>
    </row>
    <row r="634" spans="1:18" x14ac:dyDescent="0.2">
      <c r="A634">
        <v>8</v>
      </c>
      <c r="B634" t="s">
        <v>41</v>
      </c>
      <c r="E634" t="s">
        <v>51</v>
      </c>
      <c r="F634">
        <v>2596536</v>
      </c>
      <c r="G634">
        <v>4</v>
      </c>
      <c r="H634">
        <v>2</v>
      </c>
      <c r="I634">
        <v>412</v>
      </c>
      <c r="J634">
        <v>1976</v>
      </c>
      <c r="K634" s="4">
        <v>44200</v>
      </c>
      <c r="L634" t="s">
        <v>26</v>
      </c>
      <c r="M634" t="s">
        <v>21</v>
      </c>
      <c r="N634">
        <v>1.98</v>
      </c>
      <c r="O634">
        <v>2214</v>
      </c>
      <c r="P634">
        <v>0.82</v>
      </c>
      <c r="Q634">
        <v>311</v>
      </c>
      <c r="R634">
        <v>447</v>
      </c>
    </row>
    <row r="635" spans="1:18" x14ac:dyDescent="0.2">
      <c r="A635">
        <v>4</v>
      </c>
      <c r="B635" t="s">
        <v>72</v>
      </c>
      <c r="E635" t="s">
        <v>29</v>
      </c>
      <c r="F635">
        <v>2917607</v>
      </c>
      <c r="G635">
        <v>4</v>
      </c>
      <c r="H635">
        <v>2</v>
      </c>
      <c r="I635">
        <v>976</v>
      </c>
      <c r="J635">
        <v>2004</v>
      </c>
      <c r="K635" s="4">
        <v>45601</v>
      </c>
      <c r="L635" t="s">
        <v>30</v>
      </c>
      <c r="M635" t="s">
        <v>33</v>
      </c>
      <c r="N635">
        <v>2.82</v>
      </c>
      <c r="O635">
        <v>2393</v>
      </c>
      <c r="P635">
        <v>4.91</v>
      </c>
      <c r="Q635">
        <v>233</v>
      </c>
      <c r="R635">
        <v>490</v>
      </c>
    </row>
    <row r="636" spans="1:18" x14ac:dyDescent="0.2">
      <c r="A636">
        <v>6</v>
      </c>
      <c r="B636" t="s">
        <v>44</v>
      </c>
      <c r="E636" t="s">
        <v>19</v>
      </c>
      <c r="F636">
        <v>2626737</v>
      </c>
      <c r="G636">
        <v>3</v>
      </c>
      <c r="H636">
        <v>2</v>
      </c>
      <c r="I636">
        <v>154</v>
      </c>
      <c r="J636">
        <v>2017</v>
      </c>
      <c r="K636" s="4">
        <v>44464</v>
      </c>
      <c r="L636" t="s">
        <v>23</v>
      </c>
      <c r="M636" t="s">
        <v>31</v>
      </c>
      <c r="N636">
        <v>2.04</v>
      </c>
      <c r="O636">
        <v>1275</v>
      </c>
      <c r="P636">
        <v>3.19</v>
      </c>
      <c r="Q636">
        <v>259</v>
      </c>
      <c r="R636">
        <v>646</v>
      </c>
    </row>
    <row r="637" spans="1:18" x14ac:dyDescent="0.2">
      <c r="A637">
        <v>4</v>
      </c>
      <c r="B637" t="s">
        <v>46</v>
      </c>
      <c r="E637" t="s">
        <v>36</v>
      </c>
      <c r="F637">
        <v>1752053</v>
      </c>
      <c r="G637">
        <v>2</v>
      </c>
      <c r="H637">
        <v>3</v>
      </c>
      <c r="I637">
        <v>487</v>
      </c>
      <c r="J637">
        <v>2000</v>
      </c>
      <c r="K637" s="4">
        <v>44596</v>
      </c>
      <c r="L637" t="s">
        <v>23</v>
      </c>
      <c r="M637" t="s">
        <v>52</v>
      </c>
      <c r="N637">
        <v>1.91</v>
      </c>
      <c r="O637">
        <v>2268</v>
      </c>
      <c r="P637">
        <v>3.36</v>
      </c>
      <c r="Q637">
        <v>60</v>
      </c>
      <c r="R637">
        <v>539</v>
      </c>
    </row>
    <row r="638" spans="1:18" x14ac:dyDescent="0.2">
      <c r="A638">
        <v>1</v>
      </c>
      <c r="B638" t="s">
        <v>38</v>
      </c>
      <c r="E638" t="s">
        <v>19</v>
      </c>
      <c r="F638">
        <v>1670459</v>
      </c>
      <c r="G638">
        <v>2</v>
      </c>
      <c r="H638">
        <v>3</v>
      </c>
      <c r="I638">
        <v>200</v>
      </c>
      <c r="J638">
        <v>2008</v>
      </c>
      <c r="K638" s="4">
        <v>45399</v>
      </c>
      <c r="L638" t="s">
        <v>26</v>
      </c>
      <c r="M638" t="s">
        <v>85</v>
      </c>
      <c r="N638">
        <v>2.9</v>
      </c>
      <c r="O638">
        <v>1910</v>
      </c>
      <c r="P638">
        <v>1.44</v>
      </c>
      <c r="Q638">
        <v>92</v>
      </c>
      <c r="R638">
        <v>617</v>
      </c>
    </row>
    <row r="639" spans="1:18" x14ac:dyDescent="0.2">
      <c r="A639">
        <v>9</v>
      </c>
      <c r="B639" t="s">
        <v>83</v>
      </c>
      <c r="E639" t="s">
        <v>51</v>
      </c>
      <c r="F639">
        <v>1337228</v>
      </c>
      <c r="G639">
        <v>3</v>
      </c>
      <c r="H639">
        <v>1</v>
      </c>
      <c r="I639">
        <v>454</v>
      </c>
      <c r="J639">
        <v>1966</v>
      </c>
      <c r="K639" s="4">
        <v>45460</v>
      </c>
      <c r="L639" t="s">
        <v>30</v>
      </c>
      <c r="M639" t="s">
        <v>24</v>
      </c>
      <c r="N639">
        <v>1.69</v>
      </c>
      <c r="O639">
        <v>1139</v>
      </c>
      <c r="P639">
        <v>1.43</v>
      </c>
      <c r="Q639">
        <v>164</v>
      </c>
      <c r="R639">
        <v>445</v>
      </c>
    </row>
    <row r="640" spans="1:18" x14ac:dyDescent="0.2">
      <c r="A640">
        <v>6</v>
      </c>
      <c r="B640" t="s">
        <v>75</v>
      </c>
      <c r="E640" t="s">
        <v>29</v>
      </c>
      <c r="F640">
        <v>2425850</v>
      </c>
      <c r="G640">
        <v>4</v>
      </c>
      <c r="H640">
        <v>1</v>
      </c>
      <c r="I640">
        <v>750</v>
      </c>
      <c r="J640">
        <v>2016</v>
      </c>
      <c r="K640" s="4">
        <v>45537</v>
      </c>
      <c r="L640" t="s">
        <v>26</v>
      </c>
      <c r="M640" t="s">
        <v>70</v>
      </c>
      <c r="N640">
        <v>2.7</v>
      </c>
      <c r="O640">
        <v>1750</v>
      </c>
      <c r="P640">
        <v>2.78</v>
      </c>
      <c r="Q640">
        <v>392</v>
      </c>
      <c r="R640">
        <v>560</v>
      </c>
    </row>
    <row r="641" spans="1:18" x14ac:dyDescent="0.2">
      <c r="A641">
        <v>2</v>
      </c>
      <c r="B641" t="s">
        <v>61</v>
      </c>
      <c r="E641" t="s">
        <v>29</v>
      </c>
      <c r="F641">
        <v>481428</v>
      </c>
      <c r="G641">
        <v>1</v>
      </c>
      <c r="H641">
        <v>2</v>
      </c>
      <c r="I641">
        <v>466</v>
      </c>
      <c r="J641">
        <v>1998</v>
      </c>
      <c r="K641" s="4">
        <v>44616</v>
      </c>
      <c r="L641" t="s">
        <v>20</v>
      </c>
      <c r="M641" t="s">
        <v>74</v>
      </c>
      <c r="N641">
        <v>3.16</v>
      </c>
      <c r="O641">
        <v>2160</v>
      </c>
      <c r="P641">
        <v>4.34</v>
      </c>
      <c r="Q641">
        <v>136</v>
      </c>
      <c r="R641">
        <v>347</v>
      </c>
    </row>
    <row r="642" spans="1:18" x14ac:dyDescent="0.2">
      <c r="A642">
        <v>1</v>
      </c>
      <c r="B642" t="s">
        <v>93</v>
      </c>
      <c r="E642" t="s">
        <v>36</v>
      </c>
      <c r="F642">
        <v>767738</v>
      </c>
      <c r="G642">
        <v>6</v>
      </c>
      <c r="H642">
        <v>1</v>
      </c>
      <c r="I642">
        <v>482</v>
      </c>
      <c r="J642">
        <v>1981</v>
      </c>
      <c r="K642" s="4">
        <v>44969</v>
      </c>
      <c r="L642" t="s">
        <v>30</v>
      </c>
      <c r="M642" t="s">
        <v>89</v>
      </c>
      <c r="N642">
        <v>2.37</v>
      </c>
      <c r="O642">
        <v>1225</v>
      </c>
      <c r="P642">
        <v>1.89</v>
      </c>
      <c r="Q642">
        <v>389</v>
      </c>
      <c r="R642">
        <v>490</v>
      </c>
    </row>
    <row r="643" spans="1:18" x14ac:dyDescent="0.2">
      <c r="A643">
        <v>4</v>
      </c>
      <c r="B643" t="s">
        <v>18</v>
      </c>
      <c r="E643" t="s">
        <v>29</v>
      </c>
      <c r="F643">
        <v>976666</v>
      </c>
      <c r="G643">
        <v>0</v>
      </c>
      <c r="H643">
        <v>3</v>
      </c>
      <c r="I643">
        <v>560</v>
      </c>
      <c r="J643">
        <v>2010</v>
      </c>
      <c r="K643" s="4">
        <v>44705</v>
      </c>
      <c r="L643" t="s">
        <v>26</v>
      </c>
      <c r="M643" t="s">
        <v>54</v>
      </c>
      <c r="N643">
        <v>3.49</v>
      </c>
      <c r="O643">
        <v>2041</v>
      </c>
      <c r="P643">
        <v>4.6399999999999997</v>
      </c>
      <c r="Q643">
        <v>74</v>
      </c>
      <c r="R643">
        <v>427</v>
      </c>
    </row>
    <row r="644" spans="1:18" x14ac:dyDescent="0.2">
      <c r="A644">
        <v>9</v>
      </c>
      <c r="B644" t="s">
        <v>34</v>
      </c>
      <c r="E644" t="s">
        <v>29</v>
      </c>
      <c r="F644">
        <v>2430782</v>
      </c>
      <c r="G644">
        <v>1</v>
      </c>
      <c r="H644">
        <v>3</v>
      </c>
      <c r="I644">
        <v>157</v>
      </c>
      <c r="J644">
        <v>2012</v>
      </c>
      <c r="K644" s="4">
        <v>45033</v>
      </c>
      <c r="L644" t="s">
        <v>30</v>
      </c>
      <c r="M644" t="s">
        <v>78</v>
      </c>
      <c r="N644">
        <v>1.52</v>
      </c>
      <c r="O644">
        <v>857</v>
      </c>
      <c r="P644">
        <v>2.16</v>
      </c>
      <c r="Q644">
        <v>64</v>
      </c>
      <c r="R644">
        <v>627</v>
      </c>
    </row>
    <row r="645" spans="1:18" x14ac:dyDescent="0.2">
      <c r="A645">
        <v>0</v>
      </c>
      <c r="B645" t="s">
        <v>101</v>
      </c>
      <c r="E645" t="s">
        <v>36</v>
      </c>
      <c r="F645">
        <v>496764</v>
      </c>
      <c r="G645">
        <v>3</v>
      </c>
      <c r="H645">
        <v>3</v>
      </c>
      <c r="I645">
        <v>551</v>
      </c>
      <c r="J645">
        <v>1995</v>
      </c>
      <c r="K645" s="4">
        <v>45578</v>
      </c>
      <c r="L645" t="s">
        <v>26</v>
      </c>
      <c r="M645" t="s">
        <v>35</v>
      </c>
      <c r="N645">
        <v>1.79</v>
      </c>
      <c r="O645">
        <v>1595</v>
      </c>
      <c r="P645">
        <v>1.46</v>
      </c>
      <c r="Q645">
        <v>298</v>
      </c>
      <c r="R645">
        <v>363</v>
      </c>
    </row>
    <row r="646" spans="1:18" x14ac:dyDescent="0.2">
      <c r="A646">
        <v>1</v>
      </c>
      <c r="B646" t="s">
        <v>96</v>
      </c>
      <c r="E646" t="s">
        <v>51</v>
      </c>
      <c r="F646">
        <v>1304636</v>
      </c>
      <c r="G646">
        <v>3</v>
      </c>
      <c r="H646">
        <v>1</v>
      </c>
      <c r="I646">
        <v>647</v>
      </c>
      <c r="J646">
        <v>2018</v>
      </c>
      <c r="K646" s="4">
        <v>45305</v>
      </c>
      <c r="L646" t="s">
        <v>26</v>
      </c>
      <c r="M646" t="s">
        <v>58</v>
      </c>
      <c r="N646">
        <v>2.0099999999999998</v>
      </c>
      <c r="O646">
        <v>894</v>
      </c>
      <c r="P646">
        <v>4.59</v>
      </c>
      <c r="Q646">
        <v>195</v>
      </c>
      <c r="R646">
        <v>658</v>
      </c>
    </row>
    <row r="647" spans="1:18" x14ac:dyDescent="0.2">
      <c r="A647">
        <v>3</v>
      </c>
      <c r="B647" t="s">
        <v>43</v>
      </c>
      <c r="E647" t="s">
        <v>19</v>
      </c>
      <c r="F647">
        <v>1898556</v>
      </c>
      <c r="G647">
        <v>3</v>
      </c>
      <c r="H647">
        <v>2</v>
      </c>
      <c r="I647">
        <v>485</v>
      </c>
      <c r="J647">
        <v>2006</v>
      </c>
      <c r="K647" s="4">
        <v>44105</v>
      </c>
      <c r="L647" t="s">
        <v>30</v>
      </c>
      <c r="M647" t="s">
        <v>68</v>
      </c>
      <c r="N647">
        <v>2.31</v>
      </c>
      <c r="O647">
        <v>1726</v>
      </c>
      <c r="P647">
        <v>0.83</v>
      </c>
      <c r="Q647">
        <v>273</v>
      </c>
      <c r="R647">
        <v>650</v>
      </c>
    </row>
    <row r="648" spans="1:18" x14ac:dyDescent="0.2">
      <c r="A648">
        <v>0</v>
      </c>
      <c r="B648" t="s">
        <v>46</v>
      </c>
      <c r="E648" t="s">
        <v>29</v>
      </c>
      <c r="F648">
        <v>514480</v>
      </c>
      <c r="G648">
        <v>2</v>
      </c>
      <c r="H648">
        <v>2</v>
      </c>
      <c r="I648">
        <v>939</v>
      </c>
      <c r="J648">
        <v>1983</v>
      </c>
      <c r="K648" s="4">
        <v>44760</v>
      </c>
      <c r="L648" t="s">
        <v>23</v>
      </c>
      <c r="M648" t="s">
        <v>24</v>
      </c>
      <c r="N648">
        <v>2.3199999999999998</v>
      </c>
      <c r="O648">
        <v>1814</v>
      </c>
      <c r="P648">
        <v>0.42</v>
      </c>
      <c r="Q648">
        <v>114</v>
      </c>
      <c r="R648">
        <v>418</v>
      </c>
    </row>
    <row r="649" spans="1:18" x14ac:dyDescent="0.2">
      <c r="A649">
        <v>0</v>
      </c>
      <c r="B649" t="s">
        <v>95</v>
      </c>
      <c r="E649" t="s">
        <v>36</v>
      </c>
      <c r="F649">
        <v>1491961</v>
      </c>
      <c r="G649">
        <v>1</v>
      </c>
      <c r="H649">
        <v>2</v>
      </c>
      <c r="I649">
        <v>571</v>
      </c>
      <c r="J649">
        <v>1991</v>
      </c>
      <c r="K649" s="4">
        <v>44584</v>
      </c>
      <c r="L649" t="s">
        <v>23</v>
      </c>
      <c r="M649" t="s">
        <v>40</v>
      </c>
      <c r="N649">
        <v>1.63</v>
      </c>
      <c r="O649">
        <v>2407</v>
      </c>
      <c r="P649">
        <v>3.04</v>
      </c>
      <c r="Q649">
        <v>102</v>
      </c>
      <c r="R649">
        <v>639</v>
      </c>
    </row>
    <row r="650" spans="1:18" x14ac:dyDescent="0.2">
      <c r="A650">
        <v>1</v>
      </c>
      <c r="B650" t="s">
        <v>44</v>
      </c>
      <c r="E650" t="s">
        <v>36</v>
      </c>
      <c r="F650">
        <v>1593950</v>
      </c>
      <c r="G650">
        <v>2</v>
      </c>
      <c r="H650">
        <v>3</v>
      </c>
      <c r="I650">
        <v>984</v>
      </c>
      <c r="J650">
        <v>1968</v>
      </c>
      <c r="K650" s="4">
        <v>45829</v>
      </c>
      <c r="L650" t="s">
        <v>20</v>
      </c>
      <c r="M650" t="s">
        <v>31</v>
      </c>
      <c r="N650">
        <v>3.42</v>
      </c>
      <c r="O650">
        <v>1742</v>
      </c>
      <c r="P650">
        <v>3.23</v>
      </c>
      <c r="Q650">
        <v>163</v>
      </c>
      <c r="R650">
        <v>544</v>
      </c>
    </row>
    <row r="651" spans="1:18" x14ac:dyDescent="0.2">
      <c r="A651">
        <v>9</v>
      </c>
      <c r="B651" t="s">
        <v>43</v>
      </c>
      <c r="E651" t="s">
        <v>51</v>
      </c>
      <c r="F651">
        <v>1694038</v>
      </c>
      <c r="G651">
        <v>4</v>
      </c>
      <c r="H651">
        <v>2</v>
      </c>
      <c r="I651">
        <v>459</v>
      </c>
      <c r="J651">
        <v>2017</v>
      </c>
      <c r="K651" s="4">
        <v>45038</v>
      </c>
      <c r="L651" t="s">
        <v>26</v>
      </c>
      <c r="M651" t="s">
        <v>45</v>
      </c>
      <c r="N651">
        <v>1.62</v>
      </c>
      <c r="O651">
        <v>1863</v>
      </c>
      <c r="P651">
        <v>2.77</v>
      </c>
      <c r="Q651">
        <v>295</v>
      </c>
      <c r="R651">
        <v>589</v>
      </c>
    </row>
    <row r="652" spans="1:18" x14ac:dyDescent="0.2">
      <c r="A652">
        <v>4</v>
      </c>
      <c r="B652" t="s">
        <v>81</v>
      </c>
      <c r="E652" t="s">
        <v>29</v>
      </c>
      <c r="F652">
        <v>1235454</v>
      </c>
      <c r="G652">
        <v>6</v>
      </c>
      <c r="H652">
        <v>3</v>
      </c>
      <c r="I652">
        <v>114</v>
      </c>
      <c r="J652">
        <v>2011</v>
      </c>
      <c r="K652" s="4">
        <v>45434</v>
      </c>
      <c r="L652" t="s">
        <v>20</v>
      </c>
      <c r="M652" t="s">
        <v>27</v>
      </c>
      <c r="N652">
        <v>3.03</v>
      </c>
      <c r="O652">
        <v>2138</v>
      </c>
      <c r="P652">
        <v>1.31</v>
      </c>
      <c r="Q652">
        <v>340</v>
      </c>
      <c r="R652">
        <v>355</v>
      </c>
    </row>
    <row r="653" spans="1:18" x14ac:dyDescent="0.2">
      <c r="A653">
        <v>7</v>
      </c>
      <c r="B653" t="s">
        <v>49</v>
      </c>
      <c r="E653" t="s">
        <v>19</v>
      </c>
      <c r="F653">
        <v>450351</v>
      </c>
      <c r="G653">
        <v>4</v>
      </c>
      <c r="H653">
        <v>1</v>
      </c>
      <c r="I653">
        <v>737</v>
      </c>
      <c r="J653">
        <v>1975</v>
      </c>
      <c r="K653" s="4">
        <v>44145</v>
      </c>
      <c r="L653" t="s">
        <v>20</v>
      </c>
      <c r="M653" t="s">
        <v>85</v>
      </c>
      <c r="N653">
        <v>2.73</v>
      </c>
      <c r="O653">
        <v>1354</v>
      </c>
      <c r="P653">
        <v>3.62</v>
      </c>
      <c r="Q653">
        <v>252</v>
      </c>
      <c r="R653">
        <v>362</v>
      </c>
    </row>
    <row r="654" spans="1:18" x14ac:dyDescent="0.2">
      <c r="A654">
        <v>7</v>
      </c>
      <c r="B654" t="s">
        <v>79</v>
      </c>
      <c r="E654" t="s">
        <v>29</v>
      </c>
      <c r="F654">
        <v>1147225</v>
      </c>
      <c r="G654">
        <v>5</v>
      </c>
      <c r="H654">
        <v>3</v>
      </c>
      <c r="I654">
        <v>871</v>
      </c>
      <c r="J654">
        <v>2012</v>
      </c>
      <c r="K654" s="4">
        <v>44826</v>
      </c>
      <c r="L654" t="s">
        <v>26</v>
      </c>
      <c r="M654" t="s">
        <v>60</v>
      </c>
      <c r="N654">
        <v>2.68</v>
      </c>
      <c r="O654">
        <v>1396</v>
      </c>
      <c r="P654">
        <v>1.73</v>
      </c>
      <c r="Q654">
        <v>341</v>
      </c>
      <c r="R654">
        <v>404</v>
      </c>
    </row>
    <row r="655" spans="1:18" x14ac:dyDescent="0.2">
      <c r="A655">
        <v>2</v>
      </c>
      <c r="B655" t="s">
        <v>102</v>
      </c>
      <c r="E655" t="s">
        <v>19</v>
      </c>
      <c r="F655">
        <v>2097002</v>
      </c>
      <c r="G655">
        <v>3</v>
      </c>
      <c r="H655">
        <v>1</v>
      </c>
      <c r="I655">
        <v>131</v>
      </c>
      <c r="J655">
        <v>2001</v>
      </c>
      <c r="K655" s="4">
        <v>45682</v>
      </c>
      <c r="L655" t="s">
        <v>23</v>
      </c>
      <c r="M655" t="s">
        <v>45</v>
      </c>
      <c r="N655">
        <v>1.69</v>
      </c>
      <c r="O655">
        <v>2170</v>
      </c>
      <c r="P655">
        <v>1.33</v>
      </c>
      <c r="Q655">
        <v>184</v>
      </c>
      <c r="R655">
        <v>646</v>
      </c>
    </row>
    <row r="656" spans="1:18" x14ac:dyDescent="0.2">
      <c r="A656">
        <v>9</v>
      </c>
      <c r="B656" t="s">
        <v>94</v>
      </c>
      <c r="E656" t="s">
        <v>19</v>
      </c>
      <c r="F656">
        <v>680583</v>
      </c>
      <c r="G656">
        <v>3</v>
      </c>
      <c r="H656">
        <v>1</v>
      </c>
      <c r="I656">
        <v>806</v>
      </c>
      <c r="J656">
        <v>2014</v>
      </c>
      <c r="K656" s="4">
        <v>44621</v>
      </c>
      <c r="L656" t="s">
        <v>20</v>
      </c>
      <c r="M656" t="s">
        <v>63</v>
      </c>
      <c r="N656">
        <v>2.2000000000000002</v>
      </c>
      <c r="O656">
        <v>2360</v>
      </c>
      <c r="P656">
        <v>0.4</v>
      </c>
      <c r="Q656">
        <v>171</v>
      </c>
      <c r="R656">
        <v>576</v>
      </c>
    </row>
    <row r="657" spans="1:18" x14ac:dyDescent="0.2">
      <c r="A657">
        <v>5</v>
      </c>
      <c r="B657" t="s">
        <v>28</v>
      </c>
      <c r="E657" t="s">
        <v>36</v>
      </c>
      <c r="F657">
        <v>953999</v>
      </c>
      <c r="G657">
        <v>2</v>
      </c>
      <c r="H657">
        <v>1</v>
      </c>
      <c r="I657">
        <v>429</v>
      </c>
      <c r="J657">
        <v>2003</v>
      </c>
      <c r="K657" s="4">
        <v>45754</v>
      </c>
      <c r="L657" t="s">
        <v>23</v>
      </c>
      <c r="M657" t="s">
        <v>63</v>
      </c>
      <c r="N657">
        <v>2.6</v>
      </c>
      <c r="O657">
        <v>2438</v>
      </c>
      <c r="P657">
        <v>0.74</v>
      </c>
      <c r="Q657">
        <v>121</v>
      </c>
      <c r="R657">
        <v>338</v>
      </c>
    </row>
    <row r="658" spans="1:18" x14ac:dyDescent="0.2">
      <c r="A658">
        <v>7</v>
      </c>
      <c r="B658" t="s">
        <v>34</v>
      </c>
      <c r="E658" t="s">
        <v>19</v>
      </c>
      <c r="F658">
        <v>528020</v>
      </c>
      <c r="G658">
        <v>4</v>
      </c>
      <c r="H658">
        <v>3</v>
      </c>
      <c r="I658">
        <v>359</v>
      </c>
      <c r="J658">
        <v>1987</v>
      </c>
      <c r="K658" s="4">
        <v>44478</v>
      </c>
      <c r="L658" t="s">
        <v>30</v>
      </c>
      <c r="M658" t="s">
        <v>42</v>
      </c>
      <c r="N658">
        <v>2.8</v>
      </c>
      <c r="O658">
        <v>968</v>
      </c>
      <c r="P658">
        <v>3.48</v>
      </c>
      <c r="Q658">
        <v>388</v>
      </c>
      <c r="R658">
        <v>379</v>
      </c>
    </row>
    <row r="659" spans="1:18" x14ac:dyDescent="0.2">
      <c r="A659">
        <v>3</v>
      </c>
      <c r="B659" t="s">
        <v>75</v>
      </c>
      <c r="E659" t="s">
        <v>36</v>
      </c>
      <c r="F659">
        <v>1473476</v>
      </c>
      <c r="G659">
        <v>6</v>
      </c>
      <c r="H659">
        <v>1</v>
      </c>
      <c r="I659">
        <v>997</v>
      </c>
      <c r="J659">
        <v>1983</v>
      </c>
      <c r="K659" s="4">
        <v>44116</v>
      </c>
      <c r="L659" t="s">
        <v>26</v>
      </c>
      <c r="M659" t="s">
        <v>82</v>
      </c>
      <c r="N659">
        <v>2.44</v>
      </c>
      <c r="O659">
        <v>2248</v>
      </c>
      <c r="P659">
        <v>0.39</v>
      </c>
      <c r="Q659">
        <v>386</v>
      </c>
      <c r="R659">
        <v>304</v>
      </c>
    </row>
    <row r="660" spans="1:18" x14ac:dyDescent="0.2">
      <c r="A660">
        <v>1</v>
      </c>
      <c r="B660" t="s">
        <v>102</v>
      </c>
      <c r="E660" t="s">
        <v>36</v>
      </c>
      <c r="F660">
        <v>1595280</v>
      </c>
      <c r="G660">
        <v>4</v>
      </c>
      <c r="H660">
        <v>2</v>
      </c>
      <c r="I660">
        <v>156</v>
      </c>
      <c r="J660">
        <v>1968</v>
      </c>
      <c r="K660" s="4">
        <v>45863</v>
      </c>
      <c r="L660" t="s">
        <v>30</v>
      </c>
      <c r="M660" t="s">
        <v>66</v>
      </c>
      <c r="N660">
        <v>1.98</v>
      </c>
      <c r="O660">
        <v>2225</v>
      </c>
      <c r="P660">
        <v>2.52</v>
      </c>
      <c r="Q660">
        <v>397</v>
      </c>
      <c r="R660">
        <v>699</v>
      </c>
    </row>
    <row r="661" spans="1:18" x14ac:dyDescent="0.2">
      <c r="A661">
        <v>2</v>
      </c>
      <c r="B661" t="s">
        <v>81</v>
      </c>
      <c r="E661" t="s">
        <v>36</v>
      </c>
      <c r="F661">
        <v>862084</v>
      </c>
      <c r="G661">
        <v>6</v>
      </c>
      <c r="H661">
        <v>1</v>
      </c>
      <c r="I661">
        <v>186</v>
      </c>
      <c r="J661">
        <v>1979</v>
      </c>
      <c r="K661" s="4">
        <v>45538</v>
      </c>
      <c r="L661" t="s">
        <v>26</v>
      </c>
      <c r="M661" t="s">
        <v>59</v>
      </c>
      <c r="N661">
        <v>2.74</v>
      </c>
      <c r="O661">
        <v>2466</v>
      </c>
      <c r="P661">
        <v>3.15</v>
      </c>
      <c r="Q661">
        <v>384</v>
      </c>
      <c r="R661">
        <v>346</v>
      </c>
    </row>
    <row r="662" spans="1:18" x14ac:dyDescent="0.2">
      <c r="A662">
        <v>6</v>
      </c>
      <c r="B662" t="s">
        <v>96</v>
      </c>
      <c r="E662" t="s">
        <v>51</v>
      </c>
      <c r="F662">
        <v>2601231</v>
      </c>
      <c r="G662">
        <v>3</v>
      </c>
      <c r="H662">
        <v>3</v>
      </c>
      <c r="I662">
        <v>838</v>
      </c>
      <c r="J662">
        <v>1953</v>
      </c>
      <c r="K662" s="4">
        <v>45278</v>
      </c>
      <c r="L662" t="s">
        <v>26</v>
      </c>
      <c r="M662" t="s">
        <v>68</v>
      </c>
      <c r="N662">
        <v>2.12</v>
      </c>
      <c r="O662">
        <v>1572</v>
      </c>
      <c r="P662">
        <v>4.83</v>
      </c>
      <c r="Q662">
        <v>273</v>
      </c>
      <c r="R662">
        <v>518</v>
      </c>
    </row>
    <row r="663" spans="1:18" x14ac:dyDescent="0.2">
      <c r="A663">
        <v>5</v>
      </c>
      <c r="B663" t="s">
        <v>80</v>
      </c>
      <c r="E663" t="s">
        <v>29</v>
      </c>
      <c r="F663">
        <v>1171167</v>
      </c>
      <c r="G663">
        <v>4</v>
      </c>
      <c r="H663">
        <v>3</v>
      </c>
      <c r="I663">
        <v>374</v>
      </c>
      <c r="J663">
        <v>2016</v>
      </c>
      <c r="K663" s="4">
        <v>45674</v>
      </c>
      <c r="L663" t="s">
        <v>26</v>
      </c>
      <c r="M663" t="s">
        <v>85</v>
      </c>
      <c r="N663">
        <v>2.15</v>
      </c>
      <c r="O663">
        <v>929</v>
      </c>
      <c r="P663">
        <v>3.98</v>
      </c>
      <c r="Q663">
        <v>274</v>
      </c>
      <c r="R663">
        <v>635</v>
      </c>
    </row>
    <row r="664" spans="1:18" x14ac:dyDescent="0.2">
      <c r="A664">
        <v>8</v>
      </c>
      <c r="B664" t="s">
        <v>106</v>
      </c>
      <c r="E664" t="s">
        <v>19</v>
      </c>
      <c r="F664">
        <v>1396903</v>
      </c>
      <c r="G664">
        <v>3</v>
      </c>
      <c r="H664">
        <v>2</v>
      </c>
      <c r="I664">
        <v>309</v>
      </c>
      <c r="J664">
        <v>1955</v>
      </c>
      <c r="K664" s="4">
        <v>44431</v>
      </c>
      <c r="L664" t="s">
        <v>20</v>
      </c>
      <c r="M664" t="s">
        <v>35</v>
      </c>
      <c r="N664">
        <v>1.74</v>
      </c>
      <c r="O664">
        <v>1851</v>
      </c>
      <c r="P664">
        <v>0.89</v>
      </c>
      <c r="Q664">
        <v>285</v>
      </c>
      <c r="R664">
        <v>543</v>
      </c>
    </row>
    <row r="665" spans="1:18" x14ac:dyDescent="0.2">
      <c r="A665">
        <v>8</v>
      </c>
      <c r="B665" t="s">
        <v>79</v>
      </c>
      <c r="E665" t="s">
        <v>29</v>
      </c>
      <c r="F665">
        <v>1224555</v>
      </c>
      <c r="G665">
        <v>3</v>
      </c>
      <c r="H665">
        <v>1</v>
      </c>
      <c r="I665">
        <v>430</v>
      </c>
      <c r="J665">
        <v>1985</v>
      </c>
      <c r="K665" s="4">
        <v>44724</v>
      </c>
      <c r="L665" t="s">
        <v>20</v>
      </c>
      <c r="M665" t="s">
        <v>66</v>
      </c>
      <c r="N665">
        <v>1.61</v>
      </c>
      <c r="O665">
        <v>2243</v>
      </c>
      <c r="P665">
        <v>4.57</v>
      </c>
      <c r="Q665">
        <v>316</v>
      </c>
      <c r="R665">
        <v>520</v>
      </c>
    </row>
    <row r="666" spans="1:18" x14ac:dyDescent="0.2">
      <c r="A666">
        <v>3</v>
      </c>
      <c r="B666" t="s">
        <v>61</v>
      </c>
      <c r="E666" t="s">
        <v>36</v>
      </c>
      <c r="F666">
        <v>724202</v>
      </c>
      <c r="G666">
        <v>5</v>
      </c>
      <c r="H666">
        <v>3</v>
      </c>
      <c r="I666">
        <v>629</v>
      </c>
      <c r="J666">
        <v>2010</v>
      </c>
      <c r="K666" s="4">
        <v>45693</v>
      </c>
      <c r="L666" t="s">
        <v>23</v>
      </c>
      <c r="M666" t="s">
        <v>76</v>
      </c>
      <c r="N666">
        <v>2.39</v>
      </c>
      <c r="O666">
        <v>1733</v>
      </c>
      <c r="P666">
        <v>1.89</v>
      </c>
      <c r="Q666">
        <v>352</v>
      </c>
      <c r="R666">
        <v>442</v>
      </c>
    </row>
    <row r="667" spans="1:18" x14ac:dyDescent="0.2">
      <c r="A667">
        <v>2</v>
      </c>
      <c r="B667" t="s">
        <v>39</v>
      </c>
      <c r="E667" t="s">
        <v>29</v>
      </c>
      <c r="F667">
        <v>1683311</v>
      </c>
      <c r="G667">
        <v>4</v>
      </c>
      <c r="H667">
        <v>3</v>
      </c>
      <c r="I667">
        <v>619</v>
      </c>
      <c r="J667">
        <v>1957</v>
      </c>
      <c r="K667" s="4">
        <v>44633</v>
      </c>
      <c r="L667" t="s">
        <v>26</v>
      </c>
      <c r="M667" t="s">
        <v>97</v>
      </c>
      <c r="N667">
        <v>3.04</v>
      </c>
      <c r="O667">
        <v>1819</v>
      </c>
      <c r="P667">
        <v>0.34</v>
      </c>
      <c r="Q667">
        <v>381</v>
      </c>
      <c r="R667">
        <v>380</v>
      </c>
    </row>
    <row r="668" spans="1:18" x14ac:dyDescent="0.2">
      <c r="A668">
        <v>0</v>
      </c>
      <c r="B668" t="s">
        <v>57</v>
      </c>
      <c r="E668" t="s">
        <v>29</v>
      </c>
      <c r="F668">
        <v>2869499</v>
      </c>
      <c r="G668">
        <v>4</v>
      </c>
      <c r="H668">
        <v>1</v>
      </c>
      <c r="I668">
        <v>864</v>
      </c>
      <c r="J668">
        <v>1986</v>
      </c>
      <c r="K668" s="4">
        <v>45268</v>
      </c>
      <c r="L668" t="s">
        <v>20</v>
      </c>
      <c r="M668" t="s">
        <v>40</v>
      </c>
      <c r="N668">
        <v>1.55</v>
      </c>
      <c r="O668">
        <v>868</v>
      </c>
      <c r="P668">
        <v>4.91</v>
      </c>
      <c r="Q668">
        <v>358</v>
      </c>
      <c r="R668">
        <v>691</v>
      </c>
    </row>
    <row r="669" spans="1:18" x14ac:dyDescent="0.2">
      <c r="A669">
        <v>6</v>
      </c>
      <c r="B669" t="s">
        <v>72</v>
      </c>
      <c r="E669" t="s">
        <v>36</v>
      </c>
      <c r="F669">
        <v>2367642</v>
      </c>
      <c r="G669">
        <v>2</v>
      </c>
      <c r="H669">
        <v>3</v>
      </c>
      <c r="I669">
        <v>493</v>
      </c>
      <c r="J669">
        <v>1976</v>
      </c>
      <c r="K669" s="4">
        <v>44583</v>
      </c>
      <c r="L669" t="s">
        <v>30</v>
      </c>
      <c r="M669" t="s">
        <v>85</v>
      </c>
      <c r="N669">
        <v>3.21</v>
      </c>
      <c r="O669">
        <v>2002</v>
      </c>
      <c r="P669">
        <v>2.0299999999999998</v>
      </c>
      <c r="Q669">
        <v>106</v>
      </c>
      <c r="R669">
        <v>391</v>
      </c>
    </row>
    <row r="670" spans="1:18" x14ac:dyDescent="0.2">
      <c r="A670">
        <v>6</v>
      </c>
      <c r="B670" t="s">
        <v>101</v>
      </c>
      <c r="E670" t="s">
        <v>29</v>
      </c>
      <c r="F670">
        <v>2860690</v>
      </c>
      <c r="G670">
        <v>4</v>
      </c>
      <c r="H670">
        <v>3</v>
      </c>
      <c r="I670">
        <v>693</v>
      </c>
      <c r="J670">
        <v>1966</v>
      </c>
      <c r="K670" s="4">
        <v>45494</v>
      </c>
      <c r="L670" t="s">
        <v>20</v>
      </c>
      <c r="M670" t="s">
        <v>60</v>
      </c>
      <c r="N670">
        <v>3.13</v>
      </c>
      <c r="O670">
        <v>2134</v>
      </c>
      <c r="P670">
        <v>0.8</v>
      </c>
      <c r="Q670">
        <v>290</v>
      </c>
      <c r="R670">
        <v>457</v>
      </c>
    </row>
    <row r="671" spans="1:18" x14ac:dyDescent="0.2">
      <c r="A671">
        <v>9</v>
      </c>
      <c r="B671" t="s">
        <v>105</v>
      </c>
      <c r="E671" t="s">
        <v>36</v>
      </c>
      <c r="F671">
        <v>1370245</v>
      </c>
      <c r="G671">
        <v>2</v>
      </c>
      <c r="H671">
        <v>3</v>
      </c>
      <c r="I671">
        <v>761</v>
      </c>
      <c r="J671">
        <v>1967</v>
      </c>
      <c r="K671" s="4">
        <v>45209</v>
      </c>
      <c r="L671" t="s">
        <v>26</v>
      </c>
      <c r="M671" t="s">
        <v>60</v>
      </c>
      <c r="N671">
        <v>3.19</v>
      </c>
      <c r="O671">
        <v>860</v>
      </c>
      <c r="P671">
        <v>1.83</v>
      </c>
      <c r="Q671">
        <v>105</v>
      </c>
      <c r="R671">
        <v>634</v>
      </c>
    </row>
    <row r="672" spans="1:18" x14ac:dyDescent="0.2">
      <c r="A672">
        <v>5</v>
      </c>
      <c r="B672" t="s">
        <v>102</v>
      </c>
      <c r="E672" t="s">
        <v>36</v>
      </c>
      <c r="F672">
        <v>1336528</v>
      </c>
      <c r="G672">
        <v>3</v>
      </c>
      <c r="H672">
        <v>2</v>
      </c>
      <c r="I672">
        <v>456</v>
      </c>
      <c r="J672">
        <v>2016</v>
      </c>
      <c r="K672" s="4">
        <v>45217</v>
      </c>
      <c r="L672" t="s">
        <v>20</v>
      </c>
      <c r="M672" t="s">
        <v>52</v>
      </c>
      <c r="N672">
        <v>2.88</v>
      </c>
      <c r="O672">
        <v>2127</v>
      </c>
      <c r="P672">
        <v>0.51</v>
      </c>
      <c r="Q672">
        <v>155</v>
      </c>
      <c r="R672">
        <v>538</v>
      </c>
    </row>
    <row r="673" spans="1:18" x14ac:dyDescent="0.2">
      <c r="A673">
        <v>4</v>
      </c>
      <c r="B673" t="s">
        <v>43</v>
      </c>
      <c r="E673" t="s">
        <v>36</v>
      </c>
      <c r="F673">
        <v>2921330</v>
      </c>
      <c r="G673">
        <v>0</v>
      </c>
      <c r="H673">
        <v>1</v>
      </c>
      <c r="I673">
        <v>88</v>
      </c>
      <c r="J673">
        <v>2004</v>
      </c>
      <c r="K673" s="4">
        <v>44671</v>
      </c>
      <c r="L673" t="s">
        <v>26</v>
      </c>
      <c r="M673" t="s">
        <v>31</v>
      </c>
      <c r="N673">
        <v>2.27</v>
      </c>
      <c r="O673">
        <v>2315</v>
      </c>
      <c r="P673">
        <v>3.18</v>
      </c>
      <c r="Q673">
        <v>40</v>
      </c>
      <c r="R673">
        <v>629</v>
      </c>
    </row>
    <row r="674" spans="1:18" x14ac:dyDescent="0.2">
      <c r="A674">
        <v>5</v>
      </c>
      <c r="B674" t="s">
        <v>46</v>
      </c>
      <c r="E674" t="s">
        <v>19</v>
      </c>
      <c r="F674">
        <v>790751</v>
      </c>
      <c r="G674">
        <v>4</v>
      </c>
      <c r="H674">
        <v>3</v>
      </c>
      <c r="I674">
        <v>708</v>
      </c>
      <c r="J674">
        <v>1959</v>
      </c>
      <c r="K674" s="4">
        <v>44243</v>
      </c>
      <c r="L674" t="s">
        <v>30</v>
      </c>
      <c r="M674" t="s">
        <v>70</v>
      </c>
      <c r="N674">
        <v>2.92</v>
      </c>
      <c r="O674">
        <v>2058</v>
      </c>
      <c r="P674">
        <v>3.7</v>
      </c>
      <c r="Q674">
        <v>276</v>
      </c>
      <c r="R674">
        <v>409</v>
      </c>
    </row>
    <row r="675" spans="1:18" x14ac:dyDescent="0.2">
      <c r="A675">
        <v>7</v>
      </c>
      <c r="B675" t="s">
        <v>104</v>
      </c>
      <c r="E675" t="s">
        <v>29</v>
      </c>
      <c r="F675">
        <v>999058</v>
      </c>
      <c r="G675">
        <v>2</v>
      </c>
      <c r="H675">
        <v>3</v>
      </c>
      <c r="I675">
        <v>392</v>
      </c>
      <c r="J675">
        <v>1977</v>
      </c>
      <c r="K675" s="4">
        <v>45636</v>
      </c>
      <c r="L675" t="s">
        <v>30</v>
      </c>
      <c r="M675" t="s">
        <v>40</v>
      </c>
      <c r="N675">
        <v>3.14</v>
      </c>
      <c r="O675">
        <v>1148</v>
      </c>
      <c r="P675">
        <v>1.33</v>
      </c>
      <c r="Q675">
        <v>204</v>
      </c>
      <c r="R675">
        <v>370</v>
      </c>
    </row>
    <row r="676" spans="1:18" x14ac:dyDescent="0.2">
      <c r="A676">
        <v>7</v>
      </c>
      <c r="B676" t="s">
        <v>105</v>
      </c>
      <c r="E676" t="s">
        <v>51</v>
      </c>
      <c r="F676">
        <v>921851</v>
      </c>
      <c r="G676">
        <v>0</v>
      </c>
      <c r="H676">
        <v>1</v>
      </c>
      <c r="I676">
        <v>527</v>
      </c>
      <c r="J676">
        <v>1976</v>
      </c>
      <c r="K676" s="4">
        <v>44960</v>
      </c>
      <c r="L676" t="s">
        <v>30</v>
      </c>
      <c r="M676" t="s">
        <v>31</v>
      </c>
      <c r="N676">
        <v>3.03</v>
      </c>
      <c r="O676">
        <v>802</v>
      </c>
      <c r="P676">
        <v>2.04</v>
      </c>
      <c r="Q676">
        <v>49</v>
      </c>
      <c r="R676">
        <v>583</v>
      </c>
    </row>
    <row r="677" spans="1:18" x14ac:dyDescent="0.2">
      <c r="A677">
        <v>0</v>
      </c>
      <c r="B677" t="s">
        <v>39</v>
      </c>
      <c r="E677" t="s">
        <v>36</v>
      </c>
      <c r="F677">
        <v>2894152</v>
      </c>
      <c r="G677">
        <v>3</v>
      </c>
      <c r="H677">
        <v>3</v>
      </c>
      <c r="I677">
        <v>570</v>
      </c>
      <c r="J677">
        <v>2016</v>
      </c>
      <c r="K677" s="4">
        <v>45326</v>
      </c>
      <c r="L677" t="s">
        <v>30</v>
      </c>
      <c r="M677" t="s">
        <v>58</v>
      </c>
      <c r="N677">
        <v>3.08</v>
      </c>
      <c r="O677">
        <v>2365</v>
      </c>
      <c r="P677">
        <v>0.57999999999999996</v>
      </c>
      <c r="Q677">
        <v>238</v>
      </c>
      <c r="R677">
        <v>518</v>
      </c>
    </row>
    <row r="678" spans="1:18" x14ac:dyDescent="0.2">
      <c r="A678">
        <v>1</v>
      </c>
      <c r="B678" t="s">
        <v>80</v>
      </c>
      <c r="E678" t="s">
        <v>29</v>
      </c>
      <c r="F678">
        <v>1310587</v>
      </c>
      <c r="G678">
        <v>4</v>
      </c>
      <c r="H678">
        <v>1</v>
      </c>
      <c r="I678">
        <v>607</v>
      </c>
      <c r="J678">
        <v>1964</v>
      </c>
      <c r="K678" s="4">
        <v>45574</v>
      </c>
      <c r="L678" t="s">
        <v>23</v>
      </c>
      <c r="M678" t="s">
        <v>42</v>
      </c>
      <c r="N678">
        <v>1.77</v>
      </c>
      <c r="O678">
        <v>2301</v>
      </c>
      <c r="P678">
        <v>2.66</v>
      </c>
      <c r="Q678">
        <v>365</v>
      </c>
      <c r="R678">
        <v>479</v>
      </c>
    </row>
    <row r="679" spans="1:18" x14ac:dyDescent="0.2">
      <c r="A679">
        <v>8</v>
      </c>
      <c r="B679" t="s">
        <v>49</v>
      </c>
      <c r="E679" t="s">
        <v>19</v>
      </c>
      <c r="F679">
        <v>1722194</v>
      </c>
      <c r="G679">
        <v>2</v>
      </c>
      <c r="H679">
        <v>2</v>
      </c>
      <c r="I679">
        <v>216</v>
      </c>
      <c r="J679">
        <v>1978</v>
      </c>
      <c r="K679" s="4">
        <v>45255</v>
      </c>
      <c r="L679" t="s">
        <v>20</v>
      </c>
      <c r="M679" t="s">
        <v>82</v>
      </c>
      <c r="N679">
        <v>3.03</v>
      </c>
      <c r="O679">
        <v>1154</v>
      </c>
      <c r="P679">
        <v>4.6500000000000004</v>
      </c>
      <c r="Q679">
        <v>67</v>
      </c>
      <c r="R679">
        <v>564</v>
      </c>
    </row>
    <row r="680" spans="1:18" x14ac:dyDescent="0.2">
      <c r="A680">
        <v>4</v>
      </c>
      <c r="B680" t="s">
        <v>18</v>
      </c>
      <c r="E680" t="s">
        <v>19</v>
      </c>
      <c r="F680">
        <v>2085570</v>
      </c>
      <c r="G680">
        <v>2</v>
      </c>
      <c r="H680">
        <v>1</v>
      </c>
      <c r="I680">
        <v>546</v>
      </c>
      <c r="J680">
        <v>1979</v>
      </c>
      <c r="K680" s="4">
        <v>45613</v>
      </c>
      <c r="L680" t="s">
        <v>20</v>
      </c>
      <c r="M680" t="s">
        <v>78</v>
      </c>
      <c r="N680">
        <v>3.26</v>
      </c>
      <c r="O680">
        <v>1951</v>
      </c>
      <c r="P680">
        <v>3.99</v>
      </c>
      <c r="Q680">
        <v>112</v>
      </c>
      <c r="R680">
        <v>591</v>
      </c>
    </row>
    <row r="681" spans="1:18" x14ac:dyDescent="0.2">
      <c r="A681">
        <v>1</v>
      </c>
      <c r="B681" t="s">
        <v>39</v>
      </c>
      <c r="E681" t="s">
        <v>19</v>
      </c>
      <c r="F681">
        <v>2017872</v>
      </c>
      <c r="G681">
        <v>4</v>
      </c>
      <c r="H681">
        <v>1</v>
      </c>
      <c r="I681">
        <v>281</v>
      </c>
      <c r="J681">
        <v>2022</v>
      </c>
      <c r="K681" s="4">
        <v>45819</v>
      </c>
      <c r="L681" t="s">
        <v>23</v>
      </c>
      <c r="M681" t="s">
        <v>58</v>
      </c>
      <c r="N681">
        <v>2.95</v>
      </c>
      <c r="O681">
        <v>1269</v>
      </c>
      <c r="P681">
        <v>2.88</v>
      </c>
      <c r="Q681">
        <v>280</v>
      </c>
      <c r="R681">
        <v>535</v>
      </c>
    </row>
    <row r="682" spans="1:18" x14ac:dyDescent="0.2">
      <c r="A682">
        <v>8</v>
      </c>
      <c r="B682" t="s">
        <v>79</v>
      </c>
      <c r="E682" t="s">
        <v>19</v>
      </c>
      <c r="F682">
        <v>2748095</v>
      </c>
      <c r="G682">
        <v>2</v>
      </c>
      <c r="H682">
        <v>1</v>
      </c>
      <c r="I682">
        <v>608</v>
      </c>
      <c r="J682">
        <v>2006</v>
      </c>
      <c r="K682" s="4">
        <v>44333</v>
      </c>
      <c r="L682" t="s">
        <v>20</v>
      </c>
      <c r="M682" t="s">
        <v>63</v>
      </c>
      <c r="N682">
        <v>2.7</v>
      </c>
      <c r="O682">
        <v>1978</v>
      </c>
      <c r="P682">
        <v>2.4300000000000002</v>
      </c>
      <c r="Q682">
        <v>83</v>
      </c>
      <c r="R682">
        <v>416</v>
      </c>
    </row>
    <row r="683" spans="1:18" x14ac:dyDescent="0.2">
      <c r="A683">
        <v>6</v>
      </c>
      <c r="B683" t="s">
        <v>106</v>
      </c>
      <c r="E683" t="s">
        <v>19</v>
      </c>
      <c r="F683">
        <v>1425693</v>
      </c>
      <c r="G683">
        <v>0</v>
      </c>
      <c r="H683">
        <v>1</v>
      </c>
      <c r="I683">
        <v>226</v>
      </c>
      <c r="J683">
        <v>1965</v>
      </c>
      <c r="K683" s="4">
        <v>45000</v>
      </c>
      <c r="L683" t="s">
        <v>26</v>
      </c>
      <c r="M683" t="s">
        <v>70</v>
      </c>
      <c r="N683">
        <v>3.13</v>
      </c>
      <c r="O683">
        <v>971</v>
      </c>
      <c r="P683">
        <v>1.9</v>
      </c>
      <c r="Q683">
        <v>49</v>
      </c>
      <c r="R683">
        <v>517</v>
      </c>
    </row>
    <row r="684" spans="1:18" x14ac:dyDescent="0.2">
      <c r="A684">
        <v>3</v>
      </c>
      <c r="B684" t="s">
        <v>73</v>
      </c>
      <c r="E684" t="s">
        <v>29</v>
      </c>
      <c r="F684">
        <v>1977582</v>
      </c>
      <c r="G684">
        <v>5</v>
      </c>
      <c r="H684">
        <v>2</v>
      </c>
      <c r="I684">
        <v>881</v>
      </c>
      <c r="J684">
        <v>1956</v>
      </c>
      <c r="K684" s="4">
        <v>44235</v>
      </c>
      <c r="L684" t="s">
        <v>30</v>
      </c>
      <c r="M684" t="s">
        <v>56</v>
      </c>
      <c r="N684">
        <v>3.48</v>
      </c>
      <c r="O684">
        <v>1285</v>
      </c>
      <c r="P684">
        <v>2.4700000000000002</v>
      </c>
      <c r="Q684">
        <v>275</v>
      </c>
      <c r="R684">
        <v>394</v>
      </c>
    </row>
    <row r="685" spans="1:18" x14ac:dyDescent="0.2">
      <c r="A685">
        <v>0</v>
      </c>
      <c r="B685" t="s">
        <v>48</v>
      </c>
      <c r="E685" t="s">
        <v>29</v>
      </c>
      <c r="F685">
        <v>770916</v>
      </c>
      <c r="G685">
        <v>2</v>
      </c>
      <c r="H685">
        <v>1</v>
      </c>
      <c r="I685">
        <v>484</v>
      </c>
      <c r="J685">
        <v>2020</v>
      </c>
      <c r="K685" s="4">
        <v>45810</v>
      </c>
      <c r="L685" t="s">
        <v>26</v>
      </c>
      <c r="M685" t="s">
        <v>78</v>
      </c>
      <c r="N685">
        <v>3.38</v>
      </c>
      <c r="O685">
        <v>1030</v>
      </c>
      <c r="P685">
        <v>1.62</v>
      </c>
      <c r="Q685">
        <v>129</v>
      </c>
      <c r="R685">
        <v>601</v>
      </c>
    </row>
    <row r="686" spans="1:18" x14ac:dyDescent="0.2">
      <c r="A686">
        <v>6</v>
      </c>
      <c r="B686" t="s">
        <v>102</v>
      </c>
      <c r="E686" t="s">
        <v>19</v>
      </c>
      <c r="F686">
        <v>1277242</v>
      </c>
      <c r="G686">
        <v>5</v>
      </c>
      <c r="H686">
        <v>3</v>
      </c>
      <c r="I686">
        <v>131</v>
      </c>
      <c r="J686">
        <v>2005</v>
      </c>
      <c r="K686" s="4">
        <v>45059</v>
      </c>
      <c r="L686" t="s">
        <v>20</v>
      </c>
      <c r="M686" t="s">
        <v>78</v>
      </c>
      <c r="N686">
        <v>2</v>
      </c>
      <c r="O686">
        <v>1716</v>
      </c>
      <c r="P686">
        <v>4.18</v>
      </c>
      <c r="Q686">
        <v>373</v>
      </c>
      <c r="R686">
        <v>322</v>
      </c>
    </row>
    <row r="687" spans="1:18" x14ac:dyDescent="0.2">
      <c r="A687">
        <v>9</v>
      </c>
      <c r="B687" t="s">
        <v>72</v>
      </c>
      <c r="E687" t="s">
        <v>19</v>
      </c>
      <c r="F687">
        <v>526708</v>
      </c>
      <c r="G687">
        <v>6</v>
      </c>
      <c r="H687">
        <v>3</v>
      </c>
      <c r="I687">
        <v>596</v>
      </c>
      <c r="J687">
        <v>1975</v>
      </c>
      <c r="K687" s="4">
        <v>45373</v>
      </c>
      <c r="L687" t="s">
        <v>26</v>
      </c>
      <c r="M687" t="s">
        <v>82</v>
      </c>
      <c r="N687">
        <v>2.36</v>
      </c>
      <c r="O687">
        <v>803</v>
      </c>
      <c r="P687">
        <v>0.28000000000000003</v>
      </c>
      <c r="Q687">
        <v>345</v>
      </c>
      <c r="R687">
        <v>582</v>
      </c>
    </row>
    <row r="688" spans="1:18" x14ac:dyDescent="0.2">
      <c r="A688">
        <v>8</v>
      </c>
      <c r="B688" t="s">
        <v>93</v>
      </c>
      <c r="E688" t="s">
        <v>36</v>
      </c>
      <c r="F688">
        <v>1999873</v>
      </c>
      <c r="G688">
        <v>6</v>
      </c>
      <c r="H688">
        <v>3</v>
      </c>
      <c r="I688">
        <v>553</v>
      </c>
      <c r="J688">
        <v>2019</v>
      </c>
      <c r="K688" s="4">
        <v>44610</v>
      </c>
      <c r="L688" t="s">
        <v>20</v>
      </c>
      <c r="M688" t="s">
        <v>52</v>
      </c>
      <c r="N688">
        <v>1.58</v>
      </c>
      <c r="O688">
        <v>2084</v>
      </c>
      <c r="P688">
        <v>2.11</v>
      </c>
      <c r="Q688">
        <v>392</v>
      </c>
      <c r="R688">
        <v>392</v>
      </c>
    </row>
    <row r="689" spans="1:18" x14ac:dyDescent="0.2">
      <c r="A689">
        <v>8</v>
      </c>
      <c r="B689" t="s">
        <v>44</v>
      </c>
      <c r="E689" t="s">
        <v>36</v>
      </c>
      <c r="F689">
        <v>1829169</v>
      </c>
      <c r="G689">
        <v>5</v>
      </c>
      <c r="H689">
        <v>2</v>
      </c>
      <c r="I689">
        <v>526</v>
      </c>
      <c r="J689">
        <v>1999</v>
      </c>
      <c r="K689" s="4">
        <v>44722</v>
      </c>
      <c r="L689" t="s">
        <v>20</v>
      </c>
      <c r="M689" t="s">
        <v>85</v>
      </c>
      <c r="N689">
        <v>2.13</v>
      </c>
      <c r="O689">
        <v>1073</v>
      </c>
      <c r="P689">
        <v>4.32</v>
      </c>
      <c r="Q689">
        <v>330</v>
      </c>
      <c r="R689">
        <v>507</v>
      </c>
    </row>
    <row r="690" spans="1:18" x14ac:dyDescent="0.2">
      <c r="A690">
        <v>4</v>
      </c>
      <c r="B690" t="s">
        <v>62</v>
      </c>
      <c r="E690" t="s">
        <v>29</v>
      </c>
      <c r="F690">
        <v>1806497</v>
      </c>
      <c r="G690">
        <v>1</v>
      </c>
      <c r="H690">
        <v>2</v>
      </c>
      <c r="I690">
        <v>813</v>
      </c>
      <c r="J690">
        <v>1951</v>
      </c>
      <c r="K690" s="4">
        <v>44219</v>
      </c>
      <c r="L690" t="s">
        <v>23</v>
      </c>
      <c r="M690" t="s">
        <v>21</v>
      </c>
      <c r="N690">
        <v>3.37</v>
      </c>
      <c r="O690">
        <v>1046</v>
      </c>
      <c r="P690">
        <v>2.54</v>
      </c>
      <c r="Q690">
        <v>77</v>
      </c>
      <c r="R690">
        <v>349</v>
      </c>
    </row>
    <row r="691" spans="1:18" x14ac:dyDescent="0.2">
      <c r="A691">
        <v>2</v>
      </c>
      <c r="B691" t="s">
        <v>72</v>
      </c>
      <c r="E691" t="s">
        <v>29</v>
      </c>
      <c r="F691">
        <v>2167173</v>
      </c>
      <c r="G691">
        <v>5</v>
      </c>
      <c r="H691">
        <v>2</v>
      </c>
      <c r="I691">
        <v>457</v>
      </c>
      <c r="J691">
        <v>2017</v>
      </c>
      <c r="K691" s="4">
        <v>44181</v>
      </c>
      <c r="L691" t="s">
        <v>20</v>
      </c>
      <c r="M691" t="s">
        <v>27</v>
      </c>
      <c r="N691">
        <v>3.12</v>
      </c>
      <c r="O691">
        <v>2468</v>
      </c>
      <c r="P691">
        <v>2.1</v>
      </c>
      <c r="Q691">
        <v>312</v>
      </c>
      <c r="R691">
        <v>432</v>
      </c>
    </row>
    <row r="692" spans="1:18" x14ac:dyDescent="0.2">
      <c r="A692">
        <v>2</v>
      </c>
      <c r="B692" t="s">
        <v>41</v>
      </c>
      <c r="E692" t="s">
        <v>29</v>
      </c>
      <c r="F692">
        <v>1649914</v>
      </c>
      <c r="G692">
        <v>4</v>
      </c>
      <c r="H692">
        <v>3</v>
      </c>
      <c r="I692">
        <v>669</v>
      </c>
      <c r="J692">
        <v>2003</v>
      </c>
      <c r="K692" s="4">
        <v>44543</v>
      </c>
      <c r="L692" t="s">
        <v>30</v>
      </c>
      <c r="M692" t="s">
        <v>78</v>
      </c>
      <c r="N692">
        <v>3.43</v>
      </c>
      <c r="O692">
        <v>2083</v>
      </c>
      <c r="P692">
        <v>3.08</v>
      </c>
      <c r="Q692">
        <v>320</v>
      </c>
      <c r="R692">
        <v>403</v>
      </c>
    </row>
    <row r="693" spans="1:18" x14ac:dyDescent="0.2">
      <c r="A693">
        <v>3</v>
      </c>
      <c r="B693" t="s">
        <v>49</v>
      </c>
      <c r="E693" t="s">
        <v>29</v>
      </c>
      <c r="F693">
        <v>532605</v>
      </c>
      <c r="G693">
        <v>2</v>
      </c>
      <c r="H693">
        <v>1</v>
      </c>
      <c r="I693">
        <v>659</v>
      </c>
      <c r="J693">
        <v>1973</v>
      </c>
      <c r="K693" s="4">
        <v>44489</v>
      </c>
      <c r="L693" t="s">
        <v>20</v>
      </c>
      <c r="M693" t="s">
        <v>70</v>
      </c>
      <c r="N693">
        <v>1.76</v>
      </c>
      <c r="O693">
        <v>2176</v>
      </c>
      <c r="P693">
        <v>0.36</v>
      </c>
      <c r="Q693">
        <v>89</v>
      </c>
      <c r="R693">
        <v>397</v>
      </c>
    </row>
    <row r="694" spans="1:18" x14ac:dyDescent="0.2">
      <c r="A694">
        <v>4</v>
      </c>
      <c r="B694" t="s">
        <v>32</v>
      </c>
      <c r="E694" t="s">
        <v>29</v>
      </c>
      <c r="F694">
        <v>1662619</v>
      </c>
      <c r="G694">
        <v>4</v>
      </c>
      <c r="H694">
        <v>3</v>
      </c>
      <c r="I694">
        <v>107</v>
      </c>
      <c r="J694">
        <v>1971</v>
      </c>
      <c r="K694" s="4">
        <v>44667</v>
      </c>
      <c r="L694" t="s">
        <v>20</v>
      </c>
      <c r="M694" t="s">
        <v>70</v>
      </c>
      <c r="N694">
        <v>2.44</v>
      </c>
      <c r="O694">
        <v>1088</v>
      </c>
      <c r="P694">
        <v>1.98</v>
      </c>
      <c r="Q694">
        <v>369</v>
      </c>
      <c r="R694">
        <v>420</v>
      </c>
    </row>
    <row r="695" spans="1:18" x14ac:dyDescent="0.2">
      <c r="A695">
        <v>2</v>
      </c>
      <c r="B695" t="s">
        <v>95</v>
      </c>
      <c r="E695" t="s">
        <v>36</v>
      </c>
      <c r="F695">
        <v>2255897</v>
      </c>
      <c r="G695">
        <v>3</v>
      </c>
      <c r="H695">
        <v>2</v>
      </c>
      <c r="I695">
        <v>264</v>
      </c>
      <c r="J695">
        <v>1952</v>
      </c>
      <c r="K695" s="4">
        <v>44155</v>
      </c>
      <c r="L695" t="s">
        <v>20</v>
      </c>
      <c r="M695" t="s">
        <v>59</v>
      </c>
      <c r="N695">
        <v>2.69</v>
      </c>
      <c r="O695">
        <v>2477</v>
      </c>
      <c r="P695">
        <v>1.83</v>
      </c>
      <c r="Q695">
        <v>101</v>
      </c>
      <c r="R695">
        <v>589</v>
      </c>
    </row>
    <row r="696" spans="1:18" x14ac:dyDescent="0.2">
      <c r="A696">
        <v>2</v>
      </c>
      <c r="B696" t="s">
        <v>55</v>
      </c>
      <c r="E696" t="s">
        <v>36</v>
      </c>
      <c r="F696">
        <v>2565808</v>
      </c>
      <c r="G696">
        <v>5</v>
      </c>
      <c r="H696">
        <v>2</v>
      </c>
      <c r="I696">
        <v>588</v>
      </c>
      <c r="J696">
        <v>1958</v>
      </c>
      <c r="K696" s="4">
        <v>44702</v>
      </c>
      <c r="L696" t="s">
        <v>20</v>
      </c>
      <c r="M696" t="s">
        <v>58</v>
      </c>
      <c r="N696">
        <v>2.23</v>
      </c>
      <c r="O696">
        <v>1449</v>
      </c>
      <c r="P696">
        <v>1.0900000000000001</v>
      </c>
      <c r="Q696">
        <v>359</v>
      </c>
      <c r="R696">
        <v>573</v>
      </c>
    </row>
    <row r="697" spans="1:18" x14ac:dyDescent="0.2">
      <c r="A697">
        <v>8</v>
      </c>
      <c r="B697" t="s">
        <v>43</v>
      </c>
      <c r="E697" t="s">
        <v>51</v>
      </c>
      <c r="F697">
        <v>1912787</v>
      </c>
      <c r="G697">
        <v>3</v>
      </c>
      <c r="H697">
        <v>1</v>
      </c>
      <c r="I697">
        <v>66</v>
      </c>
      <c r="J697">
        <v>1989</v>
      </c>
      <c r="K697" s="4">
        <v>45867</v>
      </c>
      <c r="L697" t="s">
        <v>30</v>
      </c>
      <c r="M697" t="s">
        <v>31</v>
      </c>
      <c r="N697">
        <v>2.3199999999999998</v>
      </c>
      <c r="O697">
        <v>1218</v>
      </c>
      <c r="P697">
        <v>2.38</v>
      </c>
      <c r="Q697">
        <v>311</v>
      </c>
      <c r="R697">
        <v>405</v>
      </c>
    </row>
    <row r="698" spans="1:18" x14ac:dyDescent="0.2">
      <c r="A698">
        <v>5</v>
      </c>
      <c r="B698" t="s">
        <v>32</v>
      </c>
      <c r="E698" t="s">
        <v>36</v>
      </c>
      <c r="F698">
        <v>908155</v>
      </c>
      <c r="G698">
        <v>4</v>
      </c>
      <c r="H698">
        <v>2</v>
      </c>
      <c r="I698">
        <v>573</v>
      </c>
      <c r="J698">
        <v>1978</v>
      </c>
      <c r="K698" s="4">
        <v>44726</v>
      </c>
      <c r="L698" t="s">
        <v>26</v>
      </c>
      <c r="M698" t="s">
        <v>56</v>
      </c>
      <c r="N698">
        <v>3.13</v>
      </c>
      <c r="O698">
        <v>1692</v>
      </c>
      <c r="P698">
        <v>2.7</v>
      </c>
      <c r="Q698">
        <v>179</v>
      </c>
      <c r="R698">
        <v>468</v>
      </c>
    </row>
    <row r="699" spans="1:18" x14ac:dyDescent="0.2">
      <c r="A699">
        <v>7</v>
      </c>
      <c r="B699" t="s">
        <v>38</v>
      </c>
      <c r="E699" t="s">
        <v>19</v>
      </c>
      <c r="F699">
        <v>1326709</v>
      </c>
      <c r="G699">
        <v>2</v>
      </c>
      <c r="H699">
        <v>3</v>
      </c>
      <c r="I699">
        <v>699</v>
      </c>
      <c r="J699">
        <v>1996</v>
      </c>
      <c r="K699" s="4">
        <v>45150</v>
      </c>
      <c r="L699" t="s">
        <v>20</v>
      </c>
      <c r="M699" t="s">
        <v>45</v>
      </c>
      <c r="N699">
        <v>2.2599999999999998</v>
      </c>
      <c r="O699">
        <v>1439</v>
      </c>
      <c r="P699">
        <v>1.07</v>
      </c>
      <c r="Q699">
        <v>87</v>
      </c>
      <c r="R699">
        <v>501</v>
      </c>
    </row>
    <row r="700" spans="1:18" x14ac:dyDescent="0.2">
      <c r="A700">
        <v>6</v>
      </c>
      <c r="B700" t="s">
        <v>18</v>
      </c>
      <c r="E700" t="s">
        <v>36</v>
      </c>
      <c r="F700">
        <v>910620</v>
      </c>
      <c r="G700">
        <v>5</v>
      </c>
      <c r="H700">
        <v>3</v>
      </c>
      <c r="I700">
        <v>926</v>
      </c>
      <c r="J700">
        <v>1964</v>
      </c>
      <c r="K700" s="4">
        <v>44400</v>
      </c>
      <c r="L700" t="s">
        <v>23</v>
      </c>
      <c r="M700" t="s">
        <v>52</v>
      </c>
      <c r="N700">
        <v>3.15</v>
      </c>
      <c r="O700">
        <v>1071</v>
      </c>
      <c r="P700">
        <v>3.64</v>
      </c>
      <c r="Q700">
        <v>317</v>
      </c>
      <c r="R700">
        <v>508</v>
      </c>
    </row>
    <row r="701" spans="1:18" x14ac:dyDescent="0.2">
      <c r="A701">
        <v>7</v>
      </c>
      <c r="B701" t="s">
        <v>53</v>
      </c>
      <c r="E701" t="s">
        <v>36</v>
      </c>
      <c r="F701">
        <v>532206</v>
      </c>
      <c r="G701">
        <v>5</v>
      </c>
      <c r="H701">
        <v>3</v>
      </c>
      <c r="I701">
        <v>855</v>
      </c>
      <c r="J701">
        <v>1966</v>
      </c>
      <c r="K701" s="4">
        <v>45808</v>
      </c>
      <c r="L701" t="s">
        <v>30</v>
      </c>
      <c r="M701" t="s">
        <v>77</v>
      </c>
      <c r="N701">
        <v>2.06</v>
      </c>
      <c r="O701">
        <v>1888</v>
      </c>
      <c r="P701">
        <v>1.53</v>
      </c>
      <c r="Q701">
        <v>364</v>
      </c>
      <c r="R701">
        <v>313</v>
      </c>
    </row>
    <row r="702" spans="1:18" x14ac:dyDescent="0.2">
      <c r="A702">
        <v>7</v>
      </c>
      <c r="B702" t="s">
        <v>49</v>
      </c>
      <c r="E702" t="s">
        <v>19</v>
      </c>
      <c r="F702">
        <v>1511547</v>
      </c>
      <c r="G702">
        <v>4</v>
      </c>
      <c r="H702">
        <v>1</v>
      </c>
      <c r="I702">
        <v>916</v>
      </c>
      <c r="J702">
        <v>2006</v>
      </c>
      <c r="K702" s="4">
        <v>45129</v>
      </c>
      <c r="L702" t="s">
        <v>23</v>
      </c>
      <c r="M702" t="s">
        <v>21</v>
      </c>
      <c r="N702">
        <v>1.83</v>
      </c>
      <c r="O702">
        <v>1648</v>
      </c>
      <c r="P702">
        <v>1.0900000000000001</v>
      </c>
      <c r="Q702">
        <v>304</v>
      </c>
      <c r="R702">
        <v>574</v>
      </c>
    </row>
    <row r="703" spans="1:18" x14ac:dyDescent="0.2">
      <c r="A703">
        <v>9</v>
      </c>
      <c r="B703" t="s">
        <v>62</v>
      </c>
      <c r="E703" t="s">
        <v>19</v>
      </c>
      <c r="F703">
        <v>1029580</v>
      </c>
      <c r="G703">
        <v>6</v>
      </c>
      <c r="H703">
        <v>3</v>
      </c>
      <c r="I703">
        <v>331</v>
      </c>
      <c r="J703">
        <v>2005</v>
      </c>
      <c r="K703" s="4">
        <v>44183</v>
      </c>
      <c r="L703" t="s">
        <v>20</v>
      </c>
      <c r="M703" t="s">
        <v>52</v>
      </c>
      <c r="N703">
        <v>1.57</v>
      </c>
      <c r="O703">
        <v>1283</v>
      </c>
      <c r="P703">
        <v>4.84</v>
      </c>
      <c r="Q703">
        <v>393</v>
      </c>
      <c r="R703">
        <v>655</v>
      </c>
    </row>
    <row r="704" spans="1:18" x14ac:dyDescent="0.2">
      <c r="A704">
        <v>1</v>
      </c>
      <c r="B704" t="s">
        <v>48</v>
      </c>
      <c r="E704" t="s">
        <v>29</v>
      </c>
      <c r="F704">
        <v>2730217</v>
      </c>
      <c r="G704">
        <v>5</v>
      </c>
      <c r="H704">
        <v>1</v>
      </c>
      <c r="I704">
        <v>216</v>
      </c>
      <c r="J704">
        <v>1963</v>
      </c>
      <c r="K704" s="4">
        <v>44362</v>
      </c>
      <c r="L704" t="s">
        <v>30</v>
      </c>
      <c r="M704" t="s">
        <v>33</v>
      </c>
      <c r="N704">
        <v>2.09</v>
      </c>
      <c r="O704">
        <v>1331</v>
      </c>
      <c r="P704">
        <v>2.2200000000000002</v>
      </c>
      <c r="Q704">
        <v>287</v>
      </c>
      <c r="R704">
        <v>472</v>
      </c>
    </row>
    <row r="705" spans="1:18" x14ac:dyDescent="0.2">
      <c r="A705">
        <v>2</v>
      </c>
      <c r="B705" t="s">
        <v>87</v>
      </c>
      <c r="E705" t="s">
        <v>19</v>
      </c>
      <c r="F705">
        <v>556467</v>
      </c>
      <c r="G705">
        <v>3</v>
      </c>
      <c r="H705">
        <v>2</v>
      </c>
      <c r="I705">
        <v>56</v>
      </c>
      <c r="J705">
        <v>1954</v>
      </c>
      <c r="K705" s="4">
        <v>44435</v>
      </c>
      <c r="L705" t="s">
        <v>26</v>
      </c>
      <c r="M705" t="s">
        <v>76</v>
      </c>
      <c r="N705">
        <v>2.77</v>
      </c>
      <c r="O705">
        <v>1907</v>
      </c>
      <c r="P705">
        <v>0.78</v>
      </c>
      <c r="Q705">
        <v>164</v>
      </c>
      <c r="R705">
        <v>352</v>
      </c>
    </row>
    <row r="706" spans="1:18" x14ac:dyDescent="0.2">
      <c r="A706">
        <v>4</v>
      </c>
      <c r="B706" t="s">
        <v>94</v>
      </c>
      <c r="E706" t="s">
        <v>19</v>
      </c>
      <c r="F706">
        <v>2729388</v>
      </c>
      <c r="G706">
        <v>3</v>
      </c>
      <c r="H706">
        <v>3</v>
      </c>
      <c r="I706">
        <v>538</v>
      </c>
      <c r="J706">
        <v>2016</v>
      </c>
      <c r="K706" s="4">
        <v>44713</v>
      </c>
      <c r="L706" t="s">
        <v>23</v>
      </c>
      <c r="M706" t="s">
        <v>89</v>
      </c>
      <c r="N706">
        <v>1.64</v>
      </c>
      <c r="O706">
        <v>2303</v>
      </c>
      <c r="P706">
        <v>1.42</v>
      </c>
      <c r="Q706">
        <v>104</v>
      </c>
      <c r="R706">
        <v>375</v>
      </c>
    </row>
    <row r="707" spans="1:18" x14ac:dyDescent="0.2">
      <c r="A707">
        <v>4</v>
      </c>
      <c r="B707" t="s">
        <v>73</v>
      </c>
      <c r="E707" t="s">
        <v>51</v>
      </c>
      <c r="F707">
        <v>1020294</v>
      </c>
      <c r="G707">
        <v>3</v>
      </c>
      <c r="H707">
        <v>1</v>
      </c>
      <c r="I707">
        <v>882</v>
      </c>
      <c r="J707">
        <v>1978</v>
      </c>
      <c r="K707" s="4">
        <v>45787</v>
      </c>
      <c r="L707" t="s">
        <v>26</v>
      </c>
      <c r="M707" t="s">
        <v>52</v>
      </c>
      <c r="N707">
        <v>2.76</v>
      </c>
      <c r="O707">
        <v>1181</v>
      </c>
      <c r="P707">
        <v>2.67</v>
      </c>
      <c r="Q707">
        <v>101</v>
      </c>
      <c r="R707">
        <v>523</v>
      </c>
    </row>
    <row r="708" spans="1:18" x14ac:dyDescent="0.2">
      <c r="A708">
        <v>0</v>
      </c>
      <c r="B708" t="s">
        <v>95</v>
      </c>
      <c r="E708" t="s">
        <v>19</v>
      </c>
      <c r="F708">
        <v>840945</v>
      </c>
      <c r="G708">
        <v>1</v>
      </c>
      <c r="H708">
        <v>3</v>
      </c>
      <c r="I708">
        <v>60</v>
      </c>
      <c r="J708">
        <v>2013</v>
      </c>
      <c r="K708" s="4">
        <v>45128</v>
      </c>
      <c r="L708" t="s">
        <v>20</v>
      </c>
      <c r="M708" t="s">
        <v>63</v>
      </c>
      <c r="N708">
        <v>2</v>
      </c>
      <c r="O708">
        <v>1939</v>
      </c>
      <c r="P708">
        <v>4.45</v>
      </c>
      <c r="Q708">
        <v>45</v>
      </c>
      <c r="R708">
        <v>451</v>
      </c>
    </row>
    <row r="709" spans="1:18" x14ac:dyDescent="0.2">
      <c r="A709">
        <v>7</v>
      </c>
      <c r="B709" t="s">
        <v>18</v>
      </c>
      <c r="E709" t="s">
        <v>19</v>
      </c>
      <c r="F709">
        <v>2573363</v>
      </c>
      <c r="G709">
        <v>4</v>
      </c>
      <c r="H709">
        <v>1</v>
      </c>
      <c r="I709">
        <v>467</v>
      </c>
      <c r="J709">
        <v>1969</v>
      </c>
      <c r="K709" s="4">
        <v>44535</v>
      </c>
      <c r="L709" t="s">
        <v>20</v>
      </c>
      <c r="M709" t="s">
        <v>33</v>
      </c>
      <c r="N709">
        <v>2</v>
      </c>
      <c r="O709">
        <v>809</v>
      </c>
      <c r="P709">
        <v>2.63</v>
      </c>
      <c r="Q709">
        <v>235</v>
      </c>
      <c r="R709">
        <v>458</v>
      </c>
    </row>
    <row r="710" spans="1:18" x14ac:dyDescent="0.2">
      <c r="A710">
        <v>8</v>
      </c>
      <c r="B710" t="s">
        <v>55</v>
      </c>
      <c r="E710" t="s">
        <v>36</v>
      </c>
      <c r="F710">
        <v>1993191</v>
      </c>
      <c r="G710">
        <v>4</v>
      </c>
      <c r="H710">
        <v>3</v>
      </c>
      <c r="I710">
        <v>502</v>
      </c>
      <c r="J710">
        <v>1953</v>
      </c>
      <c r="K710" s="4">
        <v>44776</v>
      </c>
      <c r="L710" t="s">
        <v>26</v>
      </c>
      <c r="M710" t="s">
        <v>54</v>
      </c>
      <c r="N710">
        <v>1.75</v>
      </c>
      <c r="O710">
        <v>1292</v>
      </c>
      <c r="P710">
        <v>4.0199999999999996</v>
      </c>
      <c r="Q710">
        <v>391</v>
      </c>
      <c r="R710">
        <v>422</v>
      </c>
    </row>
    <row r="711" spans="1:18" x14ac:dyDescent="0.2">
      <c r="A711">
        <v>8</v>
      </c>
      <c r="B711" t="s">
        <v>100</v>
      </c>
      <c r="E711" t="s">
        <v>29</v>
      </c>
      <c r="F711">
        <v>1609946</v>
      </c>
      <c r="G711">
        <v>2</v>
      </c>
      <c r="H711">
        <v>3</v>
      </c>
      <c r="I711">
        <v>689</v>
      </c>
      <c r="J711">
        <v>1972</v>
      </c>
      <c r="K711" s="4">
        <v>44534</v>
      </c>
      <c r="L711" t="s">
        <v>23</v>
      </c>
      <c r="M711" t="s">
        <v>40</v>
      </c>
      <c r="N711">
        <v>3.14</v>
      </c>
      <c r="O711">
        <v>1326</v>
      </c>
      <c r="P711">
        <v>1.64</v>
      </c>
      <c r="Q711">
        <v>202</v>
      </c>
      <c r="R711">
        <v>585</v>
      </c>
    </row>
    <row r="712" spans="1:18" x14ac:dyDescent="0.2">
      <c r="A712">
        <v>8</v>
      </c>
      <c r="B712" t="s">
        <v>90</v>
      </c>
      <c r="E712" t="s">
        <v>51</v>
      </c>
      <c r="F712">
        <v>2727723</v>
      </c>
      <c r="G712">
        <v>5</v>
      </c>
      <c r="H712">
        <v>1</v>
      </c>
      <c r="I712">
        <v>178</v>
      </c>
      <c r="J712">
        <v>1985</v>
      </c>
      <c r="K712" s="4">
        <v>45061</v>
      </c>
      <c r="L712" t="s">
        <v>30</v>
      </c>
      <c r="M712" t="s">
        <v>24</v>
      </c>
      <c r="N712">
        <v>2.44</v>
      </c>
      <c r="O712">
        <v>2354</v>
      </c>
      <c r="P712">
        <v>4.0999999999999996</v>
      </c>
      <c r="Q712">
        <v>367</v>
      </c>
      <c r="R712">
        <v>451</v>
      </c>
    </row>
    <row r="713" spans="1:18" x14ac:dyDescent="0.2">
      <c r="A713">
        <v>5</v>
      </c>
      <c r="B713" t="s">
        <v>83</v>
      </c>
      <c r="E713" t="s">
        <v>29</v>
      </c>
      <c r="F713">
        <v>1783479</v>
      </c>
      <c r="G713">
        <v>2</v>
      </c>
      <c r="H713">
        <v>3</v>
      </c>
      <c r="I713">
        <v>569</v>
      </c>
      <c r="J713">
        <v>1951</v>
      </c>
      <c r="K713" s="4">
        <v>44257</v>
      </c>
      <c r="L713" t="s">
        <v>23</v>
      </c>
      <c r="M713" t="s">
        <v>60</v>
      </c>
      <c r="N713">
        <v>2.71</v>
      </c>
      <c r="O713">
        <v>2412</v>
      </c>
      <c r="P713">
        <v>0.5</v>
      </c>
      <c r="Q713">
        <v>120</v>
      </c>
      <c r="R713">
        <v>682</v>
      </c>
    </row>
    <row r="714" spans="1:18" x14ac:dyDescent="0.2">
      <c r="A714">
        <v>3</v>
      </c>
      <c r="B714" t="s">
        <v>72</v>
      </c>
      <c r="E714" t="s">
        <v>51</v>
      </c>
      <c r="F714">
        <v>1166499</v>
      </c>
      <c r="G714">
        <v>2</v>
      </c>
      <c r="H714">
        <v>2</v>
      </c>
      <c r="I714">
        <v>918</v>
      </c>
      <c r="J714">
        <v>2017</v>
      </c>
      <c r="K714" s="4">
        <v>45681</v>
      </c>
      <c r="L714" t="s">
        <v>23</v>
      </c>
      <c r="M714" t="s">
        <v>85</v>
      </c>
      <c r="N714">
        <v>1.69</v>
      </c>
      <c r="O714">
        <v>2262</v>
      </c>
      <c r="P714">
        <v>4.9400000000000004</v>
      </c>
      <c r="Q714">
        <v>136</v>
      </c>
      <c r="R714">
        <v>350</v>
      </c>
    </row>
    <row r="715" spans="1:18" x14ac:dyDescent="0.2">
      <c r="A715">
        <v>0</v>
      </c>
      <c r="B715" t="s">
        <v>64</v>
      </c>
      <c r="E715" t="s">
        <v>29</v>
      </c>
      <c r="F715">
        <v>1194978</v>
      </c>
      <c r="G715">
        <v>2</v>
      </c>
      <c r="H715">
        <v>1</v>
      </c>
      <c r="I715">
        <v>377</v>
      </c>
      <c r="J715">
        <v>1969</v>
      </c>
      <c r="K715" s="4">
        <v>45693</v>
      </c>
      <c r="L715" t="s">
        <v>26</v>
      </c>
      <c r="M715" t="s">
        <v>69</v>
      </c>
      <c r="N715">
        <v>2.85</v>
      </c>
      <c r="O715">
        <v>2353</v>
      </c>
      <c r="P715">
        <v>2.89</v>
      </c>
      <c r="Q715">
        <v>79</v>
      </c>
      <c r="R715">
        <v>647</v>
      </c>
    </row>
    <row r="716" spans="1:18" x14ac:dyDescent="0.2">
      <c r="A716">
        <v>9</v>
      </c>
      <c r="B716" t="s">
        <v>28</v>
      </c>
      <c r="E716" t="s">
        <v>36</v>
      </c>
      <c r="F716">
        <v>1221028</v>
      </c>
      <c r="G716">
        <v>6</v>
      </c>
      <c r="H716">
        <v>3</v>
      </c>
      <c r="I716">
        <v>731</v>
      </c>
      <c r="J716">
        <v>2002</v>
      </c>
      <c r="K716" s="4">
        <v>45160</v>
      </c>
      <c r="L716" t="s">
        <v>23</v>
      </c>
      <c r="M716" t="s">
        <v>27</v>
      </c>
      <c r="N716">
        <v>2.02</v>
      </c>
      <c r="O716">
        <v>1352</v>
      </c>
      <c r="P716">
        <v>2.35</v>
      </c>
      <c r="Q716">
        <v>379</v>
      </c>
      <c r="R716">
        <v>513</v>
      </c>
    </row>
    <row r="717" spans="1:18" x14ac:dyDescent="0.2">
      <c r="A717">
        <v>0</v>
      </c>
      <c r="B717" t="s">
        <v>50</v>
      </c>
      <c r="E717" t="s">
        <v>51</v>
      </c>
      <c r="F717">
        <v>1535557</v>
      </c>
      <c r="G717">
        <v>5</v>
      </c>
      <c r="H717">
        <v>2</v>
      </c>
      <c r="I717">
        <v>931</v>
      </c>
      <c r="J717">
        <v>1967</v>
      </c>
      <c r="K717" s="4">
        <v>45516</v>
      </c>
      <c r="L717" t="s">
        <v>26</v>
      </c>
      <c r="M717" t="s">
        <v>52</v>
      </c>
      <c r="N717">
        <v>2.96</v>
      </c>
      <c r="O717">
        <v>1101</v>
      </c>
      <c r="P717">
        <v>3.79</v>
      </c>
      <c r="Q717">
        <v>257</v>
      </c>
      <c r="R717">
        <v>618</v>
      </c>
    </row>
    <row r="718" spans="1:18" x14ac:dyDescent="0.2">
      <c r="A718">
        <v>1</v>
      </c>
      <c r="B718" t="s">
        <v>79</v>
      </c>
      <c r="E718" t="s">
        <v>29</v>
      </c>
      <c r="F718">
        <v>1488121</v>
      </c>
      <c r="G718">
        <v>1</v>
      </c>
      <c r="H718">
        <v>2</v>
      </c>
      <c r="I718">
        <v>344</v>
      </c>
      <c r="J718">
        <v>2002</v>
      </c>
      <c r="K718" s="4">
        <v>44789</v>
      </c>
      <c r="L718" t="s">
        <v>30</v>
      </c>
      <c r="M718" t="s">
        <v>68</v>
      </c>
      <c r="N718">
        <v>1.82</v>
      </c>
      <c r="O718">
        <v>1069</v>
      </c>
      <c r="P718">
        <v>2.96</v>
      </c>
      <c r="Q718">
        <v>93</v>
      </c>
      <c r="R718">
        <v>317</v>
      </c>
    </row>
    <row r="719" spans="1:18" x14ac:dyDescent="0.2">
      <c r="A719">
        <v>0</v>
      </c>
      <c r="B719" t="s">
        <v>94</v>
      </c>
      <c r="E719" t="s">
        <v>19</v>
      </c>
      <c r="F719">
        <v>2786704</v>
      </c>
      <c r="G719">
        <v>2</v>
      </c>
      <c r="H719">
        <v>1</v>
      </c>
      <c r="I719">
        <v>726</v>
      </c>
      <c r="J719">
        <v>1980</v>
      </c>
      <c r="K719" s="4">
        <v>45099</v>
      </c>
      <c r="L719" t="s">
        <v>30</v>
      </c>
      <c r="M719" t="s">
        <v>42</v>
      </c>
      <c r="N719">
        <v>2.78</v>
      </c>
      <c r="O719">
        <v>1387</v>
      </c>
      <c r="P719">
        <v>3.19</v>
      </c>
      <c r="Q719">
        <v>216</v>
      </c>
      <c r="R719">
        <v>631</v>
      </c>
    </row>
    <row r="720" spans="1:18" x14ac:dyDescent="0.2">
      <c r="A720">
        <v>6</v>
      </c>
      <c r="B720" t="s">
        <v>91</v>
      </c>
      <c r="E720" t="s">
        <v>51</v>
      </c>
      <c r="F720">
        <v>2612837</v>
      </c>
      <c r="G720">
        <v>4</v>
      </c>
      <c r="H720">
        <v>1</v>
      </c>
      <c r="I720">
        <v>281</v>
      </c>
      <c r="J720">
        <v>2005</v>
      </c>
      <c r="K720" s="4">
        <v>44670</v>
      </c>
      <c r="L720" t="s">
        <v>30</v>
      </c>
      <c r="M720" t="s">
        <v>31</v>
      </c>
      <c r="N720">
        <v>1.61</v>
      </c>
      <c r="O720">
        <v>1685</v>
      </c>
      <c r="P720">
        <v>3.49</v>
      </c>
      <c r="Q720">
        <v>388</v>
      </c>
      <c r="R720">
        <v>685</v>
      </c>
    </row>
    <row r="721" spans="1:18" x14ac:dyDescent="0.2">
      <c r="A721">
        <v>8</v>
      </c>
      <c r="B721" t="s">
        <v>22</v>
      </c>
      <c r="E721" t="s">
        <v>36</v>
      </c>
      <c r="F721">
        <v>1709116</v>
      </c>
      <c r="G721">
        <v>4</v>
      </c>
      <c r="H721">
        <v>2</v>
      </c>
      <c r="I721">
        <v>640</v>
      </c>
      <c r="J721">
        <v>1952</v>
      </c>
      <c r="K721" s="4">
        <v>45588</v>
      </c>
      <c r="L721" t="s">
        <v>26</v>
      </c>
      <c r="M721" t="s">
        <v>42</v>
      </c>
      <c r="N721">
        <v>3.49</v>
      </c>
      <c r="O721">
        <v>1528</v>
      </c>
      <c r="P721">
        <v>1.18</v>
      </c>
      <c r="Q721">
        <v>329</v>
      </c>
      <c r="R721">
        <v>619</v>
      </c>
    </row>
    <row r="722" spans="1:18" x14ac:dyDescent="0.2">
      <c r="A722">
        <v>1</v>
      </c>
      <c r="B722" t="s">
        <v>101</v>
      </c>
      <c r="E722" t="s">
        <v>29</v>
      </c>
      <c r="F722">
        <v>647535</v>
      </c>
      <c r="G722">
        <v>3</v>
      </c>
      <c r="H722">
        <v>3</v>
      </c>
      <c r="I722">
        <v>312</v>
      </c>
      <c r="J722">
        <v>2000</v>
      </c>
      <c r="K722" s="4">
        <v>45551</v>
      </c>
      <c r="L722" t="s">
        <v>30</v>
      </c>
      <c r="M722" t="s">
        <v>68</v>
      </c>
      <c r="N722">
        <v>2.46</v>
      </c>
      <c r="O722">
        <v>1135</v>
      </c>
      <c r="P722">
        <v>4.07</v>
      </c>
      <c r="Q722">
        <v>257</v>
      </c>
      <c r="R722">
        <v>389</v>
      </c>
    </row>
    <row r="723" spans="1:18" x14ac:dyDescent="0.2">
      <c r="A723">
        <v>9</v>
      </c>
      <c r="B723" t="s">
        <v>49</v>
      </c>
      <c r="E723" t="s">
        <v>51</v>
      </c>
      <c r="F723">
        <v>2966928</v>
      </c>
      <c r="G723">
        <v>4</v>
      </c>
      <c r="H723">
        <v>2</v>
      </c>
      <c r="I723">
        <v>733</v>
      </c>
      <c r="J723">
        <v>1996</v>
      </c>
      <c r="K723" s="4">
        <v>44180</v>
      </c>
      <c r="L723" t="s">
        <v>20</v>
      </c>
      <c r="M723" t="s">
        <v>45</v>
      </c>
      <c r="N723">
        <v>2.34</v>
      </c>
      <c r="O723">
        <v>1594</v>
      </c>
      <c r="P723">
        <v>2.1800000000000002</v>
      </c>
      <c r="Q723">
        <v>308</v>
      </c>
      <c r="R723">
        <v>576</v>
      </c>
    </row>
    <row r="724" spans="1:18" x14ac:dyDescent="0.2">
      <c r="A724">
        <v>7</v>
      </c>
      <c r="B724" t="s">
        <v>41</v>
      </c>
      <c r="E724" t="s">
        <v>29</v>
      </c>
      <c r="F724">
        <v>514309</v>
      </c>
      <c r="G724">
        <v>3</v>
      </c>
      <c r="H724">
        <v>2</v>
      </c>
      <c r="I724">
        <v>260</v>
      </c>
      <c r="J724">
        <v>1973</v>
      </c>
      <c r="K724" s="4">
        <v>45321</v>
      </c>
      <c r="L724" t="s">
        <v>20</v>
      </c>
      <c r="M724" t="s">
        <v>89</v>
      </c>
      <c r="N724">
        <v>3.06</v>
      </c>
      <c r="O724">
        <v>2175</v>
      </c>
      <c r="P724">
        <v>3.09</v>
      </c>
      <c r="Q724">
        <v>82</v>
      </c>
      <c r="R724">
        <v>630</v>
      </c>
    </row>
    <row r="725" spans="1:18" x14ac:dyDescent="0.2">
      <c r="A725">
        <v>9</v>
      </c>
      <c r="B725" t="s">
        <v>34</v>
      </c>
      <c r="E725" t="s">
        <v>36</v>
      </c>
      <c r="F725">
        <v>685569</v>
      </c>
      <c r="G725">
        <v>3</v>
      </c>
      <c r="H725">
        <v>1</v>
      </c>
      <c r="I725">
        <v>90</v>
      </c>
      <c r="J725">
        <v>2020</v>
      </c>
      <c r="K725" s="4">
        <v>45360</v>
      </c>
      <c r="L725" t="s">
        <v>20</v>
      </c>
      <c r="M725" t="s">
        <v>97</v>
      </c>
      <c r="N725">
        <v>1.56</v>
      </c>
      <c r="O725">
        <v>1338</v>
      </c>
      <c r="P725">
        <v>4.88</v>
      </c>
      <c r="Q725">
        <v>294</v>
      </c>
      <c r="R725">
        <v>600</v>
      </c>
    </row>
    <row r="726" spans="1:18" x14ac:dyDescent="0.2">
      <c r="A726">
        <v>5</v>
      </c>
      <c r="B726" t="s">
        <v>43</v>
      </c>
      <c r="E726" t="s">
        <v>19</v>
      </c>
      <c r="F726">
        <v>2419171</v>
      </c>
      <c r="G726">
        <v>5</v>
      </c>
      <c r="H726">
        <v>3</v>
      </c>
      <c r="I726">
        <v>671</v>
      </c>
      <c r="J726">
        <v>2010</v>
      </c>
      <c r="K726" s="4">
        <v>45566</v>
      </c>
      <c r="L726" t="s">
        <v>30</v>
      </c>
      <c r="M726" t="s">
        <v>76</v>
      </c>
      <c r="N726">
        <v>3.2</v>
      </c>
      <c r="O726">
        <v>1796</v>
      </c>
      <c r="P726">
        <v>4.4800000000000004</v>
      </c>
      <c r="Q726">
        <v>352</v>
      </c>
      <c r="R726">
        <v>647</v>
      </c>
    </row>
    <row r="727" spans="1:18" x14ac:dyDescent="0.2">
      <c r="A727">
        <v>8</v>
      </c>
      <c r="B727" t="s">
        <v>86</v>
      </c>
      <c r="E727" t="s">
        <v>36</v>
      </c>
      <c r="F727">
        <v>1543508</v>
      </c>
      <c r="G727">
        <v>4</v>
      </c>
      <c r="H727">
        <v>3</v>
      </c>
      <c r="I727">
        <v>221</v>
      </c>
      <c r="J727">
        <v>1970</v>
      </c>
      <c r="K727" s="4">
        <v>45669</v>
      </c>
      <c r="L727" t="s">
        <v>30</v>
      </c>
      <c r="M727" t="s">
        <v>89</v>
      </c>
      <c r="N727">
        <v>3.07</v>
      </c>
      <c r="O727">
        <v>1228</v>
      </c>
      <c r="P727">
        <v>3.27</v>
      </c>
      <c r="Q727">
        <v>167</v>
      </c>
      <c r="R727">
        <v>684</v>
      </c>
    </row>
    <row r="728" spans="1:18" x14ac:dyDescent="0.2">
      <c r="A728">
        <v>1</v>
      </c>
      <c r="B728" t="s">
        <v>50</v>
      </c>
      <c r="E728" t="s">
        <v>51</v>
      </c>
      <c r="F728">
        <v>816873</v>
      </c>
      <c r="G728">
        <v>5</v>
      </c>
      <c r="H728">
        <v>3</v>
      </c>
      <c r="I728">
        <v>186</v>
      </c>
      <c r="J728">
        <v>1957</v>
      </c>
      <c r="K728" s="4">
        <v>44318</v>
      </c>
      <c r="L728" t="s">
        <v>26</v>
      </c>
      <c r="M728" t="s">
        <v>58</v>
      </c>
      <c r="N728">
        <v>2.7</v>
      </c>
      <c r="O728">
        <v>2148</v>
      </c>
      <c r="P728">
        <v>3.72</v>
      </c>
      <c r="Q728">
        <v>353</v>
      </c>
      <c r="R728">
        <v>504</v>
      </c>
    </row>
    <row r="729" spans="1:18" x14ac:dyDescent="0.2">
      <c r="A729">
        <v>0</v>
      </c>
      <c r="B729" t="s">
        <v>48</v>
      </c>
      <c r="E729" t="s">
        <v>36</v>
      </c>
      <c r="F729">
        <v>414068</v>
      </c>
      <c r="G729">
        <v>1</v>
      </c>
      <c r="H729">
        <v>3</v>
      </c>
      <c r="I729">
        <v>780</v>
      </c>
      <c r="J729">
        <v>1963</v>
      </c>
      <c r="K729" s="4">
        <v>45613</v>
      </c>
      <c r="L729" t="s">
        <v>20</v>
      </c>
      <c r="M729" t="s">
        <v>42</v>
      </c>
      <c r="N729">
        <v>2.7</v>
      </c>
      <c r="O729">
        <v>955</v>
      </c>
      <c r="P729">
        <v>1.4</v>
      </c>
      <c r="Q729">
        <v>115</v>
      </c>
      <c r="R729">
        <v>439</v>
      </c>
    </row>
    <row r="730" spans="1:18" x14ac:dyDescent="0.2">
      <c r="A730">
        <v>8</v>
      </c>
      <c r="B730" t="s">
        <v>53</v>
      </c>
      <c r="E730" t="s">
        <v>29</v>
      </c>
      <c r="F730">
        <v>1305593</v>
      </c>
      <c r="G730">
        <v>3</v>
      </c>
      <c r="H730">
        <v>3</v>
      </c>
      <c r="I730">
        <v>193</v>
      </c>
      <c r="J730">
        <v>2009</v>
      </c>
      <c r="K730" s="4">
        <v>45733</v>
      </c>
      <c r="L730" t="s">
        <v>20</v>
      </c>
      <c r="M730" t="s">
        <v>63</v>
      </c>
      <c r="N730">
        <v>3.34</v>
      </c>
      <c r="O730">
        <v>1532</v>
      </c>
      <c r="P730">
        <v>2.61</v>
      </c>
      <c r="Q730">
        <v>162</v>
      </c>
      <c r="R730">
        <v>479</v>
      </c>
    </row>
    <row r="731" spans="1:18" x14ac:dyDescent="0.2">
      <c r="A731">
        <v>0</v>
      </c>
      <c r="B731" t="s">
        <v>71</v>
      </c>
      <c r="E731" t="s">
        <v>51</v>
      </c>
      <c r="F731">
        <v>467793</v>
      </c>
      <c r="G731">
        <v>3</v>
      </c>
      <c r="H731">
        <v>2</v>
      </c>
      <c r="I731">
        <v>871</v>
      </c>
      <c r="J731">
        <v>2020</v>
      </c>
      <c r="K731" s="4">
        <v>45790</v>
      </c>
      <c r="L731" t="s">
        <v>20</v>
      </c>
      <c r="M731" t="s">
        <v>37</v>
      </c>
      <c r="N731">
        <v>1.98</v>
      </c>
      <c r="O731">
        <v>907</v>
      </c>
      <c r="P731">
        <v>0.81</v>
      </c>
      <c r="Q731">
        <v>118</v>
      </c>
      <c r="R731">
        <v>393</v>
      </c>
    </row>
    <row r="732" spans="1:18" x14ac:dyDescent="0.2">
      <c r="A732">
        <v>2</v>
      </c>
      <c r="B732" t="s">
        <v>92</v>
      </c>
      <c r="E732" t="s">
        <v>51</v>
      </c>
      <c r="F732">
        <v>2371032</v>
      </c>
      <c r="G732">
        <v>1</v>
      </c>
      <c r="H732">
        <v>2</v>
      </c>
      <c r="I732">
        <v>881</v>
      </c>
      <c r="J732">
        <v>1984</v>
      </c>
      <c r="K732" s="4">
        <v>45748</v>
      </c>
      <c r="L732" t="s">
        <v>30</v>
      </c>
      <c r="M732" t="s">
        <v>74</v>
      </c>
      <c r="N732">
        <v>1.68</v>
      </c>
      <c r="O732">
        <v>2365</v>
      </c>
      <c r="P732">
        <v>2.63</v>
      </c>
      <c r="Q732">
        <v>111</v>
      </c>
      <c r="R732">
        <v>544</v>
      </c>
    </row>
    <row r="733" spans="1:18" x14ac:dyDescent="0.2">
      <c r="A733">
        <v>2</v>
      </c>
      <c r="B733" t="s">
        <v>28</v>
      </c>
      <c r="E733" t="s">
        <v>51</v>
      </c>
      <c r="F733">
        <v>408131</v>
      </c>
      <c r="G733">
        <v>2</v>
      </c>
      <c r="H733">
        <v>2</v>
      </c>
      <c r="I733">
        <v>518</v>
      </c>
      <c r="J733">
        <v>1988</v>
      </c>
      <c r="K733" s="4">
        <v>44171</v>
      </c>
      <c r="L733" t="s">
        <v>30</v>
      </c>
      <c r="M733" t="s">
        <v>66</v>
      </c>
      <c r="N733">
        <v>3.16</v>
      </c>
      <c r="O733">
        <v>2047</v>
      </c>
      <c r="P733">
        <v>2.82</v>
      </c>
      <c r="Q733">
        <v>176</v>
      </c>
      <c r="R733">
        <v>578</v>
      </c>
    </row>
    <row r="734" spans="1:18" x14ac:dyDescent="0.2">
      <c r="A734">
        <v>0</v>
      </c>
      <c r="B734" t="s">
        <v>43</v>
      </c>
      <c r="E734" t="s">
        <v>51</v>
      </c>
      <c r="F734">
        <v>2847302</v>
      </c>
      <c r="G734">
        <v>3</v>
      </c>
      <c r="H734">
        <v>2</v>
      </c>
      <c r="I734">
        <v>912</v>
      </c>
      <c r="J734">
        <v>1983</v>
      </c>
      <c r="K734" s="4">
        <v>44769</v>
      </c>
      <c r="L734" t="s">
        <v>30</v>
      </c>
      <c r="M734" t="s">
        <v>59</v>
      </c>
      <c r="N734">
        <v>2.85</v>
      </c>
      <c r="O734">
        <v>2292</v>
      </c>
      <c r="P734">
        <v>3.29</v>
      </c>
      <c r="Q734">
        <v>116</v>
      </c>
      <c r="R734">
        <v>496</v>
      </c>
    </row>
    <row r="735" spans="1:18" x14ac:dyDescent="0.2">
      <c r="A735">
        <v>6</v>
      </c>
      <c r="B735" t="s">
        <v>96</v>
      </c>
      <c r="E735" t="s">
        <v>36</v>
      </c>
      <c r="F735">
        <v>1763825</v>
      </c>
      <c r="G735">
        <v>6</v>
      </c>
      <c r="H735">
        <v>2</v>
      </c>
      <c r="I735">
        <v>864</v>
      </c>
      <c r="J735">
        <v>2018</v>
      </c>
      <c r="K735" s="4">
        <v>44423</v>
      </c>
      <c r="L735" t="s">
        <v>30</v>
      </c>
      <c r="M735" t="s">
        <v>47</v>
      </c>
      <c r="N735">
        <v>3.03</v>
      </c>
      <c r="O735">
        <v>2451</v>
      </c>
      <c r="P735">
        <v>1.1599999999999999</v>
      </c>
      <c r="Q735">
        <v>324</v>
      </c>
      <c r="R735">
        <v>504</v>
      </c>
    </row>
    <row r="736" spans="1:18" x14ac:dyDescent="0.2">
      <c r="A736">
        <v>6</v>
      </c>
      <c r="B736" t="s">
        <v>99</v>
      </c>
      <c r="E736" t="s">
        <v>51</v>
      </c>
      <c r="F736">
        <v>2238281</v>
      </c>
      <c r="G736">
        <v>4</v>
      </c>
      <c r="H736">
        <v>1</v>
      </c>
      <c r="I736">
        <v>191</v>
      </c>
      <c r="J736">
        <v>1975</v>
      </c>
      <c r="K736" s="4">
        <v>44338</v>
      </c>
      <c r="L736" t="s">
        <v>26</v>
      </c>
      <c r="M736" t="s">
        <v>68</v>
      </c>
      <c r="N736">
        <v>2.3199999999999998</v>
      </c>
      <c r="O736">
        <v>1751</v>
      </c>
      <c r="P736">
        <v>3.1</v>
      </c>
      <c r="Q736">
        <v>366</v>
      </c>
      <c r="R736">
        <v>407</v>
      </c>
    </row>
    <row r="737" spans="1:18" x14ac:dyDescent="0.2">
      <c r="A737">
        <v>7</v>
      </c>
      <c r="B737" t="s">
        <v>43</v>
      </c>
      <c r="E737" t="s">
        <v>19</v>
      </c>
      <c r="F737">
        <v>1609787</v>
      </c>
      <c r="G737">
        <v>1</v>
      </c>
      <c r="H737">
        <v>1</v>
      </c>
      <c r="I737">
        <v>829</v>
      </c>
      <c r="J737">
        <v>2015</v>
      </c>
      <c r="K737" s="4">
        <v>45443</v>
      </c>
      <c r="L737" t="s">
        <v>20</v>
      </c>
      <c r="M737" t="s">
        <v>97</v>
      </c>
      <c r="N737">
        <v>2.88</v>
      </c>
      <c r="O737">
        <v>1276</v>
      </c>
      <c r="P737">
        <v>2.82</v>
      </c>
      <c r="Q737">
        <v>132</v>
      </c>
      <c r="R737">
        <v>459</v>
      </c>
    </row>
    <row r="738" spans="1:18" x14ac:dyDescent="0.2">
      <c r="A738">
        <v>5</v>
      </c>
      <c r="B738" t="s">
        <v>99</v>
      </c>
      <c r="E738" t="s">
        <v>19</v>
      </c>
      <c r="F738">
        <v>2698797</v>
      </c>
      <c r="G738">
        <v>3</v>
      </c>
      <c r="H738">
        <v>2</v>
      </c>
      <c r="I738">
        <v>260</v>
      </c>
      <c r="J738">
        <v>1950</v>
      </c>
      <c r="K738" s="4">
        <v>45799</v>
      </c>
      <c r="L738" t="s">
        <v>30</v>
      </c>
      <c r="M738" t="s">
        <v>54</v>
      </c>
      <c r="N738">
        <v>1.55</v>
      </c>
      <c r="O738">
        <v>1649</v>
      </c>
      <c r="P738">
        <v>2.78</v>
      </c>
      <c r="Q738">
        <v>317</v>
      </c>
      <c r="R738">
        <v>631</v>
      </c>
    </row>
    <row r="739" spans="1:18" x14ac:dyDescent="0.2">
      <c r="A739">
        <v>5</v>
      </c>
      <c r="B739" t="s">
        <v>55</v>
      </c>
      <c r="E739" t="s">
        <v>29</v>
      </c>
      <c r="F739">
        <v>2164772</v>
      </c>
      <c r="G739">
        <v>2</v>
      </c>
      <c r="H739">
        <v>2</v>
      </c>
      <c r="I739">
        <v>682</v>
      </c>
      <c r="J739">
        <v>1992</v>
      </c>
      <c r="K739" s="4">
        <v>45303</v>
      </c>
      <c r="L739" t="s">
        <v>30</v>
      </c>
      <c r="M739" t="s">
        <v>85</v>
      </c>
      <c r="N739">
        <v>3.2</v>
      </c>
      <c r="O739">
        <v>1696</v>
      </c>
      <c r="P739">
        <v>2.0099999999999998</v>
      </c>
      <c r="Q739">
        <v>160</v>
      </c>
      <c r="R739">
        <v>679</v>
      </c>
    </row>
    <row r="740" spans="1:18" x14ac:dyDescent="0.2">
      <c r="A740">
        <v>2</v>
      </c>
      <c r="B740" t="s">
        <v>61</v>
      </c>
      <c r="E740" t="s">
        <v>19</v>
      </c>
      <c r="F740">
        <v>1680576</v>
      </c>
      <c r="G740">
        <v>3</v>
      </c>
      <c r="H740">
        <v>3</v>
      </c>
      <c r="I740">
        <v>678</v>
      </c>
      <c r="J740">
        <v>1952</v>
      </c>
      <c r="K740" s="4">
        <v>45814</v>
      </c>
      <c r="L740" t="s">
        <v>30</v>
      </c>
      <c r="M740" t="s">
        <v>60</v>
      </c>
      <c r="N740">
        <v>2.75</v>
      </c>
      <c r="O740">
        <v>1602</v>
      </c>
      <c r="P740">
        <v>3.3</v>
      </c>
      <c r="Q740">
        <v>183</v>
      </c>
      <c r="R740">
        <v>626</v>
      </c>
    </row>
    <row r="741" spans="1:18" x14ac:dyDescent="0.2">
      <c r="A741">
        <v>5</v>
      </c>
      <c r="B741" t="s">
        <v>48</v>
      </c>
      <c r="E741" t="s">
        <v>19</v>
      </c>
      <c r="F741">
        <v>1987599</v>
      </c>
      <c r="G741">
        <v>4</v>
      </c>
      <c r="H741">
        <v>1</v>
      </c>
      <c r="I741">
        <v>997</v>
      </c>
      <c r="J741">
        <v>2019</v>
      </c>
      <c r="K741" s="4">
        <v>44681</v>
      </c>
      <c r="L741" t="s">
        <v>20</v>
      </c>
      <c r="M741" t="s">
        <v>74</v>
      </c>
      <c r="N741">
        <v>3.28</v>
      </c>
      <c r="O741">
        <v>1446</v>
      </c>
      <c r="P741">
        <v>2.09</v>
      </c>
      <c r="Q741">
        <v>385</v>
      </c>
      <c r="R741">
        <v>328</v>
      </c>
    </row>
    <row r="742" spans="1:18" x14ac:dyDescent="0.2">
      <c r="A742">
        <v>3</v>
      </c>
      <c r="B742" t="s">
        <v>92</v>
      </c>
      <c r="E742" t="s">
        <v>36</v>
      </c>
      <c r="F742">
        <v>2118616</v>
      </c>
      <c r="G742">
        <v>4</v>
      </c>
      <c r="H742">
        <v>3</v>
      </c>
      <c r="I742">
        <v>576</v>
      </c>
      <c r="J742">
        <v>1991</v>
      </c>
      <c r="K742" s="4">
        <v>44639</v>
      </c>
      <c r="L742" t="s">
        <v>23</v>
      </c>
      <c r="M742" t="s">
        <v>69</v>
      </c>
      <c r="N742">
        <v>2.83</v>
      </c>
      <c r="O742">
        <v>1488</v>
      </c>
      <c r="P742">
        <v>0.47</v>
      </c>
      <c r="Q742">
        <v>165</v>
      </c>
      <c r="R742">
        <v>416</v>
      </c>
    </row>
    <row r="743" spans="1:18" x14ac:dyDescent="0.2">
      <c r="A743">
        <v>7</v>
      </c>
      <c r="B743" t="s">
        <v>48</v>
      </c>
      <c r="E743" t="s">
        <v>51</v>
      </c>
      <c r="F743">
        <v>1393463</v>
      </c>
      <c r="G743">
        <v>3</v>
      </c>
      <c r="H743">
        <v>3</v>
      </c>
      <c r="I743">
        <v>590</v>
      </c>
      <c r="J743">
        <v>2022</v>
      </c>
      <c r="K743" s="4">
        <v>45757</v>
      </c>
      <c r="L743" t="s">
        <v>30</v>
      </c>
      <c r="M743" t="s">
        <v>24</v>
      </c>
      <c r="N743">
        <v>2.7</v>
      </c>
      <c r="O743">
        <v>947</v>
      </c>
      <c r="P743">
        <v>3.99</v>
      </c>
      <c r="Q743">
        <v>185</v>
      </c>
      <c r="R743">
        <v>593</v>
      </c>
    </row>
    <row r="744" spans="1:18" x14ac:dyDescent="0.2">
      <c r="A744">
        <v>6</v>
      </c>
      <c r="B744" t="s">
        <v>104</v>
      </c>
      <c r="E744" t="s">
        <v>36</v>
      </c>
      <c r="F744">
        <v>2996646</v>
      </c>
      <c r="G744">
        <v>2</v>
      </c>
      <c r="H744">
        <v>3</v>
      </c>
      <c r="I744">
        <v>685</v>
      </c>
      <c r="J744">
        <v>1989</v>
      </c>
      <c r="K744" s="4">
        <v>44465</v>
      </c>
      <c r="L744" t="s">
        <v>23</v>
      </c>
      <c r="M744" t="s">
        <v>63</v>
      </c>
      <c r="N744">
        <v>1.64</v>
      </c>
      <c r="O744">
        <v>1592</v>
      </c>
      <c r="P744">
        <v>4.0999999999999996</v>
      </c>
      <c r="Q744">
        <v>141</v>
      </c>
      <c r="R744">
        <v>520</v>
      </c>
    </row>
    <row r="745" spans="1:18" x14ac:dyDescent="0.2">
      <c r="A745">
        <v>2</v>
      </c>
      <c r="B745" t="s">
        <v>18</v>
      </c>
      <c r="E745" t="s">
        <v>29</v>
      </c>
      <c r="F745">
        <v>747963</v>
      </c>
      <c r="G745">
        <v>3</v>
      </c>
      <c r="H745">
        <v>3</v>
      </c>
      <c r="I745">
        <v>395</v>
      </c>
      <c r="J745">
        <v>1970</v>
      </c>
      <c r="K745" s="4">
        <v>45443</v>
      </c>
      <c r="L745" t="s">
        <v>26</v>
      </c>
      <c r="M745" t="s">
        <v>89</v>
      </c>
      <c r="N745">
        <v>1.63</v>
      </c>
      <c r="O745">
        <v>2067</v>
      </c>
      <c r="P745">
        <v>3.11</v>
      </c>
      <c r="Q745">
        <v>113</v>
      </c>
      <c r="R745">
        <v>420</v>
      </c>
    </row>
    <row r="746" spans="1:18" x14ac:dyDescent="0.2">
      <c r="A746">
        <v>6</v>
      </c>
      <c r="B746" t="s">
        <v>61</v>
      </c>
      <c r="E746" t="s">
        <v>51</v>
      </c>
      <c r="F746">
        <v>2190585</v>
      </c>
      <c r="G746">
        <v>2</v>
      </c>
      <c r="H746">
        <v>2</v>
      </c>
      <c r="I746">
        <v>228</v>
      </c>
      <c r="J746">
        <v>2000</v>
      </c>
      <c r="K746" s="4">
        <v>44721</v>
      </c>
      <c r="L746" t="s">
        <v>30</v>
      </c>
      <c r="M746" t="s">
        <v>76</v>
      </c>
      <c r="N746">
        <v>3.38</v>
      </c>
      <c r="O746">
        <v>1876</v>
      </c>
      <c r="P746">
        <v>4.6399999999999997</v>
      </c>
      <c r="Q746">
        <v>140</v>
      </c>
      <c r="R746">
        <v>332</v>
      </c>
    </row>
    <row r="747" spans="1:18" x14ac:dyDescent="0.2">
      <c r="A747">
        <v>6</v>
      </c>
      <c r="B747" t="s">
        <v>39</v>
      </c>
      <c r="E747" t="s">
        <v>36</v>
      </c>
      <c r="F747">
        <v>2533958</v>
      </c>
      <c r="G747">
        <v>4</v>
      </c>
      <c r="H747">
        <v>1</v>
      </c>
      <c r="I747">
        <v>283</v>
      </c>
      <c r="J747">
        <v>1957</v>
      </c>
      <c r="K747" s="4">
        <v>45774</v>
      </c>
      <c r="L747" t="s">
        <v>26</v>
      </c>
      <c r="M747" t="s">
        <v>37</v>
      </c>
      <c r="N747">
        <v>2.94</v>
      </c>
      <c r="O747">
        <v>1852</v>
      </c>
      <c r="P747">
        <v>1.59</v>
      </c>
      <c r="Q747">
        <v>239</v>
      </c>
      <c r="R747">
        <v>441</v>
      </c>
    </row>
    <row r="748" spans="1:18" x14ac:dyDescent="0.2">
      <c r="A748">
        <v>5</v>
      </c>
      <c r="B748" t="s">
        <v>46</v>
      </c>
      <c r="E748" t="s">
        <v>29</v>
      </c>
      <c r="F748">
        <v>2502663</v>
      </c>
      <c r="G748">
        <v>4</v>
      </c>
      <c r="H748">
        <v>3</v>
      </c>
      <c r="I748">
        <v>652</v>
      </c>
      <c r="J748">
        <v>1963</v>
      </c>
      <c r="K748" s="4">
        <v>45627</v>
      </c>
      <c r="L748" t="s">
        <v>20</v>
      </c>
      <c r="M748" t="s">
        <v>76</v>
      </c>
      <c r="N748">
        <v>2.14</v>
      </c>
      <c r="O748">
        <v>1710</v>
      </c>
      <c r="P748">
        <v>1.51</v>
      </c>
      <c r="Q748">
        <v>300</v>
      </c>
      <c r="R748">
        <v>377</v>
      </c>
    </row>
    <row r="749" spans="1:18" x14ac:dyDescent="0.2">
      <c r="A749">
        <v>5</v>
      </c>
      <c r="B749" t="s">
        <v>91</v>
      </c>
      <c r="E749" t="s">
        <v>36</v>
      </c>
      <c r="F749">
        <v>426793</v>
      </c>
      <c r="G749">
        <v>3</v>
      </c>
      <c r="H749">
        <v>3</v>
      </c>
      <c r="I749">
        <v>622</v>
      </c>
      <c r="J749">
        <v>1960</v>
      </c>
      <c r="K749" s="4">
        <v>45597</v>
      </c>
      <c r="L749" t="s">
        <v>23</v>
      </c>
      <c r="M749" t="s">
        <v>66</v>
      </c>
      <c r="N749">
        <v>2.57</v>
      </c>
      <c r="O749">
        <v>2297</v>
      </c>
      <c r="P749">
        <v>4.5599999999999996</v>
      </c>
      <c r="Q749">
        <v>243</v>
      </c>
      <c r="R749">
        <v>479</v>
      </c>
    </row>
    <row r="750" spans="1:18" x14ac:dyDescent="0.2">
      <c r="A750">
        <v>5</v>
      </c>
      <c r="B750" t="s">
        <v>100</v>
      </c>
      <c r="E750" t="s">
        <v>29</v>
      </c>
      <c r="F750">
        <v>1474198</v>
      </c>
      <c r="G750">
        <v>4</v>
      </c>
      <c r="H750">
        <v>1</v>
      </c>
      <c r="I750">
        <v>922</v>
      </c>
      <c r="J750">
        <v>1952</v>
      </c>
      <c r="K750" s="4">
        <v>45475</v>
      </c>
      <c r="L750" t="s">
        <v>30</v>
      </c>
      <c r="M750" t="s">
        <v>58</v>
      </c>
      <c r="N750">
        <v>3.3</v>
      </c>
      <c r="O750">
        <v>1090</v>
      </c>
      <c r="P750">
        <v>0.23</v>
      </c>
      <c r="Q750">
        <v>316</v>
      </c>
      <c r="R750">
        <v>399</v>
      </c>
    </row>
    <row r="751" spans="1:18" x14ac:dyDescent="0.2">
      <c r="A751">
        <v>1</v>
      </c>
      <c r="B751" t="s">
        <v>71</v>
      </c>
      <c r="E751" t="s">
        <v>36</v>
      </c>
      <c r="F751">
        <v>2892171</v>
      </c>
      <c r="G751">
        <v>4</v>
      </c>
      <c r="H751">
        <v>1</v>
      </c>
      <c r="I751">
        <v>166</v>
      </c>
      <c r="J751">
        <v>1988</v>
      </c>
      <c r="K751" s="4">
        <v>44431</v>
      </c>
      <c r="L751" t="s">
        <v>20</v>
      </c>
      <c r="M751" t="s">
        <v>69</v>
      </c>
      <c r="N751">
        <v>3.22</v>
      </c>
      <c r="O751">
        <v>1538</v>
      </c>
      <c r="P751">
        <v>3.23</v>
      </c>
      <c r="Q751">
        <v>231</v>
      </c>
      <c r="R751">
        <v>393</v>
      </c>
    </row>
    <row r="752" spans="1:18" x14ac:dyDescent="0.2">
      <c r="A752">
        <v>7</v>
      </c>
      <c r="B752" t="s">
        <v>62</v>
      </c>
      <c r="E752" t="s">
        <v>29</v>
      </c>
      <c r="F752">
        <v>1917681</v>
      </c>
      <c r="G752">
        <v>2</v>
      </c>
      <c r="H752">
        <v>3</v>
      </c>
      <c r="I752">
        <v>524</v>
      </c>
      <c r="J752">
        <v>1997</v>
      </c>
      <c r="K752" s="4">
        <v>44130</v>
      </c>
      <c r="L752" t="s">
        <v>20</v>
      </c>
      <c r="M752" t="s">
        <v>76</v>
      </c>
      <c r="N752">
        <v>2.0099999999999998</v>
      </c>
      <c r="O752">
        <v>2289</v>
      </c>
      <c r="P752">
        <v>3.38</v>
      </c>
      <c r="Q752">
        <v>143</v>
      </c>
      <c r="R752">
        <v>646</v>
      </c>
    </row>
    <row r="753" spans="1:18" x14ac:dyDescent="0.2">
      <c r="A753">
        <v>4</v>
      </c>
      <c r="B753" t="s">
        <v>102</v>
      </c>
      <c r="E753" t="s">
        <v>29</v>
      </c>
      <c r="F753">
        <v>1038740</v>
      </c>
      <c r="G753">
        <v>1</v>
      </c>
      <c r="H753">
        <v>3</v>
      </c>
      <c r="I753">
        <v>201</v>
      </c>
      <c r="J753">
        <v>2006</v>
      </c>
      <c r="K753" s="4">
        <v>44822</v>
      </c>
      <c r="L753" t="s">
        <v>20</v>
      </c>
      <c r="M753" t="s">
        <v>35</v>
      </c>
      <c r="N753">
        <v>2.23</v>
      </c>
      <c r="O753">
        <v>1564</v>
      </c>
      <c r="P753">
        <v>1.79</v>
      </c>
      <c r="Q753">
        <v>108</v>
      </c>
      <c r="R753">
        <v>337</v>
      </c>
    </row>
    <row r="754" spans="1:18" x14ac:dyDescent="0.2">
      <c r="A754">
        <v>5</v>
      </c>
      <c r="B754" t="s">
        <v>87</v>
      </c>
      <c r="E754" t="s">
        <v>51</v>
      </c>
      <c r="F754">
        <v>2038625</v>
      </c>
      <c r="G754">
        <v>4</v>
      </c>
      <c r="H754">
        <v>1</v>
      </c>
      <c r="I754">
        <v>203</v>
      </c>
      <c r="J754">
        <v>2006</v>
      </c>
      <c r="K754" s="4">
        <v>44720</v>
      </c>
      <c r="L754" t="s">
        <v>30</v>
      </c>
      <c r="M754" t="s">
        <v>47</v>
      </c>
      <c r="N754">
        <v>1.64</v>
      </c>
      <c r="O754">
        <v>1584</v>
      </c>
      <c r="P754">
        <v>2.4700000000000002</v>
      </c>
      <c r="Q754">
        <v>174</v>
      </c>
      <c r="R754">
        <v>471</v>
      </c>
    </row>
    <row r="755" spans="1:18" x14ac:dyDescent="0.2">
      <c r="A755">
        <v>4</v>
      </c>
      <c r="B755" t="s">
        <v>73</v>
      </c>
      <c r="E755" t="s">
        <v>36</v>
      </c>
      <c r="F755">
        <v>1498162</v>
      </c>
      <c r="G755">
        <v>1</v>
      </c>
      <c r="H755">
        <v>3</v>
      </c>
      <c r="I755">
        <v>497</v>
      </c>
      <c r="J755">
        <v>1980</v>
      </c>
      <c r="K755" s="4">
        <v>44275</v>
      </c>
      <c r="L755" t="s">
        <v>30</v>
      </c>
      <c r="M755" t="s">
        <v>60</v>
      </c>
      <c r="N755">
        <v>2.38</v>
      </c>
      <c r="O755">
        <v>832</v>
      </c>
      <c r="P755">
        <v>4.96</v>
      </c>
      <c r="Q755">
        <v>62</v>
      </c>
      <c r="R755">
        <v>307</v>
      </c>
    </row>
    <row r="756" spans="1:18" x14ac:dyDescent="0.2">
      <c r="A756">
        <v>8</v>
      </c>
      <c r="B756" t="s">
        <v>46</v>
      </c>
      <c r="E756" t="s">
        <v>36</v>
      </c>
      <c r="F756">
        <v>2807269</v>
      </c>
      <c r="G756">
        <v>4</v>
      </c>
      <c r="H756">
        <v>3</v>
      </c>
      <c r="I756">
        <v>505</v>
      </c>
      <c r="J756">
        <v>1978</v>
      </c>
      <c r="K756" s="4">
        <v>45490</v>
      </c>
      <c r="L756" t="s">
        <v>20</v>
      </c>
      <c r="M756" t="s">
        <v>63</v>
      </c>
      <c r="N756">
        <v>2.15</v>
      </c>
      <c r="O756">
        <v>1117</v>
      </c>
      <c r="P756">
        <v>0.33</v>
      </c>
      <c r="Q756">
        <v>266</v>
      </c>
      <c r="R756">
        <v>591</v>
      </c>
    </row>
    <row r="757" spans="1:18" x14ac:dyDescent="0.2">
      <c r="A757">
        <v>8</v>
      </c>
      <c r="B757" t="s">
        <v>93</v>
      </c>
      <c r="E757" t="s">
        <v>36</v>
      </c>
      <c r="F757">
        <v>2368590</v>
      </c>
      <c r="G757">
        <v>2</v>
      </c>
      <c r="H757">
        <v>3</v>
      </c>
      <c r="I757">
        <v>819</v>
      </c>
      <c r="J757">
        <v>1973</v>
      </c>
      <c r="K757" s="4">
        <v>44845</v>
      </c>
      <c r="L757" t="s">
        <v>23</v>
      </c>
      <c r="M757" t="s">
        <v>77</v>
      </c>
      <c r="N757">
        <v>1.5</v>
      </c>
      <c r="O757">
        <v>2403</v>
      </c>
      <c r="P757">
        <v>0.71</v>
      </c>
      <c r="Q757">
        <v>89</v>
      </c>
      <c r="R757">
        <v>649</v>
      </c>
    </row>
    <row r="758" spans="1:18" x14ac:dyDescent="0.2">
      <c r="A758">
        <v>8</v>
      </c>
      <c r="B758" t="s">
        <v>102</v>
      </c>
      <c r="E758" t="s">
        <v>51</v>
      </c>
      <c r="F758">
        <v>2475314</v>
      </c>
      <c r="G758">
        <v>4</v>
      </c>
      <c r="H758">
        <v>3</v>
      </c>
      <c r="I758">
        <v>299</v>
      </c>
      <c r="J758">
        <v>2017</v>
      </c>
      <c r="K758" s="4">
        <v>44559</v>
      </c>
      <c r="L758" t="s">
        <v>30</v>
      </c>
      <c r="M758" t="s">
        <v>77</v>
      </c>
      <c r="N758">
        <v>3.36</v>
      </c>
      <c r="O758">
        <v>948</v>
      </c>
      <c r="P758">
        <v>3.83</v>
      </c>
      <c r="Q758">
        <v>280</v>
      </c>
      <c r="R758">
        <v>449</v>
      </c>
    </row>
    <row r="759" spans="1:18" x14ac:dyDescent="0.2">
      <c r="A759">
        <v>9</v>
      </c>
      <c r="B759" t="s">
        <v>73</v>
      </c>
      <c r="E759" t="s">
        <v>29</v>
      </c>
      <c r="F759">
        <v>2667367</v>
      </c>
      <c r="G759">
        <v>2</v>
      </c>
      <c r="H759">
        <v>3</v>
      </c>
      <c r="I759">
        <v>500</v>
      </c>
      <c r="J759">
        <v>1983</v>
      </c>
      <c r="K759" s="4">
        <v>44413</v>
      </c>
      <c r="L759" t="s">
        <v>20</v>
      </c>
      <c r="M759" t="s">
        <v>45</v>
      </c>
      <c r="N759">
        <v>1.8</v>
      </c>
      <c r="O759">
        <v>1030</v>
      </c>
      <c r="P759">
        <v>3.07</v>
      </c>
      <c r="Q759">
        <v>81</v>
      </c>
      <c r="R759">
        <v>605</v>
      </c>
    </row>
    <row r="760" spans="1:18" x14ac:dyDescent="0.2">
      <c r="A760">
        <v>9</v>
      </c>
      <c r="B760" t="s">
        <v>64</v>
      </c>
      <c r="E760" t="s">
        <v>36</v>
      </c>
      <c r="F760">
        <v>1994106</v>
      </c>
      <c r="G760">
        <v>0</v>
      </c>
      <c r="H760">
        <v>3</v>
      </c>
      <c r="I760">
        <v>708</v>
      </c>
      <c r="J760">
        <v>2016</v>
      </c>
      <c r="K760" s="4">
        <v>44896</v>
      </c>
      <c r="L760" t="s">
        <v>30</v>
      </c>
      <c r="M760" t="s">
        <v>31</v>
      </c>
      <c r="N760">
        <v>2.61</v>
      </c>
      <c r="O760">
        <v>1455</v>
      </c>
      <c r="P760">
        <v>0.65</v>
      </c>
      <c r="Q760">
        <v>78</v>
      </c>
      <c r="R760">
        <v>426</v>
      </c>
    </row>
    <row r="761" spans="1:18" x14ac:dyDescent="0.2">
      <c r="A761">
        <v>3</v>
      </c>
      <c r="B761" t="s">
        <v>32</v>
      </c>
      <c r="E761" t="s">
        <v>29</v>
      </c>
      <c r="F761">
        <v>2485206</v>
      </c>
      <c r="G761">
        <v>1</v>
      </c>
      <c r="H761">
        <v>3</v>
      </c>
      <c r="I761">
        <v>98</v>
      </c>
      <c r="J761">
        <v>1960</v>
      </c>
      <c r="K761" s="4">
        <v>44382</v>
      </c>
      <c r="L761" t="s">
        <v>26</v>
      </c>
      <c r="M761" t="s">
        <v>58</v>
      </c>
      <c r="N761">
        <v>3.29</v>
      </c>
      <c r="O761">
        <v>2259</v>
      </c>
      <c r="P761">
        <v>4.17</v>
      </c>
      <c r="Q761">
        <v>49</v>
      </c>
      <c r="R761">
        <v>453</v>
      </c>
    </row>
    <row r="762" spans="1:18" x14ac:dyDescent="0.2">
      <c r="A762">
        <v>5</v>
      </c>
      <c r="B762" t="s">
        <v>49</v>
      </c>
      <c r="E762" t="s">
        <v>51</v>
      </c>
      <c r="F762">
        <v>1506847</v>
      </c>
      <c r="G762">
        <v>5</v>
      </c>
      <c r="H762">
        <v>2</v>
      </c>
      <c r="I762">
        <v>849</v>
      </c>
      <c r="J762">
        <v>1956</v>
      </c>
      <c r="K762" s="4">
        <v>45774</v>
      </c>
      <c r="L762" t="s">
        <v>30</v>
      </c>
      <c r="M762" t="s">
        <v>85</v>
      </c>
      <c r="N762">
        <v>2.2599999999999998</v>
      </c>
      <c r="O762">
        <v>1994</v>
      </c>
      <c r="P762">
        <v>0.43</v>
      </c>
      <c r="Q762">
        <v>333</v>
      </c>
      <c r="R762">
        <v>564</v>
      </c>
    </row>
    <row r="763" spans="1:18" x14ac:dyDescent="0.2">
      <c r="A763">
        <v>5</v>
      </c>
      <c r="B763" t="s">
        <v>90</v>
      </c>
      <c r="E763" t="s">
        <v>51</v>
      </c>
      <c r="F763">
        <v>729587</v>
      </c>
      <c r="G763">
        <v>3</v>
      </c>
      <c r="H763">
        <v>3</v>
      </c>
      <c r="I763">
        <v>96</v>
      </c>
      <c r="J763">
        <v>1987</v>
      </c>
      <c r="K763" s="4">
        <v>45774</v>
      </c>
      <c r="L763" t="s">
        <v>26</v>
      </c>
      <c r="M763" t="s">
        <v>70</v>
      </c>
      <c r="N763">
        <v>3.22</v>
      </c>
      <c r="O763">
        <v>1473</v>
      </c>
      <c r="P763">
        <v>0.32</v>
      </c>
      <c r="Q763">
        <v>281</v>
      </c>
      <c r="R763">
        <v>489</v>
      </c>
    </row>
    <row r="764" spans="1:18" x14ac:dyDescent="0.2">
      <c r="A764">
        <v>9</v>
      </c>
      <c r="B764" t="s">
        <v>91</v>
      </c>
      <c r="E764" t="s">
        <v>29</v>
      </c>
      <c r="F764">
        <v>2323859</v>
      </c>
      <c r="G764">
        <v>4</v>
      </c>
      <c r="H764">
        <v>3</v>
      </c>
      <c r="I764">
        <v>913</v>
      </c>
      <c r="J764">
        <v>1950</v>
      </c>
      <c r="K764" s="4">
        <v>45176</v>
      </c>
      <c r="L764" t="s">
        <v>20</v>
      </c>
      <c r="M764" t="s">
        <v>76</v>
      </c>
      <c r="N764">
        <v>2.27</v>
      </c>
      <c r="O764">
        <v>2104</v>
      </c>
      <c r="P764">
        <v>0.81</v>
      </c>
      <c r="Q764">
        <v>282</v>
      </c>
      <c r="R764">
        <v>387</v>
      </c>
    </row>
    <row r="765" spans="1:18" x14ac:dyDescent="0.2">
      <c r="A765">
        <v>4</v>
      </c>
      <c r="B765" t="s">
        <v>102</v>
      </c>
      <c r="E765" t="s">
        <v>36</v>
      </c>
      <c r="F765">
        <v>589377</v>
      </c>
      <c r="G765">
        <v>6</v>
      </c>
      <c r="H765">
        <v>1</v>
      </c>
      <c r="I765">
        <v>598</v>
      </c>
      <c r="J765">
        <v>1967</v>
      </c>
      <c r="K765" s="4">
        <v>44621</v>
      </c>
      <c r="L765" t="s">
        <v>20</v>
      </c>
      <c r="M765" t="s">
        <v>56</v>
      </c>
      <c r="N765">
        <v>2.58</v>
      </c>
      <c r="O765">
        <v>2305</v>
      </c>
      <c r="P765">
        <v>2.16</v>
      </c>
      <c r="Q765">
        <v>332</v>
      </c>
      <c r="R765">
        <v>432</v>
      </c>
    </row>
    <row r="766" spans="1:18" x14ac:dyDescent="0.2">
      <c r="A766">
        <v>8</v>
      </c>
      <c r="B766" t="s">
        <v>106</v>
      </c>
      <c r="E766" t="s">
        <v>29</v>
      </c>
      <c r="F766">
        <v>2614176</v>
      </c>
      <c r="G766">
        <v>3</v>
      </c>
      <c r="H766">
        <v>2</v>
      </c>
      <c r="I766">
        <v>724</v>
      </c>
      <c r="J766">
        <v>1986</v>
      </c>
      <c r="K766" s="4">
        <v>44434</v>
      </c>
      <c r="L766" t="s">
        <v>26</v>
      </c>
      <c r="M766" t="s">
        <v>82</v>
      </c>
      <c r="N766">
        <v>3.47</v>
      </c>
      <c r="O766">
        <v>1651</v>
      </c>
      <c r="P766">
        <v>1.1000000000000001</v>
      </c>
      <c r="Q766">
        <v>86</v>
      </c>
      <c r="R766">
        <v>620</v>
      </c>
    </row>
    <row r="767" spans="1:18" x14ac:dyDescent="0.2">
      <c r="A767">
        <v>4</v>
      </c>
      <c r="B767" t="s">
        <v>91</v>
      </c>
      <c r="E767" t="s">
        <v>19</v>
      </c>
      <c r="F767">
        <v>1026717</v>
      </c>
      <c r="G767">
        <v>5</v>
      </c>
      <c r="H767">
        <v>1</v>
      </c>
      <c r="I767">
        <v>0</v>
      </c>
      <c r="J767">
        <v>1975</v>
      </c>
      <c r="K767" s="4">
        <v>44228</v>
      </c>
      <c r="L767" t="s">
        <v>20</v>
      </c>
      <c r="M767" t="s">
        <v>89</v>
      </c>
      <c r="N767">
        <v>2.1800000000000002</v>
      </c>
      <c r="O767">
        <v>1362</v>
      </c>
      <c r="P767">
        <v>2.74</v>
      </c>
      <c r="Q767">
        <v>67</v>
      </c>
      <c r="R767">
        <v>368</v>
      </c>
    </row>
    <row r="768" spans="1:18" x14ac:dyDescent="0.2">
      <c r="A768">
        <v>8</v>
      </c>
      <c r="B768" t="s">
        <v>61</v>
      </c>
      <c r="E768" t="s">
        <v>51</v>
      </c>
      <c r="F768">
        <v>1746840</v>
      </c>
      <c r="G768">
        <v>4</v>
      </c>
      <c r="H768">
        <v>3</v>
      </c>
      <c r="I768">
        <v>555</v>
      </c>
      <c r="J768">
        <v>1984</v>
      </c>
      <c r="K768" s="4">
        <v>44626</v>
      </c>
      <c r="L768" t="s">
        <v>26</v>
      </c>
      <c r="M768" t="s">
        <v>69</v>
      </c>
      <c r="N768">
        <v>2.0099999999999998</v>
      </c>
      <c r="O768">
        <v>1311</v>
      </c>
      <c r="P768">
        <v>2.68</v>
      </c>
      <c r="Q768">
        <v>163</v>
      </c>
      <c r="R768">
        <v>409</v>
      </c>
    </row>
    <row r="769" spans="1:18" x14ac:dyDescent="0.2">
      <c r="A769">
        <v>6</v>
      </c>
      <c r="B769" t="s">
        <v>32</v>
      </c>
      <c r="E769" t="s">
        <v>29</v>
      </c>
      <c r="F769">
        <v>1154942</v>
      </c>
      <c r="G769">
        <v>5</v>
      </c>
      <c r="H769">
        <v>2</v>
      </c>
      <c r="I769">
        <v>240</v>
      </c>
      <c r="J769">
        <v>1992</v>
      </c>
      <c r="K769" s="4">
        <v>44261</v>
      </c>
      <c r="L769" t="s">
        <v>20</v>
      </c>
      <c r="M769" t="s">
        <v>82</v>
      </c>
      <c r="N769">
        <v>1.88</v>
      </c>
      <c r="O769">
        <v>2225</v>
      </c>
      <c r="P769">
        <v>1.34</v>
      </c>
      <c r="Q769">
        <v>248</v>
      </c>
      <c r="R769">
        <v>302</v>
      </c>
    </row>
    <row r="770" spans="1:18" x14ac:dyDescent="0.2">
      <c r="A770">
        <v>5</v>
      </c>
      <c r="B770" t="s">
        <v>34</v>
      </c>
      <c r="E770" t="s">
        <v>19</v>
      </c>
      <c r="F770">
        <v>1151557</v>
      </c>
      <c r="G770">
        <v>6</v>
      </c>
      <c r="H770">
        <v>2</v>
      </c>
      <c r="I770">
        <v>264</v>
      </c>
      <c r="J770">
        <v>1997</v>
      </c>
      <c r="K770" s="4">
        <v>44762</v>
      </c>
      <c r="L770" t="s">
        <v>23</v>
      </c>
      <c r="M770" t="s">
        <v>33</v>
      </c>
      <c r="N770">
        <v>1.85</v>
      </c>
      <c r="O770">
        <v>2147</v>
      </c>
      <c r="P770">
        <v>0.3</v>
      </c>
      <c r="Q770">
        <v>368</v>
      </c>
      <c r="R770">
        <v>509</v>
      </c>
    </row>
    <row r="771" spans="1:18" x14ac:dyDescent="0.2">
      <c r="A771">
        <v>1</v>
      </c>
      <c r="B771" t="s">
        <v>87</v>
      </c>
      <c r="E771" t="s">
        <v>29</v>
      </c>
      <c r="F771">
        <v>918248</v>
      </c>
      <c r="G771">
        <v>2</v>
      </c>
      <c r="H771">
        <v>1</v>
      </c>
      <c r="I771">
        <v>172</v>
      </c>
      <c r="J771">
        <v>1984</v>
      </c>
      <c r="K771" s="4">
        <v>44125</v>
      </c>
      <c r="L771" t="s">
        <v>30</v>
      </c>
      <c r="M771" t="s">
        <v>24</v>
      </c>
      <c r="N771">
        <v>2.92</v>
      </c>
      <c r="O771">
        <v>1436</v>
      </c>
      <c r="P771">
        <v>2.6</v>
      </c>
      <c r="Q771">
        <v>120</v>
      </c>
      <c r="R771">
        <v>645</v>
      </c>
    </row>
    <row r="772" spans="1:18" x14ac:dyDescent="0.2">
      <c r="A772">
        <v>2</v>
      </c>
      <c r="B772" t="s">
        <v>62</v>
      </c>
      <c r="E772" t="s">
        <v>36</v>
      </c>
      <c r="F772">
        <v>1549610</v>
      </c>
      <c r="G772">
        <v>5</v>
      </c>
      <c r="H772">
        <v>2</v>
      </c>
      <c r="I772">
        <v>748</v>
      </c>
      <c r="J772">
        <v>1966</v>
      </c>
      <c r="K772" s="4">
        <v>45794</v>
      </c>
      <c r="L772" t="s">
        <v>26</v>
      </c>
      <c r="M772" t="s">
        <v>78</v>
      </c>
      <c r="N772">
        <v>2.36</v>
      </c>
      <c r="O772">
        <v>2500</v>
      </c>
      <c r="P772">
        <v>2.86</v>
      </c>
      <c r="Q772">
        <v>339</v>
      </c>
      <c r="R772">
        <v>416</v>
      </c>
    </row>
    <row r="773" spans="1:18" x14ac:dyDescent="0.2">
      <c r="A773">
        <v>1</v>
      </c>
      <c r="B773" t="s">
        <v>93</v>
      </c>
      <c r="E773" t="s">
        <v>19</v>
      </c>
      <c r="F773">
        <v>2358578</v>
      </c>
      <c r="G773">
        <v>2</v>
      </c>
      <c r="H773">
        <v>2</v>
      </c>
      <c r="I773">
        <v>289</v>
      </c>
      <c r="J773">
        <v>1973</v>
      </c>
      <c r="K773" s="4">
        <v>45677</v>
      </c>
      <c r="L773" t="s">
        <v>20</v>
      </c>
      <c r="M773" t="s">
        <v>54</v>
      </c>
      <c r="N773">
        <v>3.23</v>
      </c>
      <c r="O773">
        <v>1418</v>
      </c>
      <c r="P773">
        <v>0.59</v>
      </c>
      <c r="Q773">
        <v>215</v>
      </c>
      <c r="R773">
        <v>698</v>
      </c>
    </row>
    <row r="774" spans="1:18" x14ac:dyDescent="0.2">
      <c r="A774">
        <v>7</v>
      </c>
      <c r="B774" t="s">
        <v>104</v>
      </c>
      <c r="E774" t="s">
        <v>36</v>
      </c>
      <c r="F774">
        <v>1607751</v>
      </c>
      <c r="G774">
        <v>5</v>
      </c>
      <c r="H774">
        <v>3</v>
      </c>
      <c r="I774">
        <v>66</v>
      </c>
      <c r="J774">
        <v>1956</v>
      </c>
      <c r="K774" s="4">
        <v>45823</v>
      </c>
      <c r="L774" t="s">
        <v>23</v>
      </c>
      <c r="M774" t="s">
        <v>82</v>
      </c>
      <c r="N774">
        <v>2.71</v>
      </c>
      <c r="O774">
        <v>822</v>
      </c>
      <c r="P774">
        <v>2.27</v>
      </c>
      <c r="Q774">
        <v>253</v>
      </c>
      <c r="R774">
        <v>438</v>
      </c>
    </row>
    <row r="775" spans="1:18" x14ac:dyDescent="0.2">
      <c r="A775">
        <v>2</v>
      </c>
      <c r="B775" t="s">
        <v>61</v>
      </c>
      <c r="E775" t="s">
        <v>36</v>
      </c>
      <c r="F775">
        <v>2540038</v>
      </c>
      <c r="G775">
        <v>2</v>
      </c>
      <c r="H775">
        <v>1</v>
      </c>
      <c r="I775">
        <v>308</v>
      </c>
      <c r="J775">
        <v>1976</v>
      </c>
      <c r="K775" s="4">
        <v>45064</v>
      </c>
      <c r="L775" t="s">
        <v>26</v>
      </c>
      <c r="M775" t="s">
        <v>33</v>
      </c>
      <c r="N775">
        <v>2.13</v>
      </c>
      <c r="O775">
        <v>1396</v>
      </c>
      <c r="P775">
        <v>4.79</v>
      </c>
      <c r="Q775">
        <v>56</v>
      </c>
      <c r="R775">
        <v>509</v>
      </c>
    </row>
    <row r="776" spans="1:18" x14ac:dyDescent="0.2">
      <c r="A776">
        <v>2</v>
      </c>
      <c r="B776" t="s">
        <v>80</v>
      </c>
      <c r="E776" t="s">
        <v>51</v>
      </c>
      <c r="F776">
        <v>1811060</v>
      </c>
      <c r="G776">
        <v>6</v>
      </c>
      <c r="H776">
        <v>1</v>
      </c>
      <c r="I776">
        <v>294</v>
      </c>
      <c r="J776">
        <v>2001</v>
      </c>
      <c r="K776" s="4">
        <v>44575</v>
      </c>
      <c r="L776" t="s">
        <v>20</v>
      </c>
      <c r="M776" t="s">
        <v>47</v>
      </c>
      <c r="N776">
        <v>2.08</v>
      </c>
      <c r="O776">
        <v>1141</v>
      </c>
      <c r="P776">
        <v>4.84</v>
      </c>
      <c r="Q776">
        <v>360</v>
      </c>
      <c r="R776">
        <v>486</v>
      </c>
    </row>
    <row r="777" spans="1:18" x14ac:dyDescent="0.2">
      <c r="A777">
        <v>0</v>
      </c>
      <c r="B777" t="s">
        <v>86</v>
      </c>
      <c r="E777" t="s">
        <v>36</v>
      </c>
      <c r="F777">
        <v>599369</v>
      </c>
      <c r="G777">
        <v>3</v>
      </c>
      <c r="H777">
        <v>3</v>
      </c>
      <c r="I777">
        <v>334</v>
      </c>
      <c r="J777">
        <v>1962</v>
      </c>
      <c r="K777" s="4">
        <v>45116</v>
      </c>
      <c r="L777" t="s">
        <v>26</v>
      </c>
      <c r="M777" t="s">
        <v>66</v>
      </c>
      <c r="N777">
        <v>2.42</v>
      </c>
      <c r="O777">
        <v>1244</v>
      </c>
      <c r="P777">
        <v>3.93</v>
      </c>
      <c r="Q777">
        <v>266</v>
      </c>
      <c r="R777">
        <v>626</v>
      </c>
    </row>
    <row r="778" spans="1:18" x14ac:dyDescent="0.2">
      <c r="A778">
        <v>4</v>
      </c>
      <c r="B778" t="s">
        <v>102</v>
      </c>
      <c r="E778" t="s">
        <v>51</v>
      </c>
      <c r="F778">
        <v>2302910</v>
      </c>
      <c r="G778">
        <v>1</v>
      </c>
      <c r="H778">
        <v>2</v>
      </c>
      <c r="I778">
        <v>828</v>
      </c>
      <c r="J778">
        <v>2009</v>
      </c>
      <c r="K778" s="4">
        <v>44855</v>
      </c>
      <c r="L778" t="s">
        <v>23</v>
      </c>
      <c r="M778" t="s">
        <v>45</v>
      </c>
      <c r="N778">
        <v>1.82</v>
      </c>
      <c r="O778">
        <v>1888</v>
      </c>
      <c r="P778">
        <v>0.25</v>
      </c>
      <c r="Q778">
        <v>80</v>
      </c>
      <c r="R778">
        <v>668</v>
      </c>
    </row>
    <row r="779" spans="1:18" x14ac:dyDescent="0.2">
      <c r="A779">
        <v>6</v>
      </c>
      <c r="B779" t="s">
        <v>92</v>
      </c>
      <c r="E779" t="s">
        <v>19</v>
      </c>
      <c r="F779">
        <v>414335</v>
      </c>
      <c r="G779">
        <v>5</v>
      </c>
      <c r="H779">
        <v>3</v>
      </c>
      <c r="I779">
        <v>620</v>
      </c>
      <c r="J779">
        <v>2011</v>
      </c>
      <c r="K779" s="4">
        <v>45051</v>
      </c>
      <c r="L779" t="s">
        <v>20</v>
      </c>
      <c r="M779" t="s">
        <v>77</v>
      </c>
      <c r="N779">
        <v>2.25</v>
      </c>
      <c r="O779">
        <v>2178</v>
      </c>
      <c r="P779">
        <v>2.85</v>
      </c>
      <c r="Q779">
        <v>394</v>
      </c>
      <c r="R779">
        <v>356</v>
      </c>
    </row>
    <row r="780" spans="1:18" x14ac:dyDescent="0.2">
      <c r="A780">
        <v>7</v>
      </c>
      <c r="B780" t="s">
        <v>71</v>
      </c>
      <c r="E780" t="s">
        <v>19</v>
      </c>
      <c r="F780">
        <v>818918</v>
      </c>
      <c r="G780">
        <v>4</v>
      </c>
      <c r="H780">
        <v>3</v>
      </c>
      <c r="I780">
        <v>81</v>
      </c>
      <c r="J780">
        <v>1996</v>
      </c>
      <c r="K780" s="4">
        <v>44718</v>
      </c>
      <c r="L780" t="s">
        <v>30</v>
      </c>
      <c r="M780" t="s">
        <v>56</v>
      </c>
      <c r="N780">
        <v>2.59</v>
      </c>
      <c r="O780">
        <v>1728</v>
      </c>
      <c r="P780">
        <v>4.83</v>
      </c>
      <c r="Q780">
        <v>183</v>
      </c>
      <c r="R780">
        <v>659</v>
      </c>
    </row>
    <row r="781" spans="1:18" x14ac:dyDescent="0.2">
      <c r="A781">
        <v>5</v>
      </c>
      <c r="B781" t="s">
        <v>22</v>
      </c>
      <c r="E781" t="s">
        <v>29</v>
      </c>
      <c r="F781">
        <v>2283075</v>
      </c>
      <c r="G781">
        <v>5</v>
      </c>
      <c r="H781">
        <v>3</v>
      </c>
      <c r="I781">
        <v>506</v>
      </c>
      <c r="J781">
        <v>1969</v>
      </c>
      <c r="K781" s="4">
        <v>45552</v>
      </c>
      <c r="L781" t="s">
        <v>20</v>
      </c>
      <c r="M781" t="s">
        <v>24</v>
      </c>
      <c r="N781">
        <v>2.58</v>
      </c>
      <c r="O781">
        <v>2201</v>
      </c>
      <c r="P781">
        <v>2.02</v>
      </c>
      <c r="Q781">
        <v>353</v>
      </c>
      <c r="R781">
        <v>417</v>
      </c>
    </row>
    <row r="782" spans="1:18" x14ac:dyDescent="0.2">
      <c r="A782">
        <v>9</v>
      </c>
      <c r="B782" t="s">
        <v>32</v>
      </c>
      <c r="E782" t="s">
        <v>29</v>
      </c>
      <c r="F782">
        <v>1899144</v>
      </c>
      <c r="G782">
        <v>2</v>
      </c>
      <c r="H782">
        <v>3</v>
      </c>
      <c r="I782">
        <v>473</v>
      </c>
      <c r="J782">
        <v>1959</v>
      </c>
      <c r="K782" s="4">
        <v>44920</v>
      </c>
      <c r="L782" t="s">
        <v>23</v>
      </c>
      <c r="M782" t="s">
        <v>63</v>
      </c>
      <c r="N782">
        <v>2.87</v>
      </c>
      <c r="O782">
        <v>2218</v>
      </c>
      <c r="P782">
        <v>2.74</v>
      </c>
      <c r="Q782">
        <v>119</v>
      </c>
      <c r="R782">
        <v>563</v>
      </c>
    </row>
    <row r="783" spans="1:18" x14ac:dyDescent="0.2">
      <c r="A783">
        <v>2</v>
      </c>
      <c r="B783" t="s">
        <v>86</v>
      </c>
      <c r="E783" t="s">
        <v>36</v>
      </c>
      <c r="F783">
        <v>910711</v>
      </c>
      <c r="G783">
        <v>3</v>
      </c>
      <c r="H783">
        <v>1</v>
      </c>
      <c r="I783">
        <v>877</v>
      </c>
      <c r="J783">
        <v>1979</v>
      </c>
      <c r="K783" s="4">
        <v>44267</v>
      </c>
      <c r="L783" t="s">
        <v>26</v>
      </c>
      <c r="M783" t="s">
        <v>42</v>
      </c>
      <c r="N783">
        <v>2.08</v>
      </c>
      <c r="O783">
        <v>1916</v>
      </c>
      <c r="P783">
        <v>4.3899999999999997</v>
      </c>
      <c r="Q783">
        <v>261</v>
      </c>
      <c r="R783">
        <v>672</v>
      </c>
    </row>
    <row r="784" spans="1:18" x14ac:dyDescent="0.2">
      <c r="A784">
        <v>2</v>
      </c>
      <c r="B784" t="s">
        <v>25</v>
      </c>
      <c r="E784" t="s">
        <v>36</v>
      </c>
      <c r="F784">
        <v>2480109</v>
      </c>
      <c r="G784">
        <v>4</v>
      </c>
      <c r="H784">
        <v>3</v>
      </c>
      <c r="I784">
        <v>720</v>
      </c>
      <c r="J784">
        <v>1970</v>
      </c>
      <c r="K784" s="4">
        <v>45510</v>
      </c>
      <c r="L784" t="s">
        <v>23</v>
      </c>
      <c r="M784" t="s">
        <v>56</v>
      </c>
      <c r="N784">
        <v>2.36</v>
      </c>
      <c r="O784">
        <v>1478</v>
      </c>
      <c r="P784">
        <v>0.92</v>
      </c>
      <c r="Q784">
        <v>242</v>
      </c>
      <c r="R784">
        <v>406</v>
      </c>
    </row>
    <row r="785" spans="1:18" x14ac:dyDescent="0.2">
      <c r="A785">
        <v>5</v>
      </c>
      <c r="B785" t="s">
        <v>104</v>
      </c>
      <c r="E785" t="s">
        <v>29</v>
      </c>
      <c r="F785">
        <v>1532191</v>
      </c>
      <c r="G785">
        <v>5</v>
      </c>
      <c r="H785">
        <v>1</v>
      </c>
      <c r="I785">
        <v>183</v>
      </c>
      <c r="J785">
        <v>1956</v>
      </c>
      <c r="K785" s="4">
        <v>44124</v>
      </c>
      <c r="L785" t="s">
        <v>20</v>
      </c>
      <c r="M785" t="s">
        <v>85</v>
      </c>
      <c r="N785">
        <v>1.81</v>
      </c>
      <c r="O785">
        <v>1913</v>
      </c>
      <c r="P785">
        <v>0.74</v>
      </c>
      <c r="Q785">
        <v>328</v>
      </c>
      <c r="R785">
        <v>547</v>
      </c>
    </row>
    <row r="786" spans="1:18" x14ac:dyDescent="0.2">
      <c r="A786">
        <v>9</v>
      </c>
      <c r="B786" t="s">
        <v>84</v>
      </c>
      <c r="E786" t="s">
        <v>29</v>
      </c>
      <c r="F786">
        <v>1007562</v>
      </c>
      <c r="G786">
        <v>2</v>
      </c>
      <c r="H786">
        <v>1</v>
      </c>
      <c r="I786">
        <v>488</v>
      </c>
      <c r="J786">
        <v>2004</v>
      </c>
      <c r="K786" s="4">
        <v>44815</v>
      </c>
      <c r="L786" t="s">
        <v>20</v>
      </c>
      <c r="M786" t="s">
        <v>63</v>
      </c>
      <c r="N786">
        <v>2.4500000000000002</v>
      </c>
      <c r="O786">
        <v>2311</v>
      </c>
      <c r="P786">
        <v>2.72</v>
      </c>
      <c r="Q786">
        <v>146</v>
      </c>
      <c r="R786">
        <v>574</v>
      </c>
    </row>
    <row r="787" spans="1:18" x14ac:dyDescent="0.2">
      <c r="A787">
        <v>7</v>
      </c>
      <c r="B787" t="s">
        <v>25</v>
      </c>
      <c r="E787" t="s">
        <v>36</v>
      </c>
      <c r="F787">
        <v>2342295</v>
      </c>
      <c r="G787">
        <v>2</v>
      </c>
      <c r="H787">
        <v>2</v>
      </c>
      <c r="I787">
        <v>354</v>
      </c>
      <c r="J787">
        <v>2010</v>
      </c>
      <c r="K787" s="4">
        <v>44882</v>
      </c>
      <c r="L787" t="s">
        <v>26</v>
      </c>
      <c r="M787" t="s">
        <v>63</v>
      </c>
      <c r="N787">
        <v>3.49</v>
      </c>
      <c r="O787">
        <v>1904</v>
      </c>
      <c r="P787">
        <v>3.17</v>
      </c>
      <c r="Q787">
        <v>95</v>
      </c>
      <c r="R787">
        <v>379</v>
      </c>
    </row>
    <row r="788" spans="1:18" x14ac:dyDescent="0.2">
      <c r="A788">
        <v>0</v>
      </c>
      <c r="B788" t="s">
        <v>41</v>
      </c>
      <c r="E788" t="s">
        <v>29</v>
      </c>
      <c r="F788">
        <v>2998250</v>
      </c>
      <c r="G788">
        <v>2</v>
      </c>
      <c r="H788">
        <v>2</v>
      </c>
      <c r="I788">
        <v>431</v>
      </c>
      <c r="J788">
        <v>1995</v>
      </c>
      <c r="K788" s="4">
        <v>45247</v>
      </c>
      <c r="L788" t="s">
        <v>30</v>
      </c>
      <c r="M788" t="s">
        <v>77</v>
      </c>
      <c r="N788">
        <v>2.86</v>
      </c>
      <c r="O788">
        <v>1875</v>
      </c>
      <c r="P788">
        <v>2.2999999999999998</v>
      </c>
      <c r="Q788">
        <v>88</v>
      </c>
      <c r="R788">
        <v>700</v>
      </c>
    </row>
    <row r="789" spans="1:18" x14ac:dyDescent="0.2">
      <c r="A789">
        <v>0</v>
      </c>
      <c r="B789" t="s">
        <v>72</v>
      </c>
      <c r="E789" t="s">
        <v>19</v>
      </c>
      <c r="F789">
        <v>2375439</v>
      </c>
      <c r="G789">
        <v>2</v>
      </c>
      <c r="H789">
        <v>2</v>
      </c>
      <c r="I789">
        <v>538</v>
      </c>
      <c r="J789">
        <v>2018</v>
      </c>
      <c r="K789" s="4">
        <v>45273</v>
      </c>
      <c r="L789" t="s">
        <v>26</v>
      </c>
      <c r="M789" t="s">
        <v>68</v>
      </c>
      <c r="N789">
        <v>2.4500000000000002</v>
      </c>
      <c r="O789">
        <v>936</v>
      </c>
      <c r="P789">
        <v>2.2999999999999998</v>
      </c>
      <c r="Q789">
        <v>225</v>
      </c>
      <c r="R789">
        <v>544</v>
      </c>
    </row>
    <row r="790" spans="1:18" x14ac:dyDescent="0.2">
      <c r="A790">
        <v>8</v>
      </c>
      <c r="B790" t="s">
        <v>22</v>
      </c>
      <c r="E790" t="s">
        <v>51</v>
      </c>
      <c r="F790">
        <v>626405</v>
      </c>
      <c r="G790">
        <v>5</v>
      </c>
      <c r="H790">
        <v>3</v>
      </c>
      <c r="I790">
        <v>367</v>
      </c>
      <c r="J790">
        <v>1959</v>
      </c>
      <c r="K790" s="4">
        <v>45653</v>
      </c>
      <c r="L790" t="s">
        <v>20</v>
      </c>
      <c r="M790" t="s">
        <v>24</v>
      </c>
      <c r="N790">
        <v>2.2400000000000002</v>
      </c>
      <c r="O790">
        <v>2245</v>
      </c>
      <c r="P790">
        <v>4.4000000000000004</v>
      </c>
      <c r="Q790">
        <v>368</v>
      </c>
      <c r="R790">
        <v>331</v>
      </c>
    </row>
    <row r="791" spans="1:18" x14ac:dyDescent="0.2">
      <c r="A791">
        <v>3</v>
      </c>
      <c r="B791" t="s">
        <v>95</v>
      </c>
      <c r="E791" t="s">
        <v>19</v>
      </c>
      <c r="F791">
        <v>641218</v>
      </c>
      <c r="G791">
        <v>2</v>
      </c>
      <c r="H791">
        <v>2</v>
      </c>
      <c r="I791">
        <v>402</v>
      </c>
      <c r="J791">
        <v>1995</v>
      </c>
      <c r="K791" s="4">
        <v>45749</v>
      </c>
      <c r="L791" t="s">
        <v>30</v>
      </c>
      <c r="M791" t="s">
        <v>89</v>
      </c>
      <c r="N791">
        <v>3.36</v>
      </c>
      <c r="O791">
        <v>1899</v>
      </c>
      <c r="P791">
        <v>4.96</v>
      </c>
      <c r="Q791">
        <v>62</v>
      </c>
      <c r="R791">
        <v>579</v>
      </c>
    </row>
    <row r="792" spans="1:18" x14ac:dyDescent="0.2">
      <c r="A792">
        <v>8</v>
      </c>
      <c r="B792" t="s">
        <v>104</v>
      </c>
      <c r="E792" t="s">
        <v>29</v>
      </c>
      <c r="F792">
        <v>1285009</v>
      </c>
      <c r="G792">
        <v>6</v>
      </c>
      <c r="H792">
        <v>3</v>
      </c>
      <c r="I792">
        <v>717</v>
      </c>
      <c r="J792">
        <v>1962</v>
      </c>
      <c r="K792" s="4">
        <v>45819</v>
      </c>
      <c r="L792" t="s">
        <v>23</v>
      </c>
      <c r="M792" t="s">
        <v>89</v>
      </c>
      <c r="N792">
        <v>3.36</v>
      </c>
      <c r="O792">
        <v>1713</v>
      </c>
      <c r="P792">
        <v>0.94</v>
      </c>
      <c r="Q792">
        <v>342</v>
      </c>
      <c r="R792">
        <v>654</v>
      </c>
    </row>
    <row r="793" spans="1:18" x14ac:dyDescent="0.2">
      <c r="A793">
        <v>5</v>
      </c>
      <c r="B793" t="s">
        <v>91</v>
      </c>
      <c r="E793" t="s">
        <v>51</v>
      </c>
      <c r="F793">
        <v>520330</v>
      </c>
      <c r="G793">
        <v>3</v>
      </c>
      <c r="H793">
        <v>3</v>
      </c>
      <c r="I793">
        <v>729</v>
      </c>
      <c r="J793">
        <v>1966</v>
      </c>
      <c r="K793" s="4">
        <v>44370</v>
      </c>
      <c r="L793" t="s">
        <v>23</v>
      </c>
      <c r="M793" t="s">
        <v>60</v>
      </c>
      <c r="N793">
        <v>2.54</v>
      </c>
      <c r="O793">
        <v>2024</v>
      </c>
      <c r="P793">
        <v>4.37</v>
      </c>
      <c r="Q793">
        <v>191</v>
      </c>
      <c r="R793">
        <v>541</v>
      </c>
    </row>
    <row r="794" spans="1:18" x14ac:dyDescent="0.2">
      <c r="A794">
        <v>8</v>
      </c>
      <c r="B794" t="s">
        <v>83</v>
      </c>
      <c r="E794" t="s">
        <v>36</v>
      </c>
      <c r="F794">
        <v>552627</v>
      </c>
      <c r="G794">
        <v>4</v>
      </c>
      <c r="H794">
        <v>3</v>
      </c>
      <c r="I794">
        <v>870</v>
      </c>
      <c r="J794">
        <v>1960</v>
      </c>
      <c r="K794" s="4">
        <v>44318</v>
      </c>
      <c r="L794" t="s">
        <v>20</v>
      </c>
      <c r="M794" t="s">
        <v>37</v>
      </c>
      <c r="N794">
        <v>2.89</v>
      </c>
      <c r="O794">
        <v>2230</v>
      </c>
      <c r="P794">
        <v>0.73</v>
      </c>
      <c r="Q794">
        <v>221</v>
      </c>
      <c r="R794">
        <v>412</v>
      </c>
    </row>
    <row r="795" spans="1:18" x14ac:dyDescent="0.2">
      <c r="A795">
        <v>7</v>
      </c>
      <c r="B795" t="s">
        <v>83</v>
      </c>
      <c r="E795" t="s">
        <v>19</v>
      </c>
      <c r="F795">
        <v>2215660</v>
      </c>
      <c r="G795">
        <v>3</v>
      </c>
      <c r="H795">
        <v>2</v>
      </c>
      <c r="I795">
        <v>166</v>
      </c>
      <c r="J795">
        <v>1982</v>
      </c>
      <c r="K795" s="4">
        <v>45246</v>
      </c>
      <c r="L795" t="s">
        <v>23</v>
      </c>
      <c r="M795" t="s">
        <v>33</v>
      </c>
      <c r="N795">
        <v>1.64</v>
      </c>
      <c r="O795">
        <v>2260</v>
      </c>
      <c r="P795">
        <v>2</v>
      </c>
      <c r="Q795">
        <v>94</v>
      </c>
      <c r="R795">
        <v>567</v>
      </c>
    </row>
    <row r="796" spans="1:18" x14ac:dyDescent="0.2">
      <c r="A796">
        <v>0</v>
      </c>
      <c r="B796" t="s">
        <v>49</v>
      </c>
      <c r="E796" t="s">
        <v>36</v>
      </c>
      <c r="F796">
        <v>2086203</v>
      </c>
      <c r="G796">
        <v>4</v>
      </c>
      <c r="H796">
        <v>3</v>
      </c>
      <c r="I796">
        <v>811</v>
      </c>
      <c r="J796">
        <v>1956</v>
      </c>
      <c r="K796" s="4">
        <v>45844</v>
      </c>
      <c r="L796" t="s">
        <v>30</v>
      </c>
      <c r="M796" t="s">
        <v>74</v>
      </c>
      <c r="N796">
        <v>2.52</v>
      </c>
      <c r="O796">
        <v>1103</v>
      </c>
      <c r="P796">
        <v>1.62</v>
      </c>
      <c r="Q796">
        <v>400</v>
      </c>
      <c r="R796">
        <v>511</v>
      </c>
    </row>
    <row r="797" spans="1:18" x14ac:dyDescent="0.2">
      <c r="A797">
        <v>1</v>
      </c>
      <c r="B797" t="s">
        <v>79</v>
      </c>
      <c r="E797" t="s">
        <v>19</v>
      </c>
      <c r="F797">
        <v>1000450</v>
      </c>
      <c r="G797">
        <v>3</v>
      </c>
      <c r="H797">
        <v>2</v>
      </c>
      <c r="I797">
        <v>855</v>
      </c>
      <c r="J797">
        <v>1958</v>
      </c>
      <c r="K797" s="4">
        <v>44214</v>
      </c>
      <c r="L797" t="s">
        <v>30</v>
      </c>
      <c r="M797" t="s">
        <v>27</v>
      </c>
      <c r="N797">
        <v>2.83</v>
      </c>
      <c r="O797">
        <v>2324</v>
      </c>
      <c r="P797">
        <v>2.33</v>
      </c>
      <c r="Q797">
        <v>127</v>
      </c>
      <c r="R797">
        <v>532</v>
      </c>
    </row>
    <row r="798" spans="1:18" x14ac:dyDescent="0.2">
      <c r="A798">
        <v>7</v>
      </c>
      <c r="B798" t="s">
        <v>43</v>
      </c>
      <c r="E798" t="s">
        <v>36</v>
      </c>
      <c r="F798">
        <v>1671339</v>
      </c>
      <c r="G798">
        <v>3</v>
      </c>
      <c r="H798">
        <v>1</v>
      </c>
      <c r="I798">
        <v>406</v>
      </c>
      <c r="J798">
        <v>2008</v>
      </c>
      <c r="K798" s="4">
        <v>44478</v>
      </c>
      <c r="L798" t="s">
        <v>20</v>
      </c>
      <c r="M798" t="s">
        <v>37</v>
      </c>
      <c r="N798">
        <v>2.63</v>
      </c>
      <c r="O798">
        <v>2162</v>
      </c>
      <c r="P798">
        <v>2.83</v>
      </c>
      <c r="Q798">
        <v>94</v>
      </c>
      <c r="R798">
        <v>313</v>
      </c>
    </row>
    <row r="799" spans="1:18" x14ac:dyDescent="0.2">
      <c r="A799">
        <v>5</v>
      </c>
      <c r="B799" t="s">
        <v>49</v>
      </c>
      <c r="E799" t="s">
        <v>29</v>
      </c>
      <c r="F799">
        <v>593386</v>
      </c>
      <c r="G799">
        <v>4</v>
      </c>
      <c r="H799">
        <v>3</v>
      </c>
      <c r="I799">
        <v>80</v>
      </c>
      <c r="J799">
        <v>1982</v>
      </c>
      <c r="K799" s="4">
        <v>44283</v>
      </c>
      <c r="L799" t="s">
        <v>26</v>
      </c>
      <c r="M799" t="s">
        <v>40</v>
      </c>
      <c r="N799">
        <v>1.65</v>
      </c>
      <c r="O799">
        <v>1254</v>
      </c>
      <c r="P799">
        <v>2.96</v>
      </c>
      <c r="Q799">
        <v>398</v>
      </c>
      <c r="R799">
        <v>478</v>
      </c>
    </row>
    <row r="800" spans="1:18" x14ac:dyDescent="0.2">
      <c r="A800">
        <v>8</v>
      </c>
      <c r="B800" t="s">
        <v>88</v>
      </c>
      <c r="E800" t="s">
        <v>19</v>
      </c>
      <c r="F800">
        <v>2284048</v>
      </c>
      <c r="G800">
        <v>3</v>
      </c>
      <c r="H800">
        <v>2</v>
      </c>
      <c r="I800">
        <v>581</v>
      </c>
      <c r="J800">
        <v>1965</v>
      </c>
      <c r="K800" s="4">
        <v>44265</v>
      </c>
      <c r="L800" t="s">
        <v>23</v>
      </c>
      <c r="M800" t="s">
        <v>78</v>
      </c>
      <c r="N800">
        <v>1.67</v>
      </c>
      <c r="O800">
        <v>833</v>
      </c>
      <c r="P800">
        <v>3.14</v>
      </c>
      <c r="Q800">
        <v>192</v>
      </c>
      <c r="R800">
        <v>379</v>
      </c>
    </row>
    <row r="801" spans="1:18" x14ac:dyDescent="0.2">
      <c r="A801">
        <v>8</v>
      </c>
      <c r="B801" t="s">
        <v>84</v>
      </c>
      <c r="E801" t="s">
        <v>29</v>
      </c>
      <c r="F801">
        <v>1315915</v>
      </c>
      <c r="G801">
        <v>3</v>
      </c>
      <c r="H801">
        <v>1</v>
      </c>
      <c r="I801">
        <v>220</v>
      </c>
      <c r="J801">
        <v>2003</v>
      </c>
      <c r="K801" s="4">
        <v>45808</v>
      </c>
      <c r="L801" t="s">
        <v>26</v>
      </c>
      <c r="M801" t="s">
        <v>45</v>
      </c>
      <c r="N801">
        <v>2.31</v>
      </c>
      <c r="O801">
        <v>1799</v>
      </c>
      <c r="P801">
        <v>0.93</v>
      </c>
      <c r="Q801">
        <v>222</v>
      </c>
      <c r="R801">
        <v>496</v>
      </c>
    </row>
    <row r="802" spans="1:18" x14ac:dyDescent="0.2">
      <c r="A802">
        <v>2</v>
      </c>
      <c r="B802" t="s">
        <v>50</v>
      </c>
      <c r="E802" t="s">
        <v>29</v>
      </c>
      <c r="F802">
        <v>1696752</v>
      </c>
      <c r="G802">
        <v>3</v>
      </c>
      <c r="H802">
        <v>1</v>
      </c>
      <c r="I802">
        <v>723</v>
      </c>
      <c r="J802">
        <v>1979</v>
      </c>
      <c r="K802" s="4">
        <v>44141</v>
      </c>
      <c r="L802" t="s">
        <v>26</v>
      </c>
      <c r="M802" t="s">
        <v>66</v>
      </c>
      <c r="N802">
        <v>2.38</v>
      </c>
      <c r="O802">
        <v>2129</v>
      </c>
      <c r="P802">
        <v>4.0199999999999996</v>
      </c>
      <c r="Q802">
        <v>252</v>
      </c>
      <c r="R802">
        <v>439</v>
      </c>
    </row>
    <row r="803" spans="1:18" x14ac:dyDescent="0.2">
      <c r="A803">
        <v>9</v>
      </c>
      <c r="B803" t="s">
        <v>75</v>
      </c>
      <c r="E803" t="s">
        <v>29</v>
      </c>
      <c r="F803">
        <v>511872</v>
      </c>
      <c r="G803">
        <v>5</v>
      </c>
      <c r="H803">
        <v>2</v>
      </c>
      <c r="I803">
        <v>992</v>
      </c>
      <c r="J803">
        <v>1971</v>
      </c>
      <c r="K803" s="4">
        <v>44437</v>
      </c>
      <c r="L803" t="s">
        <v>30</v>
      </c>
      <c r="M803" t="s">
        <v>60</v>
      </c>
      <c r="N803">
        <v>2.66</v>
      </c>
      <c r="O803">
        <v>2150</v>
      </c>
      <c r="P803">
        <v>2.62</v>
      </c>
      <c r="Q803">
        <v>376</v>
      </c>
      <c r="R803">
        <v>484</v>
      </c>
    </row>
    <row r="804" spans="1:18" x14ac:dyDescent="0.2">
      <c r="A804">
        <v>9</v>
      </c>
      <c r="B804" t="s">
        <v>79</v>
      </c>
      <c r="E804" t="s">
        <v>36</v>
      </c>
      <c r="F804">
        <v>1322693</v>
      </c>
      <c r="G804">
        <v>3</v>
      </c>
      <c r="H804">
        <v>1</v>
      </c>
      <c r="I804">
        <v>736</v>
      </c>
      <c r="J804">
        <v>2010</v>
      </c>
      <c r="K804" s="4">
        <v>44155</v>
      </c>
      <c r="L804" t="s">
        <v>30</v>
      </c>
      <c r="M804" t="s">
        <v>97</v>
      </c>
      <c r="N804">
        <v>3.03</v>
      </c>
      <c r="O804">
        <v>1022</v>
      </c>
      <c r="P804">
        <v>4.09</v>
      </c>
      <c r="Q804">
        <v>311</v>
      </c>
      <c r="R804">
        <v>391</v>
      </c>
    </row>
    <row r="805" spans="1:18" x14ac:dyDescent="0.2">
      <c r="A805">
        <v>6</v>
      </c>
      <c r="B805" t="s">
        <v>92</v>
      </c>
      <c r="E805" t="s">
        <v>51</v>
      </c>
      <c r="F805">
        <v>1361611</v>
      </c>
      <c r="G805">
        <v>4</v>
      </c>
      <c r="H805">
        <v>3</v>
      </c>
      <c r="I805">
        <v>583</v>
      </c>
      <c r="J805">
        <v>2022</v>
      </c>
      <c r="K805" s="4">
        <v>44170</v>
      </c>
      <c r="L805" t="s">
        <v>30</v>
      </c>
      <c r="M805" t="s">
        <v>31</v>
      </c>
      <c r="N805">
        <v>2.61</v>
      </c>
      <c r="O805">
        <v>1792</v>
      </c>
      <c r="P805">
        <v>4.18</v>
      </c>
      <c r="Q805">
        <v>357</v>
      </c>
      <c r="R805">
        <v>393</v>
      </c>
    </row>
    <row r="806" spans="1:18" x14ac:dyDescent="0.2">
      <c r="A806">
        <v>9</v>
      </c>
      <c r="B806" t="s">
        <v>92</v>
      </c>
      <c r="E806" t="s">
        <v>29</v>
      </c>
      <c r="F806">
        <v>447706</v>
      </c>
      <c r="G806">
        <v>3</v>
      </c>
      <c r="H806">
        <v>1</v>
      </c>
      <c r="I806">
        <v>214</v>
      </c>
      <c r="J806">
        <v>2001</v>
      </c>
      <c r="K806" s="4">
        <v>44289</v>
      </c>
      <c r="L806" t="s">
        <v>23</v>
      </c>
      <c r="M806" t="s">
        <v>60</v>
      </c>
      <c r="N806">
        <v>2.98</v>
      </c>
      <c r="O806">
        <v>1206</v>
      </c>
      <c r="P806">
        <v>1.79</v>
      </c>
      <c r="Q806">
        <v>201</v>
      </c>
      <c r="R806">
        <v>507</v>
      </c>
    </row>
    <row r="807" spans="1:18" x14ac:dyDescent="0.2">
      <c r="A807">
        <v>6</v>
      </c>
      <c r="B807" t="s">
        <v>72</v>
      </c>
      <c r="E807" t="s">
        <v>19</v>
      </c>
      <c r="F807">
        <v>2886730</v>
      </c>
      <c r="G807">
        <v>3</v>
      </c>
      <c r="H807">
        <v>1</v>
      </c>
      <c r="I807">
        <v>952</v>
      </c>
      <c r="J807">
        <v>1957</v>
      </c>
      <c r="K807" s="4">
        <v>45533</v>
      </c>
      <c r="L807" t="s">
        <v>23</v>
      </c>
      <c r="M807" t="s">
        <v>45</v>
      </c>
      <c r="N807">
        <v>2.94</v>
      </c>
      <c r="O807">
        <v>1555</v>
      </c>
      <c r="P807">
        <v>3.73</v>
      </c>
      <c r="Q807">
        <v>191</v>
      </c>
      <c r="R807">
        <v>542</v>
      </c>
    </row>
    <row r="808" spans="1:18" x14ac:dyDescent="0.2">
      <c r="A808">
        <v>9</v>
      </c>
      <c r="B808" t="s">
        <v>81</v>
      </c>
      <c r="E808" t="s">
        <v>36</v>
      </c>
      <c r="F808">
        <v>664083</v>
      </c>
      <c r="G808">
        <v>4</v>
      </c>
      <c r="H808">
        <v>1</v>
      </c>
      <c r="I808">
        <v>792</v>
      </c>
      <c r="J808">
        <v>2000</v>
      </c>
      <c r="K808" s="4">
        <v>45049</v>
      </c>
      <c r="L808" t="s">
        <v>23</v>
      </c>
      <c r="M808" t="s">
        <v>63</v>
      </c>
      <c r="N808">
        <v>1.94</v>
      </c>
      <c r="O808">
        <v>1564</v>
      </c>
      <c r="P808">
        <v>1.53</v>
      </c>
      <c r="Q808">
        <v>287</v>
      </c>
      <c r="R808">
        <v>612</v>
      </c>
    </row>
    <row r="809" spans="1:18" x14ac:dyDescent="0.2">
      <c r="A809">
        <v>1</v>
      </c>
      <c r="B809" t="s">
        <v>96</v>
      </c>
      <c r="E809" t="s">
        <v>19</v>
      </c>
      <c r="F809">
        <v>2125721</v>
      </c>
      <c r="G809">
        <v>5</v>
      </c>
      <c r="H809">
        <v>3</v>
      </c>
      <c r="I809">
        <v>989</v>
      </c>
      <c r="J809">
        <v>1972</v>
      </c>
      <c r="K809" s="4">
        <v>44887</v>
      </c>
      <c r="L809" t="s">
        <v>30</v>
      </c>
      <c r="M809" t="s">
        <v>85</v>
      </c>
      <c r="N809">
        <v>3.15</v>
      </c>
      <c r="O809">
        <v>1162</v>
      </c>
      <c r="P809">
        <v>3.23</v>
      </c>
      <c r="Q809">
        <v>347</v>
      </c>
      <c r="R809">
        <v>487</v>
      </c>
    </row>
    <row r="810" spans="1:18" x14ac:dyDescent="0.2">
      <c r="A810">
        <v>9</v>
      </c>
      <c r="B810" t="s">
        <v>22</v>
      </c>
      <c r="E810" t="s">
        <v>36</v>
      </c>
      <c r="F810">
        <v>1690220</v>
      </c>
      <c r="G810">
        <v>6</v>
      </c>
      <c r="H810">
        <v>1</v>
      </c>
      <c r="I810">
        <v>504</v>
      </c>
      <c r="J810">
        <v>1985</v>
      </c>
      <c r="K810" s="4">
        <v>45022</v>
      </c>
      <c r="L810" t="s">
        <v>26</v>
      </c>
      <c r="M810" t="s">
        <v>69</v>
      </c>
      <c r="N810">
        <v>3.11</v>
      </c>
      <c r="O810">
        <v>1000</v>
      </c>
      <c r="P810">
        <v>2.35</v>
      </c>
      <c r="Q810">
        <v>368</v>
      </c>
      <c r="R810">
        <v>578</v>
      </c>
    </row>
    <row r="811" spans="1:18" x14ac:dyDescent="0.2">
      <c r="A811">
        <v>2</v>
      </c>
      <c r="B811" t="s">
        <v>18</v>
      </c>
      <c r="E811" t="s">
        <v>51</v>
      </c>
      <c r="F811">
        <v>944111</v>
      </c>
      <c r="G811">
        <v>5</v>
      </c>
      <c r="H811">
        <v>1</v>
      </c>
      <c r="I811">
        <v>718</v>
      </c>
      <c r="J811">
        <v>2006</v>
      </c>
      <c r="K811" s="4">
        <v>45243</v>
      </c>
      <c r="L811" t="s">
        <v>30</v>
      </c>
      <c r="M811" t="s">
        <v>37</v>
      </c>
      <c r="N811">
        <v>3.34</v>
      </c>
      <c r="O811">
        <v>2127</v>
      </c>
      <c r="P811">
        <v>3.49</v>
      </c>
      <c r="Q811">
        <v>287</v>
      </c>
      <c r="R811">
        <v>478</v>
      </c>
    </row>
    <row r="812" spans="1:18" x14ac:dyDescent="0.2">
      <c r="A812">
        <v>8</v>
      </c>
      <c r="B812" t="s">
        <v>64</v>
      </c>
      <c r="E812" t="s">
        <v>29</v>
      </c>
      <c r="F812">
        <v>1939588</v>
      </c>
      <c r="G812">
        <v>4</v>
      </c>
      <c r="H812">
        <v>2</v>
      </c>
      <c r="I812">
        <v>790</v>
      </c>
      <c r="J812">
        <v>1960</v>
      </c>
      <c r="K812" s="4">
        <v>44980</v>
      </c>
      <c r="L812" t="s">
        <v>23</v>
      </c>
      <c r="M812" t="s">
        <v>59</v>
      </c>
      <c r="N812">
        <v>3.07</v>
      </c>
      <c r="O812">
        <v>1618</v>
      </c>
      <c r="P812">
        <v>3.41</v>
      </c>
      <c r="Q812">
        <v>161</v>
      </c>
      <c r="R812">
        <v>478</v>
      </c>
    </row>
    <row r="813" spans="1:18" x14ac:dyDescent="0.2">
      <c r="A813">
        <v>0</v>
      </c>
      <c r="B813" t="s">
        <v>105</v>
      </c>
      <c r="E813" t="s">
        <v>51</v>
      </c>
      <c r="F813">
        <v>2606998</v>
      </c>
      <c r="G813">
        <v>5</v>
      </c>
      <c r="H813">
        <v>3</v>
      </c>
      <c r="I813">
        <v>435</v>
      </c>
      <c r="J813">
        <v>2000</v>
      </c>
      <c r="K813" s="4">
        <v>44748</v>
      </c>
      <c r="L813" t="s">
        <v>26</v>
      </c>
      <c r="M813" t="s">
        <v>58</v>
      </c>
      <c r="N813">
        <v>1.95</v>
      </c>
      <c r="O813">
        <v>1766</v>
      </c>
      <c r="P813">
        <v>4.1100000000000003</v>
      </c>
      <c r="Q813">
        <v>397</v>
      </c>
      <c r="R813">
        <v>629</v>
      </c>
    </row>
    <row r="814" spans="1:18" x14ac:dyDescent="0.2">
      <c r="A814">
        <v>3</v>
      </c>
      <c r="B814" t="s">
        <v>81</v>
      </c>
      <c r="E814" t="s">
        <v>36</v>
      </c>
      <c r="F814">
        <v>2772524</v>
      </c>
      <c r="G814">
        <v>4</v>
      </c>
      <c r="H814">
        <v>3</v>
      </c>
      <c r="I814">
        <v>614</v>
      </c>
      <c r="J814">
        <v>1992</v>
      </c>
      <c r="K814" s="4">
        <v>44069</v>
      </c>
      <c r="L814" t="s">
        <v>23</v>
      </c>
      <c r="M814" t="s">
        <v>89</v>
      </c>
      <c r="N814">
        <v>3.19</v>
      </c>
      <c r="O814">
        <v>1150</v>
      </c>
      <c r="P814">
        <v>2.9</v>
      </c>
      <c r="Q814">
        <v>191</v>
      </c>
      <c r="R814">
        <v>455</v>
      </c>
    </row>
    <row r="815" spans="1:18" x14ac:dyDescent="0.2">
      <c r="A815">
        <v>6</v>
      </c>
      <c r="B815" t="s">
        <v>84</v>
      </c>
      <c r="E815" t="s">
        <v>51</v>
      </c>
      <c r="F815">
        <v>1124281</v>
      </c>
      <c r="G815">
        <v>3</v>
      </c>
      <c r="H815">
        <v>1</v>
      </c>
      <c r="I815">
        <v>670</v>
      </c>
      <c r="J815">
        <v>1965</v>
      </c>
      <c r="K815" s="4">
        <v>44775</v>
      </c>
      <c r="L815" t="s">
        <v>26</v>
      </c>
      <c r="M815" t="s">
        <v>31</v>
      </c>
      <c r="N815">
        <v>3.48</v>
      </c>
      <c r="O815">
        <v>1623</v>
      </c>
      <c r="P815">
        <v>1.08</v>
      </c>
      <c r="Q815">
        <v>249</v>
      </c>
      <c r="R815">
        <v>614</v>
      </c>
    </row>
    <row r="816" spans="1:18" x14ac:dyDescent="0.2">
      <c r="A816">
        <v>5</v>
      </c>
      <c r="B816" t="s">
        <v>94</v>
      </c>
      <c r="E816" t="s">
        <v>29</v>
      </c>
      <c r="F816">
        <v>888981</v>
      </c>
      <c r="G816">
        <v>6</v>
      </c>
      <c r="H816">
        <v>3</v>
      </c>
      <c r="I816">
        <v>692</v>
      </c>
      <c r="J816">
        <v>1985</v>
      </c>
      <c r="K816" s="4">
        <v>44741</v>
      </c>
      <c r="L816" t="s">
        <v>30</v>
      </c>
      <c r="M816" t="s">
        <v>82</v>
      </c>
      <c r="N816">
        <v>3.41</v>
      </c>
      <c r="O816">
        <v>1115</v>
      </c>
      <c r="P816">
        <v>0.98</v>
      </c>
      <c r="Q816">
        <v>398</v>
      </c>
      <c r="R816">
        <v>377</v>
      </c>
    </row>
    <row r="817" spans="1:18" x14ac:dyDescent="0.2">
      <c r="A817">
        <v>4</v>
      </c>
      <c r="B817" t="s">
        <v>81</v>
      </c>
      <c r="E817" t="s">
        <v>29</v>
      </c>
      <c r="F817">
        <v>1896830</v>
      </c>
      <c r="G817">
        <v>4</v>
      </c>
      <c r="H817">
        <v>2</v>
      </c>
      <c r="I817">
        <v>963</v>
      </c>
      <c r="J817">
        <v>2001</v>
      </c>
      <c r="K817" s="4">
        <v>45169</v>
      </c>
      <c r="L817" t="s">
        <v>26</v>
      </c>
      <c r="M817" t="s">
        <v>82</v>
      </c>
      <c r="N817">
        <v>1.56</v>
      </c>
      <c r="O817">
        <v>1238</v>
      </c>
      <c r="P817">
        <v>1.33</v>
      </c>
      <c r="Q817">
        <v>178</v>
      </c>
      <c r="R817">
        <v>555</v>
      </c>
    </row>
    <row r="818" spans="1:18" x14ac:dyDescent="0.2">
      <c r="A818">
        <v>1</v>
      </c>
      <c r="B818" t="s">
        <v>46</v>
      </c>
      <c r="E818" t="s">
        <v>19</v>
      </c>
      <c r="F818">
        <v>1017597</v>
      </c>
      <c r="G818">
        <v>3</v>
      </c>
      <c r="H818">
        <v>2</v>
      </c>
      <c r="I818">
        <v>620</v>
      </c>
      <c r="J818">
        <v>1995</v>
      </c>
      <c r="K818" s="4">
        <v>44481</v>
      </c>
      <c r="L818" t="s">
        <v>30</v>
      </c>
      <c r="M818" t="s">
        <v>35</v>
      </c>
      <c r="N818">
        <v>3.3</v>
      </c>
      <c r="O818">
        <v>2113</v>
      </c>
      <c r="P818">
        <v>3.64</v>
      </c>
      <c r="Q818">
        <v>249</v>
      </c>
      <c r="R818">
        <v>533</v>
      </c>
    </row>
    <row r="819" spans="1:18" x14ac:dyDescent="0.2">
      <c r="A819">
        <v>2</v>
      </c>
      <c r="B819" t="s">
        <v>44</v>
      </c>
      <c r="E819" t="s">
        <v>36</v>
      </c>
      <c r="F819">
        <v>2631733</v>
      </c>
      <c r="G819">
        <v>3</v>
      </c>
      <c r="H819">
        <v>2</v>
      </c>
      <c r="I819">
        <v>453</v>
      </c>
      <c r="J819">
        <v>1993</v>
      </c>
      <c r="K819" s="4">
        <v>44308</v>
      </c>
      <c r="L819" t="s">
        <v>30</v>
      </c>
      <c r="M819" t="s">
        <v>77</v>
      </c>
      <c r="N819">
        <v>3.06</v>
      </c>
      <c r="O819">
        <v>2238</v>
      </c>
      <c r="P819">
        <v>4.92</v>
      </c>
      <c r="Q819">
        <v>185</v>
      </c>
      <c r="R819">
        <v>336</v>
      </c>
    </row>
    <row r="820" spans="1:18" x14ac:dyDescent="0.2">
      <c r="A820">
        <v>9</v>
      </c>
      <c r="B820" t="s">
        <v>43</v>
      </c>
      <c r="E820" t="s">
        <v>51</v>
      </c>
      <c r="F820">
        <v>2474892</v>
      </c>
      <c r="G820">
        <v>2</v>
      </c>
      <c r="H820">
        <v>3</v>
      </c>
      <c r="I820">
        <v>255</v>
      </c>
      <c r="J820">
        <v>2000</v>
      </c>
      <c r="K820" s="4">
        <v>44066</v>
      </c>
      <c r="L820" t="s">
        <v>20</v>
      </c>
      <c r="M820" t="s">
        <v>66</v>
      </c>
      <c r="N820">
        <v>2.17</v>
      </c>
      <c r="O820">
        <v>2466</v>
      </c>
      <c r="P820">
        <v>1.8</v>
      </c>
      <c r="Q820">
        <v>206</v>
      </c>
      <c r="R820">
        <v>345</v>
      </c>
    </row>
    <row r="821" spans="1:18" x14ac:dyDescent="0.2">
      <c r="A821">
        <v>3</v>
      </c>
      <c r="B821" t="s">
        <v>67</v>
      </c>
      <c r="E821" t="s">
        <v>29</v>
      </c>
      <c r="F821">
        <v>1785495</v>
      </c>
      <c r="G821">
        <v>3</v>
      </c>
      <c r="H821">
        <v>1</v>
      </c>
      <c r="I821">
        <v>853</v>
      </c>
      <c r="J821">
        <v>2003</v>
      </c>
      <c r="K821" s="4">
        <v>44305</v>
      </c>
      <c r="L821" t="s">
        <v>30</v>
      </c>
      <c r="M821" t="s">
        <v>37</v>
      </c>
      <c r="N821">
        <v>2.66</v>
      </c>
      <c r="O821">
        <v>1813</v>
      </c>
      <c r="P821">
        <v>4.49</v>
      </c>
      <c r="Q821">
        <v>93</v>
      </c>
      <c r="R821">
        <v>370</v>
      </c>
    </row>
    <row r="822" spans="1:18" x14ac:dyDescent="0.2">
      <c r="A822">
        <v>4</v>
      </c>
      <c r="B822" t="s">
        <v>87</v>
      </c>
      <c r="E822" t="s">
        <v>51</v>
      </c>
      <c r="F822">
        <v>693175</v>
      </c>
      <c r="G822">
        <v>1</v>
      </c>
      <c r="H822">
        <v>3</v>
      </c>
      <c r="I822">
        <v>841</v>
      </c>
      <c r="J822">
        <v>2019</v>
      </c>
      <c r="K822" s="4">
        <v>45763</v>
      </c>
      <c r="L822" t="s">
        <v>30</v>
      </c>
      <c r="M822" t="s">
        <v>74</v>
      </c>
      <c r="N822">
        <v>2.15</v>
      </c>
      <c r="O822">
        <v>1168</v>
      </c>
      <c r="P822">
        <v>0.38</v>
      </c>
      <c r="Q822">
        <v>91</v>
      </c>
      <c r="R822">
        <v>500</v>
      </c>
    </row>
    <row r="823" spans="1:18" x14ac:dyDescent="0.2">
      <c r="A823">
        <v>8</v>
      </c>
      <c r="B823" t="s">
        <v>106</v>
      </c>
      <c r="E823" t="s">
        <v>29</v>
      </c>
      <c r="F823">
        <v>1320577</v>
      </c>
      <c r="G823">
        <v>2</v>
      </c>
      <c r="H823">
        <v>3</v>
      </c>
      <c r="I823">
        <v>470</v>
      </c>
      <c r="J823">
        <v>1966</v>
      </c>
      <c r="K823" s="4">
        <v>45787</v>
      </c>
      <c r="L823" t="s">
        <v>30</v>
      </c>
      <c r="M823" t="s">
        <v>68</v>
      </c>
      <c r="N823">
        <v>1.87</v>
      </c>
      <c r="O823">
        <v>870</v>
      </c>
      <c r="P823">
        <v>1.35</v>
      </c>
      <c r="Q823">
        <v>195</v>
      </c>
      <c r="R823">
        <v>430</v>
      </c>
    </row>
    <row r="824" spans="1:18" x14ac:dyDescent="0.2">
      <c r="A824">
        <v>2</v>
      </c>
      <c r="B824" t="s">
        <v>94</v>
      </c>
      <c r="E824" t="s">
        <v>19</v>
      </c>
      <c r="F824">
        <v>814500</v>
      </c>
      <c r="G824">
        <v>3</v>
      </c>
      <c r="H824">
        <v>1</v>
      </c>
      <c r="I824">
        <v>283</v>
      </c>
      <c r="J824">
        <v>1956</v>
      </c>
      <c r="K824" s="4">
        <v>44161</v>
      </c>
      <c r="L824" t="s">
        <v>20</v>
      </c>
      <c r="M824" t="s">
        <v>68</v>
      </c>
      <c r="N824">
        <v>2.91</v>
      </c>
      <c r="O824">
        <v>1291</v>
      </c>
      <c r="P824">
        <v>1.25</v>
      </c>
      <c r="Q824">
        <v>245</v>
      </c>
      <c r="R824">
        <v>380</v>
      </c>
    </row>
    <row r="825" spans="1:18" x14ac:dyDescent="0.2">
      <c r="A825">
        <v>5</v>
      </c>
      <c r="B825" t="s">
        <v>91</v>
      </c>
      <c r="E825" t="s">
        <v>29</v>
      </c>
      <c r="F825">
        <v>2721842</v>
      </c>
      <c r="G825">
        <v>3</v>
      </c>
      <c r="H825">
        <v>3</v>
      </c>
      <c r="I825">
        <v>112</v>
      </c>
      <c r="J825">
        <v>1970</v>
      </c>
      <c r="K825" s="4">
        <v>44774</v>
      </c>
      <c r="L825" t="s">
        <v>30</v>
      </c>
      <c r="M825" t="s">
        <v>74</v>
      </c>
      <c r="N825">
        <v>2.16</v>
      </c>
      <c r="O825">
        <v>2250</v>
      </c>
      <c r="P825">
        <v>0.79</v>
      </c>
      <c r="Q825">
        <v>267</v>
      </c>
      <c r="R825">
        <v>421</v>
      </c>
    </row>
    <row r="826" spans="1:18" x14ac:dyDescent="0.2">
      <c r="A826">
        <v>1</v>
      </c>
      <c r="B826" t="s">
        <v>98</v>
      </c>
      <c r="E826" t="s">
        <v>19</v>
      </c>
      <c r="F826">
        <v>1979656</v>
      </c>
      <c r="G826">
        <v>3</v>
      </c>
      <c r="H826">
        <v>3</v>
      </c>
      <c r="I826">
        <v>312</v>
      </c>
      <c r="J826">
        <v>2011</v>
      </c>
      <c r="K826" s="4">
        <v>45551</v>
      </c>
      <c r="L826" t="s">
        <v>20</v>
      </c>
      <c r="M826" t="s">
        <v>89</v>
      </c>
      <c r="N826">
        <v>1.98</v>
      </c>
      <c r="O826">
        <v>2042</v>
      </c>
      <c r="P826">
        <v>3.63</v>
      </c>
      <c r="Q826">
        <v>153</v>
      </c>
      <c r="R826">
        <v>554</v>
      </c>
    </row>
    <row r="827" spans="1:18" x14ac:dyDescent="0.2">
      <c r="A827">
        <v>9</v>
      </c>
      <c r="B827" t="s">
        <v>43</v>
      </c>
      <c r="E827" t="s">
        <v>36</v>
      </c>
      <c r="F827">
        <v>1165331</v>
      </c>
      <c r="G827">
        <v>4</v>
      </c>
      <c r="H827">
        <v>1</v>
      </c>
      <c r="I827">
        <v>660</v>
      </c>
      <c r="J827">
        <v>1960</v>
      </c>
      <c r="K827" s="4">
        <v>44299</v>
      </c>
      <c r="L827" t="s">
        <v>23</v>
      </c>
      <c r="M827" t="s">
        <v>97</v>
      </c>
      <c r="N827">
        <v>2.84</v>
      </c>
      <c r="O827">
        <v>1520</v>
      </c>
      <c r="P827">
        <v>0.55000000000000004</v>
      </c>
      <c r="Q827">
        <v>389</v>
      </c>
      <c r="R827">
        <v>356</v>
      </c>
    </row>
    <row r="828" spans="1:18" x14ac:dyDescent="0.2">
      <c r="A828">
        <v>3</v>
      </c>
      <c r="B828" t="s">
        <v>100</v>
      </c>
      <c r="E828" t="s">
        <v>36</v>
      </c>
      <c r="F828">
        <v>2675112</v>
      </c>
      <c r="G828">
        <v>3</v>
      </c>
      <c r="H828">
        <v>2</v>
      </c>
      <c r="I828">
        <v>540</v>
      </c>
      <c r="J828">
        <v>1990</v>
      </c>
      <c r="K828" s="4">
        <v>44164</v>
      </c>
      <c r="L828" t="s">
        <v>30</v>
      </c>
      <c r="M828" t="s">
        <v>60</v>
      </c>
      <c r="N828">
        <v>3.37</v>
      </c>
      <c r="O828">
        <v>1311</v>
      </c>
      <c r="P828">
        <v>0.4</v>
      </c>
      <c r="Q828">
        <v>192</v>
      </c>
      <c r="R828">
        <v>699</v>
      </c>
    </row>
    <row r="829" spans="1:18" x14ac:dyDescent="0.2">
      <c r="A829">
        <v>0</v>
      </c>
      <c r="B829" t="s">
        <v>39</v>
      </c>
      <c r="E829" t="s">
        <v>19</v>
      </c>
      <c r="F829">
        <v>617616</v>
      </c>
      <c r="G829">
        <v>3</v>
      </c>
      <c r="H829">
        <v>2</v>
      </c>
      <c r="I829">
        <v>441</v>
      </c>
      <c r="J829">
        <v>2019</v>
      </c>
      <c r="K829" s="4">
        <v>44372</v>
      </c>
      <c r="L829" t="s">
        <v>20</v>
      </c>
      <c r="M829" t="s">
        <v>66</v>
      </c>
      <c r="N829">
        <v>2.33</v>
      </c>
      <c r="O829">
        <v>1644</v>
      </c>
      <c r="P829">
        <v>0.71</v>
      </c>
      <c r="Q829">
        <v>267</v>
      </c>
      <c r="R829">
        <v>411</v>
      </c>
    </row>
    <row r="830" spans="1:18" x14ac:dyDescent="0.2">
      <c r="A830">
        <v>1</v>
      </c>
      <c r="B830" t="s">
        <v>57</v>
      </c>
      <c r="E830" t="s">
        <v>36</v>
      </c>
      <c r="F830">
        <v>562083</v>
      </c>
      <c r="G830">
        <v>3</v>
      </c>
      <c r="H830">
        <v>1</v>
      </c>
      <c r="I830">
        <v>477</v>
      </c>
      <c r="J830">
        <v>1974</v>
      </c>
      <c r="K830" s="4">
        <v>44449</v>
      </c>
      <c r="L830" t="s">
        <v>23</v>
      </c>
      <c r="M830" t="s">
        <v>59</v>
      </c>
      <c r="N830">
        <v>1.52</v>
      </c>
      <c r="O830">
        <v>1147</v>
      </c>
      <c r="P830">
        <v>4.53</v>
      </c>
      <c r="Q830">
        <v>152</v>
      </c>
      <c r="R830">
        <v>478</v>
      </c>
    </row>
    <row r="831" spans="1:18" x14ac:dyDescent="0.2">
      <c r="A831">
        <v>4</v>
      </c>
      <c r="B831" t="s">
        <v>39</v>
      </c>
      <c r="E831" t="s">
        <v>29</v>
      </c>
      <c r="F831">
        <v>497561</v>
      </c>
      <c r="G831">
        <v>2</v>
      </c>
      <c r="H831">
        <v>3</v>
      </c>
      <c r="I831">
        <v>731</v>
      </c>
      <c r="J831">
        <v>1968</v>
      </c>
      <c r="K831" s="4">
        <v>44429</v>
      </c>
      <c r="L831" t="s">
        <v>26</v>
      </c>
      <c r="M831" t="s">
        <v>76</v>
      </c>
      <c r="N831">
        <v>3.49</v>
      </c>
      <c r="O831">
        <v>1182</v>
      </c>
      <c r="P831">
        <v>2.94</v>
      </c>
      <c r="Q831">
        <v>102</v>
      </c>
      <c r="R831">
        <v>576</v>
      </c>
    </row>
    <row r="832" spans="1:18" x14ac:dyDescent="0.2">
      <c r="A832">
        <v>4</v>
      </c>
      <c r="B832" t="s">
        <v>96</v>
      </c>
      <c r="E832" t="s">
        <v>29</v>
      </c>
      <c r="F832">
        <v>2602715</v>
      </c>
      <c r="G832">
        <v>6</v>
      </c>
      <c r="H832">
        <v>1</v>
      </c>
      <c r="I832">
        <v>63</v>
      </c>
      <c r="J832">
        <v>1993</v>
      </c>
      <c r="K832" s="4">
        <v>44591</v>
      </c>
      <c r="L832" t="s">
        <v>26</v>
      </c>
      <c r="M832" t="s">
        <v>89</v>
      </c>
      <c r="N832">
        <v>3.31</v>
      </c>
      <c r="O832">
        <v>1482</v>
      </c>
      <c r="P832">
        <v>2.06</v>
      </c>
      <c r="Q832">
        <v>381</v>
      </c>
      <c r="R832">
        <v>355</v>
      </c>
    </row>
    <row r="833" spans="1:18" x14ac:dyDescent="0.2">
      <c r="A833">
        <v>4</v>
      </c>
      <c r="B833" t="s">
        <v>71</v>
      </c>
      <c r="E833" t="s">
        <v>51</v>
      </c>
      <c r="F833">
        <v>449276</v>
      </c>
      <c r="G833">
        <v>5</v>
      </c>
      <c r="H833">
        <v>1</v>
      </c>
      <c r="I833">
        <v>748</v>
      </c>
      <c r="J833">
        <v>2008</v>
      </c>
      <c r="K833" s="4">
        <v>45271</v>
      </c>
      <c r="L833" t="s">
        <v>20</v>
      </c>
      <c r="M833" t="s">
        <v>63</v>
      </c>
      <c r="N833">
        <v>2.58</v>
      </c>
      <c r="O833">
        <v>1235</v>
      </c>
      <c r="P833">
        <v>0.84</v>
      </c>
      <c r="Q833">
        <v>400</v>
      </c>
      <c r="R833">
        <v>687</v>
      </c>
    </row>
    <row r="834" spans="1:18" x14ac:dyDescent="0.2">
      <c r="A834">
        <v>4</v>
      </c>
      <c r="B834" t="s">
        <v>96</v>
      </c>
      <c r="E834" t="s">
        <v>29</v>
      </c>
      <c r="F834">
        <v>2672002</v>
      </c>
      <c r="G834">
        <v>2</v>
      </c>
      <c r="H834">
        <v>3</v>
      </c>
      <c r="I834">
        <v>711</v>
      </c>
      <c r="J834">
        <v>1993</v>
      </c>
      <c r="K834" s="4">
        <v>44505</v>
      </c>
      <c r="L834" t="s">
        <v>30</v>
      </c>
      <c r="M834" t="s">
        <v>33</v>
      </c>
      <c r="N834">
        <v>3.21</v>
      </c>
      <c r="O834">
        <v>1139</v>
      </c>
      <c r="P834">
        <v>1.25</v>
      </c>
      <c r="Q834">
        <v>50</v>
      </c>
      <c r="R834">
        <v>532</v>
      </c>
    </row>
    <row r="835" spans="1:18" x14ac:dyDescent="0.2">
      <c r="A835">
        <v>7</v>
      </c>
      <c r="B835" t="s">
        <v>64</v>
      </c>
      <c r="E835" t="s">
        <v>36</v>
      </c>
      <c r="F835">
        <v>872956</v>
      </c>
      <c r="G835">
        <v>2</v>
      </c>
      <c r="H835">
        <v>2</v>
      </c>
      <c r="I835">
        <v>797</v>
      </c>
      <c r="J835">
        <v>2002</v>
      </c>
      <c r="K835" s="4">
        <v>45096</v>
      </c>
      <c r="L835" t="s">
        <v>20</v>
      </c>
      <c r="M835" t="s">
        <v>58</v>
      </c>
      <c r="N835">
        <v>2.2400000000000002</v>
      </c>
      <c r="O835">
        <v>2395</v>
      </c>
      <c r="P835">
        <v>1.2</v>
      </c>
      <c r="Q835">
        <v>136</v>
      </c>
      <c r="R835">
        <v>495</v>
      </c>
    </row>
    <row r="836" spans="1:18" x14ac:dyDescent="0.2">
      <c r="A836">
        <v>4</v>
      </c>
      <c r="B836" t="s">
        <v>92</v>
      </c>
      <c r="E836" t="s">
        <v>19</v>
      </c>
      <c r="F836">
        <v>642612</v>
      </c>
      <c r="G836">
        <v>3</v>
      </c>
      <c r="H836">
        <v>2</v>
      </c>
      <c r="I836">
        <v>849</v>
      </c>
      <c r="J836">
        <v>1958</v>
      </c>
      <c r="K836" s="4">
        <v>45673</v>
      </c>
      <c r="L836" t="s">
        <v>26</v>
      </c>
      <c r="M836" t="s">
        <v>54</v>
      </c>
      <c r="N836">
        <v>1.94</v>
      </c>
      <c r="O836">
        <v>1666</v>
      </c>
      <c r="P836">
        <v>1.08</v>
      </c>
      <c r="Q836">
        <v>290</v>
      </c>
      <c r="R836">
        <v>429</v>
      </c>
    </row>
    <row r="837" spans="1:18" x14ac:dyDescent="0.2">
      <c r="A837">
        <v>8</v>
      </c>
      <c r="B837" t="s">
        <v>48</v>
      </c>
      <c r="E837" t="s">
        <v>51</v>
      </c>
      <c r="F837">
        <v>2626318</v>
      </c>
      <c r="G837">
        <v>4</v>
      </c>
      <c r="H837">
        <v>2</v>
      </c>
      <c r="I837">
        <v>780</v>
      </c>
      <c r="J837">
        <v>1993</v>
      </c>
      <c r="K837" s="4">
        <v>44088</v>
      </c>
      <c r="L837" t="s">
        <v>30</v>
      </c>
      <c r="M837" t="s">
        <v>76</v>
      </c>
      <c r="N837">
        <v>3.15</v>
      </c>
      <c r="O837">
        <v>1382</v>
      </c>
      <c r="P837">
        <v>4.13</v>
      </c>
      <c r="Q837">
        <v>267</v>
      </c>
      <c r="R837">
        <v>441</v>
      </c>
    </row>
    <row r="838" spans="1:18" x14ac:dyDescent="0.2">
      <c r="A838">
        <v>9</v>
      </c>
      <c r="B838" t="s">
        <v>53</v>
      </c>
      <c r="E838" t="s">
        <v>19</v>
      </c>
      <c r="F838">
        <v>1790619</v>
      </c>
      <c r="G838">
        <v>4</v>
      </c>
      <c r="H838">
        <v>2</v>
      </c>
      <c r="I838">
        <v>60</v>
      </c>
      <c r="J838">
        <v>2007</v>
      </c>
      <c r="K838" s="4">
        <v>44275</v>
      </c>
      <c r="L838" t="s">
        <v>26</v>
      </c>
      <c r="M838" t="s">
        <v>56</v>
      </c>
      <c r="N838">
        <v>1.86</v>
      </c>
      <c r="O838">
        <v>1041</v>
      </c>
      <c r="P838">
        <v>1.59</v>
      </c>
      <c r="Q838">
        <v>185</v>
      </c>
      <c r="R838">
        <v>349</v>
      </c>
    </row>
    <row r="839" spans="1:18" x14ac:dyDescent="0.2">
      <c r="A839">
        <v>8</v>
      </c>
      <c r="B839" t="s">
        <v>18</v>
      </c>
      <c r="E839" t="s">
        <v>29</v>
      </c>
      <c r="F839">
        <v>889504</v>
      </c>
      <c r="G839">
        <v>2</v>
      </c>
      <c r="H839">
        <v>1</v>
      </c>
      <c r="I839">
        <v>70</v>
      </c>
      <c r="J839">
        <v>1993</v>
      </c>
      <c r="K839" s="4">
        <v>44827</v>
      </c>
      <c r="L839" t="s">
        <v>26</v>
      </c>
      <c r="M839" t="s">
        <v>54</v>
      </c>
      <c r="N839">
        <v>2.2799999999999998</v>
      </c>
      <c r="O839">
        <v>1830</v>
      </c>
      <c r="P839">
        <v>2.56</v>
      </c>
      <c r="Q839">
        <v>192</v>
      </c>
      <c r="R839">
        <v>638</v>
      </c>
    </row>
    <row r="840" spans="1:18" x14ac:dyDescent="0.2">
      <c r="A840">
        <v>7</v>
      </c>
      <c r="B840" t="s">
        <v>55</v>
      </c>
      <c r="E840" t="s">
        <v>51</v>
      </c>
      <c r="F840">
        <v>777804</v>
      </c>
      <c r="G840">
        <v>1</v>
      </c>
      <c r="H840">
        <v>3</v>
      </c>
      <c r="I840">
        <v>885</v>
      </c>
      <c r="J840">
        <v>1972</v>
      </c>
      <c r="K840" s="4">
        <v>45488</v>
      </c>
      <c r="L840" t="s">
        <v>23</v>
      </c>
      <c r="M840" t="s">
        <v>85</v>
      </c>
      <c r="N840">
        <v>1.83</v>
      </c>
      <c r="O840">
        <v>940</v>
      </c>
      <c r="P840">
        <v>4.54</v>
      </c>
      <c r="Q840">
        <v>68</v>
      </c>
      <c r="R840">
        <v>397</v>
      </c>
    </row>
    <row r="841" spans="1:18" x14ac:dyDescent="0.2">
      <c r="A841">
        <v>9</v>
      </c>
      <c r="B841" t="s">
        <v>67</v>
      </c>
      <c r="E841" t="s">
        <v>51</v>
      </c>
      <c r="F841">
        <v>1311803</v>
      </c>
      <c r="G841">
        <v>3</v>
      </c>
      <c r="H841">
        <v>2</v>
      </c>
      <c r="I841">
        <v>834</v>
      </c>
      <c r="J841">
        <v>2021</v>
      </c>
      <c r="K841" s="4">
        <v>45116</v>
      </c>
      <c r="L841" t="s">
        <v>30</v>
      </c>
      <c r="M841" t="s">
        <v>69</v>
      </c>
      <c r="N841">
        <v>2.94</v>
      </c>
      <c r="O841">
        <v>2284</v>
      </c>
      <c r="P841">
        <v>0.65</v>
      </c>
      <c r="Q841">
        <v>116</v>
      </c>
      <c r="R841">
        <v>498</v>
      </c>
    </row>
    <row r="842" spans="1:18" x14ac:dyDescent="0.2">
      <c r="A842">
        <v>1</v>
      </c>
      <c r="B842" t="s">
        <v>57</v>
      </c>
      <c r="E842" t="s">
        <v>51</v>
      </c>
      <c r="F842">
        <v>523299</v>
      </c>
      <c r="G842">
        <v>4</v>
      </c>
      <c r="H842">
        <v>1</v>
      </c>
      <c r="I842">
        <v>761</v>
      </c>
      <c r="J842">
        <v>2021</v>
      </c>
      <c r="K842" s="4">
        <v>45864</v>
      </c>
      <c r="L842" t="s">
        <v>26</v>
      </c>
      <c r="M842" t="s">
        <v>21</v>
      </c>
      <c r="N842">
        <v>2.72</v>
      </c>
      <c r="O842">
        <v>1584</v>
      </c>
      <c r="P842">
        <v>4.8600000000000003</v>
      </c>
      <c r="Q842">
        <v>313</v>
      </c>
      <c r="R842">
        <v>578</v>
      </c>
    </row>
    <row r="843" spans="1:18" x14ac:dyDescent="0.2">
      <c r="A843">
        <v>2</v>
      </c>
      <c r="B843" t="s">
        <v>32</v>
      </c>
      <c r="E843" t="s">
        <v>36</v>
      </c>
      <c r="F843">
        <v>941693</v>
      </c>
      <c r="G843">
        <v>5</v>
      </c>
      <c r="H843">
        <v>1</v>
      </c>
      <c r="I843">
        <v>249</v>
      </c>
      <c r="J843">
        <v>1954</v>
      </c>
      <c r="K843" s="4">
        <v>45766</v>
      </c>
      <c r="L843" t="s">
        <v>20</v>
      </c>
      <c r="M843" t="s">
        <v>89</v>
      </c>
      <c r="N843">
        <v>1.8</v>
      </c>
      <c r="O843">
        <v>2408</v>
      </c>
      <c r="P843">
        <v>1.05</v>
      </c>
      <c r="Q843">
        <v>280</v>
      </c>
      <c r="R843">
        <v>560</v>
      </c>
    </row>
    <row r="844" spans="1:18" x14ac:dyDescent="0.2">
      <c r="A844">
        <v>6</v>
      </c>
      <c r="B844" t="s">
        <v>101</v>
      </c>
      <c r="E844" t="s">
        <v>36</v>
      </c>
      <c r="F844">
        <v>1082853</v>
      </c>
      <c r="G844">
        <v>3</v>
      </c>
      <c r="H844">
        <v>1</v>
      </c>
      <c r="I844">
        <v>809</v>
      </c>
      <c r="J844">
        <v>1980</v>
      </c>
      <c r="K844" s="4">
        <v>44103</v>
      </c>
      <c r="L844" t="s">
        <v>26</v>
      </c>
      <c r="M844" t="s">
        <v>47</v>
      </c>
      <c r="N844">
        <v>1.65</v>
      </c>
      <c r="O844">
        <v>1667</v>
      </c>
      <c r="P844">
        <v>0.36</v>
      </c>
      <c r="Q844">
        <v>111</v>
      </c>
      <c r="R844">
        <v>408</v>
      </c>
    </row>
    <row r="845" spans="1:18" x14ac:dyDescent="0.2">
      <c r="A845">
        <v>3</v>
      </c>
      <c r="B845" t="s">
        <v>86</v>
      </c>
      <c r="E845" t="s">
        <v>36</v>
      </c>
      <c r="F845">
        <v>577587</v>
      </c>
      <c r="G845">
        <v>5</v>
      </c>
      <c r="H845">
        <v>3</v>
      </c>
      <c r="I845">
        <v>940</v>
      </c>
      <c r="J845">
        <v>2021</v>
      </c>
      <c r="K845" s="4">
        <v>44676</v>
      </c>
      <c r="L845" t="s">
        <v>20</v>
      </c>
      <c r="M845" t="s">
        <v>69</v>
      </c>
      <c r="N845">
        <v>3.35</v>
      </c>
      <c r="O845">
        <v>2465</v>
      </c>
      <c r="P845">
        <v>0.96</v>
      </c>
      <c r="Q845">
        <v>280</v>
      </c>
      <c r="R845">
        <v>590</v>
      </c>
    </row>
    <row r="846" spans="1:18" x14ac:dyDescent="0.2">
      <c r="A846">
        <v>9</v>
      </c>
      <c r="B846" t="s">
        <v>46</v>
      </c>
      <c r="E846" t="s">
        <v>29</v>
      </c>
      <c r="F846">
        <v>1604522</v>
      </c>
      <c r="G846">
        <v>3</v>
      </c>
      <c r="H846">
        <v>1</v>
      </c>
      <c r="I846">
        <v>680</v>
      </c>
      <c r="J846">
        <v>2013</v>
      </c>
      <c r="K846" s="4">
        <v>44877</v>
      </c>
      <c r="L846" t="s">
        <v>20</v>
      </c>
      <c r="M846" t="s">
        <v>74</v>
      </c>
      <c r="N846">
        <v>1.65</v>
      </c>
      <c r="O846">
        <v>2155</v>
      </c>
      <c r="P846">
        <v>4.67</v>
      </c>
      <c r="Q846">
        <v>274</v>
      </c>
      <c r="R846">
        <v>591</v>
      </c>
    </row>
    <row r="847" spans="1:18" x14ac:dyDescent="0.2">
      <c r="A847">
        <v>5</v>
      </c>
      <c r="B847" t="s">
        <v>18</v>
      </c>
      <c r="E847" t="s">
        <v>29</v>
      </c>
      <c r="F847">
        <v>1439744</v>
      </c>
      <c r="G847">
        <v>2</v>
      </c>
      <c r="H847">
        <v>1</v>
      </c>
      <c r="I847">
        <v>637</v>
      </c>
      <c r="J847">
        <v>1974</v>
      </c>
      <c r="K847" s="4">
        <v>45083</v>
      </c>
      <c r="L847" t="s">
        <v>23</v>
      </c>
      <c r="M847" t="s">
        <v>70</v>
      </c>
      <c r="N847">
        <v>3.29</v>
      </c>
      <c r="O847">
        <v>2151</v>
      </c>
      <c r="P847">
        <v>1</v>
      </c>
      <c r="Q847">
        <v>201</v>
      </c>
      <c r="R847">
        <v>683</v>
      </c>
    </row>
    <row r="848" spans="1:18" x14ac:dyDescent="0.2">
      <c r="A848">
        <v>8</v>
      </c>
      <c r="B848" t="s">
        <v>49</v>
      </c>
      <c r="E848" t="s">
        <v>51</v>
      </c>
      <c r="F848">
        <v>2685724</v>
      </c>
      <c r="G848">
        <v>4</v>
      </c>
      <c r="H848">
        <v>3</v>
      </c>
      <c r="I848">
        <v>265</v>
      </c>
      <c r="J848">
        <v>1986</v>
      </c>
      <c r="K848" s="4">
        <v>45227</v>
      </c>
      <c r="L848" t="s">
        <v>26</v>
      </c>
      <c r="M848" t="s">
        <v>85</v>
      </c>
      <c r="N848">
        <v>2.14</v>
      </c>
      <c r="O848">
        <v>1857</v>
      </c>
      <c r="P848">
        <v>1.71</v>
      </c>
      <c r="Q848">
        <v>272</v>
      </c>
      <c r="R848">
        <v>358</v>
      </c>
    </row>
    <row r="849" spans="1:18" x14ac:dyDescent="0.2">
      <c r="A849">
        <v>6</v>
      </c>
      <c r="B849" t="s">
        <v>71</v>
      </c>
      <c r="E849" t="s">
        <v>36</v>
      </c>
      <c r="F849">
        <v>2950092</v>
      </c>
      <c r="G849">
        <v>3</v>
      </c>
      <c r="H849">
        <v>2</v>
      </c>
      <c r="I849">
        <v>194</v>
      </c>
      <c r="J849">
        <v>1976</v>
      </c>
      <c r="K849" s="4">
        <v>45879</v>
      </c>
      <c r="L849" t="s">
        <v>26</v>
      </c>
      <c r="M849" t="s">
        <v>31</v>
      </c>
      <c r="N849">
        <v>2.2200000000000002</v>
      </c>
      <c r="O849">
        <v>2315</v>
      </c>
      <c r="P849">
        <v>1.3</v>
      </c>
      <c r="Q849">
        <v>296</v>
      </c>
      <c r="R849">
        <v>447</v>
      </c>
    </row>
    <row r="850" spans="1:18" x14ac:dyDescent="0.2">
      <c r="A850">
        <v>7</v>
      </c>
      <c r="B850" t="s">
        <v>50</v>
      </c>
      <c r="E850" t="s">
        <v>29</v>
      </c>
      <c r="F850">
        <v>2483883</v>
      </c>
      <c r="G850">
        <v>4</v>
      </c>
      <c r="H850">
        <v>1</v>
      </c>
      <c r="I850">
        <v>613</v>
      </c>
      <c r="J850">
        <v>2017</v>
      </c>
      <c r="K850" s="4">
        <v>45488</v>
      </c>
      <c r="L850" t="s">
        <v>20</v>
      </c>
      <c r="M850" t="s">
        <v>27</v>
      </c>
      <c r="N850">
        <v>1.59</v>
      </c>
      <c r="O850">
        <v>1213</v>
      </c>
      <c r="P850">
        <v>2.64</v>
      </c>
      <c r="Q850">
        <v>207</v>
      </c>
      <c r="R850">
        <v>510</v>
      </c>
    </row>
    <row r="851" spans="1:18" x14ac:dyDescent="0.2">
      <c r="A851">
        <v>9</v>
      </c>
      <c r="B851" t="s">
        <v>96</v>
      </c>
      <c r="E851" t="s">
        <v>36</v>
      </c>
      <c r="F851">
        <v>411759</v>
      </c>
      <c r="G851">
        <v>4</v>
      </c>
      <c r="H851">
        <v>2</v>
      </c>
      <c r="I851">
        <v>115</v>
      </c>
      <c r="J851">
        <v>1950</v>
      </c>
      <c r="K851" s="4">
        <v>45106</v>
      </c>
      <c r="L851" t="s">
        <v>23</v>
      </c>
      <c r="M851" t="s">
        <v>58</v>
      </c>
      <c r="N851">
        <v>2.09</v>
      </c>
      <c r="O851">
        <v>1581</v>
      </c>
      <c r="P851">
        <v>2.25</v>
      </c>
      <c r="Q851">
        <v>259</v>
      </c>
      <c r="R851">
        <v>412</v>
      </c>
    </row>
    <row r="852" spans="1:18" x14ac:dyDescent="0.2">
      <c r="A852">
        <v>3</v>
      </c>
      <c r="B852" t="s">
        <v>98</v>
      </c>
      <c r="E852" t="s">
        <v>36</v>
      </c>
      <c r="F852">
        <v>2671143</v>
      </c>
      <c r="G852">
        <v>2</v>
      </c>
      <c r="H852">
        <v>1</v>
      </c>
      <c r="I852">
        <v>188</v>
      </c>
      <c r="J852">
        <v>1964</v>
      </c>
      <c r="K852" s="4">
        <v>45616</v>
      </c>
      <c r="L852" t="s">
        <v>26</v>
      </c>
      <c r="M852" t="s">
        <v>54</v>
      </c>
      <c r="N852">
        <v>2.73</v>
      </c>
      <c r="O852">
        <v>1460</v>
      </c>
      <c r="P852">
        <v>4.92</v>
      </c>
      <c r="Q852">
        <v>227</v>
      </c>
      <c r="R852">
        <v>451</v>
      </c>
    </row>
    <row r="853" spans="1:18" x14ac:dyDescent="0.2">
      <c r="A853">
        <v>4</v>
      </c>
      <c r="B853" t="s">
        <v>64</v>
      </c>
      <c r="E853" t="s">
        <v>36</v>
      </c>
      <c r="F853">
        <v>1537670</v>
      </c>
      <c r="G853">
        <v>3</v>
      </c>
      <c r="H853">
        <v>2</v>
      </c>
      <c r="I853">
        <v>661</v>
      </c>
      <c r="J853">
        <v>1974</v>
      </c>
      <c r="K853" s="4">
        <v>44176</v>
      </c>
      <c r="L853" t="s">
        <v>26</v>
      </c>
      <c r="M853" t="s">
        <v>37</v>
      </c>
      <c r="N853">
        <v>2.97</v>
      </c>
      <c r="O853">
        <v>974</v>
      </c>
      <c r="P853">
        <v>0.61</v>
      </c>
      <c r="Q853">
        <v>146</v>
      </c>
      <c r="R853">
        <v>589</v>
      </c>
    </row>
    <row r="854" spans="1:18" x14ac:dyDescent="0.2">
      <c r="A854">
        <v>4</v>
      </c>
      <c r="B854" t="s">
        <v>80</v>
      </c>
      <c r="E854" t="s">
        <v>51</v>
      </c>
      <c r="F854">
        <v>1179414</v>
      </c>
      <c r="G854">
        <v>2</v>
      </c>
      <c r="H854">
        <v>2</v>
      </c>
      <c r="I854">
        <v>963</v>
      </c>
      <c r="J854">
        <v>1957</v>
      </c>
      <c r="K854" s="4">
        <v>44672</v>
      </c>
      <c r="L854" t="s">
        <v>20</v>
      </c>
      <c r="M854" t="s">
        <v>27</v>
      </c>
      <c r="N854">
        <v>2.4900000000000002</v>
      </c>
      <c r="O854">
        <v>1397</v>
      </c>
      <c r="P854">
        <v>4.6399999999999997</v>
      </c>
      <c r="Q854">
        <v>63</v>
      </c>
      <c r="R854">
        <v>491</v>
      </c>
    </row>
    <row r="855" spans="1:18" x14ac:dyDescent="0.2">
      <c r="A855">
        <v>5</v>
      </c>
      <c r="B855" t="s">
        <v>96</v>
      </c>
      <c r="E855" t="s">
        <v>36</v>
      </c>
      <c r="F855">
        <v>1399943</v>
      </c>
      <c r="G855">
        <v>3</v>
      </c>
      <c r="H855">
        <v>1</v>
      </c>
      <c r="I855">
        <v>391</v>
      </c>
      <c r="J855">
        <v>1953</v>
      </c>
      <c r="K855" s="4">
        <v>45886</v>
      </c>
      <c r="L855" t="s">
        <v>20</v>
      </c>
      <c r="M855" t="s">
        <v>60</v>
      </c>
      <c r="N855">
        <v>3.02</v>
      </c>
      <c r="O855">
        <v>2486</v>
      </c>
      <c r="P855">
        <v>4.66</v>
      </c>
      <c r="Q855">
        <v>219</v>
      </c>
      <c r="R855">
        <v>668</v>
      </c>
    </row>
    <row r="856" spans="1:18" x14ac:dyDescent="0.2">
      <c r="A856">
        <v>0</v>
      </c>
      <c r="B856" t="s">
        <v>50</v>
      </c>
      <c r="E856" t="s">
        <v>51</v>
      </c>
      <c r="F856">
        <v>2101608</v>
      </c>
      <c r="G856">
        <v>6</v>
      </c>
      <c r="H856">
        <v>2</v>
      </c>
      <c r="I856">
        <v>718</v>
      </c>
      <c r="J856">
        <v>2001</v>
      </c>
      <c r="K856" s="4">
        <v>45726</v>
      </c>
      <c r="L856" t="s">
        <v>23</v>
      </c>
      <c r="M856" t="s">
        <v>59</v>
      </c>
      <c r="N856">
        <v>2.64</v>
      </c>
      <c r="O856">
        <v>1800</v>
      </c>
      <c r="P856">
        <v>0.78</v>
      </c>
      <c r="Q856">
        <v>393</v>
      </c>
      <c r="R856">
        <v>665</v>
      </c>
    </row>
    <row r="857" spans="1:18" x14ac:dyDescent="0.2">
      <c r="A857">
        <v>0</v>
      </c>
      <c r="B857" t="s">
        <v>99</v>
      </c>
      <c r="E857" t="s">
        <v>51</v>
      </c>
      <c r="F857">
        <v>1161285</v>
      </c>
      <c r="G857">
        <v>5</v>
      </c>
      <c r="H857">
        <v>3</v>
      </c>
      <c r="I857">
        <v>219</v>
      </c>
      <c r="J857">
        <v>1973</v>
      </c>
      <c r="K857" s="4">
        <v>44457</v>
      </c>
      <c r="L857" t="s">
        <v>20</v>
      </c>
      <c r="M857" t="s">
        <v>89</v>
      </c>
      <c r="N857">
        <v>2.92</v>
      </c>
      <c r="O857">
        <v>1544</v>
      </c>
      <c r="P857">
        <v>4.78</v>
      </c>
      <c r="Q857">
        <v>300</v>
      </c>
      <c r="R857">
        <v>458</v>
      </c>
    </row>
    <row r="858" spans="1:18" x14ac:dyDescent="0.2">
      <c r="A858">
        <v>3</v>
      </c>
      <c r="B858" t="s">
        <v>105</v>
      </c>
      <c r="E858" t="s">
        <v>19</v>
      </c>
      <c r="F858">
        <v>2812328</v>
      </c>
      <c r="G858">
        <v>3</v>
      </c>
      <c r="H858">
        <v>3</v>
      </c>
      <c r="I858">
        <v>351</v>
      </c>
      <c r="J858">
        <v>1984</v>
      </c>
      <c r="K858" s="4">
        <v>44798</v>
      </c>
      <c r="L858" t="s">
        <v>20</v>
      </c>
      <c r="M858" t="s">
        <v>63</v>
      </c>
      <c r="N858">
        <v>2.91</v>
      </c>
      <c r="O858">
        <v>1482</v>
      </c>
      <c r="P858">
        <v>3.7</v>
      </c>
      <c r="Q858">
        <v>183</v>
      </c>
      <c r="R858">
        <v>627</v>
      </c>
    </row>
    <row r="859" spans="1:18" x14ac:dyDescent="0.2">
      <c r="A859">
        <v>5</v>
      </c>
      <c r="B859" t="s">
        <v>72</v>
      </c>
      <c r="E859" t="s">
        <v>29</v>
      </c>
      <c r="F859">
        <v>439011</v>
      </c>
      <c r="G859">
        <v>0</v>
      </c>
      <c r="H859">
        <v>1</v>
      </c>
      <c r="I859">
        <v>912</v>
      </c>
      <c r="J859">
        <v>1998</v>
      </c>
      <c r="K859" s="4">
        <v>45121</v>
      </c>
      <c r="L859" t="s">
        <v>26</v>
      </c>
      <c r="M859" t="s">
        <v>35</v>
      </c>
      <c r="N859">
        <v>1.6</v>
      </c>
      <c r="O859">
        <v>1636</v>
      </c>
      <c r="P859">
        <v>4.71</v>
      </c>
      <c r="Q859">
        <v>63</v>
      </c>
      <c r="R859">
        <v>422</v>
      </c>
    </row>
    <row r="860" spans="1:18" x14ac:dyDescent="0.2">
      <c r="A860">
        <v>0</v>
      </c>
      <c r="B860" t="s">
        <v>64</v>
      </c>
      <c r="E860" t="s">
        <v>29</v>
      </c>
      <c r="F860">
        <v>1283308</v>
      </c>
      <c r="G860">
        <v>2</v>
      </c>
      <c r="H860">
        <v>3</v>
      </c>
      <c r="I860">
        <v>891</v>
      </c>
      <c r="J860">
        <v>1987</v>
      </c>
      <c r="K860" s="4">
        <v>45497</v>
      </c>
      <c r="L860" t="s">
        <v>23</v>
      </c>
      <c r="M860" t="s">
        <v>31</v>
      </c>
      <c r="N860">
        <v>3.06</v>
      </c>
      <c r="O860">
        <v>2355</v>
      </c>
      <c r="P860">
        <v>1.72</v>
      </c>
      <c r="Q860">
        <v>213</v>
      </c>
      <c r="R860">
        <v>488</v>
      </c>
    </row>
    <row r="861" spans="1:18" x14ac:dyDescent="0.2">
      <c r="A861">
        <v>4</v>
      </c>
      <c r="B861" t="s">
        <v>53</v>
      </c>
      <c r="E861" t="s">
        <v>19</v>
      </c>
      <c r="F861">
        <v>2246974</v>
      </c>
      <c r="G861">
        <v>4</v>
      </c>
      <c r="H861">
        <v>3</v>
      </c>
      <c r="I861">
        <v>293</v>
      </c>
      <c r="J861">
        <v>2010</v>
      </c>
      <c r="K861" s="4">
        <v>44478</v>
      </c>
      <c r="L861" t="s">
        <v>23</v>
      </c>
      <c r="M861" t="s">
        <v>31</v>
      </c>
      <c r="N861">
        <v>1.93</v>
      </c>
      <c r="O861">
        <v>1093</v>
      </c>
      <c r="P861">
        <v>3.77</v>
      </c>
      <c r="Q861">
        <v>361</v>
      </c>
      <c r="R861">
        <v>674</v>
      </c>
    </row>
    <row r="862" spans="1:18" x14ac:dyDescent="0.2">
      <c r="A862">
        <v>6</v>
      </c>
      <c r="B862" t="s">
        <v>44</v>
      </c>
      <c r="E862" t="s">
        <v>51</v>
      </c>
      <c r="F862">
        <v>514956</v>
      </c>
      <c r="G862">
        <v>4</v>
      </c>
      <c r="H862">
        <v>2</v>
      </c>
      <c r="I862">
        <v>807</v>
      </c>
      <c r="J862">
        <v>2011</v>
      </c>
      <c r="K862" s="4">
        <v>45193</v>
      </c>
      <c r="L862" t="s">
        <v>26</v>
      </c>
      <c r="M862" t="s">
        <v>52</v>
      </c>
      <c r="N862">
        <v>2.17</v>
      </c>
      <c r="O862">
        <v>1300</v>
      </c>
      <c r="P862">
        <v>3.15</v>
      </c>
      <c r="Q862">
        <v>235</v>
      </c>
      <c r="R862">
        <v>645</v>
      </c>
    </row>
    <row r="863" spans="1:18" x14ac:dyDescent="0.2">
      <c r="A863">
        <v>6</v>
      </c>
      <c r="B863" t="s">
        <v>84</v>
      </c>
      <c r="E863" t="s">
        <v>19</v>
      </c>
      <c r="F863">
        <v>489121</v>
      </c>
      <c r="G863">
        <v>4</v>
      </c>
      <c r="H863">
        <v>1</v>
      </c>
      <c r="I863">
        <v>404</v>
      </c>
      <c r="J863">
        <v>1971</v>
      </c>
      <c r="K863" s="4">
        <v>45756</v>
      </c>
      <c r="L863" t="s">
        <v>20</v>
      </c>
      <c r="M863" t="s">
        <v>59</v>
      </c>
      <c r="N863">
        <v>2.98</v>
      </c>
      <c r="O863">
        <v>897</v>
      </c>
      <c r="P863">
        <v>3.11</v>
      </c>
      <c r="Q863">
        <v>233</v>
      </c>
      <c r="R863">
        <v>507</v>
      </c>
    </row>
    <row r="864" spans="1:18" x14ac:dyDescent="0.2">
      <c r="A864">
        <v>5</v>
      </c>
      <c r="B864" t="s">
        <v>48</v>
      </c>
      <c r="E864" t="s">
        <v>51</v>
      </c>
      <c r="F864">
        <v>1620363</v>
      </c>
      <c r="G864">
        <v>2</v>
      </c>
      <c r="H864">
        <v>2</v>
      </c>
      <c r="I864">
        <v>454</v>
      </c>
      <c r="J864">
        <v>1995</v>
      </c>
      <c r="K864" s="4">
        <v>45396</v>
      </c>
      <c r="L864" t="s">
        <v>20</v>
      </c>
      <c r="M864" t="s">
        <v>97</v>
      </c>
      <c r="N864">
        <v>1.97</v>
      </c>
      <c r="O864">
        <v>1061</v>
      </c>
      <c r="P864">
        <v>1.22</v>
      </c>
      <c r="Q864">
        <v>200</v>
      </c>
      <c r="R864">
        <v>391</v>
      </c>
    </row>
    <row r="865" spans="1:18" x14ac:dyDescent="0.2">
      <c r="A865">
        <v>7</v>
      </c>
      <c r="B865" t="s">
        <v>88</v>
      </c>
      <c r="E865" t="s">
        <v>51</v>
      </c>
      <c r="F865">
        <v>1206987</v>
      </c>
      <c r="G865">
        <v>5</v>
      </c>
      <c r="H865">
        <v>1</v>
      </c>
      <c r="I865">
        <v>940</v>
      </c>
      <c r="J865">
        <v>1953</v>
      </c>
      <c r="K865" s="4">
        <v>44140</v>
      </c>
      <c r="L865" t="s">
        <v>23</v>
      </c>
      <c r="M865" t="s">
        <v>21</v>
      </c>
      <c r="N865">
        <v>2.11</v>
      </c>
      <c r="O865">
        <v>1826</v>
      </c>
      <c r="P865">
        <v>4.3600000000000003</v>
      </c>
      <c r="Q865">
        <v>367</v>
      </c>
      <c r="R865">
        <v>685</v>
      </c>
    </row>
    <row r="866" spans="1:18" x14ac:dyDescent="0.2">
      <c r="A866">
        <v>5</v>
      </c>
      <c r="B866" t="s">
        <v>28</v>
      </c>
      <c r="E866" t="s">
        <v>36</v>
      </c>
      <c r="F866">
        <v>1353275</v>
      </c>
      <c r="G866">
        <v>3</v>
      </c>
      <c r="H866">
        <v>2</v>
      </c>
      <c r="I866">
        <v>369</v>
      </c>
      <c r="J866">
        <v>1986</v>
      </c>
      <c r="K866" s="4">
        <v>44417</v>
      </c>
      <c r="L866" t="s">
        <v>30</v>
      </c>
      <c r="M866" t="s">
        <v>68</v>
      </c>
      <c r="N866">
        <v>2.35</v>
      </c>
      <c r="O866">
        <v>1062</v>
      </c>
      <c r="P866">
        <v>4.08</v>
      </c>
      <c r="Q866">
        <v>258</v>
      </c>
      <c r="R866">
        <v>360</v>
      </c>
    </row>
    <row r="867" spans="1:18" x14ac:dyDescent="0.2">
      <c r="A867">
        <v>4</v>
      </c>
      <c r="B867" t="s">
        <v>32</v>
      </c>
      <c r="E867" t="s">
        <v>36</v>
      </c>
      <c r="F867">
        <v>2975270</v>
      </c>
      <c r="G867">
        <v>1</v>
      </c>
      <c r="H867">
        <v>3</v>
      </c>
      <c r="I867">
        <v>773</v>
      </c>
      <c r="J867">
        <v>1995</v>
      </c>
      <c r="K867" s="4">
        <v>44658</v>
      </c>
      <c r="L867" t="s">
        <v>20</v>
      </c>
      <c r="M867" t="s">
        <v>97</v>
      </c>
      <c r="N867">
        <v>3.4</v>
      </c>
      <c r="O867">
        <v>1338</v>
      </c>
      <c r="P867">
        <v>0.75</v>
      </c>
      <c r="Q867">
        <v>152</v>
      </c>
      <c r="R867">
        <v>472</v>
      </c>
    </row>
    <row r="868" spans="1:18" x14ac:dyDescent="0.2">
      <c r="A868">
        <v>6</v>
      </c>
      <c r="B868" t="s">
        <v>71</v>
      </c>
      <c r="E868" t="s">
        <v>51</v>
      </c>
      <c r="F868">
        <v>874019</v>
      </c>
      <c r="G868">
        <v>2</v>
      </c>
      <c r="H868">
        <v>1</v>
      </c>
      <c r="I868">
        <v>116</v>
      </c>
      <c r="J868">
        <v>1985</v>
      </c>
      <c r="K868" s="4">
        <v>45290</v>
      </c>
      <c r="L868" t="s">
        <v>26</v>
      </c>
      <c r="M868" t="s">
        <v>85</v>
      </c>
      <c r="N868">
        <v>3.39</v>
      </c>
      <c r="O868">
        <v>1752</v>
      </c>
      <c r="P868">
        <v>1.47</v>
      </c>
      <c r="Q868">
        <v>148</v>
      </c>
      <c r="R868">
        <v>594</v>
      </c>
    </row>
    <row r="869" spans="1:18" x14ac:dyDescent="0.2">
      <c r="A869">
        <v>3</v>
      </c>
      <c r="B869" t="s">
        <v>67</v>
      </c>
      <c r="E869" t="s">
        <v>19</v>
      </c>
      <c r="F869">
        <v>1773428</v>
      </c>
      <c r="G869">
        <v>5</v>
      </c>
      <c r="H869">
        <v>1</v>
      </c>
      <c r="I869">
        <v>399</v>
      </c>
      <c r="J869">
        <v>1973</v>
      </c>
      <c r="K869" s="4">
        <v>45129</v>
      </c>
      <c r="L869" t="s">
        <v>30</v>
      </c>
      <c r="M869" t="s">
        <v>21</v>
      </c>
      <c r="N869">
        <v>2.75</v>
      </c>
      <c r="O869">
        <v>996</v>
      </c>
      <c r="P869">
        <v>0.11</v>
      </c>
      <c r="Q869">
        <v>368</v>
      </c>
      <c r="R869">
        <v>401</v>
      </c>
    </row>
    <row r="870" spans="1:18" x14ac:dyDescent="0.2">
      <c r="A870">
        <v>5</v>
      </c>
      <c r="B870" t="s">
        <v>64</v>
      </c>
      <c r="E870" t="s">
        <v>19</v>
      </c>
      <c r="F870">
        <v>494355</v>
      </c>
      <c r="G870">
        <v>6</v>
      </c>
      <c r="H870">
        <v>3</v>
      </c>
      <c r="I870">
        <v>78</v>
      </c>
      <c r="J870">
        <v>1998</v>
      </c>
      <c r="K870" s="4">
        <v>44937</v>
      </c>
      <c r="L870" t="s">
        <v>23</v>
      </c>
      <c r="M870" t="s">
        <v>59</v>
      </c>
      <c r="N870">
        <v>3.1</v>
      </c>
      <c r="O870">
        <v>2398</v>
      </c>
      <c r="P870">
        <v>2.9</v>
      </c>
      <c r="Q870">
        <v>378</v>
      </c>
      <c r="R870">
        <v>393</v>
      </c>
    </row>
    <row r="871" spans="1:18" x14ac:dyDescent="0.2">
      <c r="A871">
        <v>9</v>
      </c>
      <c r="B871" t="s">
        <v>75</v>
      </c>
      <c r="E871" t="s">
        <v>19</v>
      </c>
      <c r="F871">
        <v>2451704</v>
      </c>
      <c r="G871">
        <v>5</v>
      </c>
      <c r="H871">
        <v>1</v>
      </c>
      <c r="I871">
        <v>113</v>
      </c>
      <c r="J871">
        <v>1968</v>
      </c>
      <c r="K871" s="4">
        <v>44187</v>
      </c>
      <c r="L871" t="s">
        <v>30</v>
      </c>
      <c r="M871" t="s">
        <v>76</v>
      </c>
      <c r="N871">
        <v>3.07</v>
      </c>
      <c r="O871">
        <v>1989</v>
      </c>
      <c r="P871">
        <v>4.22</v>
      </c>
      <c r="Q871">
        <v>385</v>
      </c>
      <c r="R871">
        <v>378</v>
      </c>
    </row>
    <row r="872" spans="1:18" x14ac:dyDescent="0.2">
      <c r="A872">
        <v>4</v>
      </c>
      <c r="B872" t="s">
        <v>94</v>
      </c>
      <c r="E872" t="s">
        <v>19</v>
      </c>
      <c r="F872">
        <v>1942090</v>
      </c>
      <c r="G872">
        <v>5</v>
      </c>
      <c r="H872">
        <v>1</v>
      </c>
      <c r="I872">
        <v>553</v>
      </c>
      <c r="J872">
        <v>1955</v>
      </c>
      <c r="K872" s="4">
        <v>44524</v>
      </c>
      <c r="L872" t="s">
        <v>30</v>
      </c>
      <c r="M872" t="s">
        <v>85</v>
      </c>
      <c r="N872">
        <v>3.45</v>
      </c>
      <c r="O872">
        <v>1151</v>
      </c>
      <c r="P872">
        <v>3.2</v>
      </c>
      <c r="Q872">
        <v>333</v>
      </c>
      <c r="R872">
        <v>335</v>
      </c>
    </row>
    <row r="873" spans="1:18" x14ac:dyDescent="0.2">
      <c r="A873">
        <v>5</v>
      </c>
      <c r="B873" t="s">
        <v>57</v>
      </c>
      <c r="E873" t="s">
        <v>29</v>
      </c>
      <c r="F873">
        <v>2674655</v>
      </c>
      <c r="G873">
        <v>1</v>
      </c>
      <c r="H873">
        <v>3</v>
      </c>
      <c r="I873">
        <v>116</v>
      </c>
      <c r="J873">
        <v>1989</v>
      </c>
      <c r="K873" s="4">
        <v>44647</v>
      </c>
      <c r="L873" t="s">
        <v>20</v>
      </c>
      <c r="M873" t="s">
        <v>78</v>
      </c>
      <c r="N873">
        <v>2.63</v>
      </c>
      <c r="O873">
        <v>1511</v>
      </c>
      <c r="P873">
        <v>0.5</v>
      </c>
      <c r="Q873">
        <v>66</v>
      </c>
      <c r="R873">
        <v>423</v>
      </c>
    </row>
    <row r="874" spans="1:18" x14ac:dyDescent="0.2">
      <c r="A874">
        <v>5</v>
      </c>
      <c r="B874" t="s">
        <v>72</v>
      </c>
      <c r="E874" t="s">
        <v>19</v>
      </c>
      <c r="F874">
        <v>2538305</v>
      </c>
      <c r="G874">
        <v>5</v>
      </c>
      <c r="H874">
        <v>2</v>
      </c>
      <c r="I874">
        <v>829</v>
      </c>
      <c r="J874">
        <v>1951</v>
      </c>
      <c r="K874" s="4">
        <v>45530</v>
      </c>
      <c r="L874" t="s">
        <v>26</v>
      </c>
      <c r="M874" t="s">
        <v>63</v>
      </c>
      <c r="N874">
        <v>2.87</v>
      </c>
      <c r="O874">
        <v>1637</v>
      </c>
      <c r="P874">
        <v>1.53</v>
      </c>
      <c r="Q874">
        <v>347</v>
      </c>
      <c r="R874">
        <v>591</v>
      </c>
    </row>
    <row r="875" spans="1:18" x14ac:dyDescent="0.2">
      <c r="A875">
        <v>9</v>
      </c>
      <c r="B875" t="s">
        <v>81</v>
      </c>
      <c r="E875" t="s">
        <v>36</v>
      </c>
      <c r="F875">
        <v>1137675</v>
      </c>
      <c r="G875">
        <v>4</v>
      </c>
      <c r="H875">
        <v>1</v>
      </c>
      <c r="I875">
        <v>183</v>
      </c>
      <c r="J875">
        <v>1955</v>
      </c>
      <c r="K875" s="4">
        <v>45260</v>
      </c>
      <c r="L875" t="s">
        <v>30</v>
      </c>
      <c r="M875" t="s">
        <v>31</v>
      </c>
      <c r="N875">
        <v>1.77</v>
      </c>
      <c r="O875">
        <v>1739</v>
      </c>
      <c r="P875">
        <v>2.73</v>
      </c>
      <c r="Q875">
        <v>400</v>
      </c>
      <c r="R875">
        <v>401</v>
      </c>
    </row>
    <row r="876" spans="1:18" x14ac:dyDescent="0.2">
      <c r="A876">
        <v>0</v>
      </c>
      <c r="B876" t="s">
        <v>43</v>
      </c>
      <c r="E876" t="s">
        <v>29</v>
      </c>
      <c r="F876">
        <v>1857850</v>
      </c>
      <c r="G876">
        <v>2</v>
      </c>
      <c r="H876">
        <v>2</v>
      </c>
      <c r="I876">
        <v>238</v>
      </c>
      <c r="J876">
        <v>1960</v>
      </c>
      <c r="K876" s="4">
        <v>44093</v>
      </c>
      <c r="L876" t="s">
        <v>30</v>
      </c>
      <c r="M876" t="s">
        <v>35</v>
      </c>
      <c r="N876">
        <v>2.9</v>
      </c>
      <c r="O876">
        <v>1630</v>
      </c>
      <c r="P876">
        <v>0.79</v>
      </c>
      <c r="Q876">
        <v>212</v>
      </c>
      <c r="R876">
        <v>354</v>
      </c>
    </row>
    <row r="877" spans="1:18" x14ac:dyDescent="0.2">
      <c r="A877">
        <v>6</v>
      </c>
      <c r="B877" t="s">
        <v>102</v>
      </c>
      <c r="E877" t="s">
        <v>51</v>
      </c>
      <c r="F877">
        <v>2618501</v>
      </c>
      <c r="G877">
        <v>2</v>
      </c>
      <c r="H877">
        <v>1</v>
      </c>
      <c r="I877">
        <v>805</v>
      </c>
      <c r="J877">
        <v>2017</v>
      </c>
      <c r="K877" s="4">
        <v>44794</v>
      </c>
      <c r="L877" t="s">
        <v>20</v>
      </c>
      <c r="M877" t="s">
        <v>68</v>
      </c>
      <c r="N877">
        <v>2.58</v>
      </c>
      <c r="O877">
        <v>972</v>
      </c>
      <c r="P877">
        <v>0.14000000000000001</v>
      </c>
      <c r="Q877">
        <v>210</v>
      </c>
      <c r="R877">
        <v>472</v>
      </c>
    </row>
    <row r="878" spans="1:18" x14ac:dyDescent="0.2">
      <c r="A878">
        <v>0</v>
      </c>
      <c r="B878" t="s">
        <v>46</v>
      </c>
      <c r="E878" t="s">
        <v>36</v>
      </c>
      <c r="F878">
        <v>2306214</v>
      </c>
      <c r="G878">
        <v>1</v>
      </c>
      <c r="H878">
        <v>2</v>
      </c>
      <c r="I878">
        <v>788</v>
      </c>
      <c r="J878">
        <v>2002</v>
      </c>
      <c r="K878" s="4">
        <v>44362</v>
      </c>
      <c r="L878" t="s">
        <v>26</v>
      </c>
      <c r="M878" t="s">
        <v>54</v>
      </c>
      <c r="N878">
        <v>2.76</v>
      </c>
      <c r="O878">
        <v>1652</v>
      </c>
      <c r="P878">
        <v>2.4900000000000002</v>
      </c>
      <c r="Q878">
        <v>141</v>
      </c>
      <c r="R878">
        <v>602</v>
      </c>
    </row>
    <row r="879" spans="1:18" x14ac:dyDescent="0.2">
      <c r="A879">
        <v>1</v>
      </c>
      <c r="B879" t="s">
        <v>49</v>
      </c>
      <c r="E879" t="s">
        <v>19</v>
      </c>
      <c r="F879">
        <v>2603537</v>
      </c>
      <c r="G879">
        <v>4</v>
      </c>
      <c r="H879">
        <v>1</v>
      </c>
      <c r="I879">
        <v>62</v>
      </c>
      <c r="J879">
        <v>1960</v>
      </c>
      <c r="K879" s="4">
        <v>45303</v>
      </c>
      <c r="L879" t="s">
        <v>30</v>
      </c>
      <c r="M879" t="s">
        <v>24</v>
      </c>
      <c r="N879">
        <v>2.13</v>
      </c>
      <c r="O879">
        <v>890</v>
      </c>
      <c r="P879">
        <v>4.74</v>
      </c>
      <c r="Q879">
        <v>267</v>
      </c>
      <c r="R879">
        <v>447</v>
      </c>
    </row>
    <row r="880" spans="1:18" x14ac:dyDescent="0.2">
      <c r="A880">
        <v>1</v>
      </c>
      <c r="B880" t="s">
        <v>83</v>
      </c>
      <c r="E880" t="s">
        <v>29</v>
      </c>
      <c r="F880">
        <v>2933360</v>
      </c>
      <c r="G880">
        <v>6</v>
      </c>
      <c r="H880">
        <v>2</v>
      </c>
      <c r="I880">
        <v>687</v>
      </c>
      <c r="J880">
        <v>1988</v>
      </c>
      <c r="K880" s="4">
        <v>44196</v>
      </c>
      <c r="L880" t="s">
        <v>30</v>
      </c>
      <c r="M880" t="s">
        <v>59</v>
      </c>
      <c r="N880">
        <v>1.62</v>
      </c>
      <c r="O880">
        <v>2258</v>
      </c>
      <c r="P880">
        <v>3.19</v>
      </c>
      <c r="Q880">
        <v>366</v>
      </c>
      <c r="R880">
        <v>536</v>
      </c>
    </row>
    <row r="881" spans="1:18" x14ac:dyDescent="0.2">
      <c r="A881">
        <v>4</v>
      </c>
      <c r="B881" t="s">
        <v>91</v>
      </c>
      <c r="E881" t="s">
        <v>51</v>
      </c>
      <c r="F881">
        <v>1262973</v>
      </c>
      <c r="G881">
        <v>3</v>
      </c>
      <c r="H881">
        <v>2</v>
      </c>
      <c r="I881">
        <v>487</v>
      </c>
      <c r="J881">
        <v>1992</v>
      </c>
      <c r="K881" s="4">
        <v>45456</v>
      </c>
      <c r="L881" t="s">
        <v>30</v>
      </c>
      <c r="M881" t="s">
        <v>33</v>
      </c>
      <c r="N881">
        <v>1.58</v>
      </c>
      <c r="O881">
        <v>1709</v>
      </c>
      <c r="P881">
        <v>0.55000000000000004</v>
      </c>
      <c r="Q881">
        <v>140</v>
      </c>
      <c r="R881">
        <v>463</v>
      </c>
    </row>
    <row r="882" spans="1:18" x14ac:dyDescent="0.2">
      <c r="A882">
        <v>0</v>
      </c>
      <c r="B882" t="s">
        <v>87</v>
      </c>
      <c r="E882" t="s">
        <v>29</v>
      </c>
      <c r="F882">
        <v>1925417</v>
      </c>
      <c r="G882">
        <v>4</v>
      </c>
      <c r="H882">
        <v>3</v>
      </c>
      <c r="I882">
        <v>747</v>
      </c>
      <c r="J882">
        <v>1976</v>
      </c>
      <c r="K882" s="4">
        <v>45163</v>
      </c>
      <c r="L882" t="s">
        <v>26</v>
      </c>
      <c r="M882" t="s">
        <v>27</v>
      </c>
      <c r="N882">
        <v>2.52</v>
      </c>
      <c r="O882">
        <v>930</v>
      </c>
      <c r="P882">
        <v>0.26</v>
      </c>
      <c r="Q882">
        <v>215</v>
      </c>
      <c r="R882">
        <v>550</v>
      </c>
    </row>
    <row r="883" spans="1:18" x14ac:dyDescent="0.2">
      <c r="A883">
        <v>2</v>
      </c>
      <c r="B883" t="s">
        <v>83</v>
      </c>
      <c r="E883" t="s">
        <v>36</v>
      </c>
      <c r="F883">
        <v>1789194</v>
      </c>
      <c r="G883">
        <v>3</v>
      </c>
      <c r="H883">
        <v>2</v>
      </c>
      <c r="I883">
        <v>267</v>
      </c>
      <c r="J883">
        <v>2009</v>
      </c>
      <c r="K883" s="4">
        <v>45395</v>
      </c>
      <c r="L883" t="s">
        <v>30</v>
      </c>
      <c r="M883" t="s">
        <v>37</v>
      </c>
      <c r="N883">
        <v>1.75</v>
      </c>
      <c r="O883">
        <v>1997</v>
      </c>
      <c r="P883">
        <v>1.73</v>
      </c>
      <c r="Q883">
        <v>114</v>
      </c>
      <c r="R883">
        <v>628</v>
      </c>
    </row>
    <row r="884" spans="1:18" x14ac:dyDescent="0.2">
      <c r="A884">
        <v>9</v>
      </c>
      <c r="B884" t="s">
        <v>64</v>
      </c>
      <c r="E884" t="s">
        <v>51</v>
      </c>
      <c r="F884">
        <v>1087592</v>
      </c>
      <c r="G884">
        <v>0</v>
      </c>
      <c r="H884">
        <v>3</v>
      </c>
      <c r="I884">
        <v>916</v>
      </c>
      <c r="J884">
        <v>1986</v>
      </c>
      <c r="K884" s="4">
        <v>44301</v>
      </c>
      <c r="L884" t="s">
        <v>30</v>
      </c>
      <c r="M884" t="s">
        <v>54</v>
      </c>
      <c r="N884">
        <v>2.64</v>
      </c>
      <c r="O884">
        <v>1315</v>
      </c>
      <c r="P884">
        <v>1.86</v>
      </c>
      <c r="Q884">
        <v>75</v>
      </c>
      <c r="R884">
        <v>561</v>
      </c>
    </row>
    <row r="885" spans="1:18" x14ac:dyDescent="0.2">
      <c r="A885">
        <v>4</v>
      </c>
      <c r="B885" t="s">
        <v>86</v>
      </c>
      <c r="E885" t="s">
        <v>36</v>
      </c>
      <c r="F885">
        <v>577976</v>
      </c>
      <c r="G885">
        <v>1</v>
      </c>
      <c r="H885">
        <v>3</v>
      </c>
      <c r="I885">
        <v>989</v>
      </c>
      <c r="J885">
        <v>2005</v>
      </c>
      <c r="K885" s="4">
        <v>45427</v>
      </c>
      <c r="L885" t="s">
        <v>20</v>
      </c>
      <c r="M885" t="s">
        <v>40</v>
      </c>
      <c r="N885">
        <v>2.09</v>
      </c>
      <c r="O885">
        <v>2420</v>
      </c>
      <c r="P885">
        <v>4.82</v>
      </c>
      <c r="Q885">
        <v>90</v>
      </c>
      <c r="R885">
        <v>697</v>
      </c>
    </row>
    <row r="886" spans="1:18" x14ac:dyDescent="0.2">
      <c r="A886">
        <v>7</v>
      </c>
      <c r="B886" t="s">
        <v>88</v>
      </c>
      <c r="E886" t="s">
        <v>19</v>
      </c>
      <c r="F886">
        <v>1826981</v>
      </c>
      <c r="G886">
        <v>1</v>
      </c>
      <c r="H886">
        <v>1</v>
      </c>
      <c r="I886">
        <v>481</v>
      </c>
      <c r="J886">
        <v>2013</v>
      </c>
      <c r="K886" s="4">
        <v>45673</v>
      </c>
      <c r="L886" t="s">
        <v>26</v>
      </c>
      <c r="M886" t="s">
        <v>68</v>
      </c>
      <c r="N886">
        <v>2.0099999999999998</v>
      </c>
      <c r="O886">
        <v>1112</v>
      </c>
      <c r="P886">
        <v>1.81</v>
      </c>
      <c r="Q886">
        <v>93</v>
      </c>
      <c r="R886">
        <v>600</v>
      </c>
    </row>
    <row r="887" spans="1:18" x14ac:dyDescent="0.2">
      <c r="A887">
        <v>0</v>
      </c>
      <c r="B887" t="s">
        <v>87</v>
      </c>
      <c r="E887" t="s">
        <v>19</v>
      </c>
      <c r="F887">
        <v>2160463</v>
      </c>
      <c r="G887">
        <v>3</v>
      </c>
      <c r="H887">
        <v>3</v>
      </c>
      <c r="I887">
        <v>694</v>
      </c>
      <c r="J887">
        <v>1952</v>
      </c>
      <c r="K887" s="4">
        <v>44687</v>
      </c>
      <c r="L887" t="s">
        <v>20</v>
      </c>
      <c r="M887" t="s">
        <v>59</v>
      </c>
      <c r="N887">
        <v>2.83</v>
      </c>
      <c r="O887">
        <v>912</v>
      </c>
      <c r="P887">
        <v>0.84</v>
      </c>
      <c r="Q887">
        <v>96</v>
      </c>
      <c r="R887">
        <v>348</v>
      </c>
    </row>
    <row r="888" spans="1:18" x14ac:dyDescent="0.2">
      <c r="A888">
        <v>8</v>
      </c>
      <c r="B888" t="s">
        <v>95</v>
      </c>
      <c r="E888" t="s">
        <v>36</v>
      </c>
      <c r="F888">
        <v>2185537</v>
      </c>
      <c r="G888">
        <v>5</v>
      </c>
      <c r="H888">
        <v>2</v>
      </c>
      <c r="I888">
        <v>86</v>
      </c>
      <c r="J888">
        <v>1980</v>
      </c>
      <c r="K888" s="4">
        <v>44088</v>
      </c>
      <c r="L888" t="s">
        <v>30</v>
      </c>
      <c r="M888" t="s">
        <v>82</v>
      </c>
      <c r="N888">
        <v>2.16</v>
      </c>
      <c r="O888">
        <v>801</v>
      </c>
      <c r="P888">
        <v>4.9800000000000004</v>
      </c>
      <c r="Q888">
        <v>312</v>
      </c>
      <c r="R888">
        <v>495</v>
      </c>
    </row>
    <row r="889" spans="1:18" x14ac:dyDescent="0.2">
      <c r="A889">
        <v>5</v>
      </c>
      <c r="B889" t="s">
        <v>67</v>
      </c>
      <c r="E889" t="s">
        <v>36</v>
      </c>
      <c r="F889">
        <v>1083279</v>
      </c>
      <c r="G889">
        <v>5</v>
      </c>
      <c r="H889">
        <v>2</v>
      </c>
      <c r="I889">
        <v>353</v>
      </c>
      <c r="J889">
        <v>1973</v>
      </c>
      <c r="K889" s="4">
        <v>44579</v>
      </c>
      <c r="L889" t="s">
        <v>20</v>
      </c>
      <c r="M889" t="s">
        <v>56</v>
      </c>
      <c r="N889">
        <v>2.54</v>
      </c>
      <c r="O889">
        <v>2379</v>
      </c>
      <c r="P889">
        <v>3.95</v>
      </c>
      <c r="Q889">
        <v>302</v>
      </c>
      <c r="R889">
        <v>541</v>
      </c>
    </row>
    <row r="890" spans="1:18" x14ac:dyDescent="0.2">
      <c r="A890">
        <v>6</v>
      </c>
      <c r="B890" t="s">
        <v>101</v>
      </c>
      <c r="E890" t="s">
        <v>29</v>
      </c>
      <c r="F890">
        <v>1942406</v>
      </c>
      <c r="G890">
        <v>5</v>
      </c>
      <c r="H890">
        <v>1</v>
      </c>
      <c r="I890">
        <v>135</v>
      </c>
      <c r="J890">
        <v>1988</v>
      </c>
      <c r="K890" s="4">
        <v>45372</v>
      </c>
      <c r="L890" t="s">
        <v>30</v>
      </c>
      <c r="M890" t="s">
        <v>47</v>
      </c>
      <c r="N890">
        <v>2.82</v>
      </c>
      <c r="O890">
        <v>1643</v>
      </c>
      <c r="P890">
        <v>1.71</v>
      </c>
      <c r="Q890">
        <v>315</v>
      </c>
      <c r="R890">
        <v>390</v>
      </c>
    </row>
    <row r="891" spans="1:18" x14ac:dyDescent="0.2">
      <c r="A891">
        <v>3</v>
      </c>
      <c r="B891" t="s">
        <v>49</v>
      </c>
      <c r="E891" t="s">
        <v>51</v>
      </c>
      <c r="F891">
        <v>913729</v>
      </c>
      <c r="G891">
        <v>6</v>
      </c>
      <c r="H891">
        <v>1</v>
      </c>
      <c r="I891">
        <v>471</v>
      </c>
      <c r="J891">
        <v>1997</v>
      </c>
      <c r="K891" s="4">
        <v>45673</v>
      </c>
      <c r="L891" t="s">
        <v>26</v>
      </c>
      <c r="M891" t="s">
        <v>52</v>
      </c>
      <c r="N891">
        <v>2.77</v>
      </c>
      <c r="O891">
        <v>2046</v>
      </c>
      <c r="P891">
        <v>0.98</v>
      </c>
      <c r="Q891">
        <v>349</v>
      </c>
      <c r="R891">
        <v>685</v>
      </c>
    </row>
    <row r="892" spans="1:18" x14ac:dyDescent="0.2">
      <c r="A892">
        <v>9</v>
      </c>
      <c r="B892" t="s">
        <v>25</v>
      </c>
      <c r="E892" t="s">
        <v>29</v>
      </c>
      <c r="F892">
        <v>1279865</v>
      </c>
      <c r="G892">
        <v>5</v>
      </c>
      <c r="H892">
        <v>1</v>
      </c>
      <c r="I892">
        <v>616</v>
      </c>
      <c r="J892">
        <v>1957</v>
      </c>
      <c r="K892" s="4">
        <v>44476</v>
      </c>
      <c r="L892" t="s">
        <v>20</v>
      </c>
      <c r="M892" t="s">
        <v>12</v>
      </c>
      <c r="N892">
        <v>1.9</v>
      </c>
      <c r="O892">
        <v>1529</v>
      </c>
      <c r="P892">
        <v>0.98</v>
      </c>
      <c r="Q892">
        <v>321</v>
      </c>
      <c r="R892">
        <v>657</v>
      </c>
    </row>
    <row r="893" spans="1:18" x14ac:dyDescent="0.2">
      <c r="A893">
        <v>7</v>
      </c>
      <c r="B893" t="s">
        <v>99</v>
      </c>
      <c r="E893" t="s">
        <v>36</v>
      </c>
      <c r="F893">
        <v>1191396</v>
      </c>
      <c r="G893">
        <v>2</v>
      </c>
      <c r="H893">
        <v>1</v>
      </c>
      <c r="I893">
        <v>948</v>
      </c>
      <c r="J893">
        <v>1985</v>
      </c>
      <c r="K893" s="4">
        <v>44647</v>
      </c>
      <c r="L893" t="s">
        <v>26</v>
      </c>
      <c r="M893" t="s">
        <v>31</v>
      </c>
      <c r="N893">
        <v>3.35</v>
      </c>
      <c r="O893">
        <v>2082</v>
      </c>
      <c r="P893">
        <v>4.59</v>
      </c>
      <c r="Q893">
        <v>164</v>
      </c>
      <c r="R893">
        <v>537</v>
      </c>
    </row>
    <row r="894" spans="1:18" x14ac:dyDescent="0.2">
      <c r="A894">
        <v>5</v>
      </c>
      <c r="B894" t="s">
        <v>102</v>
      </c>
      <c r="E894" t="s">
        <v>51</v>
      </c>
      <c r="F894">
        <v>1542019</v>
      </c>
      <c r="G894">
        <v>3</v>
      </c>
      <c r="H894">
        <v>2</v>
      </c>
      <c r="I894">
        <v>181</v>
      </c>
      <c r="J894">
        <v>1973</v>
      </c>
      <c r="K894" s="4">
        <v>44570</v>
      </c>
      <c r="L894" t="s">
        <v>20</v>
      </c>
      <c r="M894" t="s">
        <v>89</v>
      </c>
      <c r="N894">
        <v>3.01</v>
      </c>
      <c r="O894">
        <v>2279</v>
      </c>
      <c r="P894">
        <v>2.91</v>
      </c>
      <c r="Q894">
        <v>96</v>
      </c>
      <c r="R894">
        <v>361</v>
      </c>
    </row>
    <row r="895" spans="1:18" x14ac:dyDescent="0.2">
      <c r="A895">
        <v>9</v>
      </c>
      <c r="B895" t="s">
        <v>25</v>
      </c>
      <c r="E895" t="s">
        <v>36</v>
      </c>
      <c r="F895">
        <v>777796</v>
      </c>
      <c r="G895">
        <v>3</v>
      </c>
      <c r="H895">
        <v>3</v>
      </c>
      <c r="I895">
        <v>788</v>
      </c>
      <c r="J895">
        <v>1973</v>
      </c>
      <c r="K895" s="4">
        <v>44701</v>
      </c>
      <c r="L895" t="s">
        <v>23</v>
      </c>
      <c r="M895" t="s">
        <v>74</v>
      </c>
      <c r="N895">
        <v>2.98</v>
      </c>
      <c r="O895">
        <v>1189</v>
      </c>
      <c r="P895">
        <v>4.5199999999999996</v>
      </c>
      <c r="Q895">
        <v>285</v>
      </c>
      <c r="R895">
        <v>330</v>
      </c>
    </row>
    <row r="896" spans="1:18" x14ac:dyDescent="0.2">
      <c r="A896">
        <v>6</v>
      </c>
      <c r="B896" t="s">
        <v>75</v>
      </c>
      <c r="E896" t="s">
        <v>19</v>
      </c>
      <c r="F896">
        <v>2960770</v>
      </c>
      <c r="G896">
        <v>2</v>
      </c>
      <c r="H896">
        <v>2</v>
      </c>
      <c r="I896">
        <v>480</v>
      </c>
      <c r="J896">
        <v>1950</v>
      </c>
      <c r="K896" s="4">
        <v>44888</v>
      </c>
      <c r="L896" t="s">
        <v>30</v>
      </c>
      <c r="M896" t="s">
        <v>68</v>
      </c>
      <c r="N896">
        <v>2.98</v>
      </c>
      <c r="O896">
        <v>2438</v>
      </c>
      <c r="P896">
        <v>1.27</v>
      </c>
      <c r="Q896">
        <v>236</v>
      </c>
      <c r="R896">
        <v>368</v>
      </c>
    </row>
    <row r="897" spans="1:18" x14ac:dyDescent="0.2">
      <c r="A897">
        <v>2</v>
      </c>
      <c r="B897" t="s">
        <v>87</v>
      </c>
      <c r="E897" t="s">
        <v>36</v>
      </c>
      <c r="F897">
        <v>1574559</v>
      </c>
      <c r="G897">
        <v>6</v>
      </c>
      <c r="H897">
        <v>1</v>
      </c>
      <c r="I897">
        <v>644</v>
      </c>
      <c r="J897">
        <v>2016</v>
      </c>
      <c r="K897" s="4">
        <v>45340</v>
      </c>
      <c r="L897" t="s">
        <v>23</v>
      </c>
      <c r="M897" t="s">
        <v>52</v>
      </c>
      <c r="N897">
        <v>2.0699999999999998</v>
      </c>
      <c r="O897">
        <v>2337</v>
      </c>
      <c r="P897">
        <v>4.53</v>
      </c>
      <c r="Q897">
        <v>345</v>
      </c>
      <c r="R897">
        <v>629</v>
      </c>
    </row>
    <row r="898" spans="1:18" x14ac:dyDescent="0.2">
      <c r="A898">
        <v>8</v>
      </c>
      <c r="B898" t="s">
        <v>53</v>
      </c>
      <c r="E898" t="s">
        <v>36</v>
      </c>
      <c r="F898">
        <v>522380</v>
      </c>
      <c r="G898">
        <v>3</v>
      </c>
      <c r="H898">
        <v>3</v>
      </c>
      <c r="I898">
        <v>940</v>
      </c>
      <c r="J898">
        <v>1960</v>
      </c>
      <c r="K898" s="4">
        <v>45591</v>
      </c>
      <c r="L898" t="s">
        <v>20</v>
      </c>
      <c r="M898" t="s">
        <v>70</v>
      </c>
      <c r="N898">
        <v>1.52</v>
      </c>
      <c r="O898">
        <v>951</v>
      </c>
      <c r="P898">
        <v>3.51</v>
      </c>
      <c r="Q898">
        <v>265</v>
      </c>
      <c r="R898">
        <v>620</v>
      </c>
    </row>
    <row r="899" spans="1:18" x14ac:dyDescent="0.2">
      <c r="A899">
        <v>7</v>
      </c>
      <c r="B899" t="s">
        <v>75</v>
      </c>
      <c r="E899" t="s">
        <v>36</v>
      </c>
      <c r="F899">
        <v>2763539</v>
      </c>
      <c r="G899">
        <v>3</v>
      </c>
      <c r="H899">
        <v>3</v>
      </c>
      <c r="I899">
        <v>411</v>
      </c>
      <c r="J899">
        <v>1982</v>
      </c>
      <c r="K899" s="4">
        <v>44161</v>
      </c>
      <c r="L899" t="s">
        <v>23</v>
      </c>
      <c r="M899" t="s">
        <v>33</v>
      </c>
      <c r="N899">
        <v>2.84</v>
      </c>
      <c r="O899">
        <v>2175</v>
      </c>
      <c r="P899">
        <v>0.95</v>
      </c>
      <c r="Q899">
        <v>147</v>
      </c>
      <c r="R899">
        <v>591</v>
      </c>
    </row>
    <row r="900" spans="1:18" x14ac:dyDescent="0.2">
      <c r="A900">
        <v>8</v>
      </c>
      <c r="B900" t="s">
        <v>91</v>
      </c>
      <c r="E900" t="s">
        <v>51</v>
      </c>
      <c r="F900">
        <v>638495</v>
      </c>
      <c r="G900">
        <v>6</v>
      </c>
      <c r="H900">
        <v>3</v>
      </c>
      <c r="I900">
        <v>899</v>
      </c>
      <c r="J900">
        <v>1957</v>
      </c>
      <c r="K900" s="4">
        <v>44827</v>
      </c>
      <c r="L900" t="s">
        <v>20</v>
      </c>
      <c r="M900" t="s">
        <v>59</v>
      </c>
      <c r="N900">
        <v>1.51</v>
      </c>
      <c r="O900">
        <v>1567</v>
      </c>
      <c r="P900">
        <v>3.35</v>
      </c>
      <c r="Q900">
        <v>381</v>
      </c>
      <c r="R900">
        <v>384</v>
      </c>
    </row>
    <row r="901" spans="1:18" x14ac:dyDescent="0.2">
      <c r="A901">
        <v>0</v>
      </c>
      <c r="B901" t="s">
        <v>64</v>
      </c>
      <c r="E901" t="s">
        <v>19</v>
      </c>
      <c r="F901">
        <v>1485217</v>
      </c>
      <c r="G901">
        <v>3</v>
      </c>
      <c r="H901">
        <v>3</v>
      </c>
      <c r="I901">
        <v>397</v>
      </c>
      <c r="J901">
        <v>1979</v>
      </c>
      <c r="K901" s="4">
        <v>44758</v>
      </c>
      <c r="L901" t="s">
        <v>30</v>
      </c>
      <c r="M901" t="s">
        <v>27</v>
      </c>
      <c r="N901">
        <v>3.26</v>
      </c>
      <c r="O901">
        <v>2475</v>
      </c>
      <c r="P901">
        <v>2.4300000000000002</v>
      </c>
      <c r="Q901">
        <v>137</v>
      </c>
      <c r="R901">
        <v>657</v>
      </c>
    </row>
    <row r="902" spans="1:18" x14ac:dyDescent="0.2">
      <c r="A902">
        <v>3</v>
      </c>
      <c r="B902" t="s">
        <v>61</v>
      </c>
      <c r="E902" t="s">
        <v>51</v>
      </c>
      <c r="F902">
        <v>2032533</v>
      </c>
      <c r="G902">
        <v>2</v>
      </c>
      <c r="H902">
        <v>1</v>
      </c>
      <c r="I902">
        <v>843</v>
      </c>
      <c r="J902">
        <v>1996</v>
      </c>
      <c r="K902" s="4">
        <v>44264</v>
      </c>
      <c r="L902" t="s">
        <v>23</v>
      </c>
      <c r="M902" t="s">
        <v>60</v>
      </c>
      <c r="N902">
        <v>2.85</v>
      </c>
      <c r="O902">
        <v>2366</v>
      </c>
      <c r="P902">
        <v>1.92</v>
      </c>
      <c r="Q902">
        <v>117</v>
      </c>
      <c r="R902">
        <v>522</v>
      </c>
    </row>
    <row r="903" spans="1:18" x14ac:dyDescent="0.2">
      <c r="A903">
        <v>3</v>
      </c>
      <c r="B903" t="s">
        <v>80</v>
      </c>
      <c r="E903" t="s">
        <v>29</v>
      </c>
      <c r="F903">
        <v>1777820</v>
      </c>
      <c r="G903">
        <v>5</v>
      </c>
      <c r="H903">
        <v>3</v>
      </c>
      <c r="I903">
        <v>210</v>
      </c>
      <c r="J903">
        <v>1971</v>
      </c>
      <c r="K903" s="4">
        <v>44538</v>
      </c>
      <c r="L903" t="s">
        <v>20</v>
      </c>
      <c r="M903" t="s">
        <v>69</v>
      </c>
      <c r="N903">
        <v>2.74</v>
      </c>
      <c r="O903">
        <v>1711</v>
      </c>
      <c r="P903">
        <v>2.89</v>
      </c>
      <c r="Q903">
        <v>301</v>
      </c>
      <c r="R903">
        <v>349</v>
      </c>
    </row>
    <row r="904" spans="1:18" x14ac:dyDescent="0.2">
      <c r="A904">
        <v>2</v>
      </c>
      <c r="B904" t="s">
        <v>93</v>
      </c>
      <c r="E904" t="s">
        <v>36</v>
      </c>
      <c r="F904">
        <v>2993412</v>
      </c>
      <c r="G904">
        <v>3</v>
      </c>
      <c r="H904">
        <v>3</v>
      </c>
      <c r="I904">
        <v>852</v>
      </c>
      <c r="J904">
        <v>1962</v>
      </c>
      <c r="K904" s="4">
        <v>44764</v>
      </c>
      <c r="L904" t="s">
        <v>30</v>
      </c>
      <c r="M904" t="s">
        <v>24</v>
      </c>
      <c r="N904">
        <v>3.05</v>
      </c>
      <c r="O904">
        <v>1390</v>
      </c>
      <c r="P904">
        <v>3.9</v>
      </c>
      <c r="Q904">
        <v>233</v>
      </c>
      <c r="R904">
        <v>598</v>
      </c>
    </row>
    <row r="905" spans="1:18" x14ac:dyDescent="0.2">
      <c r="A905">
        <v>2</v>
      </c>
      <c r="B905" t="s">
        <v>88</v>
      </c>
      <c r="E905" t="s">
        <v>36</v>
      </c>
      <c r="F905">
        <v>2108124</v>
      </c>
      <c r="G905">
        <v>3</v>
      </c>
      <c r="H905">
        <v>2</v>
      </c>
      <c r="I905">
        <v>284</v>
      </c>
      <c r="J905">
        <v>2021</v>
      </c>
      <c r="K905" s="4">
        <v>44316</v>
      </c>
      <c r="L905" t="s">
        <v>30</v>
      </c>
      <c r="M905" t="s">
        <v>45</v>
      </c>
      <c r="N905">
        <v>1.71</v>
      </c>
      <c r="O905">
        <v>2079</v>
      </c>
      <c r="P905">
        <v>2.4900000000000002</v>
      </c>
      <c r="Q905">
        <v>231</v>
      </c>
      <c r="R905">
        <v>439</v>
      </c>
    </row>
    <row r="906" spans="1:18" x14ac:dyDescent="0.2">
      <c r="A906">
        <v>2</v>
      </c>
      <c r="B906" t="s">
        <v>72</v>
      </c>
      <c r="E906" t="s">
        <v>19</v>
      </c>
      <c r="F906">
        <v>416955</v>
      </c>
      <c r="G906">
        <v>2</v>
      </c>
      <c r="H906">
        <v>3</v>
      </c>
      <c r="I906">
        <v>217</v>
      </c>
      <c r="J906">
        <v>2015</v>
      </c>
      <c r="K906" s="4">
        <v>45153</v>
      </c>
      <c r="L906" t="s">
        <v>23</v>
      </c>
      <c r="M906" t="s">
        <v>42</v>
      </c>
      <c r="N906">
        <v>2.69</v>
      </c>
      <c r="O906">
        <v>861</v>
      </c>
      <c r="P906">
        <v>1.08</v>
      </c>
      <c r="Q906">
        <v>216</v>
      </c>
      <c r="R906">
        <v>363</v>
      </c>
    </row>
    <row r="907" spans="1:18" x14ac:dyDescent="0.2">
      <c r="A907">
        <v>1</v>
      </c>
      <c r="B907" t="s">
        <v>71</v>
      </c>
      <c r="E907" t="s">
        <v>36</v>
      </c>
      <c r="F907">
        <v>1910274</v>
      </c>
      <c r="G907">
        <v>1</v>
      </c>
      <c r="H907">
        <v>1</v>
      </c>
      <c r="I907">
        <v>298</v>
      </c>
      <c r="J907">
        <v>1981</v>
      </c>
      <c r="K907" s="4">
        <v>45742</v>
      </c>
      <c r="L907" t="s">
        <v>20</v>
      </c>
      <c r="M907" t="s">
        <v>70</v>
      </c>
      <c r="N907">
        <v>1.5</v>
      </c>
      <c r="O907">
        <v>1077</v>
      </c>
      <c r="P907">
        <v>4.3600000000000003</v>
      </c>
      <c r="Q907">
        <v>154</v>
      </c>
      <c r="R907">
        <v>571</v>
      </c>
    </row>
    <row r="908" spans="1:18" x14ac:dyDescent="0.2">
      <c r="A908">
        <v>4</v>
      </c>
      <c r="B908" t="s">
        <v>73</v>
      </c>
      <c r="E908" t="s">
        <v>36</v>
      </c>
      <c r="F908">
        <v>804463</v>
      </c>
      <c r="G908">
        <v>2</v>
      </c>
      <c r="H908">
        <v>1</v>
      </c>
      <c r="I908">
        <v>970</v>
      </c>
      <c r="J908">
        <v>1952</v>
      </c>
      <c r="K908" s="4">
        <v>45390</v>
      </c>
      <c r="L908" t="s">
        <v>23</v>
      </c>
      <c r="M908" t="s">
        <v>33</v>
      </c>
      <c r="N908">
        <v>2.0299999999999998</v>
      </c>
      <c r="O908">
        <v>1663</v>
      </c>
      <c r="P908">
        <v>3.85</v>
      </c>
      <c r="Q908">
        <v>54</v>
      </c>
      <c r="R908">
        <v>519</v>
      </c>
    </row>
    <row r="909" spans="1:18" x14ac:dyDescent="0.2">
      <c r="A909">
        <v>7</v>
      </c>
      <c r="B909" t="s">
        <v>96</v>
      </c>
      <c r="E909" t="s">
        <v>36</v>
      </c>
      <c r="F909">
        <v>2293007</v>
      </c>
      <c r="G909">
        <v>1</v>
      </c>
      <c r="H909">
        <v>3</v>
      </c>
      <c r="I909">
        <v>135</v>
      </c>
      <c r="J909">
        <v>1961</v>
      </c>
      <c r="K909" s="4">
        <v>44164</v>
      </c>
      <c r="L909" t="s">
        <v>30</v>
      </c>
      <c r="M909" t="s">
        <v>40</v>
      </c>
      <c r="N909">
        <v>3.18</v>
      </c>
      <c r="O909">
        <v>1050</v>
      </c>
      <c r="P909">
        <v>3.87</v>
      </c>
      <c r="Q909">
        <v>149</v>
      </c>
      <c r="R909">
        <v>650</v>
      </c>
    </row>
    <row r="910" spans="1:18" x14ac:dyDescent="0.2">
      <c r="A910">
        <v>5</v>
      </c>
      <c r="B910" t="s">
        <v>44</v>
      </c>
      <c r="E910" t="s">
        <v>29</v>
      </c>
      <c r="F910">
        <v>973495</v>
      </c>
      <c r="G910">
        <v>3</v>
      </c>
      <c r="H910">
        <v>1</v>
      </c>
      <c r="I910">
        <v>846</v>
      </c>
      <c r="J910">
        <v>1972</v>
      </c>
      <c r="K910" s="4">
        <v>44948</v>
      </c>
      <c r="L910" t="s">
        <v>30</v>
      </c>
      <c r="M910" t="s">
        <v>82</v>
      </c>
      <c r="N910">
        <v>2.64</v>
      </c>
      <c r="O910">
        <v>1584</v>
      </c>
      <c r="P910">
        <v>1.63</v>
      </c>
      <c r="Q910">
        <v>139</v>
      </c>
      <c r="R910">
        <v>550</v>
      </c>
    </row>
    <row r="911" spans="1:18" x14ac:dyDescent="0.2">
      <c r="A911">
        <v>6</v>
      </c>
      <c r="B911" t="s">
        <v>87</v>
      </c>
      <c r="E911" t="s">
        <v>19</v>
      </c>
      <c r="F911">
        <v>2549127</v>
      </c>
      <c r="G911">
        <v>4</v>
      </c>
      <c r="H911">
        <v>2</v>
      </c>
      <c r="I911">
        <v>70</v>
      </c>
      <c r="J911">
        <v>1982</v>
      </c>
      <c r="K911" s="4">
        <v>45179</v>
      </c>
      <c r="L911" t="s">
        <v>20</v>
      </c>
      <c r="M911" t="s">
        <v>82</v>
      </c>
      <c r="N911">
        <v>2.2400000000000002</v>
      </c>
      <c r="O911">
        <v>949</v>
      </c>
      <c r="P911">
        <v>3.95</v>
      </c>
      <c r="Q911">
        <v>196</v>
      </c>
      <c r="R911">
        <v>626</v>
      </c>
    </row>
    <row r="912" spans="1:18" x14ac:dyDescent="0.2">
      <c r="A912">
        <v>1</v>
      </c>
      <c r="B912" t="s">
        <v>84</v>
      </c>
      <c r="E912" t="s">
        <v>29</v>
      </c>
      <c r="F912">
        <v>426548</v>
      </c>
      <c r="G912">
        <v>2</v>
      </c>
      <c r="H912">
        <v>2</v>
      </c>
      <c r="I912">
        <v>206</v>
      </c>
      <c r="J912">
        <v>1969</v>
      </c>
      <c r="K912" s="4">
        <v>45614</v>
      </c>
      <c r="L912" t="s">
        <v>26</v>
      </c>
      <c r="M912" t="s">
        <v>31</v>
      </c>
      <c r="N912">
        <v>2.94</v>
      </c>
      <c r="O912">
        <v>1827</v>
      </c>
      <c r="P912">
        <v>1.34</v>
      </c>
      <c r="Q912">
        <v>232</v>
      </c>
      <c r="R912">
        <v>580</v>
      </c>
    </row>
    <row r="913" spans="1:18" x14ac:dyDescent="0.2">
      <c r="A913">
        <v>3</v>
      </c>
      <c r="B913" t="s">
        <v>101</v>
      </c>
      <c r="E913" t="s">
        <v>36</v>
      </c>
      <c r="F913">
        <v>1956930</v>
      </c>
      <c r="G913">
        <v>2</v>
      </c>
      <c r="H913">
        <v>1</v>
      </c>
      <c r="I913">
        <v>350</v>
      </c>
      <c r="J913">
        <v>1985</v>
      </c>
      <c r="K913" s="4">
        <v>44314</v>
      </c>
      <c r="L913" t="s">
        <v>23</v>
      </c>
      <c r="M913" t="s">
        <v>78</v>
      </c>
      <c r="N913">
        <v>2.75</v>
      </c>
      <c r="O913">
        <v>1785</v>
      </c>
      <c r="P913">
        <v>1.56</v>
      </c>
      <c r="Q913">
        <v>99</v>
      </c>
      <c r="R913">
        <v>661</v>
      </c>
    </row>
    <row r="914" spans="1:18" x14ac:dyDescent="0.2">
      <c r="A914">
        <v>3</v>
      </c>
      <c r="B914" t="s">
        <v>46</v>
      </c>
      <c r="E914" t="s">
        <v>51</v>
      </c>
      <c r="F914">
        <v>2222595</v>
      </c>
      <c r="G914">
        <v>3</v>
      </c>
      <c r="H914">
        <v>3</v>
      </c>
      <c r="I914">
        <v>462</v>
      </c>
      <c r="J914">
        <v>2015</v>
      </c>
      <c r="K914" s="4">
        <v>45210</v>
      </c>
      <c r="L914" t="s">
        <v>20</v>
      </c>
      <c r="M914" t="s">
        <v>78</v>
      </c>
      <c r="N914">
        <v>2.04</v>
      </c>
      <c r="O914">
        <v>2387</v>
      </c>
      <c r="P914">
        <v>2.67</v>
      </c>
      <c r="Q914">
        <v>167</v>
      </c>
      <c r="R914">
        <v>312</v>
      </c>
    </row>
    <row r="915" spans="1:18" x14ac:dyDescent="0.2">
      <c r="A915">
        <v>0</v>
      </c>
      <c r="B915" t="s">
        <v>57</v>
      </c>
      <c r="E915" t="s">
        <v>51</v>
      </c>
      <c r="F915">
        <v>625821</v>
      </c>
      <c r="G915">
        <v>4</v>
      </c>
      <c r="H915">
        <v>1</v>
      </c>
      <c r="I915">
        <v>503</v>
      </c>
      <c r="J915">
        <v>2004</v>
      </c>
      <c r="K915" s="4">
        <v>45843</v>
      </c>
      <c r="L915" t="s">
        <v>26</v>
      </c>
      <c r="M915" t="s">
        <v>45</v>
      </c>
      <c r="N915">
        <v>2.99</v>
      </c>
      <c r="O915">
        <v>941</v>
      </c>
      <c r="P915">
        <v>4.8499999999999996</v>
      </c>
      <c r="Q915">
        <v>266</v>
      </c>
      <c r="R915">
        <v>628</v>
      </c>
    </row>
    <row r="916" spans="1:18" x14ac:dyDescent="0.2">
      <c r="A916">
        <v>4</v>
      </c>
      <c r="B916" t="s">
        <v>84</v>
      </c>
      <c r="E916" t="s">
        <v>29</v>
      </c>
      <c r="F916">
        <v>842631</v>
      </c>
      <c r="G916">
        <v>1</v>
      </c>
      <c r="H916">
        <v>3</v>
      </c>
      <c r="I916">
        <v>289</v>
      </c>
      <c r="J916">
        <v>2004</v>
      </c>
      <c r="K916" s="4">
        <v>44420</v>
      </c>
      <c r="L916" t="s">
        <v>30</v>
      </c>
      <c r="M916" t="s">
        <v>66</v>
      </c>
      <c r="N916">
        <v>3.37</v>
      </c>
      <c r="O916">
        <v>2312</v>
      </c>
      <c r="P916">
        <v>3.71</v>
      </c>
      <c r="Q916">
        <v>118</v>
      </c>
      <c r="R916">
        <v>336</v>
      </c>
    </row>
    <row r="917" spans="1:18" x14ac:dyDescent="0.2">
      <c r="A917">
        <v>0</v>
      </c>
      <c r="B917" t="s">
        <v>93</v>
      </c>
      <c r="E917" t="s">
        <v>29</v>
      </c>
      <c r="F917">
        <v>468125</v>
      </c>
      <c r="G917">
        <v>5</v>
      </c>
      <c r="H917">
        <v>1</v>
      </c>
      <c r="I917">
        <v>737</v>
      </c>
      <c r="J917">
        <v>2022</v>
      </c>
      <c r="K917" s="4">
        <v>44143</v>
      </c>
      <c r="L917" t="s">
        <v>20</v>
      </c>
      <c r="M917" t="s">
        <v>27</v>
      </c>
      <c r="N917">
        <v>2.98</v>
      </c>
      <c r="O917">
        <v>2437</v>
      </c>
      <c r="P917">
        <v>3.35</v>
      </c>
      <c r="Q917">
        <v>275</v>
      </c>
      <c r="R917">
        <v>518</v>
      </c>
    </row>
    <row r="918" spans="1:18" x14ac:dyDescent="0.2">
      <c r="A918">
        <v>0</v>
      </c>
      <c r="B918" t="s">
        <v>46</v>
      </c>
      <c r="E918" t="s">
        <v>29</v>
      </c>
      <c r="F918">
        <v>621438</v>
      </c>
      <c r="G918">
        <v>4</v>
      </c>
      <c r="H918">
        <v>2</v>
      </c>
      <c r="I918">
        <v>147</v>
      </c>
      <c r="J918">
        <v>1955</v>
      </c>
      <c r="K918" s="4">
        <v>45109</v>
      </c>
      <c r="L918" t="s">
        <v>26</v>
      </c>
      <c r="M918" t="s">
        <v>40</v>
      </c>
      <c r="N918">
        <v>1.53</v>
      </c>
      <c r="O918">
        <v>1900</v>
      </c>
      <c r="P918">
        <v>3.58</v>
      </c>
      <c r="Q918">
        <v>393</v>
      </c>
      <c r="R918">
        <v>640</v>
      </c>
    </row>
    <row r="919" spans="1:18" x14ac:dyDescent="0.2">
      <c r="A919">
        <v>4</v>
      </c>
      <c r="B919" t="s">
        <v>87</v>
      </c>
      <c r="E919" t="s">
        <v>51</v>
      </c>
      <c r="F919">
        <v>1127519</v>
      </c>
      <c r="G919">
        <v>1</v>
      </c>
      <c r="H919">
        <v>1</v>
      </c>
      <c r="I919">
        <v>724</v>
      </c>
      <c r="J919">
        <v>1982</v>
      </c>
      <c r="K919" s="4">
        <v>45503</v>
      </c>
      <c r="L919" t="s">
        <v>23</v>
      </c>
      <c r="M919" t="s">
        <v>35</v>
      </c>
      <c r="N919">
        <v>2.94</v>
      </c>
      <c r="O919">
        <v>1575</v>
      </c>
      <c r="P919">
        <v>3.11</v>
      </c>
      <c r="Q919">
        <v>135</v>
      </c>
      <c r="R919">
        <v>355</v>
      </c>
    </row>
    <row r="920" spans="1:18" x14ac:dyDescent="0.2">
      <c r="A920">
        <v>2</v>
      </c>
      <c r="B920" t="s">
        <v>43</v>
      </c>
      <c r="E920" t="s">
        <v>29</v>
      </c>
      <c r="F920">
        <v>2913937</v>
      </c>
      <c r="G920">
        <v>2</v>
      </c>
      <c r="H920">
        <v>3</v>
      </c>
      <c r="I920">
        <v>454</v>
      </c>
      <c r="J920">
        <v>1957</v>
      </c>
      <c r="K920" s="4">
        <v>44215</v>
      </c>
      <c r="L920" t="s">
        <v>23</v>
      </c>
      <c r="M920" t="s">
        <v>56</v>
      </c>
      <c r="N920">
        <v>2.41</v>
      </c>
      <c r="O920">
        <v>1913</v>
      </c>
      <c r="P920">
        <v>1.88</v>
      </c>
      <c r="Q920">
        <v>75</v>
      </c>
      <c r="R920">
        <v>413</v>
      </c>
    </row>
    <row r="921" spans="1:18" x14ac:dyDescent="0.2">
      <c r="A921">
        <v>6</v>
      </c>
      <c r="B921" t="s">
        <v>62</v>
      </c>
      <c r="E921" t="s">
        <v>29</v>
      </c>
      <c r="F921">
        <v>703138</v>
      </c>
      <c r="G921">
        <v>0</v>
      </c>
      <c r="H921">
        <v>1</v>
      </c>
      <c r="I921">
        <v>199</v>
      </c>
      <c r="J921">
        <v>1998</v>
      </c>
      <c r="K921" s="4">
        <v>45129</v>
      </c>
      <c r="L921" t="s">
        <v>23</v>
      </c>
      <c r="M921" t="s">
        <v>74</v>
      </c>
      <c r="N921">
        <v>1.87</v>
      </c>
      <c r="O921">
        <v>1075</v>
      </c>
      <c r="P921">
        <v>0.7</v>
      </c>
      <c r="Q921">
        <v>76</v>
      </c>
      <c r="R921">
        <v>361</v>
      </c>
    </row>
    <row r="922" spans="1:18" x14ac:dyDescent="0.2">
      <c r="A922">
        <v>1</v>
      </c>
      <c r="B922" t="s">
        <v>25</v>
      </c>
      <c r="E922" t="s">
        <v>29</v>
      </c>
      <c r="F922">
        <v>1997807</v>
      </c>
      <c r="G922">
        <v>6</v>
      </c>
      <c r="H922">
        <v>1</v>
      </c>
      <c r="I922">
        <v>791</v>
      </c>
      <c r="J922">
        <v>1999</v>
      </c>
      <c r="K922" s="4">
        <v>45240</v>
      </c>
      <c r="L922" t="s">
        <v>20</v>
      </c>
      <c r="M922" t="s">
        <v>27</v>
      </c>
      <c r="N922">
        <v>2.17</v>
      </c>
      <c r="O922">
        <v>2174</v>
      </c>
      <c r="P922">
        <v>2.02</v>
      </c>
      <c r="Q922">
        <v>344</v>
      </c>
      <c r="R922">
        <v>377</v>
      </c>
    </row>
    <row r="923" spans="1:18" x14ac:dyDescent="0.2">
      <c r="A923">
        <v>7</v>
      </c>
      <c r="B923" t="s">
        <v>79</v>
      </c>
      <c r="E923" t="s">
        <v>36</v>
      </c>
      <c r="F923">
        <v>1245710</v>
      </c>
      <c r="G923">
        <v>4</v>
      </c>
      <c r="H923">
        <v>2</v>
      </c>
      <c r="I923">
        <v>403</v>
      </c>
      <c r="J923">
        <v>2002</v>
      </c>
      <c r="K923" s="4">
        <v>45339</v>
      </c>
      <c r="L923" t="s">
        <v>20</v>
      </c>
      <c r="M923" t="s">
        <v>35</v>
      </c>
      <c r="N923">
        <v>3.01</v>
      </c>
      <c r="O923">
        <v>1953</v>
      </c>
      <c r="P923">
        <v>4.4800000000000004</v>
      </c>
      <c r="Q923">
        <v>397</v>
      </c>
      <c r="R923">
        <v>306</v>
      </c>
    </row>
    <row r="924" spans="1:18" x14ac:dyDescent="0.2">
      <c r="A924">
        <v>5</v>
      </c>
      <c r="B924" t="s">
        <v>49</v>
      </c>
      <c r="E924" t="s">
        <v>51</v>
      </c>
      <c r="F924">
        <v>1745275</v>
      </c>
      <c r="G924">
        <v>1</v>
      </c>
      <c r="H924">
        <v>3</v>
      </c>
      <c r="I924">
        <v>412</v>
      </c>
      <c r="J924">
        <v>1999</v>
      </c>
      <c r="K924" s="4">
        <v>44561</v>
      </c>
      <c r="L924" t="s">
        <v>23</v>
      </c>
      <c r="M924" t="s">
        <v>54</v>
      </c>
      <c r="N924">
        <v>1.52</v>
      </c>
      <c r="O924">
        <v>2251</v>
      </c>
      <c r="P924">
        <v>0.7</v>
      </c>
      <c r="Q924">
        <v>86</v>
      </c>
      <c r="R924">
        <v>454</v>
      </c>
    </row>
    <row r="925" spans="1:18" x14ac:dyDescent="0.2">
      <c r="A925">
        <v>7</v>
      </c>
      <c r="B925" t="s">
        <v>67</v>
      </c>
      <c r="E925" t="s">
        <v>29</v>
      </c>
      <c r="F925">
        <v>2852802</v>
      </c>
      <c r="G925">
        <v>3</v>
      </c>
      <c r="H925">
        <v>1</v>
      </c>
      <c r="I925">
        <v>436</v>
      </c>
      <c r="J925">
        <v>1967</v>
      </c>
      <c r="K925" s="4">
        <v>45412</v>
      </c>
      <c r="L925" t="s">
        <v>23</v>
      </c>
      <c r="M925" t="s">
        <v>77</v>
      </c>
      <c r="N925">
        <v>2.87</v>
      </c>
      <c r="O925">
        <v>1313</v>
      </c>
      <c r="P925">
        <v>2.42</v>
      </c>
      <c r="Q925">
        <v>185</v>
      </c>
      <c r="R925">
        <v>341</v>
      </c>
    </row>
    <row r="926" spans="1:18" x14ac:dyDescent="0.2">
      <c r="A926">
        <v>3</v>
      </c>
      <c r="B926" t="s">
        <v>43</v>
      </c>
      <c r="E926" t="s">
        <v>29</v>
      </c>
      <c r="F926">
        <v>1980091</v>
      </c>
      <c r="G926">
        <v>2</v>
      </c>
      <c r="H926">
        <v>2</v>
      </c>
      <c r="I926">
        <v>283</v>
      </c>
      <c r="J926">
        <v>2009</v>
      </c>
      <c r="K926" s="4">
        <v>44901</v>
      </c>
      <c r="L926" t="s">
        <v>23</v>
      </c>
      <c r="M926" t="s">
        <v>52</v>
      </c>
      <c r="N926">
        <v>1.68</v>
      </c>
      <c r="O926">
        <v>863</v>
      </c>
      <c r="P926">
        <v>4.6100000000000003</v>
      </c>
      <c r="Q926">
        <v>51</v>
      </c>
      <c r="R926">
        <v>569</v>
      </c>
    </row>
    <row r="927" spans="1:18" x14ac:dyDescent="0.2">
      <c r="A927">
        <v>3</v>
      </c>
      <c r="B927" t="s">
        <v>83</v>
      </c>
      <c r="E927" t="s">
        <v>51</v>
      </c>
      <c r="F927">
        <v>2093503</v>
      </c>
      <c r="G927">
        <v>3</v>
      </c>
      <c r="H927">
        <v>3</v>
      </c>
      <c r="I927">
        <v>713</v>
      </c>
      <c r="J927">
        <v>1987</v>
      </c>
      <c r="K927" s="4">
        <v>44090</v>
      </c>
      <c r="L927" t="s">
        <v>23</v>
      </c>
      <c r="M927" t="s">
        <v>47</v>
      </c>
      <c r="N927">
        <v>2.52</v>
      </c>
      <c r="O927">
        <v>808</v>
      </c>
      <c r="P927">
        <v>3.77</v>
      </c>
      <c r="Q927">
        <v>133</v>
      </c>
      <c r="R927">
        <v>445</v>
      </c>
    </row>
    <row r="928" spans="1:18" x14ac:dyDescent="0.2">
      <c r="A928">
        <v>4</v>
      </c>
      <c r="B928" t="s">
        <v>73</v>
      </c>
      <c r="E928" t="s">
        <v>51</v>
      </c>
      <c r="F928">
        <v>903997</v>
      </c>
      <c r="G928">
        <v>5</v>
      </c>
      <c r="H928">
        <v>2</v>
      </c>
      <c r="I928">
        <v>172</v>
      </c>
      <c r="J928">
        <v>1989</v>
      </c>
      <c r="K928" s="4">
        <v>45619</v>
      </c>
      <c r="L928" t="s">
        <v>26</v>
      </c>
      <c r="M928" t="s">
        <v>63</v>
      </c>
      <c r="N928">
        <v>1.88</v>
      </c>
      <c r="O928">
        <v>1453</v>
      </c>
      <c r="P928">
        <v>3.35</v>
      </c>
      <c r="Q928">
        <v>356</v>
      </c>
      <c r="R928">
        <v>382</v>
      </c>
    </row>
    <row r="929" spans="1:18" x14ac:dyDescent="0.2">
      <c r="A929">
        <v>8</v>
      </c>
      <c r="B929" t="s">
        <v>53</v>
      </c>
      <c r="E929" t="s">
        <v>29</v>
      </c>
      <c r="F929">
        <v>1671063</v>
      </c>
      <c r="G929">
        <v>3</v>
      </c>
      <c r="H929">
        <v>2</v>
      </c>
      <c r="I929">
        <v>637</v>
      </c>
      <c r="J929">
        <v>2012</v>
      </c>
      <c r="K929" s="4">
        <v>44951</v>
      </c>
      <c r="L929" t="s">
        <v>30</v>
      </c>
      <c r="M929" t="s">
        <v>31</v>
      </c>
      <c r="N929">
        <v>2.76</v>
      </c>
      <c r="O929">
        <v>2059</v>
      </c>
      <c r="P929">
        <v>4.25</v>
      </c>
      <c r="Q929">
        <v>249</v>
      </c>
      <c r="R929">
        <v>570</v>
      </c>
    </row>
    <row r="930" spans="1:18" x14ac:dyDescent="0.2">
      <c r="A930">
        <v>3</v>
      </c>
      <c r="B930" t="s">
        <v>71</v>
      </c>
      <c r="E930" t="s">
        <v>29</v>
      </c>
      <c r="F930">
        <v>1415537</v>
      </c>
      <c r="G930">
        <v>3</v>
      </c>
      <c r="H930">
        <v>1</v>
      </c>
      <c r="I930">
        <v>713</v>
      </c>
      <c r="J930">
        <v>1966</v>
      </c>
      <c r="K930" s="4">
        <v>45830</v>
      </c>
      <c r="L930" t="s">
        <v>30</v>
      </c>
      <c r="M930" t="s">
        <v>66</v>
      </c>
      <c r="N930">
        <v>2.2200000000000002</v>
      </c>
      <c r="O930">
        <v>2039</v>
      </c>
      <c r="P930">
        <v>2.5299999999999998</v>
      </c>
      <c r="Q930">
        <v>305</v>
      </c>
      <c r="R930">
        <v>339</v>
      </c>
    </row>
    <row r="931" spans="1:18" x14ac:dyDescent="0.2">
      <c r="A931">
        <v>1</v>
      </c>
      <c r="B931" t="s">
        <v>32</v>
      </c>
      <c r="E931" t="s">
        <v>19</v>
      </c>
      <c r="F931">
        <v>1064179</v>
      </c>
      <c r="G931">
        <v>1</v>
      </c>
      <c r="H931">
        <v>3</v>
      </c>
      <c r="I931">
        <v>81</v>
      </c>
      <c r="J931">
        <v>2003</v>
      </c>
      <c r="K931" s="4">
        <v>45039</v>
      </c>
      <c r="L931" t="s">
        <v>30</v>
      </c>
      <c r="M931" t="s">
        <v>21</v>
      </c>
      <c r="N931">
        <v>3.15</v>
      </c>
      <c r="O931">
        <v>1935</v>
      </c>
      <c r="P931">
        <v>3.66</v>
      </c>
      <c r="Q931">
        <v>61</v>
      </c>
      <c r="R931">
        <v>549</v>
      </c>
    </row>
    <row r="932" spans="1:18" x14ac:dyDescent="0.2">
      <c r="A932">
        <v>6</v>
      </c>
      <c r="B932" t="s">
        <v>57</v>
      </c>
      <c r="E932" t="s">
        <v>29</v>
      </c>
      <c r="F932">
        <v>1415221</v>
      </c>
      <c r="G932">
        <v>2</v>
      </c>
      <c r="H932">
        <v>3</v>
      </c>
      <c r="I932">
        <v>405</v>
      </c>
      <c r="J932">
        <v>1950</v>
      </c>
      <c r="K932" s="4">
        <v>45501</v>
      </c>
      <c r="L932" t="s">
        <v>30</v>
      </c>
      <c r="M932" t="s">
        <v>97</v>
      </c>
      <c r="N932">
        <v>2.4</v>
      </c>
      <c r="O932">
        <v>2321</v>
      </c>
      <c r="P932">
        <v>0.98</v>
      </c>
      <c r="Q932">
        <v>188</v>
      </c>
      <c r="R932">
        <v>508</v>
      </c>
    </row>
    <row r="933" spans="1:18" x14ac:dyDescent="0.2">
      <c r="A933">
        <v>6</v>
      </c>
      <c r="B933" t="s">
        <v>101</v>
      </c>
      <c r="E933" t="s">
        <v>19</v>
      </c>
      <c r="F933">
        <v>639174</v>
      </c>
      <c r="G933">
        <v>0</v>
      </c>
      <c r="H933">
        <v>1</v>
      </c>
      <c r="I933">
        <v>805</v>
      </c>
      <c r="J933">
        <v>1951</v>
      </c>
      <c r="K933" s="4">
        <v>44298</v>
      </c>
      <c r="L933" t="s">
        <v>23</v>
      </c>
      <c r="M933" t="s">
        <v>42</v>
      </c>
      <c r="N933">
        <v>2.75</v>
      </c>
      <c r="O933">
        <v>2409</v>
      </c>
      <c r="P933">
        <v>0.44</v>
      </c>
      <c r="Q933">
        <v>79</v>
      </c>
      <c r="R933">
        <v>539</v>
      </c>
    </row>
    <row r="934" spans="1:18" x14ac:dyDescent="0.2">
      <c r="A934">
        <v>3</v>
      </c>
      <c r="B934" t="s">
        <v>104</v>
      </c>
      <c r="E934" t="s">
        <v>29</v>
      </c>
      <c r="F934">
        <v>2003179</v>
      </c>
      <c r="G934">
        <v>2</v>
      </c>
      <c r="H934">
        <v>2</v>
      </c>
      <c r="I934">
        <v>263</v>
      </c>
      <c r="J934">
        <v>1986</v>
      </c>
      <c r="K934" s="4">
        <v>44894</v>
      </c>
      <c r="L934" t="s">
        <v>26</v>
      </c>
      <c r="M934" t="s">
        <v>70</v>
      </c>
      <c r="N934">
        <v>3.49</v>
      </c>
      <c r="O934">
        <v>2347</v>
      </c>
      <c r="P934">
        <v>3.81</v>
      </c>
      <c r="Q934">
        <v>196</v>
      </c>
      <c r="R934">
        <v>423</v>
      </c>
    </row>
    <row r="935" spans="1:18" x14ac:dyDescent="0.2">
      <c r="A935">
        <v>0</v>
      </c>
      <c r="B935" t="s">
        <v>53</v>
      </c>
      <c r="E935" t="s">
        <v>29</v>
      </c>
      <c r="F935">
        <v>2073893</v>
      </c>
      <c r="G935">
        <v>5</v>
      </c>
      <c r="H935">
        <v>3</v>
      </c>
      <c r="I935">
        <v>328</v>
      </c>
      <c r="J935">
        <v>2011</v>
      </c>
      <c r="K935" s="4">
        <v>45610</v>
      </c>
      <c r="L935" t="s">
        <v>20</v>
      </c>
      <c r="M935" t="s">
        <v>69</v>
      </c>
      <c r="N935">
        <v>2.0099999999999998</v>
      </c>
      <c r="O935">
        <v>2148</v>
      </c>
      <c r="P935">
        <v>0.9</v>
      </c>
      <c r="Q935">
        <v>299</v>
      </c>
      <c r="R935">
        <v>599</v>
      </c>
    </row>
    <row r="936" spans="1:18" x14ac:dyDescent="0.2">
      <c r="A936">
        <v>7</v>
      </c>
      <c r="B936" t="s">
        <v>94</v>
      </c>
      <c r="E936" t="s">
        <v>19</v>
      </c>
      <c r="F936">
        <v>2034491</v>
      </c>
      <c r="G936">
        <v>2</v>
      </c>
      <c r="H936">
        <v>3</v>
      </c>
      <c r="I936">
        <v>488</v>
      </c>
      <c r="J936">
        <v>2000</v>
      </c>
      <c r="K936" s="4">
        <v>44119</v>
      </c>
      <c r="L936" t="s">
        <v>20</v>
      </c>
      <c r="M936" t="s">
        <v>27</v>
      </c>
      <c r="N936">
        <v>3.31</v>
      </c>
      <c r="O936">
        <v>1685</v>
      </c>
      <c r="P936">
        <v>2.76</v>
      </c>
      <c r="Q936">
        <v>43</v>
      </c>
      <c r="R936">
        <v>466</v>
      </c>
    </row>
    <row r="937" spans="1:18" x14ac:dyDescent="0.2">
      <c r="A937">
        <v>1</v>
      </c>
      <c r="B937" t="s">
        <v>67</v>
      </c>
      <c r="E937" t="s">
        <v>29</v>
      </c>
      <c r="F937">
        <v>1066541</v>
      </c>
      <c r="G937">
        <v>3</v>
      </c>
      <c r="H937">
        <v>2</v>
      </c>
      <c r="I937">
        <v>747</v>
      </c>
      <c r="J937">
        <v>1980</v>
      </c>
      <c r="K937" s="4">
        <v>45273</v>
      </c>
      <c r="L937" t="s">
        <v>23</v>
      </c>
      <c r="M937" t="s">
        <v>21</v>
      </c>
      <c r="N937">
        <v>3.45</v>
      </c>
      <c r="O937">
        <v>2421</v>
      </c>
      <c r="P937">
        <v>2.17</v>
      </c>
      <c r="Q937">
        <v>177</v>
      </c>
      <c r="R937">
        <v>611</v>
      </c>
    </row>
    <row r="938" spans="1:18" x14ac:dyDescent="0.2">
      <c r="A938">
        <v>9</v>
      </c>
      <c r="B938" t="s">
        <v>71</v>
      </c>
      <c r="E938" t="s">
        <v>19</v>
      </c>
      <c r="F938">
        <v>2152778</v>
      </c>
      <c r="G938">
        <v>5</v>
      </c>
      <c r="H938">
        <v>3</v>
      </c>
      <c r="I938">
        <v>652</v>
      </c>
      <c r="J938">
        <v>1994</v>
      </c>
      <c r="K938" s="4">
        <v>45848</v>
      </c>
      <c r="L938" t="s">
        <v>26</v>
      </c>
      <c r="M938" t="s">
        <v>85</v>
      </c>
      <c r="N938">
        <v>1.54</v>
      </c>
      <c r="O938">
        <v>1616</v>
      </c>
      <c r="P938">
        <v>2.71</v>
      </c>
      <c r="Q938">
        <v>331</v>
      </c>
      <c r="R938">
        <v>621</v>
      </c>
    </row>
    <row r="939" spans="1:18" x14ac:dyDescent="0.2">
      <c r="A939">
        <v>9</v>
      </c>
      <c r="B939" t="s">
        <v>72</v>
      </c>
      <c r="E939" t="s">
        <v>36</v>
      </c>
      <c r="F939">
        <v>959137</v>
      </c>
      <c r="G939">
        <v>4</v>
      </c>
      <c r="H939">
        <v>3</v>
      </c>
      <c r="I939">
        <v>488</v>
      </c>
      <c r="J939">
        <v>1992</v>
      </c>
      <c r="K939" s="4">
        <v>45845</v>
      </c>
      <c r="L939" t="s">
        <v>23</v>
      </c>
      <c r="M939" t="s">
        <v>52</v>
      </c>
      <c r="N939">
        <v>1.63</v>
      </c>
      <c r="O939">
        <v>1731</v>
      </c>
      <c r="P939">
        <v>0.94</v>
      </c>
      <c r="Q939">
        <v>232</v>
      </c>
      <c r="R939">
        <v>333</v>
      </c>
    </row>
    <row r="940" spans="1:18" x14ac:dyDescent="0.2">
      <c r="A940">
        <v>4</v>
      </c>
      <c r="B940" t="s">
        <v>57</v>
      </c>
      <c r="E940" t="s">
        <v>19</v>
      </c>
      <c r="F940">
        <v>2740129</v>
      </c>
      <c r="G940">
        <v>4</v>
      </c>
      <c r="H940">
        <v>3</v>
      </c>
      <c r="I940">
        <v>74</v>
      </c>
      <c r="J940">
        <v>1965</v>
      </c>
      <c r="K940" s="4">
        <v>44676</v>
      </c>
      <c r="L940" t="s">
        <v>23</v>
      </c>
      <c r="M940" t="s">
        <v>56</v>
      </c>
      <c r="N940">
        <v>2.08</v>
      </c>
      <c r="O940">
        <v>1237</v>
      </c>
      <c r="P940">
        <v>2.13</v>
      </c>
      <c r="Q940">
        <v>222</v>
      </c>
      <c r="R940">
        <v>351</v>
      </c>
    </row>
    <row r="941" spans="1:18" x14ac:dyDescent="0.2">
      <c r="A941">
        <v>8</v>
      </c>
      <c r="B941" t="s">
        <v>61</v>
      </c>
      <c r="E941" t="s">
        <v>36</v>
      </c>
      <c r="F941">
        <v>452515</v>
      </c>
      <c r="G941">
        <v>2</v>
      </c>
      <c r="H941">
        <v>1</v>
      </c>
      <c r="I941">
        <v>977</v>
      </c>
      <c r="J941">
        <v>2006</v>
      </c>
      <c r="K941" s="4">
        <v>44832</v>
      </c>
      <c r="L941" t="s">
        <v>20</v>
      </c>
      <c r="M941" t="s">
        <v>33</v>
      </c>
      <c r="N941">
        <v>2.04</v>
      </c>
      <c r="O941">
        <v>1096</v>
      </c>
      <c r="P941">
        <v>3.97</v>
      </c>
      <c r="Q941">
        <v>68</v>
      </c>
      <c r="R941">
        <v>629</v>
      </c>
    </row>
    <row r="942" spans="1:18" x14ac:dyDescent="0.2">
      <c r="A942">
        <v>3</v>
      </c>
      <c r="B942" t="s">
        <v>91</v>
      </c>
      <c r="E942" t="s">
        <v>29</v>
      </c>
      <c r="F942">
        <v>2185855</v>
      </c>
      <c r="G942">
        <v>4</v>
      </c>
      <c r="H942">
        <v>2</v>
      </c>
      <c r="I942">
        <v>359</v>
      </c>
      <c r="J942">
        <v>2017</v>
      </c>
      <c r="K942" s="4">
        <v>44207</v>
      </c>
      <c r="L942" t="s">
        <v>30</v>
      </c>
      <c r="M942" t="s">
        <v>68</v>
      </c>
      <c r="N942">
        <v>3.1</v>
      </c>
      <c r="O942">
        <v>1433</v>
      </c>
      <c r="P942">
        <v>0.57999999999999996</v>
      </c>
      <c r="Q942">
        <v>388</v>
      </c>
      <c r="R942">
        <v>429</v>
      </c>
    </row>
    <row r="943" spans="1:18" x14ac:dyDescent="0.2">
      <c r="A943">
        <v>7</v>
      </c>
      <c r="B943" t="s">
        <v>34</v>
      </c>
      <c r="E943" t="s">
        <v>36</v>
      </c>
      <c r="F943">
        <v>1301444</v>
      </c>
      <c r="G943">
        <v>2</v>
      </c>
      <c r="H943">
        <v>2</v>
      </c>
      <c r="I943">
        <v>510</v>
      </c>
      <c r="J943">
        <v>1983</v>
      </c>
      <c r="K943" s="4">
        <v>44144</v>
      </c>
      <c r="L943" t="s">
        <v>30</v>
      </c>
      <c r="M943" t="s">
        <v>40</v>
      </c>
      <c r="N943">
        <v>3.26</v>
      </c>
      <c r="O943">
        <v>1090</v>
      </c>
      <c r="P943">
        <v>2.71</v>
      </c>
      <c r="Q943">
        <v>225</v>
      </c>
      <c r="R943">
        <v>457</v>
      </c>
    </row>
    <row r="944" spans="1:18" x14ac:dyDescent="0.2">
      <c r="A944">
        <v>8</v>
      </c>
      <c r="B944" t="s">
        <v>38</v>
      </c>
      <c r="E944" t="s">
        <v>51</v>
      </c>
      <c r="F944">
        <v>2983596</v>
      </c>
      <c r="G944">
        <v>4</v>
      </c>
      <c r="H944">
        <v>2</v>
      </c>
      <c r="I944">
        <v>696</v>
      </c>
      <c r="J944">
        <v>2000</v>
      </c>
      <c r="K944" s="4">
        <v>45294</v>
      </c>
      <c r="L944" t="s">
        <v>20</v>
      </c>
      <c r="M944" t="s">
        <v>78</v>
      </c>
      <c r="N944">
        <v>1.6</v>
      </c>
      <c r="O944">
        <v>1645</v>
      </c>
      <c r="P944">
        <v>2.2599999999999998</v>
      </c>
      <c r="Q944">
        <v>264</v>
      </c>
      <c r="R944">
        <v>666</v>
      </c>
    </row>
    <row r="945" spans="1:18" x14ac:dyDescent="0.2">
      <c r="A945">
        <v>6</v>
      </c>
      <c r="B945" t="s">
        <v>106</v>
      </c>
      <c r="E945" t="s">
        <v>19</v>
      </c>
      <c r="F945">
        <v>2762024</v>
      </c>
      <c r="G945">
        <v>3</v>
      </c>
      <c r="H945">
        <v>2</v>
      </c>
      <c r="I945">
        <v>0</v>
      </c>
      <c r="J945">
        <v>2009</v>
      </c>
      <c r="K945" s="4">
        <v>45222</v>
      </c>
      <c r="L945" t="s">
        <v>23</v>
      </c>
      <c r="M945" t="s">
        <v>33</v>
      </c>
      <c r="N945">
        <v>1.67</v>
      </c>
      <c r="O945">
        <v>1185</v>
      </c>
      <c r="P945">
        <v>3.89</v>
      </c>
      <c r="Q945">
        <v>304</v>
      </c>
      <c r="R945">
        <v>319</v>
      </c>
    </row>
    <row r="946" spans="1:18" x14ac:dyDescent="0.2">
      <c r="A946">
        <v>2</v>
      </c>
      <c r="B946" t="s">
        <v>28</v>
      </c>
      <c r="E946" t="s">
        <v>19</v>
      </c>
      <c r="F946">
        <v>2070979</v>
      </c>
      <c r="G946">
        <v>5</v>
      </c>
      <c r="H946">
        <v>1</v>
      </c>
      <c r="I946">
        <v>211</v>
      </c>
      <c r="J946">
        <v>1995</v>
      </c>
      <c r="K946" s="4">
        <v>45076</v>
      </c>
      <c r="L946" t="s">
        <v>20</v>
      </c>
      <c r="M946" t="s">
        <v>77</v>
      </c>
      <c r="N946">
        <v>2.14</v>
      </c>
      <c r="O946">
        <v>2094</v>
      </c>
      <c r="P946">
        <v>1.7</v>
      </c>
      <c r="Q946">
        <v>364</v>
      </c>
      <c r="R946">
        <v>497</v>
      </c>
    </row>
    <row r="947" spans="1:18" x14ac:dyDescent="0.2">
      <c r="A947">
        <v>2</v>
      </c>
      <c r="B947" t="s">
        <v>90</v>
      </c>
      <c r="E947" t="s">
        <v>29</v>
      </c>
      <c r="F947">
        <v>1726104</v>
      </c>
      <c r="G947">
        <v>3</v>
      </c>
      <c r="H947">
        <v>3</v>
      </c>
      <c r="I947">
        <v>234</v>
      </c>
      <c r="J947">
        <v>2020</v>
      </c>
      <c r="K947" s="4">
        <v>45421</v>
      </c>
      <c r="L947" t="s">
        <v>23</v>
      </c>
      <c r="M947" t="s">
        <v>56</v>
      </c>
      <c r="N947">
        <v>3.38</v>
      </c>
      <c r="O947">
        <v>2488</v>
      </c>
      <c r="P947">
        <v>2.39</v>
      </c>
      <c r="Q947">
        <v>92</v>
      </c>
      <c r="R947">
        <v>664</v>
      </c>
    </row>
    <row r="948" spans="1:18" x14ac:dyDescent="0.2">
      <c r="A948">
        <v>1</v>
      </c>
      <c r="B948" t="s">
        <v>34</v>
      </c>
      <c r="E948" t="s">
        <v>19</v>
      </c>
      <c r="F948">
        <v>1198262</v>
      </c>
      <c r="G948">
        <v>5</v>
      </c>
      <c r="H948">
        <v>2</v>
      </c>
      <c r="I948">
        <v>548</v>
      </c>
      <c r="J948">
        <v>1962</v>
      </c>
      <c r="K948" s="4">
        <v>45837</v>
      </c>
      <c r="L948" t="s">
        <v>23</v>
      </c>
      <c r="M948" t="s">
        <v>89</v>
      </c>
      <c r="N948">
        <v>3.47</v>
      </c>
      <c r="O948">
        <v>1358</v>
      </c>
      <c r="P948">
        <v>2.38</v>
      </c>
      <c r="Q948">
        <v>306</v>
      </c>
      <c r="R948">
        <v>406</v>
      </c>
    </row>
    <row r="949" spans="1:18" x14ac:dyDescent="0.2">
      <c r="A949">
        <v>1</v>
      </c>
      <c r="B949" t="s">
        <v>101</v>
      </c>
      <c r="E949" t="s">
        <v>19</v>
      </c>
      <c r="F949">
        <v>619350</v>
      </c>
      <c r="G949">
        <v>1</v>
      </c>
      <c r="H949">
        <v>1</v>
      </c>
      <c r="I949">
        <v>239</v>
      </c>
      <c r="J949">
        <v>1994</v>
      </c>
      <c r="K949" s="4">
        <v>44605</v>
      </c>
      <c r="L949" t="s">
        <v>23</v>
      </c>
      <c r="M949" t="s">
        <v>78</v>
      </c>
      <c r="N949">
        <v>1.7</v>
      </c>
      <c r="O949">
        <v>1755</v>
      </c>
      <c r="P949">
        <v>1.59</v>
      </c>
      <c r="Q949">
        <v>44</v>
      </c>
      <c r="R949">
        <v>666</v>
      </c>
    </row>
    <row r="950" spans="1:18" x14ac:dyDescent="0.2">
      <c r="A950">
        <v>3</v>
      </c>
      <c r="B950" t="s">
        <v>53</v>
      </c>
      <c r="E950" t="s">
        <v>36</v>
      </c>
      <c r="F950">
        <v>439003</v>
      </c>
      <c r="G950">
        <v>3</v>
      </c>
      <c r="H950">
        <v>3</v>
      </c>
      <c r="I950">
        <v>804</v>
      </c>
      <c r="J950">
        <v>2017</v>
      </c>
      <c r="K950" s="4">
        <v>44621</v>
      </c>
      <c r="L950" t="s">
        <v>30</v>
      </c>
      <c r="M950" t="s">
        <v>63</v>
      </c>
      <c r="N950">
        <v>3.4</v>
      </c>
      <c r="O950">
        <v>2389</v>
      </c>
      <c r="P950">
        <v>1.66</v>
      </c>
      <c r="Q950">
        <v>203</v>
      </c>
      <c r="R950">
        <v>340</v>
      </c>
    </row>
    <row r="951" spans="1:18" x14ac:dyDescent="0.2">
      <c r="A951">
        <v>7</v>
      </c>
      <c r="B951" t="s">
        <v>48</v>
      </c>
      <c r="E951" t="s">
        <v>29</v>
      </c>
      <c r="F951">
        <v>1518306</v>
      </c>
      <c r="G951">
        <v>1</v>
      </c>
      <c r="H951">
        <v>1</v>
      </c>
      <c r="I951">
        <v>569</v>
      </c>
      <c r="J951">
        <v>2014</v>
      </c>
      <c r="K951" s="4">
        <v>44529</v>
      </c>
      <c r="L951" t="s">
        <v>20</v>
      </c>
      <c r="M951" t="s">
        <v>97</v>
      </c>
      <c r="N951">
        <v>3.19</v>
      </c>
      <c r="O951">
        <v>1435</v>
      </c>
      <c r="P951">
        <v>4.2699999999999996</v>
      </c>
      <c r="Q951">
        <v>135</v>
      </c>
      <c r="R951">
        <v>427</v>
      </c>
    </row>
    <row r="952" spans="1:18" x14ac:dyDescent="0.2">
      <c r="A952">
        <v>3</v>
      </c>
      <c r="B952" t="s">
        <v>87</v>
      </c>
      <c r="E952" t="s">
        <v>36</v>
      </c>
      <c r="F952">
        <v>2594860</v>
      </c>
      <c r="G952">
        <v>4</v>
      </c>
      <c r="H952">
        <v>3</v>
      </c>
      <c r="I952">
        <v>557</v>
      </c>
      <c r="J952">
        <v>2011</v>
      </c>
      <c r="K952" s="4">
        <v>44476</v>
      </c>
      <c r="L952" t="s">
        <v>30</v>
      </c>
      <c r="M952" t="s">
        <v>97</v>
      </c>
      <c r="N952">
        <v>1.96</v>
      </c>
      <c r="O952">
        <v>2084</v>
      </c>
      <c r="P952">
        <v>2.31</v>
      </c>
      <c r="Q952">
        <v>365</v>
      </c>
      <c r="R952">
        <v>473</v>
      </c>
    </row>
    <row r="953" spans="1:18" x14ac:dyDescent="0.2">
      <c r="A953">
        <v>7</v>
      </c>
      <c r="B953" t="s">
        <v>86</v>
      </c>
      <c r="E953" t="s">
        <v>36</v>
      </c>
      <c r="F953">
        <v>2078224</v>
      </c>
      <c r="G953">
        <v>4</v>
      </c>
      <c r="H953">
        <v>3</v>
      </c>
      <c r="I953">
        <v>340</v>
      </c>
      <c r="J953">
        <v>1995</v>
      </c>
      <c r="K953" s="4">
        <v>44999</v>
      </c>
      <c r="L953" t="s">
        <v>23</v>
      </c>
      <c r="M953" t="s">
        <v>63</v>
      </c>
      <c r="N953">
        <v>2.65</v>
      </c>
      <c r="O953">
        <v>2100</v>
      </c>
      <c r="P953">
        <v>4.4800000000000004</v>
      </c>
      <c r="Q953">
        <v>309</v>
      </c>
      <c r="R953">
        <v>510</v>
      </c>
    </row>
    <row r="954" spans="1:18" x14ac:dyDescent="0.2">
      <c r="A954">
        <v>8</v>
      </c>
      <c r="B954" t="s">
        <v>87</v>
      </c>
      <c r="E954" t="s">
        <v>36</v>
      </c>
      <c r="F954">
        <v>1048416</v>
      </c>
      <c r="G954">
        <v>1</v>
      </c>
      <c r="H954">
        <v>2</v>
      </c>
      <c r="I954">
        <v>421</v>
      </c>
      <c r="J954">
        <v>1966</v>
      </c>
      <c r="K954" s="4">
        <v>45037</v>
      </c>
      <c r="L954" t="s">
        <v>20</v>
      </c>
      <c r="M954" t="s">
        <v>63</v>
      </c>
      <c r="N954">
        <v>1.94</v>
      </c>
      <c r="O954">
        <v>1789</v>
      </c>
      <c r="P954">
        <v>2.89</v>
      </c>
      <c r="Q954">
        <v>80</v>
      </c>
      <c r="R954">
        <v>537</v>
      </c>
    </row>
    <row r="955" spans="1:18" x14ac:dyDescent="0.2">
      <c r="A955">
        <v>5</v>
      </c>
      <c r="B955" t="s">
        <v>106</v>
      </c>
      <c r="E955" t="s">
        <v>51</v>
      </c>
      <c r="F955">
        <v>1870984</v>
      </c>
      <c r="G955">
        <v>3</v>
      </c>
      <c r="H955">
        <v>1</v>
      </c>
      <c r="I955">
        <v>958</v>
      </c>
      <c r="J955">
        <v>1984</v>
      </c>
      <c r="K955" s="4">
        <v>44864</v>
      </c>
      <c r="L955" t="s">
        <v>26</v>
      </c>
      <c r="M955" t="s">
        <v>31</v>
      </c>
      <c r="N955">
        <v>2.38</v>
      </c>
      <c r="O955">
        <v>1942</v>
      </c>
      <c r="P955">
        <v>3.47</v>
      </c>
      <c r="Q955">
        <v>271</v>
      </c>
      <c r="R955">
        <v>317</v>
      </c>
    </row>
    <row r="956" spans="1:18" x14ac:dyDescent="0.2">
      <c r="A956">
        <v>1</v>
      </c>
      <c r="B956" t="s">
        <v>53</v>
      </c>
      <c r="E956" t="s">
        <v>19</v>
      </c>
      <c r="F956">
        <v>1011590</v>
      </c>
      <c r="G956">
        <v>4</v>
      </c>
      <c r="H956">
        <v>1</v>
      </c>
      <c r="I956">
        <v>492</v>
      </c>
      <c r="J956">
        <v>1980</v>
      </c>
      <c r="K956" s="4">
        <v>44746</v>
      </c>
      <c r="L956" t="s">
        <v>23</v>
      </c>
      <c r="M956" t="s">
        <v>47</v>
      </c>
      <c r="N956">
        <v>2.8</v>
      </c>
      <c r="O956">
        <v>2198</v>
      </c>
      <c r="P956">
        <v>2.66</v>
      </c>
      <c r="Q956">
        <v>200</v>
      </c>
      <c r="R956">
        <v>632</v>
      </c>
    </row>
    <row r="957" spans="1:18" x14ac:dyDescent="0.2">
      <c r="A957">
        <v>2</v>
      </c>
      <c r="B957" t="s">
        <v>75</v>
      </c>
      <c r="E957" t="s">
        <v>19</v>
      </c>
      <c r="F957">
        <v>1566046</v>
      </c>
      <c r="G957">
        <v>5</v>
      </c>
      <c r="H957">
        <v>3</v>
      </c>
      <c r="I957">
        <v>779</v>
      </c>
      <c r="J957">
        <v>2003</v>
      </c>
      <c r="K957" s="4">
        <v>45256</v>
      </c>
      <c r="L957" t="s">
        <v>30</v>
      </c>
      <c r="M957" t="s">
        <v>27</v>
      </c>
      <c r="N957">
        <v>3.08</v>
      </c>
      <c r="O957">
        <v>2353</v>
      </c>
      <c r="P957">
        <v>3.41</v>
      </c>
      <c r="Q957">
        <v>259</v>
      </c>
      <c r="R957">
        <v>558</v>
      </c>
    </row>
    <row r="958" spans="1:18" x14ac:dyDescent="0.2">
      <c r="A958">
        <v>9</v>
      </c>
      <c r="B958" t="s">
        <v>100</v>
      </c>
      <c r="E958" t="s">
        <v>36</v>
      </c>
      <c r="F958">
        <v>2492041</v>
      </c>
      <c r="G958">
        <v>2</v>
      </c>
      <c r="H958">
        <v>2</v>
      </c>
      <c r="I958">
        <v>728</v>
      </c>
      <c r="J958">
        <v>2016</v>
      </c>
      <c r="K958" s="4">
        <v>45570</v>
      </c>
      <c r="L958" t="s">
        <v>23</v>
      </c>
      <c r="M958" t="s">
        <v>21</v>
      </c>
      <c r="N958">
        <v>3.36</v>
      </c>
      <c r="O958">
        <v>1357</v>
      </c>
      <c r="P958">
        <v>1.59</v>
      </c>
      <c r="Q958">
        <v>81</v>
      </c>
      <c r="R958">
        <v>631</v>
      </c>
    </row>
    <row r="959" spans="1:18" x14ac:dyDescent="0.2">
      <c r="A959">
        <v>5</v>
      </c>
      <c r="B959" t="s">
        <v>67</v>
      </c>
      <c r="E959" t="s">
        <v>36</v>
      </c>
      <c r="F959">
        <v>2329244</v>
      </c>
      <c r="G959">
        <v>4</v>
      </c>
      <c r="H959">
        <v>1</v>
      </c>
      <c r="I959">
        <v>965</v>
      </c>
      <c r="J959">
        <v>1968</v>
      </c>
      <c r="K959" s="4">
        <v>44589</v>
      </c>
      <c r="L959" t="s">
        <v>26</v>
      </c>
      <c r="M959" t="s">
        <v>59</v>
      </c>
      <c r="N959">
        <v>1.88</v>
      </c>
      <c r="O959">
        <v>2261</v>
      </c>
      <c r="P959">
        <v>3.55</v>
      </c>
      <c r="Q959">
        <v>181</v>
      </c>
      <c r="R959">
        <v>456</v>
      </c>
    </row>
    <row r="960" spans="1:18" x14ac:dyDescent="0.2">
      <c r="A960">
        <v>1</v>
      </c>
      <c r="B960" t="s">
        <v>101</v>
      </c>
      <c r="E960" t="s">
        <v>29</v>
      </c>
      <c r="F960">
        <v>854100</v>
      </c>
      <c r="G960">
        <v>4</v>
      </c>
      <c r="H960">
        <v>1</v>
      </c>
      <c r="I960">
        <v>913</v>
      </c>
      <c r="J960">
        <v>1958</v>
      </c>
      <c r="K960" s="4">
        <v>44500</v>
      </c>
      <c r="L960" t="s">
        <v>23</v>
      </c>
      <c r="M960" t="s">
        <v>21</v>
      </c>
      <c r="N960">
        <v>3.08</v>
      </c>
      <c r="O960">
        <v>2173</v>
      </c>
      <c r="P960">
        <v>3.82</v>
      </c>
      <c r="Q960">
        <v>258</v>
      </c>
      <c r="R960">
        <v>305</v>
      </c>
    </row>
    <row r="961" spans="1:18" x14ac:dyDescent="0.2">
      <c r="A961">
        <v>3</v>
      </c>
      <c r="B961" t="s">
        <v>91</v>
      </c>
      <c r="E961" t="s">
        <v>36</v>
      </c>
      <c r="F961">
        <v>2404057</v>
      </c>
      <c r="G961">
        <v>4</v>
      </c>
      <c r="H961">
        <v>1</v>
      </c>
      <c r="I961">
        <v>191</v>
      </c>
      <c r="J961">
        <v>1960</v>
      </c>
      <c r="K961" s="4">
        <v>44302</v>
      </c>
      <c r="L961" t="s">
        <v>20</v>
      </c>
      <c r="M961" t="s">
        <v>56</v>
      </c>
      <c r="N961">
        <v>2.5099999999999998</v>
      </c>
      <c r="O961">
        <v>1461</v>
      </c>
      <c r="P961">
        <v>3.28</v>
      </c>
      <c r="Q961">
        <v>180</v>
      </c>
      <c r="R961">
        <v>560</v>
      </c>
    </row>
    <row r="962" spans="1:18" x14ac:dyDescent="0.2">
      <c r="A962">
        <v>8</v>
      </c>
      <c r="B962" t="s">
        <v>61</v>
      </c>
      <c r="E962" t="s">
        <v>36</v>
      </c>
      <c r="F962">
        <v>1150822</v>
      </c>
      <c r="G962">
        <v>5</v>
      </c>
      <c r="H962">
        <v>1</v>
      </c>
      <c r="I962">
        <v>599</v>
      </c>
      <c r="J962">
        <v>1970</v>
      </c>
      <c r="K962" s="4">
        <v>45590</v>
      </c>
      <c r="L962" t="s">
        <v>30</v>
      </c>
      <c r="M962" t="s">
        <v>78</v>
      </c>
      <c r="N962">
        <v>3.3</v>
      </c>
      <c r="O962">
        <v>2187</v>
      </c>
      <c r="P962">
        <v>3.38</v>
      </c>
      <c r="Q962">
        <v>397</v>
      </c>
      <c r="R962">
        <v>429</v>
      </c>
    </row>
    <row r="963" spans="1:18" x14ac:dyDescent="0.2">
      <c r="A963">
        <v>0</v>
      </c>
      <c r="B963" t="s">
        <v>25</v>
      </c>
      <c r="E963" t="s">
        <v>19</v>
      </c>
      <c r="F963">
        <v>610549</v>
      </c>
      <c r="G963">
        <v>3</v>
      </c>
      <c r="H963">
        <v>1</v>
      </c>
      <c r="I963">
        <v>946</v>
      </c>
      <c r="J963">
        <v>1969</v>
      </c>
      <c r="K963" s="4">
        <v>44886</v>
      </c>
      <c r="L963" t="s">
        <v>20</v>
      </c>
      <c r="M963" t="s">
        <v>45</v>
      </c>
      <c r="N963">
        <v>2.15</v>
      </c>
      <c r="O963">
        <v>1148</v>
      </c>
      <c r="P963">
        <v>1.1599999999999999</v>
      </c>
      <c r="Q963">
        <v>174</v>
      </c>
      <c r="R963">
        <v>537</v>
      </c>
    </row>
    <row r="964" spans="1:18" x14ac:dyDescent="0.2">
      <c r="A964">
        <v>2</v>
      </c>
      <c r="B964" t="s">
        <v>96</v>
      </c>
      <c r="E964" t="s">
        <v>29</v>
      </c>
      <c r="F964">
        <v>1159707</v>
      </c>
      <c r="G964">
        <v>4</v>
      </c>
      <c r="H964">
        <v>3</v>
      </c>
      <c r="I964">
        <v>606</v>
      </c>
      <c r="J964">
        <v>2008</v>
      </c>
      <c r="K964" s="4">
        <v>44765</v>
      </c>
      <c r="L964" t="s">
        <v>20</v>
      </c>
      <c r="M964" t="s">
        <v>69</v>
      </c>
      <c r="N964">
        <v>2.82</v>
      </c>
      <c r="O964">
        <v>1355</v>
      </c>
      <c r="P964">
        <v>2.92</v>
      </c>
      <c r="Q964">
        <v>212</v>
      </c>
      <c r="R964">
        <v>576</v>
      </c>
    </row>
    <row r="965" spans="1:18" x14ac:dyDescent="0.2">
      <c r="A965">
        <v>8</v>
      </c>
      <c r="B965" t="s">
        <v>94</v>
      </c>
      <c r="E965" t="s">
        <v>19</v>
      </c>
      <c r="F965">
        <v>1358231</v>
      </c>
      <c r="G965">
        <v>1</v>
      </c>
      <c r="H965">
        <v>1</v>
      </c>
      <c r="I965">
        <v>377</v>
      </c>
      <c r="J965">
        <v>1963</v>
      </c>
      <c r="K965" s="4">
        <v>44127</v>
      </c>
      <c r="L965" t="s">
        <v>23</v>
      </c>
      <c r="M965" t="s">
        <v>74</v>
      </c>
      <c r="N965">
        <v>3.14</v>
      </c>
      <c r="O965">
        <v>2488</v>
      </c>
      <c r="P965">
        <v>3.72</v>
      </c>
      <c r="Q965">
        <v>144</v>
      </c>
      <c r="R965">
        <v>365</v>
      </c>
    </row>
    <row r="966" spans="1:18" x14ac:dyDescent="0.2">
      <c r="A966">
        <v>3</v>
      </c>
      <c r="B966" t="s">
        <v>73</v>
      </c>
      <c r="E966" t="s">
        <v>36</v>
      </c>
      <c r="F966">
        <v>808062</v>
      </c>
      <c r="G966">
        <v>3</v>
      </c>
      <c r="H966">
        <v>3</v>
      </c>
      <c r="I966">
        <v>834</v>
      </c>
      <c r="J966">
        <v>2005</v>
      </c>
      <c r="K966" s="4">
        <v>45888</v>
      </c>
      <c r="L966" t="s">
        <v>20</v>
      </c>
      <c r="M966" t="s">
        <v>31</v>
      </c>
      <c r="N966">
        <v>2.7</v>
      </c>
      <c r="O966">
        <v>978</v>
      </c>
      <c r="P966">
        <v>4.67</v>
      </c>
      <c r="Q966">
        <v>298</v>
      </c>
      <c r="R966">
        <v>445</v>
      </c>
    </row>
    <row r="967" spans="1:18" x14ac:dyDescent="0.2">
      <c r="A967">
        <v>0</v>
      </c>
      <c r="B967" t="s">
        <v>73</v>
      </c>
      <c r="E967" t="s">
        <v>36</v>
      </c>
      <c r="F967">
        <v>1748107</v>
      </c>
      <c r="G967">
        <v>1</v>
      </c>
      <c r="H967">
        <v>3</v>
      </c>
      <c r="I967">
        <v>572</v>
      </c>
      <c r="J967">
        <v>1989</v>
      </c>
      <c r="K967" s="4">
        <v>44246</v>
      </c>
      <c r="L967" t="s">
        <v>30</v>
      </c>
      <c r="M967" t="s">
        <v>78</v>
      </c>
      <c r="N967">
        <v>2.89</v>
      </c>
      <c r="O967">
        <v>1174</v>
      </c>
      <c r="P967">
        <v>3.95</v>
      </c>
      <c r="Q967">
        <v>49</v>
      </c>
      <c r="R967">
        <v>566</v>
      </c>
    </row>
    <row r="968" spans="1:18" x14ac:dyDescent="0.2">
      <c r="A968">
        <v>5</v>
      </c>
      <c r="B968" t="s">
        <v>100</v>
      </c>
      <c r="E968" t="s">
        <v>19</v>
      </c>
      <c r="F968">
        <v>1366007</v>
      </c>
      <c r="G968">
        <v>4</v>
      </c>
      <c r="H968">
        <v>1</v>
      </c>
      <c r="I968">
        <v>413</v>
      </c>
      <c r="J968">
        <v>2010</v>
      </c>
      <c r="K968" s="4">
        <v>44671</v>
      </c>
      <c r="L968" t="s">
        <v>30</v>
      </c>
      <c r="M968" t="s">
        <v>68</v>
      </c>
      <c r="N968">
        <v>2.41</v>
      </c>
      <c r="O968">
        <v>1364</v>
      </c>
      <c r="P968">
        <v>1.07</v>
      </c>
      <c r="Q968">
        <v>324</v>
      </c>
      <c r="R968">
        <v>513</v>
      </c>
    </row>
    <row r="969" spans="1:18" x14ac:dyDescent="0.2">
      <c r="A969">
        <v>6</v>
      </c>
      <c r="B969" t="s">
        <v>34</v>
      </c>
      <c r="E969" t="s">
        <v>51</v>
      </c>
      <c r="F969">
        <v>1056745</v>
      </c>
      <c r="G969">
        <v>4</v>
      </c>
      <c r="H969">
        <v>3</v>
      </c>
      <c r="I969">
        <v>341</v>
      </c>
      <c r="J969">
        <v>1995</v>
      </c>
      <c r="K969" s="4">
        <v>45475</v>
      </c>
      <c r="L969" t="s">
        <v>26</v>
      </c>
      <c r="M969" t="s">
        <v>40</v>
      </c>
      <c r="N969">
        <v>1.55</v>
      </c>
      <c r="O969">
        <v>1337</v>
      </c>
      <c r="P969">
        <v>3.91</v>
      </c>
      <c r="Q969">
        <v>335</v>
      </c>
      <c r="R969">
        <v>386</v>
      </c>
    </row>
    <row r="970" spans="1:18" x14ac:dyDescent="0.2">
      <c r="A970">
        <v>2</v>
      </c>
      <c r="B970" t="s">
        <v>65</v>
      </c>
      <c r="E970" t="s">
        <v>19</v>
      </c>
      <c r="F970">
        <v>668817</v>
      </c>
      <c r="G970">
        <v>0</v>
      </c>
      <c r="H970">
        <v>2</v>
      </c>
      <c r="I970">
        <v>245</v>
      </c>
      <c r="J970">
        <v>1955</v>
      </c>
      <c r="K970" s="4">
        <v>44435</v>
      </c>
      <c r="L970" t="s">
        <v>26</v>
      </c>
      <c r="M970" t="s">
        <v>74</v>
      </c>
      <c r="N970">
        <v>2.79</v>
      </c>
      <c r="O970">
        <v>1308</v>
      </c>
      <c r="P970">
        <v>0.56000000000000005</v>
      </c>
      <c r="Q970">
        <v>59</v>
      </c>
      <c r="R970">
        <v>612</v>
      </c>
    </row>
    <row r="971" spans="1:18" x14ac:dyDescent="0.2">
      <c r="A971">
        <v>0</v>
      </c>
      <c r="B971" t="s">
        <v>41</v>
      </c>
      <c r="E971" t="s">
        <v>29</v>
      </c>
      <c r="F971">
        <v>838375</v>
      </c>
      <c r="G971">
        <v>5</v>
      </c>
      <c r="H971">
        <v>2</v>
      </c>
      <c r="I971">
        <v>338</v>
      </c>
      <c r="J971">
        <v>1966</v>
      </c>
      <c r="K971" s="4">
        <v>45238</v>
      </c>
      <c r="L971" t="s">
        <v>23</v>
      </c>
      <c r="M971" t="s">
        <v>56</v>
      </c>
      <c r="N971">
        <v>2.4300000000000002</v>
      </c>
      <c r="O971">
        <v>1304</v>
      </c>
      <c r="P971">
        <v>3.64</v>
      </c>
      <c r="Q971">
        <v>260</v>
      </c>
      <c r="R971">
        <v>505</v>
      </c>
    </row>
    <row r="972" spans="1:18" x14ac:dyDescent="0.2">
      <c r="A972">
        <v>0</v>
      </c>
      <c r="B972" t="s">
        <v>34</v>
      </c>
      <c r="E972" t="s">
        <v>29</v>
      </c>
      <c r="F972">
        <v>893043</v>
      </c>
      <c r="G972">
        <v>4</v>
      </c>
      <c r="H972">
        <v>1</v>
      </c>
      <c r="I972">
        <v>109</v>
      </c>
      <c r="J972">
        <v>2008</v>
      </c>
      <c r="K972" s="4">
        <v>44479</v>
      </c>
      <c r="L972" t="s">
        <v>30</v>
      </c>
      <c r="M972" t="s">
        <v>47</v>
      </c>
      <c r="N972">
        <v>1.51</v>
      </c>
      <c r="O972">
        <v>2416</v>
      </c>
      <c r="P972">
        <v>0.5</v>
      </c>
      <c r="Q972">
        <v>240</v>
      </c>
      <c r="R972">
        <v>322</v>
      </c>
    </row>
    <row r="973" spans="1:18" x14ac:dyDescent="0.2">
      <c r="A973">
        <v>8</v>
      </c>
      <c r="B973" t="s">
        <v>75</v>
      </c>
      <c r="E973" t="s">
        <v>19</v>
      </c>
      <c r="F973">
        <v>1301498</v>
      </c>
      <c r="G973">
        <v>3</v>
      </c>
      <c r="H973">
        <v>3</v>
      </c>
      <c r="I973">
        <v>803</v>
      </c>
      <c r="J973">
        <v>1976</v>
      </c>
      <c r="K973" s="4">
        <v>45443</v>
      </c>
      <c r="L973" t="s">
        <v>30</v>
      </c>
      <c r="M973" t="s">
        <v>78</v>
      </c>
      <c r="N973">
        <v>2.5299999999999998</v>
      </c>
      <c r="O973">
        <v>900</v>
      </c>
      <c r="P973">
        <v>2.88</v>
      </c>
      <c r="Q973">
        <v>239</v>
      </c>
      <c r="R973">
        <v>449</v>
      </c>
    </row>
    <row r="974" spans="1:18" x14ac:dyDescent="0.2">
      <c r="A974">
        <v>3</v>
      </c>
      <c r="B974" t="s">
        <v>25</v>
      </c>
      <c r="E974" t="s">
        <v>19</v>
      </c>
      <c r="F974">
        <v>1340117</v>
      </c>
      <c r="G974">
        <v>1</v>
      </c>
      <c r="H974">
        <v>2</v>
      </c>
      <c r="I974">
        <v>603</v>
      </c>
      <c r="J974">
        <v>2022</v>
      </c>
      <c r="K974" s="4">
        <v>45545</v>
      </c>
      <c r="L974" t="s">
        <v>26</v>
      </c>
      <c r="M974" t="s">
        <v>45</v>
      </c>
      <c r="N974">
        <v>3.3</v>
      </c>
      <c r="O974">
        <v>1240</v>
      </c>
      <c r="P974">
        <v>4.25</v>
      </c>
      <c r="Q974">
        <v>49</v>
      </c>
      <c r="R974">
        <v>604</v>
      </c>
    </row>
    <row r="975" spans="1:18" x14ac:dyDescent="0.2">
      <c r="A975">
        <v>6</v>
      </c>
      <c r="B975" t="s">
        <v>39</v>
      </c>
      <c r="E975" t="s">
        <v>51</v>
      </c>
      <c r="F975">
        <v>1247412</v>
      </c>
      <c r="G975">
        <v>3</v>
      </c>
      <c r="H975">
        <v>2</v>
      </c>
      <c r="I975">
        <v>529</v>
      </c>
      <c r="J975">
        <v>1990</v>
      </c>
      <c r="K975" s="4">
        <v>45055</v>
      </c>
      <c r="L975" t="s">
        <v>20</v>
      </c>
      <c r="M975" t="s">
        <v>78</v>
      </c>
      <c r="N975">
        <v>3.06</v>
      </c>
      <c r="O975">
        <v>1934</v>
      </c>
      <c r="P975">
        <v>4</v>
      </c>
      <c r="Q975">
        <v>180</v>
      </c>
      <c r="R975">
        <v>311</v>
      </c>
    </row>
    <row r="976" spans="1:18" x14ac:dyDescent="0.2">
      <c r="A976">
        <v>6</v>
      </c>
      <c r="B976" t="s">
        <v>43</v>
      </c>
      <c r="E976" t="s">
        <v>36</v>
      </c>
      <c r="F976">
        <v>2191314</v>
      </c>
      <c r="G976">
        <v>1</v>
      </c>
      <c r="H976">
        <v>3</v>
      </c>
      <c r="I976">
        <v>115</v>
      </c>
      <c r="J976">
        <v>1976</v>
      </c>
      <c r="K976" s="4">
        <v>45607</v>
      </c>
      <c r="L976" t="s">
        <v>20</v>
      </c>
      <c r="M976" t="s">
        <v>70</v>
      </c>
      <c r="N976">
        <v>3.5</v>
      </c>
      <c r="O976">
        <v>1655</v>
      </c>
      <c r="P976">
        <v>0.35</v>
      </c>
      <c r="Q976">
        <v>106</v>
      </c>
      <c r="R976">
        <v>572</v>
      </c>
    </row>
    <row r="977" spans="1:18" x14ac:dyDescent="0.2">
      <c r="A977">
        <v>5</v>
      </c>
      <c r="B977" t="s">
        <v>38</v>
      </c>
      <c r="E977" t="s">
        <v>29</v>
      </c>
      <c r="F977">
        <v>1320912</v>
      </c>
      <c r="G977">
        <v>3</v>
      </c>
      <c r="H977">
        <v>1</v>
      </c>
      <c r="I977">
        <v>387</v>
      </c>
      <c r="J977">
        <v>1955</v>
      </c>
      <c r="K977" s="4">
        <v>44788</v>
      </c>
      <c r="L977" t="s">
        <v>23</v>
      </c>
      <c r="M977" t="s">
        <v>63</v>
      </c>
      <c r="N977">
        <v>1.91</v>
      </c>
      <c r="O977">
        <v>1985</v>
      </c>
      <c r="P977">
        <v>1.59</v>
      </c>
      <c r="Q977">
        <v>186</v>
      </c>
      <c r="R977">
        <v>348</v>
      </c>
    </row>
    <row r="978" spans="1:18" x14ac:dyDescent="0.2">
      <c r="A978">
        <v>8</v>
      </c>
      <c r="B978" t="s">
        <v>98</v>
      </c>
      <c r="E978" t="s">
        <v>51</v>
      </c>
      <c r="F978">
        <v>1755361</v>
      </c>
      <c r="G978">
        <v>1</v>
      </c>
      <c r="H978">
        <v>2</v>
      </c>
      <c r="I978">
        <v>271</v>
      </c>
      <c r="J978">
        <v>2003</v>
      </c>
      <c r="K978" s="4">
        <v>45762</v>
      </c>
      <c r="L978" t="s">
        <v>26</v>
      </c>
      <c r="M978" t="s">
        <v>24</v>
      </c>
      <c r="N978">
        <v>2.14</v>
      </c>
      <c r="O978">
        <v>1885</v>
      </c>
      <c r="P978">
        <v>1.75</v>
      </c>
      <c r="Q978">
        <v>57</v>
      </c>
      <c r="R978">
        <v>559</v>
      </c>
    </row>
    <row r="979" spans="1:18" x14ac:dyDescent="0.2">
      <c r="A979">
        <v>0</v>
      </c>
      <c r="B979" t="s">
        <v>22</v>
      </c>
      <c r="E979" t="s">
        <v>19</v>
      </c>
      <c r="F979">
        <v>760718</v>
      </c>
      <c r="G979">
        <v>2</v>
      </c>
      <c r="H979">
        <v>2</v>
      </c>
      <c r="I979">
        <v>993</v>
      </c>
      <c r="J979">
        <v>1953</v>
      </c>
      <c r="K979" s="4">
        <v>44920</v>
      </c>
      <c r="L979" t="s">
        <v>23</v>
      </c>
      <c r="M979" t="s">
        <v>24</v>
      </c>
      <c r="N979">
        <v>1.64</v>
      </c>
      <c r="O979">
        <v>2461</v>
      </c>
      <c r="P979">
        <v>3.5</v>
      </c>
      <c r="Q979">
        <v>118</v>
      </c>
      <c r="R979">
        <v>355</v>
      </c>
    </row>
    <row r="980" spans="1:18" x14ac:dyDescent="0.2">
      <c r="A980">
        <v>6</v>
      </c>
      <c r="B980" t="s">
        <v>73</v>
      </c>
      <c r="E980" t="s">
        <v>51</v>
      </c>
      <c r="F980">
        <v>2087665</v>
      </c>
      <c r="G980">
        <v>6</v>
      </c>
      <c r="H980">
        <v>2</v>
      </c>
      <c r="I980">
        <v>352</v>
      </c>
      <c r="J980">
        <v>1965</v>
      </c>
      <c r="K980" s="4">
        <v>44475</v>
      </c>
      <c r="L980" t="s">
        <v>26</v>
      </c>
      <c r="M980" t="s">
        <v>82</v>
      </c>
      <c r="N980">
        <v>1.61</v>
      </c>
      <c r="O980">
        <v>1787</v>
      </c>
      <c r="P980">
        <v>0.87</v>
      </c>
      <c r="Q980">
        <v>325</v>
      </c>
      <c r="R980">
        <v>456</v>
      </c>
    </row>
    <row r="981" spans="1:18" x14ac:dyDescent="0.2">
      <c r="A981">
        <v>6</v>
      </c>
      <c r="B981" t="s">
        <v>104</v>
      </c>
      <c r="E981" t="s">
        <v>36</v>
      </c>
      <c r="F981">
        <v>1498522</v>
      </c>
      <c r="G981">
        <v>4</v>
      </c>
      <c r="H981">
        <v>1</v>
      </c>
      <c r="I981">
        <v>108</v>
      </c>
      <c r="J981">
        <v>1988</v>
      </c>
      <c r="K981" s="4">
        <v>45188</v>
      </c>
      <c r="L981" t="s">
        <v>30</v>
      </c>
      <c r="M981" t="s">
        <v>89</v>
      </c>
      <c r="N981">
        <v>1.53</v>
      </c>
      <c r="O981">
        <v>1930</v>
      </c>
      <c r="P981">
        <v>3.01</v>
      </c>
      <c r="Q981">
        <v>234</v>
      </c>
      <c r="R981">
        <v>518</v>
      </c>
    </row>
    <row r="982" spans="1:18" x14ac:dyDescent="0.2">
      <c r="A982">
        <v>2</v>
      </c>
      <c r="B982" t="s">
        <v>104</v>
      </c>
      <c r="E982" t="s">
        <v>19</v>
      </c>
      <c r="F982">
        <v>1725910</v>
      </c>
      <c r="G982">
        <v>4</v>
      </c>
      <c r="H982">
        <v>2</v>
      </c>
      <c r="I982">
        <v>887</v>
      </c>
      <c r="J982">
        <v>1975</v>
      </c>
      <c r="K982" s="4">
        <v>44076</v>
      </c>
      <c r="L982" t="s">
        <v>20</v>
      </c>
      <c r="M982" t="s">
        <v>21</v>
      </c>
      <c r="N982">
        <v>3.24</v>
      </c>
      <c r="O982">
        <v>1637</v>
      </c>
      <c r="P982">
        <v>1.91</v>
      </c>
      <c r="Q982">
        <v>292</v>
      </c>
      <c r="R982">
        <v>456</v>
      </c>
    </row>
    <row r="983" spans="1:18" x14ac:dyDescent="0.2">
      <c r="A983">
        <v>8</v>
      </c>
      <c r="B983" t="s">
        <v>95</v>
      </c>
      <c r="E983" t="s">
        <v>51</v>
      </c>
      <c r="F983">
        <v>2541458</v>
      </c>
      <c r="G983">
        <v>4</v>
      </c>
      <c r="H983">
        <v>1</v>
      </c>
      <c r="I983">
        <v>93</v>
      </c>
      <c r="J983">
        <v>1991</v>
      </c>
      <c r="K983" s="4">
        <v>45592</v>
      </c>
      <c r="L983" t="s">
        <v>20</v>
      </c>
      <c r="M983" t="s">
        <v>42</v>
      </c>
      <c r="N983">
        <v>1.73</v>
      </c>
      <c r="O983">
        <v>1010</v>
      </c>
      <c r="P983">
        <v>2.98</v>
      </c>
      <c r="Q983">
        <v>372</v>
      </c>
      <c r="R983">
        <v>423</v>
      </c>
    </row>
    <row r="984" spans="1:18" x14ac:dyDescent="0.2">
      <c r="A984">
        <v>2</v>
      </c>
      <c r="B984" t="s">
        <v>87</v>
      </c>
      <c r="E984" t="s">
        <v>29</v>
      </c>
      <c r="F984">
        <v>1986292</v>
      </c>
      <c r="G984">
        <v>3</v>
      </c>
      <c r="H984">
        <v>2</v>
      </c>
      <c r="I984">
        <v>858</v>
      </c>
      <c r="J984">
        <v>1968</v>
      </c>
      <c r="K984" s="4">
        <v>44438</v>
      </c>
      <c r="L984" t="s">
        <v>26</v>
      </c>
      <c r="M984" t="s">
        <v>69</v>
      </c>
      <c r="N984">
        <v>3.17</v>
      </c>
      <c r="O984">
        <v>2335</v>
      </c>
      <c r="P984">
        <v>0.61</v>
      </c>
      <c r="Q984">
        <v>95</v>
      </c>
      <c r="R984">
        <v>697</v>
      </c>
    </row>
    <row r="985" spans="1:18" x14ac:dyDescent="0.2">
      <c r="A985">
        <v>0</v>
      </c>
      <c r="B985" t="s">
        <v>94</v>
      </c>
      <c r="E985" t="s">
        <v>51</v>
      </c>
      <c r="F985">
        <v>628911</v>
      </c>
      <c r="G985">
        <v>2</v>
      </c>
      <c r="H985">
        <v>3</v>
      </c>
      <c r="I985">
        <v>575</v>
      </c>
      <c r="J985">
        <v>1992</v>
      </c>
      <c r="K985" s="4">
        <v>44479</v>
      </c>
      <c r="L985" t="s">
        <v>20</v>
      </c>
      <c r="M985" t="s">
        <v>60</v>
      </c>
      <c r="N985">
        <v>1.87</v>
      </c>
      <c r="O985">
        <v>1627</v>
      </c>
      <c r="P985">
        <v>2.54</v>
      </c>
      <c r="Q985">
        <v>100</v>
      </c>
      <c r="R985">
        <v>308</v>
      </c>
    </row>
    <row r="986" spans="1:18" x14ac:dyDescent="0.2">
      <c r="A986">
        <v>6</v>
      </c>
      <c r="B986" t="s">
        <v>65</v>
      </c>
      <c r="E986" t="s">
        <v>19</v>
      </c>
      <c r="F986">
        <v>1495381</v>
      </c>
      <c r="G986">
        <v>2</v>
      </c>
      <c r="H986">
        <v>3</v>
      </c>
      <c r="I986">
        <v>788</v>
      </c>
      <c r="J986">
        <v>1955</v>
      </c>
      <c r="K986" s="4">
        <v>44278</v>
      </c>
      <c r="L986" t="s">
        <v>23</v>
      </c>
      <c r="M986" t="s">
        <v>74</v>
      </c>
      <c r="N986">
        <v>3.17</v>
      </c>
      <c r="O986">
        <v>1339</v>
      </c>
      <c r="P986">
        <v>4.8899999999999997</v>
      </c>
      <c r="Q986">
        <v>168</v>
      </c>
      <c r="R986">
        <v>534</v>
      </c>
    </row>
    <row r="987" spans="1:18" x14ac:dyDescent="0.2">
      <c r="A987">
        <v>4</v>
      </c>
      <c r="B987" t="s">
        <v>61</v>
      </c>
      <c r="E987" t="s">
        <v>29</v>
      </c>
      <c r="F987">
        <v>1092626</v>
      </c>
      <c r="G987">
        <v>3</v>
      </c>
      <c r="H987">
        <v>3</v>
      </c>
      <c r="I987">
        <v>145</v>
      </c>
      <c r="J987">
        <v>1965</v>
      </c>
      <c r="K987" s="4">
        <v>44817</v>
      </c>
      <c r="L987" t="s">
        <v>20</v>
      </c>
      <c r="M987" t="s">
        <v>59</v>
      </c>
      <c r="N987">
        <v>2.79</v>
      </c>
      <c r="O987">
        <v>1283</v>
      </c>
      <c r="P987">
        <v>0.41</v>
      </c>
      <c r="Q987">
        <v>96</v>
      </c>
      <c r="R987">
        <v>585</v>
      </c>
    </row>
    <row r="988" spans="1:18" x14ac:dyDescent="0.2">
      <c r="A988">
        <v>5</v>
      </c>
      <c r="B988" t="s">
        <v>102</v>
      </c>
      <c r="E988" t="s">
        <v>29</v>
      </c>
      <c r="F988">
        <v>2633416</v>
      </c>
      <c r="G988">
        <v>1</v>
      </c>
      <c r="H988">
        <v>2</v>
      </c>
      <c r="I988">
        <v>128</v>
      </c>
      <c r="J988">
        <v>1997</v>
      </c>
      <c r="K988" s="4">
        <v>45121</v>
      </c>
      <c r="L988" t="s">
        <v>20</v>
      </c>
      <c r="M988" t="s">
        <v>78</v>
      </c>
      <c r="N988">
        <v>2.13</v>
      </c>
      <c r="O988">
        <v>934</v>
      </c>
      <c r="P988">
        <v>1.51</v>
      </c>
      <c r="Q988">
        <v>66</v>
      </c>
      <c r="R988">
        <v>564</v>
      </c>
    </row>
    <row r="989" spans="1:18" x14ac:dyDescent="0.2">
      <c r="A989">
        <v>7</v>
      </c>
      <c r="B989" t="s">
        <v>96</v>
      </c>
      <c r="E989" t="s">
        <v>29</v>
      </c>
      <c r="F989">
        <v>2192600</v>
      </c>
      <c r="G989">
        <v>3</v>
      </c>
      <c r="H989">
        <v>1</v>
      </c>
      <c r="I989">
        <v>539</v>
      </c>
      <c r="J989">
        <v>1970</v>
      </c>
      <c r="K989" s="4">
        <v>45637</v>
      </c>
      <c r="L989" t="s">
        <v>26</v>
      </c>
      <c r="M989" t="s">
        <v>66</v>
      </c>
      <c r="N989">
        <v>2.89</v>
      </c>
      <c r="O989">
        <v>1836</v>
      </c>
      <c r="P989">
        <v>3.97</v>
      </c>
      <c r="Q989">
        <v>278</v>
      </c>
      <c r="R989">
        <v>533</v>
      </c>
    </row>
    <row r="990" spans="1:18" x14ac:dyDescent="0.2">
      <c r="A990">
        <v>8</v>
      </c>
      <c r="B990" t="s">
        <v>102</v>
      </c>
      <c r="E990" t="s">
        <v>29</v>
      </c>
      <c r="F990">
        <v>2840451</v>
      </c>
      <c r="G990">
        <v>0</v>
      </c>
      <c r="H990">
        <v>1</v>
      </c>
      <c r="I990">
        <v>604</v>
      </c>
      <c r="J990">
        <v>2006</v>
      </c>
      <c r="K990" s="4">
        <v>45110</v>
      </c>
      <c r="L990" t="s">
        <v>30</v>
      </c>
      <c r="M990" t="s">
        <v>68</v>
      </c>
      <c r="N990">
        <v>2.02</v>
      </c>
      <c r="O990">
        <v>2135</v>
      </c>
      <c r="P990">
        <v>2.25</v>
      </c>
      <c r="Q990">
        <v>71</v>
      </c>
      <c r="R990">
        <v>584</v>
      </c>
    </row>
    <row r="991" spans="1:18" x14ac:dyDescent="0.2">
      <c r="A991">
        <v>3</v>
      </c>
      <c r="B991" t="s">
        <v>34</v>
      </c>
      <c r="E991" t="s">
        <v>36</v>
      </c>
      <c r="F991">
        <v>2492855</v>
      </c>
      <c r="G991">
        <v>0</v>
      </c>
      <c r="H991">
        <v>2</v>
      </c>
      <c r="I991">
        <v>176</v>
      </c>
      <c r="J991">
        <v>1985</v>
      </c>
      <c r="K991" s="4">
        <v>45752</v>
      </c>
      <c r="L991" t="s">
        <v>20</v>
      </c>
      <c r="M991" t="s">
        <v>97</v>
      </c>
      <c r="N991">
        <v>2.11</v>
      </c>
      <c r="O991">
        <v>2338</v>
      </c>
      <c r="P991">
        <v>0.9</v>
      </c>
      <c r="Q991">
        <v>59</v>
      </c>
      <c r="R991">
        <v>401</v>
      </c>
    </row>
    <row r="992" spans="1:18" x14ac:dyDescent="0.2">
      <c r="A992">
        <v>1</v>
      </c>
      <c r="B992" t="s">
        <v>105</v>
      </c>
      <c r="E992" t="s">
        <v>29</v>
      </c>
      <c r="F992">
        <v>1664101</v>
      </c>
      <c r="G992">
        <v>3</v>
      </c>
      <c r="H992">
        <v>2</v>
      </c>
      <c r="I992">
        <v>208</v>
      </c>
      <c r="J992">
        <v>1978</v>
      </c>
      <c r="K992" s="4">
        <v>44705</v>
      </c>
      <c r="L992" t="s">
        <v>26</v>
      </c>
      <c r="M992" t="s">
        <v>85</v>
      </c>
      <c r="N992">
        <v>1.79</v>
      </c>
      <c r="O992">
        <v>2226</v>
      </c>
      <c r="P992">
        <v>2.2200000000000002</v>
      </c>
      <c r="Q992">
        <v>229</v>
      </c>
      <c r="R992">
        <v>608</v>
      </c>
    </row>
    <row r="993" spans="1:18" x14ac:dyDescent="0.2">
      <c r="A993">
        <v>8</v>
      </c>
      <c r="B993" t="s">
        <v>106</v>
      </c>
      <c r="E993" t="s">
        <v>19</v>
      </c>
      <c r="F993">
        <v>2117875</v>
      </c>
      <c r="G993">
        <v>4</v>
      </c>
      <c r="H993">
        <v>2</v>
      </c>
      <c r="I993">
        <v>396</v>
      </c>
      <c r="J993">
        <v>2017</v>
      </c>
      <c r="K993" s="4">
        <v>45463</v>
      </c>
      <c r="L993" t="s">
        <v>23</v>
      </c>
      <c r="M993" t="s">
        <v>21</v>
      </c>
      <c r="N993">
        <v>3.03</v>
      </c>
      <c r="O993">
        <v>2343</v>
      </c>
      <c r="P993">
        <v>3.53</v>
      </c>
      <c r="Q993">
        <v>280</v>
      </c>
      <c r="R993">
        <v>301</v>
      </c>
    </row>
    <row r="994" spans="1:18" x14ac:dyDescent="0.2">
      <c r="A994">
        <v>1</v>
      </c>
      <c r="B994" t="s">
        <v>48</v>
      </c>
      <c r="E994" t="s">
        <v>51</v>
      </c>
      <c r="F994">
        <v>491804</v>
      </c>
      <c r="G994">
        <v>1</v>
      </c>
      <c r="H994">
        <v>2</v>
      </c>
      <c r="I994">
        <v>0</v>
      </c>
      <c r="J994">
        <v>2018</v>
      </c>
      <c r="K994" s="4">
        <v>45201</v>
      </c>
      <c r="L994" t="s">
        <v>26</v>
      </c>
      <c r="M994" t="s">
        <v>70</v>
      </c>
      <c r="N994">
        <v>2.69</v>
      </c>
      <c r="O994">
        <v>910</v>
      </c>
      <c r="P994">
        <v>4.3600000000000003</v>
      </c>
      <c r="Q994">
        <v>290</v>
      </c>
      <c r="R994">
        <v>389</v>
      </c>
    </row>
    <row r="995" spans="1:18" x14ac:dyDescent="0.2">
      <c r="A995">
        <v>6</v>
      </c>
      <c r="B995" t="s">
        <v>55</v>
      </c>
      <c r="E995" t="s">
        <v>19</v>
      </c>
      <c r="F995">
        <v>2398550</v>
      </c>
      <c r="G995">
        <v>5</v>
      </c>
      <c r="H995">
        <v>3</v>
      </c>
      <c r="I995">
        <v>826</v>
      </c>
      <c r="J995">
        <v>1961</v>
      </c>
      <c r="K995" s="4">
        <v>45277</v>
      </c>
      <c r="L995" t="s">
        <v>23</v>
      </c>
      <c r="M995" t="s">
        <v>78</v>
      </c>
      <c r="N995">
        <v>2.84</v>
      </c>
      <c r="O995">
        <v>1844</v>
      </c>
      <c r="P995">
        <v>3.18</v>
      </c>
      <c r="Q995">
        <v>366</v>
      </c>
      <c r="R995">
        <v>637</v>
      </c>
    </row>
    <row r="996" spans="1:18" x14ac:dyDescent="0.2">
      <c r="A996">
        <v>0</v>
      </c>
      <c r="B996" t="s">
        <v>98</v>
      </c>
      <c r="E996" t="s">
        <v>29</v>
      </c>
      <c r="F996">
        <v>1204059</v>
      </c>
      <c r="G996">
        <v>5</v>
      </c>
      <c r="H996">
        <v>3</v>
      </c>
      <c r="I996">
        <v>287</v>
      </c>
      <c r="J996">
        <v>1973</v>
      </c>
      <c r="K996" s="4">
        <v>45169</v>
      </c>
      <c r="L996" t="s">
        <v>30</v>
      </c>
      <c r="M996" t="s">
        <v>77</v>
      </c>
      <c r="N996">
        <v>1.53</v>
      </c>
      <c r="O996">
        <v>938</v>
      </c>
      <c r="P996">
        <v>3.21</v>
      </c>
      <c r="Q996">
        <v>382</v>
      </c>
      <c r="R996">
        <v>367</v>
      </c>
    </row>
    <row r="997" spans="1:18" x14ac:dyDescent="0.2">
      <c r="A997">
        <v>5</v>
      </c>
      <c r="B997" t="s">
        <v>102</v>
      </c>
      <c r="E997" t="s">
        <v>36</v>
      </c>
      <c r="F997">
        <v>2392629</v>
      </c>
      <c r="G997">
        <v>4</v>
      </c>
      <c r="H997">
        <v>2</v>
      </c>
      <c r="I997">
        <v>366</v>
      </c>
      <c r="J997">
        <v>1966</v>
      </c>
      <c r="K997" s="4">
        <v>45480</v>
      </c>
      <c r="L997" t="s">
        <v>26</v>
      </c>
      <c r="M997" t="s">
        <v>76</v>
      </c>
      <c r="N997">
        <v>3.46</v>
      </c>
      <c r="O997">
        <v>1805</v>
      </c>
      <c r="P997">
        <v>3.58</v>
      </c>
      <c r="Q997">
        <v>280</v>
      </c>
      <c r="R997">
        <v>592</v>
      </c>
    </row>
    <row r="998" spans="1:18" x14ac:dyDescent="0.2">
      <c r="A998">
        <v>0</v>
      </c>
      <c r="B998" t="s">
        <v>95</v>
      </c>
      <c r="E998" t="s">
        <v>19</v>
      </c>
      <c r="F998">
        <v>2282808</v>
      </c>
      <c r="G998">
        <v>1</v>
      </c>
      <c r="H998">
        <v>3</v>
      </c>
      <c r="I998">
        <v>430</v>
      </c>
      <c r="J998">
        <v>1995</v>
      </c>
      <c r="K998" s="4">
        <v>45132</v>
      </c>
      <c r="L998" t="s">
        <v>23</v>
      </c>
      <c r="M998" t="s">
        <v>74</v>
      </c>
      <c r="N998">
        <v>2.9</v>
      </c>
      <c r="O998">
        <v>1784</v>
      </c>
      <c r="P998">
        <v>2.29</v>
      </c>
      <c r="Q998">
        <v>92</v>
      </c>
      <c r="R998">
        <v>446</v>
      </c>
    </row>
    <row r="999" spans="1:18" x14ac:dyDescent="0.2">
      <c r="A999">
        <v>3</v>
      </c>
      <c r="B999" t="s">
        <v>18</v>
      </c>
      <c r="E999" t="s">
        <v>51</v>
      </c>
      <c r="F999">
        <v>1286925</v>
      </c>
      <c r="G999">
        <v>4</v>
      </c>
      <c r="H999">
        <v>1</v>
      </c>
      <c r="I999">
        <v>98</v>
      </c>
      <c r="J999">
        <v>1955</v>
      </c>
      <c r="K999" s="4">
        <v>44128</v>
      </c>
      <c r="L999" t="s">
        <v>26</v>
      </c>
      <c r="M999" t="s">
        <v>74</v>
      </c>
      <c r="N999">
        <v>2.41</v>
      </c>
      <c r="O999">
        <v>980</v>
      </c>
      <c r="P999">
        <v>0.16</v>
      </c>
      <c r="Q999">
        <v>330</v>
      </c>
      <c r="R999">
        <v>419</v>
      </c>
    </row>
    <row r="1000" spans="1:18" x14ac:dyDescent="0.2">
      <c r="A1000">
        <v>6</v>
      </c>
      <c r="B1000" t="s">
        <v>25</v>
      </c>
      <c r="E1000" t="s">
        <v>29</v>
      </c>
      <c r="F1000">
        <v>889248</v>
      </c>
      <c r="G1000">
        <v>6</v>
      </c>
      <c r="H1000">
        <v>1</v>
      </c>
      <c r="I1000">
        <v>490</v>
      </c>
      <c r="J1000">
        <v>1970</v>
      </c>
      <c r="K1000" s="4">
        <v>45406</v>
      </c>
      <c r="L1000" t="s">
        <v>23</v>
      </c>
      <c r="M1000" t="s">
        <v>33</v>
      </c>
      <c r="N1000">
        <v>2.02</v>
      </c>
      <c r="O1000">
        <v>1953</v>
      </c>
      <c r="P1000">
        <v>3.33</v>
      </c>
      <c r="Q1000">
        <v>354</v>
      </c>
      <c r="R1000">
        <v>434</v>
      </c>
    </row>
    <row r="1001" spans="1:18" x14ac:dyDescent="0.2">
      <c r="A1001">
        <v>6</v>
      </c>
      <c r="B1001" t="s">
        <v>32</v>
      </c>
      <c r="E1001" t="s">
        <v>51</v>
      </c>
      <c r="F1001">
        <v>1902550</v>
      </c>
      <c r="G1001">
        <v>6</v>
      </c>
      <c r="H1001">
        <v>1</v>
      </c>
      <c r="I1001">
        <v>89</v>
      </c>
      <c r="J1001">
        <v>1985</v>
      </c>
      <c r="K1001" s="4">
        <v>44259</v>
      </c>
      <c r="L1001" t="s">
        <v>23</v>
      </c>
      <c r="M1001" t="s">
        <v>33</v>
      </c>
      <c r="N1001">
        <v>2.66</v>
      </c>
      <c r="O1001">
        <v>1207</v>
      </c>
      <c r="P1001">
        <v>2.37</v>
      </c>
      <c r="Q1001">
        <v>341</v>
      </c>
      <c r="R1001">
        <v>556</v>
      </c>
    </row>
    <row r="1002" spans="1:18" x14ac:dyDescent="0.2">
      <c r="A1002">
        <v>6</v>
      </c>
      <c r="B1002" t="s">
        <v>88</v>
      </c>
      <c r="E1002" t="s">
        <v>29</v>
      </c>
      <c r="F1002">
        <v>793246</v>
      </c>
      <c r="G1002">
        <v>4</v>
      </c>
      <c r="H1002">
        <v>3</v>
      </c>
      <c r="I1002">
        <v>228</v>
      </c>
      <c r="J1002">
        <v>2002</v>
      </c>
      <c r="K1002" s="4">
        <v>44641</v>
      </c>
      <c r="L1002" t="s">
        <v>23</v>
      </c>
      <c r="M1002" t="s">
        <v>82</v>
      </c>
      <c r="N1002">
        <v>2.2200000000000002</v>
      </c>
      <c r="O1002">
        <v>2394</v>
      </c>
      <c r="P1002">
        <v>0.31</v>
      </c>
      <c r="Q1002">
        <v>188</v>
      </c>
      <c r="R1002">
        <v>662</v>
      </c>
    </row>
    <row r="1003" spans="1:18" x14ac:dyDescent="0.2">
      <c r="A1003">
        <v>4</v>
      </c>
      <c r="B1003" t="s">
        <v>91</v>
      </c>
      <c r="E1003" t="s">
        <v>29</v>
      </c>
      <c r="F1003">
        <v>538114</v>
      </c>
      <c r="G1003">
        <v>2</v>
      </c>
      <c r="H1003">
        <v>3</v>
      </c>
      <c r="I1003">
        <v>847</v>
      </c>
      <c r="J1003">
        <v>1962</v>
      </c>
      <c r="K1003" s="4">
        <v>44960</v>
      </c>
      <c r="L1003" t="s">
        <v>23</v>
      </c>
      <c r="M1003" t="s">
        <v>78</v>
      </c>
      <c r="N1003">
        <v>2.12</v>
      </c>
      <c r="O1003">
        <v>834</v>
      </c>
      <c r="P1003">
        <v>0.62</v>
      </c>
      <c r="Q1003">
        <v>117</v>
      </c>
      <c r="R1003">
        <v>358</v>
      </c>
    </row>
    <row r="1004" spans="1:18" x14ac:dyDescent="0.2">
      <c r="A1004">
        <v>3</v>
      </c>
      <c r="B1004" t="s">
        <v>18</v>
      </c>
      <c r="E1004" t="s">
        <v>29</v>
      </c>
      <c r="F1004">
        <v>2552146</v>
      </c>
      <c r="G1004">
        <v>4</v>
      </c>
      <c r="H1004">
        <v>2</v>
      </c>
      <c r="I1004">
        <v>308</v>
      </c>
      <c r="J1004">
        <v>1982</v>
      </c>
      <c r="K1004" s="4">
        <v>45330</v>
      </c>
      <c r="L1004" t="s">
        <v>26</v>
      </c>
      <c r="M1004" t="s">
        <v>42</v>
      </c>
      <c r="N1004">
        <v>2.66</v>
      </c>
      <c r="O1004">
        <v>1628</v>
      </c>
      <c r="P1004">
        <v>1.27</v>
      </c>
      <c r="Q1004">
        <v>382</v>
      </c>
      <c r="R1004">
        <v>423</v>
      </c>
    </row>
    <row r="1005" spans="1:18" x14ac:dyDescent="0.2">
      <c r="A1005">
        <v>9</v>
      </c>
      <c r="B1005" t="s">
        <v>57</v>
      </c>
      <c r="E1005" t="s">
        <v>29</v>
      </c>
      <c r="F1005">
        <v>2510912</v>
      </c>
      <c r="G1005">
        <v>1</v>
      </c>
      <c r="H1005">
        <v>3</v>
      </c>
      <c r="I1005">
        <v>778</v>
      </c>
      <c r="J1005">
        <v>1978</v>
      </c>
      <c r="K1005" s="4">
        <v>44648</v>
      </c>
      <c r="L1005" t="s">
        <v>26</v>
      </c>
      <c r="M1005" t="s">
        <v>70</v>
      </c>
      <c r="N1005">
        <v>3.19</v>
      </c>
      <c r="O1005">
        <v>1838</v>
      </c>
      <c r="P1005">
        <v>0.95</v>
      </c>
      <c r="Q1005">
        <v>134</v>
      </c>
      <c r="R1005">
        <v>552</v>
      </c>
    </row>
    <row r="1006" spans="1:18" x14ac:dyDescent="0.2">
      <c r="A1006">
        <v>1</v>
      </c>
      <c r="B1006" t="s">
        <v>83</v>
      </c>
      <c r="E1006" t="s">
        <v>29</v>
      </c>
      <c r="F1006">
        <v>1348139</v>
      </c>
      <c r="G1006">
        <v>2</v>
      </c>
      <c r="H1006">
        <v>2</v>
      </c>
      <c r="I1006">
        <v>850</v>
      </c>
      <c r="J1006">
        <v>1950</v>
      </c>
      <c r="K1006" s="4">
        <v>44847</v>
      </c>
      <c r="L1006" t="s">
        <v>20</v>
      </c>
      <c r="M1006" t="s">
        <v>70</v>
      </c>
      <c r="N1006">
        <v>3.31</v>
      </c>
      <c r="O1006">
        <v>1321</v>
      </c>
      <c r="P1006">
        <v>0.28999999999999998</v>
      </c>
      <c r="Q1006">
        <v>166</v>
      </c>
      <c r="R1006">
        <v>355</v>
      </c>
    </row>
    <row r="1007" spans="1:18" x14ac:dyDescent="0.2">
      <c r="A1007">
        <v>5</v>
      </c>
      <c r="B1007" t="s">
        <v>93</v>
      </c>
      <c r="E1007" t="s">
        <v>51</v>
      </c>
      <c r="F1007">
        <v>1926087</v>
      </c>
      <c r="G1007">
        <v>6</v>
      </c>
      <c r="H1007">
        <v>2</v>
      </c>
      <c r="I1007">
        <v>308</v>
      </c>
      <c r="J1007">
        <v>1950</v>
      </c>
      <c r="K1007" s="4">
        <v>44645</v>
      </c>
      <c r="L1007" t="s">
        <v>30</v>
      </c>
      <c r="M1007" t="s">
        <v>59</v>
      </c>
      <c r="N1007">
        <v>1.67</v>
      </c>
      <c r="O1007">
        <v>1362</v>
      </c>
      <c r="P1007">
        <v>2.84</v>
      </c>
      <c r="Q1007">
        <v>380</v>
      </c>
      <c r="R1007">
        <v>580</v>
      </c>
    </row>
    <row r="1008" spans="1:18" x14ac:dyDescent="0.2">
      <c r="A1008">
        <v>7</v>
      </c>
      <c r="B1008" t="s">
        <v>95</v>
      </c>
      <c r="E1008" t="s">
        <v>36</v>
      </c>
      <c r="F1008">
        <v>2326000</v>
      </c>
      <c r="G1008">
        <v>2</v>
      </c>
      <c r="H1008">
        <v>2</v>
      </c>
      <c r="I1008">
        <v>598</v>
      </c>
      <c r="J1008">
        <v>1996</v>
      </c>
      <c r="K1008" s="4">
        <v>44220</v>
      </c>
      <c r="L1008" t="s">
        <v>30</v>
      </c>
      <c r="M1008" t="s">
        <v>68</v>
      </c>
      <c r="N1008">
        <v>3.03</v>
      </c>
      <c r="O1008">
        <v>1634</v>
      </c>
      <c r="P1008">
        <v>3.52</v>
      </c>
      <c r="Q1008">
        <v>208</v>
      </c>
      <c r="R1008">
        <v>680</v>
      </c>
    </row>
    <row r="1009" spans="1:18" x14ac:dyDescent="0.2">
      <c r="A1009">
        <v>2</v>
      </c>
      <c r="B1009" t="s">
        <v>75</v>
      </c>
      <c r="E1009" t="s">
        <v>29</v>
      </c>
      <c r="F1009">
        <v>945850</v>
      </c>
      <c r="G1009">
        <v>6</v>
      </c>
      <c r="H1009">
        <v>1</v>
      </c>
      <c r="I1009">
        <v>918</v>
      </c>
      <c r="J1009">
        <v>1987</v>
      </c>
      <c r="K1009" s="4">
        <v>45554</v>
      </c>
      <c r="L1009" t="s">
        <v>23</v>
      </c>
      <c r="M1009" t="s">
        <v>47</v>
      </c>
      <c r="N1009">
        <v>1.66</v>
      </c>
      <c r="O1009">
        <v>2179</v>
      </c>
      <c r="P1009">
        <v>2.21</v>
      </c>
      <c r="Q1009">
        <v>394</v>
      </c>
      <c r="R1009">
        <v>503</v>
      </c>
    </row>
    <row r="1010" spans="1:18" x14ac:dyDescent="0.2">
      <c r="A1010">
        <v>8</v>
      </c>
      <c r="B1010" t="s">
        <v>105</v>
      </c>
      <c r="E1010" t="s">
        <v>36</v>
      </c>
      <c r="F1010">
        <v>2285903</v>
      </c>
      <c r="G1010">
        <v>1</v>
      </c>
      <c r="H1010">
        <v>3</v>
      </c>
      <c r="I1010">
        <v>481</v>
      </c>
      <c r="J1010">
        <v>2017</v>
      </c>
      <c r="K1010" s="4">
        <v>44185</v>
      </c>
      <c r="L1010" t="s">
        <v>20</v>
      </c>
      <c r="M1010" t="s">
        <v>54</v>
      </c>
      <c r="N1010">
        <v>3.36</v>
      </c>
      <c r="O1010">
        <v>1544</v>
      </c>
      <c r="P1010">
        <v>4.9800000000000004</v>
      </c>
      <c r="Q1010">
        <v>104</v>
      </c>
      <c r="R1010">
        <v>471</v>
      </c>
    </row>
    <row r="1011" spans="1:18" x14ac:dyDescent="0.2">
      <c r="A1011">
        <v>7</v>
      </c>
      <c r="B1011" t="s">
        <v>62</v>
      </c>
      <c r="E1011" t="s">
        <v>19</v>
      </c>
      <c r="F1011">
        <v>1808233</v>
      </c>
      <c r="G1011">
        <v>3</v>
      </c>
      <c r="H1011">
        <v>2</v>
      </c>
      <c r="I1011">
        <v>740</v>
      </c>
      <c r="J1011">
        <v>1954</v>
      </c>
      <c r="K1011" s="4">
        <v>45517</v>
      </c>
      <c r="L1011" t="s">
        <v>26</v>
      </c>
      <c r="M1011" t="s">
        <v>40</v>
      </c>
      <c r="N1011">
        <v>1.65</v>
      </c>
      <c r="O1011">
        <v>1566</v>
      </c>
      <c r="P1011">
        <v>4.4000000000000004</v>
      </c>
      <c r="Q1011">
        <v>299</v>
      </c>
      <c r="R1011">
        <v>483</v>
      </c>
    </row>
    <row r="1012" spans="1:18" x14ac:dyDescent="0.2">
      <c r="A1012">
        <v>2</v>
      </c>
      <c r="B1012" t="s">
        <v>43</v>
      </c>
      <c r="E1012" t="s">
        <v>51</v>
      </c>
      <c r="F1012">
        <v>1519734</v>
      </c>
      <c r="G1012">
        <v>3</v>
      </c>
      <c r="H1012">
        <v>3</v>
      </c>
      <c r="I1012">
        <v>765</v>
      </c>
      <c r="J1012">
        <v>2019</v>
      </c>
      <c r="K1012" s="4">
        <v>44299</v>
      </c>
      <c r="L1012" t="s">
        <v>30</v>
      </c>
      <c r="M1012" t="s">
        <v>82</v>
      </c>
      <c r="N1012">
        <v>2.27</v>
      </c>
      <c r="O1012">
        <v>1828</v>
      </c>
      <c r="P1012">
        <v>3.79</v>
      </c>
      <c r="Q1012">
        <v>131</v>
      </c>
      <c r="R1012">
        <v>666</v>
      </c>
    </row>
    <row r="1013" spans="1:18" x14ac:dyDescent="0.2">
      <c r="A1013">
        <v>1</v>
      </c>
      <c r="B1013" t="s">
        <v>105</v>
      </c>
      <c r="E1013" t="s">
        <v>29</v>
      </c>
      <c r="F1013">
        <v>2051572</v>
      </c>
      <c r="G1013">
        <v>4</v>
      </c>
      <c r="H1013">
        <v>1</v>
      </c>
      <c r="I1013">
        <v>750</v>
      </c>
      <c r="J1013">
        <v>1988</v>
      </c>
      <c r="K1013" s="4">
        <v>44863</v>
      </c>
      <c r="L1013" t="s">
        <v>26</v>
      </c>
      <c r="M1013" t="s">
        <v>68</v>
      </c>
      <c r="N1013">
        <v>2.11</v>
      </c>
      <c r="O1013">
        <v>1381</v>
      </c>
      <c r="P1013">
        <v>0.96</v>
      </c>
      <c r="Q1013">
        <v>375</v>
      </c>
      <c r="R1013">
        <v>639</v>
      </c>
    </row>
    <row r="1014" spans="1:18" x14ac:dyDescent="0.2">
      <c r="A1014">
        <v>2</v>
      </c>
      <c r="B1014" t="s">
        <v>25</v>
      </c>
      <c r="E1014" t="s">
        <v>51</v>
      </c>
      <c r="F1014">
        <v>1865674</v>
      </c>
      <c r="G1014">
        <v>2</v>
      </c>
      <c r="H1014">
        <v>2</v>
      </c>
      <c r="I1014">
        <v>546</v>
      </c>
      <c r="J1014">
        <v>1958</v>
      </c>
      <c r="K1014" s="4">
        <v>45275</v>
      </c>
      <c r="L1014" t="s">
        <v>30</v>
      </c>
      <c r="M1014" t="s">
        <v>89</v>
      </c>
      <c r="N1014">
        <v>1.79</v>
      </c>
      <c r="O1014">
        <v>1931</v>
      </c>
      <c r="P1014">
        <v>4.1100000000000003</v>
      </c>
      <c r="Q1014">
        <v>80</v>
      </c>
      <c r="R1014">
        <v>668</v>
      </c>
    </row>
    <row r="1015" spans="1:18" x14ac:dyDescent="0.2">
      <c r="A1015">
        <v>1</v>
      </c>
      <c r="B1015" t="s">
        <v>75</v>
      </c>
      <c r="E1015" t="s">
        <v>19</v>
      </c>
      <c r="F1015">
        <v>2148351</v>
      </c>
      <c r="G1015">
        <v>4</v>
      </c>
      <c r="H1015">
        <v>2</v>
      </c>
      <c r="I1015">
        <v>622</v>
      </c>
      <c r="J1015">
        <v>1971</v>
      </c>
      <c r="K1015" s="4">
        <v>45641</v>
      </c>
      <c r="L1015" t="s">
        <v>20</v>
      </c>
      <c r="M1015" t="s">
        <v>45</v>
      </c>
      <c r="N1015">
        <v>1.8</v>
      </c>
      <c r="O1015">
        <v>1981</v>
      </c>
      <c r="P1015">
        <v>1.1100000000000001</v>
      </c>
      <c r="Q1015">
        <v>279</v>
      </c>
      <c r="R1015">
        <v>343</v>
      </c>
    </row>
    <row r="1016" spans="1:18" x14ac:dyDescent="0.2">
      <c r="A1016">
        <v>4</v>
      </c>
      <c r="B1016" t="s">
        <v>64</v>
      </c>
      <c r="E1016" t="s">
        <v>19</v>
      </c>
      <c r="F1016">
        <v>2883566</v>
      </c>
      <c r="G1016">
        <v>4</v>
      </c>
      <c r="H1016">
        <v>1</v>
      </c>
      <c r="I1016">
        <v>853</v>
      </c>
      <c r="J1016">
        <v>1996</v>
      </c>
      <c r="K1016" s="4">
        <v>45381</v>
      </c>
      <c r="L1016" t="s">
        <v>30</v>
      </c>
      <c r="M1016" t="s">
        <v>52</v>
      </c>
      <c r="N1016">
        <v>1.66</v>
      </c>
      <c r="O1016">
        <v>1830</v>
      </c>
      <c r="P1016">
        <v>1.05</v>
      </c>
      <c r="Q1016">
        <v>230</v>
      </c>
      <c r="R1016">
        <v>646</v>
      </c>
    </row>
    <row r="1017" spans="1:18" x14ac:dyDescent="0.2">
      <c r="A1017">
        <v>6</v>
      </c>
      <c r="B1017" t="s">
        <v>22</v>
      </c>
      <c r="E1017" t="s">
        <v>51</v>
      </c>
      <c r="F1017">
        <v>2218820</v>
      </c>
      <c r="G1017">
        <v>4</v>
      </c>
      <c r="H1017">
        <v>2</v>
      </c>
      <c r="I1017">
        <v>888</v>
      </c>
      <c r="J1017">
        <v>1975</v>
      </c>
      <c r="K1017" s="4">
        <v>44565</v>
      </c>
      <c r="L1017" t="s">
        <v>30</v>
      </c>
      <c r="M1017" t="s">
        <v>56</v>
      </c>
      <c r="N1017">
        <v>2.73</v>
      </c>
      <c r="O1017">
        <v>1059</v>
      </c>
      <c r="P1017">
        <v>1.33</v>
      </c>
      <c r="Q1017">
        <v>189</v>
      </c>
      <c r="R1017">
        <v>373</v>
      </c>
    </row>
    <row r="1018" spans="1:18" x14ac:dyDescent="0.2">
      <c r="A1018">
        <v>8</v>
      </c>
      <c r="B1018" t="s">
        <v>55</v>
      </c>
      <c r="E1018" t="s">
        <v>29</v>
      </c>
      <c r="F1018">
        <v>2295373</v>
      </c>
      <c r="G1018">
        <v>3</v>
      </c>
      <c r="H1018">
        <v>3</v>
      </c>
      <c r="I1018">
        <v>746</v>
      </c>
      <c r="J1018">
        <v>2017</v>
      </c>
      <c r="K1018" s="4">
        <v>45788</v>
      </c>
      <c r="L1018" t="s">
        <v>23</v>
      </c>
      <c r="M1018" t="s">
        <v>63</v>
      </c>
      <c r="N1018">
        <v>2.0299999999999998</v>
      </c>
      <c r="O1018">
        <v>1382</v>
      </c>
      <c r="P1018">
        <v>0.67</v>
      </c>
      <c r="Q1018">
        <v>235</v>
      </c>
      <c r="R1018">
        <v>446</v>
      </c>
    </row>
    <row r="1019" spans="1:18" x14ac:dyDescent="0.2">
      <c r="A1019">
        <v>1</v>
      </c>
      <c r="B1019" t="s">
        <v>88</v>
      </c>
      <c r="E1019" t="s">
        <v>51</v>
      </c>
      <c r="F1019">
        <v>2001541</v>
      </c>
      <c r="G1019">
        <v>2</v>
      </c>
      <c r="H1019">
        <v>3</v>
      </c>
      <c r="I1019">
        <v>568</v>
      </c>
      <c r="J1019">
        <v>1960</v>
      </c>
      <c r="K1019" s="4">
        <v>44887</v>
      </c>
      <c r="L1019" t="s">
        <v>26</v>
      </c>
      <c r="M1019" t="s">
        <v>70</v>
      </c>
      <c r="N1019">
        <v>2.04</v>
      </c>
      <c r="O1019">
        <v>1681</v>
      </c>
      <c r="P1019">
        <v>0.19</v>
      </c>
      <c r="Q1019">
        <v>194</v>
      </c>
      <c r="R1019">
        <v>371</v>
      </c>
    </row>
    <row r="1020" spans="1:18" x14ac:dyDescent="0.2">
      <c r="A1020">
        <v>7</v>
      </c>
      <c r="B1020" t="s">
        <v>86</v>
      </c>
      <c r="E1020" t="s">
        <v>29</v>
      </c>
      <c r="F1020">
        <v>676369</v>
      </c>
      <c r="G1020">
        <v>1</v>
      </c>
      <c r="H1020">
        <v>3</v>
      </c>
      <c r="I1020">
        <v>493</v>
      </c>
      <c r="J1020">
        <v>1962</v>
      </c>
      <c r="K1020" s="4">
        <v>44264</v>
      </c>
      <c r="L1020" t="s">
        <v>30</v>
      </c>
      <c r="M1020" t="s">
        <v>74</v>
      </c>
      <c r="N1020">
        <v>2.9</v>
      </c>
      <c r="O1020">
        <v>2400</v>
      </c>
      <c r="P1020">
        <v>3.75</v>
      </c>
      <c r="Q1020">
        <v>160</v>
      </c>
      <c r="R1020">
        <v>676</v>
      </c>
    </row>
    <row r="1021" spans="1:18" x14ac:dyDescent="0.2">
      <c r="A1021">
        <v>1</v>
      </c>
      <c r="B1021" t="s">
        <v>62</v>
      </c>
      <c r="E1021" t="s">
        <v>29</v>
      </c>
      <c r="F1021">
        <v>1699645</v>
      </c>
      <c r="G1021">
        <v>2</v>
      </c>
      <c r="H1021">
        <v>3</v>
      </c>
      <c r="I1021">
        <v>870</v>
      </c>
      <c r="J1021">
        <v>2006</v>
      </c>
      <c r="K1021" s="4">
        <v>44944</v>
      </c>
      <c r="L1021" t="s">
        <v>23</v>
      </c>
      <c r="M1021" t="s">
        <v>66</v>
      </c>
      <c r="N1021">
        <v>1.84</v>
      </c>
      <c r="O1021">
        <v>978</v>
      </c>
      <c r="P1021">
        <v>4.07</v>
      </c>
      <c r="Q1021">
        <v>212</v>
      </c>
      <c r="R1021">
        <v>308</v>
      </c>
    </row>
    <row r="1022" spans="1:18" x14ac:dyDescent="0.2">
      <c r="A1022">
        <v>2</v>
      </c>
      <c r="B1022" t="s">
        <v>106</v>
      </c>
      <c r="E1022" t="s">
        <v>29</v>
      </c>
      <c r="F1022">
        <v>453957</v>
      </c>
      <c r="G1022">
        <v>5</v>
      </c>
      <c r="H1022">
        <v>1</v>
      </c>
      <c r="I1022">
        <v>951</v>
      </c>
      <c r="J1022">
        <v>1961</v>
      </c>
      <c r="K1022" s="4">
        <v>45779</v>
      </c>
      <c r="L1022" t="s">
        <v>26</v>
      </c>
      <c r="M1022" t="s">
        <v>59</v>
      </c>
      <c r="N1022">
        <v>2.2599999999999998</v>
      </c>
      <c r="O1022">
        <v>2173</v>
      </c>
      <c r="P1022">
        <v>2.54</v>
      </c>
      <c r="Q1022">
        <v>303</v>
      </c>
      <c r="R1022">
        <v>691</v>
      </c>
    </row>
    <row r="1023" spans="1:18" x14ac:dyDescent="0.2">
      <c r="A1023">
        <v>7</v>
      </c>
      <c r="B1023" t="s">
        <v>49</v>
      </c>
      <c r="E1023" t="s">
        <v>36</v>
      </c>
      <c r="F1023">
        <v>2381061</v>
      </c>
      <c r="G1023">
        <v>2</v>
      </c>
      <c r="H1023">
        <v>2</v>
      </c>
      <c r="I1023">
        <v>815</v>
      </c>
      <c r="J1023">
        <v>1983</v>
      </c>
      <c r="K1023" s="4">
        <v>44150</v>
      </c>
      <c r="L1023" t="s">
        <v>23</v>
      </c>
      <c r="M1023" t="s">
        <v>52</v>
      </c>
      <c r="N1023">
        <v>2.2000000000000002</v>
      </c>
      <c r="O1023">
        <v>840</v>
      </c>
      <c r="P1023">
        <v>2.69</v>
      </c>
      <c r="Q1023">
        <v>45</v>
      </c>
      <c r="R1023">
        <v>406</v>
      </c>
    </row>
    <row r="1024" spans="1:18" x14ac:dyDescent="0.2">
      <c r="A1024">
        <v>9</v>
      </c>
      <c r="B1024" t="s">
        <v>84</v>
      </c>
      <c r="E1024" t="s">
        <v>51</v>
      </c>
      <c r="F1024">
        <v>1298062</v>
      </c>
      <c r="G1024">
        <v>3</v>
      </c>
      <c r="H1024">
        <v>3</v>
      </c>
      <c r="I1024">
        <v>196</v>
      </c>
      <c r="J1024">
        <v>1975</v>
      </c>
      <c r="K1024" s="4">
        <v>45536</v>
      </c>
      <c r="L1024" t="s">
        <v>30</v>
      </c>
      <c r="M1024" t="s">
        <v>24</v>
      </c>
      <c r="N1024">
        <v>2.15</v>
      </c>
      <c r="O1024">
        <v>2474</v>
      </c>
      <c r="P1024">
        <v>1.43</v>
      </c>
      <c r="Q1024">
        <v>171</v>
      </c>
      <c r="R1024">
        <v>420</v>
      </c>
    </row>
    <row r="1025" spans="1:18" x14ac:dyDescent="0.2">
      <c r="A1025">
        <v>1</v>
      </c>
      <c r="B1025" t="s">
        <v>41</v>
      </c>
      <c r="E1025" t="s">
        <v>19</v>
      </c>
      <c r="F1025">
        <v>2367021</v>
      </c>
      <c r="G1025">
        <v>1</v>
      </c>
      <c r="H1025">
        <v>2</v>
      </c>
      <c r="I1025">
        <v>296</v>
      </c>
      <c r="J1025">
        <v>1986</v>
      </c>
      <c r="K1025" s="4">
        <v>44954</v>
      </c>
      <c r="L1025" t="s">
        <v>23</v>
      </c>
      <c r="M1025" t="s">
        <v>97</v>
      </c>
      <c r="N1025">
        <v>1.79</v>
      </c>
      <c r="O1025">
        <v>1648</v>
      </c>
      <c r="P1025">
        <v>3.64</v>
      </c>
      <c r="Q1025">
        <v>96</v>
      </c>
      <c r="R1025">
        <v>408</v>
      </c>
    </row>
    <row r="1026" spans="1:18" x14ac:dyDescent="0.2">
      <c r="A1026">
        <v>3</v>
      </c>
      <c r="B1026" t="s">
        <v>92</v>
      </c>
      <c r="E1026" t="s">
        <v>19</v>
      </c>
      <c r="F1026">
        <v>553365</v>
      </c>
      <c r="G1026">
        <v>2</v>
      </c>
      <c r="H1026">
        <v>3</v>
      </c>
      <c r="I1026">
        <v>627</v>
      </c>
      <c r="J1026">
        <v>1973</v>
      </c>
      <c r="K1026" s="4">
        <v>44246</v>
      </c>
      <c r="L1026" t="s">
        <v>26</v>
      </c>
      <c r="M1026" t="s">
        <v>27</v>
      </c>
      <c r="N1026">
        <v>2.41</v>
      </c>
      <c r="O1026">
        <v>1267</v>
      </c>
      <c r="P1026">
        <v>0.6</v>
      </c>
      <c r="Q1026">
        <v>52</v>
      </c>
      <c r="R1026">
        <v>566</v>
      </c>
    </row>
    <row r="1027" spans="1:18" x14ac:dyDescent="0.2">
      <c r="A1027">
        <v>8</v>
      </c>
      <c r="B1027" t="s">
        <v>83</v>
      </c>
      <c r="E1027" t="s">
        <v>36</v>
      </c>
      <c r="F1027">
        <v>2219875</v>
      </c>
      <c r="G1027">
        <v>0</v>
      </c>
      <c r="H1027">
        <v>1</v>
      </c>
      <c r="I1027">
        <v>666</v>
      </c>
      <c r="J1027">
        <v>1973</v>
      </c>
      <c r="K1027" s="4">
        <v>44486</v>
      </c>
      <c r="L1027" t="s">
        <v>26</v>
      </c>
      <c r="M1027" t="s">
        <v>40</v>
      </c>
      <c r="N1027">
        <v>2.4700000000000002</v>
      </c>
      <c r="O1027">
        <v>1655</v>
      </c>
      <c r="P1027">
        <v>3.32</v>
      </c>
      <c r="Q1027">
        <v>72</v>
      </c>
      <c r="R1027">
        <v>578</v>
      </c>
    </row>
    <row r="1028" spans="1:18" x14ac:dyDescent="0.2">
      <c r="A1028">
        <v>4</v>
      </c>
      <c r="B1028" t="s">
        <v>102</v>
      </c>
      <c r="E1028" t="s">
        <v>19</v>
      </c>
      <c r="F1028">
        <v>1196914</v>
      </c>
      <c r="G1028">
        <v>4</v>
      </c>
      <c r="H1028">
        <v>3</v>
      </c>
      <c r="I1028">
        <v>491</v>
      </c>
      <c r="J1028">
        <v>1972</v>
      </c>
      <c r="K1028" s="4">
        <v>44555</v>
      </c>
      <c r="L1028" t="s">
        <v>26</v>
      </c>
      <c r="M1028" t="s">
        <v>76</v>
      </c>
      <c r="N1028">
        <v>2.73</v>
      </c>
      <c r="O1028">
        <v>1294</v>
      </c>
      <c r="P1028">
        <v>0.92</v>
      </c>
      <c r="Q1028">
        <v>296</v>
      </c>
      <c r="R1028">
        <v>576</v>
      </c>
    </row>
    <row r="1029" spans="1:18" x14ac:dyDescent="0.2">
      <c r="A1029">
        <v>4</v>
      </c>
      <c r="B1029" t="s">
        <v>50</v>
      </c>
      <c r="E1029" t="s">
        <v>29</v>
      </c>
      <c r="F1029">
        <v>2860252</v>
      </c>
      <c r="G1029">
        <v>3</v>
      </c>
      <c r="H1029">
        <v>1</v>
      </c>
      <c r="I1029">
        <v>315</v>
      </c>
      <c r="J1029">
        <v>1980</v>
      </c>
      <c r="K1029" s="4">
        <v>44949</v>
      </c>
      <c r="L1029" t="s">
        <v>26</v>
      </c>
      <c r="M1029" t="s">
        <v>37</v>
      </c>
      <c r="N1029">
        <v>2.85</v>
      </c>
      <c r="O1029">
        <v>1980</v>
      </c>
      <c r="P1029">
        <v>0.7</v>
      </c>
      <c r="Q1029">
        <v>97</v>
      </c>
      <c r="R1029">
        <v>621</v>
      </c>
    </row>
    <row r="1030" spans="1:18" x14ac:dyDescent="0.2">
      <c r="A1030">
        <v>0</v>
      </c>
      <c r="B1030" t="s">
        <v>57</v>
      </c>
      <c r="E1030" t="s">
        <v>19</v>
      </c>
      <c r="F1030">
        <v>2801270</v>
      </c>
      <c r="G1030">
        <v>4</v>
      </c>
      <c r="H1030">
        <v>1</v>
      </c>
      <c r="I1030">
        <v>495</v>
      </c>
      <c r="J1030">
        <v>2020</v>
      </c>
      <c r="K1030" s="4">
        <v>45094</v>
      </c>
      <c r="L1030" t="s">
        <v>23</v>
      </c>
      <c r="M1030" t="s">
        <v>82</v>
      </c>
      <c r="N1030">
        <v>2.63</v>
      </c>
      <c r="O1030">
        <v>2191</v>
      </c>
      <c r="P1030">
        <v>0.98</v>
      </c>
      <c r="Q1030">
        <v>223</v>
      </c>
      <c r="R1030">
        <v>635</v>
      </c>
    </row>
    <row r="1031" spans="1:18" x14ac:dyDescent="0.2">
      <c r="A1031">
        <v>2</v>
      </c>
      <c r="B1031" t="s">
        <v>39</v>
      </c>
      <c r="E1031" t="s">
        <v>36</v>
      </c>
      <c r="F1031">
        <v>1664724</v>
      </c>
      <c r="G1031">
        <v>2</v>
      </c>
      <c r="H1031">
        <v>1</v>
      </c>
      <c r="I1031">
        <v>643</v>
      </c>
      <c r="J1031">
        <v>2016</v>
      </c>
      <c r="K1031" s="4">
        <v>45091</v>
      </c>
      <c r="L1031" t="s">
        <v>26</v>
      </c>
      <c r="M1031" t="s">
        <v>68</v>
      </c>
      <c r="N1031">
        <v>3.38</v>
      </c>
      <c r="O1031">
        <v>1831</v>
      </c>
      <c r="P1031">
        <v>3.66</v>
      </c>
      <c r="Q1031">
        <v>162</v>
      </c>
      <c r="R1031">
        <v>514</v>
      </c>
    </row>
    <row r="1032" spans="1:18" x14ac:dyDescent="0.2">
      <c r="A1032">
        <v>7</v>
      </c>
      <c r="B1032" t="s">
        <v>87</v>
      </c>
      <c r="E1032" t="s">
        <v>51</v>
      </c>
      <c r="F1032">
        <v>2378151</v>
      </c>
      <c r="G1032">
        <v>4</v>
      </c>
      <c r="H1032">
        <v>3</v>
      </c>
      <c r="I1032">
        <v>88</v>
      </c>
      <c r="J1032">
        <v>2012</v>
      </c>
      <c r="K1032" s="4">
        <v>44122</v>
      </c>
      <c r="L1032" t="s">
        <v>26</v>
      </c>
      <c r="M1032" t="s">
        <v>47</v>
      </c>
      <c r="N1032">
        <v>2.9</v>
      </c>
      <c r="O1032">
        <v>2206</v>
      </c>
      <c r="P1032">
        <v>1.89</v>
      </c>
      <c r="Q1032">
        <v>218</v>
      </c>
      <c r="R1032">
        <v>412</v>
      </c>
    </row>
    <row r="1033" spans="1:18" x14ac:dyDescent="0.2">
      <c r="A1033">
        <v>0</v>
      </c>
      <c r="B1033" t="s">
        <v>28</v>
      </c>
      <c r="E1033" t="s">
        <v>51</v>
      </c>
      <c r="F1033">
        <v>1195409</v>
      </c>
      <c r="G1033">
        <v>3</v>
      </c>
      <c r="H1033">
        <v>3</v>
      </c>
      <c r="I1033">
        <v>126</v>
      </c>
      <c r="J1033">
        <v>1964</v>
      </c>
      <c r="K1033" s="4">
        <v>44954</v>
      </c>
      <c r="L1033" t="s">
        <v>20</v>
      </c>
      <c r="M1033" t="s">
        <v>35</v>
      </c>
      <c r="N1033">
        <v>2.0299999999999998</v>
      </c>
      <c r="O1033">
        <v>2338</v>
      </c>
      <c r="P1033">
        <v>2.81</v>
      </c>
      <c r="Q1033">
        <v>304</v>
      </c>
      <c r="R1033">
        <v>589</v>
      </c>
    </row>
    <row r="1034" spans="1:18" x14ac:dyDescent="0.2">
      <c r="A1034">
        <v>4</v>
      </c>
      <c r="B1034" t="s">
        <v>88</v>
      </c>
      <c r="E1034" t="s">
        <v>29</v>
      </c>
      <c r="F1034">
        <v>2395539</v>
      </c>
      <c r="G1034">
        <v>1</v>
      </c>
      <c r="H1034">
        <v>2</v>
      </c>
      <c r="I1034">
        <v>866</v>
      </c>
      <c r="J1034">
        <v>1994</v>
      </c>
      <c r="K1034" s="4">
        <v>44581</v>
      </c>
      <c r="L1034" t="s">
        <v>26</v>
      </c>
      <c r="M1034" t="s">
        <v>40</v>
      </c>
      <c r="N1034">
        <v>3.05</v>
      </c>
      <c r="O1034">
        <v>2308</v>
      </c>
      <c r="P1034">
        <v>0.36</v>
      </c>
      <c r="Q1034">
        <v>116</v>
      </c>
      <c r="R1034">
        <v>419</v>
      </c>
    </row>
    <row r="1035" spans="1:18" x14ac:dyDescent="0.2">
      <c r="A1035">
        <v>6</v>
      </c>
      <c r="B1035" t="s">
        <v>93</v>
      </c>
      <c r="E1035" t="s">
        <v>29</v>
      </c>
      <c r="F1035">
        <v>1184037</v>
      </c>
      <c r="G1035">
        <v>2</v>
      </c>
      <c r="H1035">
        <v>2</v>
      </c>
      <c r="I1035">
        <v>801</v>
      </c>
      <c r="J1035">
        <v>1993</v>
      </c>
      <c r="K1035" s="4">
        <v>44534</v>
      </c>
      <c r="L1035" t="s">
        <v>20</v>
      </c>
      <c r="M1035" t="s">
        <v>77</v>
      </c>
      <c r="N1035">
        <v>3.46</v>
      </c>
      <c r="O1035">
        <v>2079</v>
      </c>
      <c r="P1035">
        <v>1.28</v>
      </c>
      <c r="Q1035">
        <v>101</v>
      </c>
      <c r="R1035">
        <v>515</v>
      </c>
    </row>
    <row r="1036" spans="1:18" x14ac:dyDescent="0.2">
      <c r="A1036">
        <v>9</v>
      </c>
      <c r="B1036" t="s">
        <v>98</v>
      </c>
      <c r="E1036" t="s">
        <v>36</v>
      </c>
      <c r="F1036">
        <v>866587</v>
      </c>
      <c r="G1036">
        <v>3</v>
      </c>
      <c r="H1036">
        <v>1</v>
      </c>
      <c r="I1036">
        <v>225</v>
      </c>
      <c r="J1036">
        <v>1953</v>
      </c>
      <c r="K1036" s="4">
        <v>44323</v>
      </c>
      <c r="L1036" t="s">
        <v>26</v>
      </c>
      <c r="M1036" t="s">
        <v>58</v>
      </c>
      <c r="N1036">
        <v>2.38</v>
      </c>
      <c r="O1036">
        <v>1589</v>
      </c>
      <c r="P1036">
        <v>1.51</v>
      </c>
      <c r="Q1036">
        <v>174</v>
      </c>
      <c r="R1036">
        <v>629</v>
      </c>
    </row>
    <row r="1037" spans="1:18" x14ac:dyDescent="0.2">
      <c r="A1037">
        <v>0</v>
      </c>
      <c r="B1037" t="s">
        <v>101</v>
      </c>
      <c r="E1037" t="s">
        <v>36</v>
      </c>
      <c r="F1037">
        <v>2714263</v>
      </c>
      <c r="G1037">
        <v>6</v>
      </c>
      <c r="H1037">
        <v>2</v>
      </c>
      <c r="I1037">
        <v>72</v>
      </c>
      <c r="J1037">
        <v>1991</v>
      </c>
      <c r="K1037" s="4">
        <v>44226</v>
      </c>
      <c r="L1037" t="s">
        <v>20</v>
      </c>
      <c r="M1037" t="s">
        <v>33</v>
      </c>
      <c r="N1037">
        <v>2.93</v>
      </c>
      <c r="O1037">
        <v>2257</v>
      </c>
      <c r="P1037">
        <v>4.8099999999999996</v>
      </c>
      <c r="Q1037">
        <v>350</v>
      </c>
      <c r="R1037">
        <v>562</v>
      </c>
    </row>
    <row r="1038" spans="1:18" x14ac:dyDescent="0.2">
      <c r="A1038">
        <v>2</v>
      </c>
      <c r="B1038" t="s">
        <v>57</v>
      </c>
      <c r="E1038" t="s">
        <v>19</v>
      </c>
      <c r="F1038">
        <v>662026</v>
      </c>
      <c r="G1038">
        <v>2</v>
      </c>
      <c r="H1038">
        <v>1</v>
      </c>
      <c r="I1038">
        <v>964</v>
      </c>
      <c r="J1038">
        <v>2022</v>
      </c>
      <c r="K1038" s="4">
        <v>45493</v>
      </c>
      <c r="L1038" t="s">
        <v>20</v>
      </c>
      <c r="M1038" t="s">
        <v>63</v>
      </c>
      <c r="N1038">
        <v>2.21</v>
      </c>
      <c r="O1038">
        <v>2423</v>
      </c>
      <c r="P1038">
        <v>3.6</v>
      </c>
      <c r="Q1038">
        <v>102</v>
      </c>
      <c r="R1038">
        <v>514</v>
      </c>
    </row>
    <row r="1039" spans="1:18" x14ac:dyDescent="0.2">
      <c r="A1039">
        <v>5</v>
      </c>
      <c r="B1039" t="s">
        <v>101</v>
      </c>
      <c r="E1039" t="s">
        <v>36</v>
      </c>
      <c r="F1039">
        <v>1123508</v>
      </c>
      <c r="G1039">
        <v>4</v>
      </c>
      <c r="H1039">
        <v>1</v>
      </c>
      <c r="I1039">
        <v>421</v>
      </c>
      <c r="J1039">
        <v>1998</v>
      </c>
      <c r="K1039" s="4">
        <v>44921</v>
      </c>
      <c r="L1039" t="s">
        <v>30</v>
      </c>
      <c r="M1039" t="s">
        <v>52</v>
      </c>
      <c r="N1039">
        <v>2.5</v>
      </c>
      <c r="O1039">
        <v>1142</v>
      </c>
      <c r="P1039">
        <v>2.89</v>
      </c>
      <c r="Q1039">
        <v>216</v>
      </c>
      <c r="R1039">
        <v>591</v>
      </c>
    </row>
    <row r="1040" spans="1:18" x14ac:dyDescent="0.2">
      <c r="A1040">
        <v>0</v>
      </c>
      <c r="B1040" t="s">
        <v>18</v>
      </c>
      <c r="E1040" t="s">
        <v>36</v>
      </c>
      <c r="F1040">
        <v>1511566</v>
      </c>
      <c r="G1040">
        <v>3</v>
      </c>
      <c r="H1040">
        <v>2</v>
      </c>
      <c r="I1040">
        <v>120</v>
      </c>
      <c r="J1040">
        <v>1980</v>
      </c>
      <c r="K1040" s="4">
        <v>44683</v>
      </c>
      <c r="L1040" t="s">
        <v>30</v>
      </c>
      <c r="M1040" t="s">
        <v>97</v>
      </c>
      <c r="N1040">
        <v>2.67</v>
      </c>
      <c r="O1040">
        <v>992</v>
      </c>
      <c r="P1040">
        <v>3.91</v>
      </c>
      <c r="Q1040">
        <v>320</v>
      </c>
      <c r="R1040">
        <v>432</v>
      </c>
    </row>
    <row r="1041" spans="1:18" x14ac:dyDescent="0.2">
      <c r="A1041">
        <v>2</v>
      </c>
      <c r="B1041" t="s">
        <v>102</v>
      </c>
      <c r="E1041" t="s">
        <v>29</v>
      </c>
      <c r="F1041">
        <v>1057009</v>
      </c>
      <c r="G1041">
        <v>6</v>
      </c>
      <c r="H1041">
        <v>1</v>
      </c>
      <c r="I1041">
        <v>154</v>
      </c>
      <c r="J1041">
        <v>2002</v>
      </c>
      <c r="K1041" s="4">
        <v>44399</v>
      </c>
      <c r="L1041" t="s">
        <v>20</v>
      </c>
      <c r="M1041" t="s">
        <v>33</v>
      </c>
      <c r="N1041">
        <v>1.86</v>
      </c>
      <c r="O1041">
        <v>2460</v>
      </c>
      <c r="P1041">
        <v>4.12</v>
      </c>
      <c r="Q1041">
        <v>363</v>
      </c>
      <c r="R1041">
        <v>683</v>
      </c>
    </row>
    <row r="1042" spans="1:18" x14ac:dyDescent="0.2">
      <c r="A1042">
        <v>5</v>
      </c>
      <c r="B1042" t="s">
        <v>98</v>
      </c>
      <c r="E1042" t="s">
        <v>51</v>
      </c>
      <c r="F1042">
        <v>2337425</v>
      </c>
      <c r="G1042">
        <v>5</v>
      </c>
      <c r="H1042">
        <v>2</v>
      </c>
      <c r="I1042">
        <v>642</v>
      </c>
      <c r="J1042">
        <v>1956</v>
      </c>
      <c r="K1042" s="4">
        <v>44070</v>
      </c>
      <c r="L1042" t="s">
        <v>20</v>
      </c>
      <c r="M1042" t="s">
        <v>70</v>
      </c>
      <c r="N1042">
        <v>2.74</v>
      </c>
      <c r="O1042">
        <v>1914</v>
      </c>
      <c r="P1042">
        <v>2.66</v>
      </c>
      <c r="Q1042">
        <v>332</v>
      </c>
      <c r="R1042">
        <v>651</v>
      </c>
    </row>
    <row r="1043" spans="1:18" x14ac:dyDescent="0.2">
      <c r="A1043">
        <v>0</v>
      </c>
      <c r="B1043" t="s">
        <v>88</v>
      </c>
      <c r="E1043" t="s">
        <v>19</v>
      </c>
      <c r="F1043">
        <v>1210885</v>
      </c>
      <c r="G1043">
        <v>6</v>
      </c>
      <c r="H1043">
        <v>2</v>
      </c>
      <c r="I1043">
        <v>782</v>
      </c>
      <c r="J1043">
        <v>2009</v>
      </c>
      <c r="K1043" s="4">
        <v>45636</v>
      </c>
      <c r="L1043" t="s">
        <v>26</v>
      </c>
      <c r="M1043" t="s">
        <v>89</v>
      </c>
      <c r="N1043">
        <v>3</v>
      </c>
      <c r="O1043">
        <v>1313</v>
      </c>
      <c r="P1043">
        <v>4.8899999999999997</v>
      </c>
      <c r="Q1043">
        <v>351</v>
      </c>
      <c r="R1043">
        <v>558</v>
      </c>
    </row>
    <row r="1044" spans="1:18" x14ac:dyDescent="0.2">
      <c r="A1044">
        <v>0</v>
      </c>
      <c r="B1044" t="s">
        <v>39</v>
      </c>
      <c r="E1044" t="s">
        <v>29</v>
      </c>
      <c r="F1044">
        <v>2909113</v>
      </c>
      <c r="G1044">
        <v>6</v>
      </c>
      <c r="H1044">
        <v>3</v>
      </c>
      <c r="I1044">
        <v>915</v>
      </c>
      <c r="J1044">
        <v>2008</v>
      </c>
      <c r="K1044" s="4">
        <v>45882</v>
      </c>
      <c r="L1044" t="s">
        <v>30</v>
      </c>
      <c r="M1044" t="s">
        <v>52</v>
      </c>
      <c r="N1044">
        <v>2.0099999999999998</v>
      </c>
      <c r="O1044">
        <v>1898</v>
      </c>
      <c r="P1044">
        <v>2.14</v>
      </c>
      <c r="Q1044">
        <v>335</v>
      </c>
      <c r="R1044">
        <v>463</v>
      </c>
    </row>
    <row r="1045" spans="1:18" x14ac:dyDescent="0.2">
      <c r="A1045">
        <v>3</v>
      </c>
      <c r="B1045" t="s">
        <v>100</v>
      </c>
      <c r="E1045" t="s">
        <v>51</v>
      </c>
      <c r="F1045">
        <v>485747</v>
      </c>
      <c r="G1045">
        <v>3</v>
      </c>
      <c r="H1045">
        <v>2</v>
      </c>
      <c r="I1045">
        <v>478</v>
      </c>
      <c r="J1045">
        <v>1960</v>
      </c>
      <c r="K1045" s="4">
        <v>44773</v>
      </c>
      <c r="L1045" t="s">
        <v>20</v>
      </c>
      <c r="M1045" t="s">
        <v>66</v>
      </c>
      <c r="N1045">
        <v>2.89</v>
      </c>
      <c r="O1045">
        <v>2479</v>
      </c>
      <c r="P1045">
        <v>4.6500000000000004</v>
      </c>
      <c r="Q1045">
        <v>312</v>
      </c>
      <c r="R1045">
        <v>373</v>
      </c>
    </row>
    <row r="1046" spans="1:18" x14ac:dyDescent="0.2">
      <c r="A1046">
        <v>0</v>
      </c>
      <c r="B1046" t="s">
        <v>102</v>
      </c>
      <c r="E1046" t="s">
        <v>36</v>
      </c>
      <c r="F1046">
        <v>541569</v>
      </c>
      <c r="G1046">
        <v>0</v>
      </c>
      <c r="H1046">
        <v>3</v>
      </c>
      <c r="I1046">
        <v>593</v>
      </c>
      <c r="J1046">
        <v>1989</v>
      </c>
      <c r="K1046" s="4">
        <v>45306</v>
      </c>
      <c r="L1046" t="s">
        <v>20</v>
      </c>
      <c r="M1046" t="s">
        <v>31</v>
      </c>
      <c r="N1046">
        <v>1.99</v>
      </c>
      <c r="O1046">
        <v>1922</v>
      </c>
      <c r="P1046">
        <v>4.07</v>
      </c>
      <c r="Q1046">
        <v>75</v>
      </c>
      <c r="R1046">
        <v>428</v>
      </c>
    </row>
    <row r="1047" spans="1:18" x14ac:dyDescent="0.2">
      <c r="A1047">
        <v>5</v>
      </c>
      <c r="B1047" t="s">
        <v>67</v>
      </c>
      <c r="E1047" t="s">
        <v>51</v>
      </c>
      <c r="F1047">
        <v>447944</v>
      </c>
      <c r="G1047">
        <v>5</v>
      </c>
      <c r="H1047">
        <v>3</v>
      </c>
      <c r="I1047">
        <v>701</v>
      </c>
      <c r="J1047">
        <v>2012</v>
      </c>
      <c r="K1047" s="4">
        <v>44288</v>
      </c>
      <c r="L1047" t="s">
        <v>30</v>
      </c>
      <c r="M1047" t="s">
        <v>37</v>
      </c>
      <c r="N1047">
        <v>3.36</v>
      </c>
      <c r="O1047">
        <v>1050</v>
      </c>
      <c r="P1047">
        <v>3.81</v>
      </c>
      <c r="Q1047">
        <v>272</v>
      </c>
      <c r="R1047">
        <v>355</v>
      </c>
    </row>
    <row r="1048" spans="1:18" x14ac:dyDescent="0.2">
      <c r="A1048">
        <v>3</v>
      </c>
      <c r="B1048" t="s">
        <v>62</v>
      </c>
      <c r="E1048" t="s">
        <v>29</v>
      </c>
      <c r="F1048">
        <v>1585462</v>
      </c>
      <c r="G1048">
        <v>5</v>
      </c>
      <c r="H1048">
        <v>3</v>
      </c>
      <c r="I1048">
        <v>58</v>
      </c>
      <c r="J1048">
        <v>1985</v>
      </c>
      <c r="K1048" s="4">
        <v>45744</v>
      </c>
      <c r="L1048" t="s">
        <v>20</v>
      </c>
      <c r="M1048" t="s">
        <v>78</v>
      </c>
      <c r="N1048">
        <v>3.28</v>
      </c>
      <c r="O1048">
        <v>2318</v>
      </c>
      <c r="P1048">
        <v>0.79</v>
      </c>
      <c r="Q1048">
        <v>347</v>
      </c>
      <c r="R1048">
        <v>542</v>
      </c>
    </row>
    <row r="1049" spans="1:18" x14ac:dyDescent="0.2">
      <c r="A1049">
        <v>2</v>
      </c>
      <c r="B1049" t="s">
        <v>87</v>
      </c>
      <c r="E1049" t="s">
        <v>19</v>
      </c>
      <c r="F1049">
        <v>2815320</v>
      </c>
      <c r="G1049">
        <v>1</v>
      </c>
      <c r="H1049">
        <v>3</v>
      </c>
      <c r="I1049">
        <v>415</v>
      </c>
      <c r="J1049">
        <v>2003</v>
      </c>
      <c r="K1049" s="4">
        <v>45376</v>
      </c>
      <c r="L1049" t="s">
        <v>23</v>
      </c>
      <c r="M1049" t="s">
        <v>40</v>
      </c>
      <c r="N1049">
        <v>1.71</v>
      </c>
      <c r="O1049">
        <v>2481</v>
      </c>
      <c r="P1049">
        <v>1.95</v>
      </c>
      <c r="Q1049">
        <v>116</v>
      </c>
      <c r="R1049">
        <v>680</v>
      </c>
    </row>
    <row r="1050" spans="1:18" x14ac:dyDescent="0.2">
      <c r="A1050">
        <v>4</v>
      </c>
      <c r="B1050" t="s">
        <v>102</v>
      </c>
      <c r="E1050" t="s">
        <v>29</v>
      </c>
      <c r="F1050">
        <v>2500796</v>
      </c>
      <c r="G1050">
        <v>5</v>
      </c>
      <c r="H1050">
        <v>2</v>
      </c>
      <c r="I1050">
        <v>57</v>
      </c>
      <c r="J1050">
        <v>1974</v>
      </c>
      <c r="K1050" s="4">
        <v>44900</v>
      </c>
      <c r="L1050" t="s">
        <v>23</v>
      </c>
      <c r="M1050" t="s">
        <v>37</v>
      </c>
      <c r="N1050">
        <v>3.17</v>
      </c>
      <c r="O1050">
        <v>806</v>
      </c>
      <c r="P1050">
        <v>1.21</v>
      </c>
      <c r="Q1050">
        <v>295</v>
      </c>
      <c r="R1050">
        <v>576</v>
      </c>
    </row>
    <row r="1051" spans="1:18" x14ac:dyDescent="0.2">
      <c r="A1051">
        <v>1</v>
      </c>
      <c r="B1051" t="s">
        <v>46</v>
      </c>
      <c r="E1051" t="s">
        <v>19</v>
      </c>
      <c r="F1051">
        <v>2015096</v>
      </c>
      <c r="G1051">
        <v>2</v>
      </c>
      <c r="H1051">
        <v>2</v>
      </c>
      <c r="I1051">
        <v>303</v>
      </c>
      <c r="J1051">
        <v>2016</v>
      </c>
      <c r="K1051" s="4">
        <v>45853</v>
      </c>
      <c r="L1051" t="s">
        <v>23</v>
      </c>
      <c r="M1051" t="s">
        <v>66</v>
      </c>
      <c r="N1051">
        <v>2.86</v>
      </c>
      <c r="O1051">
        <v>1170</v>
      </c>
      <c r="P1051">
        <v>0.26</v>
      </c>
      <c r="Q1051">
        <v>183</v>
      </c>
      <c r="R1051">
        <v>694</v>
      </c>
    </row>
    <row r="1052" spans="1:18" x14ac:dyDescent="0.2">
      <c r="A1052">
        <v>1</v>
      </c>
      <c r="B1052" t="s">
        <v>86</v>
      </c>
      <c r="E1052" t="s">
        <v>19</v>
      </c>
      <c r="F1052">
        <v>905195</v>
      </c>
      <c r="G1052">
        <v>4</v>
      </c>
      <c r="H1052">
        <v>1</v>
      </c>
      <c r="I1052">
        <v>891</v>
      </c>
      <c r="J1052">
        <v>1988</v>
      </c>
      <c r="K1052" s="4">
        <v>45231</v>
      </c>
      <c r="L1052" t="s">
        <v>26</v>
      </c>
      <c r="M1052" t="s">
        <v>63</v>
      </c>
      <c r="N1052">
        <v>2.84</v>
      </c>
      <c r="O1052">
        <v>1157</v>
      </c>
      <c r="P1052">
        <v>2.77</v>
      </c>
      <c r="Q1052">
        <v>261</v>
      </c>
      <c r="R1052">
        <v>388</v>
      </c>
    </row>
    <row r="1053" spans="1:18" x14ac:dyDescent="0.2">
      <c r="A1053">
        <v>6</v>
      </c>
      <c r="B1053" t="s">
        <v>43</v>
      </c>
      <c r="E1053" t="s">
        <v>36</v>
      </c>
      <c r="F1053">
        <v>1965876</v>
      </c>
      <c r="G1053">
        <v>0</v>
      </c>
      <c r="H1053">
        <v>1</v>
      </c>
      <c r="I1053">
        <v>665</v>
      </c>
      <c r="J1053">
        <v>2005</v>
      </c>
      <c r="K1053" s="4">
        <v>45669</v>
      </c>
      <c r="L1053" t="s">
        <v>23</v>
      </c>
      <c r="M1053" t="s">
        <v>70</v>
      </c>
      <c r="N1053">
        <v>3.26</v>
      </c>
      <c r="O1053">
        <v>1475</v>
      </c>
      <c r="P1053">
        <v>2.4700000000000002</v>
      </c>
      <c r="Q1053">
        <v>65</v>
      </c>
      <c r="R1053">
        <v>500</v>
      </c>
    </row>
    <row r="1054" spans="1:18" x14ac:dyDescent="0.2">
      <c r="A1054">
        <v>9</v>
      </c>
      <c r="B1054" t="s">
        <v>50</v>
      </c>
      <c r="E1054" t="s">
        <v>19</v>
      </c>
      <c r="F1054">
        <v>2766352</v>
      </c>
      <c r="G1054">
        <v>4</v>
      </c>
      <c r="H1054">
        <v>3</v>
      </c>
      <c r="I1054">
        <v>92</v>
      </c>
      <c r="J1054">
        <v>1972</v>
      </c>
      <c r="K1054" s="4">
        <v>44609</v>
      </c>
      <c r="L1054" t="s">
        <v>26</v>
      </c>
      <c r="M1054" t="s">
        <v>59</v>
      </c>
      <c r="N1054">
        <v>2.88</v>
      </c>
      <c r="O1054">
        <v>972</v>
      </c>
      <c r="P1054">
        <v>3.9</v>
      </c>
      <c r="Q1054">
        <v>164</v>
      </c>
      <c r="R1054">
        <v>686</v>
      </c>
    </row>
    <row r="1055" spans="1:18" x14ac:dyDescent="0.2">
      <c r="A1055">
        <v>8</v>
      </c>
      <c r="B1055" t="s">
        <v>39</v>
      </c>
      <c r="E1055" t="s">
        <v>36</v>
      </c>
      <c r="F1055">
        <v>2565825</v>
      </c>
      <c r="G1055">
        <v>4</v>
      </c>
      <c r="H1055">
        <v>1</v>
      </c>
      <c r="I1055">
        <v>412</v>
      </c>
      <c r="J1055">
        <v>1993</v>
      </c>
      <c r="K1055" s="4">
        <v>45637</v>
      </c>
      <c r="L1055" t="s">
        <v>20</v>
      </c>
      <c r="M1055" t="s">
        <v>58</v>
      </c>
      <c r="N1055">
        <v>2.06</v>
      </c>
      <c r="O1055">
        <v>1131</v>
      </c>
      <c r="P1055">
        <v>2.84</v>
      </c>
      <c r="Q1055">
        <v>264</v>
      </c>
      <c r="R1055">
        <v>687</v>
      </c>
    </row>
    <row r="1056" spans="1:18" x14ac:dyDescent="0.2">
      <c r="A1056">
        <v>9</v>
      </c>
      <c r="B1056" t="s">
        <v>102</v>
      </c>
      <c r="E1056" t="s">
        <v>36</v>
      </c>
      <c r="F1056">
        <v>541770</v>
      </c>
      <c r="G1056">
        <v>4</v>
      </c>
      <c r="H1056">
        <v>3</v>
      </c>
      <c r="I1056">
        <v>528</v>
      </c>
      <c r="J1056">
        <v>1984</v>
      </c>
      <c r="K1056" s="4">
        <v>44874</v>
      </c>
      <c r="L1056" t="s">
        <v>20</v>
      </c>
      <c r="M1056" t="s">
        <v>21</v>
      </c>
      <c r="N1056">
        <v>1.8</v>
      </c>
      <c r="O1056">
        <v>963</v>
      </c>
      <c r="P1056">
        <v>4.34</v>
      </c>
      <c r="Q1056">
        <v>263</v>
      </c>
      <c r="R1056">
        <v>547</v>
      </c>
    </row>
    <row r="1057" spans="1:18" x14ac:dyDescent="0.2">
      <c r="A1057">
        <v>3</v>
      </c>
      <c r="B1057" t="s">
        <v>61</v>
      </c>
      <c r="E1057" t="s">
        <v>51</v>
      </c>
      <c r="F1057">
        <v>2675814</v>
      </c>
      <c r="G1057">
        <v>4</v>
      </c>
      <c r="H1057">
        <v>3</v>
      </c>
      <c r="I1057">
        <v>333</v>
      </c>
      <c r="J1057">
        <v>1956</v>
      </c>
      <c r="K1057" s="4">
        <v>44406</v>
      </c>
      <c r="L1057" t="s">
        <v>23</v>
      </c>
      <c r="M1057" t="s">
        <v>12</v>
      </c>
      <c r="N1057">
        <v>3.01</v>
      </c>
      <c r="O1057">
        <v>1775</v>
      </c>
      <c r="P1057">
        <v>4.2300000000000004</v>
      </c>
      <c r="Q1057">
        <v>282</v>
      </c>
      <c r="R1057">
        <v>629</v>
      </c>
    </row>
    <row r="1058" spans="1:18" x14ac:dyDescent="0.2">
      <c r="A1058">
        <v>5</v>
      </c>
      <c r="B1058" t="s">
        <v>106</v>
      </c>
      <c r="E1058" t="s">
        <v>29</v>
      </c>
      <c r="F1058">
        <v>2073508</v>
      </c>
      <c r="G1058">
        <v>5</v>
      </c>
      <c r="H1058">
        <v>1</v>
      </c>
      <c r="I1058">
        <v>971</v>
      </c>
      <c r="J1058">
        <v>1954</v>
      </c>
      <c r="K1058" s="4">
        <v>44860</v>
      </c>
      <c r="L1058" t="s">
        <v>23</v>
      </c>
      <c r="M1058" t="s">
        <v>60</v>
      </c>
      <c r="N1058">
        <v>2.68</v>
      </c>
      <c r="O1058">
        <v>1498</v>
      </c>
      <c r="P1058">
        <v>2.95</v>
      </c>
      <c r="Q1058">
        <v>345</v>
      </c>
      <c r="R1058">
        <v>540</v>
      </c>
    </row>
    <row r="1059" spans="1:18" x14ac:dyDescent="0.2">
      <c r="A1059">
        <v>9</v>
      </c>
      <c r="B1059" t="s">
        <v>25</v>
      </c>
      <c r="E1059" t="s">
        <v>51</v>
      </c>
      <c r="F1059">
        <v>1891394</v>
      </c>
      <c r="G1059">
        <v>4</v>
      </c>
      <c r="H1059">
        <v>2</v>
      </c>
      <c r="I1059">
        <v>594</v>
      </c>
      <c r="J1059">
        <v>1955</v>
      </c>
      <c r="K1059" s="4">
        <v>45304</v>
      </c>
      <c r="L1059" t="s">
        <v>20</v>
      </c>
      <c r="M1059" t="s">
        <v>56</v>
      </c>
      <c r="N1059">
        <v>2.71</v>
      </c>
      <c r="O1059">
        <v>2102</v>
      </c>
      <c r="P1059">
        <v>4.9800000000000004</v>
      </c>
      <c r="Q1059">
        <v>203</v>
      </c>
      <c r="R1059">
        <v>301</v>
      </c>
    </row>
    <row r="1060" spans="1:18" x14ac:dyDescent="0.2">
      <c r="A1060">
        <v>7</v>
      </c>
      <c r="B1060" t="s">
        <v>80</v>
      </c>
      <c r="E1060" t="s">
        <v>51</v>
      </c>
      <c r="F1060">
        <v>886592</v>
      </c>
      <c r="G1060">
        <v>2</v>
      </c>
      <c r="H1060">
        <v>2</v>
      </c>
      <c r="I1060">
        <v>218</v>
      </c>
      <c r="J1060">
        <v>1982</v>
      </c>
      <c r="K1060" s="4">
        <v>45541</v>
      </c>
      <c r="L1060" t="s">
        <v>23</v>
      </c>
      <c r="M1060" t="s">
        <v>47</v>
      </c>
      <c r="N1060">
        <v>2.94</v>
      </c>
      <c r="O1060">
        <v>2448</v>
      </c>
      <c r="P1060">
        <v>4.5999999999999996</v>
      </c>
      <c r="Q1060">
        <v>73</v>
      </c>
      <c r="R1060">
        <v>405</v>
      </c>
    </row>
    <row r="1061" spans="1:18" x14ac:dyDescent="0.2">
      <c r="A1061">
        <v>3</v>
      </c>
      <c r="B1061" t="s">
        <v>72</v>
      </c>
      <c r="E1061" t="s">
        <v>36</v>
      </c>
      <c r="F1061">
        <v>2193246</v>
      </c>
      <c r="G1061">
        <v>2</v>
      </c>
      <c r="H1061">
        <v>3</v>
      </c>
      <c r="I1061">
        <v>735</v>
      </c>
      <c r="J1061">
        <v>2011</v>
      </c>
      <c r="K1061" s="4">
        <v>45596</v>
      </c>
      <c r="L1061" t="s">
        <v>23</v>
      </c>
      <c r="M1061" t="s">
        <v>78</v>
      </c>
      <c r="N1061">
        <v>1.58</v>
      </c>
      <c r="O1061">
        <v>2048</v>
      </c>
      <c r="P1061">
        <v>1.1200000000000001</v>
      </c>
      <c r="Q1061">
        <v>89</v>
      </c>
      <c r="R1061">
        <v>431</v>
      </c>
    </row>
    <row r="1062" spans="1:18" x14ac:dyDescent="0.2">
      <c r="A1062">
        <v>4</v>
      </c>
      <c r="B1062" t="s">
        <v>104</v>
      </c>
      <c r="E1062" t="s">
        <v>29</v>
      </c>
      <c r="F1062">
        <v>1694359</v>
      </c>
      <c r="G1062">
        <v>5</v>
      </c>
      <c r="H1062">
        <v>3</v>
      </c>
      <c r="I1062">
        <v>721</v>
      </c>
      <c r="J1062">
        <v>1962</v>
      </c>
      <c r="K1062" s="4">
        <v>45846</v>
      </c>
      <c r="L1062" t="s">
        <v>23</v>
      </c>
      <c r="M1062" t="s">
        <v>59</v>
      </c>
      <c r="N1062">
        <v>1.72</v>
      </c>
      <c r="O1062">
        <v>2359</v>
      </c>
      <c r="P1062">
        <v>2.69</v>
      </c>
      <c r="Q1062">
        <v>295</v>
      </c>
      <c r="R1062">
        <v>320</v>
      </c>
    </row>
    <row r="1063" spans="1:18" x14ac:dyDescent="0.2">
      <c r="A1063">
        <v>3</v>
      </c>
      <c r="B1063" t="s">
        <v>57</v>
      </c>
      <c r="E1063" t="s">
        <v>36</v>
      </c>
      <c r="F1063">
        <v>1136757</v>
      </c>
      <c r="G1063">
        <v>3</v>
      </c>
      <c r="H1063">
        <v>3</v>
      </c>
      <c r="I1063">
        <v>404</v>
      </c>
      <c r="J1063">
        <v>1970</v>
      </c>
      <c r="K1063" s="4">
        <v>44561</v>
      </c>
      <c r="L1063" t="s">
        <v>23</v>
      </c>
      <c r="M1063" t="s">
        <v>74</v>
      </c>
      <c r="N1063">
        <v>3.01</v>
      </c>
      <c r="O1063">
        <v>895</v>
      </c>
      <c r="P1063">
        <v>0.69</v>
      </c>
      <c r="Q1063">
        <v>241</v>
      </c>
      <c r="R1063">
        <v>462</v>
      </c>
    </row>
    <row r="1064" spans="1:18" x14ac:dyDescent="0.2">
      <c r="A1064">
        <v>8</v>
      </c>
      <c r="B1064" t="s">
        <v>96</v>
      </c>
      <c r="E1064" t="s">
        <v>36</v>
      </c>
      <c r="F1064">
        <v>1324794</v>
      </c>
      <c r="G1064">
        <v>5</v>
      </c>
      <c r="H1064">
        <v>3</v>
      </c>
      <c r="I1064">
        <v>266</v>
      </c>
      <c r="J1064">
        <v>1989</v>
      </c>
      <c r="K1064" s="4">
        <v>45053</v>
      </c>
      <c r="L1064" t="s">
        <v>20</v>
      </c>
      <c r="M1064" t="s">
        <v>33</v>
      </c>
      <c r="N1064">
        <v>2.2799999999999998</v>
      </c>
      <c r="O1064">
        <v>1815</v>
      </c>
      <c r="P1064">
        <v>4.13</v>
      </c>
      <c r="Q1064">
        <v>262</v>
      </c>
      <c r="R1064">
        <v>476</v>
      </c>
    </row>
    <row r="1065" spans="1:18" x14ac:dyDescent="0.2">
      <c r="A1065">
        <v>3</v>
      </c>
      <c r="B1065" t="s">
        <v>64</v>
      </c>
      <c r="E1065" t="s">
        <v>51</v>
      </c>
      <c r="F1065">
        <v>1819563</v>
      </c>
      <c r="G1065">
        <v>3</v>
      </c>
      <c r="H1065">
        <v>2</v>
      </c>
      <c r="I1065">
        <v>89</v>
      </c>
      <c r="J1065">
        <v>2019</v>
      </c>
      <c r="K1065" s="4">
        <v>44614</v>
      </c>
      <c r="L1065" t="s">
        <v>30</v>
      </c>
      <c r="M1065" t="s">
        <v>24</v>
      </c>
      <c r="N1065">
        <v>1.96</v>
      </c>
      <c r="O1065">
        <v>1767</v>
      </c>
      <c r="P1065">
        <v>0.66</v>
      </c>
      <c r="Q1065">
        <v>204</v>
      </c>
      <c r="R1065">
        <v>699</v>
      </c>
    </row>
    <row r="1066" spans="1:18" x14ac:dyDescent="0.2">
      <c r="A1066">
        <v>3</v>
      </c>
      <c r="B1066" t="s">
        <v>61</v>
      </c>
      <c r="E1066" t="s">
        <v>19</v>
      </c>
      <c r="F1066">
        <v>1482440</v>
      </c>
      <c r="G1066">
        <v>5</v>
      </c>
      <c r="H1066">
        <v>2</v>
      </c>
      <c r="I1066">
        <v>83</v>
      </c>
      <c r="J1066">
        <v>2019</v>
      </c>
      <c r="K1066" s="4">
        <v>44826</v>
      </c>
      <c r="L1066" t="s">
        <v>26</v>
      </c>
      <c r="M1066" t="s">
        <v>45</v>
      </c>
      <c r="N1066">
        <v>2.38</v>
      </c>
      <c r="O1066">
        <v>1914</v>
      </c>
      <c r="P1066">
        <v>1.53</v>
      </c>
      <c r="Q1066">
        <v>341</v>
      </c>
      <c r="R1066">
        <v>342</v>
      </c>
    </row>
    <row r="1067" spans="1:18" x14ac:dyDescent="0.2">
      <c r="A1067">
        <v>8</v>
      </c>
      <c r="B1067" t="s">
        <v>80</v>
      </c>
      <c r="E1067" t="s">
        <v>36</v>
      </c>
      <c r="F1067">
        <v>2749545</v>
      </c>
      <c r="G1067">
        <v>0</v>
      </c>
      <c r="H1067">
        <v>1</v>
      </c>
      <c r="I1067">
        <v>407</v>
      </c>
      <c r="J1067">
        <v>1960</v>
      </c>
      <c r="K1067" s="4">
        <v>45493</v>
      </c>
      <c r="L1067" t="s">
        <v>23</v>
      </c>
      <c r="M1067" t="s">
        <v>74</v>
      </c>
      <c r="N1067">
        <v>3.12</v>
      </c>
      <c r="O1067">
        <v>1414</v>
      </c>
      <c r="P1067">
        <v>3.68</v>
      </c>
      <c r="Q1067">
        <v>64</v>
      </c>
      <c r="R1067">
        <v>323</v>
      </c>
    </row>
    <row r="1068" spans="1:18" x14ac:dyDescent="0.2">
      <c r="A1068">
        <v>0</v>
      </c>
      <c r="B1068" t="s">
        <v>46</v>
      </c>
      <c r="E1068" t="s">
        <v>29</v>
      </c>
      <c r="F1068">
        <v>1678104</v>
      </c>
      <c r="G1068">
        <v>1</v>
      </c>
      <c r="H1068">
        <v>2</v>
      </c>
      <c r="I1068">
        <v>742</v>
      </c>
      <c r="J1068">
        <v>2018</v>
      </c>
      <c r="K1068" s="4">
        <v>44965</v>
      </c>
      <c r="L1068" t="s">
        <v>30</v>
      </c>
      <c r="M1068" t="s">
        <v>35</v>
      </c>
      <c r="N1068">
        <v>1.52</v>
      </c>
      <c r="O1068">
        <v>2221</v>
      </c>
      <c r="P1068">
        <v>3.94</v>
      </c>
      <c r="Q1068">
        <v>114</v>
      </c>
      <c r="R1068">
        <v>588</v>
      </c>
    </row>
    <row r="1069" spans="1:18" x14ac:dyDescent="0.2">
      <c r="A1069">
        <v>5</v>
      </c>
      <c r="B1069" t="s">
        <v>106</v>
      </c>
      <c r="E1069" t="s">
        <v>51</v>
      </c>
      <c r="F1069">
        <v>1731168</v>
      </c>
      <c r="G1069">
        <v>5</v>
      </c>
      <c r="H1069">
        <v>3</v>
      </c>
      <c r="I1069">
        <v>569</v>
      </c>
      <c r="J1069">
        <v>2020</v>
      </c>
      <c r="K1069" s="4">
        <v>44547</v>
      </c>
      <c r="L1069" t="s">
        <v>30</v>
      </c>
      <c r="M1069" t="s">
        <v>77</v>
      </c>
      <c r="N1069">
        <v>1.68</v>
      </c>
      <c r="O1069">
        <v>2295</v>
      </c>
      <c r="P1069">
        <v>2.69</v>
      </c>
      <c r="Q1069">
        <v>394</v>
      </c>
      <c r="R1069">
        <v>402</v>
      </c>
    </row>
    <row r="1070" spans="1:18" x14ac:dyDescent="0.2">
      <c r="A1070">
        <v>7</v>
      </c>
      <c r="B1070" t="s">
        <v>25</v>
      </c>
      <c r="E1070" t="s">
        <v>51</v>
      </c>
      <c r="F1070">
        <v>2056519</v>
      </c>
      <c r="G1070">
        <v>5</v>
      </c>
      <c r="H1070">
        <v>3</v>
      </c>
      <c r="I1070">
        <v>425</v>
      </c>
      <c r="J1070">
        <v>1997</v>
      </c>
      <c r="K1070" s="4">
        <v>44459</v>
      </c>
      <c r="L1070" t="s">
        <v>20</v>
      </c>
      <c r="M1070" t="s">
        <v>76</v>
      </c>
      <c r="N1070">
        <v>2.17</v>
      </c>
      <c r="O1070">
        <v>1710</v>
      </c>
      <c r="P1070">
        <v>4.37</v>
      </c>
      <c r="Q1070">
        <v>323</v>
      </c>
      <c r="R1070">
        <v>403</v>
      </c>
    </row>
    <row r="1071" spans="1:18" x14ac:dyDescent="0.2">
      <c r="A1071">
        <v>6</v>
      </c>
      <c r="B1071" t="s">
        <v>84</v>
      </c>
      <c r="E1071" t="s">
        <v>51</v>
      </c>
      <c r="F1071">
        <v>962039</v>
      </c>
      <c r="G1071">
        <v>1</v>
      </c>
      <c r="H1071">
        <v>2</v>
      </c>
      <c r="I1071">
        <v>253</v>
      </c>
      <c r="J1071">
        <v>2006</v>
      </c>
      <c r="K1071" s="4">
        <v>44548</v>
      </c>
      <c r="L1071" t="s">
        <v>23</v>
      </c>
      <c r="M1071" t="s">
        <v>77</v>
      </c>
      <c r="N1071">
        <v>2.72</v>
      </c>
      <c r="O1071">
        <v>1439</v>
      </c>
      <c r="P1071">
        <v>3.15</v>
      </c>
      <c r="Q1071">
        <v>70</v>
      </c>
      <c r="R1071">
        <v>672</v>
      </c>
    </row>
    <row r="1072" spans="1:18" x14ac:dyDescent="0.2">
      <c r="A1072">
        <v>4</v>
      </c>
      <c r="B1072" t="s">
        <v>43</v>
      </c>
      <c r="E1072" t="s">
        <v>29</v>
      </c>
      <c r="F1072">
        <v>1612422</v>
      </c>
      <c r="G1072">
        <v>3</v>
      </c>
      <c r="H1072">
        <v>2</v>
      </c>
      <c r="I1072">
        <v>903</v>
      </c>
      <c r="J1072">
        <v>1951</v>
      </c>
      <c r="K1072" s="4">
        <v>45887</v>
      </c>
      <c r="L1072" t="s">
        <v>26</v>
      </c>
      <c r="M1072" t="s">
        <v>21</v>
      </c>
      <c r="N1072">
        <v>2.79</v>
      </c>
      <c r="O1072">
        <v>825</v>
      </c>
      <c r="P1072">
        <v>0.31</v>
      </c>
      <c r="Q1072">
        <v>220</v>
      </c>
      <c r="R1072">
        <v>454</v>
      </c>
    </row>
    <row r="1073" spans="1:18" x14ac:dyDescent="0.2">
      <c r="A1073">
        <v>6</v>
      </c>
      <c r="B1073" t="s">
        <v>71</v>
      </c>
      <c r="E1073" t="s">
        <v>51</v>
      </c>
      <c r="F1073">
        <v>1368577</v>
      </c>
      <c r="G1073">
        <v>4</v>
      </c>
      <c r="H1073">
        <v>2</v>
      </c>
      <c r="I1073">
        <v>96</v>
      </c>
      <c r="J1073">
        <v>1972</v>
      </c>
      <c r="K1073" s="4">
        <v>45071</v>
      </c>
      <c r="L1073" t="s">
        <v>30</v>
      </c>
      <c r="M1073" t="s">
        <v>97</v>
      </c>
      <c r="N1073">
        <v>2.65</v>
      </c>
      <c r="O1073">
        <v>1454</v>
      </c>
      <c r="P1073">
        <v>0.37</v>
      </c>
      <c r="Q1073">
        <v>382</v>
      </c>
      <c r="R1073">
        <v>583</v>
      </c>
    </row>
    <row r="1074" spans="1:18" x14ac:dyDescent="0.2">
      <c r="A1074">
        <v>3</v>
      </c>
      <c r="B1074" t="s">
        <v>101</v>
      </c>
      <c r="E1074" t="s">
        <v>19</v>
      </c>
      <c r="F1074">
        <v>2125150</v>
      </c>
      <c r="G1074">
        <v>6</v>
      </c>
      <c r="H1074">
        <v>1</v>
      </c>
      <c r="I1074">
        <v>225</v>
      </c>
      <c r="J1074">
        <v>2014</v>
      </c>
      <c r="K1074" s="4">
        <v>45684</v>
      </c>
      <c r="L1074" t="s">
        <v>30</v>
      </c>
      <c r="M1074" t="s">
        <v>27</v>
      </c>
      <c r="N1074">
        <v>2.83</v>
      </c>
      <c r="O1074">
        <v>1232</v>
      </c>
      <c r="P1074">
        <v>1.7</v>
      </c>
      <c r="Q1074">
        <v>351</v>
      </c>
      <c r="R1074">
        <v>306</v>
      </c>
    </row>
    <row r="1075" spans="1:18" x14ac:dyDescent="0.2">
      <c r="A1075">
        <v>8</v>
      </c>
      <c r="B1075" t="s">
        <v>91</v>
      </c>
      <c r="E1075" t="s">
        <v>51</v>
      </c>
      <c r="F1075">
        <v>713648</v>
      </c>
      <c r="G1075">
        <v>1</v>
      </c>
      <c r="H1075">
        <v>1</v>
      </c>
      <c r="I1075">
        <v>481</v>
      </c>
      <c r="J1075">
        <v>2017</v>
      </c>
      <c r="K1075" s="4">
        <v>44618</v>
      </c>
      <c r="L1075" t="s">
        <v>26</v>
      </c>
      <c r="M1075" t="s">
        <v>58</v>
      </c>
      <c r="N1075">
        <v>1.88</v>
      </c>
      <c r="O1075">
        <v>2463</v>
      </c>
      <c r="P1075">
        <v>0.68</v>
      </c>
      <c r="Q1075">
        <v>62</v>
      </c>
      <c r="R1075">
        <v>331</v>
      </c>
    </row>
    <row r="1076" spans="1:18" x14ac:dyDescent="0.2">
      <c r="A1076">
        <v>5</v>
      </c>
      <c r="B1076" t="s">
        <v>38</v>
      </c>
      <c r="E1076" t="s">
        <v>19</v>
      </c>
      <c r="F1076">
        <v>2605529</v>
      </c>
      <c r="G1076">
        <v>6</v>
      </c>
      <c r="H1076">
        <v>3</v>
      </c>
      <c r="I1076">
        <v>987</v>
      </c>
      <c r="J1076">
        <v>2017</v>
      </c>
      <c r="K1076" s="4">
        <v>44065</v>
      </c>
      <c r="L1076" t="s">
        <v>30</v>
      </c>
      <c r="M1076" t="s">
        <v>37</v>
      </c>
      <c r="N1076">
        <v>2.8</v>
      </c>
      <c r="O1076">
        <v>1402</v>
      </c>
      <c r="P1076">
        <v>3.18</v>
      </c>
      <c r="Q1076">
        <v>322</v>
      </c>
      <c r="R1076">
        <v>596</v>
      </c>
    </row>
    <row r="1077" spans="1:18" x14ac:dyDescent="0.2">
      <c r="A1077">
        <v>8</v>
      </c>
      <c r="B1077" t="s">
        <v>65</v>
      </c>
      <c r="E1077" t="s">
        <v>36</v>
      </c>
      <c r="F1077">
        <v>890587</v>
      </c>
      <c r="G1077">
        <v>2</v>
      </c>
      <c r="H1077">
        <v>2</v>
      </c>
      <c r="I1077">
        <v>795</v>
      </c>
      <c r="J1077">
        <v>1986</v>
      </c>
      <c r="K1077" s="4">
        <v>45138</v>
      </c>
      <c r="L1077" t="s">
        <v>20</v>
      </c>
      <c r="M1077" t="s">
        <v>85</v>
      </c>
      <c r="N1077">
        <v>1.51</v>
      </c>
      <c r="O1077">
        <v>2077</v>
      </c>
      <c r="P1077">
        <v>0.79</v>
      </c>
      <c r="Q1077">
        <v>142</v>
      </c>
      <c r="R1077">
        <v>578</v>
      </c>
    </row>
    <row r="1078" spans="1:18" x14ac:dyDescent="0.2">
      <c r="A1078">
        <v>2</v>
      </c>
      <c r="B1078" t="s">
        <v>79</v>
      </c>
      <c r="E1078" t="s">
        <v>29</v>
      </c>
      <c r="F1078">
        <v>537814</v>
      </c>
      <c r="G1078">
        <v>3</v>
      </c>
      <c r="H1078">
        <v>2</v>
      </c>
      <c r="I1078">
        <v>424</v>
      </c>
      <c r="J1078">
        <v>1985</v>
      </c>
      <c r="K1078" s="4">
        <v>44510</v>
      </c>
      <c r="L1078" t="s">
        <v>26</v>
      </c>
      <c r="M1078" t="s">
        <v>45</v>
      </c>
      <c r="N1078">
        <v>3.38</v>
      </c>
      <c r="O1078">
        <v>1835</v>
      </c>
      <c r="P1078">
        <v>0.71</v>
      </c>
      <c r="Q1078">
        <v>194</v>
      </c>
      <c r="R1078">
        <v>381</v>
      </c>
    </row>
    <row r="1079" spans="1:18" x14ac:dyDescent="0.2">
      <c r="A1079">
        <v>7</v>
      </c>
      <c r="B1079" t="s">
        <v>61</v>
      </c>
      <c r="E1079" t="s">
        <v>19</v>
      </c>
      <c r="F1079">
        <v>2353218</v>
      </c>
      <c r="G1079">
        <v>6</v>
      </c>
      <c r="H1079">
        <v>2</v>
      </c>
      <c r="I1079">
        <v>968</v>
      </c>
      <c r="J1079">
        <v>2008</v>
      </c>
      <c r="K1079" s="4">
        <v>45760</v>
      </c>
      <c r="L1079" t="s">
        <v>23</v>
      </c>
      <c r="M1079" t="s">
        <v>27</v>
      </c>
      <c r="N1079">
        <v>3.37</v>
      </c>
      <c r="O1079">
        <v>1561</v>
      </c>
      <c r="P1079">
        <v>4.07</v>
      </c>
      <c r="Q1079">
        <v>327</v>
      </c>
      <c r="R1079">
        <v>452</v>
      </c>
    </row>
    <row r="1080" spans="1:18" x14ac:dyDescent="0.2">
      <c r="A1080">
        <v>4</v>
      </c>
      <c r="B1080" t="s">
        <v>44</v>
      </c>
      <c r="E1080" t="s">
        <v>36</v>
      </c>
      <c r="F1080">
        <v>1643551</v>
      </c>
      <c r="G1080">
        <v>1</v>
      </c>
      <c r="H1080">
        <v>3</v>
      </c>
      <c r="I1080">
        <v>628</v>
      </c>
      <c r="J1080">
        <v>2015</v>
      </c>
      <c r="K1080" s="4">
        <v>45733</v>
      </c>
      <c r="L1080" t="s">
        <v>26</v>
      </c>
      <c r="M1080" t="s">
        <v>68</v>
      </c>
      <c r="N1080">
        <v>3.48</v>
      </c>
      <c r="O1080">
        <v>1452</v>
      </c>
      <c r="P1080">
        <v>0.43</v>
      </c>
      <c r="Q1080">
        <v>86</v>
      </c>
      <c r="R1080">
        <v>592</v>
      </c>
    </row>
    <row r="1081" spans="1:18" x14ac:dyDescent="0.2">
      <c r="A1081">
        <v>0</v>
      </c>
      <c r="B1081" t="s">
        <v>38</v>
      </c>
      <c r="E1081" t="s">
        <v>36</v>
      </c>
      <c r="F1081">
        <v>1702101</v>
      </c>
      <c r="G1081">
        <v>6</v>
      </c>
      <c r="H1081">
        <v>3</v>
      </c>
      <c r="I1081">
        <v>835</v>
      </c>
      <c r="J1081">
        <v>1993</v>
      </c>
      <c r="K1081" s="4">
        <v>45722</v>
      </c>
      <c r="L1081" t="s">
        <v>30</v>
      </c>
      <c r="M1081" t="s">
        <v>33</v>
      </c>
      <c r="N1081">
        <v>2.2000000000000002</v>
      </c>
      <c r="O1081">
        <v>2113</v>
      </c>
      <c r="P1081">
        <v>4.18</v>
      </c>
      <c r="Q1081">
        <v>336</v>
      </c>
      <c r="R1081">
        <v>626</v>
      </c>
    </row>
    <row r="1082" spans="1:18" x14ac:dyDescent="0.2">
      <c r="A1082">
        <v>0</v>
      </c>
      <c r="B1082" t="s">
        <v>50</v>
      </c>
      <c r="E1082" t="s">
        <v>19</v>
      </c>
      <c r="F1082">
        <v>425431</v>
      </c>
      <c r="G1082">
        <v>5</v>
      </c>
      <c r="H1082">
        <v>1</v>
      </c>
      <c r="I1082">
        <v>707</v>
      </c>
      <c r="J1082">
        <v>1997</v>
      </c>
      <c r="K1082" s="4">
        <v>44290</v>
      </c>
      <c r="L1082" t="s">
        <v>20</v>
      </c>
      <c r="M1082" t="s">
        <v>89</v>
      </c>
      <c r="N1082">
        <v>2.54</v>
      </c>
      <c r="O1082">
        <v>1650</v>
      </c>
      <c r="P1082">
        <v>1.1499999999999999</v>
      </c>
      <c r="Q1082">
        <v>283</v>
      </c>
      <c r="R1082">
        <v>346</v>
      </c>
    </row>
    <row r="1083" spans="1:18" x14ac:dyDescent="0.2">
      <c r="A1083">
        <v>9</v>
      </c>
      <c r="B1083" t="s">
        <v>105</v>
      </c>
      <c r="E1083" t="s">
        <v>51</v>
      </c>
      <c r="F1083">
        <v>2301587</v>
      </c>
      <c r="G1083">
        <v>4</v>
      </c>
      <c r="H1083">
        <v>2</v>
      </c>
      <c r="I1083">
        <v>489</v>
      </c>
      <c r="J1083">
        <v>1951</v>
      </c>
      <c r="K1083" s="4">
        <v>45394</v>
      </c>
      <c r="L1083" t="s">
        <v>26</v>
      </c>
      <c r="M1083" t="s">
        <v>27</v>
      </c>
      <c r="N1083">
        <v>2.6</v>
      </c>
      <c r="O1083">
        <v>1092</v>
      </c>
      <c r="P1083">
        <v>1.83</v>
      </c>
      <c r="Q1083">
        <v>166</v>
      </c>
      <c r="R1083">
        <v>683</v>
      </c>
    </row>
    <row r="1084" spans="1:18" x14ac:dyDescent="0.2">
      <c r="A1084">
        <v>7</v>
      </c>
      <c r="B1084" t="s">
        <v>83</v>
      </c>
      <c r="E1084" t="s">
        <v>19</v>
      </c>
      <c r="F1084">
        <v>2731634</v>
      </c>
      <c r="G1084">
        <v>0</v>
      </c>
      <c r="H1084">
        <v>3</v>
      </c>
      <c r="I1084">
        <v>728</v>
      </c>
      <c r="J1084">
        <v>1972</v>
      </c>
      <c r="K1084" s="4">
        <v>44558</v>
      </c>
      <c r="L1084" t="s">
        <v>23</v>
      </c>
      <c r="M1084" t="s">
        <v>54</v>
      </c>
      <c r="N1084">
        <v>2.06</v>
      </c>
      <c r="O1084">
        <v>1749</v>
      </c>
      <c r="P1084">
        <v>1.78</v>
      </c>
      <c r="Q1084">
        <v>52</v>
      </c>
      <c r="R1084">
        <v>560</v>
      </c>
    </row>
    <row r="1085" spans="1:18" x14ac:dyDescent="0.2">
      <c r="A1085">
        <v>1</v>
      </c>
      <c r="B1085" t="s">
        <v>72</v>
      </c>
      <c r="E1085" t="s">
        <v>36</v>
      </c>
      <c r="F1085">
        <v>504048</v>
      </c>
      <c r="G1085">
        <v>3</v>
      </c>
      <c r="H1085">
        <v>3</v>
      </c>
      <c r="I1085">
        <v>377</v>
      </c>
      <c r="J1085">
        <v>1955</v>
      </c>
      <c r="K1085" s="4">
        <v>44077</v>
      </c>
      <c r="L1085" t="s">
        <v>23</v>
      </c>
      <c r="M1085" t="s">
        <v>89</v>
      </c>
      <c r="N1085">
        <v>1.63</v>
      </c>
      <c r="O1085">
        <v>2239</v>
      </c>
      <c r="P1085">
        <v>1</v>
      </c>
      <c r="Q1085">
        <v>139</v>
      </c>
      <c r="R1085">
        <v>641</v>
      </c>
    </row>
    <row r="1086" spans="1:18" x14ac:dyDescent="0.2">
      <c r="A1086">
        <v>4</v>
      </c>
      <c r="B1086" t="s">
        <v>28</v>
      </c>
      <c r="E1086" t="s">
        <v>29</v>
      </c>
      <c r="F1086">
        <v>1954161</v>
      </c>
      <c r="G1086">
        <v>4</v>
      </c>
      <c r="H1086">
        <v>1</v>
      </c>
      <c r="I1086">
        <v>677</v>
      </c>
      <c r="J1086">
        <v>1981</v>
      </c>
      <c r="K1086" s="4">
        <v>44442</v>
      </c>
      <c r="L1086" t="s">
        <v>26</v>
      </c>
      <c r="M1086" t="s">
        <v>69</v>
      </c>
      <c r="N1086">
        <v>2.5499999999999998</v>
      </c>
      <c r="O1086">
        <v>939</v>
      </c>
      <c r="P1086">
        <v>4.9800000000000004</v>
      </c>
      <c r="Q1086">
        <v>224</v>
      </c>
      <c r="R1086">
        <v>573</v>
      </c>
    </row>
    <row r="1087" spans="1:18" x14ac:dyDescent="0.2">
      <c r="A1087">
        <v>9</v>
      </c>
      <c r="B1087" t="s">
        <v>96</v>
      </c>
      <c r="E1087" t="s">
        <v>36</v>
      </c>
      <c r="F1087">
        <v>1368219</v>
      </c>
      <c r="G1087">
        <v>2</v>
      </c>
      <c r="H1087">
        <v>3</v>
      </c>
      <c r="I1087">
        <v>183</v>
      </c>
      <c r="J1087">
        <v>1954</v>
      </c>
      <c r="K1087" s="4">
        <v>44299</v>
      </c>
      <c r="L1087" t="s">
        <v>26</v>
      </c>
      <c r="M1087" t="s">
        <v>82</v>
      </c>
      <c r="N1087">
        <v>1.78</v>
      </c>
      <c r="O1087">
        <v>1060</v>
      </c>
      <c r="P1087">
        <v>2.64</v>
      </c>
      <c r="Q1087">
        <v>73</v>
      </c>
      <c r="R1087">
        <v>309</v>
      </c>
    </row>
    <row r="1088" spans="1:18" x14ac:dyDescent="0.2">
      <c r="A1088">
        <v>9</v>
      </c>
      <c r="B1088" t="s">
        <v>64</v>
      </c>
      <c r="E1088" t="s">
        <v>29</v>
      </c>
      <c r="F1088">
        <v>2903806</v>
      </c>
      <c r="G1088">
        <v>4</v>
      </c>
      <c r="H1088">
        <v>3</v>
      </c>
      <c r="I1088">
        <v>214</v>
      </c>
      <c r="J1088">
        <v>1987</v>
      </c>
      <c r="K1088" s="4">
        <v>44471</v>
      </c>
      <c r="L1088" t="s">
        <v>26</v>
      </c>
      <c r="M1088" t="s">
        <v>21</v>
      </c>
      <c r="N1088">
        <v>1.97</v>
      </c>
      <c r="O1088">
        <v>1909</v>
      </c>
      <c r="P1088">
        <v>2.16</v>
      </c>
      <c r="Q1088">
        <v>254</v>
      </c>
      <c r="R1088">
        <v>677</v>
      </c>
    </row>
    <row r="1089" spans="1:18" x14ac:dyDescent="0.2">
      <c r="A1089">
        <v>7</v>
      </c>
      <c r="B1089" t="s">
        <v>73</v>
      </c>
      <c r="E1089" t="s">
        <v>51</v>
      </c>
      <c r="F1089">
        <v>2041254</v>
      </c>
      <c r="G1089">
        <v>6</v>
      </c>
      <c r="H1089">
        <v>1</v>
      </c>
      <c r="I1089">
        <v>737</v>
      </c>
      <c r="J1089">
        <v>2000</v>
      </c>
      <c r="K1089" s="4">
        <v>44795</v>
      </c>
      <c r="L1089" t="s">
        <v>23</v>
      </c>
      <c r="M1089" t="s">
        <v>47</v>
      </c>
      <c r="N1089">
        <v>2.64</v>
      </c>
      <c r="O1089">
        <v>2411</v>
      </c>
      <c r="P1089">
        <v>2.94</v>
      </c>
      <c r="Q1089">
        <v>328</v>
      </c>
      <c r="R1089">
        <v>606</v>
      </c>
    </row>
    <row r="1090" spans="1:18" x14ac:dyDescent="0.2">
      <c r="A1090">
        <v>3</v>
      </c>
      <c r="B1090" t="s">
        <v>61</v>
      </c>
      <c r="E1090" t="s">
        <v>36</v>
      </c>
      <c r="F1090">
        <v>2773879</v>
      </c>
      <c r="G1090">
        <v>4</v>
      </c>
      <c r="H1090">
        <v>2</v>
      </c>
      <c r="I1090">
        <v>254</v>
      </c>
      <c r="J1090">
        <v>2011</v>
      </c>
      <c r="K1090" s="4">
        <v>44505</v>
      </c>
      <c r="L1090" t="s">
        <v>23</v>
      </c>
      <c r="M1090" t="s">
        <v>97</v>
      </c>
      <c r="N1090">
        <v>3.25</v>
      </c>
      <c r="O1090">
        <v>889</v>
      </c>
      <c r="P1090">
        <v>1.02</v>
      </c>
      <c r="Q1090">
        <v>361</v>
      </c>
      <c r="R1090">
        <v>389</v>
      </c>
    </row>
    <row r="1091" spans="1:18" x14ac:dyDescent="0.2">
      <c r="A1091">
        <v>4</v>
      </c>
      <c r="B1091" t="s">
        <v>18</v>
      </c>
      <c r="E1091" t="s">
        <v>19</v>
      </c>
      <c r="F1091">
        <v>733483</v>
      </c>
      <c r="G1091">
        <v>3</v>
      </c>
      <c r="H1091">
        <v>2</v>
      </c>
      <c r="I1091">
        <v>106</v>
      </c>
      <c r="J1091">
        <v>1974</v>
      </c>
      <c r="K1091" s="4">
        <v>44696</v>
      </c>
      <c r="L1091" t="s">
        <v>23</v>
      </c>
      <c r="M1091" t="s">
        <v>68</v>
      </c>
      <c r="N1091">
        <v>2.97</v>
      </c>
      <c r="O1091">
        <v>1919</v>
      </c>
      <c r="P1091">
        <v>3.65</v>
      </c>
      <c r="Q1091">
        <v>299</v>
      </c>
      <c r="R1091">
        <v>533</v>
      </c>
    </row>
    <row r="1092" spans="1:18" x14ac:dyDescent="0.2">
      <c r="A1092">
        <v>4</v>
      </c>
      <c r="B1092" t="s">
        <v>71</v>
      </c>
      <c r="E1092" t="s">
        <v>51</v>
      </c>
      <c r="F1092">
        <v>1068970</v>
      </c>
      <c r="G1092">
        <v>4</v>
      </c>
      <c r="H1092">
        <v>1</v>
      </c>
      <c r="I1092">
        <v>870</v>
      </c>
      <c r="J1092">
        <v>2015</v>
      </c>
      <c r="K1092" s="4">
        <v>45468</v>
      </c>
      <c r="L1092" t="s">
        <v>20</v>
      </c>
      <c r="M1092" t="s">
        <v>85</v>
      </c>
      <c r="N1092">
        <v>1.95</v>
      </c>
      <c r="O1092">
        <v>1189</v>
      </c>
      <c r="P1092">
        <v>3.39</v>
      </c>
      <c r="Q1092">
        <v>290</v>
      </c>
      <c r="R1092">
        <v>540</v>
      </c>
    </row>
    <row r="1093" spans="1:18" x14ac:dyDescent="0.2">
      <c r="A1093">
        <v>5</v>
      </c>
      <c r="B1093" t="s">
        <v>34</v>
      </c>
      <c r="E1093" t="s">
        <v>29</v>
      </c>
      <c r="F1093">
        <v>2072200</v>
      </c>
      <c r="G1093">
        <v>6</v>
      </c>
      <c r="H1093">
        <v>2</v>
      </c>
      <c r="I1093">
        <v>415</v>
      </c>
      <c r="J1093">
        <v>2008</v>
      </c>
      <c r="K1093" s="4">
        <v>44874</v>
      </c>
      <c r="L1093" t="s">
        <v>23</v>
      </c>
      <c r="M1093" t="s">
        <v>52</v>
      </c>
      <c r="N1093">
        <v>2.11</v>
      </c>
      <c r="O1093">
        <v>2144</v>
      </c>
      <c r="P1093">
        <v>3</v>
      </c>
      <c r="Q1093">
        <v>345</v>
      </c>
      <c r="R1093">
        <v>336</v>
      </c>
    </row>
    <row r="1094" spans="1:18" x14ac:dyDescent="0.2">
      <c r="A1094">
        <v>5</v>
      </c>
      <c r="B1094" t="s">
        <v>38</v>
      </c>
      <c r="E1094" t="s">
        <v>29</v>
      </c>
      <c r="F1094">
        <v>1496682</v>
      </c>
      <c r="G1094">
        <v>3</v>
      </c>
      <c r="H1094">
        <v>1</v>
      </c>
      <c r="I1094">
        <v>910</v>
      </c>
      <c r="J1094">
        <v>1985</v>
      </c>
      <c r="K1094" s="4">
        <v>44605</v>
      </c>
      <c r="L1094" t="s">
        <v>26</v>
      </c>
      <c r="M1094" t="s">
        <v>76</v>
      </c>
      <c r="N1094">
        <v>1.66</v>
      </c>
      <c r="O1094">
        <v>1682</v>
      </c>
      <c r="P1094">
        <v>3.84</v>
      </c>
      <c r="Q1094">
        <v>232</v>
      </c>
      <c r="R1094">
        <v>690</v>
      </c>
    </row>
    <row r="1095" spans="1:18" x14ac:dyDescent="0.2">
      <c r="A1095">
        <v>3</v>
      </c>
      <c r="B1095" t="s">
        <v>65</v>
      </c>
      <c r="E1095" t="s">
        <v>29</v>
      </c>
      <c r="F1095">
        <v>2126996</v>
      </c>
      <c r="G1095">
        <v>2</v>
      </c>
      <c r="H1095">
        <v>3</v>
      </c>
      <c r="I1095">
        <v>105</v>
      </c>
      <c r="J1095">
        <v>2017</v>
      </c>
      <c r="K1095" s="4">
        <v>45380</v>
      </c>
      <c r="L1095" t="s">
        <v>20</v>
      </c>
      <c r="M1095" t="s">
        <v>45</v>
      </c>
      <c r="N1095">
        <v>3.08</v>
      </c>
      <c r="O1095">
        <v>1877</v>
      </c>
      <c r="P1095">
        <v>4.07</v>
      </c>
      <c r="Q1095">
        <v>116</v>
      </c>
      <c r="R1095">
        <v>400</v>
      </c>
    </row>
    <row r="1096" spans="1:18" x14ac:dyDescent="0.2">
      <c r="A1096">
        <v>0</v>
      </c>
      <c r="B1096" t="s">
        <v>73</v>
      </c>
      <c r="E1096" t="s">
        <v>19</v>
      </c>
      <c r="F1096">
        <v>400868</v>
      </c>
      <c r="G1096">
        <v>2</v>
      </c>
      <c r="H1096">
        <v>2</v>
      </c>
      <c r="I1096">
        <v>860</v>
      </c>
      <c r="J1096">
        <v>2001</v>
      </c>
      <c r="K1096" s="4">
        <v>45269</v>
      </c>
      <c r="L1096" t="s">
        <v>20</v>
      </c>
      <c r="M1096" t="s">
        <v>68</v>
      </c>
      <c r="N1096">
        <v>1.79</v>
      </c>
      <c r="O1096">
        <v>1729</v>
      </c>
      <c r="P1096">
        <v>1.82</v>
      </c>
      <c r="Q1096">
        <v>239</v>
      </c>
      <c r="R1096">
        <v>418</v>
      </c>
    </row>
    <row r="1097" spans="1:18" x14ac:dyDescent="0.2">
      <c r="A1097">
        <v>1</v>
      </c>
      <c r="B1097" t="s">
        <v>71</v>
      </c>
      <c r="E1097" t="s">
        <v>51</v>
      </c>
      <c r="F1097">
        <v>1565490</v>
      </c>
      <c r="G1097">
        <v>3</v>
      </c>
      <c r="H1097">
        <v>1</v>
      </c>
      <c r="I1097">
        <v>692</v>
      </c>
      <c r="J1097">
        <v>1995</v>
      </c>
      <c r="K1097" s="4">
        <v>45706</v>
      </c>
      <c r="L1097" t="s">
        <v>26</v>
      </c>
      <c r="M1097" t="s">
        <v>37</v>
      </c>
      <c r="N1097">
        <v>1.69</v>
      </c>
      <c r="O1097">
        <v>1019</v>
      </c>
      <c r="P1097">
        <v>1.99</v>
      </c>
      <c r="Q1097">
        <v>131</v>
      </c>
      <c r="R1097">
        <v>551</v>
      </c>
    </row>
    <row r="1098" spans="1:18" x14ac:dyDescent="0.2">
      <c r="A1098">
        <v>3</v>
      </c>
      <c r="B1098" t="s">
        <v>92</v>
      </c>
      <c r="E1098" t="s">
        <v>19</v>
      </c>
      <c r="F1098">
        <v>2192986</v>
      </c>
      <c r="G1098">
        <v>4</v>
      </c>
      <c r="H1098">
        <v>2</v>
      </c>
      <c r="I1098">
        <v>324</v>
      </c>
      <c r="J1098">
        <v>1956</v>
      </c>
      <c r="K1098" s="4">
        <v>45650</v>
      </c>
      <c r="L1098" t="s">
        <v>20</v>
      </c>
      <c r="M1098" t="s">
        <v>52</v>
      </c>
      <c r="N1098">
        <v>3.11</v>
      </c>
      <c r="O1098">
        <v>2082</v>
      </c>
      <c r="P1098">
        <v>0.34</v>
      </c>
      <c r="Q1098">
        <v>165</v>
      </c>
      <c r="R1098">
        <v>592</v>
      </c>
    </row>
    <row r="1099" spans="1:18" x14ac:dyDescent="0.2">
      <c r="A1099">
        <v>5</v>
      </c>
      <c r="B1099" t="s">
        <v>79</v>
      </c>
      <c r="E1099" t="s">
        <v>29</v>
      </c>
      <c r="F1099">
        <v>1886061</v>
      </c>
      <c r="G1099">
        <v>2</v>
      </c>
      <c r="H1099">
        <v>3</v>
      </c>
      <c r="I1099">
        <v>489</v>
      </c>
      <c r="J1099">
        <v>2021</v>
      </c>
      <c r="K1099" s="4">
        <v>44928</v>
      </c>
      <c r="L1099" t="s">
        <v>20</v>
      </c>
      <c r="M1099" t="s">
        <v>74</v>
      </c>
      <c r="N1099">
        <v>1.6</v>
      </c>
      <c r="O1099">
        <v>2321</v>
      </c>
      <c r="P1099">
        <v>4.2</v>
      </c>
      <c r="Q1099">
        <v>192</v>
      </c>
      <c r="R1099">
        <v>510</v>
      </c>
    </row>
    <row r="1100" spans="1:18" x14ac:dyDescent="0.2">
      <c r="A1100">
        <v>3</v>
      </c>
      <c r="B1100" t="s">
        <v>32</v>
      </c>
      <c r="E1100" t="s">
        <v>51</v>
      </c>
      <c r="F1100">
        <v>2209707</v>
      </c>
      <c r="G1100">
        <v>0</v>
      </c>
      <c r="H1100">
        <v>1</v>
      </c>
      <c r="I1100">
        <v>342</v>
      </c>
      <c r="J1100">
        <v>1981</v>
      </c>
      <c r="K1100" s="4">
        <v>45429</v>
      </c>
      <c r="L1100" t="s">
        <v>20</v>
      </c>
      <c r="M1100" t="s">
        <v>97</v>
      </c>
      <c r="N1100">
        <v>2.88</v>
      </c>
      <c r="O1100">
        <v>1885</v>
      </c>
      <c r="P1100">
        <v>1.99</v>
      </c>
      <c r="Q1100">
        <v>54</v>
      </c>
      <c r="R1100">
        <v>692</v>
      </c>
    </row>
    <row r="1101" spans="1:18" x14ac:dyDescent="0.2">
      <c r="A1101">
        <v>6</v>
      </c>
      <c r="B1101" t="s">
        <v>104</v>
      </c>
      <c r="E1101" t="s">
        <v>19</v>
      </c>
      <c r="F1101">
        <v>2739139</v>
      </c>
      <c r="G1101">
        <v>3</v>
      </c>
      <c r="H1101">
        <v>2</v>
      </c>
      <c r="I1101">
        <v>271</v>
      </c>
      <c r="J1101">
        <v>2006</v>
      </c>
      <c r="K1101" s="4">
        <v>44423</v>
      </c>
      <c r="L1101" t="s">
        <v>23</v>
      </c>
      <c r="M1101" t="s">
        <v>47</v>
      </c>
      <c r="N1101">
        <v>1.96</v>
      </c>
      <c r="O1101">
        <v>2082</v>
      </c>
      <c r="P1101">
        <v>4.2699999999999996</v>
      </c>
      <c r="Q1101">
        <v>145</v>
      </c>
      <c r="R1101">
        <v>561</v>
      </c>
    </row>
    <row r="1102" spans="1:18" x14ac:dyDescent="0.2">
      <c r="A1102">
        <v>7</v>
      </c>
      <c r="B1102" t="s">
        <v>57</v>
      </c>
      <c r="E1102" t="s">
        <v>29</v>
      </c>
      <c r="F1102">
        <v>2226543</v>
      </c>
      <c r="G1102">
        <v>4</v>
      </c>
      <c r="H1102">
        <v>2</v>
      </c>
      <c r="I1102">
        <v>890</v>
      </c>
      <c r="J1102">
        <v>1970</v>
      </c>
      <c r="K1102" s="4">
        <v>44656</v>
      </c>
      <c r="L1102" t="s">
        <v>20</v>
      </c>
      <c r="M1102" t="s">
        <v>33</v>
      </c>
      <c r="N1102">
        <v>2.17</v>
      </c>
      <c r="O1102">
        <v>2490</v>
      </c>
      <c r="P1102">
        <v>1.42</v>
      </c>
      <c r="Q1102">
        <v>179</v>
      </c>
      <c r="R1102">
        <v>683</v>
      </c>
    </row>
    <row r="1103" spans="1:18" x14ac:dyDescent="0.2">
      <c r="A1103">
        <v>1</v>
      </c>
      <c r="B1103" t="s">
        <v>55</v>
      </c>
      <c r="E1103" t="s">
        <v>51</v>
      </c>
      <c r="F1103">
        <v>1736669</v>
      </c>
      <c r="G1103">
        <v>4</v>
      </c>
      <c r="H1103">
        <v>3</v>
      </c>
      <c r="I1103">
        <v>866</v>
      </c>
      <c r="J1103">
        <v>1982</v>
      </c>
      <c r="K1103" s="4">
        <v>45886</v>
      </c>
      <c r="L1103" t="s">
        <v>30</v>
      </c>
      <c r="M1103" t="s">
        <v>33</v>
      </c>
      <c r="N1103">
        <v>1.81</v>
      </c>
      <c r="O1103">
        <v>1429</v>
      </c>
      <c r="P1103">
        <v>4.33</v>
      </c>
      <c r="Q1103">
        <v>215</v>
      </c>
      <c r="R1103">
        <v>326</v>
      </c>
    </row>
    <row r="1104" spans="1:18" x14ac:dyDescent="0.2">
      <c r="A1104">
        <v>2</v>
      </c>
      <c r="B1104" t="s">
        <v>73</v>
      </c>
      <c r="E1104" t="s">
        <v>36</v>
      </c>
      <c r="F1104">
        <v>1932856</v>
      </c>
      <c r="G1104">
        <v>2</v>
      </c>
      <c r="H1104">
        <v>1</v>
      </c>
      <c r="I1104">
        <v>637</v>
      </c>
      <c r="J1104">
        <v>2019</v>
      </c>
      <c r="K1104" s="4">
        <v>44719</v>
      </c>
      <c r="L1104" t="s">
        <v>20</v>
      </c>
      <c r="M1104" t="s">
        <v>89</v>
      </c>
      <c r="N1104">
        <v>1.99</v>
      </c>
      <c r="O1104">
        <v>950</v>
      </c>
      <c r="P1104">
        <v>3.28</v>
      </c>
      <c r="Q1104">
        <v>40</v>
      </c>
      <c r="R1104">
        <v>688</v>
      </c>
    </row>
    <row r="1105" spans="1:18" x14ac:dyDescent="0.2">
      <c r="A1105">
        <v>4</v>
      </c>
      <c r="B1105" t="s">
        <v>55</v>
      </c>
      <c r="E1105" t="s">
        <v>19</v>
      </c>
      <c r="F1105">
        <v>1486298</v>
      </c>
      <c r="G1105">
        <v>3</v>
      </c>
      <c r="H1105">
        <v>3</v>
      </c>
      <c r="I1105">
        <v>534</v>
      </c>
      <c r="J1105">
        <v>1975</v>
      </c>
      <c r="K1105" s="4">
        <v>44620</v>
      </c>
      <c r="L1105" t="s">
        <v>23</v>
      </c>
      <c r="M1105" t="s">
        <v>82</v>
      </c>
      <c r="N1105">
        <v>2.52</v>
      </c>
      <c r="O1105">
        <v>2110</v>
      </c>
      <c r="P1105">
        <v>4.72</v>
      </c>
      <c r="Q1105">
        <v>96</v>
      </c>
      <c r="R1105">
        <v>602</v>
      </c>
    </row>
    <row r="1106" spans="1:18" x14ac:dyDescent="0.2">
      <c r="A1106">
        <v>4</v>
      </c>
      <c r="B1106" t="s">
        <v>67</v>
      </c>
      <c r="E1106" t="s">
        <v>51</v>
      </c>
      <c r="F1106">
        <v>994860</v>
      </c>
      <c r="G1106">
        <v>2</v>
      </c>
      <c r="H1106">
        <v>1</v>
      </c>
      <c r="I1106">
        <v>846</v>
      </c>
      <c r="J1106">
        <v>1963</v>
      </c>
      <c r="K1106" s="4">
        <v>44268</v>
      </c>
      <c r="L1106" t="s">
        <v>20</v>
      </c>
      <c r="M1106" t="s">
        <v>31</v>
      </c>
      <c r="N1106">
        <v>1.91</v>
      </c>
      <c r="O1106">
        <v>1206</v>
      </c>
      <c r="P1106">
        <v>0.34</v>
      </c>
      <c r="Q1106">
        <v>168</v>
      </c>
      <c r="R1106">
        <v>606</v>
      </c>
    </row>
    <row r="1107" spans="1:18" x14ac:dyDescent="0.2">
      <c r="A1107">
        <v>9</v>
      </c>
      <c r="B1107" t="s">
        <v>57</v>
      </c>
      <c r="E1107" t="s">
        <v>29</v>
      </c>
      <c r="F1107">
        <v>1600534</v>
      </c>
      <c r="G1107">
        <v>4</v>
      </c>
      <c r="H1107">
        <v>2</v>
      </c>
      <c r="I1107">
        <v>803</v>
      </c>
      <c r="J1107">
        <v>1998</v>
      </c>
      <c r="K1107" s="4">
        <v>44095</v>
      </c>
      <c r="L1107" t="s">
        <v>23</v>
      </c>
      <c r="M1107" t="s">
        <v>42</v>
      </c>
      <c r="N1107">
        <v>2.76</v>
      </c>
      <c r="O1107">
        <v>1665</v>
      </c>
      <c r="P1107">
        <v>3.32</v>
      </c>
      <c r="Q1107">
        <v>372</v>
      </c>
      <c r="R1107">
        <v>494</v>
      </c>
    </row>
    <row r="1108" spans="1:18" x14ac:dyDescent="0.2">
      <c r="A1108">
        <v>6</v>
      </c>
      <c r="B1108" t="s">
        <v>98</v>
      </c>
      <c r="E1108" t="s">
        <v>19</v>
      </c>
      <c r="F1108">
        <v>955360</v>
      </c>
      <c r="G1108">
        <v>3</v>
      </c>
      <c r="H1108">
        <v>1</v>
      </c>
      <c r="I1108">
        <v>158</v>
      </c>
      <c r="J1108">
        <v>2011</v>
      </c>
      <c r="K1108" s="4">
        <v>45854</v>
      </c>
      <c r="L1108" t="s">
        <v>26</v>
      </c>
      <c r="M1108" t="s">
        <v>66</v>
      </c>
      <c r="N1108">
        <v>3.27</v>
      </c>
      <c r="O1108">
        <v>1211</v>
      </c>
      <c r="P1108">
        <v>0.55000000000000004</v>
      </c>
      <c r="Q1108">
        <v>294</v>
      </c>
      <c r="R1108">
        <v>649</v>
      </c>
    </row>
    <row r="1109" spans="1:18" x14ac:dyDescent="0.2">
      <c r="A1109">
        <v>3</v>
      </c>
      <c r="B1109" t="s">
        <v>55</v>
      </c>
      <c r="E1109" t="s">
        <v>51</v>
      </c>
      <c r="F1109">
        <v>2490306</v>
      </c>
      <c r="G1109">
        <v>1</v>
      </c>
      <c r="H1109">
        <v>1</v>
      </c>
      <c r="I1109">
        <v>888</v>
      </c>
      <c r="J1109">
        <v>1981</v>
      </c>
      <c r="K1109" s="4">
        <v>44916</v>
      </c>
      <c r="L1109" t="s">
        <v>23</v>
      </c>
      <c r="M1109" t="s">
        <v>42</v>
      </c>
      <c r="N1109">
        <v>1.97</v>
      </c>
      <c r="O1109">
        <v>2135</v>
      </c>
      <c r="P1109">
        <v>3.06</v>
      </c>
      <c r="Q1109">
        <v>91</v>
      </c>
      <c r="R1109">
        <v>428</v>
      </c>
    </row>
    <row r="1110" spans="1:18" x14ac:dyDescent="0.2">
      <c r="A1110">
        <v>2</v>
      </c>
      <c r="B1110" t="s">
        <v>44</v>
      </c>
      <c r="E1110" t="s">
        <v>51</v>
      </c>
      <c r="F1110">
        <v>2017092</v>
      </c>
      <c r="G1110">
        <v>1</v>
      </c>
      <c r="H1110">
        <v>1</v>
      </c>
      <c r="I1110">
        <v>155</v>
      </c>
      <c r="J1110">
        <v>1967</v>
      </c>
      <c r="K1110" s="4">
        <v>44952</v>
      </c>
      <c r="L1110" t="s">
        <v>20</v>
      </c>
      <c r="M1110" t="s">
        <v>21</v>
      </c>
      <c r="N1110">
        <v>2.5</v>
      </c>
      <c r="O1110">
        <v>2085</v>
      </c>
      <c r="P1110">
        <v>3.02</v>
      </c>
      <c r="Q1110">
        <v>57</v>
      </c>
      <c r="R1110">
        <v>617</v>
      </c>
    </row>
    <row r="1111" spans="1:18" x14ac:dyDescent="0.2">
      <c r="A1111">
        <v>0</v>
      </c>
      <c r="B1111" t="s">
        <v>64</v>
      </c>
      <c r="E1111" t="s">
        <v>51</v>
      </c>
      <c r="F1111">
        <v>1882234</v>
      </c>
      <c r="G1111">
        <v>3</v>
      </c>
      <c r="H1111">
        <v>1</v>
      </c>
      <c r="I1111">
        <v>344</v>
      </c>
      <c r="J1111">
        <v>2021</v>
      </c>
      <c r="K1111" s="4">
        <v>44351</v>
      </c>
      <c r="L1111" t="s">
        <v>30</v>
      </c>
      <c r="M1111" t="s">
        <v>42</v>
      </c>
      <c r="N1111">
        <v>1.92</v>
      </c>
      <c r="O1111">
        <v>1569</v>
      </c>
      <c r="P1111">
        <v>3.91</v>
      </c>
      <c r="Q1111">
        <v>252</v>
      </c>
      <c r="R1111">
        <v>314</v>
      </c>
    </row>
    <row r="1112" spans="1:18" x14ac:dyDescent="0.2">
      <c r="A1112">
        <v>9</v>
      </c>
      <c r="B1112" t="s">
        <v>53</v>
      </c>
      <c r="E1112" t="s">
        <v>29</v>
      </c>
      <c r="F1112">
        <v>530739</v>
      </c>
      <c r="G1112">
        <v>4</v>
      </c>
      <c r="H1112">
        <v>3</v>
      </c>
      <c r="I1112">
        <v>81</v>
      </c>
      <c r="J1112">
        <v>1961</v>
      </c>
      <c r="K1112" s="4">
        <v>44416</v>
      </c>
      <c r="L1112" t="s">
        <v>30</v>
      </c>
      <c r="M1112" t="s">
        <v>85</v>
      </c>
      <c r="N1112">
        <v>3.14</v>
      </c>
      <c r="O1112">
        <v>1654</v>
      </c>
      <c r="P1112">
        <v>3.47</v>
      </c>
      <c r="Q1112">
        <v>316</v>
      </c>
      <c r="R1112">
        <v>307</v>
      </c>
    </row>
    <row r="1113" spans="1:18" x14ac:dyDescent="0.2">
      <c r="A1113">
        <v>9</v>
      </c>
      <c r="B1113" t="s">
        <v>87</v>
      </c>
      <c r="E1113" t="s">
        <v>19</v>
      </c>
      <c r="F1113">
        <v>1388664</v>
      </c>
      <c r="G1113">
        <v>6</v>
      </c>
      <c r="H1113">
        <v>3</v>
      </c>
      <c r="I1113">
        <v>87</v>
      </c>
      <c r="J1113">
        <v>2022</v>
      </c>
      <c r="K1113" s="4">
        <v>45573</v>
      </c>
      <c r="L1113" t="s">
        <v>20</v>
      </c>
      <c r="M1113" t="s">
        <v>59</v>
      </c>
      <c r="N1113">
        <v>2.92</v>
      </c>
      <c r="O1113">
        <v>1130</v>
      </c>
      <c r="P1113">
        <v>3.89</v>
      </c>
      <c r="Q1113">
        <v>331</v>
      </c>
      <c r="R1113">
        <v>510</v>
      </c>
    </row>
    <row r="1114" spans="1:18" x14ac:dyDescent="0.2">
      <c r="A1114">
        <v>4</v>
      </c>
      <c r="B1114" t="s">
        <v>95</v>
      </c>
      <c r="E1114" t="s">
        <v>51</v>
      </c>
      <c r="F1114">
        <v>1894829</v>
      </c>
      <c r="G1114">
        <v>3</v>
      </c>
      <c r="H1114">
        <v>1</v>
      </c>
      <c r="I1114">
        <v>645</v>
      </c>
      <c r="J1114">
        <v>1951</v>
      </c>
      <c r="K1114" s="4">
        <v>45053</v>
      </c>
      <c r="L1114" t="s">
        <v>23</v>
      </c>
      <c r="M1114" t="s">
        <v>52</v>
      </c>
      <c r="N1114">
        <v>2.74</v>
      </c>
      <c r="O1114">
        <v>831</v>
      </c>
      <c r="P1114">
        <v>4.45</v>
      </c>
      <c r="Q1114">
        <v>137</v>
      </c>
      <c r="R1114">
        <v>314</v>
      </c>
    </row>
    <row r="1115" spans="1:18" x14ac:dyDescent="0.2">
      <c r="A1115">
        <v>5</v>
      </c>
      <c r="B1115" t="s">
        <v>39</v>
      </c>
      <c r="E1115" t="s">
        <v>36</v>
      </c>
      <c r="F1115">
        <v>661085</v>
      </c>
      <c r="G1115">
        <v>1</v>
      </c>
      <c r="H1115">
        <v>3</v>
      </c>
      <c r="I1115">
        <v>150</v>
      </c>
      <c r="J1115">
        <v>2011</v>
      </c>
      <c r="K1115" s="4">
        <v>45548</v>
      </c>
      <c r="L1115" t="s">
        <v>26</v>
      </c>
      <c r="M1115" t="s">
        <v>74</v>
      </c>
      <c r="N1115">
        <v>2.69</v>
      </c>
      <c r="O1115">
        <v>2202</v>
      </c>
      <c r="P1115">
        <v>3.14</v>
      </c>
      <c r="Q1115">
        <v>137</v>
      </c>
      <c r="R1115">
        <v>332</v>
      </c>
    </row>
    <row r="1116" spans="1:18" x14ac:dyDescent="0.2">
      <c r="A1116">
        <v>6</v>
      </c>
      <c r="B1116" t="s">
        <v>32</v>
      </c>
      <c r="E1116" t="s">
        <v>19</v>
      </c>
      <c r="F1116">
        <v>2758893</v>
      </c>
      <c r="G1116">
        <v>4</v>
      </c>
      <c r="H1116">
        <v>1</v>
      </c>
      <c r="I1116">
        <v>85</v>
      </c>
      <c r="J1116">
        <v>1988</v>
      </c>
      <c r="K1116" s="4">
        <v>45403</v>
      </c>
      <c r="L1116" t="s">
        <v>30</v>
      </c>
      <c r="M1116" t="s">
        <v>78</v>
      </c>
      <c r="N1116">
        <v>1.79</v>
      </c>
      <c r="O1116">
        <v>1364</v>
      </c>
      <c r="P1116">
        <v>2.82</v>
      </c>
      <c r="Q1116">
        <v>243</v>
      </c>
      <c r="R1116">
        <v>663</v>
      </c>
    </row>
    <row r="1117" spans="1:18" x14ac:dyDescent="0.2">
      <c r="A1117">
        <v>7</v>
      </c>
      <c r="B1117" t="s">
        <v>48</v>
      </c>
      <c r="E1117" t="s">
        <v>19</v>
      </c>
      <c r="F1117">
        <v>1225930</v>
      </c>
      <c r="G1117">
        <v>1</v>
      </c>
      <c r="H1117">
        <v>3</v>
      </c>
      <c r="I1117">
        <v>101</v>
      </c>
      <c r="J1117">
        <v>2008</v>
      </c>
      <c r="K1117" s="4">
        <v>44987</v>
      </c>
      <c r="L1117" t="s">
        <v>26</v>
      </c>
      <c r="M1117" t="s">
        <v>68</v>
      </c>
      <c r="N1117">
        <v>1.88</v>
      </c>
      <c r="O1117">
        <v>991</v>
      </c>
      <c r="P1117">
        <v>2.58</v>
      </c>
      <c r="Q1117">
        <v>157</v>
      </c>
      <c r="R1117">
        <v>507</v>
      </c>
    </row>
    <row r="1118" spans="1:18" x14ac:dyDescent="0.2">
      <c r="A1118">
        <v>8</v>
      </c>
      <c r="B1118" t="s">
        <v>83</v>
      </c>
      <c r="E1118" t="s">
        <v>51</v>
      </c>
      <c r="F1118">
        <v>834664</v>
      </c>
      <c r="G1118">
        <v>4</v>
      </c>
      <c r="H1118">
        <v>1</v>
      </c>
      <c r="I1118">
        <v>688</v>
      </c>
      <c r="J1118">
        <v>2017</v>
      </c>
      <c r="K1118" s="4">
        <v>45101</v>
      </c>
      <c r="L1118" t="s">
        <v>23</v>
      </c>
      <c r="M1118" t="s">
        <v>54</v>
      </c>
      <c r="N1118">
        <v>2.21</v>
      </c>
      <c r="O1118">
        <v>1022</v>
      </c>
      <c r="P1118">
        <v>0.63</v>
      </c>
      <c r="Q1118">
        <v>371</v>
      </c>
      <c r="R1118">
        <v>568</v>
      </c>
    </row>
    <row r="1119" spans="1:18" x14ac:dyDescent="0.2">
      <c r="A1119">
        <v>0</v>
      </c>
      <c r="B1119" t="s">
        <v>34</v>
      </c>
      <c r="E1119" t="s">
        <v>19</v>
      </c>
      <c r="F1119">
        <v>2139485</v>
      </c>
      <c r="G1119">
        <v>2</v>
      </c>
      <c r="H1119">
        <v>1</v>
      </c>
      <c r="I1119">
        <v>459</v>
      </c>
      <c r="J1119">
        <v>1950</v>
      </c>
      <c r="K1119" s="4">
        <v>44195</v>
      </c>
      <c r="L1119" t="s">
        <v>30</v>
      </c>
      <c r="M1119" t="s">
        <v>59</v>
      </c>
      <c r="N1119">
        <v>2.79</v>
      </c>
      <c r="O1119">
        <v>916</v>
      </c>
      <c r="P1119">
        <v>1.68</v>
      </c>
      <c r="Q1119">
        <v>50</v>
      </c>
      <c r="R1119">
        <v>373</v>
      </c>
    </row>
    <row r="1120" spans="1:18" x14ac:dyDescent="0.2">
      <c r="A1120">
        <v>5</v>
      </c>
      <c r="B1120" t="s">
        <v>102</v>
      </c>
      <c r="E1120" t="s">
        <v>19</v>
      </c>
      <c r="F1120">
        <v>2731087</v>
      </c>
      <c r="G1120">
        <v>5</v>
      </c>
      <c r="H1120">
        <v>1</v>
      </c>
      <c r="I1120">
        <v>365</v>
      </c>
      <c r="J1120">
        <v>1995</v>
      </c>
      <c r="K1120" s="4">
        <v>45360</v>
      </c>
      <c r="L1120" t="s">
        <v>23</v>
      </c>
      <c r="M1120" t="s">
        <v>52</v>
      </c>
      <c r="N1120">
        <v>3.19</v>
      </c>
      <c r="O1120">
        <v>839</v>
      </c>
      <c r="P1120">
        <v>2.33</v>
      </c>
      <c r="Q1120">
        <v>241</v>
      </c>
      <c r="R1120">
        <v>327</v>
      </c>
    </row>
    <row r="1121" spans="1:18" x14ac:dyDescent="0.2">
      <c r="A1121">
        <v>5</v>
      </c>
      <c r="B1121" t="s">
        <v>32</v>
      </c>
      <c r="E1121" t="s">
        <v>29</v>
      </c>
      <c r="F1121">
        <v>2185238</v>
      </c>
      <c r="G1121">
        <v>2</v>
      </c>
      <c r="H1121">
        <v>2</v>
      </c>
      <c r="I1121">
        <v>707</v>
      </c>
      <c r="J1121">
        <v>1981</v>
      </c>
      <c r="K1121" s="4">
        <v>44407</v>
      </c>
      <c r="L1121" t="s">
        <v>30</v>
      </c>
      <c r="M1121" t="s">
        <v>68</v>
      </c>
      <c r="N1121">
        <v>2.1800000000000002</v>
      </c>
      <c r="O1121">
        <v>1707</v>
      </c>
      <c r="P1121">
        <v>0.66</v>
      </c>
      <c r="Q1121">
        <v>217</v>
      </c>
      <c r="R1121">
        <v>311</v>
      </c>
    </row>
    <row r="1122" spans="1:18" x14ac:dyDescent="0.2">
      <c r="A1122">
        <v>4</v>
      </c>
      <c r="B1122" t="s">
        <v>90</v>
      </c>
      <c r="E1122" t="s">
        <v>36</v>
      </c>
      <c r="F1122">
        <v>1476368</v>
      </c>
      <c r="G1122">
        <v>5</v>
      </c>
      <c r="H1122">
        <v>2</v>
      </c>
      <c r="I1122">
        <v>526</v>
      </c>
      <c r="J1122">
        <v>2011</v>
      </c>
      <c r="K1122" s="4">
        <v>45849</v>
      </c>
      <c r="L1122" t="s">
        <v>26</v>
      </c>
      <c r="M1122" t="s">
        <v>77</v>
      </c>
      <c r="N1122">
        <v>3.32</v>
      </c>
      <c r="O1122">
        <v>2093</v>
      </c>
      <c r="P1122">
        <v>1.58</v>
      </c>
      <c r="Q1122">
        <v>360</v>
      </c>
      <c r="R1122">
        <v>405</v>
      </c>
    </row>
    <row r="1123" spans="1:18" x14ac:dyDescent="0.2">
      <c r="A1123">
        <v>6</v>
      </c>
      <c r="B1123" t="s">
        <v>38</v>
      </c>
      <c r="E1123" t="s">
        <v>51</v>
      </c>
      <c r="F1123">
        <v>551452</v>
      </c>
      <c r="G1123">
        <v>2</v>
      </c>
      <c r="H1123">
        <v>2</v>
      </c>
      <c r="I1123">
        <v>836</v>
      </c>
      <c r="J1123">
        <v>1984</v>
      </c>
      <c r="K1123" s="4">
        <v>45057</v>
      </c>
      <c r="L1123" t="s">
        <v>23</v>
      </c>
      <c r="M1123" t="s">
        <v>60</v>
      </c>
      <c r="N1123">
        <v>2.56</v>
      </c>
      <c r="O1123">
        <v>1617</v>
      </c>
      <c r="P1123">
        <v>1.57</v>
      </c>
      <c r="Q1123">
        <v>117</v>
      </c>
      <c r="R1123">
        <v>450</v>
      </c>
    </row>
    <row r="1124" spans="1:18" x14ac:dyDescent="0.2">
      <c r="A1124">
        <v>8</v>
      </c>
      <c r="B1124" t="s">
        <v>88</v>
      </c>
      <c r="E1124" t="s">
        <v>29</v>
      </c>
      <c r="F1124">
        <v>1659623</v>
      </c>
      <c r="G1124">
        <v>2</v>
      </c>
      <c r="H1124">
        <v>3</v>
      </c>
      <c r="I1124">
        <v>595</v>
      </c>
      <c r="J1124">
        <v>2003</v>
      </c>
      <c r="K1124" s="4">
        <v>45734</v>
      </c>
      <c r="L1124" t="s">
        <v>23</v>
      </c>
      <c r="M1124" t="s">
        <v>60</v>
      </c>
      <c r="N1124">
        <v>3</v>
      </c>
      <c r="O1124">
        <v>1013</v>
      </c>
      <c r="P1124">
        <v>2.44</v>
      </c>
      <c r="Q1124">
        <v>111</v>
      </c>
      <c r="R1124">
        <v>469</v>
      </c>
    </row>
    <row r="1125" spans="1:18" x14ac:dyDescent="0.2">
      <c r="A1125">
        <v>1</v>
      </c>
      <c r="B1125" t="s">
        <v>86</v>
      </c>
      <c r="E1125" t="s">
        <v>29</v>
      </c>
      <c r="F1125">
        <v>890672</v>
      </c>
      <c r="G1125">
        <v>4</v>
      </c>
      <c r="H1125">
        <v>2</v>
      </c>
      <c r="I1125">
        <v>872</v>
      </c>
      <c r="J1125">
        <v>1997</v>
      </c>
      <c r="K1125" s="4">
        <v>44583</v>
      </c>
      <c r="L1125" t="s">
        <v>20</v>
      </c>
      <c r="M1125" t="s">
        <v>74</v>
      </c>
      <c r="N1125">
        <v>1.83</v>
      </c>
      <c r="O1125">
        <v>1006</v>
      </c>
      <c r="P1125">
        <v>2.85</v>
      </c>
      <c r="Q1125">
        <v>325</v>
      </c>
      <c r="R1125">
        <v>547</v>
      </c>
    </row>
    <row r="1126" spans="1:18" x14ac:dyDescent="0.2">
      <c r="A1126">
        <v>1</v>
      </c>
      <c r="B1126" t="s">
        <v>43</v>
      </c>
      <c r="E1126" t="s">
        <v>51</v>
      </c>
      <c r="F1126">
        <v>1117953</v>
      </c>
      <c r="G1126">
        <v>3</v>
      </c>
      <c r="H1126">
        <v>2</v>
      </c>
      <c r="I1126">
        <v>107</v>
      </c>
      <c r="J1126">
        <v>1959</v>
      </c>
      <c r="K1126" s="4">
        <v>44575</v>
      </c>
      <c r="L1126" t="s">
        <v>23</v>
      </c>
      <c r="M1126" t="s">
        <v>66</v>
      </c>
      <c r="N1126">
        <v>1.71</v>
      </c>
      <c r="O1126">
        <v>2377</v>
      </c>
      <c r="P1126">
        <v>1.77</v>
      </c>
      <c r="Q1126">
        <v>300</v>
      </c>
      <c r="R1126">
        <v>313</v>
      </c>
    </row>
    <row r="1127" spans="1:18" x14ac:dyDescent="0.2">
      <c r="A1127">
        <v>5</v>
      </c>
      <c r="B1127" t="s">
        <v>46</v>
      </c>
      <c r="E1127" t="s">
        <v>29</v>
      </c>
      <c r="F1127">
        <v>2439588</v>
      </c>
      <c r="G1127">
        <v>5</v>
      </c>
      <c r="H1127">
        <v>3</v>
      </c>
      <c r="I1127">
        <v>147</v>
      </c>
      <c r="J1127">
        <v>1996</v>
      </c>
      <c r="K1127" s="4">
        <v>45717</v>
      </c>
      <c r="L1127" t="s">
        <v>30</v>
      </c>
      <c r="M1127" t="s">
        <v>45</v>
      </c>
      <c r="N1127">
        <v>2.14</v>
      </c>
      <c r="O1127">
        <v>1690</v>
      </c>
      <c r="P1127">
        <v>0.68</v>
      </c>
      <c r="Q1127">
        <v>335</v>
      </c>
      <c r="R1127">
        <v>419</v>
      </c>
    </row>
    <row r="1128" spans="1:18" x14ac:dyDescent="0.2">
      <c r="A1128">
        <v>0</v>
      </c>
      <c r="B1128" t="s">
        <v>75</v>
      </c>
      <c r="E1128" t="s">
        <v>29</v>
      </c>
      <c r="F1128">
        <v>2000661</v>
      </c>
      <c r="G1128">
        <v>5</v>
      </c>
      <c r="H1128">
        <v>2</v>
      </c>
      <c r="I1128">
        <v>716</v>
      </c>
      <c r="J1128">
        <v>1959</v>
      </c>
      <c r="K1128" s="4">
        <v>44520</v>
      </c>
      <c r="L1128" t="s">
        <v>30</v>
      </c>
      <c r="M1128" t="s">
        <v>27</v>
      </c>
      <c r="N1128">
        <v>1.54</v>
      </c>
      <c r="O1128">
        <v>1039</v>
      </c>
      <c r="P1128">
        <v>3.54</v>
      </c>
      <c r="Q1128">
        <v>286</v>
      </c>
      <c r="R1128">
        <v>492</v>
      </c>
    </row>
    <row r="1129" spans="1:18" x14ac:dyDescent="0.2">
      <c r="A1129">
        <v>1</v>
      </c>
      <c r="B1129" t="s">
        <v>55</v>
      </c>
      <c r="E1129" t="s">
        <v>29</v>
      </c>
      <c r="F1129">
        <v>2532949</v>
      </c>
      <c r="G1129">
        <v>4</v>
      </c>
      <c r="H1129">
        <v>2</v>
      </c>
      <c r="I1129">
        <v>413</v>
      </c>
      <c r="J1129">
        <v>1979</v>
      </c>
      <c r="K1129" s="4">
        <v>45799</v>
      </c>
      <c r="L1129" t="s">
        <v>30</v>
      </c>
      <c r="M1129" t="s">
        <v>45</v>
      </c>
      <c r="N1129">
        <v>2.04</v>
      </c>
      <c r="O1129">
        <v>2178</v>
      </c>
      <c r="P1129">
        <v>1.83</v>
      </c>
      <c r="Q1129">
        <v>305</v>
      </c>
      <c r="R1129">
        <v>481</v>
      </c>
    </row>
    <row r="1130" spans="1:18" x14ac:dyDescent="0.2">
      <c r="A1130">
        <v>1</v>
      </c>
      <c r="B1130" t="s">
        <v>57</v>
      </c>
      <c r="E1130" t="s">
        <v>51</v>
      </c>
      <c r="F1130">
        <v>1456586</v>
      </c>
      <c r="G1130">
        <v>4</v>
      </c>
      <c r="H1130">
        <v>1</v>
      </c>
      <c r="I1130">
        <v>978</v>
      </c>
      <c r="J1130">
        <v>1982</v>
      </c>
      <c r="K1130" s="4">
        <v>45754</v>
      </c>
      <c r="L1130" t="s">
        <v>20</v>
      </c>
      <c r="M1130" t="s">
        <v>69</v>
      </c>
      <c r="N1130">
        <v>2.52</v>
      </c>
      <c r="O1130">
        <v>1185</v>
      </c>
      <c r="P1130">
        <v>1.4</v>
      </c>
      <c r="Q1130">
        <v>208</v>
      </c>
      <c r="R1130">
        <v>521</v>
      </c>
    </row>
    <row r="1131" spans="1:18" x14ac:dyDescent="0.2">
      <c r="A1131">
        <v>3</v>
      </c>
      <c r="B1131" t="s">
        <v>86</v>
      </c>
      <c r="E1131" t="s">
        <v>19</v>
      </c>
      <c r="F1131">
        <v>1431029</v>
      </c>
      <c r="G1131">
        <v>3</v>
      </c>
      <c r="H1131">
        <v>3</v>
      </c>
      <c r="I1131">
        <v>152</v>
      </c>
      <c r="J1131">
        <v>1987</v>
      </c>
      <c r="K1131" s="4">
        <v>44972</v>
      </c>
      <c r="L1131" t="s">
        <v>26</v>
      </c>
      <c r="M1131" t="s">
        <v>97</v>
      </c>
      <c r="N1131">
        <v>1.91</v>
      </c>
      <c r="O1131">
        <v>1531</v>
      </c>
      <c r="P1131">
        <v>1.68</v>
      </c>
      <c r="Q1131">
        <v>298</v>
      </c>
      <c r="R1131">
        <v>304</v>
      </c>
    </row>
    <row r="1132" spans="1:18" x14ac:dyDescent="0.2">
      <c r="A1132">
        <v>4</v>
      </c>
      <c r="B1132" t="s">
        <v>71</v>
      </c>
      <c r="E1132" t="s">
        <v>29</v>
      </c>
      <c r="F1132">
        <v>1633813</v>
      </c>
      <c r="G1132">
        <v>3</v>
      </c>
      <c r="H1132">
        <v>1</v>
      </c>
      <c r="I1132">
        <v>102</v>
      </c>
      <c r="J1132">
        <v>2016</v>
      </c>
      <c r="K1132" s="4">
        <v>44546</v>
      </c>
      <c r="L1132" t="s">
        <v>30</v>
      </c>
      <c r="M1132" t="s">
        <v>35</v>
      </c>
      <c r="N1132">
        <v>2.87</v>
      </c>
      <c r="O1132">
        <v>1938</v>
      </c>
      <c r="P1132">
        <v>4.41</v>
      </c>
      <c r="Q1132">
        <v>253</v>
      </c>
      <c r="R1132">
        <v>650</v>
      </c>
    </row>
    <row r="1133" spans="1:18" x14ac:dyDescent="0.2">
      <c r="A1133">
        <v>2</v>
      </c>
      <c r="B1133" t="s">
        <v>83</v>
      </c>
      <c r="E1133" t="s">
        <v>36</v>
      </c>
      <c r="F1133">
        <v>2919704</v>
      </c>
      <c r="G1133">
        <v>3</v>
      </c>
      <c r="H1133">
        <v>2</v>
      </c>
      <c r="I1133">
        <v>759</v>
      </c>
      <c r="J1133">
        <v>1990</v>
      </c>
      <c r="K1133" s="4">
        <v>45627</v>
      </c>
      <c r="L1133" t="s">
        <v>23</v>
      </c>
      <c r="M1133" t="s">
        <v>58</v>
      </c>
      <c r="N1133">
        <v>3.39</v>
      </c>
      <c r="O1133">
        <v>2053</v>
      </c>
      <c r="P1133">
        <v>3.14</v>
      </c>
      <c r="Q1133">
        <v>194</v>
      </c>
      <c r="R1133">
        <v>544</v>
      </c>
    </row>
    <row r="1134" spans="1:18" x14ac:dyDescent="0.2">
      <c r="A1134">
        <v>9</v>
      </c>
      <c r="B1134" t="s">
        <v>53</v>
      </c>
      <c r="E1134" t="s">
        <v>36</v>
      </c>
      <c r="F1134">
        <v>1532789</v>
      </c>
      <c r="G1134">
        <v>1</v>
      </c>
      <c r="H1134">
        <v>3</v>
      </c>
      <c r="I1134">
        <v>895</v>
      </c>
      <c r="J1134">
        <v>1972</v>
      </c>
      <c r="K1134" s="4">
        <v>45202</v>
      </c>
      <c r="L1134" t="s">
        <v>30</v>
      </c>
      <c r="M1134" t="s">
        <v>78</v>
      </c>
      <c r="N1134">
        <v>1.56</v>
      </c>
      <c r="O1134">
        <v>2380</v>
      </c>
      <c r="P1134">
        <v>4.38</v>
      </c>
      <c r="Q1134">
        <v>52</v>
      </c>
      <c r="R1134">
        <v>433</v>
      </c>
    </row>
    <row r="1135" spans="1:18" x14ac:dyDescent="0.2">
      <c r="A1135">
        <v>6</v>
      </c>
      <c r="B1135" t="s">
        <v>22</v>
      </c>
      <c r="E1135" t="s">
        <v>51</v>
      </c>
      <c r="F1135">
        <v>2375996</v>
      </c>
      <c r="G1135">
        <v>6</v>
      </c>
      <c r="H1135">
        <v>3</v>
      </c>
      <c r="I1135">
        <v>563</v>
      </c>
      <c r="J1135">
        <v>1973</v>
      </c>
      <c r="K1135" s="4">
        <v>45564</v>
      </c>
      <c r="L1135" t="s">
        <v>23</v>
      </c>
      <c r="M1135" t="s">
        <v>59</v>
      </c>
      <c r="N1135">
        <v>1.91</v>
      </c>
      <c r="O1135">
        <v>874</v>
      </c>
      <c r="P1135">
        <v>2.65</v>
      </c>
      <c r="Q1135">
        <v>383</v>
      </c>
      <c r="R1135">
        <v>440</v>
      </c>
    </row>
    <row r="1136" spans="1:18" x14ac:dyDescent="0.2">
      <c r="A1136">
        <v>3</v>
      </c>
      <c r="B1136" t="s">
        <v>28</v>
      </c>
      <c r="E1136" t="s">
        <v>51</v>
      </c>
      <c r="F1136">
        <v>2498300</v>
      </c>
      <c r="G1136">
        <v>4</v>
      </c>
      <c r="H1136">
        <v>1</v>
      </c>
      <c r="I1136">
        <v>310</v>
      </c>
      <c r="J1136">
        <v>1990</v>
      </c>
      <c r="K1136" s="4">
        <v>44381</v>
      </c>
      <c r="L1136" t="s">
        <v>26</v>
      </c>
      <c r="M1136" t="s">
        <v>47</v>
      </c>
      <c r="N1136">
        <v>2.94</v>
      </c>
      <c r="O1136">
        <v>2184</v>
      </c>
      <c r="P1136">
        <v>1.18</v>
      </c>
      <c r="Q1136">
        <v>216</v>
      </c>
      <c r="R1136">
        <v>581</v>
      </c>
    </row>
    <row r="1137" spans="1:18" x14ac:dyDescent="0.2">
      <c r="A1137">
        <v>6</v>
      </c>
      <c r="B1137" t="s">
        <v>48</v>
      </c>
      <c r="E1137" t="s">
        <v>29</v>
      </c>
      <c r="F1137">
        <v>561775</v>
      </c>
      <c r="G1137">
        <v>3</v>
      </c>
      <c r="H1137">
        <v>3</v>
      </c>
      <c r="I1137">
        <v>732</v>
      </c>
      <c r="J1137">
        <v>1968</v>
      </c>
      <c r="K1137" s="4">
        <v>45727</v>
      </c>
      <c r="L1137" t="s">
        <v>30</v>
      </c>
      <c r="M1137" t="s">
        <v>31</v>
      </c>
      <c r="N1137">
        <v>2.93</v>
      </c>
      <c r="O1137">
        <v>2126</v>
      </c>
      <c r="P1137">
        <v>1.0900000000000001</v>
      </c>
      <c r="Q1137">
        <v>244</v>
      </c>
      <c r="R1137">
        <v>587</v>
      </c>
    </row>
    <row r="1138" spans="1:18" x14ac:dyDescent="0.2">
      <c r="A1138">
        <v>4</v>
      </c>
      <c r="B1138" t="s">
        <v>61</v>
      </c>
      <c r="E1138" t="s">
        <v>19</v>
      </c>
      <c r="F1138">
        <v>659267</v>
      </c>
      <c r="G1138">
        <v>4</v>
      </c>
      <c r="H1138">
        <v>3</v>
      </c>
      <c r="I1138">
        <v>403</v>
      </c>
      <c r="J1138">
        <v>1969</v>
      </c>
      <c r="K1138" s="4">
        <v>45555</v>
      </c>
      <c r="L1138" t="s">
        <v>30</v>
      </c>
      <c r="M1138" t="s">
        <v>47</v>
      </c>
      <c r="N1138">
        <v>3.07</v>
      </c>
      <c r="O1138">
        <v>992</v>
      </c>
      <c r="P1138">
        <v>0.99</v>
      </c>
      <c r="Q1138">
        <v>187</v>
      </c>
      <c r="R1138">
        <v>404</v>
      </c>
    </row>
    <row r="1139" spans="1:18" x14ac:dyDescent="0.2">
      <c r="A1139">
        <v>3</v>
      </c>
      <c r="B1139" t="s">
        <v>95</v>
      </c>
      <c r="E1139" t="s">
        <v>29</v>
      </c>
      <c r="F1139">
        <v>790392</v>
      </c>
      <c r="G1139">
        <v>3</v>
      </c>
      <c r="H1139">
        <v>1</v>
      </c>
      <c r="I1139">
        <v>321</v>
      </c>
      <c r="J1139">
        <v>1999</v>
      </c>
      <c r="K1139" s="4">
        <v>44668</v>
      </c>
      <c r="L1139" t="s">
        <v>20</v>
      </c>
      <c r="M1139" t="s">
        <v>74</v>
      </c>
      <c r="N1139">
        <v>1.59</v>
      </c>
      <c r="O1139">
        <v>1325</v>
      </c>
      <c r="P1139">
        <v>2.2000000000000002</v>
      </c>
      <c r="Q1139">
        <v>246</v>
      </c>
      <c r="R1139">
        <v>387</v>
      </c>
    </row>
    <row r="1140" spans="1:18" x14ac:dyDescent="0.2">
      <c r="A1140">
        <v>7</v>
      </c>
      <c r="B1140" t="s">
        <v>81</v>
      </c>
      <c r="E1140" t="s">
        <v>29</v>
      </c>
      <c r="F1140">
        <v>596586</v>
      </c>
      <c r="G1140">
        <v>5</v>
      </c>
      <c r="H1140">
        <v>1</v>
      </c>
      <c r="I1140">
        <v>0</v>
      </c>
      <c r="J1140">
        <v>1954</v>
      </c>
      <c r="K1140" s="4">
        <v>44106</v>
      </c>
      <c r="L1140" t="s">
        <v>23</v>
      </c>
      <c r="M1140" t="s">
        <v>52</v>
      </c>
      <c r="N1140">
        <v>2.6</v>
      </c>
      <c r="O1140">
        <v>1943</v>
      </c>
      <c r="P1140">
        <v>2.94</v>
      </c>
      <c r="Q1140">
        <v>112</v>
      </c>
      <c r="R1140">
        <v>407</v>
      </c>
    </row>
    <row r="1141" spans="1:18" x14ac:dyDescent="0.2">
      <c r="A1141">
        <v>6</v>
      </c>
      <c r="B1141" t="s">
        <v>48</v>
      </c>
      <c r="E1141" t="s">
        <v>19</v>
      </c>
      <c r="F1141">
        <v>2087108</v>
      </c>
      <c r="G1141">
        <v>3</v>
      </c>
      <c r="H1141">
        <v>2</v>
      </c>
      <c r="I1141">
        <v>533</v>
      </c>
      <c r="J1141">
        <v>1967</v>
      </c>
      <c r="K1141" s="4">
        <v>44359</v>
      </c>
      <c r="L1141" t="s">
        <v>26</v>
      </c>
      <c r="M1141" t="s">
        <v>45</v>
      </c>
      <c r="N1141">
        <v>2.36</v>
      </c>
      <c r="O1141">
        <v>2322</v>
      </c>
      <c r="P1141">
        <v>0.25</v>
      </c>
      <c r="Q1141">
        <v>208</v>
      </c>
      <c r="R1141">
        <v>551</v>
      </c>
    </row>
    <row r="1142" spans="1:18" x14ac:dyDescent="0.2">
      <c r="A1142">
        <v>3</v>
      </c>
      <c r="B1142" t="s">
        <v>53</v>
      </c>
      <c r="E1142" t="s">
        <v>29</v>
      </c>
      <c r="F1142">
        <v>2037537</v>
      </c>
      <c r="G1142">
        <v>5</v>
      </c>
      <c r="H1142">
        <v>3</v>
      </c>
      <c r="I1142">
        <v>474</v>
      </c>
      <c r="J1142">
        <v>1983</v>
      </c>
      <c r="K1142" s="4">
        <v>45763</v>
      </c>
      <c r="L1142" t="s">
        <v>20</v>
      </c>
      <c r="M1142" t="s">
        <v>78</v>
      </c>
      <c r="N1142">
        <v>3.16</v>
      </c>
      <c r="O1142">
        <v>2041</v>
      </c>
      <c r="P1142">
        <v>2.68</v>
      </c>
      <c r="Q1142">
        <v>392</v>
      </c>
      <c r="R1142">
        <v>620</v>
      </c>
    </row>
    <row r="1143" spans="1:18" x14ac:dyDescent="0.2">
      <c r="A1143">
        <v>4</v>
      </c>
      <c r="B1143" t="s">
        <v>34</v>
      </c>
      <c r="E1143" t="s">
        <v>36</v>
      </c>
      <c r="F1143">
        <v>1888561</v>
      </c>
      <c r="G1143">
        <v>4</v>
      </c>
      <c r="H1143">
        <v>3</v>
      </c>
      <c r="I1143">
        <v>211</v>
      </c>
      <c r="J1143">
        <v>1986</v>
      </c>
      <c r="K1143" s="4">
        <v>44856</v>
      </c>
      <c r="L1143" t="s">
        <v>30</v>
      </c>
      <c r="M1143" t="s">
        <v>74</v>
      </c>
      <c r="N1143">
        <v>2.11</v>
      </c>
      <c r="O1143">
        <v>1400</v>
      </c>
      <c r="P1143">
        <v>3.8</v>
      </c>
      <c r="Q1143">
        <v>373</v>
      </c>
      <c r="R1143">
        <v>302</v>
      </c>
    </row>
    <row r="1144" spans="1:18" x14ac:dyDescent="0.2">
      <c r="A1144">
        <v>1</v>
      </c>
      <c r="B1144" t="s">
        <v>80</v>
      </c>
      <c r="E1144" t="s">
        <v>19</v>
      </c>
      <c r="F1144">
        <v>1468596</v>
      </c>
      <c r="G1144">
        <v>3</v>
      </c>
      <c r="H1144">
        <v>2</v>
      </c>
      <c r="I1144">
        <v>900</v>
      </c>
      <c r="J1144">
        <v>1975</v>
      </c>
      <c r="K1144" s="4">
        <v>44606</v>
      </c>
      <c r="L1144" t="s">
        <v>20</v>
      </c>
      <c r="M1144" t="s">
        <v>70</v>
      </c>
      <c r="N1144">
        <v>2.68</v>
      </c>
      <c r="O1144">
        <v>1025</v>
      </c>
      <c r="P1144">
        <v>2.21</v>
      </c>
      <c r="Q1144">
        <v>311</v>
      </c>
      <c r="R1144">
        <v>316</v>
      </c>
    </row>
    <row r="1145" spans="1:18" x14ac:dyDescent="0.2">
      <c r="A1145">
        <v>0</v>
      </c>
      <c r="B1145" t="s">
        <v>43</v>
      </c>
      <c r="E1145" t="s">
        <v>36</v>
      </c>
      <c r="F1145">
        <v>2793491</v>
      </c>
      <c r="G1145">
        <v>5</v>
      </c>
      <c r="H1145">
        <v>1</v>
      </c>
      <c r="I1145">
        <v>785</v>
      </c>
      <c r="J1145">
        <v>1957</v>
      </c>
      <c r="K1145" s="4">
        <v>44314</v>
      </c>
      <c r="L1145" t="s">
        <v>26</v>
      </c>
      <c r="M1145" t="s">
        <v>63</v>
      </c>
      <c r="N1145">
        <v>2.2200000000000002</v>
      </c>
      <c r="O1145">
        <v>2085</v>
      </c>
      <c r="P1145">
        <v>4.21</v>
      </c>
      <c r="Q1145">
        <v>324</v>
      </c>
      <c r="R1145">
        <v>364</v>
      </c>
    </row>
    <row r="1146" spans="1:18" x14ac:dyDescent="0.2">
      <c r="A1146">
        <v>2</v>
      </c>
      <c r="B1146" t="s">
        <v>32</v>
      </c>
      <c r="E1146" t="s">
        <v>19</v>
      </c>
      <c r="F1146">
        <v>709833</v>
      </c>
      <c r="G1146">
        <v>2</v>
      </c>
      <c r="H1146">
        <v>1</v>
      </c>
      <c r="I1146">
        <v>60</v>
      </c>
      <c r="J1146">
        <v>1976</v>
      </c>
      <c r="K1146" s="4">
        <v>44370</v>
      </c>
      <c r="L1146" t="s">
        <v>30</v>
      </c>
      <c r="M1146" t="s">
        <v>63</v>
      </c>
      <c r="N1146">
        <v>1.8</v>
      </c>
      <c r="O1146">
        <v>2069</v>
      </c>
      <c r="P1146">
        <v>1.45</v>
      </c>
      <c r="Q1146">
        <v>121</v>
      </c>
      <c r="R1146">
        <v>688</v>
      </c>
    </row>
    <row r="1147" spans="1:18" x14ac:dyDescent="0.2">
      <c r="A1147">
        <v>7</v>
      </c>
      <c r="B1147" t="s">
        <v>44</v>
      </c>
      <c r="E1147" t="s">
        <v>29</v>
      </c>
      <c r="F1147">
        <v>2144362</v>
      </c>
      <c r="G1147">
        <v>4</v>
      </c>
      <c r="H1147">
        <v>2</v>
      </c>
      <c r="I1147">
        <v>997</v>
      </c>
      <c r="J1147">
        <v>1959</v>
      </c>
      <c r="K1147" s="4">
        <v>44895</v>
      </c>
      <c r="L1147" t="s">
        <v>30</v>
      </c>
      <c r="M1147" t="s">
        <v>89</v>
      </c>
      <c r="N1147">
        <v>2.92</v>
      </c>
      <c r="O1147">
        <v>1944</v>
      </c>
      <c r="P1147">
        <v>0.98</v>
      </c>
      <c r="Q1147">
        <v>193</v>
      </c>
      <c r="R1147">
        <v>675</v>
      </c>
    </row>
    <row r="1148" spans="1:18" x14ac:dyDescent="0.2">
      <c r="A1148">
        <v>6</v>
      </c>
      <c r="B1148" t="s">
        <v>80</v>
      </c>
      <c r="E1148" t="s">
        <v>36</v>
      </c>
      <c r="F1148">
        <v>2570508</v>
      </c>
      <c r="G1148">
        <v>1</v>
      </c>
      <c r="H1148">
        <v>3</v>
      </c>
      <c r="I1148">
        <v>677</v>
      </c>
      <c r="J1148">
        <v>1990</v>
      </c>
      <c r="K1148" s="4">
        <v>44412</v>
      </c>
      <c r="L1148" t="s">
        <v>26</v>
      </c>
      <c r="M1148" t="s">
        <v>42</v>
      </c>
      <c r="N1148">
        <v>1.65</v>
      </c>
      <c r="O1148">
        <v>2250</v>
      </c>
      <c r="P1148">
        <v>4.6399999999999997</v>
      </c>
      <c r="Q1148">
        <v>134</v>
      </c>
      <c r="R1148">
        <v>449</v>
      </c>
    </row>
    <row r="1149" spans="1:18" x14ac:dyDescent="0.2">
      <c r="A1149">
        <v>3</v>
      </c>
      <c r="B1149" t="s">
        <v>81</v>
      </c>
      <c r="E1149" t="s">
        <v>51</v>
      </c>
      <c r="F1149">
        <v>2853104</v>
      </c>
      <c r="G1149">
        <v>5</v>
      </c>
      <c r="H1149">
        <v>2</v>
      </c>
      <c r="I1149">
        <v>278</v>
      </c>
      <c r="J1149">
        <v>2006</v>
      </c>
      <c r="K1149" s="4">
        <v>44974</v>
      </c>
      <c r="L1149" t="s">
        <v>20</v>
      </c>
      <c r="M1149" t="s">
        <v>27</v>
      </c>
      <c r="N1149">
        <v>2.56</v>
      </c>
      <c r="O1149">
        <v>2161</v>
      </c>
      <c r="P1149">
        <v>2.87</v>
      </c>
      <c r="Q1149">
        <v>316</v>
      </c>
      <c r="R1149">
        <v>617</v>
      </c>
    </row>
    <row r="1150" spans="1:18" x14ac:dyDescent="0.2">
      <c r="A1150">
        <v>9</v>
      </c>
      <c r="B1150" t="s">
        <v>79</v>
      </c>
      <c r="E1150" t="s">
        <v>36</v>
      </c>
      <c r="F1150">
        <v>2483037</v>
      </c>
      <c r="G1150">
        <v>2</v>
      </c>
      <c r="H1150">
        <v>2</v>
      </c>
      <c r="I1150">
        <v>954</v>
      </c>
      <c r="J1150">
        <v>2012</v>
      </c>
      <c r="K1150" s="4">
        <v>44634</v>
      </c>
      <c r="L1150" t="s">
        <v>30</v>
      </c>
      <c r="M1150" t="s">
        <v>59</v>
      </c>
      <c r="N1150">
        <v>2.29</v>
      </c>
      <c r="O1150">
        <v>1362</v>
      </c>
      <c r="P1150">
        <v>4.93</v>
      </c>
      <c r="Q1150">
        <v>40</v>
      </c>
      <c r="R1150">
        <v>652</v>
      </c>
    </row>
    <row r="1151" spans="1:18" x14ac:dyDescent="0.2">
      <c r="A1151">
        <v>5</v>
      </c>
      <c r="B1151" t="s">
        <v>46</v>
      </c>
      <c r="E1151" t="s">
        <v>51</v>
      </c>
      <c r="F1151">
        <v>1117383</v>
      </c>
      <c r="G1151">
        <v>2</v>
      </c>
      <c r="H1151">
        <v>2</v>
      </c>
      <c r="I1151">
        <v>997</v>
      </c>
      <c r="J1151">
        <v>1952</v>
      </c>
      <c r="K1151" s="4">
        <v>45027</v>
      </c>
      <c r="L1151" t="s">
        <v>23</v>
      </c>
      <c r="M1151" t="s">
        <v>42</v>
      </c>
      <c r="N1151">
        <v>2</v>
      </c>
      <c r="O1151">
        <v>880</v>
      </c>
      <c r="P1151">
        <v>2.66</v>
      </c>
      <c r="Q1151">
        <v>178</v>
      </c>
      <c r="R1151">
        <v>333</v>
      </c>
    </row>
    <row r="1152" spans="1:18" x14ac:dyDescent="0.2">
      <c r="A1152">
        <v>5</v>
      </c>
      <c r="B1152" t="s">
        <v>34</v>
      </c>
      <c r="E1152" t="s">
        <v>36</v>
      </c>
      <c r="F1152">
        <v>976452</v>
      </c>
      <c r="G1152">
        <v>2</v>
      </c>
      <c r="H1152">
        <v>1</v>
      </c>
      <c r="I1152">
        <v>638</v>
      </c>
      <c r="J1152">
        <v>1983</v>
      </c>
      <c r="K1152" s="4">
        <v>45624</v>
      </c>
      <c r="L1152" t="s">
        <v>30</v>
      </c>
      <c r="M1152" t="s">
        <v>35</v>
      </c>
      <c r="N1152">
        <v>2.2799999999999998</v>
      </c>
      <c r="O1152">
        <v>1031</v>
      </c>
      <c r="P1152">
        <v>3.39</v>
      </c>
      <c r="Q1152">
        <v>239</v>
      </c>
      <c r="R1152">
        <v>574</v>
      </c>
    </row>
    <row r="1153" spans="1:18" x14ac:dyDescent="0.2">
      <c r="A1153">
        <v>1</v>
      </c>
      <c r="B1153" t="s">
        <v>67</v>
      </c>
      <c r="E1153" t="s">
        <v>36</v>
      </c>
      <c r="F1153">
        <v>445625</v>
      </c>
      <c r="G1153">
        <v>6</v>
      </c>
      <c r="H1153">
        <v>3</v>
      </c>
      <c r="I1153">
        <v>695</v>
      </c>
      <c r="J1153">
        <v>2012</v>
      </c>
      <c r="K1153" s="4">
        <v>44190</v>
      </c>
      <c r="L1153" t="s">
        <v>30</v>
      </c>
      <c r="M1153" t="s">
        <v>59</v>
      </c>
      <c r="N1153">
        <v>1.7</v>
      </c>
      <c r="O1153">
        <v>1775</v>
      </c>
      <c r="P1153">
        <v>4.3600000000000003</v>
      </c>
      <c r="Q1153">
        <v>357</v>
      </c>
      <c r="R1153">
        <v>464</v>
      </c>
    </row>
    <row r="1154" spans="1:18" x14ac:dyDescent="0.2">
      <c r="A1154">
        <v>6</v>
      </c>
      <c r="B1154" t="s">
        <v>95</v>
      </c>
      <c r="E1154" t="s">
        <v>19</v>
      </c>
      <c r="F1154">
        <v>2773601</v>
      </c>
      <c r="G1154">
        <v>5</v>
      </c>
      <c r="H1154">
        <v>2</v>
      </c>
      <c r="I1154">
        <v>612</v>
      </c>
      <c r="J1154">
        <v>2004</v>
      </c>
      <c r="K1154" s="4">
        <v>44330</v>
      </c>
      <c r="L1154" t="s">
        <v>20</v>
      </c>
      <c r="M1154" t="s">
        <v>70</v>
      </c>
      <c r="N1154">
        <v>1.53</v>
      </c>
      <c r="O1154">
        <v>1466</v>
      </c>
      <c r="P1154">
        <v>1.52</v>
      </c>
      <c r="Q1154">
        <v>383</v>
      </c>
      <c r="R1154">
        <v>639</v>
      </c>
    </row>
    <row r="1155" spans="1:18" x14ac:dyDescent="0.2">
      <c r="A1155">
        <v>1</v>
      </c>
      <c r="B1155" t="s">
        <v>80</v>
      </c>
      <c r="E1155" t="s">
        <v>19</v>
      </c>
      <c r="F1155">
        <v>1680214</v>
      </c>
      <c r="G1155">
        <v>1</v>
      </c>
      <c r="H1155">
        <v>1</v>
      </c>
      <c r="I1155">
        <v>395</v>
      </c>
      <c r="J1155">
        <v>1983</v>
      </c>
      <c r="K1155" s="4">
        <v>44857</v>
      </c>
      <c r="L1155" t="s">
        <v>26</v>
      </c>
      <c r="M1155" t="s">
        <v>31</v>
      </c>
      <c r="N1155">
        <v>2.54</v>
      </c>
      <c r="O1155">
        <v>2113</v>
      </c>
      <c r="P1155">
        <v>2.5</v>
      </c>
      <c r="Q1155">
        <v>85</v>
      </c>
      <c r="R1155">
        <v>556</v>
      </c>
    </row>
    <row r="1156" spans="1:18" x14ac:dyDescent="0.2">
      <c r="A1156">
        <v>3</v>
      </c>
      <c r="B1156" t="s">
        <v>28</v>
      </c>
      <c r="E1156" t="s">
        <v>51</v>
      </c>
      <c r="F1156">
        <v>448283</v>
      </c>
      <c r="G1156">
        <v>2</v>
      </c>
      <c r="H1156">
        <v>3</v>
      </c>
      <c r="I1156">
        <v>730</v>
      </c>
      <c r="J1156">
        <v>1954</v>
      </c>
      <c r="K1156" s="4">
        <v>45505</v>
      </c>
      <c r="L1156" t="s">
        <v>30</v>
      </c>
      <c r="M1156" t="s">
        <v>27</v>
      </c>
      <c r="N1156">
        <v>1.63</v>
      </c>
      <c r="O1156">
        <v>1598</v>
      </c>
      <c r="P1156">
        <v>4.3099999999999996</v>
      </c>
      <c r="Q1156">
        <v>72</v>
      </c>
      <c r="R1156">
        <v>502</v>
      </c>
    </row>
    <row r="1157" spans="1:18" x14ac:dyDescent="0.2">
      <c r="A1157">
        <v>5</v>
      </c>
      <c r="B1157" t="s">
        <v>80</v>
      </c>
      <c r="E1157" t="s">
        <v>29</v>
      </c>
      <c r="F1157">
        <v>1938745</v>
      </c>
      <c r="G1157">
        <v>3</v>
      </c>
      <c r="H1157">
        <v>3</v>
      </c>
      <c r="I1157">
        <v>170</v>
      </c>
      <c r="J1157">
        <v>2003</v>
      </c>
      <c r="K1157" s="4">
        <v>44098</v>
      </c>
      <c r="L1157" t="s">
        <v>20</v>
      </c>
      <c r="M1157" t="s">
        <v>47</v>
      </c>
      <c r="N1157">
        <v>2.09</v>
      </c>
      <c r="O1157">
        <v>1876</v>
      </c>
      <c r="P1157">
        <v>0.27</v>
      </c>
      <c r="Q1157">
        <v>158</v>
      </c>
      <c r="R1157">
        <v>466</v>
      </c>
    </row>
    <row r="1158" spans="1:18" x14ac:dyDescent="0.2">
      <c r="A1158">
        <v>4</v>
      </c>
      <c r="B1158" t="s">
        <v>39</v>
      </c>
      <c r="E1158" t="s">
        <v>51</v>
      </c>
      <c r="F1158">
        <v>1774322</v>
      </c>
      <c r="G1158">
        <v>5</v>
      </c>
      <c r="H1158">
        <v>2</v>
      </c>
      <c r="I1158">
        <v>923</v>
      </c>
      <c r="J1158">
        <v>1966</v>
      </c>
      <c r="K1158" s="4">
        <v>45564</v>
      </c>
      <c r="L1158" t="s">
        <v>26</v>
      </c>
      <c r="M1158" t="s">
        <v>63</v>
      </c>
      <c r="N1158">
        <v>2.5</v>
      </c>
      <c r="O1158">
        <v>1513</v>
      </c>
      <c r="P1158">
        <v>3.99</v>
      </c>
      <c r="Q1158">
        <v>367</v>
      </c>
      <c r="R1158">
        <v>423</v>
      </c>
    </row>
    <row r="1159" spans="1:18" x14ac:dyDescent="0.2">
      <c r="A1159">
        <v>7</v>
      </c>
      <c r="B1159" t="s">
        <v>38</v>
      </c>
      <c r="E1159" t="s">
        <v>19</v>
      </c>
      <c r="F1159">
        <v>941591</v>
      </c>
      <c r="G1159">
        <v>3</v>
      </c>
      <c r="H1159">
        <v>2</v>
      </c>
      <c r="I1159">
        <v>601</v>
      </c>
      <c r="J1159">
        <v>1975</v>
      </c>
      <c r="K1159" s="4">
        <v>45100</v>
      </c>
      <c r="L1159" t="s">
        <v>20</v>
      </c>
      <c r="M1159" t="s">
        <v>45</v>
      </c>
      <c r="N1159">
        <v>2.35</v>
      </c>
      <c r="O1159">
        <v>2225</v>
      </c>
      <c r="P1159">
        <v>1.46</v>
      </c>
      <c r="Q1159">
        <v>205</v>
      </c>
      <c r="R1159">
        <v>504</v>
      </c>
    </row>
    <row r="1160" spans="1:18" x14ac:dyDescent="0.2">
      <c r="A1160">
        <v>1</v>
      </c>
      <c r="B1160" t="s">
        <v>61</v>
      </c>
      <c r="E1160" t="s">
        <v>36</v>
      </c>
      <c r="F1160">
        <v>646466</v>
      </c>
      <c r="G1160">
        <v>1</v>
      </c>
      <c r="H1160">
        <v>2</v>
      </c>
      <c r="I1160">
        <v>730</v>
      </c>
      <c r="J1160">
        <v>1952</v>
      </c>
      <c r="K1160" s="4">
        <v>45248</v>
      </c>
      <c r="L1160" t="s">
        <v>23</v>
      </c>
      <c r="M1160" t="s">
        <v>66</v>
      </c>
      <c r="N1160">
        <v>3.38</v>
      </c>
      <c r="O1160">
        <v>1424</v>
      </c>
      <c r="P1160">
        <v>2.6</v>
      </c>
      <c r="Q1160">
        <v>122</v>
      </c>
      <c r="R1160">
        <v>510</v>
      </c>
    </row>
    <row r="1161" spans="1:18" x14ac:dyDescent="0.2">
      <c r="A1161">
        <v>4</v>
      </c>
      <c r="B1161" t="s">
        <v>102</v>
      </c>
      <c r="E1161" t="s">
        <v>29</v>
      </c>
      <c r="F1161">
        <v>2870439</v>
      </c>
      <c r="G1161">
        <v>5</v>
      </c>
      <c r="H1161">
        <v>2</v>
      </c>
      <c r="I1161">
        <v>817</v>
      </c>
      <c r="J1161">
        <v>1971</v>
      </c>
      <c r="K1161" s="4">
        <v>45391</v>
      </c>
      <c r="L1161" t="s">
        <v>30</v>
      </c>
      <c r="M1161" t="s">
        <v>77</v>
      </c>
      <c r="N1161">
        <v>3.47</v>
      </c>
      <c r="O1161">
        <v>1655</v>
      </c>
      <c r="P1161">
        <v>4.96</v>
      </c>
      <c r="Q1161">
        <v>388</v>
      </c>
      <c r="R1161">
        <v>602</v>
      </c>
    </row>
    <row r="1162" spans="1:18" x14ac:dyDescent="0.2">
      <c r="A1162">
        <v>9</v>
      </c>
      <c r="B1162" t="s">
        <v>46</v>
      </c>
      <c r="E1162" t="s">
        <v>19</v>
      </c>
      <c r="F1162">
        <v>992472</v>
      </c>
      <c r="G1162">
        <v>3</v>
      </c>
      <c r="H1162">
        <v>3</v>
      </c>
      <c r="I1162">
        <v>820</v>
      </c>
      <c r="J1162">
        <v>1995</v>
      </c>
      <c r="K1162" s="4">
        <v>45800</v>
      </c>
      <c r="L1162" t="s">
        <v>20</v>
      </c>
      <c r="M1162" t="s">
        <v>58</v>
      </c>
      <c r="N1162">
        <v>1.5</v>
      </c>
      <c r="O1162">
        <v>2240</v>
      </c>
      <c r="P1162">
        <v>0.19</v>
      </c>
      <c r="Q1162">
        <v>195</v>
      </c>
      <c r="R1162">
        <v>494</v>
      </c>
    </row>
    <row r="1163" spans="1:18" x14ac:dyDescent="0.2">
      <c r="A1163">
        <v>3</v>
      </c>
      <c r="B1163" t="s">
        <v>43</v>
      </c>
      <c r="E1163" t="s">
        <v>51</v>
      </c>
      <c r="F1163">
        <v>1488296</v>
      </c>
      <c r="G1163">
        <v>4</v>
      </c>
      <c r="H1163">
        <v>2</v>
      </c>
      <c r="I1163">
        <v>960</v>
      </c>
      <c r="J1163">
        <v>1970</v>
      </c>
      <c r="K1163" s="4">
        <v>45232</v>
      </c>
      <c r="L1163" t="s">
        <v>26</v>
      </c>
      <c r="M1163" t="s">
        <v>70</v>
      </c>
      <c r="N1163">
        <v>3.28</v>
      </c>
      <c r="O1163">
        <v>2051</v>
      </c>
      <c r="P1163">
        <v>4.9800000000000004</v>
      </c>
      <c r="Q1163">
        <v>399</v>
      </c>
      <c r="R1163">
        <v>326</v>
      </c>
    </row>
    <row r="1164" spans="1:18" x14ac:dyDescent="0.2">
      <c r="A1164">
        <v>7</v>
      </c>
      <c r="B1164" t="s">
        <v>62</v>
      </c>
      <c r="E1164" t="s">
        <v>29</v>
      </c>
      <c r="F1164">
        <v>2272938</v>
      </c>
      <c r="G1164">
        <v>2</v>
      </c>
      <c r="H1164">
        <v>3</v>
      </c>
      <c r="I1164">
        <v>748</v>
      </c>
      <c r="J1164">
        <v>1965</v>
      </c>
      <c r="K1164" s="4">
        <v>44206</v>
      </c>
      <c r="L1164" t="s">
        <v>26</v>
      </c>
      <c r="M1164" t="s">
        <v>24</v>
      </c>
      <c r="N1164">
        <v>1.57</v>
      </c>
      <c r="O1164">
        <v>2458</v>
      </c>
      <c r="P1164">
        <v>1.49</v>
      </c>
      <c r="Q1164">
        <v>119</v>
      </c>
      <c r="R1164">
        <v>422</v>
      </c>
    </row>
    <row r="1165" spans="1:18" x14ac:dyDescent="0.2">
      <c r="A1165">
        <v>3</v>
      </c>
      <c r="B1165" t="s">
        <v>43</v>
      </c>
      <c r="E1165" t="s">
        <v>36</v>
      </c>
      <c r="F1165">
        <v>464951</v>
      </c>
      <c r="G1165">
        <v>2</v>
      </c>
      <c r="H1165">
        <v>2</v>
      </c>
      <c r="I1165">
        <v>716</v>
      </c>
      <c r="J1165">
        <v>1999</v>
      </c>
      <c r="K1165" s="4">
        <v>45379</v>
      </c>
      <c r="L1165" t="s">
        <v>20</v>
      </c>
      <c r="M1165" t="s">
        <v>66</v>
      </c>
      <c r="N1165">
        <v>1.68</v>
      </c>
      <c r="O1165">
        <v>1590</v>
      </c>
      <c r="P1165">
        <v>0.27</v>
      </c>
      <c r="Q1165">
        <v>233</v>
      </c>
      <c r="R1165">
        <v>386</v>
      </c>
    </row>
    <row r="1166" spans="1:18" x14ac:dyDescent="0.2">
      <c r="A1166">
        <v>6</v>
      </c>
      <c r="B1166" t="s">
        <v>95</v>
      </c>
      <c r="E1166" t="s">
        <v>19</v>
      </c>
      <c r="F1166">
        <v>545048</v>
      </c>
      <c r="G1166">
        <v>3</v>
      </c>
      <c r="H1166">
        <v>1</v>
      </c>
      <c r="I1166">
        <v>980</v>
      </c>
      <c r="J1166">
        <v>1955</v>
      </c>
      <c r="K1166" s="4">
        <v>44579</v>
      </c>
      <c r="L1166" t="s">
        <v>26</v>
      </c>
      <c r="M1166" t="s">
        <v>21</v>
      </c>
      <c r="N1166">
        <v>2.8</v>
      </c>
      <c r="O1166">
        <v>1217</v>
      </c>
      <c r="P1166">
        <v>0.98</v>
      </c>
      <c r="Q1166">
        <v>231</v>
      </c>
      <c r="R1166">
        <v>572</v>
      </c>
    </row>
    <row r="1167" spans="1:18" x14ac:dyDescent="0.2">
      <c r="A1167">
        <v>7</v>
      </c>
      <c r="B1167" t="s">
        <v>32</v>
      </c>
      <c r="E1167" t="s">
        <v>29</v>
      </c>
      <c r="F1167">
        <v>1068959</v>
      </c>
      <c r="G1167">
        <v>6</v>
      </c>
      <c r="H1167">
        <v>1</v>
      </c>
      <c r="I1167">
        <v>267</v>
      </c>
      <c r="J1167">
        <v>1996</v>
      </c>
      <c r="K1167" s="4">
        <v>45640</v>
      </c>
      <c r="L1167" t="s">
        <v>30</v>
      </c>
      <c r="M1167" t="s">
        <v>89</v>
      </c>
      <c r="N1167">
        <v>2.0299999999999998</v>
      </c>
      <c r="O1167">
        <v>2119</v>
      </c>
      <c r="P1167">
        <v>1.98</v>
      </c>
      <c r="Q1167">
        <v>353</v>
      </c>
      <c r="R1167">
        <v>320</v>
      </c>
    </row>
    <row r="1168" spans="1:18" x14ac:dyDescent="0.2">
      <c r="A1168">
        <v>8</v>
      </c>
      <c r="B1168" t="s">
        <v>73</v>
      </c>
      <c r="E1168" t="s">
        <v>29</v>
      </c>
      <c r="F1168">
        <v>1208118</v>
      </c>
      <c r="G1168">
        <v>1</v>
      </c>
      <c r="H1168">
        <v>1</v>
      </c>
      <c r="I1168">
        <v>668</v>
      </c>
      <c r="J1168">
        <v>1984</v>
      </c>
      <c r="K1168" s="4">
        <v>45611</v>
      </c>
      <c r="L1168" t="s">
        <v>26</v>
      </c>
      <c r="M1168" t="s">
        <v>56</v>
      </c>
      <c r="N1168">
        <v>3.41</v>
      </c>
      <c r="O1168">
        <v>899</v>
      </c>
      <c r="P1168">
        <v>2.37</v>
      </c>
      <c r="Q1168">
        <v>46</v>
      </c>
      <c r="R1168">
        <v>335</v>
      </c>
    </row>
    <row r="1169" spans="1:18" x14ac:dyDescent="0.2">
      <c r="A1169">
        <v>3</v>
      </c>
      <c r="B1169" t="s">
        <v>50</v>
      </c>
      <c r="E1169" t="s">
        <v>51</v>
      </c>
      <c r="F1169">
        <v>1634221</v>
      </c>
      <c r="G1169">
        <v>2</v>
      </c>
      <c r="H1169">
        <v>3</v>
      </c>
      <c r="I1169">
        <v>264</v>
      </c>
      <c r="J1169">
        <v>2015</v>
      </c>
      <c r="K1169" s="4">
        <v>44817</v>
      </c>
      <c r="L1169" t="s">
        <v>20</v>
      </c>
      <c r="M1169" t="s">
        <v>24</v>
      </c>
      <c r="N1169">
        <v>3.45</v>
      </c>
      <c r="O1169">
        <v>1235</v>
      </c>
      <c r="P1169">
        <v>2</v>
      </c>
      <c r="Q1169">
        <v>152</v>
      </c>
      <c r="R1169">
        <v>628</v>
      </c>
    </row>
    <row r="1170" spans="1:18" x14ac:dyDescent="0.2">
      <c r="A1170">
        <v>0</v>
      </c>
      <c r="B1170" t="s">
        <v>94</v>
      </c>
      <c r="E1170" t="s">
        <v>29</v>
      </c>
      <c r="F1170">
        <v>1126969</v>
      </c>
      <c r="G1170">
        <v>4</v>
      </c>
      <c r="H1170">
        <v>2</v>
      </c>
      <c r="I1170">
        <v>73</v>
      </c>
      <c r="J1170">
        <v>1970</v>
      </c>
      <c r="K1170" s="4">
        <v>44594</v>
      </c>
      <c r="L1170" t="s">
        <v>26</v>
      </c>
      <c r="M1170" t="s">
        <v>24</v>
      </c>
      <c r="N1170">
        <v>3.2</v>
      </c>
      <c r="O1170">
        <v>1506</v>
      </c>
      <c r="P1170">
        <v>2.85</v>
      </c>
      <c r="Q1170">
        <v>255</v>
      </c>
      <c r="R1170">
        <v>305</v>
      </c>
    </row>
    <row r="1171" spans="1:18" x14ac:dyDescent="0.2">
      <c r="A1171">
        <v>2</v>
      </c>
      <c r="B1171" t="s">
        <v>104</v>
      </c>
      <c r="E1171" t="s">
        <v>36</v>
      </c>
      <c r="F1171">
        <v>869033</v>
      </c>
      <c r="G1171">
        <v>5</v>
      </c>
      <c r="H1171">
        <v>1</v>
      </c>
      <c r="I1171">
        <v>480</v>
      </c>
      <c r="J1171">
        <v>1985</v>
      </c>
      <c r="K1171" s="4">
        <v>44304</v>
      </c>
      <c r="L1171" t="s">
        <v>23</v>
      </c>
      <c r="M1171" t="s">
        <v>78</v>
      </c>
      <c r="N1171">
        <v>2.44</v>
      </c>
      <c r="O1171">
        <v>1530</v>
      </c>
      <c r="P1171">
        <v>0.9</v>
      </c>
      <c r="Q1171">
        <v>333</v>
      </c>
      <c r="R1171">
        <v>595</v>
      </c>
    </row>
    <row r="1172" spans="1:18" x14ac:dyDescent="0.2">
      <c r="A1172">
        <v>0</v>
      </c>
      <c r="B1172" t="s">
        <v>50</v>
      </c>
      <c r="E1172" t="s">
        <v>19</v>
      </c>
      <c r="F1172">
        <v>2965367</v>
      </c>
      <c r="G1172">
        <v>3</v>
      </c>
      <c r="H1172">
        <v>2</v>
      </c>
      <c r="I1172">
        <v>695</v>
      </c>
      <c r="J1172">
        <v>2014</v>
      </c>
      <c r="K1172" s="4">
        <v>44983</v>
      </c>
      <c r="L1172" t="s">
        <v>20</v>
      </c>
      <c r="M1172" t="s">
        <v>37</v>
      </c>
      <c r="N1172">
        <v>3.24</v>
      </c>
      <c r="O1172">
        <v>1367</v>
      </c>
      <c r="P1172">
        <v>1.1399999999999999</v>
      </c>
      <c r="Q1172">
        <v>119</v>
      </c>
      <c r="R1172">
        <v>411</v>
      </c>
    </row>
    <row r="1173" spans="1:18" x14ac:dyDescent="0.2">
      <c r="A1173">
        <v>9</v>
      </c>
      <c r="B1173" t="s">
        <v>94</v>
      </c>
      <c r="E1173" t="s">
        <v>29</v>
      </c>
      <c r="F1173">
        <v>1981568</v>
      </c>
      <c r="G1173">
        <v>5</v>
      </c>
      <c r="H1173">
        <v>3</v>
      </c>
      <c r="I1173">
        <v>586</v>
      </c>
      <c r="J1173">
        <v>1957</v>
      </c>
      <c r="K1173" s="4">
        <v>44510</v>
      </c>
      <c r="L1173" t="s">
        <v>23</v>
      </c>
      <c r="M1173" t="s">
        <v>45</v>
      </c>
      <c r="N1173">
        <v>2.19</v>
      </c>
      <c r="O1173">
        <v>1174</v>
      </c>
      <c r="P1173">
        <v>1.68</v>
      </c>
      <c r="Q1173">
        <v>383</v>
      </c>
      <c r="R1173">
        <v>463</v>
      </c>
    </row>
    <row r="1174" spans="1:18" x14ac:dyDescent="0.2">
      <c r="A1174">
        <v>6</v>
      </c>
      <c r="B1174" t="s">
        <v>100</v>
      </c>
      <c r="E1174" t="s">
        <v>19</v>
      </c>
      <c r="F1174">
        <v>906647</v>
      </c>
      <c r="G1174">
        <v>2</v>
      </c>
      <c r="H1174">
        <v>3</v>
      </c>
      <c r="I1174">
        <v>312</v>
      </c>
      <c r="J1174">
        <v>2010</v>
      </c>
      <c r="K1174" s="4">
        <v>45391</v>
      </c>
      <c r="L1174" t="s">
        <v>23</v>
      </c>
      <c r="M1174" t="s">
        <v>76</v>
      </c>
      <c r="N1174">
        <v>3.12</v>
      </c>
      <c r="O1174">
        <v>1957</v>
      </c>
      <c r="P1174">
        <v>4.75</v>
      </c>
      <c r="Q1174">
        <v>118</v>
      </c>
      <c r="R1174">
        <v>321</v>
      </c>
    </row>
    <row r="1175" spans="1:18" x14ac:dyDescent="0.2">
      <c r="A1175">
        <v>2</v>
      </c>
      <c r="B1175" t="s">
        <v>104</v>
      </c>
      <c r="E1175" t="s">
        <v>19</v>
      </c>
      <c r="F1175">
        <v>2883216</v>
      </c>
      <c r="G1175">
        <v>2</v>
      </c>
      <c r="H1175">
        <v>2</v>
      </c>
      <c r="I1175">
        <v>543</v>
      </c>
      <c r="J1175">
        <v>2014</v>
      </c>
      <c r="K1175" s="4">
        <v>45244</v>
      </c>
      <c r="L1175" t="s">
        <v>20</v>
      </c>
      <c r="M1175" t="s">
        <v>42</v>
      </c>
      <c r="N1175">
        <v>2.38</v>
      </c>
      <c r="O1175">
        <v>1591</v>
      </c>
      <c r="P1175">
        <v>0.72</v>
      </c>
      <c r="Q1175">
        <v>231</v>
      </c>
      <c r="R1175">
        <v>319</v>
      </c>
    </row>
    <row r="1176" spans="1:18" x14ac:dyDescent="0.2">
      <c r="A1176">
        <v>1</v>
      </c>
      <c r="B1176" t="s">
        <v>46</v>
      </c>
      <c r="E1176" t="s">
        <v>29</v>
      </c>
      <c r="F1176">
        <v>2097973</v>
      </c>
      <c r="G1176">
        <v>5</v>
      </c>
      <c r="H1176">
        <v>1</v>
      </c>
      <c r="I1176">
        <v>494</v>
      </c>
      <c r="J1176">
        <v>1958</v>
      </c>
      <c r="K1176" s="4">
        <v>45406</v>
      </c>
      <c r="L1176" t="s">
        <v>23</v>
      </c>
      <c r="M1176" t="s">
        <v>63</v>
      </c>
      <c r="N1176">
        <v>3.22</v>
      </c>
      <c r="O1176">
        <v>1331</v>
      </c>
      <c r="P1176">
        <v>3.86</v>
      </c>
      <c r="Q1176">
        <v>381</v>
      </c>
      <c r="R1176">
        <v>528</v>
      </c>
    </row>
    <row r="1177" spans="1:18" x14ac:dyDescent="0.2">
      <c r="A1177">
        <v>4</v>
      </c>
      <c r="B1177" t="s">
        <v>91</v>
      </c>
      <c r="E1177" t="s">
        <v>19</v>
      </c>
      <c r="F1177">
        <v>584891</v>
      </c>
      <c r="G1177">
        <v>3</v>
      </c>
      <c r="H1177">
        <v>1</v>
      </c>
      <c r="I1177">
        <v>117</v>
      </c>
      <c r="J1177">
        <v>2005</v>
      </c>
      <c r="K1177" s="4">
        <v>44867</v>
      </c>
      <c r="L1177" t="s">
        <v>30</v>
      </c>
      <c r="M1177" t="s">
        <v>56</v>
      </c>
      <c r="N1177">
        <v>1.81</v>
      </c>
      <c r="O1177">
        <v>1371</v>
      </c>
      <c r="P1177">
        <v>4.51</v>
      </c>
      <c r="Q1177">
        <v>142</v>
      </c>
      <c r="R1177">
        <v>665</v>
      </c>
    </row>
    <row r="1178" spans="1:18" x14ac:dyDescent="0.2">
      <c r="A1178">
        <v>2</v>
      </c>
      <c r="B1178" t="s">
        <v>73</v>
      </c>
      <c r="E1178" t="s">
        <v>51</v>
      </c>
      <c r="F1178">
        <v>2768621</v>
      </c>
      <c r="G1178">
        <v>4</v>
      </c>
      <c r="H1178">
        <v>3</v>
      </c>
      <c r="I1178">
        <v>250</v>
      </c>
      <c r="J1178">
        <v>1990</v>
      </c>
      <c r="K1178" s="4">
        <v>44601</v>
      </c>
      <c r="L1178" t="s">
        <v>30</v>
      </c>
      <c r="M1178" t="s">
        <v>52</v>
      </c>
      <c r="N1178">
        <v>2.0499999999999998</v>
      </c>
      <c r="O1178">
        <v>1221</v>
      </c>
      <c r="P1178">
        <v>2.79</v>
      </c>
      <c r="Q1178">
        <v>214</v>
      </c>
      <c r="R1178">
        <v>418</v>
      </c>
    </row>
    <row r="1179" spans="1:18" x14ac:dyDescent="0.2">
      <c r="A1179">
        <v>6</v>
      </c>
      <c r="B1179" t="s">
        <v>98</v>
      </c>
      <c r="E1179" t="s">
        <v>29</v>
      </c>
      <c r="F1179">
        <v>2384301</v>
      </c>
      <c r="G1179">
        <v>2</v>
      </c>
      <c r="H1179">
        <v>3</v>
      </c>
      <c r="I1179">
        <v>912</v>
      </c>
      <c r="J1179">
        <v>2005</v>
      </c>
      <c r="K1179" s="4">
        <v>45469</v>
      </c>
      <c r="L1179" t="s">
        <v>23</v>
      </c>
      <c r="M1179" t="s">
        <v>42</v>
      </c>
      <c r="N1179">
        <v>2.4500000000000002</v>
      </c>
      <c r="O1179">
        <v>1982</v>
      </c>
      <c r="P1179">
        <v>0.61</v>
      </c>
      <c r="Q1179">
        <v>188</v>
      </c>
      <c r="R1179">
        <v>505</v>
      </c>
    </row>
    <row r="1180" spans="1:18" x14ac:dyDescent="0.2">
      <c r="A1180">
        <v>1</v>
      </c>
      <c r="B1180" t="s">
        <v>41</v>
      </c>
      <c r="E1180" t="s">
        <v>36</v>
      </c>
      <c r="F1180">
        <v>1775498</v>
      </c>
      <c r="G1180">
        <v>2</v>
      </c>
      <c r="H1180">
        <v>1</v>
      </c>
      <c r="I1180">
        <v>86</v>
      </c>
      <c r="J1180">
        <v>1955</v>
      </c>
      <c r="K1180" s="4">
        <v>45550</v>
      </c>
      <c r="L1180" t="s">
        <v>23</v>
      </c>
      <c r="M1180" t="s">
        <v>31</v>
      </c>
      <c r="N1180">
        <v>3.07</v>
      </c>
      <c r="O1180">
        <v>1633</v>
      </c>
      <c r="P1180">
        <v>2.12</v>
      </c>
      <c r="Q1180">
        <v>210</v>
      </c>
      <c r="R1180">
        <v>605</v>
      </c>
    </row>
    <row r="1181" spans="1:18" x14ac:dyDescent="0.2">
      <c r="A1181">
        <v>4</v>
      </c>
      <c r="B1181" t="s">
        <v>102</v>
      </c>
      <c r="E1181" t="s">
        <v>29</v>
      </c>
      <c r="F1181">
        <v>1191602</v>
      </c>
      <c r="G1181">
        <v>3</v>
      </c>
      <c r="H1181">
        <v>1</v>
      </c>
      <c r="I1181">
        <v>595</v>
      </c>
      <c r="J1181">
        <v>1959</v>
      </c>
      <c r="K1181" s="4">
        <v>45343</v>
      </c>
      <c r="L1181" t="s">
        <v>20</v>
      </c>
      <c r="M1181" t="s">
        <v>77</v>
      </c>
      <c r="N1181">
        <v>2.78</v>
      </c>
      <c r="O1181">
        <v>862</v>
      </c>
      <c r="P1181">
        <v>4.6900000000000004</v>
      </c>
      <c r="Q1181">
        <v>225</v>
      </c>
      <c r="R1181">
        <v>692</v>
      </c>
    </row>
    <row r="1182" spans="1:18" x14ac:dyDescent="0.2">
      <c r="A1182">
        <v>4</v>
      </c>
      <c r="B1182" t="s">
        <v>46</v>
      </c>
      <c r="E1182" t="s">
        <v>29</v>
      </c>
      <c r="F1182">
        <v>2421524</v>
      </c>
      <c r="G1182">
        <v>5</v>
      </c>
      <c r="H1182">
        <v>1</v>
      </c>
      <c r="I1182">
        <v>770</v>
      </c>
      <c r="J1182">
        <v>2001</v>
      </c>
      <c r="K1182" s="4">
        <v>45128</v>
      </c>
      <c r="L1182" t="s">
        <v>23</v>
      </c>
      <c r="M1182" t="s">
        <v>77</v>
      </c>
      <c r="N1182">
        <v>1.85</v>
      </c>
      <c r="O1182">
        <v>1830</v>
      </c>
      <c r="P1182">
        <v>4.3600000000000003</v>
      </c>
      <c r="Q1182">
        <v>343</v>
      </c>
      <c r="R1182">
        <v>644</v>
      </c>
    </row>
    <row r="1183" spans="1:18" x14ac:dyDescent="0.2">
      <c r="A1183">
        <v>1</v>
      </c>
      <c r="B1183" t="s">
        <v>88</v>
      </c>
      <c r="E1183" t="s">
        <v>51</v>
      </c>
      <c r="F1183">
        <v>840268</v>
      </c>
      <c r="G1183">
        <v>4</v>
      </c>
      <c r="H1183">
        <v>2</v>
      </c>
      <c r="I1183">
        <v>881</v>
      </c>
      <c r="J1183">
        <v>1973</v>
      </c>
      <c r="K1183" s="4">
        <v>45859</v>
      </c>
      <c r="L1183" t="s">
        <v>26</v>
      </c>
      <c r="M1183" t="s">
        <v>63</v>
      </c>
      <c r="N1183">
        <v>3.16</v>
      </c>
      <c r="O1183">
        <v>856</v>
      </c>
      <c r="P1183">
        <v>3.57</v>
      </c>
      <c r="Q1183">
        <v>287</v>
      </c>
      <c r="R1183">
        <v>540</v>
      </c>
    </row>
    <row r="1184" spans="1:18" x14ac:dyDescent="0.2">
      <c r="A1184">
        <v>8</v>
      </c>
      <c r="B1184" t="s">
        <v>86</v>
      </c>
      <c r="E1184" t="s">
        <v>36</v>
      </c>
      <c r="F1184">
        <v>1840949</v>
      </c>
      <c r="G1184">
        <v>2</v>
      </c>
      <c r="H1184">
        <v>3</v>
      </c>
      <c r="I1184">
        <v>99</v>
      </c>
      <c r="J1184">
        <v>2005</v>
      </c>
      <c r="K1184" s="4">
        <v>45706</v>
      </c>
      <c r="L1184" t="s">
        <v>20</v>
      </c>
      <c r="M1184" t="s">
        <v>66</v>
      </c>
      <c r="N1184">
        <v>1.94</v>
      </c>
      <c r="O1184">
        <v>2210</v>
      </c>
      <c r="P1184">
        <v>1.54</v>
      </c>
      <c r="Q1184">
        <v>177</v>
      </c>
      <c r="R1184">
        <v>577</v>
      </c>
    </row>
    <row r="1185" spans="1:18" x14ac:dyDescent="0.2">
      <c r="A1185">
        <v>8</v>
      </c>
      <c r="B1185" t="s">
        <v>102</v>
      </c>
      <c r="E1185" t="s">
        <v>19</v>
      </c>
      <c r="F1185">
        <v>879288</v>
      </c>
      <c r="G1185">
        <v>6</v>
      </c>
      <c r="H1185">
        <v>1</v>
      </c>
      <c r="I1185">
        <v>580</v>
      </c>
      <c r="J1185">
        <v>2016</v>
      </c>
      <c r="K1185" s="4">
        <v>45064</v>
      </c>
      <c r="L1185" t="s">
        <v>23</v>
      </c>
      <c r="M1185" t="s">
        <v>59</v>
      </c>
      <c r="N1185">
        <v>2.25</v>
      </c>
      <c r="O1185">
        <v>1846</v>
      </c>
      <c r="P1185">
        <v>4.91</v>
      </c>
      <c r="Q1185">
        <v>397</v>
      </c>
      <c r="R1185">
        <v>675</v>
      </c>
    </row>
    <row r="1186" spans="1:18" x14ac:dyDescent="0.2">
      <c r="A1186">
        <v>8</v>
      </c>
      <c r="B1186" t="s">
        <v>22</v>
      </c>
      <c r="E1186" t="s">
        <v>19</v>
      </c>
      <c r="F1186">
        <v>1234229</v>
      </c>
      <c r="G1186">
        <v>3</v>
      </c>
      <c r="H1186">
        <v>1</v>
      </c>
      <c r="I1186">
        <v>645</v>
      </c>
      <c r="J1186">
        <v>1952</v>
      </c>
      <c r="K1186" s="4">
        <v>44165</v>
      </c>
      <c r="L1186" t="s">
        <v>30</v>
      </c>
      <c r="M1186" t="s">
        <v>47</v>
      </c>
      <c r="N1186">
        <v>1.52</v>
      </c>
      <c r="O1186">
        <v>1632</v>
      </c>
      <c r="P1186">
        <v>4.6500000000000004</v>
      </c>
      <c r="Q1186">
        <v>114</v>
      </c>
      <c r="R1186">
        <v>453</v>
      </c>
    </row>
    <row r="1187" spans="1:18" x14ac:dyDescent="0.2">
      <c r="A1187">
        <v>3</v>
      </c>
      <c r="B1187" t="s">
        <v>98</v>
      </c>
      <c r="E1187" t="s">
        <v>103</v>
      </c>
      <c r="F1187">
        <v>834413</v>
      </c>
      <c r="G1187">
        <v>3</v>
      </c>
      <c r="H1187">
        <v>2</v>
      </c>
      <c r="I1187">
        <v>723</v>
      </c>
      <c r="J1187">
        <v>2009</v>
      </c>
      <c r="K1187" s="4">
        <v>44469</v>
      </c>
      <c r="L1187" t="s">
        <v>20</v>
      </c>
      <c r="M1187" t="s">
        <v>85</v>
      </c>
      <c r="N1187">
        <v>3.4</v>
      </c>
      <c r="O1187">
        <v>1899</v>
      </c>
      <c r="P1187">
        <v>2.08</v>
      </c>
      <c r="Q1187">
        <v>225</v>
      </c>
      <c r="R1187">
        <v>558</v>
      </c>
    </row>
    <row r="1188" spans="1:18" x14ac:dyDescent="0.2">
      <c r="A1188">
        <v>3</v>
      </c>
      <c r="B1188" t="s">
        <v>75</v>
      </c>
      <c r="E1188" t="s">
        <v>51</v>
      </c>
      <c r="F1188">
        <v>794337</v>
      </c>
      <c r="G1188">
        <v>2</v>
      </c>
      <c r="H1188">
        <v>1</v>
      </c>
      <c r="I1188">
        <v>656</v>
      </c>
      <c r="J1188">
        <v>1983</v>
      </c>
      <c r="K1188" s="4">
        <v>45520</v>
      </c>
      <c r="L1188" t="s">
        <v>26</v>
      </c>
      <c r="M1188" t="s">
        <v>78</v>
      </c>
      <c r="N1188">
        <v>3.44</v>
      </c>
      <c r="O1188">
        <v>1728</v>
      </c>
      <c r="P1188">
        <v>2.73</v>
      </c>
      <c r="Q1188">
        <v>157</v>
      </c>
      <c r="R1188">
        <v>315</v>
      </c>
    </row>
    <row r="1189" spans="1:18" x14ac:dyDescent="0.2">
      <c r="A1189">
        <v>8</v>
      </c>
      <c r="B1189" t="s">
        <v>98</v>
      </c>
      <c r="E1189" t="s">
        <v>36</v>
      </c>
      <c r="F1189">
        <v>1122563</v>
      </c>
      <c r="G1189">
        <v>3</v>
      </c>
      <c r="H1189">
        <v>1</v>
      </c>
      <c r="I1189">
        <v>674</v>
      </c>
      <c r="J1189">
        <v>1994</v>
      </c>
      <c r="K1189" s="4">
        <v>44634</v>
      </c>
      <c r="L1189" t="s">
        <v>26</v>
      </c>
      <c r="M1189" t="s">
        <v>74</v>
      </c>
      <c r="N1189">
        <v>3.37</v>
      </c>
      <c r="O1189">
        <v>2168</v>
      </c>
      <c r="P1189">
        <v>1.78</v>
      </c>
      <c r="Q1189">
        <v>253</v>
      </c>
      <c r="R1189">
        <v>649</v>
      </c>
    </row>
    <row r="1190" spans="1:18" x14ac:dyDescent="0.2">
      <c r="A1190">
        <v>2</v>
      </c>
      <c r="B1190" t="s">
        <v>102</v>
      </c>
      <c r="E1190" t="s">
        <v>36</v>
      </c>
      <c r="F1190">
        <v>2956357</v>
      </c>
      <c r="G1190">
        <v>3</v>
      </c>
      <c r="H1190">
        <v>1</v>
      </c>
      <c r="I1190">
        <v>719</v>
      </c>
      <c r="J1190">
        <v>1977</v>
      </c>
      <c r="K1190" s="4">
        <v>44400</v>
      </c>
      <c r="L1190" t="s">
        <v>23</v>
      </c>
      <c r="M1190" t="s">
        <v>27</v>
      </c>
      <c r="N1190">
        <v>2.76</v>
      </c>
      <c r="O1190">
        <v>1590</v>
      </c>
      <c r="P1190">
        <v>4</v>
      </c>
      <c r="Q1190">
        <v>124</v>
      </c>
      <c r="R1190">
        <v>607</v>
      </c>
    </row>
    <row r="1191" spans="1:18" x14ac:dyDescent="0.2">
      <c r="A1191">
        <v>4</v>
      </c>
      <c r="B1191" t="s">
        <v>46</v>
      </c>
      <c r="E1191" t="s">
        <v>51</v>
      </c>
      <c r="F1191">
        <v>1772528</v>
      </c>
      <c r="G1191">
        <v>3</v>
      </c>
      <c r="H1191">
        <v>3</v>
      </c>
      <c r="I1191">
        <v>846</v>
      </c>
      <c r="J1191">
        <v>1956</v>
      </c>
      <c r="K1191" s="4">
        <v>44754</v>
      </c>
      <c r="L1191" t="s">
        <v>23</v>
      </c>
      <c r="M1191" t="s">
        <v>82</v>
      </c>
      <c r="N1191">
        <v>2.4700000000000002</v>
      </c>
      <c r="O1191">
        <v>2330</v>
      </c>
      <c r="P1191">
        <v>2.69</v>
      </c>
      <c r="Q1191">
        <v>112</v>
      </c>
      <c r="R1191">
        <v>499</v>
      </c>
    </row>
    <row r="1192" spans="1:18" x14ac:dyDescent="0.2">
      <c r="A1192">
        <v>6</v>
      </c>
      <c r="B1192" t="s">
        <v>50</v>
      </c>
      <c r="E1192" t="s">
        <v>51</v>
      </c>
      <c r="F1192">
        <v>497688</v>
      </c>
      <c r="G1192">
        <v>2</v>
      </c>
      <c r="H1192">
        <v>2</v>
      </c>
      <c r="I1192">
        <v>205</v>
      </c>
      <c r="J1192">
        <v>1979</v>
      </c>
      <c r="K1192" s="4">
        <v>45689</v>
      </c>
      <c r="L1192" t="s">
        <v>23</v>
      </c>
      <c r="M1192" t="s">
        <v>68</v>
      </c>
      <c r="N1192">
        <v>3.05</v>
      </c>
      <c r="O1192">
        <v>1939</v>
      </c>
      <c r="P1192">
        <v>0.16</v>
      </c>
      <c r="Q1192">
        <v>222</v>
      </c>
      <c r="R1192">
        <v>433</v>
      </c>
    </row>
    <row r="1193" spans="1:18" x14ac:dyDescent="0.2">
      <c r="A1193">
        <v>5</v>
      </c>
      <c r="B1193" t="s">
        <v>53</v>
      </c>
      <c r="E1193" t="s">
        <v>51</v>
      </c>
      <c r="F1193">
        <v>1489797</v>
      </c>
      <c r="G1193">
        <v>5</v>
      </c>
      <c r="H1193">
        <v>3</v>
      </c>
      <c r="I1193">
        <v>297</v>
      </c>
      <c r="J1193">
        <v>1964</v>
      </c>
      <c r="K1193" s="4">
        <v>44816</v>
      </c>
      <c r="L1193" t="s">
        <v>30</v>
      </c>
      <c r="M1193" t="s">
        <v>85</v>
      </c>
      <c r="N1193">
        <v>3.07</v>
      </c>
      <c r="O1193">
        <v>1701</v>
      </c>
      <c r="P1193">
        <v>4.08</v>
      </c>
      <c r="Q1193">
        <v>361</v>
      </c>
      <c r="R1193">
        <v>495</v>
      </c>
    </row>
    <row r="1194" spans="1:18" x14ac:dyDescent="0.2">
      <c r="A1194">
        <v>9</v>
      </c>
      <c r="B1194" t="s">
        <v>96</v>
      </c>
      <c r="E1194" t="s">
        <v>29</v>
      </c>
      <c r="F1194">
        <v>2609204</v>
      </c>
      <c r="G1194">
        <v>4</v>
      </c>
      <c r="H1194">
        <v>2</v>
      </c>
      <c r="I1194">
        <v>271</v>
      </c>
      <c r="J1194">
        <v>1964</v>
      </c>
      <c r="K1194" s="4">
        <v>45086</v>
      </c>
      <c r="L1194" t="s">
        <v>20</v>
      </c>
      <c r="M1194" t="s">
        <v>78</v>
      </c>
      <c r="N1194">
        <v>2.3199999999999998</v>
      </c>
      <c r="O1194">
        <v>1850</v>
      </c>
      <c r="P1194">
        <v>1.96</v>
      </c>
      <c r="Q1194">
        <v>304</v>
      </c>
      <c r="R1194">
        <v>393</v>
      </c>
    </row>
    <row r="1195" spans="1:18" x14ac:dyDescent="0.2">
      <c r="A1195">
        <v>1</v>
      </c>
      <c r="B1195" t="s">
        <v>102</v>
      </c>
      <c r="E1195" t="s">
        <v>36</v>
      </c>
      <c r="F1195">
        <v>1035932</v>
      </c>
      <c r="G1195">
        <v>3</v>
      </c>
      <c r="H1195">
        <v>2</v>
      </c>
      <c r="I1195">
        <v>618</v>
      </c>
      <c r="J1195">
        <v>2016</v>
      </c>
      <c r="K1195" s="4">
        <v>44301</v>
      </c>
      <c r="L1195" t="s">
        <v>20</v>
      </c>
      <c r="M1195" t="s">
        <v>56</v>
      </c>
      <c r="N1195">
        <v>2.02</v>
      </c>
      <c r="O1195">
        <v>1675</v>
      </c>
      <c r="P1195">
        <v>3.73</v>
      </c>
      <c r="Q1195">
        <v>96</v>
      </c>
      <c r="R1195">
        <v>633</v>
      </c>
    </row>
    <row r="1196" spans="1:18" x14ac:dyDescent="0.2">
      <c r="A1196">
        <v>4</v>
      </c>
      <c r="B1196" t="s">
        <v>94</v>
      </c>
      <c r="E1196" t="s">
        <v>29</v>
      </c>
      <c r="F1196">
        <v>2035933</v>
      </c>
      <c r="G1196">
        <v>2</v>
      </c>
      <c r="H1196">
        <v>2</v>
      </c>
      <c r="I1196">
        <v>973</v>
      </c>
      <c r="J1196">
        <v>2011</v>
      </c>
      <c r="K1196" s="4">
        <v>45732</v>
      </c>
      <c r="L1196" t="s">
        <v>20</v>
      </c>
      <c r="M1196" t="s">
        <v>69</v>
      </c>
      <c r="N1196">
        <v>3.38</v>
      </c>
      <c r="O1196">
        <v>1834</v>
      </c>
      <c r="P1196">
        <v>1.99</v>
      </c>
      <c r="Q1196">
        <v>69</v>
      </c>
      <c r="R1196">
        <v>418</v>
      </c>
    </row>
    <row r="1197" spans="1:18" x14ac:dyDescent="0.2">
      <c r="A1197">
        <v>6</v>
      </c>
      <c r="B1197" t="s">
        <v>86</v>
      </c>
      <c r="E1197" t="s">
        <v>19</v>
      </c>
      <c r="F1197">
        <v>1316609</v>
      </c>
      <c r="G1197">
        <v>4</v>
      </c>
      <c r="H1197">
        <v>3</v>
      </c>
      <c r="I1197">
        <v>483</v>
      </c>
      <c r="J1197">
        <v>2007</v>
      </c>
      <c r="K1197" s="4">
        <v>45235</v>
      </c>
      <c r="L1197" t="s">
        <v>23</v>
      </c>
      <c r="M1197" t="s">
        <v>60</v>
      </c>
      <c r="N1197">
        <v>2.88</v>
      </c>
      <c r="O1197">
        <v>1771</v>
      </c>
      <c r="P1197">
        <v>3.55</v>
      </c>
      <c r="Q1197">
        <v>254</v>
      </c>
      <c r="R1197">
        <v>561</v>
      </c>
    </row>
    <row r="1198" spans="1:18" x14ac:dyDescent="0.2">
      <c r="A1198">
        <v>2</v>
      </c>
      <c r="B1198" t="s">
        <v>104</v>
      </c>
      <c r="E1198" t="s">
        <v>36</v>
      </c>
      <c r="F1198">
        <v>544951</v>
      </c>
      <c r="G1198">
        <v>4</v>
      </c>
      <c r="H1198">
        <v>1</v>
      </c>
      <c r="I1198">
        <v>537</v>
      </c>
      <c r="J1198">
        <v>1956</v>
      </c>
      <c r="K1198" s="4">
        <v>45457</v>
      </c>
      <c r="L1198" t="s">
        <v>30</v>
      </c>
      <c r="M1198" t="s">
        <v>89</v>
      </c>
      <c r="N1198">
        <v>3.15</v>
      </c>
      <c r="O1198">
        <v>2370</v>
      </c>
      <c r="P1198">
        <v>2.85</v>
      </c>
      <c r="Q1198">
        <v>169</v>
      </c>
      <c r="R1198">
        <v>469</v>
      </c>
    </row>
    <row r="1199" spans="1:18" x14ac:dyDescent="0.2">
      <c r="A1199">
        <v>1</v>
      </c>
      <c r="B1199" t="s">
        <v>95</v>
      </c>
      <c r="E1199" t="s">
        <v>36</v>
      </c>
      <c r="F1199">
        <v>1676826</v>
      </c>
      <c r="G1199">
        <v>1</v>
      </c>
      <c r="H1199">
        <v>3</v>
      </c>
      <c r="I1199">
        <v>653</v>
      </c>
      <c r="J1199">
        <v>1959</v>
      </c>
      <c r="K1199" s="4">
        <v>45257</v>
      </c>
      <c r="L1199" t="s">
        <v>26</v>
      </c>
      <c r="M1199" t="s">
        <v>60</v>
      </c>
      <c r="N1199">
        <v>2.2799999999999998</v>
      </c>
      <c r="O1199">
        <v>1839</v>
      </c>
      <c r="P1199">
        <v>3.89</v>
      </c>
      <c r="Q1199">
        <v>47</v>
      </c>
      <c r="R1199">
        <v>497</v>
      </c>
    </row>
    <row r="1200" spans="1:18" x14ac:dyDescent="0.2">
      <c r="A1200">
        <v>2</v>
      </c>
      <c r="B1200" t="s">
        <v>46</v>
      </c>
      <c r="E1200" t="s">
        <v>36</v>
      </c>
      <c r="F1200">
        <v>2868311</v>
      </c>
      <c r="G1200">
        <v>1</v>
      </c>
      <c r="H1200">
        <v>2</v>
      </c>
      <c r="I1200">
        <v>0</v>
      </c>
      <c r="J1200">
        <v>2014</v>
      </c>
      <c r="K1200" s="4">
        <v>45419</v>
      </c>
      <c r="L1200" t="s">
        <v>30</v>
      </c>
      <c r="M1200" t="s">
        <v>24</v>
      </c>
      <c r="N1200">
        <v>3.25</v>
      </c>
      <c r="O1200">
        <v>1176</v>
      </c>
      <c r="P1200">
        <v>1.02</v>
      </c>
      <c r="Q1200">
        <v>345</v>
      </c>
      <c r="R1200">
        <v>677</v>
      </c>
    </row>
    <row r="1201" spans="1:18" x14ac:dyDescent="0.2">
      <c r="A1201">
        <v>5</v>
      </c>
      <c r="B1201" t="s">
        <v>61</v>
      </c>
      <c r="E1201" t="s">
        <v>36</v>
      </c>
      <c r="F1201">
        <v>2300360</v>
      </c>
      <c r="G1201">
        <v>3</v>
      </c>
      <c r="H1201">
        <v>1</v>
      </c>
      <c r="I1201">
        <v>837</v>
      </c>
      <c r="J1201">
        <v>2026</v>
      </c>
      <c r="K1201" s="4">
        <v>45270</v>
      </c>
      <c r="L1201" t="s">
        <v>20</v>
      </c>
      <c r="M1201" t="s">
        <v>47</v>
      </c>
      <c r="N1201">
        <v>2.48</v>
      </c>
      <c r="O1201">
        <v>1702</v>
      </c>
      <c r="P1201">
        <v>4.8</v>
      </c>
      <c r="Q1201">
        <v>97</v>
      </c>
      <c r="R1201">
        <v>695</v>
      </c>
    </row>
    <row r="1202" spans="1:18" x14ac:dyDescent="0.2">
      <c r="A1202">
        <v>5</v>
      </c>
      <c r="B1202" t="s">
        <v>100</v>
      </c>
      <c r="E1202" t="s">
        <v>29</v>
      </c>
      <c r="F1202">
        <v>2574450</v>
      </c>
      <c r="G1202">
        <v>4</v>
      </c>
      <c r="H1202">
        <v>2</v>
      </c>
      <c r="I1202">
        <v>936</v>
      </c>
      <c r="J1202">
        <v>1960</v>
      </c>
      <c r="K1202" s="4">
        <v>45144</v>
      </c>
      <c r="L1202" t="s">
        <v>26</v>
      </c>
      <c r="M1202" t="s">
        <v>24</v>
      </c>
      <c r="N1202">
        <v>2.93</v>
      </c>
      <c r="O1202">
        <v>1721</v>
      </c>
      <c r="P1202">
        <v>3.06</v>
      </c>
      <c r="Q1202">
        <v>252</v>
      </c>
      <c r="R1202">
        <v>695</v>
      </c>
    </row>
    <row r="1203" spans="1:18" x14ac:dyDescent="0.2">
      <c r="A1203">
        <v>3</v>
      </c>
      <c r="B1203" t="s">
        <v>28</v>
      </c>
      <c r="E1203" t="s">
        <v>51</v>
      </c>
      <c r="F1203">
        <v>2247385</v>
      </c>
      <c r="G1203">
        <v>4</v>
      </c>
      <c r="H1203">
        <v>3</v>
      </c>
      <c r="I1203">
        <v>318</v>
      </c>
      <c r="J1203">
        <v>1999</v>
      </c>
      <c r="K1203" s="4">
        <v>44119</v>
      </c>
      <c r="L1203" t="s">
        <v>23</v>
      </c>
      <c r="M1203" t="s">
        <v>47</v>
      </c>
      <c r="N1203">
        <v>1.64</v>
      </c>
      <c r="O1203">
        <v>965</v>
      </c>
      <c r="P1203">
        <v>2.96</v>
      </c>
      <c r="Q1203">
        <v>183</v>
      </c>
      <c r="R1203">
        <v>320</v>
      </c>
    </row>
    <row r="1204" spans="1:18" x14ac:dyDescent="0.2">
      <c r="A1204">
        <v>7</v>
      </c>
      <c r="B1204" t="s">
        <v>94</v>
      </c>
      <c r="E1204" t="s">
        <v>36</v>
      </c>
      <c r="F1204">
        <v>1949841</v>
      </c>
      <c r="G1204">
        <v>3</v>
      </c>
      <c r="H1204">
        <v>2</v>
      </c>
      <c r="I1204">
        <v>314</v>
      </c>
      <c r="J1204">
        <v>1999</v>
      </c>
      <c r="K1204" s="4">
        <v>45599</v>
      </c>
      <c r="L1204" t="s">
        <v>30</v>
      </c>
      <c r="M1204" t="s">
        <v>78</v>
      </c>
      <c r="N1204">
        <v>2.04</v>
      </c>
      <c r="O1204">
        <v>1249</v>
      </c>
      <c r="P1204">
        <v>3.77</v>
      </c>
      <c r="Q1204">
        <v>221</v>
      </c>
      <c r="R1204">
        <v>359</v>
      </c>
    </row>
    <row r="1205" spans="1:18" x14ac:dyDescent="0.2">
      <c r="A1205">
        <v>3</v>
      </c>
      <c r="B1205" t="s">
        <v>87</v>
      </c>
      <c r="E1205" t="s">
        <v>19</v>
      </c>
      <c r="F1205">
        <v>1582443</v>
      </c>
      <c r="G1205">
        <v>2</v>
      </c>
      <c r="H1205">
        <v>3</v>
      </c>
      <c r="I1205">
        <v>397</v>
      </c>
      <c r="J1205">
        <v>1974</v>
      </c>
      <c r="K1205" s="4">
        <v>44792</v>
      </c>
      <c r="L1205" t="s">
        <v>30</v>
      </c>
      <c r="M1205" t="s">
        <v>82</v>
      </c>
      <c r="N1205">
        <v>2.8</v>
      </c>
      <c r="O1205">
        <v>1447</v>
      </c>
      <c r="P1205">
        <v>1.21</v>
      </c>
      <c r="Q1205">
        <v>76</v>
      </c>
      <c r="R1205">
        <v>368</v>
      </c>
    </row>
    <row r="1206" spans="1:18" x14ac:dyDescent="0.2">
      <c r="A1206">
        <v>1</v>
      </c>
      <c r="B1206" t="s">
        <v>93</v>
      </c>
      <c r="E1206" t="s">
        <v>19</v>
      </c>
      <c r="F1206">
        <v>1417076</v>
      </c>
      <c r="G1206">
        <v>1</v>
      </c>
      <c r="H1206">
        <v>2</v>
      </c>
      <c r="I1206">
        <v>780</v>
      </c>
      <c r="J1206">
        <v>1951</v>
      </c>
      <c r="K1206" s="4">
        <v>44972</v>
      </c>
      <c r="L1206" t="s">
        <v>30</v>
      </c>
      <c r="M1206" t="s">
        <v>31</v>
      </c>
      <c r="N1206">
        <v>2.2799999999999998</v>
      </c>
      <c r="O1206">
        <v>1464</v>
      </c>
      <c r="P1206">
        <v>0.56999999999999995</v>
      </c>
      <c r="Q1206">
        <v>137</v>
      </c>
      <c r="R1206">
        <v>506</v>
      </c>
    </row>
    <row r="1207" spans="1:18" x14ac:dyDescent="0.2">
      <c r="A1207">
        <v>3</v>
      </c>
      <c r="B1207" t="s">
        <v>84</v>
      </c>
      <c r="E1207" t="s">
        <v>51</v>
      </c>
      <c r="F1207">
        <v>737540</v>
      </c>
      <c r="G1207">
        <v>4</v>
      </c>
      <c r="H1207">
        <v>3</v>
      </c>
      <c r="I1207">
        <v>655</v>
      </c>
      <c r="J1207">
        <v>1974</v>
      </c>
      <c r="K1207" s="4">
        <v>45786</v>
      </c>
      <c r="L1207" t="s">
        <v>23</v>
      </c>
      <c r="M1207" t="s">
        <v>45</v>
      </c>
      <c r="N1207">
        <v>2.71</v>
      </c>
      <c r="O1207">
        <v>1750</v>
      </c>
      <c r="P1207">
        <v>2.4</v>
      </c>
      <c r="Q1207">
        <v>276</v>
      </c>
      <c r="R1207">
        <v>477</v>
      </c>
    </row>
    <row r="1208" spans="1:18" x14ac:dyDescent="0.2">
      <c r="A1208">
        <v>0</v>
      </c>
      <c r="B1208" t="s">
        <v>39</v>
      </c>
      <c r="E1208" t="s">
        <v>19</v>
      </c>
      <c r="F1208">
        <v>1408807</v>
      </c>
      <c r="G1208">
        <v>0</v>
      </c>
      <c r="H1208">
        <v>2</v>
      </c>
      <c r="I1208">
        <v>554</v>
      </c>
      <c r="J1208">
        <v>1968</v>
      </c>
      <c r="K1208" s="4">
        <v>45485</v>
      </c>
      <c r="L1208" t="s">
        <v>20</v>
      </c>
      <c r="M1208" t="s">
        <v>74</v>
      </c>
      <c r="N1208">
        <v>3.36</v>
      </c>
      <c r="O1208">
        <v>1843</v>
      </c>
      <c r="P1208">
        <v>2.97</v>
      </c>
      <c r="Q1208">
        <v>74</v>
      </c>
      <c r="R1208">
        <v>448</v>
      </c>
    </row>
    <row r="1209" spans="1:18" x14ac:dyDescent="0.2">
      <c r="A1209">
        <v>9</v>
      </c>
      <c r="B1209" t="s">
        <v>99</v>
      </c>
      <c r="E1209" t="s">
        <v>19</v>
      </c>
      <c r="F1209">
        <v>1036240</v>
      </c>
      <c r="G1209">
        <v>3</v>
      </c>
      <c r="H1209">
        <v>3</v>
      </c>
      <c r="I1209">
        <v>664</v>
      </c>
      <c r="J1209">
        <v>1997</v>
      </c>
      <c r="K1209" s="4">
        <v>45384</v>
      </c>
      <c r="L1209" t="s">
        <v>20</v>
      </c>
      <c r="M1209" t="s">
        <v>37</v>
      </c>
      <c r="N1209">
        <v>2.87</v>
      </c>
      <c r="O1209">
        <v>2098</v>
      </c>
      <c r="P1209">
        <v>3.83</v>
      </c>
      <c r="Q1209">
        <v>84</v>
      </c>
      <c r="R1209">
        <v>429</v>
      </c>
    </row>
    <row r="1210" spans="1:18" x14ac:dyDescent="0.2">
      <c r="A1210">
        <v>4</v>
      </c>
      <c r="B1210" t="s">
        <v>39</v>
      </c>
      <c r="E1210" t="s">
        <v>19</v>
      </c>
      <c r="F1210">
        <v>2027528</v>
      </c>
      <c r="G1210">
        <v>3</v>
      </c>
      <c r="H1210">
        <v>3</v>
      </c>
      <c r="I1210">
        <v>461</v>
      </c>
      <c r="J1210">
        <v>1958</v>
      </c>
      <c r="K1210" s="4">
        <v>45184</v>
      </c>
      <c r="L1210" t="s">
        <v>20</v>
      </c>
      <c r="M1210" t="s">
        <v>33</v>
      </c>
      <c r="N1210">
        <v>3.15</v>
      </c>
      <c r="O1210">
        <v>1227</v>
      </c>
      <c r="P1210">
        <v>2.0099999999999998</v>
      </c>
      <c r="Q1210">
        <v>108</v>
      </c>
      <c r="R1210">
        <v>304</v>
      </c>
    </row>
    <row r="1211" spans="1:18" x14ac:dyDescent="0.2">
      <c r="A1211">
        <v>1</v>
      </c>
      <c r="B1211" t="s">
        <v>95</v>
      </c>
      <c r="E1211" t="s">
        <v>36</v>
      </c>
      <c r="F1211">
        <v>2496866</v>
      </c>
      <c r="G1211">
        <v>1</v>
      </c>
      <c r="H1211">
        <v>3</v>
      </c>
      <c r="I1211">
        <v>80</v>
      </c>
      <c r="J1211">
        <v>1957</v>
      </c>
      <c r="K1211" s="4">
        <v>45084</v>
      </c>
      <c r="L1211" t="s">
        <v>23</v>
      </c>
      <c r="M1211" t="s">
        <v>70</v>
      </c>
      <c r="N1211">
        <v>1.57</v>
      </c>
      <c r="O1211">
        <v>1057</v>
      </c>
      <c r="P1211">
        <v>0.63</v>
      </c>
      <c r="Q1211">
        <v>149</v>
      </c>
      <c r="R1211">
        <v>482</v>
      </c>
    </row>
    <row r="1212" spans="1:18" x14ac:dyDescent="0.2">
      <c r="A1212">
        <v>9</v>
      </c>
      <c r="B1212" t="s">
        <v>44</v>
      </c>
      <c r="E1212" t="s">
        <v>36</v>
      </c>
      <c r="F1212">
        <v>1916647</v>
      </c>
      <c r="G1212">
        <v>3</v>
      </c>
      <c r="H1212">
        <v>1</v>
      </c>
      <c r="I1212">
        <v>136</v>
      </c>
      <c r="J1212">
        <v>1969</v>
      </c>
      <c r="K1212" s="4">
        <v>45461</v>
      </c>
      <c r="L1212" t="s">
        <v>26</v>
      </c>
      <c r="M1212" t="s">
        <v>70</v>
      </c>
      <c r="N1212">
        <v>1.81</v>
      </c>
      <c r="O1212">
        <v>1585</v>
      </c>
      <c r="P1212">
        <v>4.1399999999999997</v>
      </c>
      <c r="Q1212">
        <v>320</v>
      </c>
      <c r="R1212">
        <v>401</v>
      </c>
    </row>
    <row r="1213" spans="1:18" x14ac:dyDescent="0.2">
      <c r="A1213">
        <v>9</v>
      </c>
      <c r="B1213" t="s">
        <v>64</v>
      </c>
      <c r="E1213" t="s">
        <v>29</v>
      </c>
      <c r="F1213">
        <v>594294</v>
      </c>
      <c r="G1213">
        <v>2</v>
      </c>
      <c r="H1213">
        <v>1</v>
      </c>
      <c r="I1213">
        <v>609</v>
      </c>
      <c r="J1213">
        <v>2010</v>
      </c>
      <c r="K1213" s="4">
        <v>44971</v>
      </c>
      <c r="L1213" t="s">
        <v>20</v>
      </c>
      <c r="M1213" t="s">
        <v>27</v>
      </c>
      <c r="N1213">
        <v>3.12</v>
      </c>
      <c r="O1213">
        <v>2004</v>
      </c>
      <c r="P1213">
        <v>3.99</v>
      </c>
      <c r="Q1213">
        <v>47</v>
      </c>
      <c r="R1213">
        <v>539</v>
      </c>
    </row>
    <row r="1214" spans="1:18" x14ac:dyDescent="0.2">
      <c r="A1214">
        <v>8</v>
      </c>
      <c r="B1214" t="s">
        <v>71</v>
      </c>
      <c r="E1214" t="s">
        <v>36</v>
      </c>
      <c r="F1214">
        <v>1879180</v>
      </c>
      <c r="G1214">
        <v>0</v>
      </c>
      <c r="H1214">
        <v>2</v>
      </c>
      <c r="I1214">
        <v>837</v>
      </c>
      <c r="J1214">
        <v>1977</v>
      </c>
      <c r="K1214" s="4">
        <v>45126</v>
      </c>
      <c r="L1214" t="s">
        <v>30</v>
      </c>
      <c r="M1214" t="s">
        <v>42</v>
      </c>
      <c r="N1214">
        <v>2.44</v>
      </c>
      <c r="O1214">
        <v>1492</v>
      </c>
      <c r="P1214">
        <v>3.62</v>
      </c>
      <c r="Q1214">
        <v>59</v>
      </c>
      <c r="R1214">
        <v>527</v>
      </c>
    </row>
    <row r="1215" spans="1:18" x14ac:dyDescent="0.2">
      <c r="A1215">
        <v>5</v>
      </c>
      <c r="B1215" t="s">
        <v>86</v>
      </c>
      <c r="E1215" t="s">
        <v>29</v>
      </c>
      <c r="F1215">
        <v>1357089</v>
      </c>
      <c r="G1215">
        <v>1</v>
      </c>
      <c r="H1215">
        <v>3</v>
      </c>
      <c r="I1215">
        <v>95</v>
      </c>
      <c r="J1215">
        <v>1986</v>
      </c>
      <c r="K1215" s="4">
        <v>44251</v>
      </c>
      <c r="L1215" t="s">
        <v>23</v>
      </c>
      <c r="M1215" t="s">
        <v>54</v>
      </c>
      <c r="N1215">
        <v>3.21</v>
      </c>
      <c r="O1215">
        <v>1062</v>
      </c>
      <c r="P1215">
        <v>1.26</v>
      </c>
      <c r="Q1215">
        <v>140</v>
      </c>
      <c r="R1215">
        <v>468</v>
      </c>
    </row>
    <row r="1216" spans="1:18" x14ac:dyDescent="0.2">
      <c r="A1216">
        <v>4</v>
      </c>
      <c r="B1216" t="s">
        <v>80</v>
      </c>
      <c r="E1216" t="s">
        <v>29</v>
      </c>
      <c r="F1216">
        <v>1328582</v>
      </c>
      <c r="G1216">
        <v>3</v>
      </c>
      <c r="H1216">
        <v>2</v>
      </c>
      <c r="I1216">
        <v>633</v>
      </c>
      <c r="J1216">
        <v>2017</v>
      </c>
      <c r="K1216" s="4">
        <v>44154</v>
      </c>
      <c r="L1216" t="s">
        <v>20</v>
      </c>
      <c r="M1216" t="s">
        <v>68</v>
      </c>
      <c r="N1216">
        <v>2.21</v>
      </c>
      <c r="O1216">
        <v>1592</v>
      </c>
      <c r="P1216">
        <v>0.64</v>
      </c>
      <c r="Q1216">
        <v>307</v>
      </c>
      <c r="R1216">
        <v>357</v>
      </c>
    </row>
    <row r="1217" spans="1:18" x14ac:dyDescent="0.2">
      <c r="A1217">
        <v>1</v>
      </c>
      <c r="B1217" t="s">
        <v>48</v>
      </c>
      <c r="E1217" t="s">
        <v>19</v>
      </c>
      <c r="F1217">
        <v>2207204</v>
      </c>
      <c r="G1217">
        <v>2</v>
      </c>
      <c r="H1217">
        <v>3</v>
      </c>
      <c r="I1217">
        <v>183</v>
      </c>
      <c r="J1217">
        <v>2013</v>
      </c>
      <c r="K1217" s="4">
        <v>44958</v>
      </c>
      <c r="L1217" t="s">
        <v>30</v>
      </c>
      <c r="M1217" t="s">
        <v>52</v>
      </c>
      <c r="N1217">
        <v>3.21</v>
      </c>
      <c r="O1217">
        <v>2262</v>
      </c>
      <c r="P1217">
        <v>1.38</v>
      </c>
      <c r="Q1217">
        <v>65</v>
      </c>
      <c r="R1217">
        <v>537</v>
      </c>
    </row>
    <row r="1218" spans="1:18" x14ac:dyDescent="0.2">
      <c r="A1218">
        <v>0</v>
      </c>
      <c r="B1218" t="s">
        <v>61</v>
      </c>
      <c r="E1218" t="s">
        <v>19</v>
      </c>
      <c r="F1218">
        <v>1601208</v>
      </c>
      <c r="G1218">
        <v>3</v>
      </c>
      <c r="H1218">
        <v>1</v>
      </c>
      <c r="I1218">
        <v>884</v>
      </c>
      <c r="J1218">
        <v>1985</v>
      </c>
      <c r="K1218" s="4">
        <v>44297</v>
      </c>
      <c r="L1218" t="s">
        <v>26</v>
      </c>
      <c r="M1218" t="s">
        <v>24</v>
      </c>
      <c r="N1218">
        <v>2.4</v>
      </c>
      <c r="O1218">
        <v>1895</v>
      </c>
      <c r="P1218">
        <v>1.7</v>
      </c>
      <c r="Q1218">
        <v>166</v>
      </c>
      <c r="R1218">
        <v>308</v>
      </c>
    </row>
    <row r="1219" spans="1:18" x14ac:dyDescent="0.2">
      <c r="A1219">
        <v>6</v>
      </c>
      <c r="B1219" t="s">
        <v>39</v>
      </c>
      <c r="E1219" t="s">
        <v>36</v>
      </c>
      <c r="F1219">
        <v>1848135</v>
      </c>
      <c r="G1219">
        <v>5</v>
      </c>
      <c r="H1219">
        <v>2</v>
      </c>
      <c r="I1219">
        <v>558</v>
      </c>
      <c r="J1219">
        <v>1959</v>
      </c>
      <c r="K1219" s="4">
        <v>45725</v>
      </c>
      <c r="L1219" t="s">
        <v>23</v>
      </c>
      <c r="M1219" t="s">
        <v>63</v>
      </c>
      <c r="N1219">
        <v>2.54</v>
      </c>
      <c r="O1219">
        <v>1345</v>
      </c>
      <c r="P1219">
        <v>4.3899999999999997</v>
      </c>
      <c r="Q1219">
        <v>361</v>
      </c>
      <c r="R1219">
        <v>333</v>
      </c>
    </row>
    <row r="1220" spans="1:18" x14ac:dyDescent="0.2">
      <c r="A1220">
        <v>0</v>
      </c>
      <c r="B1220" t="s">
        <v>38</v>
      </c>
      <c r="E1220" t="s">
        <v>19</v>
      </c>
      <c r="F1220">
        <v>411154</v>
      </c>
      <c r="G1220">
        <v>2</v>
      </c>
      <c r="H1220">
        <v>1</v>
      </c>
      <c r="I1220">
        <v>966</v>
      </c>
      <c r="J1220">
        <v>1980</v>
      </c>
      <c r="K1220" s="4">
        <v>44201</v>
      </c>
      <c r="L1220" t="s">
        <v>30</v>
      </c>
      <c r="M1220" t="s">
        <v>24</v>
      </c>
      <c r="N1220">
        <v>2.1</v>
      </c>
      <c r="O1220">
        <v>2482</v>
      </c>
      <c r="P1220">
        <v>1.1299999999999999</v>
      </c>
      <c r="Q1220">
        <v>145</v>
      </c>
      <c r="R1220">
        <v>520</v>
      </c>
    </row>
    <row r="1221" spans="1:18" x14ac:dyDescent="0.2">
      <c r="A1221">
        <v>8</v>
      </c>
      <c r="B1221" t="s">
        <v>73</v>
      </c>
      <c r="E1221" t="s">
        <v>29</v>
      </c>
      <c r="F1221">
        <v>455574</v>
      </c>
      <c r="G1221">
        <v>1</v>
      </c>
      <c r="H1221">
        <v>1</v>
      </c>
      <c r="I1221">
        <v>425</v>
      </c>
      <c r="J1221">
        <v>1966</v>
      </c>
      <c r="K1221" s="4">
        <v>45662</v>
      </c>
      <c r="L1221" t="s">
        <v>30</v>
      </c>
      <c r="M1221" t="s">
        <v>54</v>
      </c>
      <c r="N1221">
        <v>2.44</v>
      </c>
      <c r="O1221">
        <v>1856</v>
      </c>
      <c r="P1221">
        <v>2.48</v>
      </c>
      <c r="Q1221">
        <v>140</v>
      </c>
      <c r="R1221">
        <v>554</v>
      </c>
    </row>
    <row r="1222" spans="1:18" x14ac:dyDescent="0.2">
      <c r="A1222">
        <v>4</v>
      </c>
      <c r="B1222" t="s">
        <v>87</v>
      </c>
      <c r="E1222" t="s">
        <v>36</v>
      </c>
      <c r="F1222">
        <v>2922160</v>
      </c>
      <c r="G1222">
        <v>4</v>
      </c>
      <c r="H1222">
        <v>2</v>
      </c>
      <c r="I1222">
        <v>828</v>
      </c>
      <c r="J1222">
        <v>1978</v>
      </c>
      <c r="K1222" s="4">
        <v>45004</v>
      </c>
      <c r="L1222" t="s">
        <v>23</v>
      </c>
      <c r="M1222" t="s">
        <v>33</v>
      </c>
      <c r="N1222">
        <v>3.28</v>
      </c>
      <c r="O1222">
        <v>1951</v>
      </c>
      <c r="P1222">
        <v>4.6500000000000004</v>
      </c>
      <c r="Q1222">
        <v>225</v>
      </c>
      <c r="R1222">
        <v>531</v>
      </c>
    </row>
    <row r="1223" spans="1:18" x14ac:dyDescent="0.2">
      <c r="A1223">
        <v>6</v>
      </c>
      <c r="B1223" t="s">
        <v>91</v>
      </c>
      <c r="E1223" t="s">
        <v>51</v>
      </c>
      <c r="F1223">
        <v>1533057</v>
      </c>
      <c r="G1223">
        <v>5</v>
      </c>
      <c r="H1223">
        <v>3</v>
      </c>
      <c r="I1223">
        <v>683</v>
      </c>
      <c r="J1223">
        <v>1992</v>
      </c>
      <c r="K1223" s="4">
        <v>44249</v>
      </c>
      <c r="L1223" t="s">
        <v>20</v>
      </c>
      <c r="M1223" t="s">
        <v>77</v>
      </c>
      <c r="N1223">
        <v>1.55</v>
      </c>
      <c r="O1223">
        <v>2349</v>
      </c>
      <c r="P1223">
        <v>4.91</v>
      </c>
      <c r="Q1223">
        <v>342</v>
      </c>
      <c r="R1223">
        <v>626</v>
      </c>
    </row>
    <row r="1224" spans="1:18" x14ac:dyDescent="0.2">
      <c r="A1224">
        <v>8</v>
      </c>
      <c r="B1224" t="s">
        <v>92</v>
      </c>
      <c r="E1224" t="s">
        <v>36</v>
      </c>
      <c r="F1224">
        <v>1217885</v>
      </c>
      <c r="G1224">
        <v>2</v>
      </c>
      <c r="H1224">
        <v>1</v>
      </c>
      <c r="I1224">
        <v>314</v>
      </c>
      <c r="J1224">
        <v>1962</v>
      </c>
      <c r="K1224" s="4">
        <v>44081</v>
      </c>
      <c r="L1224" t="s">
        <v>30</v>
      </c>
      <c r="M1224" t="s">
        <v>60</v>
      </c>
      <c r="N1224">
        <v>1.5</v>
      </c>
      <c r="O1224">
        <v>1574</v>
      </c>
      <c r="P1224">
        <v>3.36</v>
      </c>
      <c r="Q1224">
        <v>141</v>
      </c>
      <c r="R1224">
        <v>652</v>
      </c>
    </row>
    <row r="1225" spans="1:18" x14ac:dyDescent="0.2">
      <c r="A1225">
        <v>0</v>
      </c>
      <c r="B1225" t="s">
        <v>61</v>
      </c>
      <c r="E1225" t="s">
        <v>51</v>
      </c>
      <c r="F1225">
        <v>1443992</v>
      </c>
      <c r="G1225">
        <v>2</v>
      </c>
      <c r="H1225">
        <v>1</v>
      </c>
      <c r="I1225">
        <v>520</v>
      </c>
      <c r="J1225">
        <v>1997</v>
      </c>
      <c r="K1225" s="4">
        <v>45229</v>
      </c>
      <c r="L1225" t="s">
        <v>30</v>
      </c>
      <c r="M1225" t="s">
        <v>45</v>
      </c>
      <c r="N1225">
        <v>3.26</v>
      </c>
      <c r="O1225">
        <v>1518</v>
      </c>
      <c r="P1225">
        <v>1.23</v>
      </c>
      <c r="Q1225">
        <v>105</v>
      </c>
      <c r="R1225">
        <v>347</v>
      </c>
    </row>
    <row r="1226" spans="1:18" x14ac:dyDescent="0.2">
      <c r="A1226">
        <v>1</v>
      </c>
      <c r="B1226" t="s">
        <v>105</v>
      </c>
      <c r="E1226" t="s">
        <v>51</v>
      </c>
      <c r="F1226">
        <v>1743452</v>
      </c>
      <c r="G1226">
        <v>6</v>
      </c>
      <c r="H1226">
        <v>2</v>
      </c>
      <c r="I1226">
        <v>498</v>
      </c>
      <c r="J1226">
        <v>1989</v>
      </c>
      <c r="K1226" s="4">
        <v>44715</v>
      </c>
      <c r="L1226" t="s">
        <v>26</v>
      </c>
      <c r="M1226" t="s">
        <v>37</v>
      </c>
      <c r="N1226">
        <v>1.54</v>
      </c>
      <c r="O1226">
        <v>1212</v>
      </c>
      <c r="P1226">
        <v>0.69</v>
      </c>
      <c r="Q1226">
        <v>362</v>
      </c>
      <c r="R1226">
        <v>584</v>
      </c>
    </row>
    <row r="1227" spans="1:18" x14ac:dyDescent="0.2">
      <c r="A1227">
        <v>6</v>
      </c>
      <c r="B1227" t="s">
        <v>44</v>
      </c>
      <c r="E1227" t="s">
        <v>29</v>
      </c>
      <c r="F1227">
        <v>2810778</v>
      </c>
      <c r="G1227">
        <v>4</v>
      </c>
      <c r="H1227">
        <v>3</v>
      </c>
      <c r="I1227">
        <v>693</v>
      </c>
      <c r="J1227">
        <v>1970</v>
      </c>
      <c r="K1227" s="4">
        <v>44824</v>
      </c>
      <c r="L1227" t="s">
        <v>20</v>
      </c>
      <c r="M1227" t="s">
        <v>31</v>
      </c>
      <c r="N1227">
        <v>1.83</v>
      </c>
      <c r="O1227">
        <v>1894</v>
      </c>
      <c r="P1227">
        <v>0.21</v>
      </c>
      <c r="Q1227">
        <v>361</v>
      </c>
      <c r="R1227">
        <v>448</v>
      </c>
    </row>
    <row r="1228" spans="1:18" x14ac:dyDescent="0.2">
      <c r="A1228">
        <v>8</v>
      </c>
      <c r="B1228" t="s">
        <v>57</v>
      </c>
      <c r="E1228" t="s">
        <v>19</v>
      </c>
      <c r="F1228">
        <v>821330</v>
      </c>
      <c r="G1228">
        <v>2</v>
      </c>
      <c r="H1228">
        <v>2</v>
      </c>
      <c r="I1228">
        <v>847</v>
      </c>
      <c r="J1228">
        <v>2010</v>
      </c>
      <c r="K1228" s="4">
        <v>44828</v>
      </c>
      <c r="L1228" t="s">
        <v>30</v>
      </c>
      <c r="M1228" t="s">
        <v>78</v>
      </c>
      <c r="N1228">
        <v>2.37</v>
      </c>
      <c r="O1228">
        <v>978</v>
      </c>
      <c r="P1228">
        <v>1.8</v>
      </c>
      <c r="Q1228">
        <v>123</v>
      </c>
      <c r="R1228">
        <v>385</v>
      </c>
    </row>
    <row r="1229" spans="1:18" x14ac:dyDescent="0.2">
      <c r="A1229">
        <v>7</v>
      </c>
      <c r="B1229" t="s">
        <v>50</v>
      </c>
      <c r="E1229" t="s">
        <v>19</v>
      </c>
      <c r="F1229">
        <v>485136</v>
      </c>
      <c r="G1229">
        <v>4</v>
      </c>
      <c r="H1229">
        <v>2</v>
      </c>
      <c r="I1229">
        <v>162</v>
      </c>
      <c r="J1229">
        <v>1952</v>
      </c>
      <c r="K1229" s="4">
        <v>44533</v>
      </c>
      <c r="L1229" t="s">
        <v>23</v>
      </c>
      <c r="M1229" t="s">
        <v>78</v>
      </c>
      <c r="N1229">
        <v>3.34</v>
      </c>
      <c r="O1229">
        <v>1682</v>
      </c>
      <c r="P1229">
        <v>1.97</v>
      </c>
      <c r="Q1229">
        <v>303</v>
      </c>
      <c r="R1229">
        <v>308</v>
      </c>
    </row>
    <row r="1230" spans="1:18" x14ac:dyDescent="0.2">
      <c r="A1230">
        <v>6</v>
      </c>
      <c r="B1230" t="s">
        <v>81</v>
      </c>
      <c r="E1230" t="s">
        <v>51</v>
      </c>
      <c r="F1230">
        <v>1710940</v>
      </c>
      <c r="G1230">
        <v>6</v>
      </c>
      <c r="H1230">
        <v>1</v>
      </c>
      <c r="I1230">
        <v>60</v>
      </c>
      <c r="J1230">
        <v>1967</v>
      </c>
      <c r="K1230" s="4">
        <v>44941</v>
      </c>
      <c r="L1230" t="s">
        <v>26</v>
      </c>
      <c r="M1230" t="s">
        <v>82</v>
      </c>
      <c r="N1230">
        <v>2.15</v>
      </c>
      <c r="O1230">
        <v>2018</v>
      </c>
      <c r="P1230">
        <v>2.81</v>
      </c>
      <c r="Q1230">
        <v>321</v>
      </c>
      <c r="R1230">
        <v>579</v>
      </c>
    </row>
    <row r="1231" spans="1:18" x14ac:dyDescent="0.2">
      <c r="A1231">
        <v>9</v>
      </c>
      <c r="B1231" t="s">
        <v>65</v>
      </c>
      <c r="E1231" t="s">
        <v>36</v>
      </c>
      <c r="F1231">
        <v>1460595</v>
      </c>
      <c r="G1231">
        <v>2</v>
      </c>
      <c r="H1231">
        <v>1</v>
      </c>
      <c r="I1231">
        <v>631</v>
      </c>
      <c r="J1231">
        <v>1994</v>
      </c>
      <c r="K1231" s="4">
        <v>44105</v>
      </c>
      <c r="L1231" t="s">
        <v>23</v>
      </c>
      <c r="M1231" t="s">
        <v>66</v>
      </c>
      <c r="N1231">
        <v>2.04</v>
      </c>
      <c r="O1231">
        <v>2460</v>
      </c>
      <c r="P1231">
        <v>3.82</v>
      </c>
      <c r="Q1231">
        <v>216</v>
      </c>
      <c r="R1231">
        <v>567</v>
      </c>
    </row>
    <row r="1232" spans="1:18" x14ac:dyDescent="0.2">
      <c r="A1232">
        <v>6</v>
      </c>
      <c r="B1232" t="s">
        <v>72</v>
      </c>
      <c r="E1232" t="s">
        <v>29</v>
      </c>
      <c r="F1232">
        <v>835152</v>
      </c>
      <c r="G1232">
        <v>2</v>
      </c>
      <c r="H1232">
        <v>1</v>
      </c>
      <c r="I1232">
        <v>318</v>
      </c>
      <c r="J1232">
        <v>2008</v>
      </c>
      <c r="K1232" s="4">
        <v>44280</v>
      </c>
      <c r="L1232" t="s">
        <v>26</v>
      </c>
      <c r="M1232" t="s">
        <v>77</v>
      </c>
      <c r="N1232">
        <v>3.07</v>
      </c>
      <c r="O1232">
        <v>1006</v>
      </c>
      <c r="P1232">
        <v>0.94</v>
      </c>
      <c r="Q1232">
        <v>132</v>
      </c>
      <c r="R1232">
        <v>551</v>
      </c>
    </row>
    <row r="1233" spans="1:18" x14ac:dyDescent="0.2">
      <c r="A1233">
        <v>4</v>
      </c>
      <c r="B1233" t="s">
        <v>101</v>
      </c>
      <c r="E1233" t="s">
        <v>36</v>
      </c>
      <c r="F1233">
        <v>2112842</v>
      </c>
      <c r="G1233">
        <v>2</v>
      </c>
      <c r="H1233">
        <v>2</v>
      </c>
      <c r="I1233">
        <v>358</v>
      </c>
      <c r="J1233">
        <v>1995</v>
      </c>
      <c r="K1233" s="4">
        <v>44591</v>
      </c>
      <c r="L1233" t="s">
        <v>20</v>
      </c>
      <c r="M1233" t="s">
        <v>21</v>
      </c>
      <c r="N1233">
        <v>2.15</v>
      </c>
      <c r="O1233">
        <v>1186</v>
      </c>
      <c r="P1233">
        <v>1.92</v>
      </c>
      <c r="Q1233">
        <v>105</v>
      </c>
      <c r="R1233">
        <v>437</v>
      </c>
    </row>
    <row r="1234" spans="1:18" x14ac:dyDescent="0.2">
      <c r="A1234">
        <v>2</v>
      </c>
      <c r="B1234" t="s">
        <v>81</v>
      </c>
      <c r="E1234" t="s">
        <v>29</v>
      </c>
      <c r="F1234">
        <v>1325718</v>
      </c>
      <c r="G1234">
        <v>4</v>
      </c>
      <c r="H1234">
        <v>1</v>
      </c>
      <c r="I1234">
        <v>744</v>
      </c>
      <c r="J1234">
        <v>2007</v>
      </c>
      <c r="K1234" s="4">
        <v>44688</v>
      </c>
      <c r="L1234" t="s">
        <v>20</v>
      </c>
      <c r="M1234" t="s">
        <v>40</v>
      </c>
      <c r="N1234">
        <v>1.8</v>
      </c>
      <c r="O1234">
        <v>879</v>
      </c>
      <c r="P1234">
        <v>3.14</v>
      </c>
      <c r="Q1234">
        <v>375</v>
      </c>
      <c r="R1234">
        <v>628</v>
      </c>
    </row>
    <row r="1235" spans="1:18" x14ac:dyDescent="0.2">
      <c r="A1235">
        <v>8</v>
      </c>
      <c r="B1235" t="s">
        <v>44</v>
      </c>
      <c r="E1235" t="s">
        <v>29</v>
      </c>
      <c r="F1235">
        <v>1612427</v>
      </c>
      <c r="G1235">
        <v>5</v>
      </c>
      <c r="H1235">
        <v>2</v>
      </c>
      <c r="I1235">
        <v>712</v>
      </c>
      <c r="J1235">
        <v>1958</v>
      </c>
      <c r="K1235" s="4">
        <v>44373</v>
      </c>
      <c r="L1235" t="s">
        <v>20</v>
      </c>
      <c r="M1235" t="s">
        <v>85</v>
      </c>
      <c r="N1235">
        <v>1.72</v>
      </c>
      <c r="O1235">
        <v>2398</v>
      </c>
      <c r="P1235">
        <v>0.87</v>
      </c>
      <c r="Q1235">
        <v>333</v>
      </c>
      <c r="R1235">
        <v>303</v>
      </c>
    </row>
    <row r="1236" spans="1:18" x14ac:dyDescent="0.2">
      <c r="A1236">
        <v>2</v>
      </c>
      <c r="B1236" t="s">
        <v>55</v>
      </c>
      <c r="E1236" t="s">
        <v>19</v>
      </c>
      <c r="F1236">
        <v>2170843</v>
      </c>
      <c r="G1236">
        <v>2</v>
      </c>
      <c r="H1236">
        <v>1</v>
      </c>
      <c r="I1236">
        <v>842</v>
      </c>
      <c r="J1236">
        <v>1959</v>
      </c>
      <c r="K1236" s="4">
        <v>45334</v>
      </c>
      <c r="L1236" t="s">
        <v>30</v>
      </c>
      <c r="M1236" t="s">
        <v>74</v>
      </c>
      <c r="N1236">
        <v>3.18</v>
      </c>
      <c r="O1236">
        <v>2408</v>
      </c>
      <c r="P1236">
        <v>4.2300000000000004</v>
      </c>
      <c r="Q1236">
        <v>237</v>
      </c>
      <c r="R1236">
        <v>405</v>
      </c>
    </row>
    <row r="1237" spans="1:18" x14ac:dyDescent="0.2">
      <c r="A1237">
        <v>0</v>
      </c>
      <c r="B1237" t="s">
        <v>64</v>
      </c>
      <c r="E1237" t="s">
        <v>19</v>
      </c>
      <c r="F1237">
        <v>2863832</v>
      </c>
      <c r="G1237">
        <v>5</v>
      </c>
      <c r="H1237">
        <v>3</v>
      </c>
      <c r="I1237">
        <v>457</v>
      </c>
      <c r="J1237">
        <v>2013</v>
      </c>
      <c r="K1237" s="4">
        <v>45112</v>
      </c>
      <c r="L1237" t="s">
        <v>26</v>
      </c>
      <c r="M1237" t="s">
        <v>24</v>
      </c>
      <c r="N1237">
        <v>3.42</v>
      </c>
      <c r="O1237">
        <v>1156</v>
      </c>
      <c r="P1237">
        <v>0.69</v>
      </c>
      <c r="Q1237">
        <v>345</v>
      </c>
      <c r="R1237">
        <v>366</v>
      </c>
    </row>
    <row r="1238" spans="1:18" x14ac:dyDescent="0.2">
      <c r="A1238">
        <v>3</v>
      </c>
      <c r="B1238" t="s">
        <v>100</v>
      </c>
      <c r="E1238" t="s">
        <v>29</v>
      </c>
      <c r="F1238">
        <v>2325668</v>
      </c>
      <c r="G1238">
        <v>3</v>
      </c>
      <c r="H1238">
        <v>2</v>
      </c>
      <c r="I1238">
        <v>461</v>
      </c>
      <c r="J1238">
        <v>1965</v>
      </c>
      <c r="K1238" s="4">
        <v>44138</v>
      </c>
      <c r="L1238" t="s">
        <v>23</v>
      </c>
      <c r="M1238" t="s">
        <v>58</v>
      </c>
      <c r="N1238">
        <v>3.27</v>
      </c>
      <c r="O1238">
        <v>2255</v>
      </c>
      <c r="P1238">
        <v>0.66</v>
      </c>
      <c r="Q1238">
        <v>230</v>
      </c>
      <c r="R1238">
        <v>389</v>
      </c>
    </row>
    <row r="1239" spans="1:18" x14ac:dyDescent="0.2">
      <c r="A1239">
        <v>5</v>
      </c>
      <c r="B1239" t="s">
        <v>81</v>
      </c>
      <c r="E1239" t="s">
        <v>36</v>
      </c>
      <c r="F1239">
        <v>1818745</v>
      </c>
      <c r="G1239">
        <v>1</v>
      </c>
      <c r="H1239">
        <v>1</v>
      </c>
      <c r="I1239">
        <v>993</v>
      </c>
      <c r="J1239">
        <v>2006</v>
      </c>
      <c r="K1239" s="4">
        <v>44715</v>
      </c>
      <c r="L1239" t="s">
        <v>23</v>
      </c>
      <c r="M1239" t="s">
        <v>45</v>
      </c>
      <c r="N1239">
        <v>2.64</v>
      </c>
      <c r="O1239">
        <v>2193</v>
      </c>
      <c r="P1239">
        <v>3.86</v>
      </c>
      <c r="Q1239">
        <v>77</v>
      </c>
      <c r="R1239">
        <v>573</v>
      </c>
    </row>
    <row r="1240" spans="1:18" x14ac:dyDescent="0.2">
      <c r="A1240">
        <v>1</v>
      </c>
      <c r="B1240" t="s">
        <v>84</v>
      </c>
      <c r="E1240" t="s">
        <v>29</v>
      </c>
      <c r="F1240">
        <v>1950088</v>
      </c>
      <c r="G1240">
        <v>4</v>
      </c>
      <c r="H1240">
        <v>3</v>
      </c>
      <c r="I1240">
        <v>850</v>
      </c>
      <c r="J1240">
        <v>2012</v>
      </c>
      <c r="K1240" s="4">
        <v>45521</v>
      </c>
      <c r="L1240" t="s">
        <v>23</v>
      </c>
      <c r="M1240" t="s">
        <v>76</v>
      </c>
      <c r="N1240">
        <v>3.08</v>
      </c>
      <c r="O1240">
        <v>1689</v>
      </c>
      <c r="P1240">
        <v>2.21</v>
      </c>
      <c r="Q1240">
        <v>295</v>
      </c>
      <c r="R1240">
        <v>376</v>
      </c>
    </row>
    <row r="1241" spans="1:18" x14ac:dyDescent="0.2">
      <c r="A1241">
        <v>8</v>
      </c>
      <c r="B1241" t="s">
        <v>104</v>
      </c>
      <c r="E1241" t="s">
        <v>51</v>
      </c>
      <c r="F1241">
        <v>2459040</v>
      </c>
      <c r="G1241">
        <v>4</v>
      </c>
      <c r="H1241">
        <v>1</v>
      </c>
      <c r="I1241">
        <v>733</v>
      </c>
      <c r="J1241">
        <v>1991</v>
      </c>
      <c r="K1241" s="4">
        <v>44914</v>
      </c>
      <c r="L1241" t="s">
        <v>23</v>
      </c>
      <c r="M1241" t="s">
        <v>21</v>
      </c>
      <c r="N1241">
        <v>1.93</v>
      </c>
      <c r="O1241">
        <v>1305</v>
      </c>
      <c r="P1241">
        <v>3.74</v>
      </c>
      <c r="Q1241">
        <v>252</v>
      </c>
      <c r="R1241">
        <v>318</v>
      </c>
    </row>
    <row r="1242" spans="1:18" x14ac:dyDescent="0.2">
      <c r="A1242">
        <v>6</v>
      </c>
      <c r="B1242" t="s">
        <v>99</v>
      </c>
      <c r="E1242" t="s">
        <v>29</v>
      </c>
      <c r="F1242">
        <v>899481</v>
      </c>
      <c r="G1242">
        <v>0</v>
      </c>
      <c r="H1242">
        <v>2</v>
      </c>
      <c r="I1242">
        <v>920</v>
      </c>
      <c r="J1242">
        <v>1992</v>
      </c>
      <c r="K1242" s="4">
        <v>44529</v>
      </c>
      <c r="L1242" t="s">
        <v>23</v>
      </c>
      <c r="M1242" t="s">
        <v>66</v>
      </c>
      <c r="N1242">
        <v>2.21</v>
      </c>
      <c r="O1242">
        <v>1442</v>
      </c>
      <c r="P1242">
        <v>4.8600000000000003</v>
      </c>
      <c r="Q1242">
        <v>44</v>
      </c>
      <c r="R1242">
        <v>469</v>
      </c>
    </row>
    <row r="1243" spans="1:18" x14ac:dyDescent="0.2">
      <c r="A1243">
        <v>6</v>
      </c>
      <c r="B1243" t="s">
        <v>80</v>
      </c>
      <c r="E1243" t="s">
        <v>29</v>
      </c>
      <c r="F1243">
        <v>1443712</v>
      </c>
      <c r="G1243">
        <v>4</v>
      </c>
      <c r="H1243">
        <v>2</v>
      </c>
      <c r="I1243">
        <v>809</v>
      </c>
      <c r="J1243">
        <v>1998</v>
      </c>
      <c r="K1243" s="4">
        <v>45416</v>
      </c>
      <c r="L1243" t="s">
        <v>23</v>
      </c>
      <c r="M1243" t="s">
        <v>58</v>
      </c>
      <c r="N1243">
        <v>2.72</v>
      </c>
      <c r="O1243">
        <v>2193</v>
      </c>
      <c r="P1243">
        <v>1.79</v>
      </c>
      <c r="Q1243">
        <v>255</v>
      </c>
      <c r="R1243">
        <v>663</v>
      </c>
    </row>
    <row r="1244" spans="1:18" x14ac:dyDescent="0.2">
      <c r="A1244">
        <v>4</v>
      </c>
      <c r="B1244" t="s">
        <v>72</v>
      </c>
      <c r="E1244" t="s">
        <v>36</v>
      </c>
      <c r="F1244">
        <v>2466458</v>
      </c>
      <c r="G1244">
        <v>1</v>
      </c>
      <c r="H1244">
        <v>1</v>
      </c>
      <c r="I1244">
        <v>526</v>
      </c>
      <c r="J1244">
        <v>1958</v>
      </c>
      <c r="K1244" s="4">
        <v>45594</v>
      </c>
      <c r="L1244" t="s">
        <v>30</v>
      </c>
      <c r="M1244" t="s">
        <v>76</v>
      </c>
      <c r="N1244">
        <v>3.13</v>
      </c>
      <c r="O1244">
        <v>2482</v>
      </c>
      <c r="P1244">
        <v>2.35</v>
      </c>
      <c r="Q1244">
        <v>71</v>
      </c>
      <c r="R1244">
        <v>412</v>
      </c>
    </row>
    <row r="1245" spans="1:18" x14ac:dyDescent="0.2">
      <c r="A1245">
        <v>0</v>
      </c>
      <c r="B1245" t="s">
        <v>81</v>
      </c>
      <c r="E1245" t="s">
        <v>36</v>
      </c>
      <c r="F1245">
        <v>1327774</v>
      </c>
      <c r="G1245">
        <v>4</v>
      </c>
      <c r="H1245">
        <v>2</v>
      </c>
      <c r="I1245">
        <v>808</v>
      </c>
      <c r="J1245">
        <v>1996</v>
      </c>
      <c r="K1245" s="4">
        <v>45824</v>
      </c>
      <c r="L1245" t="s">
        <v>30</v>
      </c>
      <c r="M1245" t="s">
        <v>54</v>
      </c>
      <c r="N1245">
        <v>3.43</v>
      </c>
      <c r="O1245">
        <v>1654</v>
      </c>
      <c r="P1245">
        <v>0.66</v>
      </c>
      <c r="Q1245">
        <v>399</v>
      </c>
      <c r="R1245">
        <v>695</v>
      </c>
    </row>
    <row r="1246" spans="1:18" x14ac:dyDescent="0.2">
      <c r="A1246">
        <v>4</v>
      </c>
      <c r="B1246" t="s">
        <v>95</v>
      </c>
      <c r="E1246" t="s">
        <v>36</v>
      </c>
      <c r="F1246">
        <v>1395239</v>
      </c>
      <c r="G1246">
        <v>3</v>
      </c>
      <c r="H1246">
        <v>2</v>
      </c>
      <c r="I1246">
        <v>808</v>
      </c>
      <c r="J1246">
        <v>1953</v>
      </c>
      <c r="K1246" s="4">
        <v>44246</v>
      </c>
      <c r="L1246" t="s">
        <v>23</v>
      </c>
      <c r="M1246" t="s">
        <v>68</v>
      </c>
      <c r="N1246">
        <v>1.74</v>
      </c>
      <c r="O1246">
        <v>1261</v>
      </c>
      <c r="P1246">
        <v>2.96</v>
      </c>
      <c r="Q1246">
        <v>287</v>
      </c>
      <c r="R1246">
        <v>497</v>
      </c>
    </row>
    <row r="1247" spans="1:18" x14ac:dyDescent="0.2">
      <c r="A1247">
        <v>4</v>
      </c>
      <c r="B1247" t="s">
        <v>73</v>
      </c>
      <c r="E1247" t="s">
        <v>29</v>
      </c>
      <c r="F1247">
        <v>2106237</v>
      </c>
      <c r="G1247">
        <v>4</v>
      </c>
      <c r="H1247">
        <v>3</v>
      </c>
      <c r="I1247">
        <v>511</v>
      </c>
      <c r="J1247">
        <v>1960</v>
      </c>
      <c r="K1247" s="4">
        <v>45261</v>
      </c>
      <c r="L1247" t="s">
        <v>30</v>
      </c>
      <c r="M1247" t="s">
        <v>69</v>
      </c>
      <c r="N1247">
        <v>1.59</v>
      </c>
      <c r="O1247">
        <v>1182</v>
      </c>
      <c r="P1247">
        <v>1.48</v>
      </c>
      <c r="Q1247">
        <v>209</v>
      </c>
      <c r="R1247">
        <v>527</v>
      </c>
    </row>
    <row r="1248" spans="1:18" x14ac:dyDescent="0.2">
      <c r="A1248">
        <v>6</v>
      </c>
      <c r="B1248" t="s">
        <v>67</v>
      </c>
      <c r="E1248" t="s">
        <v>51</v>
      </c>
      <c r="F1248">
        <v>2520969</v>
      </c>
      <c r="G1248">
        <v>4</v>
      </c>
      <c r="H1248">
        <v>3</v>
      </c>
      <c r="I1248">
        <v>556</v>
      </c>
      <c r="J1248">
        <v>1986</v>
      </c>
      <c r="K1248" s="4">
        <v>44855</v>
      </c>
      <c r="L1248" t="s">
        <v>23</v>
      </c>
      <c r="M1248" t="s">
        <v>77</v>
      </c>
      <c r="N1248">
        <v>2.92</v>
      </c>
      <c r="O1248">
        <v>926</v>
      </c>
      <c r="P1248">
        <v>1.1399999999999999</v>
      </c>
      <c r="Q1248">
        <v>248</v>
      </c>
      <c r="R1248">
        <v>422</v>
      </c>
    </row>
    <row r="1249" spans="1:18" x14ac:dyDescent="0.2">
      <c r="A1249">
        <v>3</v>
      </c>
      <c r="B1249" t="s">
        <v>39</v>
      </c>
      <c r="E1249" t="s">
        <v>36</v>
      </c>
      <c r="F1249">
        <v>462818</v>
      </c>
      <c r="G1249">
        <v>4</v>
      </c>
      <c r="H1249">
        <v>1</v>
      </c>
      <c r="I1249">
        <v>843</v>
      </c>
      <c r="J1249">
        <v>2018</v>
      </c>
      <c r="K1249" s="4">
        <v>44416</v>
      </c>
      <c r="L1249" t="s">
        <v>20</v>
      </c>
      <c r="M1249" t="s">
        <v>21</v>
      </c>
      <c r="N1249">
        <v>2.13</v>
      </c>
      <c r="O1249">
        <v>844</v>
      </c>
      <c r="P1249">
        <v>0.16</v>
      </c>
      <c r="Q1249">
        <v>302</v>
      </c>
      <c r="R1249">
        <v>563</v>
      </c>
    </row>
    <row r="1250" spans="1:18" x14ac:dyDescent="0.2">
      <c r="A1250">
        <v>1</v>
      </c>
      <c r="B1250" t="s">
        <v>53</v>
      </c>
      <c r="E1250" t="s">
        <v>36</v>
      </c>
      <c r="F1250">
        <v>2017521</v>
      </c>
      <c r="G1250">
        <v>3</v>
      </c>
      <c r="H1250">
        <v>1</v>
      </c>
      <c r="I1250">
        <v>388</v>
      </c>
      <c r="J1250">
        <v>2004</v>
      </c>
      <c r="K1250" s="4">
        <v>44225</v>
      </c>
      <c r="L1250" t="s">
        <v>26</v>
      </c>
      <c r="M1250" t="s">
        <v>74</v>
      </c>
      <c r="N1250">
        <v>3</v>
      </c>
      <c r="O1250">
        <v>1201</v>
      </c>
      <c r="P1250">
        <v>4.66</v>
      </c>
      <c r="Q1250">
        <v>313</v>
      </c>
      <c r="R1250">
        <v>619</v>
      </c>
    </row>
    <row r="1251" spans="1:18" x14ac:dyDescent="0.2">
      <c r="A1251">
        <v>8</v>
      </c>
      <c r="B1251" t="s">
        <v>87</v>
      </c>
      <c r="E1251" t="s">
        <v>36</v>
      </c>
      <c r="F1251">
        <v>927176</v>
      </c>
      <c r="G1251">
        <v>3</v>
      </c>
      <c r="H1251">
        <v>2</v>
      </c>
      <c r="I1251">
        <v>236</v>
      </c>
      <c r="J1251">
        <v>1984</v>
      </c>
      <c r="K1251" s="4">
        <v>44990</v>
      </c>
      <c r="L1251" t="s">
        <v>30</v>
      </c>
      <c r="M1251" t="s">
        <v>70</v>
      </c>
      <c r="N1251">
        <v>2.66</v>
      </c>
      <c r="O1251">
        <v>1679</v>
      </c>
      <c r="P1251">
        <v>2.2200000000000002</v>
      </c>
      <c r="Q1251">
        <v>304</v>
      </c>
      <c r="R1251">
        <v>479</v>
      </c>
    </row>
    <row r="1252" spans="1:18" x14ac:dyDescent="0.2">
      <c r="A1252">
        <v>1</v>
      </c>
      <c r="B1252" t="s">
        <v>72</v>
      </c>
      <c r="E1252" t="s">
        <v>29</v>
      </c>
      <c r="F1252">
        <v>2821758</v>
      </c>
      <c r="G1252">
        <v>3</v>
      </c>
      <c r="H1252">
        <v>3</v>
      </c>
      <c r="I1252">
        <v>662</v>
      </c>
      <c r="J1252">
        <v>1993</v>
      </c>
      <c r="K1252" s="4">
        <v>44936</v>
      </c>
      <c r="L1252" t="s">
        <v>20</v>
      </c>
      <c r="M1252" t="s">
        <v>35</v>
      </c>
      <c r="N1252">
        <v>2.68</v>
      </c>
      <c r="O1252">
        <v>1957</v>
      </c>
      <c r="P1252">
        <v>2.4700000000000002</v>
      </c>
      <c r="Q1252">
        <v>267</v>
      </c>
      <c r="R1252">
        <v>458</v>
      </c>
    </row>
    <row r="1253" spans="1:18" x14ac:dyDescent="0.2">
      <c r="A1253">
        <v>6</v>
      </c>
      <c r="B1253" t="s">
        <v>49</v>
      </c>
      <c r="E1253" t="s">
        <v>36</v>
      </c>
      <c r="F1253">
        <v>587967</v>
      </c>
      <c r="G1253">
        <v>6</v>
      </c>
      <c r="H1253">
        <v>3</v>
      </c>
      <c r="I1253">
        <v>361</v>
      </c>
      <c r="J1253">
        <v>1952</v>
      </c>
      <c r="K1253" s="4">
        <v>44177</v>
      </c>
      <c r="L1253" t="s">
        <v>20</v>
      </c>
      <c r="M1253" t="s">
        <v>33</v>
      </c>
      <c r="N1253">
        <v>1.97</v>
      </c>
      <c r="O1253">
        <v>1935</v>
      </c>
      <c r="P1253">
        <v>4.03</v>
      </c>
      <c r="Q1253">
        <v>371</v>
      </c>
      <c r="R1253">
        <v>530</v>
      </c>
    </row>
    <row r="1254" spans="1:18" x14ac:dyDescent="0.2">
      <c r="A1254">
        <v>3</v>
      </c>
      <c r="B1254" t="s">
        <v>50</v>
      </c>
      <c r="E1254" t="s">
        <v>19</v>
      </c>
      <c r="F1254">
        <v>999991</v>
      </c>
      <c r="G1254">
        <v>3</v>
      </c>
      <c r="H1254">
        <v>1</v>
      </c>
      <c r="I1254">
        <v>674</v>
      </c>
      <c r="J1254">
        <v>1967</v>
      </c>
      <c r="K1254" s="4">
        <v>44820</v>
      </c>
      <c r="L1254" t="s">
        <v>23</v>
      </c>
      <c r="M1254" t="s">
        <v>21</v>
      </c>
      <c r="N1254">
        <v>2.68</v>
      </c>
      <c r="O1254">
        <v>2017</v>
      </c>
      <c r="P1254">
        <v>4.0199999999999996</v>
      </c>
      <c r="Q1254">
        <v>211</v>
      </c>
      <c r="R1254">
        <v>395</v>
      </c>
    </row>
    <row r="1255" spans="1:18" x14ac:dyDescent="0.2">
      <c r="A1255">
        <v>8</v>
      </c>
      <c r="B1255" t="s">
        <v>98</v>
      </c>
      <c r="E1255" t="s">
        <v>19</v>
      </c>
      <c r="F1255">
        <v>2677009</v>
      </c>
      <c r="G1255">
        <v>4</v>
      </c>
      <c r="H1255">
        <v>3</v>
      </c>
      <c r="I1255">
        <v>499</v>
      </c>
      <c r="J1255">
        <v>1957</v>
      </c>
      <c r="K1255" s="4">
        <v>44097</v>
      </c>
      <c r="L1255" t="s">
        <v>23</v>
      </c>
      <c r="M1255" t="s">
        <v>31</v>
      </c>
      <c r="N1255">
        <v>3.24</v>
      </c>
      <c r="O1255">
        <v>1948</v>
      </c>
      <c r="P1255">
        <v>1.67</v>
      </c>
      <c r="Q1255">
        <v>324</v>
      </c>
      <c r="R1255">
        <v>335</v>
      </c>
    </row>
    <row r="1256" spans="1:18" x14ac:dyDescent="0.2">
      <c r="A1256">
        <v>1</v>
      </c>
      <c r="B1256" t="s">
        <v>98</v>
      </c>
      <c r="E1256" t="s">
        <v>51</v>
      </c>
      <c r="F1256">
        <v>2322171</v>
      </c>
      <c r="G1256">
        <v>2</v>
      </c>
      <c r="H1256">
        <v>3</v>
      </c>
      <c r="I1256">
        <v>579</v>
      </c>
      <c r="J1256">
        <v>1953</v>
      </c>
      <c r="K1256" s="4">
        <v>44926</v>
      </c>
      <c r="L1256" t="s">
        <v>26</v>
      </c>
      <c r="M1256" t="s">
        <v>82</v>
      </c>
      <c r="N1256">
        <v>3.2</v>
      </c>
      <c r="O1256">
        <v>2473</v>
      </c>
      <c r="P1256">
        <v>1.78</v>
      </c>
      <c r="Q1256">
        <v>42</v>
      </c>
      <c r="R1256">
        <v>522</v>
      </c>
    </row>
    <row r="1257" spans="1:18" x14ac:dyDescent="0.2">
      <c r="A1257">
        <v>7</v>
      </c>
      <c r="B1257" t="s">
        <v>105</v>
      </c>
      <c r="E1257" t="s">
        <v>51</v>
      </c>
      <c r="F1257">
        <v>2172832</v>
      </c>
      <c r="G1257">
        <v>1</v>
      </c>
      <c r="H1257">
        <v>1</v>
      </c>
      <c r="I1257">
        <v>792</v>
      </c>
      <c r="J1257">
        <v>1970</v>
      </c>
      <c r="K1257" s="4">
        <v>45508</v>
      </c>
      <c r="L1257" t="s">
        <v>30</v>
      </c>
      <c r="M1257" t="s">
        <v>70</v>
      </c>
      <c r="N1257">
        <v>2.34</v>
      </c>
      <c r="O1257">
        <v>893</v>
      </c>
      <c r="P1257">
        <v>2.42</v>
      </c>
      <c r="Q1257">
        <v>92</v>
      </c>
      <c r="R1257">
        <v>458</v>
      </c>
    </row>
    <row r="1258" spans="1:18" x14ac:dyDescent="0.2">
      <c r="A1258">
        <v>7</v>
      </c>
      <c r="B1258" t="s">
        <v>104</v>
      </c>
      <c r="E1258" t="s">
        <v>51</v>
      </c>
      <c r="F1258">
        <v>469834</v>
      </c>
      <c r="G1258">
        <v>5</v>
      </c>
      <c r="H1258">
        <v>1</v>
      </c>
      <c r="I1258">
        <v>772</v>
      </c>
      <c r="J1258">
        <v>1966</v>
      </c>
      <c r="K1258" s="4">
        <v>44077</v>
      </c>
      <c r="L1258" t="s">
        <v>26</v>
      </c>
      <c r="M1258" t="s">
        <v>59</v>
      </c>
      <c r="N1258">
        <v>1.76</v>
      </c>
      <c r="O1258">
        <v>2230</v>
      </c>
      <c r="P1258">
        <v>0.31</v>
      </c>
      <c r="Q1258">
        <v>268</v>
      </c>
      <c r="R1258">
        <v>688</v>
      </c>
    </row>
    <row r="1259" spans="1:18" x14ac:dyDescent="0.2">
      <c r="A1259">
        <v>4</v>
      </c>
      <c r="B1259" t="s">
        <v>83</v>
      </c>
      <c r="E1259" t="s">
        <v>29</v>
      </c>
      <c r="F1259">
        <v>1911512</v>
      </c>
      <c r="G1259">
        <v>3</v>
      </c>
      <c r="H1259">
        <v>3</v>
      </c>
      <c r="I1259">
        <v>874</v>
      </c>
      <c r="J1259">
        <v>1990</v>
      </c>
      <c r="K1259" s="4">
        <v>44281</v>
      </c>
      <c r="L1259" t="s">
        <v>26</v>
      </c>
      <c r="M1259" t="s">
        <v>56</v>
      </c>
      <c r="N1259">
        <v>2.46</v>
      </c>
      <c r="O1259">
        <v>1557</v>
      </c>
      <c r="P1259">
        <v>4.22</v>
      </c>
      <c r="Q1259">
        <v>92</v>
      </c>
      <c r="R1259">
        <v>689</v>
      </c>
    </row>
    <row r="1260" spans="1:18" x14ac:dyDescent="0.2">
      <c r="A1260">
        <v>7</v>
      </c>
      <c r="B1260" t="s">
        <v>41</v>
      </c>
      <c r="E1260" t="s">
        <v>36</v>
      </c>
      <c r="F1260">
        <v>2257073</v>
      </c>
      <c r="G1260">
        <v>3</v>
      </c>
      <c r="H1260">
        <v>3</v>
      </c>
      <c r="I1260">
        <v>86</v>
      </c>
      <c r="J1260">
        <v>1999</v>
      </c>
      <c r="K1260" s="4">
        <v>45134</v>
      </c>
      <c r="L1260" t="s">
        <v>23</v>
      </c>
      <c r="M1260" t="s">
        <v>85</v>
      </c>
      <c r="N1260">
        <v>1.88</v>
      </c>
      <c r="O1260">
        <v>1752</v>
      </c>
      <c r="P1260">
        <v>1.47</v>
      </c>
      <c r="Q1260">
        <v>186</v>
      </c>
      <c r="R1260">
        <v>609</v>
      </c>
    </row>
    <row r="1261" spans="1:18" x14ac:dyDescent="0.2">
      <c r="A1261">
        <v>2</v>
      </c>
      <c r="B1261" t="s">
        <v>93</v>
      </c>
      <c r="E1261" t="s">
        <v>19</v>
      </c>
      <c r="F1261">
        <v>479321</v>
      </c>
      <c r="G1261">
        <v>3</v>
      </c>
      <c r="H1261">
        <v>2</v>
      </c>
      <c r="I1261">
        <v>127</v>
      </c>
      <c r="J1261">
        <v>2020</v>
      </c>
      <c r="K1261" s="4">
        <v>44873</v>
      </c>
      <c r="L1261" t="s">
        <v>30</v>
      </c>
      <c r="M1261" t="s">
        <v>59</v>
      </c>
      <c r="N1261">
        <v>1.79</v>
      </c>
      <c r="O1261">
        <v>2435</v>
      </c>
      <c r="P1261">
        <v>1.9</v>
      </c>
      <c r="Q1261">
        <v>156</v>
      </c>
      <c r="R1261">
        <v>388</v>
      </c>
    </row>
    <row r="1262" spans="1:18" x14ac:dyDescent="0.2">
      <c r="A1262">
        <v>9</v>
      </c>
      <c r="B1262" t="s">
        <v>95</v>
      </c>
      <c r="E1262" t="s">
        <v>19</v>
      </c>
      <c r="F1262">
        <v>848461</v>
      </c>
      <c r="G1262">
        <v>0</v>
      </c>
      <c r="H1262">
        <v>2</v>
      </c>
      <c r="I1262">
        <v>376</v>
      </c>
      <c r="J1262">
        <v>1991</v>
      </c>
      <c r="K1262" s="4">
        <v>44936</v>
      </c>
      <c r="L1262" t="s">
        <v>30</v>
      </c>
      <c r="M1262" t="s">
        <v>31</v>
      </c>
      <c r="N1262">
        <v>3.14</v>
      </c>
      <c r="O1262">
        <v>2110</v>
      </c>
      <c r="P1262">
        <v>4.45</v>
      </c>
      <c r="Q1262">
        <v>61</v>
      </c>
      <c r="R1262">
        <v>633</v>
      </c>
    </row>
    <row r="1263" spans="1:18" x14ac:dyDescent="0.2">
      <c r="A1263">
        <v>5</v>
      </c>
      <c r="B1263" t="s">
        <v>32</v>
      </c>
      <c r="E1263" t="s">
        <v>29</v>
      </c>
      <c r="F1263">
        <v>1927750</v>
      </c>
      <c r="G1263">
        <v>3</v>
      </c>
      <c r="H1263">
        <v>1</v>
      </c>
      <c r="I1263">
        <v>992</v>
      </c>
      <c r="J1263">
        <v>1988</v>
      </c>
      <c r="K1263" s="4">
        <v>44995</v>
      </c>
      <c r="L1263" t="s">
        <v>23</v>
      </c>
      <c r="M1263" t="s">
        <v>52</v>
      </c>
      <c r="N1263">
        <v>1.97</v>
      </c>
      <c r="O1263">
        <v>2370</v>
      </c>
      <c r="P1263">
        <v>2.39</v>
      </c>
      <c r="Q1263">
        <v>127</v>
      </c>
      <c r="R1263">
        <v>510</v>
      </c>
    </row>
    <row r="1264" spans="1:18" x14ac:dyDescent="0.2">
      <c r="A1264">
        <v>3</v>
      </c>
      <c r="B1264" t="s">
        <v>39</v>
      </c>
      <c r="E1264" t="s">
        <v>19</v>
      </c>
      <c r="F1264">
        <v>1794665</v>
      </c>
      <c r="G1264">
        <v>0</v>
      </c>
      <c r="H1264">
        <v>2</v>
      </c>
      <c r="I1264">
        <v>198</v>
      </c>
      <c r="J1264">
        <v>1951</v>
      </c>
      <c r="K1264" s="4">
        <v>45795</v>
      </c>
      <c r="L1264" t="s">
        <v>30</v>
      </c>
      <c r="M1264" t="s">
        <v>54</v>
      </c>
      <c r="N1264">
        <v>1.83</v>
      </c>
      <c r="O1264">
        <v>1337</v>
      </c>
      <c r="P1264">
        <v>0.48</v>
      </c>
      <c r="Q1264">
        <v>68</v>
      </c>
      <c r="R1264">
        <v>437</v>
      </c>
    </row>
    <row r="1265" spans="1:18" x14ac:dyDescent="0.2">
      <c r="A1265">
        <v>9</v>
      </c>
      <c r="B1265" t="s">
        <v>61</v>
      </c>
      <c r="E1265" t="s">
        <v>36</v>
      </c>
      <c r="F1265">
        <v>1314052</v>
      </c>
      <c r="G1265">
        <v>2</v>
      </c>
      <c r="H1265">
        <v>2</v>
      </c>
      <c r="I1265">
        <v>647</v>
      </c>
      <c r="J1265">
        <v>1991</v>
      </c>
      <c r="K1265" s="4">
        <v>45708</v>
      </c>
      <c r="L1265" t="s">
        <v>23</v>
      </c>
      <c r="M1265" t="s">
        <v>35</v>
      </c>
      <c r="N1265">
        <v>2.33</v>
      </c>
      <c r="O1265">
        <v>915</v>
      </c>
      <c r="P1265">
        <v>4.2</v>
      </c>
      <c r="Q1265">
        <v>189</v>
      </c>
      <c r="R1265">
        <v>529</v>
      </c>
    </row>
    <row r="1266" spans="1:18" x14ac:dyDescent="0.2">
      <c r="A1266">
        <v>9</v>
      </c>
      <c r="B1266" t="s">
        <v>99</v>
      </c>
      <c r="E1266" t="s">
        <v>51</v>
      </c>
      <c r="F1266">
        <v>650166</v>
      </c>
      <c r="G1266">
        <v>2</v>
      </c>
      <c r="H1266">
        <v>2</v>
      </c>
      <c r="I1266">
        <v>156</v>
      </c>
      <c r="J1266">
        <v>1960</v>
      </c>
      <c r="K1266" s="4">
        <v>44239</v>
      </c>
      <c r="L1266" t="s">
        <v>30</v>
      </c>
      <c r="M1266" t="s">
        <v>40</v>
      </c>
      <c r="N1266">
        <v>1.53</v>
      </c>
      <c r="O1266">
        <v>1260</v>
      </c>
      <c r="P1266">
        <v>2.2599999999999998</v>
      </c>
      <c r="Q1266">
        <v>202</v>
      </c>
      <c r="R1266">
        <v>559</v>
      </c>
    </row>
    <row r="1267" spans="1:18" x14ac:dyDescent="0.2">
      <c r="A1267">
        <v>4</v>
      </c>
      <c r="B1267" t="s">
        <v>96</v>
      </c>
      <c r="E1267" t="s">
        <v>51</v>
      </c>
      <c r="F1267">
        <v>783228</v>
      </c>
      <c r="G1267">
        <v>2</v>
      </c>
      <c r="H1267">
        <v>2</v>
      </c>
      <c r="I1267">
        <v>177</v>
      </c>
      <c r="J1267">
        <v>2003</v>
      </c>
      <c r="K1267" s="4">
        <v>45637</v>
      </c>
      <c r="L1267" t="s">
        <v>20</v>
      </c>
      <c r="M1267" t="s">
        <v>69</v>
      </c>
      <c r="N1267">
        <v>3.29</v>
      </c>
      <c r="O1267">
        <v>1866</v>
      </c>
      <c r="P1267">
        <v>2.71</v>
      </c>
      <c r="Q1267">
        <v>51</v>
      </c>
      <c r="R1267">
        <v>590</v>
      </c>
    </row>
    <row r="1268" spans="1:18" x14ac:dyDescent="0.2">
      <c r="A1268">
        <v>6</v>
      </c>
      <c r="B1268" t="s">
        <v>62</v>
      </c>
      <c r="E1268" t="s">
        <v>51</v>
      </c>
      <c r="F1268">
        <v>1358966</v>
      </c>
      <c r="G1268">
        <v>3</v>
      </c>
      <c r="H1268">
        <v>3</v>
      </c>
      <c r="I1268">
        <v>724</v>
      </c>
      <c r="J1268">
        <v>1973</v>
      </c>
      <c r="K1268" s="4">
        <v>44667</v>
      </c>
      <c r="L1268" t="s">
        <v>23</v>
      </c>
      <c r="M1268" t="s">
        <v>45</v>
      </c>
      <c r="N1268">
        <v>2.83</v>
      </c>
      <c r="O1268">
        <v>2095</v>
      </c>
      <c r="P1268">
        <v>4.92</v>
      </c>
      <c r="Q1268">
        <v>207</v>
      </c>
      <c r="R1268">
        <v>605</v>
      </c>
    </row>
    <row r="1269" spans="1:18" x14ac:dyDescent="0.2">
      <c r="A1269">
        <v>9</v>
      </c>
      <c r="B1269" t="s">
        <v>86</v>
      </c>
      <c r="E1269" t="s">
        <v>29</v>
      </c>
      <c r="F1269">
        <v>2500699</v>
      </c>
      <c r="G1269">
        <v>3</v>
      </c>
      <c r="H1269">
        <v>1</v>
      </c>
      <c r="I1269">
        <v>451</v>
      </c>
      <c r="J1269">
        <v>1985</v>
      </c>
      <c r="K1269" s="4">
        <v>44320</v>
      </c>
      <c r="L1269" t="s">
        <v>20</v>
      </c>
      <c r="M1269" t="s">
        <v>31</v>
      </c>
      <c r="N1269">
        <v>3.19</v>
      </c>
      <c r="O1269">
        <v>2363</v>
      </c>
      <c r="P1269">
        <v>3.24</v>
      </c>
      <c r="Q1269">
        <v>255</v>
      </c>
      <c r="R1269">
        <v>637</v>
      </c>
    </row>
    <row r="1270" spans="1:18" x14ac:dyDescent="0.2">
      <c r="A1270">
        <v>3</v>
      </c>
      <c r="B1270" t="s">
        <v>95</v>
      </c>
      <c r="E1270" t="s">
        <v>36</v>
      </c>
      <c r="F1270">
        <v>2244997</v>
      </c>
      <c r="G1270">
        <v>2</v>
      </c>
      <c r="H1270">
        <v>1</v>
      </c>
      <c r="I1270">
        <v>282</v>
      </c>
      <c r="J1270">
        <v>1953</v>
      </c>
      <c r="K1270" s="4">
        <v>44525</v>
      </c>
      <c r="L1270" t="s">
        <v>23</v>
      </c>
      <c r="M1270" t="s">
        <v>35</v>
      </c>
      <c r="N1270">
        <v>1.59</v>
      </c>
      <c r="O1270">
        <v>1223</v>
      </c>
      <c r="P1270">
        <v>3.95</v>
      </c>
      <c r="Q1270">
        <v>201</v>
      </c>
      <c r="R1270">
        <v>476</v>
      </c>
    </row>
    <row r="1271" spans="1:18" x14ac:dyDescent="0.2">
      <c r="A1271">
        <v>8</v>
      </c>
      <c r="B1271" t="s">
        <v>28</v>
      </c>
      <c r="E1271" t="s">
        <v>29</v>
      </c>
      <c r="F1271">
        <v>617768</v>
      </c>
      <c r="G1271">
        <v>2</v>
      </c>
      <c r="H1271">
        <v>2</v>
      </c>
      <c r="I1271">
        <v>299</v>
      </c>
      <c r="J1271">
        <v>1955</v>
      </c>
      <c r="K1271" s="4">
        <v>45826</v>
      </c>
      <c r="L1271" t="s">
        <v>20</v>
      </c>
      <c r="M1271" t="s">
        <v>70</v>
      </c>
      <c r="N1271">
        <v>3.33</v>
      </c>
      <c r="O1271">
        <v>2492</v>
      </c>
      <c r="P1271">
        <v>3.33</v>
      </c>
      <c r="Q1271">
        <v>216</v>
      </c>
      <c r="R1271">
        <v>644</v>
      </c>
    </row>
    <row r="1272" spans="1:18" x14ac:dyDescent="0.2">
      <c r="A1272">
        <v>4</v>
      </c>
      <c r="B1272" t="s">
        <v>75</v>
      </c>
      <c r="E1272" t="s">
        <v>19</v>
      </c>
      <c r="F1272">
        <v>940325</v>
      </c>
      <c r="G1272">
        <v>4</v>
      </c>
      <c r="H1272">
        <v>2</v>
      </c>
      <c r="I1272">
        <v>386</v>
      </c>
      <c r="J1272">
        <v>2004</v>
      </c>
      <c r="K1272" s="4">
        <v>44967</v>
      </c>
      <c r="L1272" t="s">
        <v>23</v>
      </c>
      <c r="M1272" t="s">
        <v>40</v>
      </c>
      <c r="N1272">
        <v>3.32</v>
      </c>
      <c r="O1272">
        <v>2329</v>
      </c>
      <c r="P1272">
        <v>2.64</v>
      </c>
      <c r="Q1272">
        <v>322</v>
      </c>
      <c r="R1272">
        <v>687</v>
      </c>
    </row>
    <row r="1273" spans="1:18" x14ac:dyDescent="0.2">
      <c r="A1273">
        <v>0</v>
      </c>
      <c r="B1273" t="s">
        <v>64</v>
      </c>
      <c r="E1273" t="s">
        <v>36</v>
      </c>
      <c r="F1273">
        <v>2111297</v>
      </c>
      <c r="G1273">
        <v>6</v>
      </c>
      <c r="H1273">
        <v>3</v>
      </c>
      <c r="I1273">
        <v>460</v>
      </c>
      <c r="J1273">
        <v>1988</v>
      </c>
      <c r="K1273" s="4">
        <v>44091</v>
      </c>
      <c r="L1273" t="s">
        <v>26</v>
      </c>
      <c r="M1273" t="s">
        <v>27</v>
      </c>
      <c r="N1273">
        <v>2.71</v>
      </c>
      <c r="O1273">
        <v>1015</v>
      </c>
      <c r="P1273">
        <v>0.25</v>
      </c>
      <c r="Q1273">
        <v>374</v>
      </c>
      <c r="R1273">
        <v>429</v>
      </c>
    </row>
    <row r="1274" spans="1:18" x14ac:dyDescent="0.2">
      <c r="A1274">
        <v>3</v>
      </c>
      <c r="B1274" t="s">
        <v>93</v>
      </c>
      <c r="E1274" t="s">
        <v>29</v>
      </c>
      <c r="F1274">
        <v>2652587</v>
      </c>
      <c r="G1274">
        <v>2</v>
      </c>
      <c r="H1274">
        <v>3</v>
      </c>
      <c r="I1274">
        <v>405</v>
      </c>
      <c r="J1274">
        <v>1994</v>
      </c>
      <c r="K1274" s="4">
        <v>44442</v>
      </c>
      <c r="L1274" t="s">
        <v>20</v>
      </c>
      <c r="M1274" t="s">
        <v>60</v>
      </c>
      <c r="N1274">
        <v>2.09</v>
      </c>
      <c r="O1274">
        <v>2433</v>
      </c>
      <c r="P1274">
        <v>2.0499999999999998</v>
      </c>
      <c r="Q1274">
        <v>141</v>
      </c>
      <c r="R1274">
        <v>444</v>
      </c>
    </row>
    <row r="1275" spans="1:18" x14ac:dyDescent="0.2">
      <c r="A1275">
        <v>1</v>
      </c>
      <c r="B1275" t="s">
        <v>98</v>
      </c>
      <c r="E1275" t="s">
        <v>51</v>
      </c>
      <c r="F1275">
        <v>1623847</v>
      </c>
      <c r="G1275">
        <v>4</v>
      </c>
      <c r="H1275">
        <v>3</v>
      </c>
      <c r="I1275">
        <v>253</v>
      </c>
      <c r="J1275">
        <v>1977</v>
      </c>
      <c r="K1275" s="4">
        <v>45843</v>
      </c>
      <c r="L1275" t="s">
        <v>26</v>
      </c>
      <c r="M1275" t="s">
        <v>45</v>
      </c>
      <c r="N1275">
        <v>2.64</v>
      </c>
      <c r="O1275">
        <v>2170</v>
      </c>
      <c r="P1275">
        <v>2</v>
      </c>
      <c r="Q1275">
        <v>314</v>
      </c>
      <c r="R1275">
        <v>465</v>
      </c>
    </row>
    <row r="1276" spans="1:18" x14ac:dyDescent="0.2">
      <c r="A1276">
        <v>3</v>
      </c>
      <c r="B1276" t="s">
        <v>41</v>
      </c>
      <c r="E1276" t="s">
        <v>29</v>
      </c>
      <c r="F1276">
        <v>2112310</v>
      </c>
      <c r="G1276">
        <v>3</v>
      </c>
      <c r="H1276">
        <v>3</v>
      </c>
      <c r="I1276">
        <v>213</v>
      </c>
      <c r="J1276">
        <v>1951</v>
      </c>
      <c r="K1276" s="4">
        <v>44907</v>
      </c>
      <c r="L1276" t="s">
        <v>20</v>
      </c>
      <c r="M1276" t="s">
        <v>56</v>
      </c>
      <c r="N1276">
        <v>3.19</v>
      </c>
      <c r="O1276">
        <v>885</v>
      </c>
      <c r="P1276">
        <v>2.81</v>
      </c>
      <c r="Q1276">
        <v>82</v>
      </c>
      <c r="R1276">
        <v>610</v>
      </c>
    </row>
    <row r="1277" spans="1:18" x14ac:dyDescent="0.2">
      <c r="A1277">
        <v>3</v>
      </c>
      <c r="B1277" t="s">
        <v>106</v>
      </c>
      <c r="E1277" t="s">
        <v>36</v>
      </c>
      <c r="F1277">
        <v>1440011</v>
      </c>
      <c r="G1277">
        <v>0</v>
      </c>
      <c r="H1277">
        <v>1</v>
      </c>
      <c r="I1277">
        <v>775</v>
      </c>
      <c r="J1277">
        <v>1960</v>
      </c>
      <c r="K1277" s="4">
        <v>45109</v>
      </c>
      <c r="L1277" t="s">
        <v>23</v>
      </c>
      <c r="M1277" t="s">
        <v>31</v>
      </c>
      <c r="N1277">
        <v>2.61</v>
      </c>
      <c r="O1277">
        <v>2241</v>
      </c>
      <c r="P1277">
        <v>4.72</v>
      </c>
      <c r="Q1277">
        <v>67</v>
      </c>
      <c r="R1277">
        <v>646</v>
      </c>
    </row>
    <row r="1278" spans="1:18" x14ac:dyDescent="0.2">
      <c r="A1278">
        <v>4</v>
      </c>
      <c r="B1278" t="s">
        <v>100</v>
      </c>
      <c r="E1278" t="s">
        <v>19</v>
      </c>
      <c r="F1278">
        <v>2653001</v>
      </c>
      <c r="G1278">
        <v>3</v>
      </c>
      <c r="H1278">
        <v>1</v>
      </c>
      <c r="I1278">
        <v>380</v>
      </c>
      <c r="J1278">
        <v>2007</v>
      </c>
      <c r="K1278" s="4">
        <v>44747</v>
      </c>
      <c r="L1278" t="s">
        <v>30</v>
      </c>
      <c r="M1278" t="s">
        <v>56</v>
      </c>
      <c r="N1278">
        <v>2.5499999999999998</v>
      </c>
      <c r="O1278">
        <v>2340</v>
      </c>
      <c r="P1278">
        <v>2.63</v>
      </c>
      <c r="Q1278">
        <v>91</v>
      </c>
      <c r="R1278">
        <v>654</v>
      </c>
    </row>
    <row r="1279" spans="1:18" x14ac:dyDescent="0.2">
      <c r="A1279">
        <v>8</v>
      </c>
      <c r="B1279" t="s">
        <v>46</v>
      </c>
      <c r="E1279" t="s">
        <v>51</v>
      </c>
      <c r="F1279">
        <v>2381021</v>
      </c>
      <c r="G1279">
        <v>2</v>
      </c>
      <c r="H1279">
        <v>2</v>
      </c>
      <c r="I1279">
        <v>634</v>
      </c>
      <c r="J1279">
        <v>1994</v>
      </c>
      <c r="K1279" s="4">
        <v>44998</v>
      </c>
      <c r="L1279" t="s">
        <v>30</v>
      </c>
      <c r="M1279" t="s">
        <v>21</v>
      </c>
      <c r="N1279">
        <v>3.04</v>
      </c>
      <c r="O1279">
        <v>2072</v>
      </c>
      <c r="P1279">
        <v>2.46</v>
      </c>
      <c r="Q1279">
        <v>140</v>
      </c>
      <c r="R1279">
        <v>338</v>
      </c>
    </row>
    <row r="1280" spans="1:18" x14ac:dyDescent="0.2">
      <c r="A1280">
        <v>4</v>
      </c>
      <c r="B1280" t="s">
        <v>105</v>
      </c>
      <c r="E1280" t="s">
        <v>29</v>
      </c>
      <c r="F1280">
        <v>1565795</v>
      </c>
      <c r="G1280">
        <v>3</v>
      </c>
      <c r="H1280">
        <v>1</v>
      </c>
      <c r="I1280">
        <v>358</v>
      </c>
      <c r="J1280">
        <v>1991</v>
      </c>
      <c r="K1280" s="4">
        <v>44737</v>
      </c>
      <c r="L1280" t="s">
        <v>20</v>
      </c>
      <c r="M1280" t="s">
        <v>27</v>
      </c>
      <c r="N1280">
        <v>1.54</v>
      </c>
      <c r="O1280">
        <v>1235</v>
      </c>
      <c r="P1280">
        <v>3.25</v>
      </c>
      <c r="Q1280">
        <v>142</v>
      </c>
      <c r="R1280">
        <v>340</v>
      </c>
    </row>
    <row r="1281" spans="1:18" x14ac:dyDescent="0.2">
      <c r="A1281">
        <v>2</v>
      </c>
      <c r="B1281" t="s">
        <v>81</v>
      </c>
      <c r="E1281" t="s">
        <v>29</v>
      </c>
      <c r="F1281">
        <v>1864482</v>
      </c>
      <c r="G1281">
        <v>2</v>
      </c>
      <c r="H1281">
        <v>3</v>
      </c>
      <c r="I1281">
        <v>861</v>
      </c>
      <c r="J1281">
        <v>1998</v>
      </c>
      <c r="K1281" s="4">
        <v>45561</v>
      </c>
      <c r="L1281" t="s">
        <v>23</v>
      </c>
      <c r="M1281" t="s">
        <v>68</v>
      </c>
      <c r="N1281">
        <v>2.23</v>
      </c>
      <c r="O1281">
        <v>1193</v>
      </c>
      <c r="P1281">
        <v>3.4</v>
      </c>
      <c r="Q1281">
        <v>196</v>
      </c>
      <c r="R1281">
        <v>569</v>
      </c>
    </row>
    <row r="1282" spans="1:18" x14ac:dyDescent="0.2">
      <c r="A1282">
        <v>3</v>
      </c>
      <c r="B1282" t="s">
        <v>98</v>
      </c>
      <c r="E1282" t="s">
        <v>19</v>
      </c>
      <c r="F1282">
        <v>1556025</v>
      </c>
      <c r="G1282">
        <v>3</v>
      </c>
      <c r="H1282">
        <v>1</v>
      </c>
      <c r="I1282">
        <v>657</v>
      </c>
      <c r="J1282">
        <v>1950</v>
      </c>
      <c r="K1282" s="4">
        <v>45652</v>
      </c>
      <c r="L1282" t="s">
        <v>23</v>
      </c>
      <c r="M1282" t="s">
        <v>76</v>
      </c>
      <c r="N1282">
        <v>2.54</v>
      </c>
      <c r="O1282">
        <v>2352</v>
      </c>
      <c r="P1282">
        <v>3.93</v>
      </c>
      <c r="Q1282">
        <v>225</v>
      </c>
      <c r="R1282">
        <v>577</v>
      </c>
    </row>
    <row r="1283" spans="1:18" x14ac:dyDescent="0.2">
      <c r="A1283">
        <v>2</v>
      </c>
      <c r="B1283" t="s">
        <v>101</v>
      </c>
      <c r="E1283" t="s">
        <v>51</v>
      </c>
      <c r="F1283">
        <v>2564031</v>
      </c>
      <c r="G1283">
        <v>2</v>
      </c>
      <c r="H1283">
        <v>2</v>
      </c>
      <c r="I1283">
        <v>417</v>
      </c>
      <c r="J1283">
        <v>1973</v>
      </c>
      <c r="K1283" s="4">
        <v>44799</v>
      </c>
      <c r="L1283" t="s">
        <v>30</v>
      </c>
      <c r="M1283" t="s">
        <v>85</v>
      </c>
      <c r="N1283">
        <v>1.85</v>
      </c>
      <c r="O1283">
        <v>1428</v>
      </c>
      <c r="P1283">
        <v>2.12</v>
      </c>
      <c r="Q1283">
        <v>86</v>
      </c>
      <c r="R1283">
        <v>358</v>
      </c>
    </row>
    <row r="1284" spans="1:18" x14ac:dyDescent="0.2">
      <c r="A1284">
        <v>3</v>
      </c>
      <c r="B1284" t="s">
        <v>94</v>
      </c>
      <c r="E1284" t="s">
        <v>51</v>
      </c>
      <c r="F1284">
        <v>1547314</v>
      </c>
      <c r="G1284">
        <v>4</v>
      </c>
      <c r="H1284">
        <v>1</v>
      </c>
      <c r="I1284">
        <v>712</v>
      </c>
      <c r="J1284">
        <v>2015</v>
      </c>
      <c r="K1284" s="4">
        <v>44554</v>
      </c>
      <c r="L1284" t="s">
        <v>30</v>
      </c>
      <c r="M1284" t="s">
        <v>60</v>
      </c>
      <c r="N1284">
        <v>2.17</v>
      </c>
      <c r="O1284">
        <v>814</v>
      </c>
      <c r="P1284">
        <v>0.45</v>
      </c>
      <c r="Q1284">
        <v>242</v>
      </c>
      <c r="R1284">
        <v>322</v>
      </c>
    </row>
    <row r="1285" spans="1:18" x14ac:dyDescent="0.2">
      <c r="A1285">
        <v>1</v>
      </c>
      <c r="B1285" t="s">
        <v>100</v>
      </c>
      <c r="E1285" t="s">
        <v>29</v>
      </c>
      <c r="F1285">
        <v>2160333</v>
      </c>
      <c r="G1285">
        <v>3</v>
      </c>
      <c r="H1285">
        <v>2</v>
      </c>
      <c r="I1285">
        <v>281</v>
      </c>
      <c r="J1285">
        <v>1955</v>
      </c>
      <c r="K1285" s="4">
        <v>45491</v>
      </c>
      <c r="L1285" t="s">
        <v>23</v>
      </c>
      <c r="M1285" t="s">
        <v>70</v>
      </c>
      <c r="N1285">
        <v>2.04</v>
      </c>
      <c r="O1285">
        <v>2213</v>
      </c>
      <c r="P1285">
        <v>0.55000000000000004</v>
      </c>
      <c r="Q1285">
        <v>255</v>
      </c>
      <c r="R1285">
        <v>448</v>
      </c>
    </row>
    <row r="1286" spans="1:18" x14ac:dyDescent="0.2">
      <c r="A1286">
        <v>6</v>
      </c>
      <c r="B1286" t="s">
        <v>38</v>
      </c>
      <c r="E1286" t="s">
        <v>51</v>
      </c>
      <c r="F1286">
        <v>2661724</v>
      </c>
      <c r="G1286">
        <v>4</v>
      </c>
      <c r="H1286">
        <v>3</v>
      </c>
      <c r="I1286">
        <v>144</v>
      </c>
      <c r="J1286">
        <v>1982</v>
      </c>
      <c r="K1286" s="4">
        <v>44603</v>
      </c>
      <c r="L1286" t="s">
        <v>20</v>
      </c>
      <c r="M1286" t="s">
        <v>69</v>
      </c>
      <c r="N1286">
        <v>2.76</v>
      </c>
      <c r="O1286">
        <v>1255</v>
      </c>
      <c r="P1286">
        <v>1.5</v>
      </c>
      <c r="Q1286">
        <v>195</v>
      </c>
      <c r="R1286">
        <v>322</v>
      </c>
    </row>
    <row r="1287" spans="1:18" x14ac:dyDescent="0.2">
      <c r="A1287">
        <v>1</v>
      </c>
      <c r="B1287" t="s">
        <v>41</v>
      </c>
      <c r="E1287" t="s">
        <v>29</v>
      </c>
      <c r="F1287">
        <v>2084998</v>
      </c>
      <c r="G1287">
        <v>4</v>
      </c>
      <c r="H1287">
        <v>1</v>
      </c>
      <c r="I1287">
        <v>902</v>
      </c>
      <c r="J1287">
        <v>1982</v>
      </c>
      <c r="K1287" s="4">
        <v>44962</v>
      </c>
      <c r="L1287" t="s">
        <v>26</v>
      </c>
      <c r="M1287" t="s">
        <v>21</v>
      </c>
      <c r="N1287">
        <v>1.9</v>
      </c>
      <c r="O1287">
        <v>1350</v>
      </c>
      <c r="P1287">
        <v>1.97</v>
      </c>
      <c r="Q1287">
        <v>305</v>
      </c>
      <c r="R1287">
        <v>510</v>
      </c>
    </row>
    <row r="1288" spans="1:18" x14ac:dyDescent="0.2">
      <c r="A1288">
        <v>8</v>
      </c>
      <c r="B1288" t="s">
        <v>75</v>
      </c>
      <c r="E1288" t="s">
        <v>36</v>
      </c>
      <c r="F1288">
        <v>778488</v>
      </c>
      <c r="G1288">
        <v>2</v>
      </c>
      <c r="H1288">
        <v>2</v>
      </c>
      <c r="I1288">
        <v>907</v>
      </c>
      <c r="J1288">
        <v>1953</v>
      </c>
      <c r="K1288" s="4">
        <v>45683</v>
      </c>
      <c r="L1288" t="s">
        <v>30</v>
      </c>
      <c r="M1288" t="s">
        <v>70</v>
      </c>
      <c r="N1288">
        <v>2.48</v>
      </c>
      <c r="O1288">
        <v>1412</v>
      </c>
      <c r="P1288">
        <v>0.12</v>
      </c>
      <c r="Q1288">
        <v>162</v>
      </c>
      <c r="R1288">
        <v>671</v>
      </c>
    </row>
    <row r="1289" spans="1:18" x14ac:dyDescent="0.2">
      <c r="A1289">
        <v>5</v>
      </c>
      <c r="B1289" t="s">
        <v>18</v>
      </c>
      <c r="E1289" t="s">
        <v>19</v>
      </c>
      <c r="F1289">
        <v>845724</v>
      </c>
      <c r="G1289">
        <v>2</v>
      </c>
      <c r="H1289">
        <v>2</v>
      </c>
      <c r="I1289">
        <v>381</v>
      </c>
      <c r="J1289">
        <v>2011</v>
      </c>
      <c r="K1289" s="4">
        <v>44967</v>
      </c>
      <c r="L1289" t="s">
        <v>20</v>
      </c>
      <c r="M1289" t="s">
        <v>66</v>
      </c>
      <c r="N1289">
        <v>3.31</v>
      </c>
      <c r="O1289">
        <v>2132</v>
      </c>
      <c r="P1289">
        <v>1.65</v>
      </c>
      <c r="Q1289">
        <v>172</v>
      </c>
      <c r="R1289">
        <v>485</v>
      </c>
    </row>
    <row r="1290" spans="1:18" x14ac:dyDescent="0.2">
      <c r="A1290">
        <v>8</v>
      </c>
      <c r="B1290" t="s">
        <v>104</v>
      </c>
      <c r="E1290" t="s">
        <v>51</v>
      </c>
      <c r="F1290">
        <v>2783962</v>
      </c>
      <c r="G1290">
        <v>2</v>
      </c>
      <c r="H1290">
        <v>2</v>
      </c>
      <c r="I1290">
        <v>318</v>
      </c>
      <c r="J1290">
        <v>1958</v>
      </c>
      <c r="K1290" s="4">
        <v>45277</v>
      </c>
      <c r="L1290" t="s">
        <v>30</v>
      </c>
      <c r="M1290" t="s">
        <v>24</v>
      </c>
      <c r="N1290">
        <v>2.88</v>
      </c>
      <c r="O1290">
        <v>1905</v>
      </c>
      <c r="P1290">
        <v>2.2000000000000002</v>
      </c>
      <c r="Q1290">
        <v>123</v>
      </c>
      <c r="R1290">
        <v>414</v>
      </c>
    </row>
    <row r="1291" spans="1:18" x14ac:dyDescent="0.2">
      <c r="A1291">
        <v>7</v>
      </c>
      <c r="B1291" t="s">
        <v>88</v>
      </c>
      <c r="E1291" t="s">
        <v>29</v>
      </c>
      <c r="F1291">
        <v>2945866</v>
      </c>
      <c r="G1291">
        <v>4</v>
      </c>
      <c r="H1291">
        <v>1</v>
      </c>
      <c r="I1291">
        <v>774</v>
      </c>
      <c r="J1291">
        <v>2022</v>
      </c>
      <c r="K1291" s="4">
        <v>44409</v>
      </c>
      <c r="L1291" t="s">
        <v>20</v>
      </c>
      <c r="M1291" t="s">
        <v>45</v>
      </c>
      <c r="N1291">
        <v>1.89</v>
      </c>
      <c r="O1291">
        <v>1399</v>
      </c>
      <c r="P1291">
        <v>1.78</v>
      </c>
      <c r="Q1291">
        <v>241</v>
      </c>
      <c r="R1291">
        <v>348</v>
      </c>
    </row>
    <row r="1292" spans="1:18" x14ac:dyDescent="0.2">
      <c r="A1292">
        <v>1</v>
      </c>
      <c r="B1292" t="s">
        <v>71</v>
      </c>
      <c r="E1292" t="s">
        <v>51</v>
      </c>
      <c r="F1292">
        <v>1311540</v>
      </c>
      <c r="G1292">
        <v>2</v>
      </c>
      <c r="H1292">
        <v>3</v>
      </c>
      <c r="I1292">
        <v>123</v>
      </c>
      <c r="J1292">
        <v>1995</v>
      </c>
      <c r="K1292" s="4">
        <v>45074</v>
      </c>
      <c r="L1292" t="s">
        <v>30</v>
      </c>
      <c r="M1292" t="s">
        <v>31</v>
      </c>
      <c r="N1292">
        <v>2.4300000000000002</v>
      </c>
      <c r="O1292">
        <v>1198</v>
      </c>
      <c r="P1292">
        <v>4.04</v>
      </c>
      <c r="Q1292">
        <v>227</v>
      </c>
      <c r="R1292">
        <v>413</v>
      </c>
    </row>
    <row r="1293" spans="1:18" x14ac:dyDescent="0.2">
      <c r="A1293">
        <v>9</v>
      </c>
      <c r="B1293" t="s">
        <v>79</v>
      </c>
      <c r="E1293" t="s">
        <v>51</v>
      </c>
      <c r="F1293">
        <v>1432601</v>
      </c>
      <c r="G1293">
        <v>4</v>
      </c>
      <c r="H1293">
        <v>2</v>
      </c>
      <c r="I1293">
        <v>618</v>
      </c>
      <c r="J1293">
        <v>1965</v>
      </c>
      <c r="K1293" s="4">
        <v>44351</v>
      </c>
      <c r="L1293" t="s">
        <v>30</v>
      </c>
      <c r="M1293" t="s">
        <v>59</v>
      </c>
      <c r="N1293">
        <v>2.33</v>
      </c>
      <c r="O1293">
        <v>2317</v>
      </c>
      <c r="P1293">
        <v>1.79</v>
      </c>
      <c r="Q1293">
        <v>223</v>
      </c>
      <c r="R1293">
        <v>394</v>
      </c>
    </row>
    <row r="1294" spans="1:18" x14ac:dyDescent="0.2">
      <c r="A1294">
        <v>5</v>
      </c>
      <c r="B1294" t="s">
        <v>106</v>
      </c>
      <c r="E1294" t="s">
        <v>51</v>
      </c>
      <c r="F1294">
        <v>1446059</v>
      </c>
      <c r="G1294">
        <v>4</v>
      </c>
      <c r="H1294">
        <v>3</v>
      </c>
      <c r="I1294">
        <v>212</v>
      </c>
      <c r="J1294">
        <v>1954</v>
      </c>
      <c r="K1294" s="4">
        <v>45865</v>
      </c>
      <c r="L1294" t="s">
        <v>23</v>
      </c>
      <c r="M1294" t="s">
        <v>78</v>
      </c>
      <c r="N1294">
        <v>2.31</v>
      </c>
      <c r="O1294">
        <v>1165</v>
      </c>
      <c r="P1294">
        <v>3.84</v>
      </c>
      <c r="Q1294">
        <v>292</v>
      </c>
      <c r="R1294">
        <v>317</v>
      </c>
    </row>
    <row r="1295" spans="1:18" x14ac:dyDescent="0.2">
      <c r="A1295">
        <v>6</v>
      </c>
      <c r="B1295" t="s">
        <v>88</v>
      </c>
      <c r="E1295" t="s">
        <v>36</v>
      </c>
      <c r="F1295">
        <v>2418717</v>
      </c>
      <c r="G1295">
        <v>1</v>
      </c>
      <c r="H1295">
        <v>1</v>
      </c>
      <c r="I1295">
        <v>155</v>
      </c>
      <c r="J1295">
        <v>1992</v>
      </c>
      <c r="K1295" s="4">
        <v>45207</v>
      </c>
      <c r="L1295" t="s">
        <v>30</v>
      </c>
      <c r="M1295" t="s">
        <v>74</v>
      </c>
      <c r="N1295">
        <v>2.11</v>
      </c>
      <c r="O1295">
        <v>1516</v>
      </c>
      <c r="P1295">
        <v>3.47</v>
      </c>
      <c r="Q1295">
        <v>154</v>
      </c>
      <c r="R1295">
        <v>618</v>
      </c>
    </row>
    <row r="1296" spans="1:18" x14ac:dyDescent="0.2">
      <c r="A1296">
        <v>6</v>
      </c>
      <c r="B1296" t="s">
        <v>22</v>
      </c>
      <c r="E1296" t="s">
        <v>29</v>
      </c>
      <c r="F1296">
        <v>1813126</v>
      </c>
      <c r="G1296">
        <v>2</v>
      </c>
      <c r="H1296">
        <v>3</v>
      </c>
      <c r="I1296">
        <v>113</v>
      </c>
      <c r="J1296">
        <v>2014</v>
      </c>
      <c r="K1296" s="4">
        <v>44482</v>
      </c>
      <c r="L1296" t="s">
        <v>30</v>
      </c>
      <c r="M1296" t="s">
        <v>66</v>
      </c>
      <c r="N1296">
        <v>1.52</v>
      </c>
      <c r="O1296">
        <v>1453</v>
      </c>
      <c r="P1296">
        <v>3.8</v>
      </c>
      <c r="Q1296">
        <v>162</v>
      </c>
      <c r="R1296">
        <v>469</v>
      </c>
    </row>
    <row r="1297" spans="1:18" x14ac:dyDescent="0.2">
      <c r="A1297">
        <v>7</v>
      </c>
      <c r="B1297" t="s">
        <v>95</v>
      </c>
      <c r="E1297" t="s">
        <v>19</v>
      </c>
      <c r="F1297">
        <v>2060772</v>
      </c>
      <c r="G1297">
        <v>2</v>
      </c>
      <c r="H1297">
        <v>2</v>
      </c>
      <c r="I1297">
        <v>145</v>
      </c>
      <c r="J1297">
        <v>1982</v>
      </c>
      <c r="K1297" s="4">
        <v>44679</v>
      </c>
      <c r="L1297" t="s">
        <v>20</v>
      </c>
      <c r="M1297" t="s">
        <v>60</v>
      </c>
      <c r="N1297">
        <v>2.65</v>
      </c>
      <c r="O1297">
        <v>976</v>
      </c>
      <c r="P1297">
        <v>1.56</v>
      </c>
      <c r="Q1297">
        <v>139</v>
      </c>
      <c r="R1297">
        <v>359</v>
      </c>
    </row>
    <row r="1298" spans="1:18" x14ac:dyDescent="0.2">
      <c r="A1298">
        <v>7</v>
      </c>
      <c r="B1298" t="s">
        <v>84</v>
      </c>
      <c r="E1298" t="s">
        <v>29</v>
      </c>
      <c r="F1298">
        <v>2348710</v>
      </c>
      <c r="G1298">
        <v>2</v>
      </c>
      <c r="H1298">
        <v>3</v>
      </c>
      <c r="I1298">
        <v>237</v>
      </c>
      <c r="J1298">
        <v>1959</v>
      </c>
      <c r="K1298" s="4">
        <v>44103</v>
      </c>
      <c r="L1298" t="s">
        <v>23</v>
      </c>
      <c r="M1298" t="s">
        <v>60</v>
      </c>
      <c r="N1298">
        <v>1.58</v>
      </c>
      <c r="O1298">
        <v>803</v>
      </c>
      <c r="P1298">
        <v>2.7</v>
      </c>
      <c r="Q1298">
        <v>81</v>
      </c>
      <c r="R1298">
        <v>640</v>
      </c>
    </row>
    <row r="1299" spans="1:18" x14ac:dyDescent="0.2">
      <c r="A1299">
        <v>0</v>
      </c>
      <c r="B1299" t="s">
        <v>72</v>
      </c>
      <c r="E1299" t="s">
        <v>51</v>
      </c>
      <c r="F1299">
        <v>1845477</v>
      </c>
      <c r="G1299">
        <v>2</v>
      </c>
      <c r="H1299">
        <v>2</v>
      </c>
      <c r="I1299">
        <v>506</v>
      </c>
      <c r="J1299">
        <v>1969</v>
      </c>
      <c r="K1299" s="4">
        <v>44530</v>
      </c>
      <c r="L1299" t="s">
        <v>20</v>
      </c>
      <c r="M1299" t="s">
        <v>70</v>
      </c>
      <c r="N1299">
        <v>3.2</v>
      </c>
      <c r="O1299">
        <v>1865</v>
      </c>
      <c r="P1299">
        <v>3.08</v>
      </c>
      <c r="Q1299">
        <v>112</v>
      </c>
      <c r="R1299">
        <v>332</v>
      </c>
    </row>
    <row r="1300" spans="1:18" x14ac:dyDescent="0.2">
      <c r="A1300">
        <v>3</v>
      </c>
      <c r="B1300" t="s">
        <v>73</v>
      </c>
      <c r="E1300" t="s">
        <v>36</v>
      </c>
      <c r="F1300">
        <v>1102091</v>
      </c>
      <c r="G1300">
        <v>4</v>
      </c>
      <c r="H1300">
        <v>2</v>
      </c>
      <c r="I1300">
        <v>653</v>
      </c>
      <c r="J1300">
        <v>1960</v>
      </c>
      <c r="K1300" s="4">
        <v>44784</v>
      </c>
      <c r="L1300" t="s">
        <v>20</v>
      </c>
      <c r="M1300" t="s">
        <v>74</v>
      </c>
      <c r="N1300">
        <v>3.08</v>
      </c>
      <c r="O1300">
        <v>1758</v>
      </c>
      <c r="P1300">
        <v>3.01</v>
      </c>
      <c r="Q1300">
        <v>360</v>
      </c>
      <c r="R1300">
        <v>640</v>
      </c>
    </row>
    <row r="1301" spans="1:18" x14ac:dyDescent="0.2">
      <c r="A1301">
        <v>5</v>
      </c>
      <c r="B1301" t="s">
        <v>49</v>
      </c>
      <c r="E1301" t="s">
        <v>29</v>
      </c>
      <c r="F1301">
        <v>2585654</v>
      </c>
      <c r="G1301">
        <v>3</v>
      </c>
      <c r="H1301">
        <v>3</v>
      </c>
      <c r="I1301">
        <v>583</v>
      </c>
      <c r="J1301">
        <v>1968</v>
      </c>
      <c r="K1301" s="4">
        <v>45694</v>
      </c>
      <c r="L1301" t="s">
        <v>30</v>
      </c>
      <c r="M1301" t="s">
        <v>85</v>
      </c>
      <c r="N1301">
        <v>1.89</v>
      </c>
      <c r="O1301">
        <v>1199</v>
      </c>
      <c r="P1301">
        <v>0.16</v>
      </c>
      <c r="Q1301">
        <v>196</v>
      </c>
      <c r="R1301">
        <v>624</v>
      </c>
    </row>
    <row r="1302" spans="1:18" x14ac:dyDescent="0.2">
      <c r="A1302">
        <v>3</v>
      </c>
      <c r="B1302" t="s">
        <v>96</v>
      </c>
      <c r="E1302" t="s">
        <v>19</v>
      </c>
      <c r="F1302">
        <v>1217081</v>
      </c>
      <c r="G1302">
        <v>4</v>
      </c>
      <c r="H1302">
        <v>3</v>
      </c>
      <c r="I1302">
        <v>759</v>
      </c>
      <c r="J1302">
        <v>1987</v>
      </c>
      <c r="K1302" s="4">
        <v>45400</v>
      </c>
      <c r="L1302" t="s">
        <v>26</v>
      </c>
      <c r="M1302" t="s">
        <v>78</v>
      </c>
      <c r="N1302">
        <v>3.01</v>
      </c>
      <c r="O1302">
        <v>2427</v>
      </c>
      <c r="P1302">
        <v>1.08</v>
      </c>
      <c r="Q1302">
        <v>270</v>
      </c>
      <c r="R1302">
        <v>400</v>
      </c>
    </row>
    <row r="1303" spans="1:18" x14ac:dyDescent="0.2">
      <c r="A1303">
        <v>4</v>
      </c>
      <c r="B1303" t="s">
        <v>80</v>
      </c>
      <c r="E1303" t="s">
        <v>19</v>
      </c>
      <c r="F1303">
        <v>2713963</v>
      </c>
      <c r="G1303">
        <v>2</v>
      </c>
      <c r="H1303">
        <v>2</v>
      </c>
      <c r="I1303">
        <v>710</v>
      </c>
      <c r="J1303">
        <v>1995</v>
      </c>
      <c r="K1303" s="4">
        <v>45074</v>
      </c>
      <c r="L1303" t="s">
        <v>23</v>
      </c>
      <c r="M1303" t="s">
        <v>60</v>
      </c>
      <c r="N1303">
        <v>1.64</v>
      </c>
      <c r="O1303">
        <v>1785</v>
      </c>
      <c r="P1303">
        <v>3.88</v>
      </c>
      <c r="Q1303">
        <v>90</v>
      </c>
      <c r="R1303">
        <v>459</v>
      </c>
    </row>
    <row r="1304" spans="1:18" x14ac:dyDescent="0.2">
      <c r="A1304">
        <v>1</v>
      </c>
      <c r="B1304" t="s">
        <v>22</v>
      </c>
      <c r="E1304" t="s">
        <v>19</v>
      </c>
      <c r="F1304">
        <v>890514</v>
      </c>
      <c r="G1304">
        <v>2</v>
      </c>
      <c r="H1304">
        <v>2</v>
      </c>
      <c r="I1304">
        <v>156</v>
      </c>
      <c r="J1304">
        <v>1958</v>
      </c>
      <c r="K1304" s="4">
        <v>44261</v>
      </c>
      <c r="L1304" t="s">
        <v>23</v>
      </c>
      <c r="M1304" t="s">
        <v>60</v>
      </c>
      <c r="N1304">
        <v>3.26</v>
      </c>
      <c r="O1304">
        <v>1638</v>
      </c>
      <c r="P1304">
        <v>2.48</v>
      </c>
      <c r="Q1304">
        <v>131</v>
      </c>
      <c r="R1304">
        <v>533</v>
      </c>
    </row>
    <row r="1305" spans="1:18" x14ac:dyDescent="0.2">
      <c r="A1305">
        <v>6</v>
      </c>
      <c r="B1305" t="s">
        <v>100</v>
      </c>
      <c r="E1305" t="s">
        <v>29</v>
      </c>
      <c r="F1305">
        <v>1561297</v>
      </c>
      <c r="G1305">
        <v>3</v>
      </c>
      <c r="H1305">
        <v>1</v>
      </c>
      <c r="I1305">
        <v>94</v>
      </c>
      <c r="J1305">
        <v>1973</v>
      </c>
      <c r="K1305" s="4">
        <v>44577</v>
      </c>
      <c r="L1305" t="s">
        <v>30</v>
      </c>
      <c r="M1305" t="s">
        <v>37</v>
      </c>
      <c r="N1305">
        <v>2.97</v>
      </c>
      <c r="O1305">
        <v>1571</v>
      </c>
      <c r="P1305">
        <v>1.71</v>
      </c>
      <c r="Q1305">
        <v>134</v>
      </c>
      <c r="R1305">
        <v>449</v>
      </c>
    </row>
    <row r="1306" spans="1:18" x14ac:dyDescent="0.2">
      <c r="A1306">
        <v>8</v>
      </c>
      <c r="B1306" t="s">
        <v>101</v>
      </c>
      <c r="E1306" t="s">
        <v>19</v>
      </c>
      <c r="F1306">
        <v>2495977</v>
      </c>
      <c r="G1306">
        <v>4</v>
      </c>
      <c r="H1306">
        <v>1</v>
      </c>
      <c r="I1306">
        <v>810</v>
      </c>
      <c r="J1306">
        <v>1965</v>
      </c>
      <c r="K1306" s="4">
        <v>44835</v>
      </c>
      <c r="L1306" t="s">
        <v>20</v>
      </c>
      <c r="M1306" t="s">
        <v>52</v>
      </c>
      <c r="N1306">
        <v>3.21</v>
      </c>
      <c r="O1306">
        <v>2110</v>
      </c>
      <c r="P1306">
        <v>3.98</v>
      </c>
      <c r="Q1306">
        <v>211</v>
      </c>
      <c r="R1306">
        <v>516</v>
      </c>
    </row>
    <row r="1307" spans="1:18" x14ac:dyDescent="0.2">
      <c r="A1307">
        <v>8</v>
      </c>
      <c r="B1307" t="s">
        <v>90</v>
      </c>
      <c r="E1307" t="s">
        <v>51</v>
      </c>
      <c r="F1307">
        <v>2722791</v>
      </c>
      <c r="G1307">
        <v>4</v>
      </c>
      <c r="H1307">
        <v>1</v>
      </c>
      <c r="I1307">
        <v>850</v>
      </c>
      <c r="J1307">
        <v>2012</v>
      </c>
      <c r="K1307" s="4">
        <v>44437</v>
      </c>
      <c r="L1307" t="s">
        <v>20</v>
      </c>
      <c r="M1307" t="s">
        <v>45</v>
      </c>
      <c r="N1307">
        <v>2.83</v>
      </c>
      <c r="O1307">
        <v>1779</v>
      </c>
      <c r="P1307">
        <v>1.22</v>
      </c>
      <c r="Q1307">
        <v>310</v>
      </c>
      <c r="R1307">
        <v>606</v>
      </c>
    </row>
    <row r="1308" spans="1:18" x14ac:dyDescent="0.2">
      <c r="A1308">
        <v>6</v>
      </c>
      <c r="B1308" t="s">
        <v>65</v>
      </c>
      <c r="E1308" t="s">
        <v>36</v>
      </c>
      <c r="F1308">
        <v>2436940</v>
      </c>
      <c r="G1308">
        <v>3</v>
      </c>
      <c r="H1308">
        <v>3</v>
      </c>
      <c r="I1308">
        <v>53</v>
      </c>
      <c r="J1308">
        <v>1993</v>
      </c>
      <c r="K1308" s="4">
        <v>44687</v>
      </c>
      <c r="L1308" t="s">
        <v>20</v>
      </c>
      <c r="M1308" t="s">
        <v>33</v>
      </c>
      <c r="N1308">
        <v>3.16</v>
      </c>
      <c r="O1308">
        <v>1685</v>
      </c>
      <c r="P1308">
        <v>4.8</v>
      </c>
      <c r="Q1308">
        <v>104</v>
      </c>
      <c r="R1308">
        <v>674</v>
      </c>
    </row>
    <row r="1309" spans="1:18" x14ac:dyDescent="0.2">
      <c r="A1309">
        <v>6</v>
      </c>
      <c r="B1309" t="s">
        <v>99</v>
      </c>
      <c r="E1309" t="s">
        <v>29</v>
      </c>
      <c r="F1309">
        <v>1761867</v>
      </c>
      <c r="G1309">
        <v>3</v>
      </c>
      <c r="H1309">
        <v>3</v>
      </c>
      <c r="I1309">
        <v>558</v>
      </c>
      <c r="J1309">
        <v>1991</v>
      </c>
      <c r="K1309" s="4">
        <v>44659</v>
      </c>
      <c r="L1309" t="s">
        <v>26</v>
      </c>
      <c r="M1309" t="s">
        <v>70</v>
      </c>
      <c r="N1309">
        <v>2.4900000000000002</v>
      </c>
      <c r="O1309">
        <v>1716</v>
      </c>
      <c r="P1309">
        <v>0.26</v>
      </c>
      <c r="Q1309">
        <v>320</v>
      </c>
      <c r="R1309">
        <v>697</v>
      </c>
    </row>
    <row r="1310" spans="1:18" x14ac:dyDescent="0.2">
      <c r="A1310">
        <v>5</v>
      </c>
      <c r="B1310" t="s">
        <v>95</v>
      </c>
      <c r="E1310" t="s">
        <v>51</v>
      </c>
      <c r="F1310">
        <v>2701824</v>
      </c>
      <c r="G1310">
        <v>1</v>
      </c>
      <c r="H1310">
        <v>3</v>
      </c>
      <c r="I1310">
        <v>355</v>
      </c>
      <c r="J1310">
        <v>1966</v>
      </c>
      <c r="K1310" s="4">
        <v>44655</v>
      </c>
      <c r="L1310" t="s">
        <v>20</v>
      </c>
      <c r="M1310" t="s">
        <v>21</v>
      </c>
      <c r="N1310">
        <v>1.56</v>
      </c>
      <c r="O1310">
        <v>2167</v>
      </c>
      <c r="P1310">
        <v>3.72</v>
      </c>
      <c r="Q1310">
        <v>62</v>
      </c>
      <c r="R1310">
        <v>353</v>
      </c>
    </row>
    <row r="1311" spans="1:18" x14ac:dyDescent="0.2">
      <c r="A1311">
        <v>8</v>
      </c>
      <c r="B1311" t="s">
        <v>93</v>
      </c>
      <c r="E1311" t="s">
        <v>36</v>
      </c>
      <c r="F1311">
        <v>866777</v>
      </c>
      <c r="G1311">
        <v>0</v>
      </c>
      <c r="H1311">
        <v>3</v>
      </c>
      <c r="I1311">
        <v>686</v>
      </c>
      <c r="J1311">
        <v>2016</v>
      </c>
      <c r="K1311" s="4">
        <v>45779</v>
      </c>
      <c r="L1311" t="s">
        <v>20</v>
      </c>
      <c r="M1311" t="s">
        <v>97</v>
      </c>
      <c r="N1311">
        <v>1.62</v>
      </c>
      <c r="O1311">
        <v>1717</v>
      </c>
      <c r="P1311">
        <v>3.87</v>
      </c>
      <c r="Q1311">
        <v>43</v>
      </c>
      <c r="R1311">
        <v>637</v>
      </c>
    </row>
    <row r="1312" spans="1:18" x14ac:dyDescent="0.2">
      <c r="A1312">
        <v>0</v>
      </c>
      <c r="B1312" t="s">
        <v>92</v>
      </c>
      <c r="E1312" t="s">
        <v>19</v>
      </c>
      <c r="F1312">
        <v>964762</v>
      </c>
      <c r="G1312">
        <v>5</v>
      </c>
      <c r="H1312">
        <v>2</v>
      </c>
      <c r="I1312">
        <v>441</v>
      </c>
      <c r="J1312">
        <v>1978</v>
      </c>
      <c r="K1312" s="4">
        <v>44111</v>
      </c>
      <c r="L1312" t="s">
        <v>20</v>
      </c>
      <c r="M1312" t="s">
        <v>21</v>
      </c>
      <c r="N1312">
        <v>3.3</v>
      </c>
      <c r="O1312">
        <v>1063</v>
      </c>
      <c r="P1312">
        <v>4.7699999999999996</v>
      </c>
      <c r="Q1312">
        <v>383</v>
      </c>
      <c r="R1312">
        <v>504</v>
      </c>
    </row>
    <row r="1313" spans="1:18" x14ac:dyDescent="0.2">
      <c r="A1313">
        <v>8</v>
      </c>
      <c r="B1313" t="s">
        <v>50</v>
      </c>
      <c r="E1313" t="s">
        <v>19</v>
      </c>
      <c r="F1313">
        <v>1397786</v>
      </c>
      <c r="G1313">
        <v>4</v>
      </c>
      <c r="H1313">
        <v>1</v>
      </c>
      <c r="I1313">
        <v>308</v>
      </c>
      <c r="J1313">
        <v>1964</v>
      </c>
      <c r="K1313" s="4">
        <v>44616</v>
      </c>
      <c r="L1313" t="s">
        <v>20</v>
      </c>
      <c r="M1313" t="s">
        <v>89</v>
      </c>
      <c r="N1313">
        <v>1.6</v>
      </c>
      <c r="O1313">
        <v>2016</v>
      </c>
      <c r="P1313">
        <v>4.51</v>
      </c>
      <c r="Q1313">
        <v>236</v>
      </c>
      <c r="R1313">
        <v>478</v>
      </c>
    </row>
    <row r="1314" spans="1:18" x14ac:dyDescent="0.2">
      <c r="A1314">
        <v>6</v>
      </c>
      <c r="B1314" t="s">
        <v>101</v>
      </c>
      <c r="E1314" t="s">
        <v>29</v>
      </c>
      <c r="F1314">
        <v>1318971</v>
      </c>
      <c r="G1314">
        <v>5</v>
      </c>
      <c r="H1314">
        <v>2</v>
      </c>
      <c r="I1314">
        <v>540</v>
      </c>
      <c r="J1314">
        <v>1985</v>
      </c>
      <c r="K1314" s="4">
        <v>45046</v>
      </c>
      <c r="L1314" t="s">
        <v>23</v>
      </c>
      <c r="M1314" t="s">
        <v>56</v>
      </c>
      <c r="N1314">
        <v>2.74</v>
      </c>
      <c r="O1314">
        <v>883</v>
      </c>
      <c r="P1314">
        <v>1.68</v>
      </c>
      <c r="Q1314">
        <v>292</v>
      </c>
      <c r="R1314">
        <v>394</v>
      </c>
    </row>
    <row r="1315" spans="1:18" x14ac:dyDescent="0.2">
      <c r="A1315">
        <v>5</v>
      </c>
      <c r="B1315" t="s">
        <v>79</v>
      </c>
      <c r="E1315" t="s">
        <v>19</v>
      </c>
      <c r="F1315">
        <v>2091347</v>
      </c>
      <c r="G1315">
        <v>3</v>
      </c>
      <c r="H1315">
        <v>2</v>
      </c>
      <c r="I1315">
        <v>170</v>
      </c>
      <c r="J1315">
        <v>1950</v>
      </c>
      <c r="K1315" s="4">
        <v>44734</v>
      </c>
      <c r="L1315" t="s">
        <v>23</v>
      </c>
      <c r="M1315" t="s">
        <v>37</v>
      </c>
      <c r="N1315">
        <v>2.06</v>
      </c>
      <c r="O1315">
        <v>2405</v>
      </c>
      <c r="P1315">
        <v>3.17</v>
      </c>
      <c r="Q1315">
        <v>149</v>
      </c>
      <c r="R1315">
        <v>544</v>
      </c>
    </row>
    <row r="1316" spans="1:18" x14ac:dyDescent="0.2">
      <c r="A1316">
        <v>1</v>
      </c>
      <c r="B1316" t="s">
        <v>62</v>
      </c>
      <c r="E1316" t="s">
        <v>19</v>
      </c>
      <c r="F1316">
        <v>1445296</v>
      </c>
      <c r="G1316">
        <v>3</v>
      </c>
      <c r="H1316">
        <v>3</v>
      </c>
      <c r="I1316">
        <v>266</v>
      </c>
      <c r="J1316">
        <v>2014</v>
      </c>
      <c r="K1316" s="4">
        <v>45873</v>
      </c>
      <c r="L1316" t="s">
        <v>26</v>
      </c>
      <c r="M1316" t="s">
        <v>33</v>
      </c>
      <c r="N1316">
        <v>1.9</v>
      </c>
      <c r="O1316">
        <v>2176</v>
      </c>
      <c r="P1316">
        <v>2.2200000000000002</v>
      </c>
      <c r="Q1316">
        <v>116</v>
      </c>
      <c r="R1316">
        <v>354</v>
      </c>
    </row>
    <row r="1317" spans="1:18" x14ac:dyDescent="0.2">
      <c r="A1317">
        <v>9</v>
      </c>
      <c r="B1317" t="s">
        <v>32</v>
      </c>
      <c r="E1317" t="s">
        <v>36</v>
      </c>
      <c r="F1317">
        <v>2652724</v>
      </c>
      <c r="G1317">
        <v>2</v>
      </c>
      <c r="H1317">
        <v>3</v>
      </c>
      <c r="I1317">
        <v>530</v>
      </c>
      <c r="J1317">
        <v>1995</v>
      </c>
      <c r="K1317" s="4">
        <v>44816</v>
      </c>
      <c r="L1317" t="s">
        <v>30</v>
      </c>
      <c r="M1317" t="s">
        <v>56</v>
      </c>
      <c r="N1317">
        <v>2.66</v>
      </c>
      <c r="O1317">
        <v>1102</v>
      </c>
      <c r="P1317">
        <v>2.61</v>
      </c>
      <c r="Q1317">
        <v>65</v>
      </c>
      <c r="R1317">
        <v>593</v>
      </c>
    </row>
    <row r="1318" spans="1:18" x14ac:dyDescent="0.2">
      <c r="A1318">
        <v>6</v>
      </c>
      <c r="B1318" t="s">
        <v>62</v>
      </c>
      <c r="E1318" t="s">
        <v>36</v>
      </c>
      <c r="F1318">
        <v>1746174</v>
      </c>
      <c r="G1318">
        <v>3</v>
      </c>
      <c r="H1318">
        <v>1</v>
      </c>
      <c r="I1318">
        <v>831</v>
      </c>
      <c r="J1318">
        <v>2009</v>
      </c>
      <c r="K1318" s="4">
        <v>45217</v>
      </c>
      <c r="L1318" t="s">
        <v>30</v>
      </c>
      <c r="M1318" t="s">
        <v>27</v>
      </c>
      <c r="N1318">
        <v>2.19</v>
      </c>
      <c r="O1318">
        <v>1553</v>
      </c>
      <c r="P1318">
        <v>4.24</v>
      </c>
      <c r="Q1318">
        <v>154</v>
      </c>
      <c r="R1318">
        <v>434</v>
      </c>
    </row>
    <row r="1319" spans="1:18" x14ac:dyDescent="0.2">
      <c r="A1319">
        <v>0</v>
      </c>
      <c r="B1319" t="s">
        <v>106</v>
      </c>
      <c r="E1319" t="s">
        <v>36</v>
      </c>
      <c r="F1319">
        <v>1928718</v>
      </c>
      <c r="G1319">
        <v>2</v>
      </c>
      <c r="H1319">
        <v>2</v>
      </c>
      <c r="I1319">
        <v>474</v>
      </c>
      <c r="J1319">
        <v>1973</v>
      </c>
      <c r="K1319" s="4">
        <v>44520</v>
      </c>
      <c r="L1319" t="s">
        <v>26</v>
      </c>
      <c r="M1319" t="s">
        <v>70</v>
      </c>
      <c r="N1319">
        <v>1.94</v>
      </c>
      <c r="O1319">
        <v>1488</v>
      </c>
      <c r="P1319">
        <v>4.5999999999999996</v>
      </c>
      <c r="Q1319">
        <v>144</v>
      </c>
      <c r="R1319">
        <v>449</v>
      </c>
    </row>
    <row r="1320" spans="1:18" x14ac:dyDescent="0.2">
      <c r="A1320">
        <v>6</v>
      </c>
      <c r="B1320" t="s">
        <v>44</v>
      </c>
      <c r="E1320" t="s">
        <v>19</v>
      </c>
      <c r="F1320">
        <v>581171</v>
      </c>
      <c r="G1320">
        <v>6</v>
      </c>
      <c r="H1320">
        <v>1</v>
      </c>
      <c r="I1320">
        <v>919</v>
      </c>
      <c r="J1320">
        <v>2014</v>
      </c>
      <c r="K1320" s="4">
        <v>44908</v>
      </c>
      <c r="L1320" t="s">
        <v>23</v>
      </c>
      <c r="M1320" t="s">
        <v>82</v>
      </c>
      <c r="N1320">
        <v>2.74</v>
      </c>
      <c r="O1320">
        <v>1154</v>
      </c>
      <c r="P1320">
        <v>0.5</v>
      </c>
      <c r="Q1320">
        <v>373</v>
      </c>
      <c r="R1320">
        <v>664</v>
      </c>
    </row>
    <row r="1321" spans="1:18" x14ac:dyDescent="0.2">
      <c r="A1321">
        <v>9</v>
      </c>
      <c r="B1321" t="s">
        <v>87</v>
      </c>
      <c r="E1321" t="s">
        <v>36</v>
      </c>
      <c r="F1321">
        <v>2432692</v>
      </c>
      <c r="G1321">
        <v>2</v>
      </c>
      <c r="H1321">
        <v>2</v>
      </c>
      <c r="I1321">
        <v>100</v>
      </c>
      <c r="J1321">
        <v>1962</v>
      </c>
      <c r="K1321" s="4">
        <v>44356</v>
      </c>
      <c r="L1321" t="s">
        <v>23</v>
      </c>
      <c r="M1321" t="s">
        <v>24</v>
      </c>
      <c r="N1321">
        <v>2.52</v>
      </c>
      <c r="O1321">
        <v>1797</v>
      </c>
      <c r="P1321">
        <v>2.71</v>
      </c>
      <c r="Q1321">
        <v>102</v>
      </c>
      <c r="R1321">
        <v>412</v>
      </c>
    </row>
    <row r="1322" spans="1:18" x14ac:dyDescent="0.2">
      <c r="A1322">
        <v>2</v>
      </c>
      <c r="B1322" t="s">
        <v>101</v>
      </c>
      <c r="E1322" t="s">
        <v>36</v>
      </c>
      <c r="F1322">
        <v>2036889</v>
      </c>
      <c r="G1322">
        <v>5</v>
      </c>
      <c r="H1322">
        <v>1</v>
      </c>
      <c r="I1322">
        <v>293</v>
      </c>
      <c r="J1322">
        <v>1975</v>
      </c>
      <c r="K1322" s="4">
        <v>44546</v>
      </c>
      <c r="L1322" t="s">
        <v>30</v>
      </c>
      <c r="M1322" t="s">
        <v>24</v>
      </c>
      <c r="N1322">
        <v>2.82</v>
      </c>
      <c r="O1322">
        <v>2002</v>
      </c>
      <c r="P1322">
        <v>3.67</v>
      </c>
      <c r="Q1322">
        <v>355</v>
      </c>
      <c r="R1322">
        <v>580</v>
      </c>
    </row>
    <row r="1323" spans="1:18" x14ac:dyDescent="0.2">
      <c r="A1323">
        <v>9</v>
      </c>
      <c r="B1323" t="s">
        <v>28</v>
      </c>
      <c r="E1323" t="s">
        <v>19</v>
      </c>
      <c r="F1323">
        <v>2329503</v>
      </c>
      <c r="G1323">
        <v>3</v>
      </c>
      <c r="H1323">
        <v>3</v>
      </c>
      <c r="I1323">
        <v>281</v>
      </c>
      <c r="J1323">
        <v>2010</v>
      </c>
      <c r="K1323" s="4">
        <v>44387</v>
      </c>
      <c r="L1323" t="s">
        <v>30</v>
      </c>
      <c r="M1323" t="s">
        <v>82</v>
      </c>
      <c r="N1323">
        <v>1.83</v>
      </c>
      <c r="O1323">
        <v>1246</v>
      </c>
      <c r="P1323">
        <v>1.02</v>
      </c>
      <c r="Q1323">
        <v>86</v>
      </c>
      <c r="R1323">
        <v>496</v>
      </c>
    </row>
    <row r="1324" spans="1:18" x14ac:dyDescent="0.2">
      <c r="A1324">
        <v>3</v>
      </c>
      <c r="B1324" t="s">
        <v>83</v>
      </c>
      <c r="E1324" t="s">
        <v>51</v>
      </c>
      <c r="F1324">
        <v>746543</v>
      </c>
      <c r="G1324">
        <v>4</v>
      </c>
      <c r="H1324">
        <v>1</v>
      </c>
      <c r="I1324">
        <v>952</v>
      </c>
      <c r="J1324">
        <v>1979</v>
      </c>
      <c r="K1324" s="4">
        <v>45630</v>
      </c>
      <c r="L1324" t="s">
        <v>30</v>
      </c>
      <c r="M1324" t="s">
        <v>27</v>
      </c>
      <c r="N1324">
        <v>3.35</v>
      </c>
      <c r="O1324">
        <v>1403</v>
      </c>
      <c r="P1324">
        <v>4.8899999999999997</v>
      </c>
      <c r="Q1324">
        <v>179</v>
      </c>
      <c r="R1324">
        <v>586</v>
      </c>
    </row>
    <row r="1325" spans="1:18" x14ac:dyDescent="0.2">
      <c r="A1325">
        <v>9</v>
      </c>
      <c r="B1325" t="s">
        <v>41</v>
      </c>
      <c r="E1325" t="s">
        <v>29</v>
      </c>
      <c r="F1325">
        <v>2295122</v>
      </c>
      <c r="G1325">
        <v>4</v>
      </c>
      <c r="H1325">
        <v>2</v>
      </c>
      <c r="I1325">
        <v>548</v>
      </c>
      <c r="J1325">
        <v>2018</v>
      </c>
      <c r="K1325" s="4">
        <v>45404</v>
      </c>
      <c r="L1325" t="s">
        <v>30</v>
      </c>
      <c r="M1325" t="s">
        <v>76</v>
      </c>
      <c r="N1325">
        <v>2.39</v>
      </c>
      <c r="O1325">
        <v>1778</v>
      </c>
      <c r="P1325">
        <v>3.64</v>
      </c>
      <c r="Q1325">
        <v>314</v>
      </c>
      <c r="R1325">
        <v>696</v>
      </c>
    </row>
    <row r="1326" spans="1:18" x14ac:dyDescent="0.2">
      <c r="A1326">
        <v>0</v>
      </c>
      <c r="B1326" t="s">
        <v>46</v>
      </c>
      <c r="E1326" t="s">
        <v>36</v>
      </c>
      <c r="F1326">
        <v>2892479</v>
      </c>
      <c r="G1326">
        <v>4</v>
      </c>
      <c r="H1326">
        <v>1</v>
      </c>
      <c r="I1326">
        <v>471</v>
      </c>
      <c r="J1326">
        <v>2001</v>
      </c>
      <c r="K1326" s="4">
        <v>45183</v>
      </c>
      <c r="L1326" t="s">
        <v>23</v>
      </c>
      <c r="M1326" t="s">
        <v>35</v>
      </c>
      <c r="N1326">
        <v>2.73</v>
      </c>
      <c r="O1326">
        <v>1933</v>
      </c>
      <c r="P1326">
        <v>2.13</v>
      </c>
      <c r="Q1326">
        <v>333</v>
      </c>
      <c r="R1326">
        <v>321</v>
      </c>
    </row>
    <row r="1327" spans="1:18" x14ac:dyDescent="0.2">
      <c r="A1327">
        <v>5</v>
      </c>
      <c r="B1327" t="s">
        <v>104</v>
      </c>
      <c r="E1327" t="s">
        <v>51</v>
      </c>
      <c r="F1327">
        <v>902459</v>
      </c>
      <c r="G1327">
        <v>2</v>
      </c>
      <c r="H1327">
        <v>1</v>
      </c>
      <c r="I1327">
        <v>270</v>
      </c>
      <c r="J1327">
        <v>1993</v>
      </c>
      <c r="K1327" s="4">
        <v>44542</v>
      </c>
      <c r="L1327" t="s">
        <v>26</v>
      </c>
      <c r="M1327" t="s">
        <v>56</v>
      </c>
      <c r="N1327">
        <v>2.61</v>
      </c>
      <c r="O1327">
        <v>816</v>
      </c>
      <c r="P1327">
        <v>2.79</v>
      </c>
      <c r="Q1327">
        <v>71</v>
      </c>
      <c r="R1327">
        <v>475</v>
      </c>
    </row>
    <row r="1328" spans="1:18" x14ac:dyDescent="0.2">
      <c r="A1328">
        <v>5</v>
      </c>
      <c r="B1328" t="s">
        <v>104</v>
      </c>
      <c r="E1328" t="s">
        <v>19</v>
      </c>
      <c r="F1328">
        <v>2509736</v>
      </c>
      <c r="G1328">
        <v>3</v>
      </c>
      <c r="H1328">
        <v>2</v>
      </c>
      <c r="I1328">
        <v>788</v>
      </c>
      <c r="J1328">
        <v>2008</v>
      </c>
      <c r="K1328" s="4">
        <v>45767</v>
      </c>
      <c r="L1328" t="s">
        <v>30</v>
      </c>
      <c r="M1328" t="s">
        <v>70</v>
      </c>
      <c r="N1328">
        <v>3.41</v>
      </c>
      <c r="O1328">
        <v>1649</v>
      </c>
      <c r="P1328">
        <v>1.32</v>
      </c>
      <c r="Q1328">
        <v>289</v>
      </c>
      <c r="R1328">
        <v>532</v>
      </c>
    </row>
    <row r="1329" spans="1:18" x14ac:dyDescent="0.2">
      <c r="A1329">
        <v>3</v>
      </c>
      <c r="B1329" t="s">
        <v>49</v>
      </c>
      <c r="E1329" t="s">
        <v>36</v>
      </c>
      <c r="F1329">
        <v>543012</v>
      </c>
      <c r="G1329">
        <v>2</v>
      </c>
      <c r="H1329">
        <v>2</v>
      </c>
      <c r="I1329">
        <v>917</v>
      </c>
      <c r="J1329">
        <v>2018</v>
      </c>
      <c r="K1329" s="4">
        <v>44455</v>
      </c>
      <c r="L1329" t="s">
        <v>30</v>
      </c>
      <c r="M1329" t="s">
        <v>59</v>
      </c>
      <c r="N1329">
        <v>2.12</v>
      </c>
      <c r="O1329">
        <v>1521</v>
      </c>
      <c r="P1329">
        <v>0.36</v>
      </c>
      <c r="Q1329">
        <v>51</v>
      </c>
      <c r="R1329">
        <v>478</v>
      </c>
    </row>
    <row r="1330" spans="1:18" x14ac:dyDescent="0.2">
      <c r="A1330">
        <v>2</v>
      </c>
      <c r="B1330" t="s">
        <v>50</v>
      </c>
      <c r="E1330" t="s">
        <v>19</v>
      </c>
      <c r="F1330">
        <v>2763643</v>
      </c>
      <c r="G1330">
        <v>6</v>
      </c>
      <c r="H1330">
        <v>3</v>
      </c>
      <c r="I1330">
        <v>625</v>
      </c>
      <c r="J1330">
        <v>1993</v>
      </c>
      <c r="K1330" s="4">
        <v>44267</v>
      </c>
      <c r="L1330" t="s">
        <v>26</v>
      </c>
      <c r="M1330" t="s">
        <v>59</v>
      </c>
      <c r="N1330">
        <v>3.06</v>
      </c>
      <c r="O1330">
        <v>2276</v>
      </c>
      <c r="P1330">
        <v>3.87</v>
      </c>
      <c r="Q1330">
        <v>390</v>
      </c>
      <c r="R1330">
        <v>360</v>
      </c>
    </row>
    <row r="1331" spans="1:18" x14ac:dyDescent="0.2">
      <c r="A1331">
        <v>2</v>
      </c>
      <c r="B1331" t="s">
        <v>87</v>
      </c>
      <c r="E1331" t="s">
        <v>51</v>
      </c>
      <c r="F1331">
        <v>2153687</v>
      </c>
      <c r="G1331">
        <v>2</v>
      </c>
      <c r="H1331">
        <v>2</v>
      </c>
      <c r="I1331">
        <v>136</v>
      </c>
      <c r="J1331">
        <v>1993</v>
      </c>
      <c r="K1331" s="4">
        <v>45243</v>
      </c>
      <c r="L1331" t="s">
        <v>26</v>
      </c>
      <c r="M1331" t="s">
        <v>35</v>
      </c>
      <c r="N1331">
        <v>3.05</v>
      </c>
      <c r="O1331">
        <v>1730</v>
      </c>
      <c r="P1331">
        <v>0.62</v>
      </c>
      <c r="Q1331">
        <v>208</v>
      </c>
      <c r="R1331">
        <v>559</v>
      </c>
    </row>
    <row r="1332" spans="1:18" x14ac:dyDescent="0.2">
      <c r="A1332">
        <v>9</v>
      </c>
      <c r="B1332" t="s">
        <v>93</v>
      </c>
      <c r="E1332" t="s">
        <v>36</v>
      </c>
      <c r="F1332">
        <v>644003</v>
      </c>
      <c r="G1332">
        <v>-2</v>
      </c>
      <c r="H1332">
        <v>1</v>
      </c>
      <c r="I1332">
        <v>856</v>
      </c>
      <c r="J1332">
        <v>1972</v>
      </c>
      <c r="K1332" s="4">
        <v>45590</v>
      </c>
      <c r="L1332" t="s">
        <v>20</v>
      </c>
      <c r="M1332" t="s">
        <v>52</v>
      </c>
      <c r="N1332">
        <v>3.34</v>
      </c>
      <c r="O1332">
        <v>1020</v>
      </c>
      <c r="P1332">
        <v>2.2200000000000002</v>
      </c>
      <c r="Q1332">
        <v>333</v>
      </c>
      <c r="R1332">
        <v>304</v>
      </c>
    </row>
    <row r="1333" spans="1:18" x14ac:dyDescent="0.2">
      <c r="A1333">
        <v>0</v>
      </c>
      <c r="B1333" t="s">
        <v>87</v>
      </c>
      <c r="E1333" t="s">
        <v>19</v>
      </c>
      <c r="F1333">
        <v>2699653</v>
      </c>
      <c r="G1333">
        <v>2</v>
      </c>
      <c r="H1333">
        <v>3</v>
      </c>
      <c r="I1333">
        <v>197</v>
      </c>
      <c r="J1333">
        <v>1999</v>
      </c>
      <c r="K1333" s="4">
        <v>45100</v>
      </c>
      <c r="L1333" t="s">
        <v>20</v>
      </c>
      <c r="M1333" t="s">
        <v>35</v>
      </c>
      <c r="N1333">
        <v>3.3</v>
      </c>
      <c r="O1333">
        <v>1092</v>
      </c>
      <c r="P1333">
        <v>2.68</v>
      </c>
      <c r="Q1333">
        <v>211</v>
      </c>
      <c r="R1333">
        <v>409</v>
      </c>
    </row>
    <row r="1334" spans="1:18" x14ac:dyDescent="0.2">
      <c r="A1334">
        <v>8</v>
      </c>
      <c r="B1334" t="s">
        <v>18</v>
      </c>
      <c r="E1334" t="s">
        <v>51</v>
      </c>
      <c r="F1334">
        <v>2925161</v>
      </c>
      <c r="G1334">
        <v>3</v>
      </c>
      <c r="H1334">
        <v>2</v>
      </c>
      <c r="I1334">
        <v>992</v>
      </c>
      <c r="J1334">
        <v>1977</v>
      </c>
      <c r="K1334" s="4">
        <v>44133</v>
      </c>
      <c r="L1334" t="s">
        <v>23</v>
      </c>
      <c r="M1334" t="s">
        <v>66</v>
      </c>
      <c r="N1334">
        <v>2.86</v>
      </c>
      <c r="O1334">
        <v>2093</v>
      </c>
      <c r="P1334">
        <v>2.68</v>
      </c>
      <c r="Q1334">
        <v>299</v>
      </c>
      <c r="R1334">
        <v>381</v>
      </c>
    </row>
    <row r="1335" spans="1:18" x14ac:dyDescent="0.2">
      <c r="A1335">
        <v>2</v>
      </c>
      <c r="B1335" t="s">
        <v>75</v>
      </c>
      <c r="E1335" t="s">
        <v>19</v>
      </c>
      <c r="F1335">
        <v>1660097</v>
      </c>
      <c r="G1335">
        <v>2</v>
      </c>
      <c r="H1335">
        <v>3</v>
      </c>
      <c r="I1335">
        <v>480</v>
      </c>
      <c r="J1335">
        <v>1966</v>
      </c>
      <c r="K1335" s="4">
        <v>44101</v>
      </c>
      <c r="L1335" t="s">
        <v>26</v>
      </c>
      <c r="M1335" t="s">
        <v>82</v>
      </c>
      <c r="N1335">
        <v>1.63</v>
      </c>
      <c r="O1335">
        <v>1139</v>
      </c>
      <c r="P1335">
        <v>0.54</v>
      </c>
      <c r="Q1335">
        <v>78</v>
      </c>
      <c r="R1335">
        <v>517</v>
      </c>
    </row>
    <row r="1336" spans="1:18" x14ac:dyDescent="0.2">
      <c r="A1336">
        <v>3</v>
      </c>
      <c r="B1336" t="s">
        <v>80</v>
      </c>
      <c r="E1336" t="s">
        <v>51</v>
      </c>
      <c r="F1336">
        <v>1880334</v>
      </c>
      <c r="G1336">
        <v>5</v>
      </c>
      <c r="H1336">
        <v>1</v>
      </c>
      <c r="I1336">
        <v>498</v>
      </c>
      <c r="J1336">
        <v>1954</v>
      </c>
      <c r="K1336" s="4">
        <v>44566</v>
      </c>
      <c r="L1336" t="s">
        <v>20</v>
      </c>
      <c r="M1336" t="s">
        <v>47</v>
      </c>
      <c r="N1336">
        <v>3.12</v>
      </c>
      <c r="O1336">
        <v>2404</v>
      </c>
      <c r="P1336">
        <v>0.13</v>
      </c>
      <c r="Q1336">
        <v>248</v>
      </c>
      <c r="R1336">
        <v>650</v>
      </c>
    </row>
    <row r="1337" spans="1:18" x14ac:dyDescent="0.2">
      <c r="A1337">
        <v>6</v>
      </c>
      <c r="B1337" t="s">
        <v>49</v>
      </c>
      <c r="E1337" t="s">
        <v>19</v>
      </c>
      <c r="F1337">
        <v>1240495</v>
      </c>
      <c r="G1337">
        <v>3</v>
      </c>
      <c r="H1337">
        <v>3</v>
      </c>
      <c r="I1337">
        <v>843</v>
      </c>
      <c r="J1337">
        <v>1998</v>
      </c>
      <c r="K1337" s="4">
        <v>45319</v>
      </c>
      <c r="L1337" t="s">
        <v>30</v>
      </c>
      <c r="M1337" t="s">
        <v>52</v>
      </c>
      <c r="N1337">
        <v>2.87</v>
      </c>
      <c r="O1337">
        <v>1838</v>
      </c>
      <c r="P1337">
        <v>1.06</v>
      </c>
      <c r="Q1337">
        <v>118</v>
      </c>
      <c r="R1337">
        <v>597</v>
      </c>
    </row>
    <row r="1338" spans="1:18" x14ac:dyDescent="0.2">
      <c r="A1338">
        <v>8</v>
      </c>
      <c r="B1338" t="s">
        <v>81</v>
      </c>
      <c r="E1338" t="s">
        <v>29</v>
      </c>
      <c r="F1338">
        <v>1750291</v>
      </c>
      <c r="G1338">
        <v>5</v>
      </c>
      <c r="H1338">
        <v>3</v>
      </c>
      <c r="I1338">
        <v>844</v>
      </c>
      <c r="J1338">
        <v>1965</v>
      </c>
      <c r="K1338" s="4">
        <v>44438</v>
      </c>
      <c r="L1338" t="s">
        <v>20</v>
      </c>
      <c r="M1338" t="s">
        <v>59</v>
      </c>
      <c r="N1338">
        <v>1.68</v>
      </c>
      <c r="O1338">
        <v>1164</v>
      </c>
      <c r="P1338">
        <v>1.45</v>
      </c>
      <c r="Q1338">
        <v>283</v>
      </c>
      <c r="R1338">
        <v>363</v>
      </c>
    </row>
    <row r="1339" spans="1:18" x14ac:dyDescent="0.2">
      <c r="A1339">
        <v>8</v>
      </c>
      <c r="B1339" t="s">
        <v>99</v>
      </c>
      <c r="E1339" t="s">
        <v>29</v>
      </c>
      <c r="F1339">
        <v>2504627</v>
      </c>
      <c r="G1339">
        <v>4</v>
      </c>
      <c r="H1339">
        <v>2</v>
      </c>
      <c r="I1339">
        <v>976</v>
      </c>
      <c r="J1339">
        <v>1983</v>
      </c>
      <c r="K1339" s="4">
        <v>44814</v>
      </c>
      <c r="L1339" t="s">
        <v>26</v>
      </c>
      <c r="M1339" t="s">
        <v>60</v>
      </c>
      <c r="N1339">
        <v>2.64</v>
      </c>
      <c r="O1339">
        <v>2033</v>
      </c>
      <c r="P1339">
        <v>2.27</v>
      </c>
      <c r="Q1339">
        <v>304</v>
      </c>
      <c r="R1339">
        <v>319</v>
      </c>
    </row>
    <row r="1340" spans="1:18" x14ac:dyDescent="0.2">
      <c r="A1340">
        <v>1</v>
      </c>
      <c r="B1340" t="s">
        <v>99</v>
      </c>
      <c r="E1340" t="s">
        <v>36</v>
      </c>
      <c r="F1340">
        <v>1577209</v>
      </c>
      <c r="G1340">
        <v>2</v>
      </c>
      <c r="H1340">
        <v>3</v>
      </c>
      <c r="I1340">
        <v>189</v>
      </c>
      <c r="J1340">
        <v>1994</v>
      </c>
      <c r="K1340" s="4">
        <v>44742</v>
      </c>
      <c r="L1340" t="s">
        <v>26</v>
      </c>
      <c r="M1340" t="s">
        <v>33</v>
      </c>
      <c r="N1340">
        <v>3.34</v>
      </c>
      <c r="O1340">
        <v>2342</v>
      </c>
      <c r="P1340">
        <v>0.34</v>
      </c>
      <c r="Q1340">
        <v>65</v>
      </c>
      <c r="R1340">
        <v>610</v>
      </c>
    </row>
    <row r="1341" spans="1:18" x14ac:dyDescent="0.2">
      <c r="A1341">
        <v>6</v>
      </c>
      <c r="B1341" t="s">
        <v>104</v>
      </c>
      <c r="E1341" t="s">
        <v>29</v>
      </c>
      <c r="F1341">
        <v>2013343</v>
      </c>
      <c r="G1341">
        <v>1</v>
      </c>
      <c r="H1341">
        <v>1</v>
      </c>
      <c r="I1341">
        <v>256</v>
      </c>
      <c r="J1341">
        <v>2003</v>
      </c>
      <c r="K1341" s="4">
        <v>45398</v>
      </c>
      <c r="L1341" t="s">
        <v>20</v>
      </c>
      <c r="M1341" t="s">
        <v>66</v>
      </c>
      <c r="N1341">
        <v>3.28</v>
      </c>
      <c r="O1341">
        <v>2285</v>
      </c>
      <c r="P1341">
        <v>2.91</v>
      </c>
      <c r="Q1341">
        <v>82</v>
      </c>
      <c r="R1341">
        <v>332</v>
      </c>
    </row>
    <row r="1342" spans="1:18" x14ac:dyDescent="0.2">
      <c r="A1342">
        <v>4</v>
      </c>
      <c r="B1342" t="s">
        <v>55</v>
      </c>
      <c r="E1342" t="s">
        <v>36</v>
      </c>
      <c r="F1342">
        <v>2015994</v>
      </c>
      <c r="G1342">
        <v>5</v>
      </c>
      <c r="H1342">
        <v>3</v>
      </c>
      <c r="I1342">
        <v>859</v>
      </c>
      <c r="J1342">
        <v>2015</v>
      </c>
      <c r="K1342" s="4">
        <v>45401</v>
      </c>
      <c r="L1342" t="s">
        <v>30</v>
      </c>
      <c r="M1342" t="s">
        <v>45</v>
      </c>
      <c r="N1342">
        <v>3.49</v>
      </c>
      <c r="O1342">
        <v>1867</v>
      </c>
      <c r="P1342">
        <v>0.45</v>
      </c>
      <c r="Q1342">
        <v>321</v>
      </c>
      <c r="R1342">
        <v>674</v>
      </c>
    </row>
    <row r="1343" spans="1:18" x14ac:dyDescent="0.2">
      <c r="A1343">
        <v>2</v>
      </c>
      <c r="B1343" t="s">
        <v>96</v>
      </c>
      <c r="E1343" t="s">
        <v>29</v>
      </c>
      <c r="F1343">
        <v>2507256</v>
      </c>
      <c r="G1343">
        <v>4</v>
      </c>
      <c r="H1343">
        <v>1</v>
      </c>
      <c r="I1343">
        <v>925</v>
      </c>
      <c r="J1343">
        <v>1987</v>
      </c>
      <c r="K1343" s="4">
        <v>45246</v>
      </c>
      <c r="L1343" t="s">
        <v>20</v>
      </c>
      <c r="M1343" t="s">
        <v>27</v>
      </c>
      <c r="N1343">
        <v>1.76</v>
      </c>
      <c r="O1343">
        <v>2411</v>
      </c>
      <c r="P1343">
        <v>3.91</v>
      </c>
      <c r="Q1343">
        <v>191</v>
      </c>
      <c r="R1343">
        <v>313</v>
      </c>
    </row>
    <row r="1344" spans="1:18" x14ac:dyDescent="0.2">
      <c r="A1344">
        <v>0</v>
      </c>
      <c r="B1344" t="s">
        <v>55</v>
      </c>
      <c r="E1344" t="s">
        <v>19</v>
      </c>
      <c r="F1344">
        <v>443982</v>
      </c>
      <c r="G1344">
        <v>6</v>
      </c>
      <c r="H1344">
        <v>2</v>
      </c>
      <c r="I1344">
        <v>246</v>
      </c>
      <c r="J1344">
        <v>1968</v>
      </c>
      <c r="K1344" s="4">
        <v>44775</v>
      </c>
      <c r="L1344" t="s">
        <v>23</v>
      </c>
      <c r="M1344" t="s">
        <v>33</v>
      </c>
      <c r="N1344">
        <v>3.3</v>
      </c>
      <c r="O1344">
        <v>877</v>
      </c>
      <c r="P1344">
        <v>3.87</v>
      </c>
      <c r="Q1344">
        <v>374</v>
      </c>
      <c r="R1344">
        <v>432</v>
      </c>
    </row>
    <row r="1345" spans="1:18" x14ac:dyDescent="0.2">
      <c r="A1345">
        <v>9</v>
      </c>
      <c r="B1345" t="s">
        <v>81</v>
      </c>
      <c r="E1345" t="s">
        <v>36</v>
      </c>
      <c r="F1345">
        <v>862392</v>
      </c>
      <c r="G1345">
        <v>4</v>
      </c>
      <c r="H1345">
        <v>1</v>
      </c>
      <c r="I1345">
        <v>552</v>
      </c>
      <c r="J1345">
        <v>1995</v>
      </c>
      <c r="K1345" s="4">
        <v>45195</v>
      </c>
      <c r="L1345" t="s">
        <v>23</v>
      </c>
      <c r="M1345" t="s">
        <v>60</v>
      </c>
      <c r="N1345">
        <v>2.66</v>
      </c>
      <c r="O1345">
        <v>1961</v>
      </c>
      <c r="P1345">
        <v>4.68</v>
      </c>
      <c r="Q1345">
        <v>296</v>
      </c>
      <c r="R1345">
        <v>674</v>
      </c>
    </row>
    <row r="1346" spans="1:18" x14ac:dyDescent="0.2">
      <c r="A1346">
        <v>6</v>
      </c>
      <c r="B1346" t="s">
        <v>94</v>
      </c>
      <c r="E1346" t="s">
        <v>19</v>
      </c>
      <c r="F1346">
        <v>2940825</v>
      </c>
      <c r="G1346">
        <v>3</v>
      </c>
      <c r="H1346">
        <v>2</v>
      </c>
      <c r="I1346">
        <v>76</v>
      </c>
      <c r="J1346">
        <v>1966</v>
      </c>
      <c r="K1346" s="4">
        <v>44772</v>
      </c>
      <c r="L1346" t="s">
        <v>30</v>
      </c>
      <c r="M1346" t="s">
        <v>68</v>
      </c>
      <c r="N1346">
        <v>2.83</v>
      </c>
      <c r="O1346">
        <v>919</v>
      </c>
      <c r="P1346">
        <v>3.43</v>
      </c>
      <c r="Q1346">
        <v>261</v>
      </c>
      <c r="R1346">
        <v>500</v>
      </c>
    </row>
    <row r="1347" spans="1:18" x14ac:dyDescent="0.2">
      <c r="A1347">
        <v>8</v>
      </c>
      <c r="B1347" t="s">
        <v>48</v>
      </c>
      <c r="E1347" t="s">
        <v>36</v>
      </c>
      <c r="F1347">
        <v>1584463</v>
      </c>
      <c r="G1347">
        <v>3</v>
      </c>
      <c r="H1347">
        <v>2</v>
      </c>
      <c r="I1347">
        <v>977</v>
      </c>
      <c r="J1347">
        <v>1968</v>
      </c>
      <c r="K1347" s="4">
        <v>44265</v>
      </c>
      <c r="L1347" t="s">
        <v>30</v>
      </c>
      <c r="M1347" t="s">
        <v>82</v>
      </c>
      <c r="N1347">
        <v>2.21</v>
      </c>
      <c r="O1347">
        <v>2193</v>
      </c>
      <c r="P1347">
        <v>0.56000000000000005</v>
      </c>
      <c r="Q1347">
        <v>93</v>
      </c>
      <c r="R1347">
        <v>661</v>
      </c>
    </row>
    <row r="1348" spans="1:18" x14ac:dyDescent="0.2">
      <c r="A1348">
        <v>1</v>
      </c>
      <c r="B1348" t="s">
        <v>61</v>
      </c>
      <c r="E1348" t="s">
        <v>29</v>
      </c>
      <c r="F1348">
        <v>1893991</v>
      </c>
      <c r="G1348">
        <v>4</v>
      </c>
      <c r="H1348">
        <v>3</v>
      </c>
      <c r="I1348">
        <v>148</v>
      </c>
      <c r="J1348">
        <v>2004</v>
      </c>
      <c r="K1348" s="4">
        <v>44928</v>
      </c>
      <c r="L1348" t="s">
        <v>20</v>
      </c>
      <c r="M1348" t="s">
        <v>85</v>
      </c>
      <c r="N1348">
        <v>1.52</v>
      </c>
      <c r="O1348">
        <v>1476</v>
      </c>
      <c r="P1348">
        <v>2.35</v>
      </c>
      <c r="Q1348">
        <v>299</v>
      </c>
      <c r="R1348">
        <v>610</v>
      </c>
    </row>
    <row r="1349" spans="1:18" x14ac:dyDescent="0.2">
      <c r="A1349">
        <v>7</v>
      </c>
      <c r="B1349" t="s">
        <v>67</v>
      </c>
      <c r="E1349" t="s">
        <v>51</v>
      </c>
      <c r="F1349">
        <v>949277</v>
      </c>
      <c r="G1349">
        <v>4</v>
      </c>
      <c r="H1349">
        <v>3</v>
      </c>
      <c r="I1349">
        <v>992</v>
      </c>
      <c r="J1349">
        <v>1996</v>
      </c>
      <c r="K1349" s="4">
        <v>45011</v>
      </c>
      <c r="L1349" t="s">
        <v>30</v>
      </c>
      <c r="M1349" t="s">
        <v>70</v>
      </c>
      <c r="N1349">
        <v>3.3</v>
      </c>
      <c r="O1349">
        <v>1484</v>
      </c>
      <c r="P1349">
        <v>2.29</v>
      </c>
      <c r="Q1349">
        <v>321</v>
      </c>
      <c r="R1349">
        <v>567</v>
      </c>
    </row>
    <row r="1350" spans="1:18" x14ac:dyDescent="0.2">
      <c r="A1350">
        <v>7</v>
      </c>
      <c r="B1350" t="s">
        <v>55</v>
      </c>
      <c r="E1350" t="s">
        <v>29</v>
      </c>
      <c r="F1350">
        <v>2278534</v>
      </c>
      <c r="G1350">
        <v>1</v>
      </c>
      <c r="H1350">
        <v>2</v>
      </c>
      <c r="I1350">
        <v>67</v>
      </c>
      <c r="J1350">
        <v>1954</v>
      </c>
      <c r="K1350" s="4">
        <v>44742</v>
      </c>
      <c r="L1350" t="s">
        <v>30</v>
      </c>
      <c r="M1350" t="s">
        <v>40</v>
      </c>
      <c r="N1350">
        <v>1.98</v>
      </c>
      <c r="O1350">
        <v>2149</v>
      </c>
      <c r="P1350">
        <v>4.8</v>
      </c>
      <c r="Q1350">
        <v>160</v>
      </c>
      <c r="R1350">
        <v>368</v>
      </c>
    </row>
    <row r="1351" spans="1:18" x14ac:dyDescent="0.2">
      <c r="A1351">
        <v>9</v>
      </c>
      <c r="B1351" t="s">
        <v>99</v>
      </c>
      <c r="E1351" t="s">
        <v>51</v>
      </c>
      <c r="F1351">
        <v>1533631</v>
      </c>
      <c r="G1351">
        <v>3</v>
      </c>
      <c r="H1351">
        <v>2</v>
      </c>
      <c r="I1351">
        <v>206</v>
      </c>
      <c r="J1351">
        <v>1982</v>
      </c>
      <c r="K1351" s="4">
        <v>44889</v>
      </c>
      <c r="L1351" t="s">
        <v>30</v>
      </c>
      <c r="M1351" t="s">
        <v>54</v>
      </c>
      <c r="N1351">
        <v>2.36</v>
      </c>
      <c r="O1351">
        <v>1065</v>
      </c>
      <c r="P1351">
        <v>0.4</v>
      </c>
      <c r="Q1351">
        <v>255</v>
      </c>
      <c r="R1351">
        <v>445</v>
      </c>
    </row>
    <row r="1352" spans="1:18" x14ac:dyDescent="0.2">
      <c r="A1352">
        <v>8</v>
      </c>
      <c r="B1352" t="s">
        <v>98</v>
      </c>
      <c r="E1352" t="s">
        <v>29</v>
      </c>
      <c r="F1352">
        <v>1027607</v>
      </c>
      <c r="G1352">
        <v>2</v>
      </c>
      <c r="H1352">
        <v>3</v>
      </c>
      <c r="I1352">
        <v>539</v>
      </c>
      <c r="J1352">
        <v>2000</v>
      </c>
      <c r="K1352" s="4">
        <v>44500</v>
      </c>
      <c r="L1352" t="s">
        <v>26</v>
      </c>
      <c r="M1352" t="s">
        <v>40</v>
      </c>
      <c r="N1352">
        <v>1.88</v>
      </c>
      <c r="O1352">
        <v>2059</v>
      </c>
      <c r="P1352">
        <v>3.37</v>
      </c>
      <c r="Q1352">
        <v>225</v>
      </c>
      <c r="R1352">
        <v>669</v>
      </c>
    </row>
    <row r="1353" spans="1:18" x14ac:dyDescent="0.2">
      <c r="A1353">
        <v>9</v>
      </c>
      <c r="B1353" t="s">
        <v>71</v>
      </c>
      <c r="E1353" t="s">
        <v>36</v>
      </c>
      <c r="F1353">
        <v>2842902</v>
      </c>
      <c r="G1353">
        <v>3</v>
      </c>
      <c r="H1353">
        <v>1</v>
      </c>
      <c r="I1353">
        <v>606</v>
      </c>
      <c r="J1353">
        <v>1958</v>
      </c>
      <c r="K1353" s="4">
        <v>45229</v>
      </c>
      <c r="L1353" t="s">
        <v>30</v>
      </c>
      <c r="M1353" t="s">
        <v>85</v>
      </c>
      <c r="N1353">
        <v>2.84</v>
      </c>
      <c r="O1353">
        <v>2369</v>
      </c>
      <c r="P1353">
        <v>1.03</v>
      </c>
      <c r="Q1353">
        <v>162</v>
      </c>
      <c r="R1353">
        <v>389</v>
      </c>
    </row>
    <row r="1354" spans="1:18" x14ac:dyDescent="0.2">
      <c r="A1354">
        <v>4</v>
      </c>
      <c r="B1354" t="s">
        <v>57</v>
      </c>
      <c r="E1354" t="s">
        <v>29</v>
      </c>
      <c r="F1354">
        <v>1997079</v>
      </c>
      <c r="G1354">
        <v>4</v>
      </c>
      <c r="H1354">
        <v>3</v>
      </c>
      <c r="I1354">
        <v>155</v>
      </c>
      <c r="J1354">
        <v>1960</v>
      </c>
      <c r="K1354" s="4">
        <v>45476</v>
      </c>
      <c r="L1354" t="s">
        <v>20</v>
      </c>
      <c r="M1354" t="s">
        <v>54</v>
      </c>
      <c r="N1354">
        <v>3.08</v>
      </c>
      <c r="O1354">
        <v>1134</v>
      </c>
      <c r="P1354">
        <v>0.18</v>
      </c>
      <c r="Q1354">
        <v>342</v>
      </c>
      <c r="R1354">
        <v>379</v>
      </c>
    </row>
    <row r="1355" spans="1:18" x14ac:dyDescent="0.2">
      <c r="A1355">
        <v>9</v>
      </c>
      <c r="B1355" t="s">
        <v>87</v>
      </c>
      <c r="E1355" t="s">
        <v>19</v>
      </c>
      <c r="F1355">
        <v>570182</v>
      </c>
      <c r="G1355">
        <v>4</v>
      </c>
      <c r="H1355">
        <v>2</v>
      </c>
      <c r="I1355">
        <v>842</v>
      </c>
      <c r="J1355">
        <v>1968</v>
      </c>
      <c r="K1355" s="4">
        <v>44799</v>
      </c>
      <c r="L1355" t="s">
        <v>30</v>
      </c>
      <c r="M1355" t="s">
        <v>45</v>
      </c>
      <c r="N1355">
        <v>2.2999999999999998</v>
      </c>
      <c r="O1355">
        <v>1264</v>
      </c>
      <c r="P1355">
        <v>2.29</v>
      </c>
      <c r="Q1355">
        <v>250</v>
      </c>
      <c r="R1355">
        <v>328</v>
      </c>
    </row>
    <row r="1356" spans="1:18" x14ac:dyDescent="0.2">
      <c r="A1356">
        <v>9</v>
      </c>
      <c r="B1356" t="s">
        <v>50</v>
      </c>
      <c r="E1356" t="s">
        <v>36</v>
      </c>
      <c r="F1356">
        <v>765608</v>
      </c>
      <c r="G1356">
        <v>1</v>
      </c>
      <c r="H1356">
        <v>2</v>
      </c>
      <c r="I1356">
        <v>417</v>
      </c>
      <c r="J1356">
        <v>1979</v>
      </c>
      <c r="K1356" s="4">
        <v>44325</v>
      </c>
      <c r="L1356" t="s">
        <v>26</v>
      </c>
      <c r="M1356" t="s">
        <v>74</v>
      </c>
      <c r="N1356">
        <v>1.58</v>
      </c>
      <c r="O1356">
        <v>1077</v>
      </c>
      <c r="P1356">
        <v>4.8499999999999996</v>
      </c>
      <c r="Q1356">
        <v>135</v>
      </c>
      <c r="R1356">
        <v>353</v>
      </c>
    </row>
    <row r="1357" spans="1:18" x14ac:dyDescent="0.2">
      <c r="A1357">
        <v>7</v>
      </c>
      <c r="B1357" t="s">
        <v>93</v>
      </c>
      <c r="E1357" t="s">
        <v>51</v>
      </c>
      <c r="F1357">
        <v>1093756</v>
      </c>
      <c r="G1357">
        <v>5</v>
      </c>
      <c r="H1357">
        <v>3</v>
      </c>
      <c r="I1357">
        <v>97</v>
      </c>
      <c r="J1357">
        <v>1973</v>
      </c>
      <c r="K1357" s="4">
        <v>44552</v>
      </c>
      <c r="L1357" t="s">
        <v>30</v>
      </c>
      <c r="M1357" t="s">
        <v>58</v>
      </c>
      <c r="N1357">
        <v>2.31</v>
      </c>
      <c r="O1357">
        <v>987</v>
      </c>
      <c r="P1357">
        <v>0.3</v>
      </c>
      <c r="Q1357">
        <v>323</v>
      </c>
      <c r="R1357">
        <v>583</v>
      </c>
    </row>
    <row r="1358" spans="1:18" x14ac:dyDescent="0.2">
      <c r="A1358">
        <v>6</v>
      </c>
      <c r="B1358" t="s">
        <v>41</v>
      </c>
      <c r="E1358" t="s">
        <v>19</v>
      </c>
      <c r="F1358">
        <v>880295</v>
      </c>
      <c r="G1358">
        <v>1</v>
      </c>
      <c r="H1358">
        <v>3</v>
      </c>
      <c r="I1358">
        <v>375</v>
      </c>
      <c r="J1358">
        <v>2010</v>
      </c>
      <c r="K1358" s="4">
        <v>44625</v>
      </c>
      <c r="L1358" t="s">
        <v>30</v>
      </c>
      <c r="M1358" t="s">
        <v>97</v>
      </c>
      <c r="N1358">
        <v>2.36</v>
      </c>
      <c r="O1358">
        <v>2310</v>
      </c>
      <c r="P1358">
        <v>4.38</v>
      </c>
      <c r="Q1358">
        <v>132</v>
      </c>
      <c r="R1358">
        <v>653</v>
      </c>
    </row>
    <row r="1359" spans="1:18" x14ac:dyDescent="0.2">
      <c r="A1359">
        <v>8</v>
      </c>
      <c r="B1359" t="s">
        <v>57</v>
      </c>
      <c r="E1359" t="s">
        <v>36</v>
      </c>
      <c r="F1359">
        <v>1928584</v>
      </c>
      <c r="G1359">
        <v>5</v>
      </c>
      <c r="H1359">
        <v>2</v>
      </c>
      <c r="I1359">
        <v>635</v>
      </c>
      <c r="J1359">
        <v>2002</v>
      </c>
      <c r="K1359" s="4">
        <v>44073</v>
      </c>
      <c r="L1359" t="s">
        <v>30</v>
      </c>
      <c r="M1359" t="s">
        <v>58</v>
      </c>
      <c r="N1359">
        <v>3.47</v>
      </c>
      <c r="O1359">
        <v>1706</v>
      </c>
      <c r="P1359">
        <v>1.37</v>
      </c>
      <c r="Q1359">
        <v>400</v>
      </c>
      <c r="R1359">
        <v>379</v>
      </c>
    </row>
    <row r="1360" spans="1:18" x14ac:dyDescent="0.2">
      <c r="A1360">
        <v>3</v>
      </c>
      <c r="B1360" t="s">
        <v>106</v>
      </c>
      <c r="E1360" t="s">
        <v>29</v>
      </c>
      <c r="F1360">
        <v>2115762</v>
      </c>
      <c r="G1360">
        <v>6</v>
      </c>
      <c r="H1360">
        <v>2</v>
      </c>
      <c r="I1360">
        <v>70</v>
      </c>
      <c r="J1360">
        <v>1954</v>
      </c>
      <c r="K1360" s="4">
        <v>44450</v>
      </c>
      <c r="L1360" t="s">
        <v>20</v>
      </c>
      <c r="M1360" t="s">
        <v>59</v>
      </c>
      <c r="N1360">
        <v>2.92</v>
      </c>
      <c r="O1360">
        <v>1219</v>
      </c>
      <c r="P1360">
        <v>0.78</v>
      </c>
      <c r="Q1360">
        <v>374</v>
      </c>
      <c r="R1360">
        <v>535</v>
      </c>
    </row>
    <row r="1361" spans="1:18" x14ac:dyDescent="0.2">
      <c r="A1361">
        <v>6</v>
      </c>
      <c r="B1361" t="s">
        <v>99</v>
      </c>
      <c r="E1361" t="s">
        <v>29</v>
      </c>
      <c r="F1361">
        <v>2659327</v>
      </c>
      <c r="G1361">
        <v>6</v>
      </c>
      <c r="H1361">
        <v>1</v>
      </c>
      <c r="I1361">
        <v>283</v>
      </c>
      <c r="J1361">
        <v>2003</v>
      </c>
      <c r="K1361" s="4">
        <v>44079</v>
      </c>
      <c r="L1361" t="s">
        <v>26</v>
      </c>
      <c r="M1361" t="s">
        <v>82</v>
      </c>
      <c r="N1361">
        <v>2</v>
      </c>
      <c r="O1361">
        <v>1815</v>
      </c>
      <c r="P1361">
        <v>2.76</v>
      </c>
      <c r="Q1361">
        <v>388</v>
      </c>
      <c r="R1361">
        <v>526</v>
      </c>
    </row>
    <row r="1362" spans="1:18" x14ac:dyDescent="0.2">
      <c r="A1362">
        <v>7</v>
      </c>
      <c r="B1362" t="s">
        <v>75</v>
      </c>
      <c r="E1362" t="s">
        <v>29</v>
      </c>
      <c r="F1362">
        <v>1563661</v>
      </c>
      <c r="G1362">
        <v>4</v>
      </c>
      <c r="H1362">
        <v>1</v>
      </c>
      <c r="I1362">
        <v>835</v>
      </c>
      <c r="J1362">
        <v>1950</v>
      </c>
      <c r="K1362" s="4">
        <v>44066</v>
      </c>
      <c r="L1362" t="s">
        <v>26</v>
      </c>
      <c r="M1362" t="s">
        <v>68</v>
      </c>
      <c r="N1362">
        <v>2.75</v>
      </c>
      <c r="O1362">
        <v>815</v>
      </c>
      <c r="P1362">
        <v>0.93</v>
      </c>
      <c r="Q1362">
        <v>331</v>
      </c>
      <c r="R1362">
        <v>317</v>
      </c>
    </row>
    <row r="1363" spans="1:18" x14ac:dyDescent="0.2">
      <c r="A1363">
        <v>5</v>
      </c>
      <c r="B1363" t="s">
        <v>93</v>
      </c>
      <c r="E1363" t="s">
        <v>19</v>
      </c>
      <c r="F1363">
        <v>2979855</v>
      </c>
      <c r="G1363">
        <v>5</v>
      </c>
      <c r="H1363">
        <v>2</v>
      </c>
      <c r="I1363">
        <v>133</v>
      </c>
      <c r="J1363">
        <v>1956</v>
      </c>
      <c r="K1363" s="4">
        <v>44253</v>
      </c>
      <c r="L1363" t="s">
        <v>30</v>
      </c>
      <c r="M1363" t="s">
        <v>63</v>
      </c>
      <c r="N1363">
        <v>2.2799999999999998</v>
      </c>
      <c r="O1363">
        <v>929</v>
      </c>
      <c r="P1363">
        <v>3.68</v>
      </c>
      <c r="Q1363">
        <v>400</v>
      </c>
      <c r="R1363">
        <v>456</v>
      </c>
    </row>
    <row r="1364" spans="1:18" x14ac:dyDescent="0.2">
      <c r="A1364">
        <v>6</v>
      </c>
      <c r="B1364" t="s">
        <v>65</v>
      </c>
      <c r="E1364" t="s">
        <v>19</v>
      </c>
      <c r="F1364">
        <v>730548</v>
      </c>
      <c r="G1364">
        <v>3</v>
      </c>
      <c r="H1364">
        <v>1</v>
      </c>
      <c r="I1364">
        <v>78</v>
      </c>
      <c r="J1364">
        <v>2026</v>
      </c>
      <c r="K1364" s="4">
        <v>44371</v>
      </c>
      <c r="L1364" t="s">
        <v>30</v>
      </c>
      <c r="M1364" t="s">
        <v>56</v>
      </c>
      <c r="N1364">
        <v>1.6</v>
      </c>
      <c r="O1364">
        <v>1929</v>
      </c>
      <c r="P1364">
        <v>4.84</v>
      </c>
      <c r="Q1364">
        <v>120</v>
      </c>
      <c r="R1364">
        <v>623</v>
      </c>
    </row>
    <row r="1365" spans="1:18" x14ac:dyDescent="0.2">
      <c r="A1365">
        <v>7</v>
      </c>
      <c r="B1365" t="s">
        <v>41</v>
      </c>
      <c r="E1365" t="s">
        <v>29</v>
      </c>
      <c r="F1365">
        <v>2296714</v>
      </c>
      <c r="G1365">
        <v>1</v>
      </c>
      <c r="H1365">
        <v>1</v>
      </c>
      <c r="I1365">
        <v>148</v>
      </c>
      <c r="J1365">
        <v>1954</v>
      </c>
      <c r="K1365" s="4">
        <v>45034</v>
      </c>
      <c r="L1365" t="s">
        <v>20</v>
      </c>
      <c r="M1365" t="s">
        <v>31</v>
      </c>
      <c r="N1365">
        <v>2.4300000000000002</v>
      </c>
      <c r="O1365">
        <v>2427</v>
      </c>
      <c r="P1365">
        <v>0.39</v>
      </c>
      <c r="Q1365">
        <v>123</v>
      </c>
      <c r="R1365">
        <v>672</v>
      </c>
    </row>
    <row r="1366" spans="1:18" x14ac:dyDescent="0.2">
      <c r="A1366">
        <v>0</v>
      </c>
      <c r="B1366" t="s">
        <v>53</v>
      </c>
      <c r="E1366" t="s">
        <v>36</v>
      </c>
      <c r="F1366">
        <v>1269223</v>
      </c>
      <c r="G1366">
        <v>5</v>
      </c>
      <c r="H1366">
        <v>2</v>
      </c>
      <c r="I1366">
        <v>332</v>
      </c>
      <c r="J1366">
        <v>2013</v>
      </c>
      <c r="K1366" s="4">
        <v>45436</v>
      </c>
      <c r="L1366" t="s">
        <v>30</v>
      </c>
      <c r="M1366" t="s">
        <v>85</v>
      </c>
      <c r="N1366">
        <v>1.52</v>
      </c>
      <c r="O1366">
        <v>944</v>
      </c>
      <c r="P1366">
        <v>3.91</v>
      </c>
      <c r="Q1366">
        <v>400</v>
      </c>
      <c r="R1366">
        <v>533</v>
      </c>
    </row>
    <row r="1367" spans="1:18" x14ac:dyDescent="0.2">
      <c r="A1367">
        <v>2</v>
      </c>
      <c r="B1367" t="s">
        <v>79</v>
      </c>
      <c r="E1367" t="s">
        <v>19</v>
      </c>
      <c r="F1367">
        <v>2633714</v>
      </c>
      <c r="G1367">
        <v>2</v>
      </c>
      <c r="H1367">
        <v>3</v>
      </c>
      <c r="I1367">
        <v>588</v>
      </c>
      <c r="J1367">
        <v>2022</v>
      </c>
      <c r="K1367" s="4">
        <v>44092</v>
      </c>
      <c r="L1367" t="s">
        <v>20</v>
      </c>
      <c r="M1367" t="s">
        <v>31</v>
      </c>
      <c r="N1367">
        <v>2.88</v>
      </c>
      <c r="O1367">
        <v>1686</v>
      </c>
      <c r="P1367">
        <v>2.89</v>
      </c>
      <c r="Q1367">
        <v>166</v>
      </c>
      <c r="R1367">
        <v>440</v>
      </c>
    </row>
    <row r="1368" spans="1:18" x14ac:dyDescent="0.2">
      <c r="A1368">
        <v>7</v>
      </c>
      <c r="B1368" t="s">
        <v>95</v>
      </c>
      <c r="E1368" t="s">
        <v>51</v>
      </c>
      <c r="F1368">
        <v>2826795</v>
      </c>
      <c r="G1368">
        <v>3</v>
      </c>
      <c r="H1368">
        <v>1</v>
      </c>
      <c r="I1368">
        <v>241</v>
      </c>
      <c r="J1368">
        <v>2011</v>
      </c>
      <c r="K1368" s="4">
        <v>45209</v>
      </c>
      <c r="L1368" t="s">
        <v>20</v>
      </c>
      <c r="M1368" t="s">
        <v>21</v>
      </c>
      <c r="N1368">
        <v>3.48</v>
      </c>
      <c r="O1368">
        <v>2061</v>
      </c>
      <c r="P1368">
        <v>4.6900000000000004</v>
      </c>
      <c r="Q1368">
        <v>172</v>
      </c>
      <c r="R1368">
        <v>557</v>
      </c>
    </row>
    <row r="1369" spans="1:18" x14ac:dyDescent="0.2">
      <c r="A1369">
        <v>5</v>
      </c>
      <c r="B1369" t="s">
        <v>104</v>
      </c>
      <c r="E1369" t="s">
        <v>19</v>
      </c>
      <c r="F1369">
        <v>858872</v>
      </c>
      <c r="G1369">
        <v>2</v>
      </c>
      <c r="H1369">
        <v>1</v>
      </c>
      <c r="I1369">
        <v>454</v>
      </c>
      <c r="J1369">
        <v>2021</v>
      </c>
      <c r="K1369" s="4">
        <v>44963</v>
      </c>
      <c r="L1369" t="s">
        <v>30</v>
      </c>
      <c r="M1369" t="s">
        <v>60</v>
      </c>
      <c r="N1369">
        <v>1.99</v>
      </c>
      <c r="O1369">
        <v>1359</v>
      </c>
      <c r="P1369">
        <v>4.32</v>
      </c>
      <c r="Q1369">
        <v>91</v>
      </c>
      <c r="R1369">
        <v>685</v>
      </c>
    </row>
    <row r="1370" spans="1:18" x14ac:dyDescent="0.2">
      <c r="A1370">
        <v>0</v>
      </c>
      <c r="B1370" t="s">
        <v>83</v>
      </c>
      <c r="E1370" t="s">
        <v>19</v>
      </c>
      <c r="F1370">
        <v>1436896</v>
      </c>
      <c r="G1370">
        <v>3</v>
      </c>
      <c r="H1370">
        <v>3</v>
      </c>
      <c r="I1370">
        <v>823</v>
      </c>
      <c r="J1370">
        <v>2011</v>
      </c>
      <c r="K1370" s="4">
        <v>45152</v>
      </c>
      <c r="L1370" t="s">
        <v>20</v>
      </c>
      <c r="M1370" t="s">
        <v>69</v>
      </c>
      <c r="N1370">
        <v>2.21</v>
      </c>
      <c r="O1370">
        <v>2051</v>
      </c>
      <c r="P1370">
        <v>2.96</v>
      </c>
      <c r="Q1370">
        <v>154</v>
      </c>
      <c r="R1370">
        <v>566</v>
      </c>
    </row>
    <row r="1371" spans="1:18" x14ac:dyDescent="0.2">
      <c r="A1371">
        <v>1</v>
      </c>
      <c r="B1371" t="s">
        <v>105</v>
      </c>
      <c r="E1371" t="s">
        <v>29</v>
      </c>
      <c r="F1371">
        <v>2728061</v>
      </c>
      <c r="G1371">
        <v>3</v>
      </c>
      <c r="H1371">
        <v>3</v>
      </c>
      <c r="I1371">
        <v>584</v>
      </c>
      <c r="J1371">
        <v>2003</v>
      </c>
      <c r="K1371" s="4">
        <v>45072</v>
      </c>
      <c r="L1371" t="s">
        <v>30</v>
      </c>
      <c r="M1371" t="s">
        <v>47</v>
      </c>
      <c r="N1371">
        <v>3.17</v>
      </c>
      <c r="O1371">
        <v>1635</v>
      </c>
      <c r="P1371">
        <v>0.12</v>
      </c>
      <c r="Q1371">
        <v>108</v>
      </c>
      <c r="R1371">
        <v>577</v>
      </c>
    </row>
    <row r="1372" spans="1:18" x14ac:dyDescent="0.2">
      <c r="A1372">
        <v>3</v>
      </c>
      <c r="B1372" t="s">
        <v>87</v>
      </c>
      <c r="E1372" t="s">
        <v>19</v>
      </c>
      <c r="F1372">
        <v>1484280</v>
      </c>
      <c r="G1372">
        <v>2</v>
      </c>
      <c r="H1372">
        <v>1</v>
      </c>
      <c r="I1372">
        <v>511</v>
      </c>
      <c r="J1372">
        <v>1975</v>
      </c>
      <c r="K1372" s="4">
        <v>45372</v>
      </c>
      <c r="L1372" t="s">
        <v>26</v>
      </c>
      <c r="M1372" t="s">
        <v>35</v>
      </c>
      <c r="N1372">
        <v>3.1</v>
      </c>
      <c r="O1372">
        <v>2431</v>
      </c>
      <c r="P1372">
        <v>4.84</v>
      </c>
      <c r="Q1372">
        <v>205</v>
      </c>
      <c r="R1372">
        <v>547</v>
      </c>
    </row>
    <row r="1373" spans="1:18" x14ac:dyDescent="0.2">
      <c r="A1373">
        <v>6</v>
      </c>
      <c r="B1373" t="s">
        <v>99</v>
      </c>
      <c r="E1373" t="s">
        <v>29</v>
      </c>
      <c r="F1373">
        <v>2660424</v>
      </c>
      <c r="G1373">
        <v>1</v>
      </c>
      <c r="H1373">
        <v>1</v>
      </c>
      <c r="I1373">
        <v>119</v>
      </c>
      <c r="J1373">
        <v>1962</v>
      </c>
      <c r="K1373" s="4">
        <v>44874</v>
      </c>
      <c r="L1373" t="s">
        <v>26</v>
      </c>
      <c r="M1373" t="s">
        <v>66</v>
      </c>
      <c r="N1373">
        <v>2.13</v>
      </c>
      <c r="O1373">
        <v>1700</v>
      </c>
      <c r="P1373">
        <v>1.51</v>
      </c>
      <c r="Q1373">
        <v>99</v>
      </c>
      <c r="R1373">
        <v>574</v>
      </c>
    </row>
    <row r="1374" spans="1:18" x14ac:dyDescent="0.2">
      <c r="A1374">
        <v>9</v>
      </c>
      <c r="B1374" t="s">
        <v>64</v>
      </c>
      <c r="E1374" t="s">
        <v>51</v>
      </c>
      <c r="F1374">
        <v>761269</v>
      </c>
      <c r="G1374">
        <v>1</v>
      </c>
      <c r="H1374">
        <v>3</v>
      </c>
      <c r="I1374">
        <v>708</v>
      </c>
      <c r="J1374">
        <v>1950</v>
      </c>
      <c r="K1374" s="4">
        <v>44260</v>
      </c>
      <c r="L1374" t="s">
        <v>30</v>
      </c>
      <c r="M1374" t="s">
        <v>31</v>
      </c>
      <c r="N1374">
        <v>1.82</v>
      </c>
      <c r="O1374">
        <v>1873</v>
      </c>
      <c r="P1374">
        <v>4.7</v>
      </c>
      <c r="Q1374">
        <v>160</v>
      </c>
      <c r="R1374">
        <v>496</v>
      </c>
    </row>
    <row r="1375" spans="1:18" x14ac:dyDescent="0.2">
      <c r="A1375">
        <v>4</v>
      </c>
      <c r="B1375" t="s">
        <v>18</v>
      </c>
      <c r="E1375" t="s">
        <v>36</v>
      </c>
      <c r="F1375">
        <v>704282</v>
      </c>
      <c r="G1375">
        <v>2</v>
      </c>
      <c r="H1375">
        <v>1</v>
      </c>
      <c r="I1375">
        <v>568</v>
      </c>
      <c r="J1375">
        <v>1980</v>
      </c>
      <c r="K1375" s="4">
        <v>44708</v>
      </c>
      <c r="L1375" t="s">
        <v>26</v>
      </c>
      <c r="M1375" t="s">
        <v>78</v>
      </c>
      <c r="N1375">
        <v>2.0299999999999998</v>
      </c>
      <c r="O1375">
        <v>2387</v>
      </c>
      <c r="P1375">
        <v>2.83</v>
      </c>
      <c r="Q1375">
        <v>86</v>
      </c>
      <c r="R1375">
        <v>522</v>
      </c>
    </row>
    <row r="1376" spans="1:18" x14ac:dyDescent="0.2">
      <c r="A1376">
        <v>2</v>
      </c>
      <c r="B1376" t="s">
        <v>67</v>
      </c>
      <c r="E1376" t="s">
        <v>29</v>
      </c>
      <c r="F1376">
        <v>2822577</v>
      </c>
      <c r="G1376">
        <v>3</v>
      </c>
      <c r="H1376">
        <v>1</v>
      </c>
      <c r="I1376">
        <v>483</v>
      </c>
      <c r="J1376">
        <v>2011</v>
      </c>
      <c r="K1376" s="4">
        <v>45470</v>
      </c>
      <c r="L1376" t="s">
        <v>23</v>
      </c>
      <c r="M1376" t="s">
        <v>74</v>
      </c>
      <c r="N1376">
        <v>1.52</v>
      </c>
      <c r="O1376">
        <v>1949</v>
      </c>
      <c r="P1376">
        <v>1.93</v>
      </c>
      <c r="Q1376">
        <v>262</v>
      </c>
      <c r="R1376">
        <v>369</v>
      </c>
    </row>
    <row r="1377" spans="1:18" x14ac:dyDescent="0.2">
      <c r="A1377">
        <v>2</v>
      </c>
      <c r="B1377" t="s">
        <v>71</v>
      </c>
      <c r="E1377" t="s">
        <v>29</v>
      </c>
      <c r="F1377">
        <v>2117233</v>
      </c>
      <c r="G1377">
        <v>2</v>
      </c>
      <c r="H1377">
        <v>2</v>
      </c>
      <c r="I1377">
        <v>281</v>
      </c>
      <c r="J1377">
        <v>1950</v>
      </c>
      <c r="K1377" s="4">
        <v>45779</v>
      </c>
      <c r="L1377" t="s">
        <v>26</v>
      </c>
      <c r="M1377" t="s">
        <v>78</v>
      </c>
      <c r="N1377">
        <v>2.25</v>
      </c>
      <c r="O1377">
        <v>1821</v>
      </c>
      <c r="P1377">
        <v>0.12</v>
      </c>
      <c r="Q1377">
        <v>154</v>
      </c>
      <c r="R1377">
        <v>377</v>
      </c>
    </row>
    <row r="1378" spans="1:18" x14ac:dyDescent="0.2">
      <c r="A1378">
        <v>9</v>
      </c>
      <c r="B1378" t="s">
        <v>104</v>
      </c>
      <c r="E1378" t="s">
        <v>51</v>
      </c>
      <c r="F1378">
        <v>1203948</v>
      </c>
      <c r="G1378">
        <v>6</v>
      </c>
      <c r="H1378">
        <v>3</v>
      </c>
      <c r="I1378">
        <v>679</v>
      </c>
      <c r="J1378">
        <v>2003</v>
      </c>
      <c r="K1378" s="4">
        <v>45136</v>
      </c>
      <c r="L1378" t="s">
        <v>30</v>
      </c>
      <c r="M1378" t="s">
        <v>47</v>
      </c>
      <c r="N1378">
        <v>3.16</v>
      </c>
      <c r="O1378">
        <v>1953</v>
      </c>
      <c r="P1378">
        <v>3.78</v>
      </c>
      <c r="Q1378">
        <v>351</v>
      </c>
      <c r="R1378">
        <v>654</v>
      </c>
    </row>
    <row r="1379" spans="1:18" x14ac:dyDescent="0.2">
      <c r="A1379">
        <v>2</v>
      </c>
      <c r="B1379" t="s">
        <v>53</v>
      </c>
      <c r="E1379" t="s">
        <v>19</v>
      </c>
      <c r="F1379">
        <v>2787279</v>
      </c>
      <c r="G1379">
        <v>2</v>
      </c>
      <c r="H1379">
        <v>3</v>
      </c>
      <c r="I1379">
        <v>395</v>
      </c>
      <c r="J1379">
        <v>1999</v>
      </c>
      <c r="K1379" s="4">
        <v>45280</v>
      </c>
      <c r="L1379" t="s">
        <v>30</v>
      </c>
      <c r="M1379" t="s">
        <v>47</v>
      </c>
      <c r="N1379">
        <v>2.4</v>
      </c>
      <c r="O1379">
        <v>2410</v>
      </c>
      <c r="P1379">
        <v>2.31</v>
      </c>
      <c r="Q1379">
        <v>68</v>
      </c>
      <c r="R1379">
        <v>501</v>
      </c>
    </row>
    <row r="1380" spans="1:18" x14ac:dyDescent="0.2">
      <c r="A1380">
        <v>3</v>
      </c>
      <c r="B1380" t="s">
        <v>90</v>
      </c>
      <c r="E1380" t="s">
        <v>36</v>
      </c>
      <c r="F1380">
        <v>639387</v>
      </c>
      <c r="G1380">
        <v>2</v>
      </c>
      <c r="H1380">
        <v>3</v>
      </c>
      <c r="I1380">
        <v>974</v>
      </c>
      <c r="J1380">
        <v>2022</v>
      </c>
      <c r="K1380" s="4">
        <v>44104</v>
      </c>
      <c r="L1380" t="s">
        <v>26</v>
      </c>
      <c r="M1380" t="s">
        <v>35</v>
      </c>
      <c r="N1380">
        <v>2.27</v>
      </c>
      <c r="O1380">
        <v>1197</v>
      </c>
      <c r="P1380">
        <v>4.74</v>
      </c>
      <c r="Q1380">
        <v>170</v>
      </c>
      <c r="R1380">
        <v>668</v>
      </c>
    </row>
    <row r="1381" spans="1:18" x14ac:dyDescent="0.2">
      <c r="A1381">
        <v>0</v>
      </c>
      <c r="B1381" t="s">
        <v>84</v>
      </c>
      <c r="E1381" t="s">
        <v>19</v>
      </c>
      <c r="F1381">
        <v>1918749</v>
      </c>
      <c r="G1381">
        <v>3</v>
      </c>
      <c r="H1381">
        <v>1</v>
      </c>
      <c r="I1381">
        <v>462</v>
      </c>
      <c r="J1381">
        <v>2022</v>
      </c>
      <c r="K1381" s="4">
        <v>45683</v>
      </c>
      <c r="L1381" t="s">
        <v>20</v>
      </c>
      <c r="M1381" t="s">
        <v>47</v>
      </c>
      <c r="N1381">
        <v>2.25</v>
      </c>
      <c r="O1381">
        <v>1875</v>
      </c>
      <c r="P1381">
        <v>2.36</v>
      </c>
      <c r="Q1381">
        <v>88</v>
      </c>
      <c r="R1381">
        <v>529</v>
      </c>
    </row>
    <row r="1382" spans="1:18" x14ac:dyDescent="0.2">
      <c r="A1382">
        <v>5</v>
      </c>
      <c r="B1382" t="s">
        <v>95</v>
      </c>
      <c r="E1382" t="s">
        <v>19</v>
      </c>
      <c r="F1382">
        <v>1792992</v>
      </c>
      <c r="G1382">
        <v>2</v>
      </c>
      <c r="H1382">
        <v>3</v>
      </c>
      <c r="I1382">
        <v>294</v>
      </c>
      <c r="J1382">
        <v>1973</v>
      </c>
      <c r="K1382" s="4">
        <v>44243</v>
      </c>
      <c r="L1382" t="s">
        <v>26</v>
      </c>
      <c r="M1382" t="s">
        <v>82</v>
      </c>
      <c r="N1382">
        <v>2.0099999999999998</v>
      </c>
      <c r="O1382">
        <v>1764</v>
      </c>
      <c r="P1382">
        <v>4.12</v>
      </c>
      <c r="Q1382">
        <v>64</v>
      </c>
      <c r="R1382">
        <v>562</v>
      </c>
    </row>
    <row r="1383" spans="1:18" x14ac:dyDescent="0.2">
      <c r="A1383">
        <v>2</v>
      </c>
      <c r="B1383" t="s">
        <v>81</v>
      </c>
      <c r="E1383" t="s">
        <v>36</v>
      </c>
      <c r="F1383">
        <v>1618368</v>
      </c>
      <c r="G1383">
        <v>3</v>
      </c>
      <c r="H1383">
        <v>1</v>
      </c>
      <c r="I1383">
        <v>918</v>
      </c>
      <c r="J1383">
        <v>1958</v>
      </c>
      <c r="K1383" s="4">
        <v>44808</v>
      </c>
      <c r="L1383" t="s">
        <v>26</v>
      </c>
      <c r="M1383" t="s">
        <v>82</v>
      </c>
      <c r="N1383">
        <v>3.16</v>
      </c>
      <c r="O1383">
        <v>1607</v>
      </c>
      <c r="P1383">
        <v>2.2599999999999998</v>
      </c>
      <c r="Q1383">
        <v>133</v>
      </c>
      <c r="R1383">
        <v>536</v>
      </c>
    </row>
    <row r="1384" spans="1:18" x14ac:dyDescent="0.2">
      <c r="A1384">
        <v>0</v>
      </c>
      <c r="B1384" t="s">
        <v>73</v>
      </c>
      <c r="E1384" t="s">
        <v>51</v>
      </c>
      <c r="F1384">
        <v>1233999</v>
      </c>
      <c r="G1384">
        <v>3</v>
      </c>
      <c r="H1384">
        <v>3</v>
      </c>
      <c r="I1384">
        <v>849</v>
      </c>
      <c r="J1384">
        <v>1986</v>
      </c>
      <c r="K1384" s="4">
        <v>44819</v>
      </c>
      <c r="L1384" t="s">
        <v>30</v>
      </c>
      <c r="M1384" t="s">
        <v>74</v>
      </c>
      <c r="N1384">
        <v>2.73</v>
      </c>
      <c r="O1384">
        <v>1537</v>
      </c>
      <c r="P1384">
        <v>3.69</v>
      </c>
      <c r="Q1384">
        <v>250</v>
      </c>
      <c r="R1384">
        <v>431</v>
      </c>
    </row>
    <row r="1385" spans="1:18" x14ac:dyDescent="0.2">
      <c r="A1385">
        <v>0</v>
      </c>
      <c r="B1385" t="s">
        <v>32</v>
      </c>
      <c r="E1385" t="s">
        <v>19</v>
      </c>
      <c r="F1385">
        <v>1330761</v>
      </c>
      <c r="G1385">
        <v>5</v>
      </c>
      <c r="H1385">
        <v>2</v>
      </c>
      <c r="I1385">
        <v>721</v>
      </c>
      <c r="J1385">
        <v>1968</v>
      </c>
      <c r="K1385" s="4">
        <v>44863</v>
      </c>
      <c r="L1385" t="s">
        <v>30</v>
      </c>
      <c r="M1385" t="s">
        <v>12</v>
      </c>
      <c r="N1385">
        <v>3.3</v>
      </c>
      <c r="O1385">
        <v>2306</v>
      </c>
      <c r="P1385">
        <v>0.33</v>
      </c>
      <c r="Q1385">
        <v>369</v>
      </c>
      <c r="R1385">
        <v>366</v>
      </c>
    </row>
    <row r="1386" spans="1:18" x14ac:dyDescent="0.2">
      <c r="A1386">
        <v>2</v>
      </c>
      <c r="B1386" t="s">
        <v>55</v>
      </c>
      <c r="E1386" t="s">
        <v>36</v>
      </c>
      <c r="F1386">
        <v>2648029</v>
      </c>
      <c r="G1386">
        <v>3</v>
      </c>
      <c r="H1386">
        <v>1</v>
      </c>
      <c r="I1386">
        <v>805</v>
      </c>
      <c r="J1386">
        <v>1993</v>
      </c>
      <c r="K1386" s="4">
        <v>45647</v>
      </c>
      <c r="L1386" t="s">
        <v>30</v>
      </c>
      <c r="M1386" t="s">
        <v>77</v>
      </c>
      <c r="N1386">
        <v>1.71</v>
      </c>
      <c r="O1386">
        <v>2340</v>
      </c>
      <c r="P1386">
        <v>4.1900000000000004</v>
      </c>
      <c r="Q1386">
        <v>176</v>
      </c>
      <c r="R1386">
        <v>463</v>
      </c>
    </row>
    <row r="1387" spans="1:18" x14ac:dyDescent="0.2">
      <c r="A1387">
        <v>1</v>
      </c>
      <c r="B1387" t="s">
        <v>64</v>
      </c>
      <c r="E1387" t="s">
        <v>36</v>
      </c>
      <c r="F1387">
        <v>2307407</v>
      </c>
      <c r="G1387">
        <v>4</v>
      </c>
      <c r="H1387">
        <v>2</v>
      </c>
      <c r="I1387">
        <v>52</v>
      </c>
      <c r="J1387">
        <v>2000</v>
      </c>
      <c r="K1387" s="4">
        <v>45532</v>
      </c>
      <c r="L1387" t="s">
        <v>23</v>
      </c>
      <c r="M1387" t="s">
        <v>77</v>
      </c>
      <c r="N1387">
        <v>2.7</v>
      </c>
      <c r="O1387">
        <v>1763</v>
      </c>
      <c r="P1387">
        <v>0.56999999999999995</v>
      </c>
      <c r="Q1387">
        <v>285</v>
      </c>
      <c r="R1387">
        <v>552</v>
      </c>
    </row>
    <row r="1388" spans="1:18" x14ac:dyDescent="0.2">
      <c r="A1388">
        <v>7</v>
      </c>
      <c r="B1388" t="s">
        <v>86</v>
      </c>
      <c r="E1388" t="s">
        <v>19</v>
      </c>
      <c r="F1388">
        <v>2141327</v>
      </c>
      <c r="G1388">
        <v>3</v>
      </c>
      <c r="H1388">
        <v>3</v>
      </c>
      <c r="I1388">
        <v>718</v>
      </c>
      <c r="J1388">
        <v>1988</v>
      </c>
      <c r="K1388" s="4">
        <v>44085</v>
      </c>
      <c r="L1388" t="s">
        <v>20</v>
      </c>
      <c r="M1388" t="s">
        <v>60</v>
      </c>
      <c r="N1388">
        <v>2.2200000000000002</v>
      </c>
      <c r="O1388">
        <v>873</v>
      </c>
      <c r="P1388">
        <v>2.17</v>
      </c>
      <c r="Q1388">
        <v>208</v>
      </c>
      <c r="R1388">
        <v>455</v>
      </c>
    </row>
    <row r="1389" spans="1:18" x14ac:dyDescent="0.2">
      <c r="A1389">
        <v>7</v>
      </c>
      <c r="B1389" t="s">
        <v>57</v>
      </c>
      <c r="E1389" t="s">
        <v>36</v>
      </c>
      <c r="F1389">
        <v>1097379</v>
      </c>
      <c r="G1389">
        <v>3</v>
      </c>
      <c r="H1389">
        <v>2</v>
      </c>
      <c r="I1389">
        <v>625</v>
      </c>
      <c r="J1389">
        <v>1989</v>
      </c>
      <c r="K1389" s="4">
        <v>45229</v>
      </c>
      <c r="L1389" t="s">
        <v>23</v>
      </c>
      <c r="M1389" t="s">
        <v>40</v>
      </c>
      <c r="N1389">
        <v>2.95</v>
      </c>
      <c r="O1389">
        <v>1750</v>
      </c>
      <c r="P1389">
        <v>0.27</v>
      </c>
      <c r="Q1389">
        <v>266</v>
      </c>
      <c r="R1389">
        <v>645</v>
      </c>
    </row>
    <row r="1390" spans="1:18" x14ac:dyDescent="0.2">
      <c r="A1390">
        <v>9</v>
      </c>
      <c r="B1390" t="s">
        <v>67</v>
      </c>
      <c r="E1390" t="s">
        <v>19</v>
      </c>
      <c r="F1390">
        <v>1643466</v>
      </c>
      <c r="G1390">
        <v>4</v>
      </c>
      <c r="H1390">
        <v>1</v>
      </c>
      <c r="I1390">
        <v>174</v>
      </c>
      <c r="J1390">
        <v>1975</v>
      </c>
      <c r="K1390" s="4">
        <v>45670</v>
      </c>
      <c r="L1390" t="s">
        <v>20</v>
      </c>
      <c r="M1390" t="s">
        <v>35</v>
      </c>
      <c r="N1390">
        <v>2.0299999999999998</v>
      </c>
      <c r="O1390">
        <v>1274</v>
      </c>
      <c r="P1390">
        <v>1.28</v>
      </c>
      <c r="Q1390">
        <v>354</v>
      </c>
      <c r="R1390">
        <v>513</v>
      </c>
    </row>
    <row r="1391" spans="1:18" x14ac:dyDescent="0.2">
      <c r="A1391">
        <v>7</v>
      </c>
      <c r="B1391" t="s">
        <v>57</v>
      </c>
      <c r="E1391" t="s">
        <v>29</v>
      </c>
      <c r="F1391">
        <v>1027436</v>
      </c>
      <c r="G1391">
        <v>1</v>
      </c>
      <c r="H1391">
        <v>1</v>
      </c>
      <c r="I1391">
        <v>250</v>
      </c>
      <c r="J1391">
        <v>2018</v>
      </c>
      <c r="K1391" s="4">
        <v>44649</v>
      </c>
      <c r="L1391" t="s">
        <v>20</v>
      </c>
      <c r="M1391" t="s">
        <v>68</v>
      </c>
      <c r="N1391">
        <v>3.24</v>
      </c>
      <c r="O1391">
        <v>2430</v>
      </c>
      <c r="P1391">
        <v>1.96</v>
      </c>
      <c r="Q1391">
        <v>143</v>
      </c>
      <c r="R1391">
        <v>576</v>
      </c>
    </row>
    <row r="1392" spans="1:18" x14ac:dyDescent="0.2">
      <c r="A1392">
        <v>2</v>
      </c>
      <c r="B1392" t="s">
        <v>106</v>
      </c>
      <c r="E1392" t="s">
        <v>19</v>
      </c>
      <c r="F1392">
        <v>1556690</v>
      </c>
      <c r="G1392">
        <v>4</v>
      </c>
      <c r="H1392">
        <v>2</v>
      </c>
      <c r="I1392">
        <v>493</v>
      </c>
      <c r="J1392">
        <v>1962</v>
      </c>
      <c r="K1392" s="4">
        <v>45478</v>
      </c>
      <c r="L1392" t="s">
        <v>26</v>
      </c>
      <c r="M1392" t="s">
        <v>59</v>
      </c>
      <c r="N1392">
        <v>1.69</v>
      </c>
      <c r="O1392">
        <v>1555</v>
      </c>
      <c r="P1392">
        <v>0.17</v>
      </c>
      <c r="Q1392">
        <v>177</v>
      </c>
      <c r="R1392">
        <v>520</v>
      </c>
    </row>
    <row r="1393" spans="1:18" x14ac:dyDescent="0.2">
      <c r="A1393">
        <v>2</v>
      </c>
      <c r="B1393" t="s">
        <v>38</v>
      </c>
      <c r="E1393" t="s">
        <v>36</v>
      </c>
      <c r="F1393">
        <v>2043416</v>
      </c>
      <c r="G1393">
        <v>3</v>
      </c>
      <c r="H1393">
        <v>1</v>
      </c>
      <c r="I1393">
        <v>699</v>
      </c>
      <c r="J1393">
        <v>1999</v>
      </c>
      <c r="K1393" s="4">
        <v>44326</v>
      </c>
      <c r="L1393" t="s">
        <v>26</v>
      </c>
      <c r="M1393" t="s">
        <v>42</v>
      </c>
      <c r="N1393">
        <v>1.6</v>
      </c>
      <c r="O1393">
        <v>2036</v>
      </c>
      <c r="P1393">
        <v>4.8099999999999996</v>
      </c>
      <c r="Q1393">
        <v>296</v>
      </c>
      <c r="R1393">
        <v>411</v>
      </c>
    </row>
    <row r="1394" spans="1:18" x14ac:dyDescent="0.2">
      <c r="A1394">
        <v>4</v>
      </c>
      <c r="B1394" t="s">
        <v>83</v>
      </c>
      <c r="E1394" t="s">
        <v>36</v>
      </c>
      <c r="F1394">
        <v>981154</v>
      </c>
      <c r="G1394">
        <v>3</v>
      </c>
      <c r="H1394">
        <v>1</v>
      </c>
      <c r="I1394">
        <v>620</v>
      </c>
      <c r="J1394">
        <v>2015</v>
      </c>
      <c r="K1394" s="4">
        <v>45673</v>
      </c>
      <c r="L1394" t="s">
        <v>23</v>
      </c>
      <c r="M1394" t="s">
        <v>35</v>
      </c>
      <c r="N1394">
        <v>3.39</v>
      </c>
      <c r="O1394">
        <v>2016</v>
      </c>
      <c r="P1394">
        <v>1.4</v>
      </c>
      <c r="Q1394">
        <v>268</v>
      </c>
      <c r="R1394">
        <v>436</v>
      </c>
    </row>
    <row r="1395" spans="1:18" x14ac:dyDescent="0.2">
      <c r="A1395">
        <v>1</v>
      </c>
      <c r="B1395" t="s">
        <v>71</v>
      </c>
      <c r="E1395" t="s">
        <v>51</v>
      </c>
      <c r="F1395">
        <v>1581753</v>
      </c>
      <c r="G1395">
        <v>4</v>
      </c>
      <c r="H1395">
        <v>3</v>
      </c>
      <c r="I1395">
        <v>371</v>
      </c>
      <c r="J1395">
        <v>1999</v>
      </c>
      <c r="K1395" s="4">
        <v>45072</v>
      </c>
      <c r="L1395" t="s">
        <v>23</v>
      </c>
      <c r="M1395" t="s">
        <v>97</v>
      </c>
      <c r="N1395">
        <v>1.81</v>
      </c>
      <c r="O1395">
        <v>2454</v>
      </c>
      <c r="P1395">
        <v>2.37</v>
      </c>
      <c r="Q1395">
        <v>325</v>
      </c>
      <c r="R1395">
        <v>317</v>
      </c>
    </row>
    <row r="1396" spans="1:18" x14ac:dyDescent="0.2">
      <c r="A1396">
        <v>8</v>
      </c>
      <c r="B1396" t="s">
        <v>98</v>
      </c>
      <c r="E1396" t="s">
        <v>36</v>
      </c>
      <c r="F1396">
        <v>1727068</v>
      </c>
      <c r="G1396">
        <v>2</v>
      </c>
      <c r="H1396">
        <v>2</v>
      </c>
      <c r="I1396">
        <v>180</v>
      </c>
      <c r="J1396">
        <v>1974</v>
      </c>
      <c r="K1396" s="4">
        <v>44598</v>
      </c>
      <c r="L1396" t="s">
        <v>26</v>
      </c>
      <c r="M1396" t="s">
        <v>54</v>
      </c>
      <c r="N1396">
        <v>2.0699999999999998</v>
      </c>
      <c r="O1396">
        <v>1292</v>
      </c>
      <c r="P1396">
        <v>3.82</v>
      </c>
      <c r="Q1396">
        <v>238</v>
      </c>
      <c r="R1396">
        <v>459</v>
      </c>
    </row>
    <row r="1397" spans="1:18" x14ac:dyDescent="0.2">
      <c r="A1397">
        <v>5</v>
      </c>
      <c r="B1397" t="s">
        <v>88</v>
      </c>
      <c r="E1397" t="s">
        <v>51</v>
      </c>
      <c r="F1397">
        <v>2160202</v>
      </c>
      <c r="G1397">
        <v>3</v>
      </c>
      <c r="H1397">
        <v>1</v>
      </c>
      <c r="I1397">
        <v>727</v>
      </c>
      <c r="J1397">
        <v>2004</v>
      </c>
      <c r="K1397" s="4">
        <v>45473</v>
      </c>
      <c r="L1397" t="s">
        <v>30</v>
      </c>
      <c r="M1397" t="s">
        <v>21</v>
      </c>
      <c r="N1397">
        <v>1.51</v>
      </c>
      <c r="O1397">
        <v>1659</v>
      </c>
      <c r="P1397">
        <v>0.13</v>
      </c>
      <c r="Q1397">
        <v>225</v>
      </c>
      <c r="R1397">
        <v>668</v>
      </c>
    </row>
    <row r="1398" spans="1:18" x14ac:dyDescent="0.2">
      <c r="A1398">
        <v>5</v>
      </c>
      <c r="B1398" t="s">
        <v>34</v>
      </c>
      <c r="E1398" t="s">
        <v>51</v>
      </c>
      <c r="F1398">
        <v>2039904</v>
      </c>
      <c r="G1398">
        <v>4</v>
      </c>
      <c r="H1398">
        <v>1</v>
      </c>
      <c r="I1398">
        <v>831</v>
      </c>
      <c r="J1398">
        <v>2021</v>
      </c>
      <c r="K1398" s="4">
        <v>45125</v>
      </c>
      <c r="L1398" t="s">
        <v>20</v>
      </c>
      <c r="M1398" t="s">
        <v>82</v>
      </c>
      <c r="N1398">
        <v>3.24</v>
      </c>
      <c r="O1398">
        <v>1211</v>
      </c>
      <c r="P1398">
        <v>4.87</v>
      </c>
      <c r="Q1398">
        <v>238</v>
      </c>
      <c r="R1398">
        <v>506</v>
      </c>
    </row>
    <row r="1399" spans="1:18" x14ac:dyDescent="0.2">
      <c r="A1399">
        <v>4</v>
      </c>
      <c r="B1399" t="s">
        <v>61</v>
      </c>
      <c r="E1399" t="s">
        <v>51</v>
      </c>
      <c r="F1399">
        <v>789469</v>
      </c>
      <c r="G1399">
        <v>1</v>
      </c>
      <c r="H1399">
        <v>2</v>
      </c>
      <c r="I1399">
        <v>671</v>
      </c>
      <c r="J1399">
        <v>2003</v>
      </c>
      <c r="K1399" s="4">
        <v>45186</v>
      </c>
      <c r="L1399" t="s">
        <v>26</v>
      </c>
      <c r="M1399" t="s">
        <v>77</v>
      </c>
      <c r="N1399">
        <v>2.09</v>
      </c>
      <c r="O1399">
        <v>913</v>
      </c>
      <c r="P1399">
        <v>4.7300000000000004</v>
      </c>
      <c r="Q1399">
        <v>65</v>
      </c>
      <c r="R1399">
        <v>554</v>
      </c>
    </row>
    <row r="1400" spans="1:18" x14ac:dyDescent="0.2">
      <c r="A1400">
        <v>0</v>
      </c>
      <c r="B1400" t="s">
        <v>91</v>
      </c>
      <c r="E1400" t="s">
        <v>51</v>
      </c>
      <c r="F1400">
        <v>1480104</v>
      </c>
      <c r="G1400">
        <v>0</v>
      </c>
      <c r="H1400">
        <v>3</v>
      </c>
      <c r="I1400">
        <v>471</v>
      </c>
      <c r="J1400">
        <v>2005</v>
      </c>
      <c r="K1400" s="4">
        <v>45844</v>
      </c>
      <c r="L1400" t="s">
        <v>26</v>
      </c>
      <c r="M1400" t="s">
        <v>68</v>
      </c>
      <c r="N1400">
        <v>2.58</v>
      </c>
      <c r="O1400">
        <v>1329</v>
      </c>
      <c r="P1400">
        <v>4.05</v>
      </c>
      <c r="Q1400">
        <v>63</v>
      </c>
      <c r="R1400">
        <v>578</v>
      </c>
    </row>
    <row r="1401" spans="1:18" x14ac:dyDescent="0.2">
      <c r="A1401">
        <v>5</v>
      </c>
      <c r="B1401" t="s">
        <v>101</v>
      </c>
      <c r="E1401" t="s">
        <v>19</v>
      </c>
      <c r="F1401">
        <v>2279406</v>
      </c>
      <c r="G1401">
        <v>3</v>
      </c>
      <c r="H1401">
        <v>1</v>
      </c>
      <c r="I1401">
        <v>130</v>
      </c>
      <c r="J1401">
        <v>1954</v>
      </c>
      <c r="K1401" s="4">
        <v>45064</v>
      </c>
      <c r="L1401" t="s">
        <v>23</v>
      </c>
      <c r="M1401" t="s">
        <v>33</v>
      </c>
      <c r="N1401">
        <v>1.69</v>
      </c>
      <c r="O1401">
        <v>2398</v>
      </c>
      <c r="P1401">
        <v>2.58</v>
      </c>
      <c r="Q1401">
        <v>104</v>
      </c>
      <c r="R1401">
        <v>322</v>
      </c>
    </row>
    <row r="1402" spans="1:18" x14ac:dyDescent="0.2">
      <c r="A1402">
        <v>3</v>
      </c>
      <c r="B1402" t="s">
        <v>93</v>
      </c>
      <c r="E1402" t="s">
        <v>51</v>
      </c>
      <c r="F1402">
        <v>2049506</v>
      </c>
      <c r="G1402">
        <v>4</v>
      </c>
      <c r="H1402">
        <v>1</v>
      </c>
      <c r="I1402">
        <v>479</v>
      </c>
      <c r="J1402">
        <v>1978</v>
      </c>
      <c r="K1402" s="4">
        <v>44387</v>
      </c>
      <c r="L1402" t="s">
        <v>23</v>
      </c>
      <c r="M1402" t="s">
        <v>69</v>
      </c>
      <c r="N1402">
        <v>2.1800000000000002</v>
      </c>
      <c r="O1402">
        <v>1374</v>
      </c>
      <c r="P1402">
        <v>2.3199999999999998</v>
      </c>
      <c r="Q1402">
        <v>181</v>
      </c>
      <c r="R1402">
        <v>426</v>
      </c>
    </row>
    <row r="1403" spans="1:18" x14ac:dyDescent="0.2">
      <c r="A1403">
        <v>8</v>
      </c>
      <c r="B1403" t="s">
        <v>105</v>
      </c>
      <c r="E1403" t="s">
        <v>19</v>
      </c>
      <c r="F1403">
        <v>752101</v>
      </c>
      <c r="G1403">
        <v>4</v>
      </c>
      <c r="H1403">
        <v>2</v>
      </c>
      <c r="I1403">
        <v>669</v>
      </c>
      <c r="J1403">
        <v>2009</v>
      </c>
      <c r="K1403" s="4">
        <v>44472</v>
      </c>
      <c r="L1403" t="s">
        <v>23</v>
      </c>
      <c r="M1403" t="s">
        <v>60</v>
      </c>
      <c r="N1403">
        <v>1.8</v>
      </c>
      <c r="O1403">
        <v>1175</v>
      </c>
      <c r="P1403">
        <v>2.79</v>
      </c>
      <c r="Q1403">
        <v>280</v>
      </c>
      <c r="R1403">
        <v>495</v>
      </c>
    </row>
    <row r="1404" spans="1:18" x14ac:dyDescent="0.2">
      <c r="A1404">
        <v>6</v>
      </c>
      <c r="B1404" t="s">
        <v>88</v>
      </c>
      <c r="E1404" t="s">
        <v>29</v>
      </c>
      <c r="F1404">
        <v>751355</v>
      </c>
      <c r="G1404">
        <v>5</v>
      </c>
      <c r="H1404">
        <v>3</v>
      </c>
      <c r="I1404">
        <v>124</v>
      </c>
      <c r="J1404">
        <v>1985</v>
      </c>
      <c r="K1404" s="4">
        <v>45362</v>
      </c>
      <c r="L1404" t="s">
        <v>26</v>
      </c>
      <c r="M1404" t="s">
        <v>60</v>
      </c>
      <c r="N1404">
        <v>3.36</v>
      </c>
      <c r="O1404">
        <v>1466</v>
      </c>
      <c r="P1404">
        <v>1.64</v>
      </c>
      <c r="Q1404">
        <v>342</v>
      </c>
      <c r="R1404">
        <v>479</v>
      </c>
    </row>
    <row r="1405" spans="1:18" x14ac:dyDescent="0.2">
      <c r="A1405">
        <v>4</v>
      </c>
      <c r="B1405" t="s">
        <v>104</v>
      </c>
      <c r="E1405" t="s">
        <v>29</v>
      </c>
      <c r="F1405">
        <v>956438</v>
      </c>
      <c r="G1405">
        <v>3</v>
      </c>
      <c r="H1405">
        <v>2</v>
      </c>
      <c r="I1405">
        <v>87</v>
      </c>
      <c r="J1405">
        <v>1979</v>
      </c>
      <c r="K1405" s="4">
        <v>44944</v>
      </c>
      <c r="L1405" t="s">
        <v>26</v>
      </c>
      <c r="M1405" t="s">
        <v>59</v>
      </c>
      <c r="N1405">
        <v>2.79</v>
      </c>
      <c r="O1405">
        <v>1758</v>
      </c>
      <c r="P1405">
        <v>0.12</v>
      </c>
      <c r="Q1405">
        <v>106</v>
      </c>
      <c r="R1405">
        <v>324</v>
      </c>
    </row>
    <row r="1406" spans="1:18" x14ac:dyDescent="0.2">
      <c r="A1406">
        <v>2</v>
      </c>
      <c r="B1406" t="s">
        <v>41</v>
      </c>
      <c r="E1406" t="s">
        <v>19</v>
      </c>
      <c r="F1406">
        <v>1014995</v>
      </c>
      <c r="G1406">
        <v>2</v>
      </c>
      <c r="H1406">
        <v>1</v>
      </c>
      <c r="I1406">
        <v>969</v>
      </c>
      <c r="J1406">
        <v>1963</v>
      </c>
      <c r="K1406" s="4">
        <v>44942</v>
      </c>
      <c r="L1406" t="s">
        <v>23</v>
      </c>
      <c r="M1406" t="s">
        <v>85</v>
      </c>
      <c r="N1406">
        <v>2.69</v>
      </c>
      <c r="O1406">
        <v>1524</v>
      </c>
      <c r="P1406">
        <v>2.5299999999999998</v>
      </c>
      <c r="Q1406">
        <v>142</v>
      </c>
      <c r="R1406">
        <v>404</v>
      </c>
    </row>
    <row r="1407" spans="1:18" x14ac:dyDescent="0.2">
      <c r="A1407">
        <v>2</v>
      </c>
      <c r="B1407" t="s">
        <v>104</v>
      </c>
      <c r="E1407" t="s">
        <v>51</v>
      </c>
      <c r="F1407">
        <v>1051781</v>
      </c>
      <c r="G1407">
        <v>2</v>
      </c>
      <c r="H1407">
        <v>3</v>
      </c>
      <c r="I1407">
        <v>655</v>
      </c>
      <c r="J1407">
        <v>1950</v>
      </c>
      <c r="K1407" s="4">
        <v>44800</v>
      </c>
      <c r="L1407" t="s">
        <v>26</v>
      </c>
      <c r="M1407" t="s">
        <v>60</v>
      </c>
      <c r="N1407">
        <v>3.23</v>
      </c>
      <c r="O1407">
        <v>1251</v>
      </c>
      <c r="P1407">
        <v>3.65</v>
      </c>
      <c r="Q1407">
        <v>95</v>
      </c>
      <c r="R1407">
        <v>302</v>
      </c>
    </row>
    <row r="1408" spans="1:18" x14ac:dyDescent="0.2">
      <c r="A1408">
        <v>1</v>
      </c>
      <c r="B1408" t="s">
        <v>18</v>
      </c>
      <c r="E1408" t="s">
        <v>29</v>
      </c>
      <c r="F1408">
        <v>1642704</v>
      </c>
      <c r="G1408">
        <v>3</v>
      </c>
      <c r="H1408">
        <v>1</v>
      </c>
      <c r="I1408">
        <v>793</v>
      </c>
      <c r="J1408">
        <v>1992</v>
      </c>
      <c r="K1408" s="4">
        <v>45399</v>
      </c>
      <c r="L1408" t="s">
        <v>26</v>
      </c>
      <c r="M1408" t="s">
        <v>40</v>
      </c>
      <c r="N1408">
        <v>3.22</v>
      </c>
      <c r="O1408">
        <v>1480</v>
      </c>
      <c r="P1408">
        <v>4.1100000000000003</v>
      </c>
      <c r="Q1408">
        <v>294</v>
      </c>
      <c r="R1408">
        <v>629</v>
      </c>
    </row>
    <row r="1409" spans="1:18" x14ac:dyDescent="0.2">
      <c r="A1409">
        <v>9</v>
      </c>
      <c r="B1409" t="s">
        <v>80</v>
      </c>
      <c r="E1409" t="s">
        <v>29</v>
      </c>
      <c r="F1409">
        <v>1072348</v>
      </c>
      <c r="G1409">
        <v>2</v>
      </c>
      <c r="H1409">
        <v>1</v>
      </c>
      <c r="I1409">
        <v>377</v>
      </c>
      <c r="J1409">
        <v>1998</v>
      </c>
      <c r="K1409" s="4">
        <v>44128</v>
      </c>
      <c r="L1409" t="s">
        <v>23</v>
      </c>
      <c r="M1409" t="s">
        <v>68</v>
      </c>
      <c r="N1409">
        <v>2.34</v>
      </c>
      <c r="O1409">
        <v>1655</v>
      </c>
      <c r="P1409">
        <v>3.27</v>
      </c>
      <c r="Q1409">
        <v>210</v>
      </c>
      <c r="R1409">
        <v>509</v>
      </c>
    </row>
    <row r="1410" spans="1:18" x14ac:dyDescent="0.2">
      <c r="A1410">
        <v>0</v>
      </c>
      <c r="B1410" t="s">
        <v>90</v>
      </c>
      <c r="E1410" t="s">
        <v>19</v>
      </c>
      <c r="F1410">
        <v>930121</v>
      </c>
      <c r="G1410">
        <v>4</v>
      </c>
      <c r="H1410">
        <v>3</v>
      </c>
      <c r="I1410">
        <v>780</v>
      </c>
      <c r="J1410">
        <v>1971</v>
      </c>
      <c r="K1410" s="4">
        <v>44091</v>
      </c>
      <c r="L1410" t="s">
        <v>20</v>
      </c>
      <c r="M1410" t="s">
        <v>42</v>
      </c>
      <c r="N1410">
        <v>2.48</v>
      </c>
      <c r="O1410">
        <v>1551</v>
      </c>
      <c r="P1410">
        <v>4.83</v>
      </c>
      <c r="Q1410">
        <v>343</v>
      </c>
      <c r="R1410">
        <v>556</v>
      </c>
    </row>
    <row r="1411" spans="1:18" x14ac:dyDescent="0.2">
      <c r="A1411">
        <v>9</v>
      </c>
      <c r="B1411" t="s">
        <v>44</v>
      </c>
      <c r="E1411" t="s">
        <v>36</v>
      </c>
      <c r="F1411">
        <v>1260423</v>
      </c>
      <c r="G1411">
        <v>3</v>
      </c>
      <c r="H1411">
        <v>1</v>
      </c>
      <c r="I1411">
        <v>530</v>
      </c>
      <c r="J1411">
        <v>1963</v>
      </c>
      <c r="K1411" s="4">
        <v>45638</v>
      </c>
      <c r="L1411" t="s">
        <v>20</v>
      </c>
      <c r="M1411" t="s">
        <v>59</v>
      </c>
      <c r="N1411">
        <v>2.2200000000000002</v>
      </c>
      <c r="O1411">
        <v>1636</v>
      </c>
      <c r="P1411">
        <v>4.97</v>
      </c>
      <c r="Q1411">
        <v>104</v>
      </c>
      <c r="R1411">
        <v>559</v>
      </c>
    </row>
    <row r="1412" spans="1:18" x14ac:dyDescent="0.2">
      <c r="A1412">
        <v>7</v>
      </c>
      <c r="B1412" t="s">
        <v>92</v>
      </c>
      <c r="E1412" t="s">
        <v>29</v>
      </c>
      <c r="F1412">
        <v>1012378</v>
      </c>
      <c r="G1412">
        <v>2</v>
      </c>
      <c r="H1412">
        <v>3</v>
      </c>
      <c r="I1412">
        <v>209</v>
      </c>
      <c r="J1412">
        <v>1999</v>
      </c>
      <c r="K1412" s="4">
        <v>44809</v>
      </c>
      <c r="L1412" t="s">
        <v>30</v>
      </c>
      <c r="M1412" t="s">
        <v>70</v>
      </c>
      <c r="N1412">
        <v>2.69</v>
      </c>
      <c r="O1412">
        <v>1020</v>
      </c>
      <c r="P1412">
        <v>2.29</v>
      </c>
      <c r="Q1412">
        <v>196</v>
      </c>
      <c r="R1412">
        <v>386</v>
      </c>
    </row>
    <row r="1413" spans="1:18" x14ac:dyDescent="0.2">
      <c r="A1413">
        <v>0</v>
      </c>
      <c r="B1413" t="s">
        <v>22</v>
      </c>
      <c r="E1413" t="s">
        <v>36</v>
      </c>
      <c r="F1413">
        <v>1676234</v>
      </c>
      <c r="G1413">
        <v>5</v>
      </c>
      <c r="H1413">
        <v>1</v>
      </c>
      <c r="I1413">
        <v>973</v>
      </c>
      <c r="J1413">
        <v>1990</v>
      </c>
      <c r="K1413" s="4">
        <v>44591</v>
      </c>
      <c r="L1413" t="s">
        <v>20</v>
      </c>
      <c r="M1413" t="s">
        <v>37</v>
      </c>
      <c r="N1413">
        <v>1.81</v>
      </c>
      <c r="O1413">
        <v>1527</v>
      </c>
      <c r="P1413">
        <v>3.89</v>
      </c>
      <c r="Q1413">
        <v>318</v>
      </c>
      <c r="R1413">
        <v>468</v>
      </c>
    </row>
    <row r="1414" spans="1:18" x14ac:dyDescent="0.2">
      <c r="A1414">
        <v>3</v>
      </c>
      <c r="B1414" t="s">
        <v>100</v>
      </c>
      <c r="E1414" t="s">
        <v>19</v>
      </c>
      <c r="F1414">
        <v>980250</v>
      </c>
      <c r="G1414">
        <v>5</v>
      </c>
      <c r="H1414">
        <v>1</v>
      </c>
      <c r="I1414">
        <v>527</v>
      </c>
      <c r="J1414">
        <v>1965</v>
      </c>
      <c r="K1414" s="4">
        <v>44345</v>
      </c>
      <c r="L1414" t="s">
        <v>26</v>
      </c>
      <c r="M1414" t="s">
        <v>77</v>
      </c>
      <c r="N1414">
        <v>1.57</v>
      </c>
      <c r="O1414">
        <v>1943</v>
      </c>
      <c r="P1414">
        <v>2.97</v>
      </c>
      <c r="Q1414">
        <v>329</v>
      </c>
      <c r="R1414">
        <v>366</v>
      </c>
    </row>
    <row r="1415" spans="1:18" x14ac:dyDescent="0.2">
      <c r="A1415">
        <v>1</v>
      </c>
      <c r="B1415" t="s">
        <v>41</v>
      </c>
      <c r="E1415" t="s">
        <v>29</v>
      </c>
      <c r="F1415">
        <v>1939867</v>
      </c>
      <c r="G1415">
        <v>3</v>
      </c>
      <c r="H1415">
        <v>3</v>
      </c>
      <c r="I1415">
        <v>523</v>
      </c>
      <c r="J1415">
        <v>1990</v>
      </c>
      <c r="K1415" s="4">
        <v>44669</v>
      </c>
      <c r="L1415" t="s">
        <v>20</v>
      </c>
      <c r="M1415" t="s">
        <v>60</v>
      </c>
      <c r="N1415">
        <v>2.21</v>
      </c>
      <c r="O1415">
        <v>1831</v>
      </c>
      <c r="P1415">
        <v>1.86</v>
      </c>
      <c r="Q1415">
        <v>203</v>
      </c>
      <c r="R1415">
        <v>690</v>
      </c>
    </row>
    <row r="1416" spans="1:18" x14ac:dyDescent="0.2">
      <c r="A1416">
        <v>1</v>
      </c>
      <c r="B1416" t="s">
        <v>95</v>
      </c>
      <c r="E1416" t="s">
        <v>29</v>
      </c>
      <c r="F1416">
        <v>2134606</v>
      </c>
      <c r="G1416">
        <v>4</v>
      </c>
      <c r="H1416">
        <v>3</v>
      </c>
      <c r="I1416">
        <v>781</v>
      </c>
      <c r="J1416">
        <v>1988</v>
      </c>
      <c r="K1416" s="4">
        <v>45532</v>
      </c>
      <c r="L1416" t="s">
        <v>26</v>
      </c>
      <c r="M1416" t="s">
        <v>35</v>
      </c>
      <c r="N1416">
        <v>3.45</v>
      </c>
      <c r="O1416">
        <v>1765</v>
      </c>
      <c r="P1416">
        <v>1.2</v>
      </c>
      <c r="Q1416">
        <v>368</v>
      </c>
      <c r="R1416">
        <v>551</v>
      </c>
    </row>
    <row r="1417" spans="1:18" x14ac:dyDescent="0.2">
      <c r="A1417">
        <v>6</v>
      </c>
      <c r="B1417" t="s">
        <v>71</v>
      </c>
      <c r="E1417" t="s">
        <v>36</v>
      </c>
      <c r="F1417">
        <v>1372360</v>
      </c>
      <c r="G1417">
        <v>1</v>
      </c>
      <c r="H1417">
        <v>3</v>
      </c>
      <c r="I1417">
        <v>868</v>
      </c>
      <c r="J1417">
        <v>2020</v>
      </c>
      <c r="K1417" s="4">
        <v>45642</v>
      </c>
      <c r="L1417" t="s">
        <v>20</v>
      </c>
      <c r="M1417" t="s">
        <v>74</v>
      </c>
      <c r="N1417">
        <v>2.85</v>
      </c>
      <c r="O1417">
        <v>1782</v>
      </c>
      <c r="P1417">
        <v>3.56</v>
      </c>
      <c r="Q1417">
        <v>134</v>
      </c>
      <c r="R1417">
        <v>476</v>
      </c>
    </row>
    <row r="1418" spans="1:18" x14ac:dyDescent="0.2">
      <c r="A1418">
        <v>8</v>
      </c>
      <c r="B1418" t="s">
        <v>41</v>
      </c>
      <c r="E1418" t="s">
        <v>36</v>
      </c>
      <c r="F1418">
        <v>2959291</v>
      </c>
      <c r="G1418">
        <v>5</v>
      </c>
      <c r="H1418">
        <v>3</v>
      </c>
      <c r="I1418">
        <v>413</v>
      </c>
      <c r="J1418">
        <v>2015</v>
      </c>
      <c r="K1418" s="4">
        <v>45185</v>
      </c>
      <c r="L1418" t="s">
        <v>23</v>
      </c>
      <c r="M1418" t="s">
        <v>78</v>
      </c>
      <c r="N1418">
        <v>1.78</v>
      </c>
      <c r="O1418">
        <v>1263</v>
      </c>
      <c r="P1418">
        <v>4.83</v>
      </c>
      <c r="Q1418">
        <v>346</v>
      </c>
      <c r="R1418">
        <v>690</v>
      </c>
    </row>
    <row r="1419" spans="1:18" x14ac:dyDescent="0.2">
      <c r="A1419">
        <v>0</v>
      </c>
      <c r="B1419" t="s">
        <v>80</v>
      </c>
      <c r="E1419" t="s">
        <v>36</v>
      </c>
      <c r="F1419">
        <v>412633</v>
      </c>
      <c r="G1419">
        <v>5</v>
      </c>
      <c r="H1419">
        <v>2</v>
      </c>
      <c r="I1419">
        <v>583</v>
      </c>
      <c r="J1419">
        <v>2026</v>
      </c>
      <c r="K1419" s="4">
        <v>45865</v>
      </c>
      <c r="L1419" t="s">
        <v>26</v>
      </c>
      <c r="M1419" t="s">
        <v>21</v>
      </c>
      <c r="N1419">
        <v>3.38</v>
      </c>
      <c r="O1419">
        <v>1186</v>
      </c>
      <c r="P1419">
        <v>3.8</v>
      </c>
      <c r="Q1419">
        <v>375</v>
      </c>
      <c r="R1419">
        <v>587</v>
      </c>
    </row>
    <row r="1420" spans="1:18" x14ac:dyDescent="0.2">
      <c r="A1420">
        <v>1</v>
      </c>
      <c r="B1420" t="s">
        <v>65</v>
      </c>
      <c r="E1420" t="s">
        <v>19</v>
      </c>
      <c r="F1420">
        <v>580184</v>
      </c>
      <c r="G1420">
        <v>4</v>
      </c>
      <c r="H1420">
        <v>3</v>
      </c>
      <c r="I1420">
        <v>627</v>
      </c>
      <c r="J1420">
        <v>1975</v>
      </c>
      <c r="K1420" s="4">
        <v>44895</v>
      </c>
      <c r="L1420" t="s">
        <v>20</v>
      </c>
      <c r="M1420" t="s">
        <v>69</v>
      </c>
      <c r="N1420">
        <v>3.12</v>
      </c>
      <c r="O1420">
        <v>1384</v>
      </c>
      <c r="P1420">
        <v>0.73</v>
      </c>
      <c r="Q1420">
        <v>181</v>
      </c>
      <c r="R1420">
        <v>606</v>
      </c>
    </row>
    <row r="1421" spans="1:18" x14ac:dyDescent="0.2">
      <c r="A1421">
        <v>6</v>
      </c>
      <c r="B1421" t="s">
        <v>90</v>
      </c>
      <c r="E1421" t="s">
        <v>19</v>
      </c>
      <c r="F1421">
        <v>994297</v>
      </c>
      <c r="G1421">
        <v>0</v>
      </c>
      <c r="H1421">
        <v>3</v>
      </c>
      <c r="I1421">
        <v>292</v>
      </c>
      <c r="J1421">
        <v>1979</v>
      </c>
      <c r="K1421" s="4">
        <v>44221</v>
      </c>
      <c r="L1421" t="s">
        <v>20</v>
      </c>
      <c r="M1421" t="s">
        <v>42</v>
      </c>
      <c r="N1421">
        <v>3.37</v>
      </c>
      <c r="O1421">
        <v>1030</v>
      </c>
      <c r="P1421">
        <v>3.49</v>
      </c>
      <c r="Q1421">
        <v>80</v>
      </c>
      <c r="R1421">
        <v>500</v>
      </c>
    </row>
    <row r="1422" spans="1:18" x14ac:dyDescent="0.2">
      <c r="A1422">
        <v>2</v>
      </c>
      <c r="B1422" t="s">
        <v>48</v>
      </c>
      <c r="E1422" t="s">
        <v>29</v>
      </c>
      <c r="F1422">
        <v>1940741</v>
      </c>
      <c r="G1422">
        <v>3</v>
      </c>
      <c r="H1422">
        <v>1</v>
      </c>
      <c r="I1422">
        <v>831</v>
      </c>
      <c r="J1422">
        <v>1960</v>
      </c>
      <c r="K1422" s="4">
        <v>44595</v>
      </c>
      <c r="L1422" t="s">
        <v>30</v>
      </c>
      <c r="M1422" t="s">
        <v>63</v>
      </c>
      <c r="N1422">
        <v>2.78</v>
      </c>
      <c r="O1422">
        <v>2157</v>
      </c>
      <c r="P1422">
        <v>3.27</v>
      </c>
      <c r="Q1422">
        <v>224</v>
      </c>
      <c r="R1422">
        <v>330</v>
      </c>
    </row>
    <row r="1423" spans="1:18" x14ac:dyDescent="0.2">
      <c r="A1423">
        <v>1</v>
      </c>
      <c r="B1423" t="s">
        <v>75</v>
      </c>
      <c r="E1423" t="s">
        <v>19</v>
      </c>
      <c r="F1423">
        <v>2470765</v>
      </c>
      <c r="G1423">
        <v>2</v>
      </c>
      <c r="H1423">
        <v>1</v>
      </c>
      <c r="I1423">
        <v>749</v>
      </c>
      <c r="J1423">
        <v>1975</v>
      </c>
      <c r="K1423" s="4">
        <v>44932</v>
      </c>
      <c r="L1423" t="s">
        <v>20</v>
      </c>
      <c r="M1423" t="s">
        <v>47</v>
      </c>
      <c r="N1423">
        <v>2.0699999999999998</v>
      </c>
      <c r="O1423">
        <v>1518</v>
      </c>
      <c r="P1423">
        <v>4.09</v>
      </c>
      <c r="Q1423">
        <v>61</v>
      </c>
      <c r="R1423">
        <v>578</v>
      </c>
    </row>
    <row r="1424" spans="1:18" x14ac:dyDescent="0.2">
      <c r="A1424">
        <v>6</v>
      </c>
      <c r="B1424" t="s">
        <v>75</v>
      </c>
      <c r="E1424" t="s">
        <v>19</v>
      </c>
      <c r="F1424">
        <v>2112147</v>
      </c>
      <c r="G1424">
        <v>4</v>
      </c>
      <c r="H1424">
        <v>2</v>
      </c>
      <c r="I1424">
        <v>567</v>
      </c>
      <c r="J1424">
        <v>1983</v>
      </c>
      <c r="K1424" s="4">
        <v>44294</v>
      </c>
      <c r="L1424" t="s">
        <v>30</v>
      </c>
      <c r="M1424" t="s">
        <v>63</v>
      </c>
      <c r="N1424">
        <v>2.56</v>
      </c>
      <c r="O1424">
        <v>1962</v>
      </c>
      <c r="P1424">
        <v>3.46</v>
      </c>
      <c r="Q1424">
        <v>309</v>
      </c>
      <c r="R1424">
        <v>339</v>
      </c>
    </row>
    <row r="1425" spans="1:18" x14ac:dyDescent="0.2">
      <c r="A1425">
        <v>5</v>
      </c>
      <c r="B1425" t="s">
        <v>50</v>
      </c>
      <c r="E1425" t="s">
        <v>29</v>
      </c>
      <c r="F1425">
        <v>457440</v>
      </c>
      <c r="G1425">
        <v>3</v>
      </c>
      <c r="H1425">
        <v>2</v>
      </c>
      <c r="I1425">
        <v>67</v>
      </c>
      <c r="J1425">
        <v>2008</v>
      </c>
      <c r="K1425" s="4">
        <v>44515</v>
      </c>
      <c r="L1425" t="s">
        <v>20</v>
      </c>
      <c r="M1425" t="s">
        <v>40</v>
      </c>
      <c r="N1425">
        <v>3.04</v>
      </c>
      <c r="O1425">
        <v>1510</v>
      </c>
      <c r="P1425">
        <v>0.71</v>
      </c>
      <c r="Q1425">
        <v>308</v>
      </c>
      <c r="R1425">
        <v>496</v>
      </c>
    </row>
    <row r="1426" spans="1:18" x14ac:dyDescent="0.2">
      <c r="A1426">
        <v>1</v>
      </c>
      <c r="B1426" t="s">
        <v>79</v>
      </c>
      <c r="E1426" t="s">
        <v>51</v>
      </c>
      <c r="F1426">
        <v>2509423</v>
      </c>
      <c r="G1426">
        <v>3</v>
      </c>
      <c r="H1426">
        <v>3</v>
      </c>
      <c r="I1426">
        <v>249</v>
      </c>
      <c r="J1426">
        <v>1984</v>
      </c>
      <c r="K1426" s="4">
        <v>45830</v>
      </c>
      <c r="L1426" t="s">
        <v>20</v>
      </c>
      <c r="M1426" t="s">
        <v>89</v>
      </c>
      <c r="N1426">
        <v>2.96</v>
      </c>
      <c r="O1426">
        <v>1493</v>
      </c>
      <c r="P1426">
        <v>0.74</v>
      </c>
      <c r="Q1426">
        <v>93</v>
      </c>
      <c r="R1426">
        <v>670</v>
      </c>
    </row>
    <row r="1427" spans="1:18" x14ac:dyDescent="0.2">
      <c r="A1427">
        <v>4</v>
      </c>
      <c r="B1427" t="s">
        <v>80</v>
      </c>
      <c r="E1427" t="s">
        <v>36</v>
      </c>
      <c r="F1427">
        <v>1901954</v>
      </c>
      <c r="G1427">
        <v>2</v>
      </c>
      <c r="H1427">
        <v>2</v>
      </c>
      <c r="I1427">
        <v>802</v>
      </c>
      <c r="J1427">
        <v>1987</v>
      </c>
      <c r="K1427" s="4">
        <v>44846</v>
      </c>
      <c r="L1427" t="s">
        <v>20</v>
      </c>
      <c r="M1427" t="s">
        <v>24</v>
      </c>
      <c r="N1427">
        <v>2.76</v>
      </c>
      <c r="O1427">
        <v>2151</v>
      </c>
      <c r="P1427">
        <v>0.67</v>
      </c>
      <c r="Q1427">
        <v>157</v>
      </c>
      <c r="R1427">
        <v>571</v>
      </c>
    </row>
    <row r="1428" spans="1:18" x14ac:dyDescent="0.2">
      <c r="A1428">
        <v>7</v>
      </c>
      <c r="B1428" t="s">
        <v>95</v>
      </c>
      <c r="E1428" t="s">
        <v>19</v>
      </c>
      <c r="F1428">
        <v>2131968</v>
      </c>
      <c r="G1428">
        <v>2</v>
      </c>
      <c r="H1428">
        <v>3</v>
      </c>
      <c r="I1428">
        <v>320</v>
      </c>
      <c r="J1428">
        <v>2005</v>
      </c>
      <c r="K1428" s="4">
        <v>45543</v>
      </c>
      <c r="L1428" t="s">
        <v>20</v>
      </c>
      <c r="M1428" t="s">
        <v>78</v>
      </c>
      <c r="N1428">
        <v>2.66</v>
      </c>
      <c r="O1428">
        <v>1491</v>
      </c>
      <c r="P1428">
        <v>4</v>
      </c>
      <c r="Q1428">
        <v>85</v>
      </c>
      <c r="R1428">
        <v>389</v>
      </c>
    </row>
    <row r="1429" spans="1:18" x14ac:dyDescent="0.2">
      <c r="A1429">
        <v>6</v>
      </c>
      <c r="B1429" t="s">
        <v>100</v>
      </c>
      <c r="E1429" t="s">
        <v>29</v>
      </c>
      <c r="F1429">
        <v>2385022</v>
      </c>
      <c r="G1429">
        <v>4</v>
      </c>
      <c r="H1429">
        <v>3</v>
      </c>
      <c r="I1429">
        <v>327</v>
      </c>
      <c r="J1429">
        <v>1956</v>
      </c>
      <c r="K1429" s="4">
        <v>45389</v>
      </c>
      <c r="L1429" t="s">
        <v>20</v>
      </c>
      <c r="M1429" t="s">
        <v>35</v>
      </c>
      <c r="N1429">
        <v>3.49</v>
      </c>
      <c r="O1429">
        <v>1183</v>
      </c>
      <c r="P1429">
        <v>3.34</v>
      </c>
      <c r="Q1429">
        <v>343</v>
      </c>
      <c r="R1429">
        <v>591</v>
      </c>
    </row>
    <row r="1430" spans="1:18" x14ac:dyDescent="0.2">
      <c r="A1430">
        <v>8</v>
      </c>
      <c r="B1430" t="s">
        <v>46</v>
      </c>
      <c r="E1430" t="s">
        <v>36</v>
      </c>
      <c r="F1430">
        <v>2077138</v>
      </c>
      <c r="G1430">
        <v>0</v>
      </c>
      <c r="H1430">
        <v>3</v>
      </c>
      <c r="I1430">
        <v>965</v>
      </c>
      <c r="J1430">
        <v>1970</v>
      </c>
      <c r="K1430" s="4">
        <v>45654</v>
      </c>
      <c r="L1430" t="s">
        <v>20</v>
      </c>
      <c r="M1430" t="s">
        <v>68</v>
      </c>
      <c r="N1430">
        <v>2.74</v>
      </c>
      <c r="O1430">
        <v>1381</v>
      </c>
      <c r="P1430">
        <v>4.29</v>
      </c>
      <c r="Q1430">
        <v>60</v>
      </c>
      <c r="R1430">
        <v>327</v>
      </c>
    </row>
    <row r="1431" spans="1:18" x14ac:dyDescent="0.2">
      <c r="A1431">
        <v>2</v>
      </c>
      <c r="B1431" t="s">
        <v>38</v>
      </c>
      <c r="E1431" t="s">
        <v>36</v>
      </c>
      <c r="F1431">
        <v>526231</v>
      </c>
      <c r="G1431">
        <v>2</v>
      </c>
      <c r="H1431">
        <v>3</v>
      </c>
      <c r="I1431">
        <v>618</v>
      </c>
      <c r="J1431">
        <v>1982</v>
      </c>
      <c r="K1431" s="4">
        <v>44961</v>
      </c>
      <c r="L1431" t="s">
        <v>23</v>
      </c>
      <c r="M1431" t="s">
        <v>37</v>
      </c>
      <c r="N1431">
        <v>3.05</v>
      </c>
      <c r="O1431">
        <v>2354</v>
      </c>
      <c r="P1431">
        <v>4.8899999999999997</v>
      </c>
      <c r="Q1431">
        <v>50</v>
      </c>
      <c r="R1431">
        <v>504</v>
      </c>
    </row>
    <row r="1432" spans="1:18" x14ac:dyDescent="0.2">
      <c r="A1432">
        <v>2</v>
      </c>
      <c r="B1432" t="s">
        <v>83</v>
      </c>
      <c r="E1432" t="s">
        <v>19</v>
      </c>
      <c r="F1432">
        <v>807077</v>
      </c>
      <c r="G1432">
        <v>5</v>
      </c>
      <c r="H1432">
        <v>2</v>
      </c>
      <c r="I1432">
        <v>239</v>
      </c>
      <c r="J1432">
        <v>1997</v>
      </c>
      <c r="K1432" s="4">
        <v>45601</v>
      </c>
      <c r="L1432" t="s">
        <v>26</v>
      </c>
      <c r="M1432" t="s">
        <v>37</v>
      </c>
      <c r="N1432">
        <v>2.4</v>
      </c>
      <c r="O1432">
        <v>2116</v>
      </c>
      <c r="P1432">
        <v>3.18</v>
      </c>
      <c r="Q1432">
        <v>293</v>
      </c>
      <c r="R1432">
        <v>649</v>
      </c>
    </row>
    <row r="1433" spans="1:18" x14ac:dyDescent="0.2">
      <c r="A1433">
        <v>2</v>
      </c>
      <c r="B1433" t="s">
        <v>91</v>
      </c>
      <c r="E1433" t="s">
        <v>29</v>
      </c>
      <c r="F1433">
        <v>1946717</v>
      </c>
      <c r="G1433">
        <v>1</v>
      </c>
      <c r="H1433">
        <v>2</v>
      </c>
      <c r="I1433">
        <v>499</v>
      </c>
      <c r="J1433">
        <v>1981</v>
      </c>
      <c r="K1433" s="4">
        <v>44703</v>
      </c>
      <c r="L1433" t="s">
        <v>23</v>
      </c>
      <c r="M1433" t="s">
        <v>63</v>
      </c>
      <c r="N1433">
        <v>2.62</v>
      </c>
      <c r="O1433">
        <v>1094</v>
      </c>
      <c r="P1433">
        <v>2.7</v>
      </c>
      <c r="Q1433">
        <v>64</v>
      </c>
      <c r="R1433">
        <v>437</v>
      </c>
    </row>
    <row r="1434" spans="1:18" x14ac:dyDescent="0.2">
      <c r="A1434">
        <v>9</v>
      </c>
      <c r="B1434" t="s">
        <v>86</v>
      </c>
      <c r="E1434" t="s">
        <v>29</v>
      </c>
      <c r="F1434">
        <v>2976971</v>
      </c>
      <c r="G1434">
        <v>0</v>
      </c>
      <c r="H1434">
        <v>1</v>
      </c>
      <c r="I1434">
        <v>905</v>
      </c>
      <c r="J1434">
        <v>1995</v>
      </c>
      <c r="K1434" s="4">
        <v>45867</v>
      </c>
      <c r="L1434" t="s">
        <v>30</v>
      </c>
      <c r="M1434" t="s">
        <v>74</v>
      </c>
      <c r="N1434">
        <v>3.06</v>
      </c>
      <c r="O1434">
        <v>2033</v>
      </c>
      <c r="P1434">
        <v>1.0900000000000001</v>
      </c>
      <c r="Q1434">
        <v>50</v>
      </c>
      <c r="R1434">
        <v>523</v>
      </c>
    </row>
    <row r="1435" spans="1:18" x14ac:dyDescent="0.2">
      <c r="A1435">
        <v>2</v>
      </c>
      <c r="B1435" t="s">
        <v>53</v>
      </c>
      <c r="E1435" t="s">
        <v>36</v>
      </c>
      <c r="F1435">
        <v>2527058</v>
      </c>
      <c r="G1435">
        <v>3</v>
      </c>
      <c r="H1435">
        <v>3</v>
      </c>
      <c r="I1435">
        <v>610</v>
      </c>
      <c r="J1435">
        <v>1981</v>
      </c>
      <c r="K1435" s="4">
        <v>44191</v>
      </c>
      <c r="L1435" t="s">
        <v>30</v>
      </c>
      <c r="M1435" t="s">
        <v>59</v>
      </c>
      <c r="N1435">
        <v>3.04</v>
      </c>
      <c r="O1435">
        <v>2495</v>
      </c>
      <c r="P1435">
        <v>2.21</v>
      </c>
      <c r="Q1435">
        <v>117</v>
      </c>
      <c r="R1435">
        <v>306</v>
      </c>
    </row>
    <row r="1436" spans="1:18" x14ac:dyDescent="0.2">
      <c r="A1436">
        <v>0</v>
      </c>
      <c r="B1436" t="s">
        <v>92</v>
      </c>
      <c r="E1436" t="s">
        <v>36</v>
      </c>
      <c r="F1436">
        <v>1150844</v>
      </c>
      <c r="G1436">
        <v>5</v>
      </c>
      <c r="H1436">
        <v>3</v>
      </c>
      <c r="I1436">
        <v>553</v>
      </c>
      <c r="J1436">
        <v>1987</v>
      </c>
      <c r="K1436" s="4">
        <v>45436</v>
      </c>
      <c r="L1436" t="s">
        <v>30</v>
      </c>
      <c r="M1436" t="s">
        <v>82</v>
      </c>
      <c r="N1436">
        <v>1.83</v>
      </c>
      <c r="O1436">
        <v>980</v>
      </c>
      <c r="P1436">
        <v>0.87</v>
      </c>
      <c r="Q1436">
        <v>276</v>
      </c>
      <c r="R1436">
        <v>406</v>
      </c>
    </row>
    <row r="1437" spans="1:18" x14ac:dyDescent="0.2">
      <c r="A1437">
        <v>9</v>
      </c>
      <c r="B1437" t="s">
        <v>43</v>
      </c>
      <c r="E1437" t="s">
        <v>51</v>
      </c>
      <c r="F1437">
        <v>989129</v>
      </c>
      <c r="G1437">
        <v>1</v>
      </c>
      <c r="H1437">
        <v>2</v>
      </c>
      <c r="I1437">
        <v>506</v>
      </c>
      <c r="J1437">
        <v>1957</v>
      </c>
      <c r="K1437" s="4">
        <v>45514</v>
      </c>
      <c r="L1437" t="s">
        <v>30</v>
      </c>
      <c r="M1437" t="s">
        <v>63</v>
      </c>
      <c r="N1437">
        <v>2.76</v>
      </c>
      <c r="O1437">
        <v>981</v>
      </c>
      <c r="P1437">
        <v>4.6500000000000004</v>
      </c>
      <c r="Q1437">
        <v>79</v>
      </c>
      <c r="R1437">
        <v>537</v>
      </c>
    </row>
    <row r="1438" spans="1:18" x14ac:dyDescent="0.2">
      <c r="A1438">
        <v>0</v>
      </c>
      <c r="B1438" t="s">
        <v>95</v>
      </c>
      <c r="E1438" t="s">
        <v>36</v>
      </c>
      <c r="F1438">
        <v>2538615</v>
      </c>
      <c r="G1438">
        <v>0</v>
      </c>
      <c r="H1438">
        <v>1</v>
      </c>
      <c r="I1438">
        <v>351</v>
      </c>
      <c r="J1438">
        <v>1992</v>
      </c>
      <c r="K1438" s="4">
        <v>45633</v>
      </c>
      <c r="L1438" t="s">
        <v>20</v>
      </c>
      <c r="M1438" t="s">
        <v>42</v>
      </c>
      <c r="N1438">
        <v>2.29</v>
      </c>
      <c r="O1438">
        <v>1806</v>
      </c>
      <c r="P1438">
        <v>3.25</v>
      </c>
      <c r="Q1438">
        <v>42</v>
      </c>
      <c r="R1438">
        <v>472</v>
      </c>
    </row>
    <row r="1439" spans="1:18" x14ac:dyDescent="0.2">
      <c r="A1439">
        <v>6</v>
      </c>
      <c r="B1439" t="s">
        <v>96</v>
      </c>
      <c r="E1439" t="s">
        <v>51</v>
      </c>
      <c r="F1439">
        <v>1060128</v>
      </c>
      <c r="G1439">
        <v>5</v>
      </c>
      <c r="H1439">
        <v>2</v>
      </c>
      <c r="I1439">
        <v>911</v>
      </c>
      <c r="J1439">
        <v>1969</v>
      </c>
      <c r="K1439" s="4">
        <v>44396</v>
      </c>
      <c r="L1439" t="s">
        <v>26</v>
      </c>
      <c r="M1439" t="s">
        <v>82</v>
      </c>
      <c r="N1439">
        <v>2.19</v>
      </c>
      <c r="O1439">
        <v>2083</v>
      </c>
      <c r="P1439">
        <v>4.7</v>
      </c>
      <c r="Q1439">
        <v>279</v>
      </c>
      <c r="R1439">
        <v>356</v>
      </c>
    </row>
    <row r="1440" spans="1:18" x14ac:dyDescent="0.2">
      <c r="A1440">
        <v>4</v>
      </c>
      <c r="B1440" t="s">
        <v>72</v>
      </c>
      <c r="E1440" t="s">
        <v>51</v>
      </c>
      <c r="F1440">
        <v>719490</v>
      </c>
      <c r="G1440">
        <v>1</v>
      </c>
      <c r="H1440">
        <v>3</v>
      </c>
      <c r="I1440">
        <v>368</v>
      </c>
      <c r="J1440">
        <v>1996</v>
      </c>
      <c r="K1440" s="4">
        <v>45278</v>
      </c>
      <c r="L1440" t="s">
        <v>23</v>
      </c>
      <c r="M1440" t="s">
        <v>74</v>
      </c>
      <c r="N1440">
        <v>2.74</v>
      </c>
      <c r="O1440">
        <v>2119</v>
      </c>
      <c r="P1440">
        <v>2.84</v>
      </c>
      <c r="Q1440">
        <v>102</v>
      </c>
      <c r="R1440">
        <v>367</v>
      </c>
    </row>
    <row r="1441" spans="1:18" x14ac:dyDescent="0.2">
      <c r="A1441">
        <v>2</v>
      </c>
      <c r="B1441" t="s">
        <v>41</v>
      </c>
      <c r="E1441" t="s">
        <v>51</v>
      </c>
      <c r="F1441">
        <v>1340139</v>
      </c>
      <c r="G1441">
        <v>2</v>
      </c>
      <c r="H1441">
        <v>3</v>
      </c>
      <c r="I1441">
        <v>684</v>
      </c>
      <c r="J1441">
        <v>1950</v>
      </c>
      <c r="K1441" s="4">
        <v>44828</v>
      </c>
      <c r="L1441" t="s">
        <v>20</v>
      </c>
      <c r="M1441" t="s">
        <v>63</v>
      </c>
      <c r="N1441">
        <v>1.93</v>
      </c>
      <c r="O1441">
        <v>1256</v>
      </c>
      <c r="P1441">
        <v>0.79</v>
      </c>
      <c r="Q1441">
        <v>114</v>
      </c>
      <c r="R1441">
        <v>622</v>
      </c>
    </row>
    <row r="1442" spans="1:18" x14ac:dyDescent="0.2">
      <c r="A1442">
        <v>6</v>
      </c>
      <c r="B1442" t="s">
        <v>43</v>
      </c>
      <c r="E1442" t="s">
        <v>36</v>
      </c>
      <c r="F1442">
        <v>695478</v>
      </c>
      <c r="G1442">
        <v>4</v>
      </c>
      <c r="H1442">
        <v>2</v>
      </c>
      <c r="I1442">
        <v>484</v>
      </c>
      <c r="J1442">
        <v>1959</v>
      </c>
      <c r="K1442" s="4">
        <v>45310</v>
      </c>
      <c r="L1442" t="s">
        <v>26</v>
      </c>
      <c r="M1442" t="s">
        <v>45</v>
      </c>
      <c r="N1442">
        <v>3.15</v>
      </c>
      <c r="O1442">
        <v>1173</v>
      </c>
      <c r="P1442">
        <v>4.16</v>
      </c>
      <c r="Q1442">
        <v>295</v>
      </c>
      <c r="R1442">
        <v>576</v>
      </c>
    </row>
    <row r="1443" spans="1:18" x14ac:dyDescent="0.2">
      <c r="A1443">
        <v>0</v>
      </c>
      <c r="B1443" t="s">
        <v>65</v>
      </c>
      <c r="E1443" t="s">
        <v>51</v>
      </c>
      <c r="F1443">
        <v>2414302</v>
      </c>
      <c r="G1443">
        <v>2</v>
      </c>
      <c r="H1443">
        <v>3</v>
      </c>
      <c r="I1443">
        <v>627</v>
      </c>
      <c r="J1443">
        <v>1997</v>
      </c>
      <c r="K1443" s="4">
        <v>45791</v>
      </c>
      <c r="L1443" t="s">
        <v>20</v>
      </c>
      <c r="M1443" t="s">
        <v>27</v>
      </c>
      <c r="N1443">
        <v>1.84</v>
      </c>
      <c r="O1443">
        <v>2259</v>
      </c>
      <c r="P1443">
        <v>0.91</v>
      </c>
      <c r="Q1443">
        <v>73</v>
      </c>
      <c r="R1443">
        <v>370</v>
      </c>
    </row>
    <row r="1444" spans="1:18" x14ac:dyDescent="0.2">
      <c r="A1444">
        <v>2</v>
      </c>
      <c r="B1444" t="s">
        <v>101</v>
      </c>
      <c r="E1444" t="s">
        <v>51</v>
      </c>
      <c r="F1444">
        <v>1472900</v>
      </c>
      <c r="G1444">
        <v>2</v>
      </c>
      <c r="H1444">
        <v>1</v>
      </c>
      <c r="I1444">
        <v>710</v>
      </c>
      <c r="J1444">
        <v>1951</v>
      </c>
      <c r="K1444" s="4">
        <v>44258</v>
      </c>
      <c r="L1444" t="s">
        <v>26</v>
      </c>
      <c r="M1444" t="s">
        <v>68</v>
      </c>
      <c r="N1444">
        <v>3.19</v>
      </c>
      <c r="O1444">
        <v>1883</v>
      </c>
      <c r="P1444">
        <v>1.46</v>
      </c>
      <c r="Q1444">
        <v>172</v>
      </c>
      <c r="R1444">
        <v>645</v>
      </c>
    </row>
    <row r="1445" spans="1:18" x14ac:dyDescent="0.2">
      <c r="A1445">
        <v>4</v>
      </c>
      <c r="B1445" t="s">
        <v>22</v>
      </c>
      <c r="E1445" t="s">
        <v>36</v>
      </c>
      <c r="F1445">
        <v>1947106</v>
      </c>
      <c r="G1445">
        <v>1</v>
      </c>
      <c r="H1445">
        <v>2</v>
      </c>
      <c r="I1445">
        <v>278</v>
      </c>
      <c r="J1445">
        <v>1990</v>
      </c>
      <c r="K1445" s="4">
        <v>44125</v>
      </c>
      <c r="L1445" t="s">
        <v>30</v>
      </c>
      <c r="M1445" t="s">
        <v>78</v>
      </c>
      <c r="N1445">
        <v>2.52</v>
      </c>
      <c r="O1445">
        <v>2197</v>
      </c>
      <c r="P1445">
        <v>4</v>
      </c>
      <c r="Q1445">
        <v>77</v>
      </c>
      <c r="R1445">
        <v>317</v>
      </c>
    </row>
    <row r="1446" spans="1:18" x14ac:dyDescent="0.2">
      <c r="A1446">
        <v>0</v>
      </c>
      <c r="B1446" t="s">
        <v>22</v>
      </c>
      <c r="E1446" t="s">
        <v>29</v>
      </c>
      <c r="F1446">
        <v>693800</v>
      </c>
      <c r="G1446">
        <v>2</v>
      </c>
      <c r="H1446">
        <v>1</v>
      </c>
      <c r="I1446">
        <v>904</v>
      </c>
      <c r="J1446">
        <v>1993</v>
      </c>
      <c r="K1446" s="4">
        <v>45458</v>
      </c>
      <c r="L1446" t="s">
        <v>20</v>
      </c>
      <c r="M1446" t="s">
        <v>60</v>
      </c>
      <c r="N1446">
        <v>1.59</v>
      </c>
      <c r="O1446">
        <v>1814</v>
      </c>
      <c r="P1446">
        <v>2.66</v>
      </c>
      <c r="Q1446">
        <v>130</v>
      </c>
      <c r="R1446">
        <v>452</v>
      </c>
    </row>
    <row r="1447" spans="1:18" x14ac:dyDescent="0.2">
      <c r="A1447">
        <v>7</v>
      </c>
      <c r="B1447" t="s">
        <v>72</v>
      </c>
      <c r="E1447" t="s">
        <v>36</v>
      </c>
      <c r="F1447">
        <v>2685264</v>
      </c>
      <c r="G1447">
        <v>2</v>
      </c>
      <c r="H1447">
        <v>3</v>
      </c>
      <c r="I1447">
        <v>762</v>
      </c>
      <c r="J1447">
        <v>1975</v>
      </c>
      <c r="K1447" s="4">
        <v>45729</v>
      </c>
      <c r="L1447" t="s">
        <v>20</v>
      </c>
      <c r="M1447" t="s">
        <v>76</v>
      </c>
      <c r="N1447">
        <v>3.18</v>
      </c>
      <c r="O1447">
        <v>1869</v>
      </c>
      <c r="P1447">
        <v>0.38</v>
      </c>
      <c r="Q1447">
        <v>107</v>
      </c>
      <c r="R1447">
        <v>514</v>
      </c>
    </row>
    <row r="1448" spans="1:18" x14ac:dyDescent="0.2">
      <c r="A1448">
        <v>0</v>
      </c>
      <c r="B1448" t="s">
        <v>46</v>
      </c>
      <c r="E1448" t="s">
        <v>19</v>
      </c>
      <c r="F1448">
        <v>529464</v>
      </c>
      <c r="G1448">
        <v>4</v>
      </c>
      <c r="H1448">
        <v>3</v>
      </c>
      <c r="I1448">
        <v>707</v>
      </c>
      <c r="J1448">
        <v>1959</v>
      </c>
      <c r="K1448" s="4">
        <v>45748</v>
      </c>
      <c r="L1448" t="s">
        <v>23</v>
      </c>
      <c r="M1448" t="s">
        <v>47</v>
      </c>
      <c r="N1448">
        <v>2.6</v>
      </c>
      <c r="O1448">
        <v>2444</v>
      </c>
      <c r="P1448">
        <v>3.02</v>
      </c>
      <c r="Q1448">
        <v>175</v>
      </c>
      <c r="R1448">
        <v>667</v>
      </c>
    </row>
    <row r="1449" spans="1:18" x14ac:dyDescent="0.2">
      <c r="A1449">
        <v>5</v>
      </c>
      <c r="B1449" t="s">
        <v>50</v>
      </c>
      <c r="E1449" t="s">
        <v>29</v>
      </c>
      <c r="F1449">
        <v>1095404</v>
      </c>
      <c r="G1449">
        <v>4</v>
      </c>
      <c r="H1449">
        <v>3</v>
      </c>
      <c r="I1449">
        <v>397</v>
      </c>
      <c r="J1449">
        <v>1996</v>
      </c>
      <c r="K1449" s="4">
        <v>45114</v>
      </c>
      <c r="L1449" t="s">
        <v>30</v>
      </c>
      <c r="M1449" t="s">
        <v>77</v>
      </c>
      <c r="N1449">
        <v>1.88</v>
      </c>
      <c r="O1449">
        <v>1382</v>
      </c>
      <c r="P1449">
        <v>0.61</v>
      </c>
      <c r="Q1449">
        <v>260</v>
      </c>
      <c r="R1449">
        <v>455</v>
      </c>
    </row>
    <row r="1450" spans="1:18" x14ac:dyDescent="0.2">
      <c r="A1450">
        <v>8</v>
      </c>
      <c r="B1450" t="s">
        <v>87</v>
      </c>
      <c r="E1450" t="s">
        <v>19</v>
      </c>
      <c r="F1450">
        <v>817935</v>
      </c>
      <c r="G1450">
        <v>5</v>
      </c>
      <c r="H1450">
        <v>1</v>
      </c>
      <c r="I1450">
        <v>473</v>
      </c>
      <c r="J1450">
        <v>2004</v>
      </c>
      <c r="K1450" s="4">
        <v>45207</v>
      </c>
      <c r="L1450" t="s">
        <v>26</v>
      </c>
      <c r="M1450" t="s">
        <v>85</v>
      </c>
      <c r="N1450">
        <v>3.47</v>
      </c>
      <c r="O1450">
        <v>1044</v>
      </c>
      <c r="P1450">
        <v>1.35</v>
      </c>
      <c r="Q1450">
        <v>366</v>
      </c>
      <c r="R1450">
        <v>614</v>
      </c>
    </row>
    <row r="1451" spans="1:18" x14ac:dyDescent="0.2">
      <c r="A1451">
        <v>5</v>
      </c>
      <c r="B1451" t="s">
        <v>48</v>
      </c>
      <c r="E1451" t="s">
        <v>19</v>
      </c>
      <c r="F1451">
        <v>892427</v>
      </c>
      <c r="G1451">
        <v>2</v>
      </c>
      <c r="H1451">
        <v>3</v>
      </c>
      <c r="I1451">
        <v>424</v>
      </c>
      <c r="J1451">
        <v>2007</v>
      </c>
      <c r="K1451" s="4">
        <v>44664</v>
      </c>
      <c r="L1451" t="s">
        <v>26</v>
      </c>
      <c r="M1451" t="s">
        <v>31</v>
      </c>
      <c r="N1451">
        <v>2.2200000000000002</v>
      </c>
      <c r="O1451">
        <v>1637</v>
      </c>
      <c r="P1451">
        <v>4.4800000000000004</v>
      </c>
      <c r="Q1451">
        <v>163</v>
      </c>
      <c r="R1451">
        <v>549</v>
      </c>
    </row>
    <row r="1452" spans="1:18" x14ac:dyDescent="0.2">
      <c r="A1452">
        <v>5</v>
      </c>
      <c r="B1452" t="s">
        <v>50</v>
      </c>
      <c r="E1452" t="s">
        <v>51</v>
      </c>
      <c r="F1452">
        <v>1207491</v>
      </c>
      <c r="G1452">
        <v>5</v>
      </c>
      <c r="H1452">
        <v>2</v>
      </c>
      <c r="I1452">
        <v>666</v>
      </c>
      <c r="J1452">
        <v>1989</v>
      </c>
      <c r="K1452" s="4">
        <v>45358</v>
      </c>
      <c r="L1452" t="s">
        <v>23</v>
      </c>
      <c r="M1452" t="s">
        <v>56</v>
      </c>
      <c r="N1452">
        <v>2.19</v>
      </c>
      <c r="O1452">
        <v>1235</v>
      </c>
      <c r="P1452">
        <v>3.68</v>
      </c>
      <c r="Q1452">
        <v>274</v>
      </c>
      <c r="R1452">
        <v>560</v>
      </c>
    </row>
    <row r="1453" spans="1:18" x14ac:dyDescent="0.2">
      <c r="A1453">
        <v>7</v>
      </c>
      <c r="B1453" t="s">
        <v>62</v>
      </c>
      <c r="E1453" t="s">
        <v>36</v>
      </c>
      <c r="F1453">
        <v>566250</v>
      </c>
      <c r="G1453">
        <v>5</v>
      </c>
      <c r="H1453">
        <v>1</v>
      </c>
      <c r="I1453">
        <v>809</v>
      </c>
      <c r="J1453">
        <v>1977</v>
      </c>
      <c r="K1453" s="4">
        <v>45132</v>
      </c>
      <c r="L1453" t="s">
        <v>30</v>
      </c>
      <c r="M1453" t="s">
        <v>63</v>
      </c>
      <c r="N1453">
        <v>1.88</v>
      </c>
      <c r="O1453">
        <v>1472</v>
      </c>
      <c r="P1453">
        <v>3.1</v>
      </c>
      <c r="Q1453">
        <v>395</v>
      </c>
      <c r="R1453">
        <v>558</v>
      </c>
    </row>
    <row r="1454" spans="1:18" x14ac:dyDescent="0.2">
      <c r="A1454">
        <v>9</v>
      </c>
      <c r="B1454" t="s">
        <v>86</v>
      </c>
      <c r="E1454" t="s">
        <v>19</v>
      </c>
      <c r="F1454">
        <v>1895251</v>
      </c>
      <c r="G1454">
        <v>4</v>
      </c>
      <c r="H1454">
        <v>3</v>
      </c>
      <c r="I1454">
        <v>564</v>
      </c>
      <c r="J1454">
        <v>1990</v>
      </c>
      <c r="K1454" s="4">
        <v>45657</v>
      </c>
      <c r="L1454" t="s">
        <v>23</v>
      </c>
      <c r="M1454" t="s">
        <v>33</v>
      </c>
      <c r="N1454">
        <v>1.67</v>
      </c>
      <c r="O1454">
        <v>1236</v>
      </c>
      <c r="P1454">
        <v>1.28</v>
      </c>
      <c r="Q1454">
        <v>202</v>
      </c>
      <c r="R1454">
        <v>475</v>
      </c>
    </row>
    <row r="1455" spans="1:18" x14ac:dyDescent="0.2">
      <c r="A1455">
        <v>2</v>
      </c>
      <c r="B1455" t="s">
        <v>72</v>
      </c>
      <c r="E1455" t="s">
        <v>29</v>
      </c>
      <c r="F1455">
        <v>1456981</v>
      </c>
      <c r="G1455">
        <v>2</v>
      </c>
      <c r="H1455">
        <v>3</v>
      </c>
      <c r="I1455">
        <v>188</v>
      </c>
      <c r="J1455">
        <v>1990</v>
      </c>
      <c r="K1455" s="4">
        <v>45289</v>
      </c>
      <c r="L1455" t="s">
        <v>23</v>
      </c>
      <c r="M1455" t="s">
        <v>69</v>
      </c>
      <c r="N1455">
        <v>1.64</v>
      </c>
      <c r="O1455">
        <v>2364</v>
      </c>
      <c r="P1455">
        <v>1.1200000000000001</v>
      </c>
      <c r="Q1455">
        <v>45</v>
      </c>
      <c r="R1455">
        <v>530</v>
      </c>
    </row>
    <row r="1456" spans="1:18" x14ac:dyDescent="0.2">
      <c r="A1456">
        <v>2</v>
      </c>
      <c r="B1456" t="s">
        <v>55</v>
      </c>
      <c r="E1456" t="s">
        <v>29</v>
      </c>
      <c r="F1456">
        <v>730074</v>
      </c>
      <c r="G1456">
        <v>3</v>
      </c>
      <c r="H1456">
        <v>1</v>
      </c>
      <c r="I1456">
        <v>657</v>
      </c>
      <c r="J1456">
        <v>1958</v>
      </c>
      <c r="K1456" s="4">
        <v>44730</v>
      </c>
      <c r="L1456" t="s">
        <v>26</v>
      </c>
      <c r="M1456" t="s">
        <v>68</v>
      </c>
      <c r="N1456">
        <v>3.1</v>
      </c>
      <c r="O1456">
        <v>1223</v>
      </c>
      <c r="P1456">
        <v>4.9800000000000004</v>
      </c>
      <c r="Q1456">
        <v>267</v>
      </c>
      <c r="R1456">
        <v>571</v>
      </c>
    </row>
    <row r="1457" spans="1:18" x14ac:dyDescent="0.2">
      <c r="A1457">
        <v>7</v>
      </c>
      <c r="B1457" t="s">
        <v>72</v>
      </c>
      <c r="E1457" t="s">
        <v>36</v>
      </c>
      <c r="F1457">
        <v>1657343</v>
      </c>
      <c r="G1457">
        <v>3</v>
      </c>
      <c r="H1457">
        <v>2</v>
      </c>
      <c r="I1457">
        <v>980</v>
      </c>
      <c r="J1457">
        <v>1987</v>
      </c>
      <c r="K1457" s="4">
        <v>45069</v>
      </c>
      <c r="L1457" t="s">
        <v>20</v>
      </c>
      <c r="M1457" t="s">
        <v>21</v>
      </c>
      <c r="N1457">
        <v>2.25</v>
      </c>
      <c r="O1457">
        <v>2113</v>
      </c>
      <c r="P1457">
        <v>2.75</v>
      </c>
      <c r="Q1457">
        <v>211</v>
      </c>
      <c r="R1457">
        <v>581</v>
      </c>
    </row>
    <row r="1458" spans="1:18" x14ac:dyDescent="0.2">
      <c r="A1458">
        <v>3</v>
      </c>
      <c r="B1458" t="s">
        <v>57</v>
      </c>
      <c r="E1458" t="s">
        <v>51</v>
      </c>
      <c r="F1458">
        <v>2166500</v>
      </c>
      <c r="G1458">
        <v>6</v>
      </c>
      <c r="H1458">
        <v>2</v>
      </c>
      <c r="I1458">
        <v>439</v>
      </c>
      <c r="J1458">
        <v>1989</v>
      </c>
      <c r="K1458" s="4">
        <v>44867</v>
      </c>
      <c r="L1458" t="s">
        <v>26</v>
      </c>
      <c r="M1458" t="s">
        <v>37</v>
      </c>
      <c r="N1458">
        <v>2.63</v>
      </c>
      <c r="O1458">
        <v>1031</v>
      </c>
      <c r="P1458">
        <v>0.73</v>
      </c>
      <c r="Q1458">
        <v>333</v>
      </c>
      <c r="R1458">
        <v>530</v>
      </c>
    </row>
    <row r="1459" spans="1:18" x14ac:dyDescent="0.2">
      <c r="A1459">
        <v>7</v>
      </c>
      <c r="B1459" t="s">
        <v>49</v>
      </c>
      <c r="E1459" t="s">
        <v>29</v>
      </c>
      <c r="F1459">
        <v>1103763</v>
      </c>
      <c r="G1459">
        <v>4</v>
      </c>
      <c r="H1459">
        <v>1</v>
      </c>
      <c r="I1459">
        <v>756</v>
      </c>
      <c r="J1459">
        <v>1982</v>
      </c>
      <c r="K1459" s="4">
        <v>44649</v>
      </c>
      <c r="L1459" t="s">
        <v>23</v>
      </c>
      <c r="M1459" t="s">
        <v>78</v>
      </c>
      <c r="N1459">
        <v>2.29</v>
      </c>
      <c r="O1459">
        <v>2222</v>
      </c>
      <c r="P1459">
        <v>0.81</v>
      </c>
      <c r="Q1459">
        <v>284</v>
      </c>
      <c r="R1459">
        <v>617</v>
      </c>
    </row>
    <row r="1460" spans="1:18" x14ac:dyDescent="0.2">
      <c r="A1460">
        <v>1</v>
      </c>
      <c r="B1460" t="s">
        <v>83</v>
      </c>
      <c r="E1460" t="s">
        <v>36</v>
      </c>
      <c r="F1460">
        <v>911591</v>
      </c>
      <c r="G1460">
        <v>3</v>
      </c>
      <c r="H1460">
        <v>1</v>
      </c>
      <c r="I1460">
        <v>318</v>
      </c>
      <c r="J1460">
        <v>1956</v>
      </c>
      <c r="K1460" s="4">
        <v>44227</v>
      </c>
      <c r="L1460" t="s">
        <v>26</v>
      </c>
      <c r="M1460" t="s">
        <v>82</v>
      </c>
      <c r="N1460">
        <v>3.33</v>
      </c>
      <c r="O1460">
        <v>2454</v>
      </c>
      <c r="P1460">
        <v>2.98</v>
      </c>
      <c r="Q1460">
        <v>129</v>
      </c>
      <c r="R1460">
        <v>378</v>
      </c>
    </row>
    <row r="1461" spans="1:18" x14ac:dyDescent="0.2">
      <c r="A1461">
        <v>2</v>
      </c>
      <c r="B1461" t="s">
        <v>65</v>
      </c>
      <c r="E1461" t="s">
        <v>19</v>
      </c>
      <c r="F1461">
        <v>502155</v>
      </c>
      <c r="G1461">
        <v>5</v>
      </c>
      <c r="H1461">
        <v>3</v>
      </c>
      <c r="I1461">
        <v>72</v>
      </c>
      <c r="J1461">
        <v>2004</v>
      </c>
      <c r="K1461" s="4">
        <v>44602</v>
      </c>
      <c r="L1461" t="s">
        <v>30</v>
      </c>
      <c r="M1461" t="s">
        <v>59</v>
      </c>
      <c r="N1461">
        <v>3.31</v>
      </c>
      <c r="O1461">
        <v>1584</v>
      </c>
      <c r="P1461">
        <v>0.65</v>
      </c>
      <c r="Q1461">
        <v>248</v>
      </c>
      <c r="R1461">
        <v>454</v>
      </c>
    </row>
    <row r="1462" spans="1:18" x14ac:dyDescent="0.2">
      <c r="A1462">
        <v>2</v>
      </c>
      <c r="B1462" t="s">
        <v>53</v>
      </c>
      <c r="E1462" t="s">
        <v>51</v>
      </c>
      <c r="F1462">
        <v>2407893</v>
      </c>
      <c r="G1462">
        <v>2</v>
      </c>
      <c r="H1462">
        <v>2</v>
      </c>
      <c r="I1462">
        <v>932</v>
      </c>
      <c r="J1462">
        <v>2008</v>
      </c>
      <c r="K1462" s="4">
        <v>44652</v>
      </c>
      <c r="L1462" t="s">
        <v>20</v>
      </c>
      <c r="M1462" t="s">
        <v>66</v>
      </c>
      <c r="N1462">
        <v>1.61</v>
      </c>
      <c r="O1462">
        <v>2430</v>
      </c>
      <c r="P1462">
        <v>0.71</v>
      </c>
      <c r="Q1462">
        <v>178</v>
      </c>
      <c r="R1462">
        <v>632</v>
      </c>
    </row>
    <row r="1463" spans="1:18" x14ac:dyDescent="0.2">
      <c r="A1463">
        <v>9</v>
      </c>
      <c r="B1463" t="s">
        <v>49</v>
      </c>
      <c r="E1463" t="s">
        <v>29</v>
      </c>
      <c r="F1463">
        <v>1483780</v>
      </c>
      <c r="G1463">
        <v>4</v>
      </c>
      <c r="H1463">
        <v>2</v>
      </c>
      <c r="I1463">
        <v>595</v>
      </c>
      <c r="J1463">
        <v>1988</v>
      </c>
      <c r="K1463" s="4">
        <v>44224</v>
      </c>
      <c r="L1463" t="s">
        <v>23</v>
      </c>
      <c r="M1463" t="s">
        <v>47</v>
      </c>
      <c r="N1463">
        <v>1.53</v>
      </c>
      <c r="O1463">
        <v>1514</v>
      </c>
      <c r="P1463">
        <v>3.24</v>
      </c>
      <c r="Q1463">
        <v>180</v>
      </c>
      <c r="R1463">
        <v>412</v>
      </c>
    </row>
    <row r="1464" spans="1:18" x14ac:dyDescent="0.2">
      <c r="A1464">
        <v>0</v>
      </c>
      <c r="B1464" t="s">
        <v>80</v>
      </c>
      <c r="E1464" t="s">
        <v>36</v>
      </c>
      <c r="F1464">
        <v>762664</v>
      </c>
      <c r="G1464">
        <v>3</v>
      </c>
      <c r="H1464">
        <v>1</v>
      </c>
      <c r="I1464">
        <v>838</v>
      </c>
      <c r="J1464">
        <v>2008</v>
      </c>
      <c r="K1464" s="4">
        <v>44619</v>
      </c>
      <c r="L1464" t="s">
        <v>23</v>
      </c>
      <c r="M1464" t="s">
        <v>76</v>
      </c>
      <c r="N1464">
        <v>1.85</v>
      </c>
      <c r="O1464">
        <v>1948</v>
      </c>
      <c r="P1464">
        <v>3.74</v>
      </c>
      <c r="Q1464">
        <v>234</v>
      </c>
      <c r="R1464">
        <v>579</v>
      </c>
    </row>
    <row r="1465" spans="1:18" x14ac:dyDescent="0.2">
      <c r="A1465">
        <v>7</v>
      </c>
      <c r="B1465" t="s">
        <v>90</v>
      </c>
      <c r="E1465" t="s">
        <v>51</v>
      </c>
      <c r="F1465">
        <v>1098525</v>
      </c>
      <c r="G1465">
        <v>4</v>
      </c>
      <c r="H1465">
        <v>2</v>
      </c>
      <c r="I1465">
        <v>600</v>
      </c>
      <c r="J1465">
        <v>2020</v>
      </c>
      <c r="K1465" s="4">
        <v>45427</v>
      </c>
      <c r="L1465" t="s">
        <v>23</v>
      </c>
      <c r="M1465" t="s">
        <v>37</v>
      </c>
      <c r="N1465">
        <v>1.62</v>
      </c>
      <c r="O1465">
        <v>848</v>
      </c>
      <c r="P1465">
        <v>4.32</v>
      </c>
      <c r="Q1465">
        <v>226</v>
      </c>
      <c r="R1465">
        <v>567</v>
      </c>
    </row>
    <row r="1466" spans="1:18" x14ac:dyDescent="0.2">
      <c r="A1466">
        <v>1</v>
      </c>
      <c r="B1466" t="s">
        <v>55</v>
      </c>
      <c r="E1466" t="s">
        <v>51</v>
      </c>
      <c r="F1466">
        <v>1860768</v>
      </c>
      <c r="G1466">
        <v>3</v>
      </c>
      <c r="H1466">
        <v>1</v>
      </c>
      <c r="I1466">
        <v>431</v>
      </c>
      <c r="J1466">
        <v>1966</v>
      </c>
      <c r="K1466" s="4">
        <v>45733</v>
      </c>
      <c r="L1466" t="s">
        <v>26</v>
      </c>
      <c r="M1466" t="s">
        <v>97</v>
      </c>
      <c r="N1466">
        <v>3.2</v>
      </c>
      <c r="O1466">
        <v>2162</v>
      </c>
      <c r="P1466">
        <v>0.71</v>
      </c>
      <c r="Q1466">
        <v>244</v>
      </c>
      <c r="R1466">
        <v>610</v>
      </c>
    </row>
    <row r="1467" spans="1:18" x14ac:dyDescent="0.2">
      <c r="A1467">
        <v>4</v>
      </c>
      <c r="B1467" t="s">
        <v>96</v>
      </c>
      <c r="E1467" t="s">
        <v>36</v>
      </c>
      <c r="F1467">
        <v>1540676</v>
      </c>
      <c r="G1467">
        <v>4</v>
      </c>
      <c r="H1467">
        <v>1</v>
      </c>
      <c r="I1467">
        <v>245</v>
      </c>
      <c r="J1467">
        <v>2012</v>
      </c>
      <c r="K1467" s="4">
        <v>44077</v>
      </c>
      <c r="L1467" t="s">
        <v>30</v>
      </c>
      <c r="M1467" t="s">
        <v>56</v>
      </c>
      <c r="N1467">
        <v>1.75</v>
      </c>
      <c r="O1467">
        <v>1719</v>
      </c>
      <c r="P1467">
        <v>4</v>
      </c>
      <c r="Q1467">
        <v>167</v>
      </c>
      <c r="R1467">
        <v>466</v>
      </c>
    </row>
    <row r="1468" spans="1:18" x14ac:dyDescent="0.2">
      <c r="A1468">
        <v>4</v>
      </c>
      <c r="B1468" t="s">
        <v>83</v>
      </c>
      <c r="E1468" t="s">
        <v>29</v>
      </c>
      <c r="F1468">
        <v>1125672</v>
      </c>
      <c r="G1468">
        <v>4</v>
      </c>
      <c r="H1468">
        <v>2</v>
      </c>
      <c r="I1468">
        <v>295</v>
      </c>
      <c r="J1468">
        <v>2020</v>
      </c>
      <c r="K1468" s="4">
        <v>44489</v>
      </c>
      <c r="L1468" t="s">
        <v>23</v>
      </c>
      <c r="M1468" t="s">
        <v>85</v>
      </c>
      <c r="N1468">
        <v>3.18</v>
      </c>
      <c r="O1468">
        <v>2431</v>
      </c>
      <c r="P1468">
        <v>2.29</v>
      </c>
      <c r="Q1468">
        <v>283</v>
      </c>
      <c r="R1468">
        <v>448</v>
      </c>
    </row>
    <row r="1469" spans="1:18" x14ac:dyDescent="0.2">
      <c r="A1469">
        <v>0</v>
      </c>
      <c r="B1469" t="s">
        <v>38</v>
      </c>
      <c r="E1469" t="s">
        <v>36</v>
      </c>
      <c r="F1469">
        <v>538173</v>
      </c>
      <c r="G1469">
        <v>2</v>
      </c>
      <c r="H1469">
        <v>1</v>
      </c>
      <c r="I1469">
        <v>717</v>
      </c>
      <c r="J1469">
        <v>1998</v>
      </c>
      <c r="K1469" s="4">
        <v>45864</v>
      </c>
      <c r="L1469" t="s">
        <v>20</v>
      </c>
      <c r="M1469" t="s">
        <v>45</v>
      </c>
      <c r="N1469">
        <v>2.27</v>
      </c>
      <c r="O1469">
        <v>847</v>
      </c>
      <c r="P1469">
        <v>0.84</v>
      </c>
      <c r="Q1469">
        <v>137</v>
      </c>
      <c r="R1469">
        <v>496</v>
      </c>
    </row>
    <row r="1470" spans="1:18" x14ac:dyDescent="0.2">
      <c r="A1470">
        <v>2</v>
      </c>
      <c r="B1470" t="s">
        <v>79</v>
      </c>
      <c r="E1470" t="s">
        <v>36</v>
      </c>
      <c r="F1470">
        <v>695697</v>
      </c>
      <c r="G1470">
        <v>4</v>
      </c>
      <c r="H1470">
        <v>3</v>
      </c>
      <c r="I1470">
        <v>947</v>
      </c>
      <c r="J1470">
        <v>1984</v>
      </c>
      <c r="K1470" s="4">
        <v>45496</v>
      </c>
      <c r="L1470" t="s">
        <v>26</v>
      </c>
      <c r="M1470" t="s">
        <v>59</v>
      </c>
      <c r="N1470">
        <v>2.09</v>
      </c>
      <c r="O1470">
        <v>1356</v>
      </c>
      <c r="P1470">
        <v>1.32</v>
      </c>
      <c r="Q1470">
        <v>219</v>
      </c>
      <c r="R1470">
        <v>517</v>
      </c>
    </row>
    <row r="1471" spans="1:18" x14ac:dyDescent="0.2">
      <c r="A1471">
        <v>2</v>
      </c>
      <c r="B1471" t="s">
        <v>65</v>
      </c>
      <c r="E1471" t="s">
        <v>51</v>
      </c>
      <c r="F1471">
        <v>729049</v>
      </c>
      <c r="G1471">
        <v>0</v>
      </c>
      <c r="H1471">
        <v>1</v>
      </c>
      <c r="I1471">
        <v>500</v>
      </c>
      <c r="J1471">
        <v>1959</v>
      </c>
      <c r="K1471" s="4">
        <v>44614</v>
      </c>
      <c r="L1471" t="s">
        <v>20</v>
      </c>
      <c r="M1471" t="s">
        <v>68</v>
      </c>
      <c r="N1471">
        <v>1.77</v>
      </c>
      <c r="O1471">
        <v>1970</v>
      </c>
      <c r="P1471">
        <v>0.69</v>
      </c>
      <c r="Q1471">
        <v>58</v>
      </c>
      <c r="R1471">
        <v>324</v>
      </c>
    </row>
    <row r="1472" spans="1:18" x14ac:dyDescent="0.2">
      <c r="A1472">
        <v>4</v>
      </c>
      <c r="B1472" t="s">
        <v>57</v>
      </c>
      <c r="E1472" t="s">
        <v>51</v>
      </c>
      <c r="F1472">
        <v>2664227</v>
      </c>
      <c r="G1472">
        <v>1</v>
      </c>
      <c r="H1472">
        <v>3</v>
      </c>
      <c r="I1472">
        <v>900</v>
      </c>
      <c r="J1472">
        <v>1988</v>
      </c>
      <c r="K1472" s="4">
        <v>44603</v>
      </c>
      <c r="L1472" t="s">
        <v>30</v>
      </c>
      <c r="M1472" t="s">
        <v>77</v>
      </c>
      <c r="N1472">
        <v>2.04</v>
      </c>
      <c r="O1472">
        <v>1615</v>
      </c>
      <c r="P1472">
        <v>4.49</v>
      </c>
      <c r="Q1472">
        <v>56</v>
      </c>
      <c r="R1472">
        <v>567</v>
      </c>
    </row>
    <row r="1473" spans="1:18" x14ac:dyDescent="0.2">
      <c r="A1473">
        <v>3</v>
      </c>
      <c r="B1473" t="s">
        <v>102</v>
      </c>
      <c r="E1473" t="s">
        <v>19</v>
      </c>
      <c r="F1473">
        <v>1921013</v>
      </c>
      <c r="G1473">
        <v>3</v>
      </c>
      <c r="H1473">
        <v>3</v>
      </c>
      <c r="I1473">
        <v>890</v>
      </c>
      <c r="J1473">
        <v>1961</v>
      </c>
      <c r="K1473" s="4">
        <v>44303</v>
      </c>
      <c r="L1473" t="s">
        <v>26</v>
      </c>
      <c r="M1473" t="s">
        <v>85</v>
      </c>
      <c r="N1473">
        <v>2.34</v>
      </c>
      <c r="O1473">
        <v>2499</v>
      </c>
      <c r="P1473">
        <v>4.4400000000000004</v>
      </c>
      <c r="Q1473">
        <v>199</v>
      </c>
      <c r="R1473">
        <v>375</v>
      </c>
    </row>
    <row r="1474" spans="1:18" x14ac:dyDescent="0.2">
      <c r="A1474">
        <v>9</v>
      </c>
      <c r="B1474" t="s">
        <v>34</v>
      </c>
      <c r="E1474" t="s">
        <v>51</v>
      </c>
      <c r="F1474">
        <v>1298137</v>
      </c>
      <c r="G1474">
        <v>4</v>
      </c>
      <c r="H1474">
        <v>1</v>
      </c>
      <c r="I1474">
        <v>318</v>
      </c>
      <c r="J1474">
        <v>1975</v>
      </c>
      <c r="K1474" s="4">
        <v>45323</v>
      </c>
      <c r="L1474" t="s">
        <v>23</v>
      </c>
      <c r="M1474" t="s">
        <v>70</v>
      </c>
      <c r="N1474">
        <v>1.68</v>
      </c>
      <c r="O1474">
        <v>818</v>
      </c>
      <c r="P1474">
        <v>2.69</v>
      </c>
      <c r="Q1474">
        <v>392</v>
      </c>
      <c r="R1474">
        <v>356</v>
      </c>
    </row>
    <row r="1475" spans="1:18" x14ac:dyDescent="0.2">
      <c r="A1475">
        <v>1</v>
      </c>
      <c r="B1475" t="s">
        <v>64</v>
      </c>
      <c r="E1475" t="s">
        <v>19</v>
      </c>
      <c r="F1475">
        <v>2371127</v>
      </c>
      <c r="G1475">
        <v>2</v>
      </c>
      <c r="H1475">
        <v>2</v>
      </c>
      <c r="I1475">
        <v>129</v>
      </c>
      <c r="J1475">
        <v>1977</v>
      </c>
      <c r="K1475" s="4">
        <v>44836</v>
      </c>
      <c r="L1475" t="s">
        <v>23</v>
      </c>
      <c r="M1475" t="s">
        <v>54</v>
      </c>
      <c r="N1475">
        <v>2.52</v>
      </c>
      <c r="O1475">
        <v>1816</v>
      </c>
      <c r="P1475">
        <v>4.07</v>
      </c>
      <c r="Q1475">
        <v>225</v>
      </c>
      <c r="R1475">
        <v>448</v>
      </c>
    </row>
    <row r="1476" spans="1:18" x14ac:dyDescent="0.2">
      <c r="A1476">
        <v>0</v>
      </c>
      <c r="B1476" t="s">
        <v>18</v>
      </c>
      <c r="E1476" t="s">
        <v>19</v>
      </c>
      <c r="F1476">
        <v>1796848</v>
      </c>
      <c r="G1476">
        <v>1</v>
      </c>
      <c r="H1476">
        <v>2</v>
      </c>
      <c r="I1476">
        <v>264</v>
      </c>
      <c r="J1476">
        <v>1995</v>
      </c>
      <c r="K1476" s="4">
        <v>44615</v>
      </c>
      <c r="L1476" t="s">
        <v>20</v>
      </c>
      <c r="M1476" t="s">
        <v>45</v>
      </c>
      <c r="N1476">
        <v>1.73</v>
      </c>
      <c r="O1476">
        <v>1343</v>
      </c>
      <c r="P1476">
        <v>4.38</v>
      </c>
      <c r="Q1476">
        <v>66</v>
      </c>
      <c r="R1476">
        <v>380</v>
      </c>
    </row>
    <row r="1477" spans="1:18" x14ac:dyDescent="0.2">
      <c r="A1477">
        <v>9</v>
      </c>
      <c r="B1477" t="s">
        <v>95</v>
      </c>
      <c r="E1477" t="s">
        <v>29</v>
      </c>
      <c r="F1477">
        <v>2953738</v>
      </c>
      <c r="G1477">
        <v>5</v>
      </c>
      <c r="H1477">
        <v>2</v>
      </c>
      <c r="I1477">
        <v>232</v>
      </c>
      <c r="J1477">
        <v>2009</v>
      </c>
      <c r="K1477" s="4">
        <v>44746</v>
      </c>
      <c r="L1477" t="s">
        <v>26</v>
      </c>
      <c r="M1477" t="s">
        <v>78</v>
      </c>
      <c r="N1477">
        <v>2.0299999999999998</v>
      </c>
      <c r="O1477">
        <v>824</v>
      </c>
      <c r="P1477">
        <v>4.75</v>
      </c>
      <c r="Q1477">
        <v>393</v>
      </c>
      <c r="R1477">
        <v>474</v>
      </c>
    </row>
    <row r="1478" spans="1:18" x14ac:dyDescent="0.2">
      <c r="A1478">
        <v>9</v>
      </c>
      <c r="B1478" t="s">
        <v>102</v>
      </c>
      <c r="E1478" t="s">
        <v>51</v>
      </c>
      <c r="F1478">
        <v>2075787</v>
      </c>
      <c r="G1478">
        <v>3</v>
      </c>
      <c r="H1478">
        <v>2</v>
      </c>
      <c r="I1478">
        <v>369</v>
      </c>
      <c r="J1478">
        <v>1956</v>
      </c>
      <c r="K1478" s="4">
        <v>44958</v>
      </c>
      <c r="L1478" t="s">
        <v>26</v>
      </c>
      <c r="M1478" t="s">
        <v>70</v>
      </c>
      <c r="N1478">
        <v>2.17</v>
      </c>
      <c r="O1478">
        <v>982</v>
      </c>
      <c r="P1478">
        <v>3.09</v>
      </c>
      <c r="Q1478">
        <v>275</v>
      </c>
      <c r="R1478">
        <v>588</v>
      </c>
    </row>
    <row r="1479" spans="1:18" x14ac:dyDescent="0.2">
      <c r="A1479">
        <v>6</v>
      </c>
      <c r="B1479" t="s">
        <v>75</v>
      </c>
      <c r="E1479" t="s">
        <v>19</v>
      </c>
      <c r="F1479">
        <v>994775</v>
      </c>
      <c r="G1479">
        <v>2</v>
      </c>
      <c r="H1479">
        <v>3</v>
      </c>
      <c r="I1479">
        <v>888</v>
      </c>
      <c r="J1479">
        <v>2020</v>
      </c>
      <c r="K1479" s="4">
        <v>44731</v>
      </c>
      <c r="L1479" t="s">
        <v>20</v>
      </c>
      <c r="M1479" t="s">
        <v>78</v>
      </c>
      <c r="N1479">
        <v>2.8</v>
      </c>
      <c r="O1479">
        <v>1360</v>
      </c>
      <c r="P1479">
        <v>1.02</v>
      </c>
      <c r="Q1479">
        <v>114</v>
      </c>
      <c r="R1479">
        <v>566</v>
      </c>
    </row>
    <row r="1480" spans="1:18" x14ac:dyDescent="0.2">
      <c r="A1480">
        <v>3</v>
      </c>
      <c r="B1480" t="s">
        <v>84</v>
      </c>
      <c r="E1480" t="s">
        <v>51</v>
      </c>
      <c r="F1480">
        <v>953116</v>
      </c>
      <c r="G1480">
        <v>3</v>
      </c>
      <c r="H1480">
        <v>3</v>
      </c>
      <c r="I1480">
        <v>802</v>
      </c>
      <c r="J1480">
        <v>2009</v>
      </c>
      <c r="K1480" s="4">
        <v>45034</v>
      </c>
      <c r="L1480" t="s">
        <v>26</v>
      </c>
      <c r="M1480" t="s">
        <v>40</v>
      </c>
      <c r="N1480">
        <v>1.91</v>
      </c>
      <c r="O1480">
        <v>1523</v>
      </c>
      <c r="P1480">
        <v>4.9400000000000004</v>
      </c>
      <c r="Q1480">
        <v>283</v>
      </c>
      <c r="R1480">
        <v>637</v>
      </c>
    </row>
    <row r="1481" spans="1:18" x14ac:dyDescent="0.2">
      <c r="A1481">
        <v>0</v>
      </c>
      <c r="B1481" t="s">
        <v>100</v>
      </c>
      <c r="E1481" t="s">
        <v>19</v>
      </c>
      <c r="F1481">
        <v>2709488</v>
      </c>
      <c r="G1481">
        <v>3</v>
      </c>
      <c r="H1481">
        <v>1</v>
      </c>
      <c r="I1481">
        <v>161</v>
      </c>
      <c r="J1481">
        <v>1954</v>
      </c>
      <c r="K1481" s="4">
        <v>45572</v>
      </c>
      <c r="L1481" t="s">
        <v>26</v>
      </c>
      <c r="M1481" t="s">
        <v>52</v>
      </c>
      <c r="N1481">
        <v>2.61</v>
      </c>
      <c r="O1481">
        <v>2278</v>
      </c>
      <c r="P1481">
        <v>4.3</v>
      </c>
      <c r="Q1481">
        <v>133</v>
      </c>
      <c r="R1481">
        <v>405</v>
      </c>
    </row>
    <row r="1482" spans="1:18" x14ac:dyDescent="0.2">
      <c r="A1482">
        <v>1</v>
      </c>
      <c r="B1482" t="s">
        <v>18</v>
      </c>
      <c r="E1482" t="s">
        <v>36</v>
      </c>
      <c r="F1482">
        <v>1967167</v>
      </c>
      <c r="G1482">
        <v>2</v>
      </c>
      <c r="H1482">
        <v>3</v>
      </c>
      <c r="I1482">
        <v>632</v>
      </c>
      <c r="J1482">
        <v>1981</v>
      </c>
      <c r="K1482" s="4">
        <v>44173</v>
      </c>
      <c r="L1482" t="s">
        <v>26</v>
      </c>
      <c r="M1482" t="s">
        <v>97</v>
      </c>
      <c r="N1482">
        <v>2.96</v>
      </c>
      <c r="O1482">
        <v>854</v>
      </c>
      <c r="P1482">
        <v>1.73</v>
      </c>
      <c r="Q1482">
        <v>174</v>
      </c>
      <c r="R1482">
        <v>650</v>
      </c>
    </row>
    <row r="1483" spans="1:18" x14ac:dyDescent="0.2">
      <c r="A1483">
        <v>7</v>
      </c>
      <c r="B1483" t="s">
        <v>93</v>
      </c>
      <c r="E1483" t="s">
        <v>51</v>
      </c>
      <c r="F1483">
        <v>2502464</v>
      </c>
      <c r="G1483">
        <v>2</v>
      </c>
      <c r="H1483">
        <v>3</v>
      </c>
      <c r="I1483">
        <v>585</v>
      </c>
      <c r="J1483">
        <v>1992</v>
      </c>
      <c r="K1483" s="4">
        <v>44691</v>
      </c>
      <c r="L1483" t="s">
        <v>23</v>
      </c>
      <c r="M1483" t="s">
        <v>77</v>
      </c>
      <c r="N1483">
        <v>3.23</v>
      </c>
      <c r="O1483">
        <v>1911</v>
      </c>
      <c r="P1483">
        <v>0.64</v>
      </c>
      <c r="Q1483">
        <v>138</v>
      </c>
      <c r="R1483">
        <v>571</v>
      </c>
    </row>
    <row r="1484" spans="1:18" x14ac:dyDescent="0.2">
      <c r="A1484">
        <v>6</v>
      </c>
      <c r="B1484" t="s">
        <v>92</v>
      </c>
      <c r="E1484" t="s">
        <v>51</v>
      </c>
      <c r="F1484">
        <v>1269182</v>
      </c>
      <c r="G1484">
        <v>2</v>
      </c>
      <c r="H1484">
        <v>3</v>
      </c>
      <c r="I1484">
        <v>253</v>
      </c>
      <c r="J1484">
        <v>2001</v>
      </c>
      <c r="K1484" s="4">
        <v>45098</v>
      </c>
      <c r="L1484" t="s">
        <v>20</v>
      </c>
      <c r="M1484" t="s">
        <v>68</v>
      </c>
      <c r="N1484">
        <v>2.65</v>
      </c>
      <c r="O1484">
        <v>2258</v>
      </c>
      <c r="P1484">
        <v>0.59</v>
      </c>
      <c r="Q1484">
        <v>209</v>
      </c>
      <c r="R1484">
        <v>457</v>
      </c>
    </row>
    <row r="1485" spans="1:18" x14ac:dyDescent="0.2">
      <c r="A1485">
        <v>1</v>
      </c>
      <c r="B1485" t="s">
        <v>81</v>
      </c>
      <c r="E1485" t="s">
        <v>29</v>
      </c>
      <c r="F1485">
        <v>661980</v>
      </c>
      <c r="G1485">
        <v>2</v>
      </c>
      <c r="H1485">
        <v>1</v>
      </c>
      <c r="I1485">
        <v>391</v>
      </c>
      <c r="J1485">
        <v>1999</v>
      </c>
      <c r="K1485" s="4">
        <v>44598</v>
      </c>
      <c r="L1485" t="s">
        <v>26</v>
      </c>
      <c r="M1485" t="s">
        <v>47</v>
      </c>
      <c r="N1485">
        <v>1.67</v>
      </c>
      <c r="O1485">
        <v>2039</v>
      </c>
      <c r="P1485">
        <v>3.88</v>
      </c>
      <c r="Q1485">
        <v>41</v>
      </c>
      <c r="R1485">
        <v>343</v>
      </c>
    </row>
    <row r="1486" spans="1:18" x14ac:dyDescent="0.2">
      <c r="A1486">
        <v>8</v>
      </c>
      <c r="B1486" t="s">
        <v>86</v>
      </c>
      <c r="E1486" t="s">
        <v>19</v>
      </c>
      <c r="F1486">
        <v>1748043</v>
      </c>
      <c r="G1486">
        <v>3</v>
      </c>
      <c r="H1486">
        <v>2</v>
      </c>
      <c r="I1486">
        <v>437</v>
      </c>
      <c r="J1486">
        <v>2005</v>
      </c>
      <c r="K1486" s="4">
        <v>45405</v>
      </c>
      <c r="L1486" t="s">
        <v>23</v>
      </c>
      <c r="M1486" t="s">
        <v>76</v>
      </c>
      <c r="N1486">
        <v>2.97</v>
      </c>
      <c r="O1486">
        <v>1276</v>
      </c>
      <c r="P1486">
        <v>0.69</v>
      </c>
      <c r="Q1486">
        <v>216</v>
      </c>
      <c r="R1486">
        <v>309</v>
      </c>
    </row>
    <row r="1487" spans="1:18" x14ac:dyDescent="0.2">
      <c r="A1487">
        <v>2</v>
      </c>
      <c r="B1487" t="s">
        <v>83</v>
      </c>
      <c r="E1487" t="s">
        <v>19</v>
      </c>
      <c r="F1487">
        <v>1148586</v>
      </c>
      <c r="G1487">
        <v>1</v>
      </c>
      <c r="H1487">
        <v>3</v>
      </c>
      <c r="I1487">
        <v>972</v>
      </c>
      <c r="J1487">
        <v>2005</v>
      </c>
      <c r="K1487" s="4">
        <v>45382</v>
      </c>
      <c r="L1487" t="s">
        <v>30</v>
      </c>
      <c r="M1487" t="s">
        <v>54</v>
      </c>
      <c r="N1487">
        <v>1.99</v>
      </c>
      <c r="O1487">
        <v>1929</v>
      </c>
      <c r="P1487">
        <v>3.84</v>
      </c>
      <c r="Q1487">
        <v>88</v>
      </c>
      <c r="R1487">
        <v>431</v>
      </c>
    </row>
    <row r="1488" spans="1:18" x14ac:dyDescent="0.2">
      <c r="A1488">
        <v>6</v>
      </c>
      <c r="B1488" t="s">
        <v>25</v>
      </c>
      <c r="E1488" t="s">
        <v>36</v>
      </c>
      <c r="F1488">
        <v>2705447</v>
      </c>
      <c r="G1488">
        <v>6</v>
      </c>
      <c r="H1488">
        <v>1</v>
      </c>
      <c r="I1488">
        <v>509</v>
      </c>
      <c r="J1488">
        <v>2022</v>
      </c>
      <c r="K1488" s="4">
        <v>45711</v>
      </c>
      <c r="L1488" t="s">
        <v>20</v>
      </c>
      <c r="M1488" t="s">
        <v>69</v>
      </c>
      <c r="N1488">
        <v>2.6</v>
      </c>
      <c r="O1488">
        <v>1652</v>
      </c>
      <c r="P1488">
        <v>0.74</v>
      </c>
      <c r="Q1488">
        <v>340</v>
      </c>
      <c r="R1488">
        <v>439</v>
      </c>
    </row>
    <row r="1489" spans="1:18" x14ac:dyDescent="0.2">
      <c r="A1489">
        <v>1</v>
      </c>
      <c r="B1489" t="s">
        <v>22</v>
      </c>
      <c r="E1489" t="s">
        <v>51</v>
      </c>
      <c r="F1489">
        <v>1651618</v>
      </c>
      <c r="G1489">
        <v>3</v>
      </c>
      <c r="H1489">
        <v>3</v>
      </c>
      <c r="I1489">
        <v>271</v>
      </c>
      <c r="J1489">
        <v>1991</v>
      </c>
      <c r="K1489" s="4">
        <v>45326</v>
      </c>
      <c r="L1489" t="s">
        <v>20</v>
      </c>
      <c r="M1489" t="s">
        <v>47</v>
      </c>
      <c r="N1489">
        <v>2.68</v>
      </c>
      <c r="O1489">
        <v>1870</v>
      </c>
      <c r="P1489">
        <v>2.79</v>
      </c>
      <c r="Q1489">
        <v>115</v>
      </c>
      <c r="R1489">
        <v>499</v>
      </c>
    </row>
    <row r="1490" spans="1:18" x14ac:dyDescent="0.2">
      <c r="A1490">
        <v>3</v>
      </c>
      <c r="B1490" t="s">
        <v>46</v>
      </c>
      <c r="E1490" t="s">
        <v>36</v>
      </c>
      <c r="F1490">
        <v>1898380</v>
      </c>
      <c r="G1490">
        <v>4</v>
      </c>
      <c r="H1490">
        <v>1</v>
      </c>
      <c r="I1490">
        <v>689</v>
      </c>
      <c r="J1490">
        <v>1966</v>
      </c>
      <c r="K1490" s="4">
        <v>44936</v>
      </c>
      <c r="L1490" t="s">
        <v>20</v>
      </c>
      <c r="M1490" t="s">
        <v>42</v>
      </c>
      <c r="N1490">
        <v>3.16</v>
      </c>
      <c r="O1490">
        <v>1916</v>
      </c>
      <c r="P1490">
        <v>3.88</v>
      </c>
      <c r="Q1490">
        <v>333</v>
      </c>
      <c r="R1490">
        <v>351</v>
      </c>
    </row>
    <row r="1491" spans="1:18" x14ac:dyDescent="0.2">
      <c r="A1491">
        <v>9</v>
      </c>
      <c r="B1491" t="s">
        <v>99</v>
      </c>
      <c r="E1491" t="s">
        <v>51</v>
      </c>
      <c r="F1491">
        <v>1722986</v>
      </c>
      <c r="G1491">
        <v>1</v>
      </c>
      <c r="H1491">
        <v>2</v>
      </c>
      <c r="I1491">
        <v>458</v>
      </c>
      <c r="J1491">
        <v>1964</v>
      </c>
      <c r="K1491" s="4">
        <v>45822</v>
      </c>
      <c r="L1491" t="s">
        <v>26</v>
      </c>
      <c r="M1491" t="s">
        <v>31</v>
      </c>
      <c r="N1491">
        <v>1.94</v>
      </c>
      <c r="O1491">
        <v>1482</v>
      </c>
      <c r="P1491">
        <v>0.26</v>
      </c>
      <c r="Q1491">
        <v>127</v>
      </c>
      <c r="R1491">
        <v>450</v>
      </c>
    </row>
    <row r="1492" spans="1:18" x14ac:dyDescent="0.2">
      <c r="A1492">
        <v>2</v>
      </c>
      <c r="B1492" t="s">
        <v>55</v>
      </c>
      <c r="E1492" t="s">
        <v>36</v>
      </c>
      <c r="F1492">
        <v>915515</v>
      </c>
      <c r="G1492">
        <v>1</v>
      </c>
      <c r="H1492">
        <v>1</v>
      </c>
      <c r="I1492">
        <v>405</v>
      </c>
      <c r="J1492">
        <v>2022</v>
      </c>
      <c r="K1492" s="4">
        <v>44962</v>
      </c>
      <c r="L1492" t="s">
        <v>30</v>
      </c>
      <c r="M1492" t="s">
        <v>97</v>
      </c>
      <c r="N1492">
        <v>2.93</v>
      </c>
      <c r="O1492">
        <v>2004</v>
      </c>
      <c r="P1492">
        <v>4.03</v>
      </c>
      <c r="Q1492">
        <v>127</v>
      </c>
      <c r="R1492">
        <v>499</v>
      </c>
    </row>
    <row r="1493" spans="1:18" x14ac:dyDescent="0.2">
      <c r="A1493">
        <v>9</v>
      </c>
      <c r="B1493" t="s">
        <v>25</v>
      </c>
      <c r="E1493" t="s">
        <v>19</v>
      </c>
      <c r="F1493">
        <v>1210682</v>
      </c>
      <c r="G1493">
        <v>2</v>
      </c>
      <c r="H1493">
        <v>1</v>
      </c>
      <c r="I1493">
        <v>935</v>
      </c>
      <c r="J1493">
        <v>1986</v>
      </c>
      <c r="K1493" s="4">
        <v>44181</v>
      </c>
      <c r="L1493" t="s">
        <v>26</v>
      </c>
      <c r="M1493" t="s">
        <v>45</v>
      </c>
      <c r="N1493">
        <v>1.87</v>
      </c>
      <c r="O1493">
        <v>2253</v>
      </c>
      <c r="P1493">
        <v>4.54</v>
      </c>
      <c r="Q1493">
        <v>141</v>
      </c>
      <c r="R1493">
        <v>523</v>
      </c>
    </row>
    <row r="1494" spans="1:18" x14ac:dyDescent="0.2">
      <c r="A1494">
        <v>2</v>
      </c>
      <c r="B1494" t="s">
        <v>105</v>
      </c>
      <c r="E1494" t="s">
        <v>19</v>
      </c>
      <c r="F1494">
        <v>668809</v>
      </c>
      <c r="G1494">
        <v>2</v>
      </c>
      <c r="H1494">
        <v>2</v>
      </c>
      <c r="I1494">
        <v>641</v>
      </c>
      <c r="J1494">
        <v>1980</v>
      </c>
      <c r="K1494" s="4">
        <v>45705</v>
      </c>
      <c r="L1494" t="s">
        <v>23</v>
      </c>
      <c r="M1494" t="s">
        <v>78</v>
      </c>
      <c r="N1494">
        <v>1.96</v>
      </c>
      <c r="O1494">
        <v>884</v>
      </c>
      <c r="P1494">
        <v>2.6</v>
      </c>
      <c r="Q1494">
        <v>130</v>
      </c>
      <c r="R1494">
        <v>660</v>
      </c>
    </row>
    <row r="1495" spans="1:18" x14ac:dyDescent="0.2">
      <c r="A1495">
        <v>9</v>
      </c>
      <c r="B1495" t="s">
        <v>93</v>
      </c>
      <c r="E1495" t="s">
        <v>29</v>
      </c>
      <c r="F1495">
        <v>2393073</v>
      </c>
      <c r="G1495">
        <v>2</v>
      </c>
      <c r="H1495">
        <v>1</v>
      </c>
      <c r="I1495">
        <v>304</v>
      </c>
      <c r="J1495">
        <v>1994</v>
      </c>
      <c r="K1495" s="4">
        <v>45246</v>
      </c>
      <c r="L1495" t="s">
        <v>23</v>
      </c>
      <c r="M1495" t="s">
        <v>76</v>
      </c>
      <c r="N1495">
        <v>2.06</v>
      </c>
      <c r="O1495">
        <v>2490</v>
      </c>
      <c r="P1495">
        <v>1.37</v>
      </c>
      <c r="Q1495">
        <v>134</v>
      </c>
      <c r="R1495">
        <v>580</v>
      </c>
    </row>
    <row r="1496" spans="1:18" x14ac:dyDescent="0.2">
      <c r="A1496">
        <v>5</v>
      </c>
      <c r="B1496" t="s">
        <v>64</v>
      </c>
      <c r="E1496" t="s">
        <v>29</v>
      </c>
      <c r="F1496">
        <v>796856</v>
      </c>
      <c r="G1496">
        <v>4</v>
      </c>
      <c r="H1496">
        <v>2</v>
      </c>
      <c r="I1496">
        <v>296</v>
      </c>
      <c r="J1496">
        <v>1974</v>
      </c>
      <c r="K1496" s="4">
        <v>44806</v>
      </c>
      <c r="L1496" t="s">
        <v>26</v>
      </c>
      <c r="M1496" t="s">
        <v>77</v>
      </c>
      <c r="N1496">
        <v>2.95</v>
      </c>
      <c r="O1496">
        <v>1707</v>
      </c>
      <c r="P1496">
        <v>3.61</v>
      </c>
      <c r="Q1496">
        <v>250</v>
      </c>
      <c r="R1496">
        <v>381</v>
      </c>
    </row>
    <row r="1497" spans="1:18" x14ac:dyDescent="0.2">
      <c r="A1497">
        <v>2</v>
      </c>
      <c r="B1497" t="s">
        <v>104</v>
      </c>
      <c r="E1497" t="s">
        <v>29</v>
      </c>
      <c r="F1497">
        <v>1001326</v>
      </c>
      <c r="G1497">
        <v>2</v>
      </c>
      <c r="H1497">
        <v>2</v>
      </c>
      <c r="I1497">
        <v>66</v>
      </c>
      <c r="J1497">
        <v>1955</v>
      </c>
      <c r="K1497" s="4">
        <v>45063</v>
      </c>
      <c r="L1497" t="s">
        <v>30</v>
      </c>
      <c r="M1497" t="s">
        <v>24</v>
      </c>
      <c r="N1497">
        <v>1.87</v>
      </c>
      <c r="O1497">
        <v>1237</v>
      </c>
      <c r="P1497">
        <v>3.25</v>
      </c>
      <c r="Q1497">
        <v>115</v>
      </c>
      <c r="R1497">
        <v>364</v>
      </c>
    </row>
    <row r="1498" spans="1:18" x14ac:dyDescent="0.2">
      <c r="A1498">
        <v>3</v>
      </c>
      <c r="B1498" t="s">
        <v>55</v>
      </c>
      <c r="E1498" t="s">
        <v>19</v>
      </c>
      <c r="F1498">
        <v>407069</v>
      </c>
      <c r="G1498">
        <v>2</v>
      </c>
      <c r="H1498">
        <v>2</v>
      </c>
      <c r="I1498">
        <v>100</v>
      </c>
      <c r="J1498">
        <v>1996</v>
      </c>
      <c r="K1498" s="4">
        <v>44555</v>
      </c>
      <c r="L1498" t="s">
        <v>30</v>
      </c>
      <c r="M1498" t="s">
        <v>35</v>
      </c>
      <c r="N1498">
        <v>2.96</v>
      </c>
      <c r="O1498">
        <v>1317</v>
      </c>
      <c r="P1498">
        <v>4.9000000000000004</v>
      </c>
      <c r="Q1498">
        <v>166</v>
      </c>
      <c r="R1498">
        <v>512</v>
      </c>
    </row>
    <row r="1499" spans="1:18" x14ac:dyDescent="0.2">
      <c r="A1499">
        <v>9</v>
      </c>
      <c r="B1499" t="s">
        <v>71</v>
      </c>
      <c r="E1499" t="s">
        <v>29</v>
      </c>
      <c r="F1499">
        <v>1574345</v>
      </c>
      <c r="G1499">
        <v>0</v>
      </c>
      <c r="H1499">
        <v>2</v>
      </c>
      <c r="I1499">
        <v>1000</v>
      </c>
      <c r="J1499">
        <v>2014</v>
      </c>
      <c r="K1499" s="4">
        <v>44165</v>
      </c>
      <c r="L1499" t="s">
        <v>30</v>
      </c>
      <c r="M1499" t="s">
        <v>68</v>
      </c>
      <c r="N1499">
        <v>3.25</v>
      </c>
      <c r="O1499">
        <v>1368</v>
      </c>
      <c r="P1499">
        <v>2.75</v>
      </c>
      <c r="Q1499">
        <v>60</v>
      </c>
      <c r="R1499">
        <v>472</v>
      </c>
    </row>
    <row r="1500" spans="1:18" x14ac:dyDescent="0.2">
      <c r="A1500">
        <v>1</v>
      </c>
      <c r="B1500" t="s">
        <v>91</v>
      </c>
      <c r="E1500" t="s">
        <v>36</v>
      </c>
      <c r="F1500">
        <v>1054572</v>
      </c>
      <c r="G1500">
        <v>3</v>
      </c>
      <c r="H1500">
        <v>2</v>
      </c>
      <c r="I1500">
        <v>701</v>
      </c>
      <c r="J1500">
        <v>1986</v>
      </c>
      <c r="K1500" s="4">
        <v>44587</v>
      </c>
      <c r="L1500" t="s">
        <v>26</v>
      </c>
      <c r="M1500" t="s">
        <v>24</v>
      </c>
      <c r="N1500">
        <v>3.09</v>
      </c>
      <c r="O1500">
        <v>2145</v>
      </c>
      <c r="P1500">
        <v>4.4800000000000004</v>
      </c>
      <c r="Q1500">
        <v>163</v>
      </c>
      <c r="R1500">
        <v>562</v>
      </c>
    </row>
    <row r="1501" spans="1:18" x14ac:dyDescent="0.2">
      <c r="A1501">
        <v>2</v>
      </c>
      <c r="B1501" t="s">
        <v>53</v>
      </c>
      <c r="E1501" t="s">
        <v>36</v>
      </c>
      <c r="F1501">
        <v>2809214</v>
      </c>
      <c r="G1501">
        <v>1</v>
      </c>
      <c r="H1501">
        <v>2</v>
      </c>
      <c r="I1501">
        <v>471</v>
      </c>
      <c r="J1501">
        <v>2004</v>
      </c>
      <c r="K1501" s="4">
        <v>45602</v>
      </c>
      <c r="L1501" t="s">
        <v>26</v>
      </c>
      <c r="M1501" t="s">
        <v>24</v>
      </c>
      <c r="N1501">
        <v>1.74</v>
      </c>
      <c r="O1501">
        <v>2430</v>
      </c>
      <c r="P1501">
        <v>1.65</v>
      </c>
      <c r="Q1501">
        <v>50</v>
      </c>
      <c r="R1501">
        <v>680</v>
      </c>
    </row>
    <row r="1502" spans="1:18" x14ac:dyDescent="0.2">
      <c r="A1502">
        <v>8</v>
      </c>
      <c r="B1502" t="s">
        <v>96</v>
      </c>
      <c r="E1502" t="s">
        <v>51</v>
      </c>
      <c r="F1502">
        <v>2371277</v>
      </c>
      <c r="G1502">
        <v>2</v>
      </c>
      <c r="H1502">
        <v>3</v>
      </c>
      <c r="I1502">
        <v>734</v>
      </c>
      <c r="J1502">
        <v>1983</v>
      </c>
      <c r="K1502" s="4">
        <v>44907</v>
      </c>
      <c r="L1502" t="s">
        <v>26</v>
      </c>
      <c r="M1502" t="s">
        <v>45</v>
      </c>
      <c r="N1502">
        <v>1.89</v>
      </c>
      <c r="O1502">
        <v>980</v>
      </c>
      <c r="P1502">
        <v>0.65</v>
      </c>
      <c r="Q1502">
        <v>111</v>
      </c>
      <c r="R1502">
        <v>683</v>
      </c>
    </row>
    <row r="1503" spans="1:18" x14ac:dyDescent="0.2">
      <c r="A1503">
        <v>7</v>
      </c>
      <c r="B1503" t="s">
        <v>83</v>
      </c>
      <c r="E1503" t="s">
        <v>19</v>
      </c>
      <c r="F1503">
        <v>2803283</v>
      </c>
      <c r="G1503">
        <v>4</v>
      </c>
      <c r="H1503">
        <v>2</v>
      </c>
      <c r="I1503">
        <v>152</v>
      </c>
      <c r="J1503">
        <v>1975</v>
      </c>
      <c r="K1503" s="4">
        <v>45328</v>
      </c>
      <c r="L1503" t="s">
        <v>26</v>
      </c>
      <c r="M1503" t="s">
        <v>54</v>
      </c>
      <c r="N1503">
        <v>1.71</v>
      </c>
      <c r="O1503">
        <v>2293</v>
      </c>
      <c r="P1503">
        <v>2.41</v>
      </c>
      <c r="Q1503">
        <v>373</v>
      </c>
      <c r="R1503">
        <v>337</v>
      </c>
    </row>
    <row r="1504" spans="1:18" x14ac:dyDescent="0.2">
      <c r="A1504">
        <v>5</v>
      </c>
      <c r="B1504" t="s">
        <v>88</v>
      </c>
      <c r="E1504" t="s">
        <v>29</v>
      </c>
      <c r="F1504">
        <v>1378724</v>
      </c>
      <c r="G1504">
        <v>3</v>
      </c>
      <c r="H1504">
        <v>3</v>
      </c>
      <c r="I1504">
        <v>362</v>
      </c>
      <c r="J1504">
        <v>1998</v>
      </c>
      <c r="K1504" s="4">
        <v>45580</v>
      </c>
      <c r="L1504" t="s">
        <v>30</v>
      </c>
      <c r="M1504" t="s">
        <v>68</v>
      </c>
      <c r="N1504">
        <v>2.69</v>
      </c>
      <c r="O1504">
        <v>1970</v>
      </c>
      <c r="P1504">
        <v>3.66</v>
      </c>
      <c r="Q1504">
        <v>280</v>
      </c>
      <c r="R1504">
        <v>520</v>
      </c>
    </row>
    <row r="1505" spans="1:18" x14ac:dyDescent="0.2">
      <c r="A1505">
        <v>3</v>
      </c>
      <c r="B1505" t="s">
        <v>101</v>
      </c>
      <c r="E1505" t="s">
        <v>36</v>
      </c>
      <c r="F1505">
        <v>1543327</v>
      </c>
      <c r="G1505">
        <v>0</v>
      </c>
      <c r="H1505">
        <v>2</v>
      </c>
      <c r="I1505">
        <v>162</v>
      </c>
      <c r="J1505">
        <v>1957</v>
      </c>
      <c r="K1505" s="4">
        <v>44357</v>
      </c>
      <c r="L1505" t="s">
        <v>30</v>
      </c>
      <c r="M1505" t="s">
        <v>40</v>
      </c>
      <c r="N1505">
        <v>3.19</v>
      </c>
      <c r="O1505">
        <v>1256</v>
      </c>
      <c r="P1505">
        <v>0.69</v>
      </c>
      <c r="Q1505">
        <v>77</v>
      </c>
      <c r="R1505">
        <v>447</v>
      </c>
    </row>
    <row r="1506" spans="1:18" x14ac:dyDescent="0.2">
      <c r="A1506">
        <v>2</v>
      </c>
      <c r="B1506" t="s">
        <v>71</v>
      </c>
      <c r="E1506" t="s">
        <v>19</v>
      </c>
      <c r="F1506">
        <v>2686332</v>
      </c>
      <c r="G1506">
        <v>4</v>
      </c>
      <c r="H1506">
        <v>3</v>
      </c>
      <c r="I1506">
        <v>833</v>
      </c>
      <c r="J1506">
        <v>1952</v>
      </c>
      <c r="K1506" s="4">
        <v>45004</v>
      </c>
      <c r="L1506" t="s">
        <v>20</v>
      </c>
      <c r="M1506" t="s">
        <v>59</v>
      </c>
      <c r="N1506">
        <v>1.72</v>
      </c>
      <c r="O1506">
        <v>904</v>
      </c>
      <c r="P1506">
        <v>2.13</v>
      </c>
      <c r="Q1506">
        <v>235</v>
      </c>
      <c r="R1506">
        <v>690</v>
      </c>
    </row>
    <row r="1507" spans="1:18" x14ac:dyDescent="0.2">
      <c r="A1507">
        <v>0</v>
      </c>
      <c r="B1507" t="s">
        <v>105</v>
      </c>
      <c r="E1507" t="s">
        <v>51</v>
      </c>
      <c r="F1507">
        <v>2287433</v>
      </c>
      <c r="G1507">
        <v>2</v>
      </c>
      <c r="H1507">
        <v>1</v>
      </c>
      <c r="I1507">
        <v>522</v>
      </c>
      <c r="J1507">
        <v>1953</v>
      </c>
      <c r="K1507" s="4">
        <v>44978</v>
      </c>
      <c r="L1507" t="s">
        <v>26</v>
      </c>
      <c r="M1507" t="s">
        <v>42</v>
      </c>
      <c r="N1507">
        <v>2.79</v>
      </c>
      <c r="O1507">
        <v>845</v>
      </c>
      <c r="P1507">
        <v>1.79</v>
      </c>
      <c r="Q1507">
        <v>170</v>
      </c>
      <c r="R1507">
        <v>649</v>
      </c>
    </row>
    <row r="1508" spans="1:18" x14ac:dyDescent="0.2">
      <c r="A1508">
        <v>3</v>
      </c>
      <c r="B1508" t="s">
        <v>84</v>
      </c>
      <c r="E1508" t="s">
        <v>51</v>
      </c>
      <c r="F1508">
        <v>1271800</v>
      </c>
      <c r="G1508">
        <v>2</v>
      </c>
      <c r="H1508">
        <v>2</v>
      </c>
      <c r="I1508">
        <v>499</v>
      </c>
      <c r="J1508">
        <v>2004</v>
      </c>
      <c r="K1508" s="4">
        <v>44882</v>
      </c>
      <c r="L1508" t="s">
        <v>26</v>
      </c>
      <c r="M1508" t="s">
        <v>77</v>
      </c>
      <c r="N1508">
        <v>2.59</v>
      </c>
      <c r="O1508">
        <v>1365</v>
      </c>
      <c r="P1508">
        <v>2.54</v>
      </c>
      <c r="Q1508">
        <v>117</v>
      </c>
      <c r="R1508">
        <v>314</v>
      </c>
    </row>
    <row r="1509" spans="1:18" x14ac:dyDescent="0.2">
      <c r="A1509">
        <v>6</v>
      </c>
      <c r="B1509" t="s">
        <v>48</v>
      </c>
      <c r="E1509" t="s">
        <v>36</v>
      </c>
      <c r="F1509">
        <v>667414</v>
      </c>
      <c r="G1509">
        <v>2</v>
      </c>
      <c r="H1509">
        <v>1</v>
      </c>
      <c r="I1509">
        <v>111</v>
      </c>
      <c r="J1509">
        <v>1974</v>
      </c>
      <c r="K1509" s="4">
        <v>45400</v>
      </c>
      <c r="L1509" t="s">
        <v>23</v>
      </c>
      <c r="M1509" t="s">
        <v>77</v>
      </c>
      <c r="N1509">
        <v>3.38</v>
      </c>
      <c r="O1509">
        <v>1007</v>
      </c>
      <c r="P1509">
        <v>3.59</v>
      </c>
      <c r="Q1509">
        <v>132</v>
      </c>
      <c r="R1509">
        <v>345</v>
      </c>
    </row>
    <row r="1510" spans="1:18" x14ac:dyDescent="0.2">
      <c r="A1510">
        <v>4</v>
      </c>
      <c r="B1510" t="s">
        <v>96</v>
      </c>
      <c r="E1510" t="s">
        <v>29</v>
      </c>
      <c r="F1510">
        <v>465519</v>
      </c>
      <c r="G1510">
        <v>5</v>
      </c>
      <c r="H1510">
        <v>1</v>
      </c>
      <c r="I1510">
        <v>801</v>
      </c>
      <c r="J1510">
        <v>1960</v>
      </c>
      <c r="K1510" s="4">
        <v>45118</v>
      </c>
      <c r="L1510" t="s">
        <v>30</v>
      </c>
      <c r="M1510" t="s">
        <v>12</v>
      </c>
      <c r="N1510">
        <v>3.15</v>
      </c>
      <c r="O1510">
        <v>1443</v>
      </c>
      <c r="P1510">
        <v>4.9800000000000004</v>
      </c>
      <c r="Q1510">
        <v>381</v>
      </c>
      <c r="R1510">
        <v>430</v>
      </c>
    </row>
    <row r="1511" spans="1:18" x14ac:dyDescent="0.2">
      <c r="A1511">
        <v>1</v>
      </c>
      <c r="B1511" t="s">
        <v>87</v>
      </c>
      <c r="E1511" t="s">
        <v>51</v>
      </c>
      <c r="F1511">
        <v>1753338</v>
      </c>
      <c r="G1511">
        <v>4</v>
      </c>
      <c r="H1511">
        <v>1</v>
      </c>
      <c r="I1511">
        <v>675</v>
      </c>
      <c r="J1511">
        <v>1988</v>
      </c>
      <c r="K1511" s="4">
        <v>44094</v>
      </c>
      <c r="L1511" t="s">
        <v>30</v>
      </c>
      <c r="M1511" t="s">
        <v>37</v>
      </c>
      <c r="N1511">
        <v>2.5</v>
      </c>
      <c r="O1511">
        <v>908</v>
      </c>
      <c r="P1511">
        <v>4.0999999999999996</v>
      </c>
      <c r="Q1511">
        <v>217</v>
      </c>
      <c r="R1511">
        <v>687</v>
      </c>
    </row>
    <row r="1512" spans="1:18" x14ac:dyDescent="0.2">
      <c r="A1512">
        <v>2</v>
      </c>
      <c r="B1512" t="s">
        <v>48</v>
      </c>
      <c r="E1512" t="s">
        <v>36</v>
      </c>
      <c r="F1512">
        <v>1357555</v>
      </c>
      <c r="G1512">
        <v>2</v>
      </c>
      <c r="H1512">
        <v>2</v>
      </c>
      <c r="I1512">
        <v>903</v>
      </c>
      <c r="J1512">
        <v>1998</v>
      </c>
      <c r="K1512" s="4">
        <v>45408</v>
      </c>
      <c r="L1512" t="s">
        <v>20</v>
      </c>
      <c r="M1512" t="s">
        <v>89</v>
      </c>
      <c r="N1512">
        <v>2.2000000000000002</v>
      </c>
      <c r="O1512">
        <v>896</v>
      </c>
      <c r="P1512">
        <v>2.0499999999999998</v>
      </c>
      <c r="Q1512">
        <v>58</v>
      </c>
      <c r="R1512">
        <v>483</v>
      </c>
    </row>
    <row r="1513" spans="1:18" x14ac:dyDescent="0.2">
      <c r="A1513">
        <v>4</v>
      </c>
      <c r="B1513" t="s">
        <v>95</v>
      </c>
      <c r="E1513" t="s">
        <v>19</v>
      </c>
      <c r="F1513">
        <v>1349439</v>
      </c>
      <c r="G1513">
        <v>2</v>
      </c>
      <c r="H1513">
        <v>3</v>
      </c>
      <c r="I1513">
        <v>422</v>
      </c>
      <c r="J1513">
        <v>1979</v>
      </c>
      <c r="K1513" s="4">
        <v>44774</v>
      </c>
      <c r="L1513" t="s">
        <v>20</v>
      </c>
      <c r="M1513" t="s">
        <v>42</v>
      </c>
      <c r="N1513">
        <v>2.12</v>
      </c>
      <c r="O1513">
        <v>994</v>
      </c>
      <c r="P1513">
        <v>1.71</v>
      </c>
      <c r="Q1513">
        <v>174</v>
      </c>
      <c r="R1513">
        <v>641</v>
      </c>
    </row>
    <row r="1514" spans="1:18" x14ac:dyDescent="0.2">
      <c r="A1514">
        <v>9</v>
      </c>
      <c r="B1514" t="s">
        <v>49</v>
      </c>
      <c r="E1514" t="s">
        <v>29</v>
      </c>
      <c r="F1514">
        <v>1733601</v>
      </c>
      <c r="G1514">
        <v>4</v>
      </c>
      <c r="H1514">
        <v>3</v>
      </c>
      <c r="I1514">
        <v>972</v>
      </c>
      <c r="J1514">
        <v>1988</v>
      </c>
      <c r="K1514" s="4">
        <v>44842</v>
      </c>
      <c r="L1514" t="s">
        <v>20</v>
      </c>
      <c r="M1514" t="s">
        <v>47</v>
      </c>
      <c r="N1514">
        <v>2.0299999999999998</v>
      </c>
      <c r="O1514">
        <v>2124</v>
      </c>
      <c r="P1514">
        <v>0.75</v>
      </c>
      <c r="Q1514">
        <v>199</v>
      </c>
      <c r="R1514">
        <v>585</v>
      </c>
    </row>
    <row r="1515" spans="1:18" x14ac:dyDescent="0.2">
      <c r="A1515">
        <v>5</v>
      </c>
      <c r="B1515" t="s">
        <v>22</v>
      </c>
      <c r="E1515" t="s">
        <v>36</v>
      </c>
      <c r="F1515">
        <v>1599238</v>
      </c>
      <c r="G1515">
        <v>2</v>
      </c>
      <c r="H1515">
        <v>1</v>
      </c>
      <c r="I1515">
        <v>463</v>
      </c>
      <c r="J1515">
        <v>2005</v>
      </c>
      <c r="K1515" s="4">
        <v>44978</v>
      </c>
      <c r="L1515" t="s">
        <v>30</v>
      </c>
      <c r="M1515" t="s">
        <v>54</v>
      </c>
      <c r="N1515">
        <v>3.39</v>
      </c>
      <c r="O1515">
        <v>1671</v>
      </c>
      <c r="P1515">
        <v>0.84</v>
      </c>
      <c r="Q1515">
        <v>230</v>
      </c>
      <c r="R1515">
        <v>685</v>
      </c>
    </row>
    <row r="1516" spans="1:18" x14ac:dyDescent="0.2">
      <c r="A1516">
        <v>4</v>
      </c>
      <c r="B1516" t="s">
        <v>46</v>
      </c>
      <c r="E1516" t="s">
        <v>19</v>
      </c>
      <c r="F1516">
        <v>1864416</v>
      </c>
      <c r="G1516">
        <v>4</v>
      </c>
      <c r="H1516">
        <v>2</v>
      </c>
      <c r="I1516">
        <v>712</v>
      </c>
      <c r="J1516">
        <v>2013</v>
      </c>
      <c r="K1516" s="4">
        <v>44429</v>
      </c>
      <c r="L1516" t="s">
        <v>20</v>
      </c>
      <c r="M1516" t="s">
        <v>52</v>
      </c>
      <c r="N1516">
        <v>2.02</v>
      </c>
      <c r="O1516">
        <v>1876</v>
      </c>
      <c r="P1516">
        <v>0.57999999999999996</v>
      </c>
      <c r="Q1516">
        <v>184</v>
      </c>
      <c r="R1516">
        <v>484</v>
      </c>
    </row>
    <row r="1517" spans="1:18" x14ac:dyDescent="0.2">
      <c r="A1517">
        <v>8</v>
      </c>
      <c r="B1517" t="s">
        <v>102</v>
      </c>
      <c r="E1517" t="s">
        <v>19</v>
      </c>
      <c r="F1517">
        <v>2861761</v>
      </c>
      <c r="G1517">
        <v>0</v>
      </c>
      <c r="H1517">
        <v>3</v>
      </c>
      <c r="I1517">
        <v>549</v>
      </c>
      <c r="J1517">
        <v>1992</v>
      </c>
      <c r="K1517" s="4">
        <v>44771</v>
      </c>
      <c r="L1517" t="s">
        <v>30</v>
      </c>
      <c r="M1517" t="s">
        <v>42</v>
      </c>
      <c r="N1517">
        <v>1.62</v>
      </c>
      <c r="O1517">
        <v>2238</v>
      </c>
      <c r="P1517">
        <v>2</v>
      </c>
      <c r="Q1517">
        <v>62</v>
      </c>
      <c r="R1517">
        <v>390</v>
      </c>
    </row>
    <row r="1518" spans="1:18" x14ac:dyDescent="0.2">
      <c r="A1518">
        <v>2</v>
      </c>
      <c r="B1518" t="s">
        <v>64</v>
      </c>
      <c r="E1518" t="s">
        <v>29</v>
      </c>
      <c r="F1518">
        <v>1715911</v>
      </c>
      <c r="G1518">
        <v>3</v>
      </c>
      <c r="H1518">
        <v>2</v>
      </c>
      <c r="I1518">
        <v>811</v>
      </c>
      <c r="J1518">
        <v>2017</v>
      </c>
      <c r="K1518" s="4">
        <v>44899</v>
      </c>
      <c r="L1518" t="s">
        <v>30</v>
      </c>
      <c r="M1518" t="s">
        <v>78</v>
      </c>
      <c r="N1518">
        <v>3.21</v>
      </c>
      <c r="O1518">
        <v>1586</v>
      </c>
      <c r="P1518">
        <v>2.36</v>
      </c>
      <c r="Q1518">
        <v>208</v>
      </c>
      <c r="R1518">
        <v>341</v>
      </c>
    </row>
    <row r="1519" spans="1:18" x14ac:dyDescent="0.2">
      <c r="A1519">
        <v>3</v>
      </c>
      <c r="B1519" t="s">
        <v>83</v>
      </c>
      <c r="E1519" t="s">
        <v>29</v>
      </c>
      <c r="F1519">
        <v>2944823</v>
      </c>
      <c r="G1519">
        <v>4</v>
      </c>
      <c r="H1519">
        <v>1</v>
      </c>
      <c r="I1519">
        <v>123</v>
      </c>
      <c r="J1519">
        <v>2021</v>
      </c>
      <c r="K1519" s="4">
        <v>44872</v>
      </c>
      <c r="L1519" t="s">
        <v>26</v>
      </c>
      <c r="M1519" t="s">
        <v>89</v>
      </c>
      <c r="N1519">
        <v>1.78</v>
      </c>
      <c r="O1519">
        <v>1722</v>
      </c>
      <c r="P1519">
        <v>2.6</v>
      </c>
      <c r="Q1519">
        <v>201</v>
      </c>
      <c r="R1519">
        <v>424</v>
      </c>
    </row>
    <row r="1520" spans="1:18" x14ac:dyDescent="0.2">
      <c r="A1520">
        <v>9</v>
      </c>
      <c r="B1520" t="s">
        <v>84</v>
      </c>
      <c r="E1520" t="s">
        <v>36</v>
      </c>
      <c r="F1520">
        <v>1902153</v>
      </c>
      <c r="G1520">
        <v>1</v>
      </c>
      <c r="H1520">
        <v>3</v>
      </c>
      <c r="I1520">
        <v>589</v>
      </c>
      <c r="J1520">
        <v>1958</v>
      </c>
      <c r="K1520" s="4">
        <v>45497</v>
      </c>
      <c r="L1520" t="s">
        <v>20</v>
      </c>
      <c r="M1520" t="s">
        <v>66</v>
      </c>
      <c r="N1520">
        <v>1.79</v>
      </c>
      <c r="O1520">
        <v>1929</v>
      </c>
      <c r="P1520">
        <v>3.39</v>
      </c>
      <c r="Q1520">
        <v>82</v>
      </c>
      <c r="R1520">
        <v>311</v>
      </c>
    </row>
    <row r="1521" spans="1:18" x14ac:dyDescent="0.2">
      <c r="A1521">
        <v>0</v>
      </c>
      <c r="B1521" t="s">
        <v>95</v>
      </c>
      <c r="E1521" t="s">
        <v>29</v>
      </c>
      <c r="F1521">
        <v>646952</v>
      </c>
      <c r="G1521">
        <v>0</v>
      </c>
      <c r="H1521">
        <v>1</v>
      </c>
      <c r="I1521">
        <v>724</v>
      </c>
      <c r="J1521">
        <v>2009</v>
      </c>
      <c r="K1521" s="4">
        <v>44558</v>
      </c>
      <c r="L1521" t="s">
        <v>20</v>
      </c>
      <c r="M1521" t="s">
        <v>31</v>
      </c>
      <c r="N1521">
        <v>2.92</v>
      </c>
      <c r="O1521">
        <v>1231</v>
      </c>
      <c r="P1521">
        <v>3.73</v>
      </c>
      <c r="Q1521">
        <v>69</v>
      </c>
      <c r="R1521">
        <v>337</v>
      </c>
    </row>
    <row r="1522" spans="1:18" x14ac:dyDescent="0.2">
      <c r="A1522">
        <v>1</v>
      </c>
      <c r="B1522" t="s">
        <v>75</v>
      </c>
      <c r="E1522" t="s">
        <v>29</v>
      </c>
      <c r="F1522">
        <v>2391703</v>
      </c>
      <c r="G1522">
        <v>0</v>
      </c>
      <c r="H1522">
        <v>3</v>
      </c>
      <c r="I1522">
        <v>780</v>
      </c>
      <c r="J1522">
        <v>2000</v>
      </c>
      <c r="K1522" s="4">
        <v>44529</v>
      </c>
      <c r="L1522" t="s">
        <v>20</v>
      </c>
      <c r="M1522" t="s">
        <v>68</v>
      </c>
      <c r="N1522">
        <v>2.72</v>
      </c>
      <c r="O1522">
        <v>2440</v>
      </c>
      <c r="P1522">
        <v>2.85</v>
      </c>
      <c r="Q1522">
        <v>66</v>
      </c>
      <c r="R1522">
        <v>532</v>
      </c>
    </row>
    <row r="1523" spans="1:18" x14ac:dyDescent="0.2">
      <c r="A1523">
        <v>3</v>
      </c>
      <c r="B1523" t="s">
        <v>88</v>
      </c>
      <c r="E1523" t="s">
        <v>19</v>
      </c>
      <c r="F1523">
        <v>1521326</v>
      </c>
      <c r="G1523">
        <v>5</v>
      </c>
      <c r="H1523">
        <v>1</v>
      </c>
      <c r="I1523">
        <v>288</v>
      </c>
      <c r="J1523">
        <v>1990</v>
      </c>
      <c r="K1523" s="4">
        <v>44566</v>
      </c>
      <c r="L1523" t="s">
        <v>20</v>
      </c>
      <c r="M1523" t="s">
        <v>77</v>
      </c>
      <c r="N1523">
        <v>2.04</v>
      </c>
      <c r="O1523">
        <v>2458</v>
      </c>
      <c r="P1523">
        <v>4.54</v>
      </c>
      <c r="Q1523">
        <v>384</v>
      </c>
      <c r="R1523">
        <v>678</v>
      </c>
    </row>
    <row r="1524" spans="1:18" x14ac:dyDescent="0.2">
      <c r="A1524">
        <v>0</v>
      </c>
      <c r="B1524" t="s">
        <v>57</v>
      </c>
      <c r="E1524" t="s">
        <v>36</v>
      </c>
      <c r="F1524">
        <v>2554157</v>
      </c>
      <c r="G1524">
        <v>1</v>
      </c>
      <c r="H1524">
        <v>3</v>
      </c>
      <c r="I1524">
        <v>236</v>
      </c>
      <c r="J1524">
        <v>1990</v>
      </c>
      <c r="K1524" s="4">
        <v>44551</v>
      </c>
      <c r="L1524" t="s">
        <v>20</v>
      </c>
      <c r="M1524" t="s">
        <v>31</v>
      </c>
      <c r="N1524">
        <v>1.74</v>
      </c>
      <c r="O1524">
        <v>2145</v>
      </c>
      <c r="P1524">
        <v>2.04</v>
      </c>
      <c r="Q1524">
        <v>144</v>
      </c>
      <c r="R1524">
        <v>635</v>
      </c>
    </row>
    <row r="1525" spans="1:18" x14ac:dyDescent="0.2">
      <c r="A1525">
        <v>8</v>
      </c>
      <c r="B1525" t="s">
        <v>38</v>
      </c>
      <c r="E1525" t="s">
        <v>29</v>
      </c>
      <c r="F1525">
        <v>1473454</v>
      </c>
      <c r="G1525">
        <v>2</v>
      </c>
      <c r="H1525">
        <v>1</v>
      </c>
      <c r="I1525">
        <v>909</v>
      </c>
      <c r="J1525">
        <v>1953</v>
      </c>
      <c r="K1525" s="4">
        <v>44406</v>
      </c>
      <c r="L1525" t="s">
        <v>23</v>
      </c>
      <c r="M1525" t="s">
        <v>35</v>
      </c>
      <c r="N1525">
        <v>1.67</v>
      </c>
      <c r="O1525">
        <v>2058</v>
      </c>
      <c r="P1525">
        <v>1.2</v>
      </c>
      <c r="Q1525">
        <v>212</v>
      </c>
      <c r="R1525">
        <v>477</v>
      </c>
    </row>
    <row r="1526" spans="1:18" x14ac:dyDescent="0.2">
      <c r="A1526">
        <v>9</v>
      </c>
      <c r="B1526" t="s">
        <v>86</v>
      </c>
      <c r="E1526" t="s">
        <v>36</v>
      </c>
      <c r="F1526">
        <v>695432</v>
      </c>
      <c r="G1526">
        <v>4</v>
      </c>
      <c r="H1526">
        <v>2</v>
      </c>
      <c r="I1526">
        <v>257</v>
      </c>
      <c r="J1526">
        <v>2022</v>
      </c>
      <c r="K1526" s="4">
        <v>45827</v>
      </c>
      <c r="L1526" t="s">
        <v>23</v>
      </c>
      <c r="M1526" t="s">
        <v>33</v>
      </c>
      <c r="N1526">
        <v>2.57</v>
      </c>
      <c r="O1526">
        <v>1682</v>
      </c>
      <c r="P1526">
        <v>3.94</v>
      </c>
      <c r="Q1526">
        <v>218</v>
      </c>
      <c r="R1526">
        <v>614</v>
      </c>
    </row>
    <row r="1527" spans="1:18" x14ac:dyDescent="0.2">
      <c r="A1527">
        <v>2</v>
      </c>
      <c r="B1527" t="s">
        <v>50</v>
      </c>
      <c r="E1527" t="s">
        <v>29</v>
      </c>
      <c r="F1527">
        <v>940988</v>
      </c>
      <c r="G1527">
        <v>4</v>
      </c>
      <c r="H1527">
        <v>2</v>
      </c>
      <c r="I1527">
        <v>129</v>
      </c>
      <c r="J1527">
        <v>1950</v>
      </c>
      <c r="K1527" s="4">
        <v>44241</v>
      </c>
      <c r="L1527" t="s">
        <v>23</v>
      </c>
      <c r="M1527" t="s">
        <v>89</v>
      </c>
      <c r="N1527">
        <v>2.25</v>
      </c>
      <c r="O1527">
        <v>2422</v>
      </c>
      <c r="P1527">
        <v>4.55</v>
      </c>
      <c r="Q1527">
        <v>197</v>
      </c>
      <c r="R1527">
        <v>325</v>
      </c>
    </row>
    <row r="1528" spans="1:18" x14ac:dyDescent="0.2">
      <c r="A1528">
        <v>7</v>
      </c>
      <c r="B1528" t="s">
        <v>50</v>
      </c>
      <c r="E1528" t="s">
        <v>51</v>
      </c>
      <c r="F1528">
        <v>2364043</v>
      </c>
      <c r="G1528">
        <v>5</v>
      </c>
      <c r="H1528">
        <v>2</v>
      </c>
      <c r="I1528">
        <v>851</v>
      </c>
      <c r="J1528">
        <v>1953</v>
      </c>
      <c r="K1528" s="4">
        <v>44087</v>
      </c>
      <c r="L1528" t="s">
        <v>26</v>
      </c>
      <c r="M1528" t="s">
        <v>82</v>
      </c>
      <c r="N1528">
        <v>3.06</v>
      </c>
      <c r="O1528">
        <v>1042</v>
      </c>
      <c r="P1528">
        <v>0.3</v>
      </c>
      <c r="Q1528">
        <v>301</v>
      </c>
      <c r="R1528">
        <v>638</v>
      </c>
    </row>
    <row r="1529" spans="1:18" x14ac:dyDescent="0.2">
      <c r="A1529">
        <v>1</v>
      </c>
      <c r="B1529" t="s">
        <v>57</v>
      </c>
      <c r="E1529" t="s">
        <v>19</v>
      </c>
      <c r="F1529">
        <v>1410345</v>
      </c>
      <c r="G1529">
        <v>2</v>
      </c>
      <c r="H1529">
        <v>2</v>
      </c>
      <c r="I1529">
        <v>468</v>
      </c>
      <c r="J1529">
        <v>2002</v>
      </c>
      <c r="K1529" s="4">
        <v>45739</v>
      </c>
      <c r="L1529" t="s">
        <v>30</v>
      </c>
      <c r="M1529" t="s">
        <v>21</v>
      </c>
      <c r="N1529">
        <v>1.57</v>
      </c>
      <c r="O1529">
        <v>1830</v>
      </c>
      <c r="P1529">
        <v>4.0599999999999996</v>
      </c>
      <c r="Q1529">
        <v>134</v>
      </c>
      <c r="R1529">
        <v>322</v>
      </c>
    </row>
    <row r="1530" spans="1:18" x14ac:dyDescent="0.2">
      <c r="A1530">
        <v>5</v>
      </c>
      <c r="B1530" t="s">
        <v>86</v>
      </c>
      <c r="E1530" t="s">
        <v>36</v>
      </c>
      <c r="F1530">
        <v>490765</v>
      </c>
      <c r="G1530">
        <v>4</v>
      </c>
      <c r="H1530">
        <v>3</v>
      </c>
      <c r="I1530">
        <v>621</v>
      </c>
      <c r="J1530">
        <v>1976</v>
      </c>
      <c r="K1530" s="4">
        <v>45852</v>
      </c>
      <c r="L1530" t="s">
        <v>23</v>
      </c>
      <c r="M1530" t="s">
        <v>42</v>
      </c>
      <c r="N1530">
        <v>3.39</v>
      </c>
      <c r="O1530">
        <v>1968</v>
      </c>
      <c r="P1530">
        <v>4.8099999999999996</v>
      </c>
      <c r="Q1530">
        <v>356</v>
      </c>
      <c r="R1530">
        <v>565</v>
      </c>
    </row>
    <row r="1531" spans="1:18" x14ac:dyDescent="0.2">
      <c r="A1531">
        <v>6</v>
      </c>
      <c r="B1531" t="s">
        <v>91</v>
      </c>
      <c r="E1531" t="s">
        <v>51</v>
      </c>
      <c r="F1531">
        <v>939025</v>
      </c>
      <c r="G1531">
        <v>6</v>
      </c>
      <c r="H1531">
        <v>3</v>
      </c>
      <c r="I1531">
        <v>919</v>
      </c>
      <c r="J1531">
        <v>2021</v>
      </c>
      <c r="K1531" s="4">
        <v>45123</v>
      </c>
      <c r="L1531" t="s">
        <v>26</v>
      </c>
      <c r="M1531" t="s">
        <v>82</v>
      </c>
      <c r="N1531">
        <v>3.38</v>
      </c>
      <c r="O1531">
        <v>2476</v>
      </c>
      <c r="P1531">
        <v>3.36</v>
      </c>
      <c r="Q1531">
        <v>334</v>
      </c>
      <c r="R1531">
        <v>559</v>
      </c>
    </row>
    <row r="1532" spans="1:18" x14ac:dyDescent="0.2">
      <c r="A1532">
        <v>6</v>
      </c>
      <c r="B1532" t="s">
        <v>49</v>
      </c>
      <c r="E1532" t="s">
        <v>19</v>
      </c>
      <c r="F1532">
        <v>844972</v>
      </c>
      <c r="G1532">
        <v>6</v>
      </c>
      <c r="H1532">
        <v>3</v>
      </c>
      <c r="I1532">
        <v>822</v>
      </c>
      <c r="J1532">
        <v>2015</v>
      </c>
      <c r="K1532" s="4">
        <v>44936</v>
      </c>
      <c r="L1532" t="s">
        <v>23</v>
      </c>
      <c r="M1532" t="s">
        <v>59</v>
      </c>
      <c r="N1532">
        <v>3.27</v>
      </c>
      <c r="O1532">
        <v>2117</v>
      </c>
      <c r="P1532">
        <v>0.42</v>
      </c>
      <c r="Q1532">
        <v>336</v>
      </c>
      <c r="R1532">
        <v>490</v>
      </c>
    </row>
    <row r="1533" spans="1:18" x14ac:dyDescent="0.2">
      <c r="A1533">
        <v>4</v>
      </c>
      <c r="B1533" t="s">
        <v>106</v>
      </c>
      <c r="E1533" t="s">
        <v>19</v>
      </c>
      <c r="F1533">
        <v>2289955</v>
      </c>
      <c r="G1533">
        <v>2</v>
      </c>
      <c r="H1533">
        <v>1</v>
      </c>
      <c r="I1533">
        <v>596</v>
      </c>
      <c r="J1533">
        <v>1950</v>
      </c>
      <c r="K1533" s="4">
        <v>45383</v>
      </c>
      <c r="L1533" t="s">
        <v>20</v>
      </c>
      <c r="M1533" t="s">
        <v>33</v>
      </c>
      <c r="N1533">
        <v>1.78</v>
      </c>
      <c r="O1533">
        <v>1709</v>
      </c>
      <c r="P1533">
        <v>3.26</v>
      </c>
      <c r="Q1533">
        <v>44</v>
      </c>
      <c r="R1533">
        <v>485</v>
      </c>
    </row>
    <row r="1534" spans="1:18" x14ac:dyDescent="0.2">
      <c r="A1534">
        <v>8</v>
      </c>
      <c r="B1534" t="s">
        <v>106</v>
      </c>
      <c r="E1534" t="s">
        <v>19</v>
      </c>
      <c r="F1534">
        <v>2260335</v>
      </c>
      <c r="G1534">
        <v>3</v>
      </c>
      <c r="H1534">
        <v>1</v>
      </c>
      <c r="I1534">
        <v>601</v>
      </c>
      <c r="J1534">
        <v>1969</v>
      </c>
      <c r="K1534" s="4">
        <v>44511</v>
      </c>
      <c r="L1534" t="s">
        <v>20</v>
      </c>
      <c r="M1534" t="s">
        <v>82</v>
      </c>
      <c r="N1534">
        <v>2.77</v>
      </c>
      <c r="O1534">
        <v>1835</v>
      </c>
      <c r="P1534">
        <v>4.08</v>
      </c>
      <c r="Q1534">
        <v>155</v>
      </c>
      <c r="R1534">
        <v>321</v>
      </c>
    </row>
    <row r="1535" spans="1:18" x14ac:dyDescent="0.2">
      <c r="A1535">
        <v>2</v>
      </c>
      <c r="B1535" t="s">
        <v>41</v>
      </c>
      <c r="E1535" t="s">
        <v>36</v>
      </c>
      <c r="F1535">
        <v>1720693</v>
      </c>
      <c r="G1535">
        <v>2</v>
      </c>
      <c r="H1535">
        <v>1</v>
      </c>
      <c r="I1535">
        <v>202</v>
      </c>
      <c r="J1535">
        <v>1960</v>
      </c>
      <c r="K1535" s="4">
        <v>45606</v>
      </c>
      <c r="L1535" t="s">
        <v>23</v>
      </c>
      <c r="M1535" t="s">
        <v>56</v>
      </c>
      <c r="N1535">
        <v>1.89</v>
      </c>
      <c r="O1535">
        <v>1786</v>
      </c>
      <c r="P1535">
        <v>3.55</v>
      </c>
      <c r="Q1535">
        <v>156</v>
      </c>
      <c r="R1535">
        <v>331</v>
      </c>
    </row>
    <row r="1536" spans="1:18" x14ac:dyDescent="0.2">
      <c r="A1536">
        <v>8</v>
      </c>
      <c r="B1536" t="s">
        <v>49</v>
      </c>
      <c r="E1536" t="s">
        <v>51</v>
      </c>
      <c r="F1536">
        <v>1369360</v>
      </c>
      <c r="G1536">
        <v>3</v>
      </c>
      <c r="H1536">
        <v>2</v>
      </c>
      <c r="I1536">
        <v>56</v>
      </c>
      <c r="J1536">
        <v>2016</v>
      </c>
      <c r="K1536" s="4">
        <v>45482</v>
      </c>
      <c r="L1536" t="s">
        <v>20</v>
      </c>
      <c r="M1536" t="s">
        <v>24</v>
      </c>
      <c r="N1536">
        <v>1.72</v>
      </c>
      <c r="O1536">
        <v>1481</v>
      </c>
      <c r="P1536">
        <v>2.67</v>
      </c>
      <c r="Q1536">
        <v>227</v>
      </c>
      <c r="R1536">
        <v>564</v>
      </c>
    </row>
    <row r="1537" spans="1:18" x14ac:dyDescent="0.2">
      <c r="A1537">
        <v>9</v>
      </c>
      <c r="B1537" t="s">
        <v>75</v>
      </c>
      <c r="E1537" t="s">
        <v>29</v>
      </c>
      <c r="F1537">
        <v>1548610</v>
      </c>
      <c r="G1537">
        <v>0</v>
      </c>
      <c r="H1537">
        <v>1</v>
      </c>
      <c r="I1537">
        <v>793</v>
      </c>
      <c r="J1537">
        <v>1957</v>
      </c>
      <c r="K1537" s="4">
        <v>45817</v>
      </c>
      <c r="L1537" t="s">
        <v>20</v>
      </c>
      <c r="M1537" t="s">
        <v>31</v>
      </c>
      <c r="N1537">
        <v>2.69</v>
      </c>
      <c r="O1537">
        <v>2038</v>
      </c>
      <c r="P1537">
        <v>2.58</v>
      </c>
      <c r="Q1537">
        <v>50</v>
      </c>
      <c r="R1537">
        <v>432</v>
      </c>
    </row>
    <row r="1538" spans="1:18" x14ac:dyDescent="0.2">
      <c r="A1538">
        <v>5</v>
      </c>
      <c r="B1538" t="s">
        <v>48</v>
      </c>
      <c r="E1538" t="s">
        <v>19</v>
      </c>
      <c r="F1538">
        <v>1930993</v>
      </c>
      <c r="G1538">
        <v>5</v>
      </c>
      <c r="H1538">
        <v>3</v>
      </c>
      <c r="I1538">
        <v>464</v>
      </c>
      <c r="J1538">
        <v>1999</v>
      </c>
      <c r="K1538" s="4">
        <v>44601</v>
      </c>
      <c r="L1538" t="s">
        <v>20</v>
      </c>
      <c r="M1538" t="s">
        <v>58</v>
      </c>
      <c r="N1538">
        <v>2.85</v>
      </c>
      <c r="O1538">
        <v>1145</v>
      </c>
      <c r="P1538">
        <v>4.66</v>
      </c>
      <c r="Q1538">
        <v>396</v>
      </c>
      <c r="R1538">
        <v>623</v>
      </c>
    </row>
    <row r="1539" spans="1:18" x14ac:dyDescent="0.2">
      <c r="A1539">
        <v>8</v>
      </c>
      <c r="B1539" t="s">
        <v>98</v>
      </c>
      <c r="E1539" t="s">
        <v>36</v>
      </c>
      <c r="F1539">
        <v>738346</v>
      </c>
      <c r="G1539">
        <v>2</v>
      </c>
      <c r="H1539">
        <v>2</v>
      </c>
      <c r="I1539">
        <v>191</v>
      </c>
      <c r="J1539">
        <v>1953</v>
      </c>
      <c r="K1539" s="4">
        <v>45294</v>
      </c>
      <c r="L1539" t="s">
        <v>20</v>
      </c>
      <c r="M1539" t="s">
        <v>66</v>
      </c>
      <c r="N1539">
        <v>2.63</v>
      </c>
      <c r="O1539">
        <v>1606</v>
      </c>
      <c r="P1539">
        <v>2.13</v>
      </c>
      <c r="Q1539">
        <v>183</v>
      </c>
      <c r="R1539">
        <v>531</v>
      </c>
    </row>
    <row r="1540" spans="1:18" x14ac:dyDescent="0.2">
      <c r="A1540">
        <v>0</v>
      </c>
      <c r="B1540" t="s">
        <v>46</v>
      </c>
      <c r="E1540" t="s">
        <v>51</v>
      </c>
      <c r="F1540">
        <v>985162</v>
      </c>
      <c r="G1540">
        <v>5</v>
      </c>
      <c r="H1540">
        <v>1</v>
      </c>
      <c r="I1540">
        <v>341</v>
      </c>
      <c r="J1540">
        <v>2009</v>
      </c>
      <c r="K1540" s="4">
        <v>44313</v>
      </c>
      <c r="L1540" t="s">
        <v>20</v>
      </c>
      <c r="M1540" t="s">
        <v>47</v>
      </c>
      <c r="N1540">
        <v>3.09</v>
      </c>
      <c r="O1540">
        <v>842</v>
      </c>
      <c r="P1540">
        <v>4.53</v>
      </c>
      <c r="Q1540">
        <v>267</v>
      </c>
      <c r="R1540">
        <v>646</v>
      </c>
    </row>
    <row r="1541" spans="1:18" x14ac:dyDescent="0.2">
      <c r="A1541">
        <v>7</v>
      </c>
      <c r="B1541" t="s">
        <v>57</v>
      </c>
      <c r="E1541" t="s">
        <v>36</v>
      </c>
      <c r="F1541">
        <v>807845</v>
      </c>
      <c r="G1541">
        <v>5</v>
      </c>
      <c r="H1541">
        <v>2</v>
      </c>
      <c r="I1541">
        <v>876</v>
      </c>
      <c r="J1541">
        <v>2002</v>
      </c>
      <c r="K1541" s="4">
        <v>44951</v>
      </c>
      <c r="L1541" t="s">
        <v>30</v>
      </c>
      <c r="M1541" t="s">
        <v>47</v>
      </c>
      <c r="N1541">
        <v>3.44</v>
      </c>
      <c r="O1541">
        <v>1038</v>
      </c>
      <c r="P1541">
        <v>1.96</v>
      </c>
      <c r="Q1541">
        <v>274</v>
      </c>
      <c r="R1541">
        <v>348</v>
      </c>
    </row>
    <row r="1542" spans="1:18" x14ac:dyDescent="0.2">
      <c r="A1542">
        <v>9</v>
      </c>
      <c r="B1542" t="s">
        <v>102</v>
      </c>
      <c r="E1542" t="s">
        <v>29</v>
      </c>
      <c r="F1542">
        <v>2580302</v>
      </c>
      <c r="G1542">
        <v>3</v>
      </c>
      <c r="H1542">
        <v>2</v>
      </c>
      <c r="I1542">
        <v>394</v>
      </c>
      <c r="J1542">
        <v>1958</v>
      </c>
      <c r="K1542" s="4">
        <v>44857</v>
      </c>
      <c r="L1542" t="s">
        <v>30</v>
      </c>
      <c r="M1542" t="s">
        <v>52</v>
      </c>
      <c r="N1542">
        <v>2.0499999999999998</v>
      </c>
      <c r="O1542">
        <v>1807</v>
      </c>
      <c r="P1542">
        <v>4.33</v>
      </c>
      <c r="Q1542">
        <v>127</v>
      </c>
      <c r="R1542">
        <v>624</v>
      </c>
    </row>
    <row r="1543" spans="1:18" x14ac:dyDescent="0.2">
      <c r="A1543">
        <v>5</v>
      </c>
      <c r="B1543" t="s">
        <v>50</v>
      </c>
      <c r="E1543" t="s">
        <v>51</v>
      </c>
      <c r="F1543">
        <v>1115791</v>
      </c>
      <c r="G1543">
        <v>6</v>
      </c>
      <c r="H1543">
        <v>1</v>
      </c>
      <c r="I1543">
        <v>723</v>
      </c>
      <c r="J1543">
        <v>2003</v>
      </c>
      <c r="K1543" s="4">
        <v>45570</v>
      </c>
      <c r="L1543" t="s">
        <v>20</v>
      </c>
      <c r="M1543" t="s">
        <v>89</v>
      </c>
      <c r="N1543">
        <v>3.49</v>
      </c>
      <c r="O1543">
        <v>1556</v>
      </c>
      <c r="P1543">
        <v>0.73</v>
      </c>
      <c r="Q1543">
        <v>361</v>
      </c>
      <c r="R1543">
        <v>619</v>
      </c>
    </row>
    <row r="1544" spans="1:18" x14ac:dyDescent="0.2">
      <c r="A1544">
        <v>8</v>
      </c>
      <c r="B1544" t="s">
        <v>79</v>
      </c>
      <c r="E1544" t="s">
        <v>51</v>
      </c>
      <c r="F1544">
        <v>1158395</v>
      </c>
      <c r="G1544">
        <v>6</v>
      </c>
      <c r="H1544">
        <v>1</v>
      </c>
      <c r="I1544">
        <v>144</v>
      </c>
      <c r="J1544">
        <v>1994</v>
      </c>
      <c r="K1544" s="4">
        <v>44761</v>
      </c>
      <c r="L1544" t="s">
        <v>26</v>
      </c>
      <c r="M1544" t="s">
        <v>27</v>
      </c>
      <c r="N1544">
        <v>1.96</v>
      </c>
      <c r="O1544">
        <v>1226</v>
      </c>
      <c r="P1544">
        <v>1.4</v>
      </c>
      <c r="Q1544">
        <v>340</v>
      </c>
      <c r="R1544">
        <v>451</v>
      </c>
    </row>
    <row r="1545" spans="1:18" x14ac:dyDescent="0.2">
      <c r="A1545">
        <v>4</v>
      </c>
      <c r="B1545" t="s">
        <v>79</v>
      </c>
      <c r="E1545" t="s">
        <v>29</v>
      </c>
      <c r="F1545">
        <v>581577</v>
      </c>
      <c r="G1545">
        <v>3</v>
      </c>
      <c r="H1545">
        <v>3</v>
      </c>
      <c r="I1545">
        <v>521</v>
      </c>
      <c r="J1545">
        <v>1952</v>
      </c>
      <c r="K1545" s="4">
        <v>44439</v>
      </c>
      <c r="L1545" t="s">
        <v>20</v>
      </c>
      <c r="M1545" t="s">
        <v>31</v>
      </c>
      <c r="N1545">
        <v>3.01</v>
      </c>
      <c r="O1545">
        <v>2348</v>
      </c>
      <c r="P1545">
        <v>0.35</v>
      </c>
      <c r="Q1545">
        <v>258</v>
      </c>
      <c r="R1545">
        <v>417</v>
      </c>
    </row>
    <row r="1546" spans="1:18" x14ac:dyDescent="0.2">
      <c r="A1546">
        <v>0</v>
      </c>
      <c r="B1546" t="s">
        <v>38</v>
      </c>
      <c r="E1546" t="s">
        <v>36</v>
      </c>
      <c r="F1546">
        <v>420052</v>
      </c>
      <c r="G1546">
        <v>3</v>
      </c>
      <c r="H1546">
        <v>2</v>
      </c>
      <c r="I1546">
        <v>939</v>
      </c>
      <c r="J1546">
        <v>1958</v>
      </c>
      <c r="K1546" s="4">
        <v>45206</v>
      </c>
      <c r="L1546" t="s">
        <v>30</v>
      </c>
      <c r="M1546" t="s">
        <v>47</v>
      </c>
      <c r="N1546">
        <v>2.08</v>
      </c>
      <c r="O1546">
        <v>2413</v>
      </c>
      <c r="P1546">
        <v>3.49</v>
      </c>
      <c r="Q1546">
        <v>87</v>
      </c>
      <c r="R1546">
        <v>322</v>
      </c>
    </row>
    <row r="1547" spans="1:18" x14ac:dyDescent="0.2">
      <c r="A1547">
        <v>9</v>
      </c>
      <c r="B1547" t="s">
        <v>53</v>
      </c>
      <c r="E1547" t="s">
        <v>51</v>
      </c>
      <c r="F1547">
        <v>858798</v>
      </c>
      <c r="G1547">
        <v>2</v>
      </c>
      <c r="H1547">
        <v>2</v>
      </c>
      <c r="I1547">
        <v>572</v>
      </c>
      <c r="J1547">
        <v>1953</v>
      </c>
      <c r="K1547" s="4">
        <v>45411</v>
      </c>
      <c r="L1547" t="s">
        <v>23</v>
      </c>
      <c r="M1547" t="s">
        <v>68</v>
      </c>
      <c r="N1547">
        <v>1.87</v>
      </c>
      <c r="O1547">
        <v>939</v>
      </c>
      <c r="P1547">
        <v>2.77</v>
      </c>
      <c r="Q1547">
        <v>196</v>
      </c>
      <c r="R1547">
        <v>378</v>
      </c>
    </row>
    <row r="1548" spans="1:18" x14ac:dyDescent="0.2">
      <c r="A1548">
        <v>7</v>
      </c>
      <c r="B1548" t="s">
        <v>86</v>
      </c>
      <c r="E1548" t="s">
        <v>36</v>
      </c>
      <c r="F1548">
        <v>1031533</v>
      </c>
      <c r="G1548">
        <v>1</v>
      </c>
      <c r="H1548">
        <v>1</v>
      </c>
      <c r="I1548">
        <v>733</v>
      </c>
      <c r="J1548">
        <v>1968</v>
      </c>
      <c r="K1548" s="4">
        <v>44165</v>
      </c>
      <c r="L1548" t="s">
        <v>20</v>
      </c>
      <c r="M1548" t="s">
        <v>60</v>
      </c>
      <c r="N1548">
        <v>2.63</v>
      </c>
      <c r="O1548">
        <v>2045</v>
      </c>
      <c r="P1548">
        <v>1.44</v>
      </c>
      <c r="Q1548">
        <v>43</v>
      </c>
      <c r="R1548">
        <v>306</v>
      </c>
    </row>
    <row r="1549" spans="1:18" x14ac:dyDescent="0.2">
      <c r="A1549">
        <v>5</v>
      </c>
      <c r="B1549" t="s">
        <v>44</v>
      </c>
      <c r="E1549" t="s">
        <v>51</v>
      </c>
      <c r="F1549">
        <v>797792</v>
      </c>
      <c r="G1549">
        <v>4</v>
      </c>
      <c r="H1549">
        <v>2</v>
      </c>
      <c r="I1549">
        <v>831</v>
      </c>
      <c r="J1549">
        <v>1956</v>
      </c>
      <c r="K1549" s="4">
        <v>45561</v>
      </c>
      <c r="L1549" t="s">
        <v>26</v>
      </c>
      <c r="M1549" t="s">
        <v>37</v>
      </c>
      <c r="N1549">
        <v>2.46</v>
      </c>
      <c r="O1549">
        <v>1425</v>
      </c>
      <c r="P1549">
        <v>3.46</v>
      </c>
      <c r="Q1549">
        <v>218</v>
      </c>
      <c r="R1549">
        <v>498</v>
      </c>
    </row>
    <row r="1550" spans="1:18" x14ac:dyDescent="0.2">
      <c r="A1550">
        <v>1</v>
      </c>
      <c r="B1550" t="s">
        <v>50</v>
      </c>
      <c r="E1550" t="s">
        <v>36</v>
      </c>
      <c r="F1550">
        <v>2763955</v>
      </c>
      <c r="G1550">
        <v>3</v>
      </c>
      <c r="H1550">
        <v>3</v>
      </c>
      <c r="I1550">
        <v>569</v>
      </c>
      <c r="J1550">
        <v>2007</v>
      </c>
      <c r="K1550" s="4">
        <v>44229</v>
      </c>
      <c r="L1550" t="s">
        <v>30</v>
      </c>
      <c r="M1550" t="s">
        <v>54</v>
      </c>
      <c r="N1550">
        <v>2.78</v>
      </c>
      <c r="O1550">
        <v>1651</v>
      </c>
      <c r="P1550">
        <v>2.36</v>
      </c>
      <c r="Q1550">
        <v>291</v>
      </c>
      <c r="R1550">
        <v>537</v>
      </c>
    </row>
    <row r="1551" spans="1:18" x14ac:dyDescent="0.2">
      <c r="A1551">
        <v>2</v>
      </c>
      <c r="B1551" t="s">
        <v>104</v>
      </c>
      <c r="E1551" t="s">
        <v>19</v>
      </c>
      <c r="F1551">
        <v>1277885</v>
      </c>
      <c r="G1551">
        <v>4</v>
      </c>
      <c r="H1551">
        <v>1</v>
      </c>
      <c r="I1551">
        <v>894</v>
      </c>
      <c r="J1551">
        <v>2015</v>
      </c>
      <c r="K1551" s="4">
        <v>44658</v>
      </c>
      <c r="L1551" t="s">
        <v>23</v>
      </c>
      <c r="M1551" t="s">
        <v>59</v>
      </c>
      <c r="N1551">
        <v>3.02</v>
      </c>
      <c r="O1551">
        <v>1199</v>
      </c>
      <c r="P1551">
        <v>0.14000000000000001</v>
      </c>
      <c r="Q1551">
        <v>193</v>
      </c>
      <c r="R1551">
        <v>452</v>
      </c>
    </row>
    <row r="1552" spans="1:18" x14ac:dyDescent="0.2">
      <c r="A1552">
        <v>9</v>
      </c>
      <c r="B1552" t="s">
        <v>72</v>
      </c>
      <c r="E1552" t="s">
        <v>29</v>
      </c>
      <c r="F1552">
        <v>1848814</v>
      </c>
      <c r="G1552">
        <v>1</v>
      </c>
      <c r="H1552">
        <v>2</v>
      </c>
      <c r="I1552">
        <v>995</v>
      </c>
      <c r="J1552">
        <v>1957</v>
      </c>
      <c r="K1552" s="4">
        <v>44929</v>
      </c>
      <c r="L1552" t="s">
        <v>26</v>
      </c>
      <c r="M1552" t="s">
        <v>35</v>
      </c>
      <c r="N1552">
        <v>2.77</v>
      </c>
      <c r="O1552">
        <v>2385</v>
      </c>
      <c r="P1552">
        <v>0.49</v>
      </c>
      <c r="Q1552">
        <v>93</v>
      </c>
      <c r="R1552">
        <v>529</v>
      </c>
    </row>
    <row r="1553" spans="1:18" x14ac:dyDescent="0.2">
      <c r="A1553">
        <v>3</v>
      </c>
      <c r="B1553" t="s">
        <v>49</v>
      </c>
      <c r="E1553" t="s">
        <v>29</v>
      </c>
      <c r="F1553">
        <v>1495296</v>
      </c>
      <c r="G1553">
        <v>4</v>
      </c>
      <c r="H1553">
        <v>3</v>
      </c>
      <c r="I1553">
        <v>120</v>
      </c>
      <c r="J1553">
        <v>2022</v>
      </c>
      <c r="K1553" s="4">
        <v>45605</v>
      </c>
      <c r="L1553" t="s">
        <v>26</v>
      </c>
      <c r="M1553" t="s">
        <v>31</v>
      </c>
      <c r="N1553">
        <v>2.4500000000000002</v>
      </c>
      <c r="O1553">
        <v>1610</v>
      </c>
      <c r="P1553">
        <v>0.37</v>
      </c>
      <c r="Q1553">
        <v>334</v>
      </c>
      <c r="R1553">
        <v>555</v>
      </c>
    </row>
    <row r="1554" spans="1:18" x14ac:dyDescent="0.2">
      <c r="A1554">
        <v>8</v>
      </c>
      <c r="B1554" t="s">
        <v>43</v>
      </c>
      <c r="E1554" t="s">
        <v>29</v>
      </c>
      <c r="F1554">
        <v>413596</v>
      </c>
      <c r="G1554">
        <v>4</v>
      </c>
      <c r="H1554">
        <v>2</v>
      </c>
      <c r="I1554">
        <v>223</v>
      </c>
      <c r="J1554">
        <v>1974</v>
      </c>
      <c r="K1554" s="4">
        <v>44368</v>
      </c>
      <c r="L1554" t="s">
        <v>30</v>
      </c>
      <c r="M1554" t="s">
        <v>21</v>
      </c>
      <c r="N1554">
        <v>2.5</v>
      </c>
      <c r="O1554">
        <v>1192</v>
      </c>
      <c r="P1554">
        <v>2.5099999999999998</v>
      </c>
      <c r="Q1554">
        <v>308</v>
      </c>
      <c r="R1554">
        <v>409</v>
      </c>
    </row>
    <row r="1555" spans="1:18" x14ac:dyDescent="0.2">
      <c r="A1555">
        <v>0</v>
      </c>
      <c r="B1555" t="s">
        <v>83</v>
      </c>
      <c r="E1555" t="s">
        <v>29</v>
      </c>
      <c r="F1555">
        <v>569268</v>
      </c>
      <c r="G1555">
        <v>3</v>
      </c>
      <c r="H1555">
        <v>2</v>
      </c>
      <c r="I1555">
        <v>178</v>
      </c>
      <c r="J1555">
        <v>2004</v>
      </c>
      <c r="K1555" s="4">
        <v>44621</v>
      </c>
      <c r="L1555" t="s">
        <v>20</v>
      </c>
      <c r="M1555" t="s">
        <v>89</v>
      </c>
      <c r="N1555">
        <v>2.3199999999999998</v>
      </c>
      <c r="O1555">
        <v>1080</v>
      </c>
      <c r="P1555">
        <v>1.77</v>
      </c>
      <c r="Q1555">
        <v>137</v>
      </c>
      <c r="R1555">
        <v>507</v>
      </c>
    </row>
    <row r="1556" spans="1:18" x14ac:dyDescent="0.2">
      <c r="A1556">
        <v>8</v>
      </c>
      <c r="B1556" t="s">
        <v>95</v>
      </c>
      <c r="E1556" t="s">
        <v>36</v>
      </c>
      <c r="F1556">
        <v>1477525</v>
      </c>
      <c r="G1556">
        <v>4</v>
      </c>
      <c r="H1556">
        <v>1</v>
      </c>
      <c r="I1556">
        <v>771</v>
      </c>
      <c r="J1556">
        <v>2011</v>
      </c>
      <c r="K1556" s="4">
        <v>44286</v>
      </c>
      <c r="L1556" t="s">
        <v>23</v>
      </c>
      <c r="M1556" t="s">
        <v>89</v>
      </c>
      <c r="N1556">
        <v>1.82</v>
      </c>
      <c r="O1556">
        <v>1502</v>
      </c>
      <c r="P1556">
        <v>4.9000000000000004</v>
      </c>
      <c r="Q1556">
        <v>205</v>
      </c>
      <c r="R1556">
        <v>645</v>
      </c>
    </row>
    <row r="1557" spans="1:18" x14ac:dyDescent="0.2">
      <c r="A1557">
        <v>7</v>
      </c>
      <c r="B1557" t="s">
        <v>95</v>
      </c>
      <c r="E1557" t="s">
        <v>19</v>
      </c>
      <c r="F1557">
        <v>2176880</v>
      </c>
      <c r="G1557">
        <v>3</v>
      </c>
      <c r="H1557">
        <v>1</v>
      </c>
      <c r="I1557">
        <v>238</v>
      </c>
      <c r="J1557">
        <v>1998</v>
      </c>
      <c r="K1557" s="4">
        <v>45024</v>
      </c>
      <c r="L1557" t="s">
        <v>26</v>
      </c>
      <c r="M1557" t="s">
        <v>69</v>
      </c>
      <c r="N1557">
        <v>2.34</v>
      </c>
      <c r="O1557">
        <v>2101</v>
      </c>
      <c r="P1557">
        <v>2.65</v>
      </c>
      <c r="Q1557">
        <v>109</v>
      </c>
      <c r="R1557">
        <v>393</v>
      </c>
    </row>
    <row r="1558" spans="1:18" x14ac:dyDescent="0.2">
      <c r="A1558">
        <v>2</v>
      </c>
      <c r="B1558" t="s">
        <v>105</v>
      </c>
      <c r="E1558" t="s">
        <v>51</v>
      </c>
      <c r="F1558">
        <v>2975817</v>
      </c>
      <c r="G1558">
        <v>4</v>
      </c>
      <c r="H1558">
        <v>1</v>
      </c>
      <c r="I1558">
        <v>510</v>
      </c>
      <c r="J1558">
        <v>1999</v>
      </c>
      <c r="K1558" s="4">
        <v>44360</v>
      </c>
      <c r="L1558" t="s">
        <v>30</v>
      </c>
      <c r="M1558" t="s">
        <v>37</v>
      </c>
      <c r="N1558">
        <v>1.6</v>
      </c>
      <c r="O1558">
        <v>1151</v>
      </c>
      <c r="P1558">
        <v>2.58</v>
      </c>
      <c r="Q1558">
        <v>170</v>
      </c>
      <c r="R1558">
        <v>578</v>
      </c>
    </row>
    <row r="1559" spans="1:18" x14ac:dyDescent="0.2">
      <c r="A1559">
        <v>0</v>
      </c>
      <c r="B1559" t="s">
        <v>87</v>
      </c>
      <c r="E1559" t="s">
        <v>29</v>
      </c>
      <c r="F1559">
        <v>2033174</v>
      </c>
      <c r="G1559">
        <v>6</v>
      </c>
      <c r="H1559">
        <v>1</v>
      </c>
      <c r="I1559">
        <v>656</v>
      </c>
      <c r="J1559">
        <v>1986</v>
      </c>
      <c r="K1559" s="4">
        <v>44133</v>
      </c>
      <c r="L1559" t="s">
        <v>23</v>
      </c>
      <c r="M1559" t="s">
        <v>33</v>
      </c>
      <c r="N1559">
        <v>2.02</v>
      </c>
      <c r="O1559">
        <v>1679</v>
      </c>
      <c r="P1559">
        <v>2.61</v>
      </c>
      <c r="Q1559">
        <v>378</v>
      </c>
      <c r="R1559">
        <v>547</v>
      </c>
    </row>
    <row r="1560" spans="1:18" x14ac:dyDescent="0.2">
      <c r="A1560">
        <v>5</v>
      </c>
      <c r="B1560" t="s">
        <v>43</v>
      </c>
      <c r="E1560" t="s">
        <v>36</v>
      </c>
      <c r="F1560">
        <v>609020</v>
      </c>
      <c r="G1560">
        <v>4</v>
      </c>
      <c r="H1560">
        <v>2</v>
      </c>
      <c r="I1560">
        <v>488</v>
      </c>
      <c r="J1560">
        <v>1952</v>
      </c>
      <c r="K1560" s="4">
        <v>45682</v>
      </c>
      <c r="L1560" t="s">
        <v>30</v>
      </c>
      <c r="M1560" t="s">
        <v>33</v>
      </c>
      <c r="N1560">
        <v>2.86</v>
      </c>
      <c r="O1560">
        <v>1178</v>
      </c>
      <c r="P1560">
        <v>3.12</v>
      </c>
      <c r="Q1560">
        <v>182</v>
      </c>
      <c r="R1560">
        <v>572</v>
      </c>
    </row>
    <row r="1561" spans="1:18" x14ac:dyDescent="0.2">
      <c r="A1561">
        <v>6</v>
      </c>
      <c r="B1561" t="s">
        <v>48</v>
      </c>
      <c r="E1561" t="s">
        <v>36</v>
      </c>
      <c r="F1561">
        <v>2560014</v>
      </c>
      <c r="G1561">
        <v>5</v>
      </c>
      <c r="H1561">
        <v>1</v>
      </c>
      <c r="I1561">
        <v>211</v>
      </c>
      <c r="J1561">
        <v>1961</v>
      </c>
      <c r="K1561" s="4">
        <v>45612</v>
      </c>
      <c r="L1561" t="s">
        <v>26</v>
      </c>
      <c r="M1561" t="s">
        <v>85</v>
      </c>
      <c r="N1561">
        <v>1.68</v>
      </c>
      <c r="O1561">
        <v>1316</v>
      </c>
      <c r="P1561">
        <v>2.96</v>
      </c>
      <c r="Q1561">
        <v>352</v>
      </c>
      <c r="R1561">
        <v>335</v>
      </c>
    </row>
    <row r="1562" spans="1:18" x14ac:dyDescent="0.2">
      <c r="A1562">
        <v>1</v>
      </c>
      <c r="B1562" t="s">
        <v>62</v>
      </c>
      <c r="E1562" t="s">
        <v>19</v>
      </c>
      <c r="F1562">
        <v>789517</v>
      </c>
      <c r="G1562">
        <v>6</v>
      </c>
      <c r="H1562">
        <v>2</v>
      </c>
      <c r="I1562">
        <v>846</v>
      </c>
      <c r="J1562">
        <v>1982</v>
      </c>
      <c r="K1562" s="4">
        <v>45266</v>
      </c>
      <c r="L1562" t="s">
        <v>20</v>
      </c>
      <c r="M1562" t="s">
        <v>69</v>
      </c>
      <c r="N1562">
        <v>1.51</v>
      </c>
      <c r="O1562">
        <v>2145</v>
      </c>
      <c r="P1562">
        <v>3.93</v>
      </c>
      <c r="Q1562">
        <v>385</v>
      </c>
      <c r="R1562">
        <v>345</v>
      </c>
    </row>
    <row r="1563" spans="1:18" x14ac:dyDescent="0.2">
      <c r="A1563">
        <v>0</v>
      </c>
      <c r="B1563" t="s">
        <v>90</v>
      </c>
      <c r="E1563" t="s">
        <v>36</v>
      </c>
      <c r="F1563">
        <v>566920</v>
      </c>
      <c r="G1563">
        <v>5</v>
      </c>
      <c r="H1563">
        <v>1</v>
      </c>
      <c r="I1563">
        <v>680</v>
      </c>
      <c r="J1563">
        <v>1966</v>
      </c>
      <c r="K1563" s="4">
        <v>44166</v>
      </c>
      <c r="L1563" t="s">
        <v>20</v>
      </c>
      <c r="M1563" t="s">
        <v>37</v>
      </c>
      <c r="N1563">
        <v>2.2599999999999998</v>
      </c>
      <c r="O1563">
        <v>2258</v>
      </c>
      <c r="P1563">
        <v>1.55</v>
      </c>
      <c r="Q1563">
        <v>313</v>
      </c>
      <c r="R1563">
        <v>607</v>
      </c>
    </row>
    <row r="1564" spans="1:18" x14ac:dyDescent="0.2">
      <c r="A1564">
        <v>6</v>
      </c>
      <c r="B1564" t="s">
        <v>28</v>
      </c>
      <c r="E1564" t="s">
        <v>29</v>
      </c>
      <c r="F1564">
        <v>539127</v>
      </c>
      <c r="G1564">
        <v>2</v>
      </c>
      <c r="H1564">
        <v>2</v>
      </c>
      <c r="I1564">
        <v>252</v>
      </c>
      <c r="J1564">
        <v>1973</v>
      </c>
      <c r="K1564" s="4">
        <v>45408</v>
      </c>
      <c r="L1564" t="s">
        <v>23</v>
      </c>
      <c r="M1564" t="s">
        <v>78</v>
      </c>
      <c r="N1564">
        <v>2.2799999999999998</v>
      </c>
      <c r="O1564">
        <v>1194</v>
      </c>
      <c r="P1564">
        <v>4.43</v>
      </c>
      <c r="Q1564">
        <v>110</v>
      </c>
      <c r="R1564">
        <v>360</v>
      </c>
    </row>
    <row r="1565" spans="1:18" x14ac:dyDescent="0.2">
      <c r="A1565">
        <v>7</v>
      </c>
      <c r="B1565" t="s">
        <v>80</v>
      </c>
      <c r="E1565" t="s">
        <v>36</v>
      </c>
      <c r="F1565">
        <v>482230</v>
      </c>
      <c r="G1565">
        <v>0</v>
      </c>
      <c r="H1565">
        <v>3</v>
      </c>
      <c r="I1565">
        <v>770</v>
      </c>
      <c r="J1565">
        <v>2022</v>
      </c>
      <c r="K1565" s="4">
        <v>45132</v>
      </c>
      <c r="L1565" t="s">
        <v>20</v>
      </c>
      <c r="M1565" t="s">
        <v>74</v>
      </c>
      <c r="N1565">
        <v>1.99</v>
      </c>
      <c r="O1565">
        <v>2145</v>
      </c>
      <c r="P1565">
        <v>3.1</v>
      </c>
      <c r="Q1565">
        <v>62</v>
      </c>
      <c r="R1565">
        <v>535</v>
      </c>
    </row>
    <row r="1566" spans="1:18" x14ac:dyDescent="0.2">
      <c r="A1566">
        <v>2</v>
      </c>
      <c r="B1566" t="s">
        <v>84</v>
      </c>
      <c r="E1566" t="s">
        <v>29</v>
      </c>
      <c r="F1566">
        <v>1385811</v>
      </c>
      <c r="G1566">
        <v>2</v>
      </c>
      <c r="H1566">
        <v>1</v>
      </c>
      <c r="I1566">
        <v>415</v>
      </c>
      <c r="J1566">
        <v>1988</v>
      </c>
      <c r="K1566" s="4">
        <v>44525</v>
      </c>
      <c r="L1566" t="s">
        <v>30</v>
      </c>
      <c r="M1566" t="s">
        <v>40</v>
      </c>
      <c r="N1566">
        <v>3.31</v>
      </c>
      <c r="O1566">
        <v>966</v>
      </c>
      <c r="P1566">
        <v>3.55</v>
      </c>
      <c r="Q1566">
        <v>236</v>
      </c>
      <c r="R1566">
        <v>437</v>
      </c>
    </row>
    <row r="1567" spans="1:18" x14ac:dyDescent="0.2">
      <c r="A1567">
        <v>8</v>
      </c>
      <c r="B1567" t="s">
        <v>43</v>
      </c>
      <c r="E1567" t="s">
        <v>36</v>
      </c>
      <c r="F1567">
        <v>2187034</v>
      </c>
      <c r="G1567">
        <v>2</v>
      </c>
      <c r="H1567">
        <v>1</v>
      </c>
      <c r="I1567">
        <v>703</v>
      </c>
      <c r="J1567">
        <v>1965</v>
      </c>
      <c r="K1567" s="4">
        <v>44526</v>
      </c>
      <c r="L1567" t="s">
        <v>23</v>
      </c>
      <c r="M1567" t="s">
        <v>31</v>
      </c>
      <c r="N1567">
        <v>2.5499999999999998</v>
      </c>
      <c r="O1567">
        <v>1042</v>
      </c>
      <c r="P1567">
        <v>0.55000000000000004</v>
      </c>
      <c r="Q1567">
        <v>235</v>
      </c>
      <c r="R1567">
        <v>463</v>
      </c>
    </row>
    <row r="1568" spans="1:18" x14ac:dyDescent="0.2">
      <c r="A1568">
        <v>2</v>
      </c>
      <c r="B1568" t="s">
        <v>105</v>
      </c>
      <c r="E1568" t="s">
        <v>36</v>
      </c>
      <c r="F1568">
        <v>1394981</v>
      </c>
      <c r="G1568">
        <v>4</v>
      </c>
      <c r="H1568">
        <v>3</v>
      </c>
      <c r="I1568">
        <v>948</v>
      </c>
      <c r="J1568">
        <v>1977</v>
      </c>
      <c r="K1568" s="4">
        <v>45515</v>
      </c>
      <c r="L1568" t="s">
        <v>20</v>
      </c>
      <c r="M1568" t="s">
        <v>89</v>
      </c>
      <c r="N1568">
        <v>3.32</v>
      </c>
      <c r="O1568">
        <v>834</v>
      </c>
      <c r="P1568">
        <v>3.88</v>
      </c>
      <c r="Q1568">
        <v>219</v>
      </c>
      <c r="R1568">
        <v>346</v>
      </c>
    </row>
    <row r="1569" spans="1:18" x14ac:dyDescent="0.2">
      <c r="A1569">
        <v>8</v>
      </c>
      <c r="B1569" t="s">
        <v>93</v>
      </c>
      <c r="E1569" t="s">
        <v>29</v>
      </c>
      <c r="F1569">
        <v>2432390</v>
      </c>
      <c r="G1569">
        <v>5</v>
      </c>
      <c r="H1569">
        <v>1</v>
      </c>
      <c r="I1569">
        <v>781</v>
      </c>
      <c r="J1569">
        <v>2012</v>
      </c>
      <c r="K1569" s="4">
        <v>45886</v>
      </c>
      <c r="L1569" t="s">
        <v>30</v>
      </c>
      <c r="M1569" t="s">
        <v>24</v>
      </c>
      <c r="N1569">
        <v>3.45</v>
      </c>
      <c r="O1569">
        <v>1069</v>
      </c>
      <c r="P1569">
        <v>0.87</v>
      </c>
      <c r="Q1569">
        <v>336</v>
      </c>
      <c r="R1569">
        <v>335</v>
      </c>
    </row>
    <row r="1570" spans="1:18" x14ac:dyDescent="0.2">
      <c r="A1570">
        <v>7</v>
      </c>
      <c r="B1570" t="s">
        <v>39</v>
      </c>
      <c r="E1570" t="s">
        <v>29</v>
      </c>
      <c r="F1570">
        <v>2881669</v>
      </c>
      <c r="G1570">
        <v>6</v>
      </c>
      <c r="H1570">
        <v>1</v>
      </c>
      <c r="I1570">
        <v>831</v>
      </c>
      <c r="J1570">
        <v>1981</v>
      </c>
      <c r="K1570" s="4">
        <v>44598</v>
      </c>
      <c r="L1570" t="s">
        <v>23</v>
      </c>
      <c r="M1570" t="s">
        <v>82</v>
      </c>
      <c r="N1570">
        <v>3.1</v>
      </c>
      <c r="O1570">
        <v>1786</v>
      </c>
      <c r="P1570">
        <v>0.43</v>
      </c>
      <c r="Q1570">
        <v>368</v>
      </c>
      <c r="R1570">
        <v>639</v>
      </c>
    </row>
    <row r="1571" spans="1:18" x14ac:dyDescent="0.2">
      <c r="A1571">
        <v>5</v>
      </c>
      <c r="B1571" t="s">
        <v>72</v>
      </c>
      <c r="E1571" t="s">
        <v>51</v>
      </c>
      <c r="F1571">
        <v>2558044</v>
      </c>
      <c r="G1571">
        <v>2</v>
      </c>
      <c r="H1571">
        <v>2</v>
      </c>
      <c r="I1571">
        <v>185</v>
      </c>
      <c r="J1571">
        <v>1967</v>
      </c>
      <c r="K1571" s="4">
        <v>45133</v>
      </c>
      <c r="L1571" t="s">
        <v>26</v>
      </c>
      <c r="M1571" t="s">
        <v>60</v>
      </c>
      <c r="N1571">
        <v>3.22</v>
      </c>
      <c r="O1571">
        <v>1367</v>
      </c>
      <c r="P1571">
        <v>1.87</v>
      </c>
      <c r="Q1571">
        <v>145</v>
      </c>
      <c r="R1571">
        <v>415</v>
      </c>
    </row>
    <row r="1572" spans="1:18" x14ac:dyDescent="0.2">
      <c r="A1572">
        <v>3</v>
      </c>
      <c r="B1572" t="s">
        <v>25</v>
      </c>
      <c r="E1572" t="s">
        <v>36</v>
      </c>
      <c r="F1572">
        <v>2295703</v>
      </c>
      <c r="G1572">
        <v>5</v>
      </c>
      <c r="H1572">
        <v>3</v>
      </c>
      <c r="I1572">
        <v>498</v>
      </c>
      <c r="J1572">
        <v>1971</v>
      </c>
      <c r="K1572" s="4">
        <v>44202</v>
      </c>
      <c r="L1572" t="s">
        <v>20</v>
      </c>
      <c r="M1572" t="s">
        <v>47</v>
      </c>
      <c r="N1572">
        <v>1.69</v>
      </c>
      <c r="O1572">
        <v>1030</v>
      </c>
      <c r="P1572">
        <v>3.67</v>
      </c>
      <c r="Q1572">
        <v>258</v>
      </c>
      <c r="R1572">
        <v>502</v>
      </c>
    </row>
    <row r="1573" spans="1:18" x14ac:dyDescent="0.2">
      <c r="A1573">
        <v>8</v>
      </c>
      <c r="B1573" t="s">
        <v>38</v>
      </c>
      <c r="E1573" t="s">
        <v>19</v>
      </c>
      <c r="F1573">
        <v>1041941</v>
      </c>
      <c r="G1573">
        <v>0</v>
      </c>
      <c r="H1573">
        <v>3</v>
      </c>
      <c r="I1573">
        <v>459</v>
      </c>
      <c r="J1573">
        <v>2006</v>
      </c>
      <c r="K1573" s="4">
        <v>45093</v>
      </c>
      <c r="L1573" t="s">
        <v>20</v>
      </c>
      <c r="M1573" t="s">
        <v>66</v>
      </c>
      <c r="N1573">
        <v>2.34</v>
      </c>
      <c r="O1573">
        <v>853</v>
      </c>
      <c r="P1573">
        <v>2.83</v>
      </c>
      <c r="Q1573">
        <v>66</v>
      </c>
      <c r="R1573">
        <v>594</v>
      </c>
    </row>
    <row r="1574" spans="1:18" x14ac:dyDescent="0.2">
      <c r="A1574">
        <v>6</v>
      </c>
      <c r="B1574" t="s">
        <v>81</v>
      </c>
      <c r="E1574" t="s">
        <v>19</v>
      </c>
      <c r="F1574">
        <v>2551388</v>
      </c>
      <c r="G1574">
        <v>3</v>
      </c>
      <c r="H1574">
        <v>2</v>
      </c>
      <c r="I1574">
        <v>970</v>
      </c>
      <c r="J1574">
        <v>1958</v>
      </c>
      <c r="K1574" s="4">
        <v>44887</v>
      </c>
      <c r="L1574" t="s">
        <v>20</v>
      </c>
      <c r="M1574" t="s">
        <v>69</v>
      </c>
      <c r="N1574">
        <v>2.97</v>
      </c>
      <c r="O1574">
        <v>2011</v>
      </c>
      <c r="P1574">
        <v>4.59</v>
      </c>
      <c r="Q1574">
        <v>132</v>
      </c>
      <c r="R1574">
        <v>369</v>
      </c>
    </row>
    <row r="1575" spans="1:18" x14ac:dyDescent="0.2">
      <c r="A1575">
        <v>9</v>
      </c>
      <c r="B1575" t="s">
        <v>96</v>
      </c>
      <c r="E1575" t="s">
        <v>29</v>
      </c>
      <c r="F1575">
        <v>633599</v>
      </c>
      <c r="G1575">
        <v>3</v>
      </c>
      <c r="H1575">
        <v>1</v>
      </c>
      <c r="I1575">
        <v>447</v>
      </c>
      <c r="J1575">
        <v>1981</v>
      </c>
      <c r="K1575" s="4">
        <v>44917</v>
      </c>
      <c r="L1575" t="s">
        <v>20</v>
      </c>
      <c r="M1575" t="s">
        <v>66</v>
      </c>
      <c r="N1575">
        <v>1.56</v>
      </c>
      <c r="O1575">
        <v>1464</v>
      </c>
      <c r="P1575">
        <v>2.17</v>
      </c>
      <c r="Q1575">
        <v>306</v>
      </c>
      <c r="R1575">
        <v>599</v>
      </c>
    </row>
    <row r="1576" spans="1:18" x14ac:dyDescent="0.2">
      <c r="A1576">
        <v>3</v>
      </c>
      <c r="B1576" t="s">
        <v>61</v>
      </c>
      <c r="E1576" t="s">
        <v>29</v>
      </c>
      <c r="F1576">
        <v>1347656</v>
      </c>
      <c r="G1576">
        <v>1</v>
      </c>
      <c r="H1576">
        <v>2</v>
      </c>
      <c r="I1576">
        <v>156</v>
      </c>
      <c r="J1576">
        <v>2002</v>
      </c>
      <c r="K1576" s="4">
        <v>44648</v>
      </c>
      <c r="L1576" t="s">
        <v>30</v>
      </c>
      <c r="M1576" t="s">
        <v>68</v>
      </c>
      <c r="N1576">
        <v>3.47</v>
      </c>
      <c r="O1576">
        <v>2096</v>
      </c>
      <c r="P1576">
        <v>2.92</v>
      </c>
      <c r="Q1576">
        <v>135</v>
      </c>
      <c r="R1576">
        <v>321</v>
      </c>
    </row>
    <row r="1577" spans="1:18" x14ac:dyDescent="0.2">
      <c r="A1577">
        <v>9</v>
      </c>
      <c r="B1577" t="s">
        <v>32</v>
      </c>
      <c r="E1577" t="s">
        <v>51</v>
      </c>
      <c r="F1577">
        <v>1350104</v>
      </c>
      <c r="G1577">
        <v>2</v>
      </c>
      <c r="H1577">
        <v>2</v>
      </c>
      <c r="I1577">
        <v>688</v>
      </c>
      <c r="J1577">
        <v>1990</v>
      </c>
      <c r="K1577" s="4">
        <v>45233</v>
      </c>
      <c r="L1577" t="s">
        <v>26</v>
      </c>
      <c r="M1577" t="s">
        <v>31</v>
      </c>
      <c r="N1577">
        <v>2.93</v>
      </c>
      <c r="O1577">
        <v>1841</v>
      </c>
      <c r="P1577">
        <v>4.2300000000000004</v>
      </c>
      <c r="Q1577">
        <v>238</v>
      </c>
      <c r="R1577">
        <v>458</v>
      </c>
    </row>
    <row r="1578" spans="1:18" x14ac:dyDescent="0.2">
      <c r="A1578">
        <v>3</v>
      </c>
      <c r="B1578" t="s">
        <v>73</v>
      </c>
      <c r="E1578" t="s">
        <v>51</v>
      </c>
      <c r="F1578">
        <v>2689408</v>
      </c>
      <c r="G1578">
        <v>4</v>
      </c>
      <c r="H1578">
        <v>2</v>
      </c>
      <c r="I1578">
        <v>247</v>
      </c>
      <c r="J1578">
        <v>1996</v>
      </c>
      <c r="K1578" s="4">
        <v>44550</v>
      </c>
      <c r="L1578" t="s">
        <v>20</v>
      </c>
      <c r="M1578" t="s">
        <v>56</v>
      </c>
      <c r="N1578">
        <v>2.14</v>
      </c>
      <c r="O1578">
        <v>1635</v>
      </c>
      <c r="P1578">
        <v>2.27</v>
      </c>
      <c r="Q1578">
        <v>235</v>
      </c>
      <c r="R1578">
        <v>392</v>
      </c>
    </row>
    <row r="1579" spans="1:18" x14ac:dyDescent="0.2">
      <c r="A1579">
        <v>4</v>
      </c>
      <c r="B1579" t="s">
        <v>46</v>
      </c>
      <c r="E1579" t="s">
        <v>36</v>
      </c>
      <c r="F1579">
        <v>2049505</v>
      </c>
      <c r="G1579">
        <v>0</v>
      </c>
      <c r="H1579">
        <v>1</v>
      </c>
      <c r="I1579">
        <v>483</v>
      </c>
      <c r="J1579">
        <v>2022</v>
      </c>
      <c r="K1579" s="4">
        <v>44824</v>
      </c>
      <c r="L1579" t="s">
        <v>23</v>
      </c>
      <c r="M1579" t="s">
        <v>97</v>
      </c>
      <c r="N1579">
        <v>2.56</v>
      </c>
      <c r="O1579">
        <v>2329</v>
      </c>
      <c r="P1579">
        <v>3.91</v>
      </c>
      <c r="Q1579">
        <v>61</v>
      </c>
      <c r="R1579">
        <v>650</v>
      </c>
    </row>
    <row r="1580" spans="1:18" x14ac:dyDescent="0.2">
      <c r="A1580">
        <v>5</v>
      </c>
      <c r="B1580" t="s">
        <v>106</v>
      </c>
      <c r="E1580" t="s">
        <v>19</v>
      </c>
      <c r="F1580">
        <v>2006805</v>
      </c>
      <c r="G1580">
        <v>2</v>
      </c>
      <c r="H1580">
        <v>2</v>
      </c>
      <c r="I1580">
        <v>651</v>
      </c>
      <c r="J1580">
        <v>1955</v>
      </c>
      <c r="K1580" s="4">
        <v>44313</v>
      </c>
      <c r="L1580" t="s">
        <v>30</v>
      </c>
      <c r="M1580" t="s">
        <v>54</v>
      </c>
      <c r="N1580">
        <v>2.54</v>
      </c>
      <c r="O1580">
        <v>2464</v>
      </c>
      <c r="P1580">
        <v>2.35</v>
      </c>
      <c r="Q1580">
        <v>197</v>
      </c>
      <c r="R1580">
        <v>341</v>
      </c>
    </row>
    <row r="1581" spans="1:18" x14ac:dyDescent="0.2">
      <c r="A1581">
        <v>8</v>
      </c>
      <c r="B1581" t="s">
        <v>44</v>
      </c>
      <c r="E1581" t="s">
        <v>51</v>
      </c>
      <c r="F1581">
        <v>2121859</v>
      </c>
      <c r="G1581">
        <v>5</v>
      </c>
      <c r="H1581">
        <v>3</v>
      </c>
      <c r="I1581">
        <v>530</v>
      </c>
      <c r="J1581">
        <v>1961</v>
      </c>
      <c r="K1581" s="4">
        <v>45681</v>
      </c>
      <c r="L1581" t="s">
        <v>23</v>
      </c>
      <c r="M1581" t="s">
        <v>77</v>
      </c>
      <c r="N1581">
        <v>2.04</v>
      </c>
      <c r="O1581">
        <v>2238</v>
      </c>
      <c r="P1581">
        <v>2.71</v>
      </c>
      <c r="Q1581">
        <v>394</v>
      </c>
      <c r="R1581">
        <v>370</v>
      </c>
    </row>
    <row r="1582" spans="1:18" x14ac:dyDescent="0.2">
      <c r="A1582">
        <v>2</v>
      </c>
      <c r="B1582" t="s">
        <v>87</v>
      </c>
      <c r="E1582" t="s">
        <v>36</v>
      </c>
      <c r="F1582">
        <v>2288835</v>
      </c>
      <c r="G1582">
        <v>1</v>
      </c>
      <c r="H1582">
        <v>1</v>
      </c>
      <c r="I1582">
        <v>842</v>
      </c>
      <c r="J1582">
        <v>2005</v>
      </c>
      <c r="K1582" s="4">
        <v>44534</v>
      </c>
      <c r="L1582" t="s">
        <v>23</v>
      </c>
      <c r="M1582" t="s">
        <v>78</v>
      </c>
      <c r="N1582">
        <v>2.57</v>
      </c>
      <c r="O1582">
        <v>1300</v>
      </c>
      <c r="P1582">
        <v>3.57</v>
      </c>
      <c r="Q1582">
        <v>56</v>
      </c>
      <c r="R1582">
        <v>511</v>
      </c>
    </row>
    <row r="1583" spans="1:18" x14ac:dyDescent="0.2">
      <c r="A1583">
        <v>6</v>
      </c>
      <c r="B1583" t="s">
        <v>34</v>
      </c>
      <c r="E1583" t="s">
        <v>19</v>
      </c>
      <c r="F1583">
        <v>2962904</v>
      </c>
      <c r="G1583">
        <v>-2</v>
      </c>
      <c r="H1583">
        <v>2</v>
      </c>
      <c r="I1583">
        <v>880</v>
      </c>
      <c r="J1583">
        <v>1958</v>
      </c>
      <c r="K1583" s="4">
        <v>44334</v>
      </c>
      <c r="L1583" t="s">
        <v>30</v>
      </c>
      <c r="M1583" t="s">
        <v>27</v>
      </c>
      <c r="N1583">
        <v>2.27</v>
      </c>
      <c r="O1583">
        <v>1021</v>
      </c>
      <c r="P1583">
        <v>0.23</v>
      </c>
      <c r="Q1583">
        <v>101</v>
      </c>
      <c r="R1583">
        <v>595</v>
      </c>
    </row>
    <row r="1584" spans="1:18" x14ac:dyDescent="0.2">
      <c r="A1584">
        <v>4</v>
      </c>
      <c r="B1584" t="s">
        <v>100</v>
      </c>
      <c r="E1584" t="s">
        <v>36</v>
      </c>
      <c r="F1584">
        <v>2407365</v>
      </c>
      <c r="G1584">
        <v>5</v>
      </c>
      <c r="H1584">
        <v>3</v>
      </c>
      <c r="I1584">
        <v>110</v>
      </c>
      <c r="J1584">
        <v>1974</v>
      </c>
      <c r="K1584" s="4">
        <v>45214</v>
      </c>
      <c r="L1584" t="s">
        <v>20</v>
      </c>
      <c r="M1584" t="s">
        <v>24</v>
      </c>
      <c r="N1584">
        <v>2.44</v>
      </c>
      <c r="O1584">
        <v>1902</v>
      </c>
      <c r="P1584">
        <v>2.0299999999999998</v>
      </c>
      <c r="Q1584">
        <v>341</v>
      </c>
      <c r="R1584">
        <v>497</v>
      </c>
    </row>
    <row r="1585" spans="1:18" x14ac:dyDescent="0.2">
      <c r="A1585">
        <v>1</v>
      </c>
      <c r="B1585" t="s">
        <v>48</v>
      </c>
      <c r="E1585" t="s">
        <v>51</v>
      </c>
      <c r="F1585">
        <v>608858</v>
      </c>
      <c r="G1585">
        <v>3</v>
      </c>
      <c r="H1585">
        <v>2</v>
      </c>
      <c r="I1585">
        <v>506</v>
      </c>
      <c r="J1585">
        <v>1981</v>
      </c>
      <c r="K1585" s="4">
        <v>44919</v>
      </c>
      <c r="L1585" t="s">
        <v>26</v>
      </c>
      <c r="M1585" t="s">
        <v>12</v>
      </c>
      <c r="N1585">
        <v>2.5499999999999998</v>
      </c>
      <c r="O1585">
        <v>1805</v>
      </c>
      <c r="P1585">
        <v>0.35</v>
      </c>
      <c r="Q1585">
        <v>204</v>
      </c>
      <c r="R1585">
        <v>561</v>
      </c>
    </row>
    <row r="1586" spans="1:18" x14ac:dyDescent="0.2">
      <c r="A1586">
        <v>9</v>
      </c>
      <c r="B1586" t="s">
        <v>38</v>
      </c>
      <c r="E1586" t="s">
        <v>29</v>
      </c>
      <c r="F1586">
        <v>629961</v>
      </c>
      <c r="G1586">
        <v>5</v>
      </c>
      <c r="H1586">
        <v>3</v>
      </c>
      <c r="I1586">
        <v>952</v>
      </c>
      <c r="J1586">
        <v>1959</v>
      </c>
      <c r="K1586" s="4">
        <v>45157</v>
      </c>
      <c r="L1586" t="s">
        <v>26</v>
      </c>
      <c r="M1586" t="s">
        <v>45</v>
      </c>
      <c r="N1586">
        <v>1.83</v>
      </c>
      <c r="O1586">
        <v>1618</v>
      </c>
      <c r="P1586">
        <v>2.5099999999999998</v>
      </c>
      <c r="Q1586">
        <v>356</v>
      </c>
      <c r="R1586">
        <v>323</v>
      </c>
    </row>
    <row r="1587" spans="1:18" x14ac:dyDescent="0.2">
      <c r="A1587">
        <v>8</v>
      </c>
      <c r="B1587" t="s">
        <v>64</v>
      </c>
      <c r="E1587" t="s">
        <v>51</v>
      </c>
      <c r="F1587">
        <v>1777008</v>
      </c>
      <c r="G1587">
        <v>6</v>
      </c>
      <c r="H1587">
        <v>2</v>
      </c>
      <c r="I1587">
        <v>499</v>
      </c>
      <c r="J1587">
        <v>1974</v>
      </c>
      <c r="K1587" s="4">
        <v>45852</v>
      </c>
      <c r="L1587" t="s">
        <v>23</v>
      </c>
      <c r="M1587" t="s">
        <v>59</v>
      </c>
      <c r="N1587">
        <v>2.83</v>
      </c>
      <c r="O1587">
        <v>1071</v>
      </c>
      <c r="P1587">
        <v>3.72</v>
      </c>
      <c r="Q1587">
        <v>335</v>
      </c>
      <c r="R1587">
        <v>620</v>
      </c>
    </row>
    <row r="1588" spans="1:18" x14ac:dyDescent="0.2">
      <c r="A1588">
        <v>6</v>
      </c>
      <c r="B1588" t="s">
        <v>88</v>
      </c>
      <c r="E1588" t="s">
        <v>36</v>
      </c>
      <c r="F1588">
        <v>1618957</v>
      </c>
      <c r="G1588">
        <v>5</v>
      </c>
      <c r="H1588">
        <v>1</v>
      </c>
      <c r="I1588">
        <v>986</v>
      </c>
      <c r="J1588">
        <v>1977</v>
      </c>
      <c r="K1588" s="4">
        <v>45018</v>
      </c>
      <c r="L1588" t="s">
        <v>23</v>
      </c>
      <c r="M1588" t="s">
        <v>33</v>
      </c>
      <c r="N1588">
        <v>1.87</v>
      </c>
      <c r="O1588">
        <v>2236</v>
      </c>
      <c r="P1588">
        <v>1.01</v>
      </c>
      <c r="Q1588">
        <v>266</v>
      </c>
      <c r="R1588">
        <v>319</v>
      </c>
    </row>
    <row r="1589" spans="1:18" x14ac:dyDescent="0.2">
      <c r="A1589">
        <v>1</v>
      </c>
      <c r="B1589" t="s">
        <v>55</v>
      </c>
      <c r="E1589" t="s">
        <v>29</v>
      </c>
      <c r="F1589">
        <v>2010995</v>
      </c>
      <c r="G1589">
        <v>5</v>
      </c>
      <c r="H1589">
        <v>2</v>
      </c>
      <c r="I1589">
        <v>671</v>
      </c>
      <c r="J1589">
        <v>1985</v>
      </c>
      <c r="K1589" s="4">
        <v>44948</v>
      </c>
      <c r="L1589" t="s">
        <v>26</v>
      </c>
      <c r="M1589" t="s">
        <v>45</v>
      </c>
      <c r="N1589">
        <v>3.16</v>
      </c>
      <c r="O1589">
        <v>2404</v>
      </c>
      <c r="P1589">
        <v>1.05</v>
      </c>
      <c r="Q1589">
        <v>371</v>
      </c>
      <c r="R1589">
        <v>540</v>
      </c>
    </row>
    <row r="1590" spans="1:18" x14ac:dyDescent="0.2">
      <c r="A1590">
        <v>4</v>
      </c>
      <c r="B1590" t="s">
        <v>99</v>
      </c>
      <c r="E1590" t="s">
        <v>29</v>
      </c>
      <c r="F1590">
        <v>2123500</v>
      </c>
      <c r="G1590">
        <v>3</v>
      </c>
      <c r="H1590">
        <v>3</v>
      </c>
      <c r="I1590">
        <v>63</v>
      </c>
      <c r="J1590">
        <v>1959</v>
      </c>
      <c r="K1590" s="4">
        <v>45540</v>
      </c>
      <c r="L1590" t="s">
        <v>30</v>
      </c>
      <c r="M1590" t="s">
        <v>60</v>
      </c>
      <c r="N1590">
        <v>2.75</v>
      </c>
      <c r="O1590">
        <v>2392</v>
      </c>
      <c r="P1590">
        <v>4.21</v>
      </c>
      <c r="Q1590">
        <v>199</v>
      </c>
      <c r="R1590">
        <v>628</v>
      </c>
    </row>
    <row r="1591" spans="1:18" x14ac:dyDescent="0.2">
      <c r="A1591">
        <v>1</v>
      </c>
      <c r="B1591" t="s">
        <v>96</v>
      </c>
      <c r="E1591" t="s">
        <v>51</v>
      </c>
      <c r="F1591">
        <v>2692555</v>
      </c>
      <c r="G1591">
        <v>4</v>
      </c>
      <c r="H1591">
        <v>1</v>
      </c>
      <c r="I1591">
        <v>883</v>
      </c>
      <c r="J1591">
        <v>1962</v>
      </c>
      <c r="K1591" s="4">
        <v>45211</v>
      </c>
      <c r="L1591" t="s">
        <v>20</v>
      </c>
      <c r="M1591" t="s">
        <v>70</v>
      </c>
      <c r="N1591">
        <v>2.21</v>
      </c>
      <c r="O1591">
        <v>1614</v>
      </c>
      <c r="P1591">
        <v>1.27</v>
      </c>
      <c r="Q1591">
        <v>396</v>
      </c>
      <c r="R1591">
        <v>383</v>
      </c>
    </row>
    <row r="1592" spans="1:18" x14ac:dyDescent="0.2">
      <c r="A1592">
        <v>8</v>
      </c>
      <c r="B1592" t="s">
        <v>28</v>
      </c>
      <c r="E1592" t="s">
        <v>51</v>
      </c>
      <c r="F1592">
        <v>1682397</v>
      </c>
      <c r="G1592">
        <v>4</v>
      </c>
      <c r="H1592">
        <v>2</v>
      </c>
      <c r="I1592">
        <v>451</v>
      </c>
      <c r="J1592">
        <v>2001</v>
      </c>
      <c r="K1592" s="4">
        <v>45823</v>
      </c>
      <c r="L1592" t="s">
        <v>20</v>
      </c>
      <c r="M1592" t="s">
        <v>27</v>
      </c>
      <c r="N1592">
        <v>2.42</v>
      </c>
      <c r="O1592">
        <v>1621</v>
      </c>
      <c r="P1592">
        <v>2.6</v>
      </c>
      <c r="Q1592">
        <v>240</v>
      </c>
      <c r="R1592">
        <v>454</v>
      </c>
    </row>
    <row r="1593" spans="1:18" x14ac:dyDescent="0.2">
      <c r="A1593">
        <v>3</v>
      </c>
      <c r="B1593" t="s">
        <v>92</v>
      </c>
      <c r="E1593" t="s">
        <v>36</v>
      </c>
      <c r="F1593">
        <v>1230709</v>
      </c>
      <c r="G1593">
        <v>4</v>
      </c>
      <c r="H1593">
        <v>2</v>
      </c>
      <c r="I1593">
        <v>233</v>
      </c>
      <c r="J1593">
        <v>1966</v>
      </c>
      <c r="K1593" s="4">
        <v>45735</v>
      </c>
      <c r="L1593" t="s">
        <v>30</v>
      </c>
      <c r="M1593" t="s">
        <v>27</v>
      </c>
      <c r="N1593">
        <v>1.78</v>
      </c>
      <c r="O1593">
        <v>2098</v>
      </c>
      <c r="P1593">
        <v>2.9</v>
      </c>
      <c r="Q1593">
        <v>191</v>
      </c>
      <c r="R1593">
        <v>380</v>
      </c>
    </row>
    <row r="1594" spans="1:18" x14ac:dyDescent="0.2">
      <c r="A1594">
        <v>6</v>
      </c>
      <c r="B1594" t="s">
        <v>62</v>
      </c>
      <c r="E1594" t="s">
        <v>36</v>
      </c>
      <c r="F1594">
        <v>700887</v>
      </c>
      <c r="G1594">
        <v>4</v>
      </c>
      <c r="H1594">
        <v>2</v>
      </c>
      <c r="I1594">
        <v>649</v>
      </c>
      <c r="J1594">
        <v>1962</v>
      </c>
      <c r="K1594" s="4">
        <v>44158</v>
      </c>
      <c r="L1594" t="s">
        <v>23</v>
      </c>
      <c r="M1594" t="s">
        <v>33</v>
      </c>
      <c r="N1594">
        <v>3.24</v>
      </c>
      <c r="O1594">
        <v>2342</v>
      </c>
      <c r="P1594">
        <v>4.8</v>
      </c>
      <c r="Q1594">
        <v>192</v>
      </c>
      <c r="R1594">
        <v>674</v>
      </c>
    </row>
    <row r="1595" spans="1:18" x14ac:dyDescent="0.2">
      <c r="A1595">
        <v>4</v>
      </c>
      <c r="B1595" t="s">
        <v>95</v>
      </c>
      <c r="E1595" t="s">
        <v>19</v>
      </c>
      <c r="F1595">
        <v>487869</v>
      </c>
      <c r="G1595">
        <v>3</v>
      </c>
      <c r="H1595">
        <v>2</v>
      </c>
      <c r="I1595">
        <v>834</v>
      </c>
      <c r="J1595">
        <v>1997</v>
      </c>
      <c r="K1595" s="4">
        <v>44910</v>
      </c>
      <c r="L1595" t="s">
        <v>26</v>
      </c>
      <c r="M1595" t="s">
        <v>56</v>
      </c>
      <c r="N1595">
        <v>2.16</v>
      </c>
      <c r="O1595">
        <v>1162</v>
      </c>
      <c r="P1595">
        <v>1.42</v>
      </c>
      <c r="Q1595">
        <v>83</v>
      </c>
      <c r="R1595">
        <v>639</v>
      </c>
    </row>
    <row r="1596" spans="1:18" x14ac:dyDescent="0.2">
      <c r="A1596">
        <v>3</v>
      </c>
      <c r="B1596" t="s">
        <v>95</v>
      </c>
      <c r="E1596" t="s">
        <v>19</v>
      </c>
      <c r="F1596">
        <v>2963982</v>
      </c>
      <c r="G1596">
        <v>3</v>
      </c>
      <c r="H1596">
        <v>1</v>
      </c>
      <c r="I1596">
        <v>227</v>
      </c>
      <c r="J1596">
        <v>2003</v>
      </c>
      <c r="K1596" s="4">
        <v>44406</v>
      </c>
      <c r="L1596" t="s">
        <v>23</v>
      </c>
      <c r="M1596" t="s">
        <v>66</v>
      </c>
      <c r="N1596">
        <v>1.9</v>
      </c>
      <c r="O1596">
        <v>1525</v>
      </c>
      <c r="P1596">
        <v>0.55000000000000004</v>
      </c>
      <c r="Q1596">
        <v>285</v>
      </c>
      <c r="R1596">
        <v>640</v>
      </c>
    </row>
    <row r="1597" spans="1:18" x14ac:dyDescent="0.2">
      <c r="A1597">
        <v>9</v>
      </c>
      <c r="B1597" t="s">
        <v>73</v>
      </c>
      <c r="E1597" t="s">
        <v>36</v>
      </c>
      <c r="F1597">
        <v>2679545</v>
      </c>
      <c r="G1597">
        <v>1</v>
      </c>
      <c r="H1597">
        <v>1</v>
      </c>
      <c r="I1597">
        <v>606</v>
      </c>
      <c r="J1597">
        <v>2017</v>
      </c>
      <c r="K1597" s="4">
        <v>45217</v>
      </c>
      <c r="L1597" t="s">
        <v>20</v>
      </c>
      <c r="M1597" t="s">
        <v>42</v>
      </c>
      <c r="N1597">
        <v>3.42</v>
      </c>
      <c r="O1597">
        <v>2316</v>
      </c>
      <c r="P1597">
        <v>2.56</v>
      </c>
      <c r="Q1597">
        <v>132</v>
      </c>
      <c r="R1597">
        <v>487</v>
      </c>
    </row>
    <row r="1598" spans="1:18" x14ac:dyDescent="0.2">
      <c r="A1598">
        <v>5</v>
      </c>
      <c r="B1598" t="s">
        <v>83</v>
      </c>
      <c r="E1598" t="s">
        <v>19</v>
      </c>
      <c r="F1598">
        <v>2006863</v>
      </c>
      <c r="G1598">
        <v>2</v>
      </c>
      <c r="H1598">
        <v>3</v>
      </c>
      <c r="I1598">
        <v>758</v>
      </c>
      <c r="J1598">
        <v>1960</v>
      </c>
      <c r="K1598" s="4">
        <v>44994</v>
      </c>
      <c r="L1598" t="s">
        <v>23</v>
      </c>
      <c r="M1598" t="s">
        <v>77</v>
      </c>
      <c r="N1598">
        <v>3.07</v>
      </c>
      <c r="O1598">
        <v>1344</v>
      </c>
      <c r="P1598">
        <v>1.8</v>
      </c>
      <c r="Q1598">
        <v>158</v>
      </c>
      <c r="R1598">
        <v>633</v>
      </c>
    </row>
    <row r="1599" spans="1:18" x14ac:dyDescent="0.2">
      <c r="A1599">
        <v>2</v>
      </c>
      <c r="B1599" t="s">
        <v>18</v>
      </c>
      <c r="E1599" t="s">
        <v>36</v>
      </c>
      <c r="F1599">
        <v>863047</v>
      </c>
      <c r="G1599">
        <v>2</v>
      </c>
      <c r="H1599">
        <v>1</v>
      </c>
      <c r="I1599">
        <v>712</v>
      </c>
      <c r="J1599">
        <v>1995</v>
      </c>
      <c r="K1599" s="4">
        <v>44221</v>
      </c>
      <c r="L1599" t="s">
        <v>26</v>
      </c>
      <c r="M1599" t="s">
        <v>69</v>
      </c>
      <c r="N1599">
        <v>3.42</v>
      </c>
      <c r="O1599">
        <v>1679</v>
      </c>
      <c r="P1599">
        <v>3.49</v>
      </c>
      <c r="Q1599">
        <v>77</v>
      </c>
      <c r="R1599">
        <v>310</v>
      </c>
    </row>
    <row r="1600" spans="1:18" x14ac:dyDescent="0.2">
      <c r="A1600">
        <v>3</v>
      </c>
      <c r="B1600" t="s">
        <v>81</v>
      </c>
      <c r="E1600" t="s">
        <v>36</v>
      </c>
      <c r="F1600">
        <v>2825104</v>
      </c>
      <c r="G1600">
        <v>5</v>
      </c>
      <c r="H1600">
        <v>2</v>
      </c>
      <c r="I1600">
        <v>355</v>
      </c>
      <c r="J1600">
        <v>2026</v>
      </c>
      <c r="K1600" s="4">
        <v>44617</v>
      </c>
      <c r="L1600" t="s">
        <v>20</v>
      </c>
      <c r="M1600" t="s">
        <v>82</v>
      </c>
      <c r="N1600">
        <v>2.63</v>
      </c>
      <c r="O1600">
        <v>993</v>
      </c>
      <c r="P1600">
        <v>2.79</v>
      </c>
      <c r="Q1600">
        <v>290</v>
      </c>
      <c r="R1600">
        <v>666</v>
      </c>
    </row>
    <row r="1601" spans="1:18" x14ac:dyDescent="0.2">
      <c r="A1601">
        <v>1</v>
      </c>
      <c r="B1601" t="s">
        <v>72</v>
      </c>
      <c r="E1601" t="s">
        <v>36</v>
      </c>
      <c r="F1601">
        <v>1465455</v>
      </c>
      <c r="G1601">
        <v>3</v>
      </c>
      <c r="H1601">
        <v>1</v>
      </c>
      <c r="I1601">
        <v>852</v>
      </c>
      <c r="J1601">
        <v>1986</v>
      </c>
      <c r="K1601" s="4">
        <v>45702</v>
      </c>
      <c r="L1601" t="s">
        <v>30</v>
      </c>
      <c r="M1601" t="s">
        <v>68</v>
      </c>
      <c r="N1601">
        <v>3.44</v>
      </c>
      <c r="O1601">
        <v>1433</v>
      </c>
      <c r="P1601">
        <v>1.4</v>
      </c>
      <c r="Q1601">
        <v>294</v>
      </c>
      <c r="R1601">
        <v>430</v>
      </c>
    </row>
    <row r="1602" spans="1:18" x14ac:dyDescent="0.2">
      <c r="A1602">
        <v>0</v>
      </c>
      <c r="B1602" t="s">
        <v>104</v>
      </c>
      <c r="E1602" t="s">
        <v>29</v>
      </c>
      <c r="F1602">
        <v>1748586</v>
      </c>
      <c r="G1602">
        <v>4</v>
      </c>
      <c r="H1602">
        <v>2</v>
      </c>
      <c r="I1602">
        <v>399</v>
      </c>
      <c r="J1602">
        <v>1965</v>
      </c>
      <c r="K1602" s="4">
        <v>44897</v>
      </c>
      <c r="L1602" t="s">
        <v>26</v>
      </c>
      <c r="M1602" t="s">
        <v>63</v>
      </c>
      <c r="N1602">
        <v>2.4500000000000002</v>
      </c>
      <c r="O1602">
        <v>1586</v>
      </c>
      <c r="P1602">
        <v>3.75</v>
      </c>
      <c r="Q1602">
        <v>285</v>
      </c>
      <c r="R1602">
        <v>346</v>
      </c>
    </row>
    <row r="1603" spans="1:18" x14ac:dyDescent="0.2">
      <c r="A1603">
        <v>4</v>
      </c>
      <c r="B1603" t="s">
        <v>67</v>
      </c>
      <c r="E1603" t="s">
        <v>19</v>
      </c>
      <c r="F1603">
        <v>1084381</v>
      </c>
      <c r="G1603">
        <v>3</v>
      </c>
      <c r="H1603">
        <v>2</v>
      </c>
      <c r="I1603">
        <v>274</v>
      </c>
      <c r="J1603">
        <v>2008</v>
      </c>
      <c r="K1603" s="4">
        <v>45771</v>
      </c>
      <c r="L1603" t="s">
        <v>20</v>
      </c>
      <c r="M1603" t="s">
        <v>33</v>
      </c>
      <c r="N1603">
        <v>3</v>
      </c>
      <c r="O1603">
        <v>2376</v>
      </c>
      <c r="P1603">
        <v>1.55</v>
      </c>
      <c r="Q1603">
        <v>131</v>
      </c>
      <c r="R1603">
        <v>499</v>
      </c>
    </row>
    <row r="1604" spans="1:18" x14ac:dyDescent="0.2">
      <c r="A1604">
        <v>0</v>
      </c>
      <c r="B1604" t="s">
        <v>49</v>
      </c>
      <c r="E1604" t="s">
        <v>51</v>
      </c>
      <c r="F1604">
        <v>1241706</v>
      </c>
      <c r="G1604">
        <v>4</v>
      </c>
      <c r="H1604">
        <v>3</v>
      </c>
      <c r="I1604">
        <v>914</v>
      </c>
      <c r="J1604">
        <v>1959</v>
      </c>
      <c r="K1604" s="4">
        <v>45557</v>
      </c>
      <c r="L1604" t="s">
        <v>26</v>
      </c>
      <c r="M1604" t="s">
        <v>37</v>
      </c>
      <c r="N1604">
        <v>2.27</v>
      </c>
      <c r="O1604">
        <v>2181</v>
      </c>
      <c r="P1604">
        <v>4.55</v>
      </c>
      <c r="Q1604">
        <v>193</v>
      </c>
      <c r="R1604">
        <v>676</v>
      </c>
    </row>
    <row r="1605" spans="1:18" x14ac:dyDescent="0.2">
      <c r="A1605">
        <v>6</v>
      </c>
      <c r="B1605" t="s">
        <v>81</v>
      </c>
      <c r="E1605" t="s">
        <v>36</v>
      </c>
      <c r="F1605">
        <v>464475</v>
      </c>
      <c r="G1605">
        <v>5</v>
      </c>
      <c r="H1605">
        <v>1</v>
      </c>
      <c r="I1605">
        <v>816</v>
      </c>
      <c r="J1605">
        <v>2003</v>
      </c>
      <c r="K1605" s="4">
        <v>44914</v>
      </c>
      <c r="L1605" t="s">
        <v>20</v>
      </c>
      <c r="M1605" t="s">
        <v>89</v>
      </c>
      <c r="N1605">
        <v>2.1</v>
      </c>
      <c r="O1605">
        <v>2132</v>
      </c>
      <c r="P1605">
        <v>4.24</v>
      </c>
      <c r="Q1605">
        <v>298</v>
      </c>
      <c r="R1605">
        <v>440</v>
      </c>
    </row>
    <row r="1606" spans="1:18" x14ac:dyDescent="0.2">
      <c r="A1606">
        <v>4</v>
      </c>
      <c r="B1606" t="s">
        <v>34</v>
      </c>
      <c r="E1606" t="s">
        <v>19</v>
      </c>
      <c r="F1606">
        <v>1080741</v>
      </c>
      <c r="G1606">
        <v>6</v>
      </c>
      <c r="H1606">
        <v>2</v>
      </c>
      <c r="I1606">
        <v>495</v>
      </c>
      <c r="J1606">
        <v>1996</v>
      </c>
      <c r="K1606" s="4">
        <v>45359</v>
      </c>
      <c r="L1606" t="s">
        <v>20</v>
      </c>
      <c r="M1606" t="s">
        <v>59</v>
      </c>
      <c r="N1606">
        <v>2.4</v>
      </c>
      <c r="O1606">
        <v>1653</v>
      </c>
      <c r="P1606">
        <v>2.63</v>
      </c>
      <c r="Q1606">
        <v>397</v>
      </c>
      <c r="R1606">
        <v>334</v>
      </c>
    </row>
    <row r="1607" spans="1:18" x14ac:dyDescent="0.2">
      <c r="A1607">
        <v>4</v>
      </c>
      <c r="B1607" t="s">
        <v>83</v>
      </c>
      <c r="E1607" t="s">
        <v>19</v>
      </c>
      <c r="F1607">
        <v>2604427</v>
      </c>
      <c r="G1607">
        <v>2</v>
      </c>
      <c r="H1607">
        <v>3</v>
      </c>
      <c r="I1607">
        <v>222</v>
      </c>
      <c r="J1607">
        <v>1991</v>
      </c>
      <c r="K1607" s="4">
        <v>44737</v>
      </c>
      <c r="L1607" t="s">
        <v>26</v>
      </c>
      <c r="M1607" t="s">
        <v>31</v>
      </c>
      <c r="N1607">
        <v>1.95</v>
      </c>
      <c r="O1607">
        <v>1906</v>
      </c>
      <c r="P1607">
        <v>4.04</v>
      </c>
      <c r="Q1607">
        <v>163</v>
      </c>
      <c r="R1607">
        <v>355</v>
      </c>
    </row>
    <row r="1608" spans="1:18" x14ac:dyDescent="0.2">
      <c r="A1608">
        <v>2</v>
      </c>
      <c r="B1608" t="s">
        <v>32</v>
      </c>
      <c r="E1608" t="s">
        <v>19</v>
      </c>
      <c r="F1608">
        <v>944519</v>
      </c>
      <c r="G1608">
        <v>4</v>
      </c>
      <c r="H1608">
        <v>3</v>
      </c>
      <c r="I1608">
        <v>741</v>
      </c>
      <c r="J1608">
        <v>2004</v>
      </c>
      <c r="K1608" s="4">
        <v>45337</v>
      </c>
      <c r="L1608" t="s">
        <v>20</v>
      </c>
      <c r="M1608" t="s">
        <v>40</v>
      </c>
      <c r="N1608">
        <v>2</v>
      </c>
      <c r="O1608">
        <v>1048</v>
      </c>
      <c r="P1608">
        <v>2.98</v>
      </c>
      <c r="Q1608">
        <v>395</v>
      </c>
      <c r="R1608">
        <v>330</v>
      </c>
    </row>
    <row r="1609" spans="1:18" x14ac:dyDescent="0.2">
      <c r="A1609">
        <v>8</v>
      </c>
      <c r="B1609" t="s">
        <v>79</v>
      </c>
      <c r="E1609" t="s">
        <v>51</v>
      </c>
      <c r="F1609">
        <v>1466220</v>
      </c>
      <c r="G1609">
        <v>2</v>
      </c>
      <c r="H1609">
        <v>3</v>
      </c>
      <c r="I1609">
        <v>323</v>
      </c>
      <c r="J1609">
        <v>1993</v>
      </c>
      <c r="K1609" s="4">
        <v>44624</v>
      </c>
      <c r="L1609" t="s">
        <v>23</v>
      </c>
      <c r="M1609" t="s">
        <v>69</v>
      </c>
      <c r="N1609">
        <v>1.56</v>
      </c>
      <c r="O1609">
        <v>1826</v>
      </c>
      <c r="P1609">
        <v>4.46</v>
      </c>
      <c r="Q1609">
        <v>44</v>
      </c>
      <c r="R1609">
        <v>309</v>
      </c>
    </row>
    <row r="1610" spans="1:18" x14ac:dyDescent="0.2">
      <c r="A1610">
        <v>3</v>
      </c>
      <c r="B1610" t="s">
        <v>49</v>
      </c>
      <c r="E1610" t="s">
        <v>36</v>
      </c>
      <c r="F1610">
        <v>2144249</v>
      </c>
      <c r="G1610">
        <v>3</v>
      </c>
      <c r="H1610">
        <v>1</v>
      </c>
      <c r="I1610">
        <v>109</v>
      </c>
      <c r="J1610">
        <v>2012</v>
      </c>
      <c r="K1610" s="4">
        <v>44439</v>
      </c>
      <c r="L1610" t="s">
        <v>20</v>
      </c>
      <c r="M1610" t="s">
        <v>69</v>
      </c>
      <c r="N1610">
        <v>2.0099999999999998</v>
      </c>
      <c r="O1610">
        <v>2398</v>
      </c>
      <c r="P1610">
        <v>3.55</v>
      </c>
      <c r="Q1610">
        <v>117</v>
      </c>
      <c r="R1610">
        <v>402</v>
      </c>
    </row>
    <row r="1611" spans="1:18" x14ac:dyDescent="0.2">
      <c r="A1611">
        <v>5</v>
      </c>
      <c r="B1611" t="s">
        <v>83</v>
      </c>
      <c r="E1611" t="s">
        <v>29</v>
      </c>
      <c r="F1611">
        <v>2169645</v>
      </c>
      <c r="G1611">
        <v>4</v>
      </c>
      <c r="H1611">
        <v>3</v>
      </c>
      <c r="I1611">
        <v>902</v>
      </c>
      <c r="J1611">
        <v>1973</v>
      </c>
      <c r="K1611" s="4">
        <v>44094</v>
      </c>
      <c r="L1611" t="s">
        <v>23</v>
      </c>
      <c r="M1611" t="s">
        <v>66</v>
      </c>
      <c r="N1611">
        <v>3.39</v>
      </c>
      <c r="O1611">
        <v>2327</v>
      </c>
      <c r="P1611">
        <v>0.1</v>
      </c>
      <c r="Q1611">
        <v>327</v>
      </c>
      <c r="R1611">
        <v>617</v>
      </c>
    </row>
    <row r="1612" spans="1:18" x14ac:dyDescent="0.2">
      <c r="A1612">
        <v>7</v>
      </c>
      <c r="B1612" t="s">
        <v>90</v>
      </c>
      <c r="E1612" t="s">
        <v>51</v>
      </c>
      <c r="F1612">
        <v>1593933</v>
      </c>
      <c r="G1612">
        <v>5</v>
      </c>
      <c r="H1612">
        <v>2</v>
      </c>
      <c r="I1612">
        <v>179</v>
      </c>
      <c r="J1612">
        <v>1978</v>
      </c>
      <c r="K1612" s="4">
        <v>45045</v>
      </c>
      <c r="L1612" t="s">
        <v>30</v>
      </c>
      <c r="M1612" t="s">
        <v>78</v>
      </c>
      <c r="N1612">
        <v>2.0499999999999998</v>
      </c>
      <c r="O1612">
        <v>1000</v>
      </c>
      <c r="P1612">
        <v>0.65</v>
      </c>
      <c r="Q1612">
        <v>324</v>
      </c>
      <c r="R1612">
        <v>489</v>
      </c>
    </row>
    <row r="1613" spans="1:18" x14ac:dyDescent="0.2">
      <c r="A1613">
        <v>5</v>
      </c>
      <c r="B1613" t="s">
        <v>98</v>
      </c>
      <c r="E1613" t="s">
        <v>29</v>
      </c>
      <c r="F1613">
        <v>679392</v>
      </c>
      <c r="G1613">
        <v>3</v>
      </c>
      <c r="H1613">
        <v>3</v>
      </c>
      <c r="I1613">
        <v>657</v>
      </c>
      <c r="J1613">
        <v>2015</v>
      </c>
      <c r="K1613" s="4">
        <v>45526</v>
      </c>
      <c r="L1613" t="s">
        <v>30</v>
      </c>
      <c r="M1613" t="s">
        <v>77</v>
      </c>
      <c r="N1613">
        <v>1.85</v>
      </c>
      <c r="O1613">
        <v>1177</v>
      </c>
      <c r="P1613">
        <v>1.17</v>
      </c>
      <c r="Q1613">
        <v>165</v>
      </c>
      <c r="R1613">
        <v>668</v>
      </c>
    </row>
    <row r="1614" spans="1:18" x14ac:dyDescent="0.2">
      <c r="A1614">
        <v>9</v>
      </c>
      <c r="B1614" t="s">
        <v>49</v>
      </c>
      <c r="E1614" t="s">
        <v>19</v>
      </c>
      <c r="F1614">
        <v>1847400</v>
      </c>
      <c r="G1614">
        <v>6</v>
      </c>
      <c r="H1614">
        <v>1</v>
      </c>
      <c r="I1614">
        <v>84</v>
      </c>
      <c r="J1614">
        <v>1957</v>
      </c>
      <c r="K1614" s="4">
        <v>44589</v>
      </c>
      <c r="L1614" t="s">
        <v>26</v>
      </c>
      <c r="M1614" t="s">
        <v>59</v>
      </c>
      <c r="N1614">
        <v>2.5499999999999998</v>
      </c>
      <c r="O1614">
        <v>919</v>
      </c>
      <c r="P1614">
        <v>0.72</v>
      </c>
      <c r="Q1614">
        <v>367</v>
      </c>
      <c r="R1614">
        <v>354</v>
      </c>
    </row>
    <row r="1615" spans="1:18" x14ac:dyDescent="0.2">
      <c r="A1615">
        <v>7</v>
      </c>
      <c r="B1615" t="s">
        <v>99</v>
      </c>
      <c r="E1615" t="s">
        <v>36</v>
      </c>
      <c r="F1615">
        <v>2995602</v>
      </c>
      <c r="G1615">
        <v>6</v>
      </c>
      <c r="H1615">
        <v>1</v>
      </c>
      <c r="I1615">
        <v>589</v>
      </c>
      <c r="J1615">
        <v>2018</v>
      </c>
      <c r="K1615" s="4">
        <v>45085</v>
      </c>
      <c r="L1615" t="s">
        <v>23</v>
      </c>
      <c r="M1615" t="s">
        <v>59</v>
      </c>
      <c r="N1615">
        <v>3.07</v>
      </c>
      <c r="O1615">
        <v>1242</v>
      </c>
      <c r="P1615">
        <v>1.78</v>
      </c>
      <c r="Q1615">
        <v>330</v>
      </c>
      <c r="R1615">
        <v>620</v>
      </c>
    </row>
    <row r="1616" spans="1:18" x14ac:dyDescent="0.2">
      <c r="A1616">
        <v>6</v>
      </c>
      <c r="B1616" t="s">
        <v>93</v>
      </c>
      <c r="E1616" t="s">
        <v>29</v>
      </c>
      <c r="F1616">
        <v>787062</v>
      </c>
      <c r="G1616">
        <v>3</v>
      </c>
      <c r="H1616">
        <v>3</v>
      </c>
      <c r="I1616">
        <v>102</v>
      </c>
      <c r="J1616">
        <v>1977</v>
      </c>
      <c r="K1616" s="4">
        <v>45115</v>
      </c>
      <c r="L1616" t="s">
        <v>30</v>
      </c>
      <c r="M1616" t="s">
        <v>70</v>
      </c>
      <c r="N1616">
        <v>1.63</v>
      </c>
      <c r="O1616">
        <v>1265</v>
      </c>
      <c r="P1616">
        <v>0.28000000000000003</v>
      </c>
      <c r="Q1616">
        <v>260</v>
      </c>
      <c r="R1616">
        <v>613</v>
      </c>
    </row>
    <row r="1617" spans="1:18" x14ac:dyDescent="0.2">
      <c r="A1617">
        <v>1</v>
      </c>
      <c r="B1617" t="s">
        <v>43</v>
      </c>
      <c r="E1617" t="s">
        <v>29</v>
      </c>
      <c r="F1617">
        <v>2248872</v>
      </c>
      <c r="G1617">
        <v>5</v>
      </c>
      <c r="H1617">
        <v>2</v>
      </c>
      <c r="I1617">
        <v>886</v>
      </c>
      <c r="J1617">
        <v>2009</v>
      </c>
      <c r="K1617" s="4">
        <v>44166</v>
      </c>
      <c r="L1617" t="s">
        <v>26</v>
      </c>
      <c r="M1617" t="s">
        <v>21</v>
      </c>
      <c r="N1617">
        <v>1.56</v>
      </c>
      <c r="O1617">
        <v>2044</v>
      </c>
      <c r="P1617">
        <v>1.01</v>
      </c>
      <c r="Q1617">
        <v>376</v>
      </c>
      <c r="R1617">
        <v>316</v>
      </c>
    </row>
    <row r="1618" spans="1:18" x14ac:dyDescent="0.2">
      <c r="A1618">
        <v>2</v>
      </c>
      <c r="B1618" t="s">
        <v>62</v>
      </c>
      <c r="E1618" t="s">
        <v>19</v>
      </c>
      <c r="F1618">
        <v>1425448</v>
      </c>
      <c r="G1618">
        <v>2</v>
      </c>
      <c r="H1618">
        <v>1</v>
      </c>
      <c r="I1618">
        <v>781</v>
      </c>
      <c r="J1618">
        <v>1968</v>
      </c>
      <c r="K1618" s="4">
        <v>44572</v>
      </c>
      <c r="L1618" t="s">
        <v>20</v>
      </c>
      <c r="M1618" t="s">
        <v>89</v>
      </c>
      <c r="N1618">
        <v>1.73</v>
      </c>
      <c r="O1618">
        <v>2390</v>
      </c>
      <c r="P1618">
        <v>4.6100000000000003</v>
      </c>
      <c r="Q1618">
        <v>52</v>
      </c>
      <c r="R1618">
        <v>509</v>
      </c>
    </row>
    <row r="1619" spans="1:18" x14ac:dyDescent="0.2">
      <c r="A1619">
        <v>9</v>
      </c>
      <c r="B1619" t="s">
        <v>72</v>
      </c>
      <c r="E1619" t="s">
        <v>51</v>
      </c>
      <c r="F1619">
        <v>1303599</v>
      </c>
      <c r="G1619">
        <v>6</v>
      </c>
      <c r="H1619">
        <v>2</v>
      </c>
      <c r="I1619">
        <v>915</v>
      </c>
      <c r="J1619">
        <v>1999</v>
      </c>
      <c r="K1619" s="4">
        <v>45720</v>
      </c>
      <c r="L1619" t="s">
        <v>23</v>
      </c>
      <c r="M1619" t="s">
        <v>37</v>
      </c>
      <c r="N1619">
        <v>2.77</v>
      </c>
      <c r="O1619">
        <v>2492</v>
      </c>
      <c r="P1619">
        <v>3.99</v>
      </c>
      <c r="Q1619">
        <v>378</v>
      </c>
      <c r="R1619">
        <v>512</v>
      </c>
    </row>
    <row r="1620" spans="1:18" x14ac:dyDescent="0.2">
      <c r="A1620">
        <v>7</v>
      </c>
      <c r="B1620" t="s">
        <v>55</v>
      </c>
      <c r="E1620" t="s">
        <v>51</v>
      </c>
      <c r="F1620">
        <v>2421396</v>
      </c>
      <c r="G1620">
        <v>1</v>
      </c>
      <c r="H1620">
        <v>2</v>
      </c>
      <c r="I1620">
        <v>653</v>
      </c>
      <c r="J1620">
        <v>2001</v>
      </c>
      <c r="K1620" s="4">
        <v>44126</v>
      </c>
      <c r="L1620" t="s">
        <v>26</v>
      </c>
      <c r="M1620" t="s">
        <v>68</v>
      </c>
      <c r="N1620">
        <v>3.11</v>
      </c>
      <c r="O1620">
        <v>2452</v>
      </c>
      <c r="P1620">
        <v>2.54</v>
      </c>
      <c r="Q1620">
        <v>123</v>
      </c>
      <c r="R1620">
        <v>502</v>
      </c>
    </row>
    <row r="1621" spans="1:18" x14ac:dyDescent="0.2">
      <c r="A1621">
        <v>8</v>
      </c>
      <c r="B1621" t="s">
        <v>83</v>
      </c>
      <c r="E1621" t="s">
        <v>51</v>
      </c>
      <c r="F1621">
        <v>1606604</v>
      </c>
      <c r="G1621">
        <v>4</v>
      </c>
      <c r="H1621">
        <v>1</v>
      </c>
      <c r="I1621">
        <v>676</v>
      </c>
      <c r="J1621">
        <v>1986</v>
      </c>
      <c r="K1621" s="4">
        <v>45349</v>
      </c>
      <c r="L1621" t="s">
        <v>26</v>
      </c>
      <c r="M1621" t="s">
        <v>63</v>
      </c>
      <c r="N1621">
        <v>2.23</v>
      </c>
      <c r="O1621">
        <v>2143</v>
      </c>
      <c r="P1621">
        <v>3.94</v>
      </c>
      <c r="Q1621">
        <v>244</v>
      </c>
      <c r="R1621">
        <v>544</v>
      </c>
    </row>
    <row r="1622" spans="1:18" x14ac:dyDescent="0.2">
      <c r="A1622">
        <v>5</v>
      </c>
      <c r="B1622" t="s">
        <v>105</v>
      </c>
      <c r="E1622" t="s">
        <v>51</v>
      </c>
      <c r="F1622">
        <v>2474686</v>
      </c>
      <c r="G1622">
        <v>4</v>
      </c>
      <c r="H1622">
        <v>3</v>
      </c>
      <c r="I1622">
        <v>936</v>
      </c>
      <c r="J1622">
        <v>2017</v>
      </c>
      <c r="K1622" s="4">
        <v>44544</v>
      </c>
      <c r="L1622" t="s">
        <v>20</v>
      </c>
      <c r="M1622" t="s">
        <v>45</v>
      </c>
      <c r="N1622">
        <v>2.48</v>
      </c>
      <c r="O1622">
        <v>1330</v>
      </c>
      <c r="P1622">
        <v>4.18</v>
      </c>
      <c r="Q1622">
        <v>291</v>
      </c>
      <c r="R1622">
        <v>562</v>
      </c>
    </row>
    <row r="1623" spans="1:18" x14ac:dyDescent="0.2">
      <c r="A1623">
        <v>7</v>
      </c>
      <c r="B1623" t="s">
        <v>86</v>
      </c>
      <c r="E1623" t="s">
        <v>19</v>
      </c>
      <c r="F1623">
        <v>2337372</v>
      </c>
      <c r="G1623">
        <v>2</v>
      </c>
      <c r="H1623">
        <v>3</v>
      </c>
      <c r="I1623">
        <v>335</v>
      </c>
      <c r="J1623">
        <v>1957</v>
      </c>
      <c r="K1623" s="4">
        <v>44997</v>
      </c>
      <c r="L1623" t="s">
        <v>20</v>
      </c>
      <c r="M1623" t="s">
        <v>56</v>
      </c>
      <c r="N1623">
        <v>3.19</v>
      </c>
      <c r="O1623">
        <v>968</v>
      </c>
      <c r="P1623">
        <v>4.93</v>
      </c>
      <c r="Q1623">
        <v>50</v>
      </c>
      <c r="R1623">
        <v>598</v>
      </c>
    </row>
    <row r="1624" spans="1:18" x14ac:dyDescent="0.2">
      <c r="A1624">
        <v>0</v>
      </c>
      <c r="B1624" t="s">
        <v>92</v>
      </c>
      <c r="E1624" t="s">
        <v>36</v>
      </c>
      <c r="F1624">
        <v>1284454</v>
      </c>
      <c r="G1624">
        <v>3</v>
      </c>
      <c r="H1624">
        <v>3</v>
      </c>
      <c r="I1624">
        <v>700</v>
      </c>
      <c r="J1624">
        <v>1966</v>
      </c>
      <c r="K1624" s="4">
        <v>45289</v>
      </c>
      <c r="L1624" t="s">
        <v>20</v>
      </c>
      <c r="M1624" t="s">
        <v>21</v>
      </c>
      <c r="N1624">
        <v>2.31</v>
      </c>
      <c r="O1624">
        <v>2182</v>
      </c>
      <c r="P1624">
        <v>1.94</v>
      </c>
      <c r="Q1624">
        <v>230</v>
      </c>
      <c r="R1624">
        <v>414</v>
      </c>
    </row>
    <row r="1625" spans="1:18" x14ac:dyDescent="0.2">
      <c r="A1625">
        <v>7</v>
      </c>
      <c r="B1625" t="s">
        <v>90</v>
      </c>
      <c r="E1625" t="s">
        <v>51</v>
      </c>
      <c r="F1625">
        <v>1590001</v>
      </c>
      <c r="G1625">
        <v>6</v>
      </c>
      <c r="H1625">
        <v>2</v>
      </c>
      <c r="I1625">
        <v>500</v>
      </c>
      <c r="J1625">
        <v>1966</v>
      </c>
      <c r="K1625" s="4">
        <v>45056</v>
      </c>
      <c r="L1625" t="s">
        <v>30</v>
      </c>
      <c r="M1625" t="s">
        <v>69</v>
      </c>
      <c r="N1625">
        <v>3.4</v>
      </c>
      <c r="O1625">
        <v>2459</v>
      </c>
      <c r="P1625">
        <v>1.49</v>
      </c>
      <c r="Q1625">
        <v>387</v>
      </c>
      <c r="R1625">
        <v>637</v>
      </c>
    </row>
    <row r="1626" spans="1:18" x14ac:dyDescent="0.2">
      <c r="A1626">
        <v>6</v>
      </c>
      <c r="B1626" t="s">
        <v>75</v>
      </c>
      <c r="E1626" t="s">
        <v>29</v>
      </c>
      <c r="F1626">
        <v>1915809</v>
      </c>
      <c r="G1626">
        <v>3</v>
      </c>
      <c r="H1626">
        <v>1</v>
      </c>
      <c r="I1626">
        <v>116</v>
      </c>
      <c r="J1626">
        <v>2008</v>
      </c>
      <c r="K1626" s="4">
        <v>45387</v>
      </c>
      <c r="L1626" t="s">
        <v>26</v>
      </c>
      <c r="M1626" t="s">
        <v>35</v>
      </c>
      <c r="N1626">
        <v>1.51</v>
      </c>
      <c r="O1626">
        <v>1215</v>
      </c>
      <c r="P1626">
        <v>4.4400000000000004</v>
      </c>
      <c r="Q1626">
        <v>246</v>
      </c>
      <c r="R1626">
        <v>400</v>
      </c>
    </row>
    <row r="1627" spans="1:18" x14ac:dyDescent="0.2">
      <c r="A1627">
        <v>3</v>
      </c>
      <c r="B1627" t="s">
        <v>94</v>
      </c>
      <c r="E1627" t="s">
        <v>36</v>
      </c>
      <c r="F1627">
        <v>675010</v>
      </c>
      <c r="G1627">
        <v>4</v>
      </c>
      <c r="H1627">
        <v>2</v>
      </c>
      <c r="I1627">
        <v>233</v>
      </c>
      <c r="J1627">
        <v>1987</v>
      </c>
      <c r="K1627" s="4">
        <v>45622</v>
      </c>
      <c r="L1627" t="s">
        <v>30</v>
      </c>
      <c r="M1627" t="s">
        <v>60</v>
      </c>
      <c r="N1627">
        <v>2.71</v>
      </c>
      <c r="O1627">
        <v>2258</v>
      </c>
      <c r="P1627">
        <v>2.27</v>
      </c>
      <c r="Q1627">
        <v>247</v>
      </c>
      <c r="R1627">
        <v>306</v>
      </c>
    </row>
    <row r="1628" spans="1:18" x14ac:dyDescent="0.2">
      <c r="A1628">
        <v>2</v>
      </c>
      <c r="B1628" t="s">
        <v>50</v>
      </c>
      <c r="E1628" t="s">
        <v>36</v>
      </c>
      <c r="F1628">
        <v>452545</v>
      </c>
      <c r="G1628">
        <v>4</v>
      </c>
      <c r="H1628">
        <v>1</v>
      </c>
      <c r="I1628">
        <v>861</v>
      </c>
      <c r="J1628">
        <v>1964</v>
      </c>
      <c r="K1628" s="4">
        <v>44100</v>
      </c>
      <c r="L1628" t="s">
        <v>20</v>
      </c>
      <c r="M1628" t="s">
        <v>78</v>
      </c>
      <c r="N1628">
        <v>1.83</v>
      </c>
      <c r="O1628">
        <v>1339</v>
      </c>
      <c r="P1628">
        <v>1.07</v>
      </c>
      <c r="Q1628">
        <v>286</v>
      </c>
      <c r="R1628">
        <v>643</v>
      </c>
    </row>
    <row r="1629" spans="1:18" x14ac:dyDescent="0.2">
      <c r="A1629">
        <v>5</v>
      </c>
      <c r="B1629" t="s">
        <v>25</v>
      </c>
      <c r="E1629" t="s">
        <v>29</v>
      </c>
      <c r="F1629">
        <v>2316919</v>
      </c>
      <c r="G1629">
        <v>3</v>
      </c>
      <c r="H1629">
        <v>3</v>
      </c>
      <c r="I1629">
        <v>461</v>
      </c>
      <c r="J1629">
        <v>1959</v>
      </c>
      <c r="K1629" s="4">
        <v>44292</v>
      </c>
      <c r="L1629" t="s">
        <v>23</v>
      </c>
      <c r="M1629" t="s">
        <v>24</v>
      </c>
      <c r="N1629">
        <v>1.55</v>
      </c>
      <c r="O1629">
        <v>1310</v>
      </c>
      <c r="P1629">
        <v>1.0900000000000001</v>
      </c>
      <c r="Q1629">
        <v>233</v>
      </c>
      <c r="R1629">
        <v>369</v>
      </c>
    </row>
    <row r="1630" spans="1:18" x14ac:dyDescent="0.2">
      <c r="A1630">
        <v>7</v>
      </c>
      <c r="B1630" t="s">
        <v>39</v>
      </c>
      <c r="E1630" t="s">
        <v>19</v>
      </c>
      <c r="F1630">
        <v>1524124</v>
      </c>
      <c r="G1630">
        <v>6</v>
      </c>
      <c r="H1630">
        <v>1</v>
      </c>
      <c r="I1630">
        <v>250</v>
      </c>
      <c r="J1630">
        <v>2012</v>
      </c>
      <c r="K1630" s="4">
        <v>45456</v>
      </c>
      <c r="L1630" t="s">
        <v>26</v>
      </c>
      <c r="M1630" t="s">
        <v>47</v>
      </c>
      <c r="N1630">
        <v>1.56</v>
      </c>
      <c r="O1630">
        <v>1967</v>
      </c>
      <c r="P1630">
        <v>3.23</v>
      </c>
      <c r="Q1630">
        <v>344</v>
      </c>
      <c r="R1630">
        <v>467</v>
      </c>
    </row>
    <row r="1631" spans="1:18" x14ac:dyDescent="0.2">
      <c r="A1631">
        <v>9</v>
      </c>
      <c r="B1631" t="s">
        <v>79</v>
      </c>
      <c r="E1631" t="s">
        <v>19</v>
      </c>
      <c r="F1631">
        <v>1851494</v>
      </c>
      <c r="G1631">
        <v>0</v>
      </c>
      <c r="H1631">
        <v>1</v>
      </c>
      <c r="I1631">
        <v>418</v>
      </c>
      <c r="J1631">
        <v>1997</v>
      </c>
      <c r="K1631" s="4">
        <v>44891</v>
      </c>
      <c r="L1631" t="s">
        <v>26</v>
      </c>
      <c r="M1631" t="s">
        <v>74</v>
      </c>
      <c r="N1631">
        <v>2.73</v>
      </c>
      <c r="O1631">
        <v>1746</v>
      </c>
      <c r="P1631">
        <v>3.7</v>
      </c>
      <c r="Q1631">
        <v>51</v>
      </c>
      <c r="R1631">
        <v>652</v>
      </c>
    </row>
    <row r="1632" spans="1:18" x14ac:dyDescent="0.2">
      <c r="A1632">
        <v>5</v>
      </c>
      <c r="B1632" t="s">
        <v>94</v>
      </c>
      <c r="E1632" t="s">
        <v>19</v>
      </c>
      <c r="F1632">
        <v>2147783</v>
      </c>
      <c r="G1632">
        <v>3</v>
      </c>
      <c r="H1632">
        <v>3</v>
      </c>
      <c r="I1632">
        <v>138</v>
      </c>
      <c r="J1632">
        <v>2016</v>
      </c>
      <c r="K1632" s="4">
        <v>45769</v>
      </c>
      <c r="L1632" t="s">
        <v>26</v>
      </c>
      <c r="M1632" t="s">
        <v>76</v>
      </c>
      <c r="N1632">
        <v>3.09</v>
      </c>
      <c r="O1632">
        <v>1836</v>
      </c>
      <c r="P1632">
        <v>3.1</v>
      </c>
      <c r="Q1632">
        <v>168</v>
      </c>
      <c r="R1632">
        <v>364</v>
      </c>
    </row>
    <row r="1633" spans="1:18" x14ac:dyDescent="0.2">
      <c r="A1633">
        <v>1</v>
      </c>
      <c r="B1633" t="s">
        <v>38</v>
      </c>
      <c r="E1633" t="s">
        <v>51</v>
      </c>
      <c r="F1633">
        <v>2524811</v>
      </c>
      <c r="G1633">
        <v>4</v>
      </c>
      <c r="H1633">
        <v>1</v>
      </c>
      <c r="I1633">
        <v>361</v>
      </c>
      <c r="J1633">
        <v>1996</v>
      </c>
      <c r="K1633" s="4">
        <v>45712</v>
      </c>
      <c r="L1633" t="s">
        <v>20</v>
      </c>
      <c r="M1633" t="s">
        <v>42</v>
      </c>
      <c r="N1633">
        <v>2.17</v>
      </c>
      <c r="O1633">
        <v>2074</v>
      </c>
      <c r="P1633">
        <v>0.32</v>
      </c>
      <c r="Q1633">
        <v>342</v>
      </c>
      <c r="R1633">
        <v>473</v>
      </c>
    </row>
    <row r="1634" spans="1:18" x14ac:dyDescent="0.2">
      <c r="A1634">
        <v>4</v>
      </c>
      <c r="B1634" t="s">
        <v>34</v>
      </c>
      <c r="E1634" t="s">
        <v>51</v>
      </c>
      <c r="F1634">
        <v>591230</v>
      </c>
      <c r="G1634">
        <v>3</v>
      </c>
      <c r="H1634">
        <v>3</v>
      </c>
      <c r="I1634">
        <v>385</v>
      </c>
      <c r="J1634">
        <v>2004</v>
      </c>
      <c r="K1634" s="4">
        <v>44474</v>
      </c>
      <c r="L1634" t="s">
        <v>26</v>
      </c>
      <c r="M1634" t="s">
        <v>89</v>
      </c>
      <c r="N1634">
        <v>1.96</v>
      </c>
      <c r="O1634">
        <v>1518</v>
      </c>
      <c r="P1634">
        <v>4.5999999999999996</v>
      </c>
      <c r="Q1634">
        <v>109</v>
      </c>
      <c r="R1634">
        <v>569</v>
      </c>
    </row>
    <row r="1635" spans="1:18" x14ac:dyDescent="0.2">
      <c r="A1635">
        <v>6</v>
      </c>
      <c r="B1635" t="s">
        <v>94</v>
      </c>
      <c r="E1635" t="s">
        <v>36</v>
      </c>
      <c r="F1635">
        <v>537605</v>
      </c>
      <c r="G1635">
        <v>2</v>
      </c>
      <c r="H1635">
        <v>1</v>
      </c>
      <c r="I1635">
        <v>384</v>
      </c>
      <c r="J1635">
        <v>1973</v>
      </c>
      <c r="K1635" s="4">
        <v>45209</v>
      </c>
      <c r="L1635" t="s">
        <v>20</v>
      </c>
      <c r="M1635" t="s">
        <v>33</v>
      </c>
      <c r="N1635">
        <v>2.81</v>
      </c>
      <c r="O1635">
        <v>1481</v>
      </c>
      <c r="P1635">
        <v>2.67</v>
      </c>
      <c r="Q1635">
        <v>40</v>
      </c>
      <c r="R1635">
        <v>439</v>
      </c>
    </row>
    <row r="1636" spans="1:18" x14ac:dyDescent="0.2">
      <c r="A1636">
        <v>3</v>
      </c>
      <c r="B1636" t="s">
        <v>25</v>
      </c>
      <c r="E1636" t="s">
        <v>19</v>
      </c>
      <c r="F1636">
        <v>2782300</v>
      </c>
      <c r="G1636">
        <v>6</v>
      </c>
      <c r="H1636">
        <v>3</v>
      </c>
      <c r="I1636">
        <v>553</v>
      </c>
      <c r="J1636">
        <v>1955</v>
      </c>
      <c r="K1636" s="4">
        <v>45153</v>
      </c>
      <c r="L1636" t="s">
        <v>30</v>
      </c>
      <c r="M1636" t="s">
        <v>52</v>
      </c>
      <c r="N1636">
        <v>3.06</v>
      </c>
      <c r="O1636">
        <v>1456</v>
      </c>
      <c r="P1636">
        <v>3.64</v>
      </c>
      <c r="Q1636">
        <v>339</v>
      </c>
      <c r="R1636">
        <v>654</v>
      </c>
    </row>
    <row r="1637" spans="1:18" x14ac:dyDescent="0.2">
      <c r="A1637">
        <v>9</v>
      </c>
      <c r="B1637" t="s">
        <v>43</v>
      </c>
      <c r="E1637" t="s">
        <v>29</v>
      </c>
      <c r="F1637">
        <v>414713</v>
      </c>
      <c r="G1637">
        <v>6</v>
      </c>
      <c r="H1637">
        <v>2</v>
      </c>
      <c r="I1637">
        <v>615</v>
      </c>
      <c r="J1637">
        <v>1969</v>
      </c>
      <c r="K1637" s="4">
        <v>45442</v>
      </c>
      <c r="L1637" t="s">
        <v>30</v>
      </c>
      <c r="M1637" t="s">
        <v>69</v>
      </c>
      <c r="N1637">
        <v>2.69</v>
      </c>
      <c r="O1637">
        <v>1058</v>
      </c>
      <c r="P1637">
        <v>4.74</v>
      </c>
      <c r="Q1637">
        <v>361</v>
      </c>
      <c r="R1637">
        <v>594</v>
      </c>
    </row>
    <row r="1638" spans="1:18" x14ac:dyDescent="0.2">
      <c r="A1638">
        <v>0</v>
      </c>
      <c r="B1638" t="s">
        <v>25</v>
      </c>
      <c r="E1638" t="s">
        <v>19</v>
      </c>
      <c r="F1638">
        <v>2244831</v>
      </c>
      <c r="G1638">
        <v>5</v>
      </c>
      <c r="H1638">
        <v>3</v>
      </c>
      <c r="I1638">
        <v>320</v>
      </c>
      <c r="J1638">
        <v>1993</v>
      </c>
      <c r="K1638" s="4">
        <v>44552</v>
      </c>
      <c r="L1638" t="s">
        <v>23</v>
      </c>
      <c r="M1638" t="s">
        <v>58</v>
      </c>
      <c r="N1638">
        <v>2.72</v>
      </c>
      <c r="O1638">
        <v>1019</v>
      </c>
      <c r="P1638">
        <v>2.2000000000000002</v>
      </c>
      <c r="Q1638">
        <v>358</v>
      </c>
      <c r="R1638">
        <v>659</v>
      </c>
    </row>
    <row r="1639" spans="1:18" x14ac:dyDescent="0.2">
      <c r="A1639">
        <v>5</v>
      </c>
      <c r="B1639" t="s">
        <v>71</v>
      </c>
      <c r="E1639" t="s">
        <v>51</v>
      </c>
      <c r="F1639">
        <v>2763860</v>
      </c>
      <c r="G1639">
        <v>3</v>
      </c>
      <c r="H1639">
        <v>2</v>
      </c>
      <c r="I1639">
        <v>474</v>
      </c>
      <c r="J1639">
        <v>1996</v>
      </c>
      <c r="K1639" s="4">
        <v>45624</v>
      </c>
      <c r="L1639" t="s">
        <v>23</v>
      </c>
      <c r="M1639" t="s">
        <v>77</v>
      </c>
      <c r="N1639">
        <v>3.16</v>
      </c>
      <c r="O1639">
        <v>2485</v>
      </c>
      <c r="P1639">
        <v>0.36</v>
      </c>
      <c r="Q1639">
        <v>212</v>
      </c>
      <c r="R1639">
        <v>467</v>
      </c>
    </row>
    <row r="1640" spans="1:18" x14ac:dyDescent="0.2">
      <c r="A1640">
        <v>3</v>
      </c>
      <c r="B1640" t="s">
        <v>96</v>
      </c>
      <c r="E1640" t="s">
        <v>51</v>
      </c>
      <c r="F1640">
        <v>1868032</v>
      </c>
      <c r="G1640">
        <v>1</v>
      </c>
      <c r="H1640">
        <v>2</v>
      </c>
      <c r="I1640">
        <v>155</v>
      </c>
      <c r="J1640">
        <v>2018</v>
      </c>
      <c r="K1640" s="4">
        <v>45816</v>
      </c>
      <c r="L1640" t="s">
        <v>26</v>
      </c>
      <c r="M1640" t="s">
        <v>40</v>
      </c>
      <c r="N1640">
        <v>1.69</v>
      </c>
      <c r="O1640">
        <v>1844</v>
      </c>
      <c r="P1640">
        <v>0.51</v>
      </c>
      <c r="Q1640">
        <v>148</v>
      </c>
      <c r="R1640">
        <v>400</v>
      </c>
    </row>
    <row r="1641" spans="1:18" x14ac:dyDescent="0.2">
      <c r="A1641">
        <v>8</v>
      </c>
      <c r="B1641" t="s">
        <v>93</v>
      </c>
      <c r="E1641" t="s">
        <v>19</v>
      </c>
      <c r="F1641">
        <v>1697146</v>
      </c>
      <c r="G1641">
        <v>5</v>
      </c>
      <c r="H1641">
        <v>1</v>
      </c>
      <c r="I1641">
        <v>284</v>
      </c>
      <c r="J1641">
        <v>1983</v>
      </c>
      <c r="K1641" s="4">
        <v>44372</v>
      </c>
      <c r="L1641" t="s">
        <v>20</v>
      </c>
      <c r="M1641" t="s">
        <v>82</v>
      </c>
      <c r="N1641">
        <v>2.78</v>
      </c>
      <c r="O1641">
        <v>915</v>
      </c>
      <c r="P1641">
        <v>1.86</v>
      </c>
      <c r="Q1641">
        <v>259</v>
      </c>
      <c r="R1641">
        <v>352</v>
      </c>
    </row>
    <row r="1642" spans="1:18" x14ac:dyDescent="0.2">
      <c r="A1642">
        <v>6</v>
      </c>
      <c r="B1642" t="s">
        <v>53</v>
      </c>
      <c r="E1642" t="s">
        <v>36</v>
      </c>
      <c r="F1642">
        <v>2291309</v>
      </c>
      <c r="G1642">
        <v>5</v>
      </c>
      <c r="H1642">
        <v>2</v>
      </c>
      <c r="I1642">
        <v>826</v>
      </c>
      <c r="J1642">
        <v>2015</v>
      </c>
      <c r="K1642" s="4">
        <v>44492</v>
      </c>
      <c r="L1642" t="s">
        <v>23</v>
      </c>
      <c r="M1642" t="s">
        <v>69</v>
      </c>
      <c r="N1642">
        <v>2.4900000000000002</v>
      </c>
      <c r="O1642">
        <v>1449</v>
      </c>
      <c r="P1642">
        <v>4.7300000000000004</v>
      </c>
      <c r="Q1642">
        <v>270</v>
      </c>
      <c r="R1642">
        <v>430</v>
      </c>
    </row>
    <row r="1643" spans="1:18" x14ac:dyDescent="0.2">
      <c r="A1643">
        <v>5</v>
      </c>
      <c r="B1643" t="s">
        <v>86</v>
      </c>
      <c r="E1643" t="s">
        <v>29</v>
      </c>
      <c r="F1643">
        <v>2457076</v>
      </c>
      <c r="G1643">
        <v>3</v>
      </c>
      <c r="H1643">
        <v>1</v>
      </c>
      <c r="I1643">
        <v>629</v>
      </c>
      <c r="J1643">
        <v>1964</v>
      </c>
      <c r="K1643" s="4">
        <v>44682</v>
      </c>
      <c r="L1643" t="s">
        <v>20</v>
      </c>
      <c r="M1643" t="s">
        <v>70</v>
      </c>
      <c r="N1643">
        <v>2.97</v>
      </c>
      <c r="O1643">
        <v>1105</v>
      </c>
      <c r="P1643">
        <v>0.64</v>
      </c>
      <c r="Q1643">
        <v>257</v>
      </c>
      <c r="R1643">
        <v>504</v>
      </c>
    </row>
    <row r="1644" spans="1:18" x14ac:dyDescent="0.2">
      <c r="A1644">
        <v>9</v>
      </c>
      <c r="B1644" t="s">
        <v>28</v>
      </c>
      <c r="E1644" t="s">
        <v>19</v>
      </c>
      <c r="F1644">
        <v>2580758</v>
      </c>
      <c r="G1644">
        <v>5</v>
      </c>
      <c r="H1644">
        <v>2</v>
      </c>
      <c r="I1644">
        <v>895</v>
      </c>
      <c r="J1644">
        <v>1965</v>
      </c>
      <c r="K1644" s="4">
        <v>44464</v>
      </c>
      <c r="L1644" t="s">
        <v>23</v>
      </c>
      <c r="M1644" t="s">
        <v>78</v>
      </c>
      <c r="N1644">
        <v>1.58</v>
      </c>
      <c r="O1644">
        <v>1896</v>
      </c>
      <c r="P1644">
        <v>4.4400000000000004</v>
      </c>
      <c r="Q1644">
        <v>363</v>
      </c>
      <c r="R1644">
        <v>317</v>
      </c>
    </row>
    <row r="1645" spans="1:18" x14ac:dyDescent="0.2">
      <c r="A1645">
        <v>4</v>
      </c>
      <c r="B1645" t="s">
        <v>80</v>
      </c>
      <c r="E1645" t="s">
        <v>19</v>
      </c>
      <c r="F1645">
        <v>2508700</v>
      </c>
      <c r="G1645">
        <v>6</v>
      </c>
      <c r="H1645">
        <v>3</v>
      </c>
      <c r="I1645">
        <v>93</v>
      </c>
      <c r="J1645">
        <v>2007</v>
      </c>
      <c r="K1645" s="4">
        <v>45829</v>
      </c>
      <c r="L1645" t="s">
        <v>20</v>
      </c>
      <c r="M1645" t="s">
        <v>59</v>
      </c>
      <c r="N1645">
        <v>1.71</v>
      </c>
      <c r="O1645">
        <v>1611</v>
      </c>
      <c r="P1645">
        <v>2.37</v>
      </c>
      <c r="Q1645">
        <v>327</v>
      </c>
      <c r="R1645">
        <v>319</v>
      </c>
    </row>
    <row r="1646" spans="1:18" x14ac:dyDescent="0.2">
      <c r="A1646">
        <v>7</v>
      </c>
      <c r="B1646" t="s">
        <v>53</v>
      </c>
      <c r="E1646" t="s">
        <v>51</v>
      </c>
      <c r="F1646">
        <v>2821487</v>
      </c>
      <c r="G1646">
        <v>3</v>
      </c>
      <c r="H1646">
        <v>2</v>
      </c>
      <c r="I1646">
        <v>948</v>
      </c>
      <c r="J1646">
        <v>1967</v>
      </c>
      <c r="K1646" s="4">
        <v>44780</v>
      </c>
      <c r="L1646" t="s">
        <v>20</v>
      </c>
      <c r="M1646" t="s">
        <v>58</v>
      </c>
      <c r="N1646">
        <v>2.62</v>
      </c>
      <c r="O1646">
        <v>1673</v>
      </c>
      <c r="P1646">
        <v>1.3</v>
      </c>
      <c r="Q1646">
        <v>225</v>
      </c>
      <c r="R1646">
        <v>442</v>
      </c>
    </row>
    <row r="1647" spans="1:18" x14ac:dyDescent="0.2">
      <c r="A1647">
        <v>3</v>
      </c>
      <c r="B1647" t="s">
        <v>48</v>
      </c>
      <c r="E1647" t="s">
        <v>29</v>
      </c>
      <c r="F1647">
        <v>429132</v>
      </c>
      <c r="G1647">
        <v>2</v>
      </c>
      <c r="H1647">
        <v>2</v>
      </c>
      <c r="I1647">
        <v>503</v>
      </c>
      <c r="J1647">
        <v>2003</v>
      </c>
      <c r="K1647" s="4">
        <v>45063</v>
      </c>
      <c r="L1647" t="s">
        <v>26</v>
      </c>
      <c r="M1647" t="s">
        <v>24</v>
      </c>
      <c r="N1647">
        <v>2.2599999999999998</v>
      </c>
      <c r="O1647">
        <v>898</v>
      </c>
      <c r="P1647">
        <v>2.4900000000000002</v>
      </c>
      <c r="Q1647">
        <v>106</v>
      </c>
      <c r="R1647">
        <v>614</v>
      </c>
    </row>
    <row r="1648" spans="1:18" x14ac:dyDescent="0.2">
      <c r="A1648">
        <v>2</v>
      </c>
      <c r="B1648" t="s">
        <v>73</v>
      </c>
      <c r="E1648" t="s">
        <v>29</v>
      </c>
      <c r="F1648">
        <v>1405191</v>
      </c>
      <c r="G1648">
        <v>2</v>
      </c>
      <c r="H1648">
        <v>2</v>
      </c>
      <c r="I1648">
        <v>478</v>
      </c>
      <c r="J1648">
        <v>2010</v>
      </c>
      <c r="K1648" s="4">
        <v>45321</v>
      </c>
      <c r="L1648" t="s">
        <v>23</v>
      </c>
      <c r="M1648" t="s">
        <v>24</v>
      </c>
      <c r="N1648">
        <v>1.71</v>
      </c>
      <c r="O1648">
        <v>1275</v>
      </c>
      <c r="P1648">
        <v>3.18</v>
      </c>
      <c r="Q1648">
        <v>131</v>
      </c>
      <c r="R1648">
        <v>448</v>
      </c>
    </row>
    <row r="1649" spans="1:18" x14ac:dyDescent="0.2">
      <c r="A1649">
        <v>8</v>
      </c>
      <c r="B1649" t="s">
        <v>96</v>
      </c>
      <c r="E1649" t="s">
        <v>29</v>
      </c>
      <c r="F1649">
        <v>2762094</v>
      </c>
      <c r="G1649">
        <v>3</v>
      </c>
      <c r="H1649">
        <v>3</v>
      </c>
      <c r="I1649">
        <v>973</v>
      </c>
      <c r="J1649">
        <v>1998</v>
      </c>
      <c r="K1649" s="4">
        <v>44657</v>
      </c>
      <c r="L1649" t="s">
        <v>26</v>
      </c>
      <c r="M1649" t="s">
        <v>47</v>
      </c>
      <c r="N1649">
        <v>2.94</v>
      </c>
      <c r="O1649">
        <v>1241</v>
      </c>
      <c r="P1649">
        <v>3.63</v>
      </c>
      <c r="Q1649">
        <v>146</v>
      </c>
      <c r="R1649">
        <v>460</v>
      </c>
    </row>
    <row r="1650" spans="1:18" x14ac:dyDescent="0.2">
      <c r="A1650">
        <v>6</v>
      </c>
      <c r="B1650" t="s">
        <v>61</v>
      </c>
      <c r="E1650" t="s">
        <v>19</v>
      </c>
      <c r="F1650">
        <v>2669384</v>
      </c>
      <c r="G1650">
        <v>6</v>
      </c>
      <c r="H1650">
        <v>3</v>
      </c>
      <c r="I1650">
        <v>664</v>
      </c>
      <c r="J1650">
        <v>1959</v>
      </c>
      <c r="K1650" s="4">
        <v>44348</v>
      </c>
      <c r="L1650" t="s">
        <v>23</v>
      </c>
      <c r="M1650" t="s">
        <v>69</v>
      </c>
      <c r="N1650">
        <v>2.38</v>
      </c>
      <c r="O1650">
        <v>2334</v>
      </c>
      <c r="P1650">
        <v>0.3</v>
      </c>
      <c r="Q1650">
        <v>352</v>
      </c>
      <c r="R1650">
        <v>376</v>
      </c>
    </row>
    <row r="1651" spans="1:18" x14ac:dyDescent="0.2">
      <c r="A1651">
        <v>8</v>
      </c>
      <c r="B1651" t="s">
        <v>80</v>
      </c>
      <c r="E1651" t="s">
        <v>19</v>
      </c>
      <c r="F1651">
        <v>1126904</v>
      </c>
      <c r="G1651">
        <v>3</v>
      </c>
      <c r="H1651">
        <v>3</v>
      </c>
      <c r="I1651">
        <v>334</v>
      </c>
      <c r="J1651">
        <v>2017</v>
      </c>
      <c r="K1651" s="4">
        <v>45656</v>
      </c>
      <c r="L1651" t="s">
        <v>23</v>
      </c>
      <c r="M1651" t="s">
        <v>70</v>
      </c>
      <c r="N1651">
        <v>1.52</v>
      </c>
      <c r="O1651">
        <v>845</v>
      </c>
      <c r="P1651">
        <v>3.25</v>
      </c>
      <c r="Q1651">
        <v>249</v>
      </c>
      <c r="R1651">
        <v>652</v>
      </c>
    </row>
    <row r="1652" spans="1:18" x14ac:dyDescent="0.2">
      <c r="A1652">
        <v>3</v>
      </c>
      <c r="B1652" t="s">
        <v>32</v>
      </c>
      <c r="E1652" t="s">
        <v>51</v>
      </c>
      <c r="F1652">
        <v>459298</v>
      </c>
      <c r="G1652">
        <v>4</v>
      </c>
      <c r="H1652">
        <v>3</v>
      </c>
      <c r="I1652">
        <v>365</v>
      </c>
      <c r="J1652">
        <v>1953</v>
      </c>
      <c r="K1652" s="4">
        <v>44191</v>
      </c>
      <c r="L1652" t="s">
        <v>30</v>
      </c>
      <c r="M1652" t="s">
        <v>52</v>
      </c>
      <c r="N1652">
        <v>3.1</v>
      </c>
      <c r="O1652">
        <v>2057</v>
      </c>
      <c r="P1652">
        <v>4.88</v>
      </c>
      <c r="Q1652">
        <v>170</v>
      </c>
      <c r="R1652">
        <v>333</v>
      </c>
    </row>
    <row r="1653" spans="1:18" x14ac:dyDescent="0.2">
      <c r="A1653">
        <v>1</v>
      </c>
      <c r="B1653" t="s">
        <v>93</v>
      </c>
      <c r="E1653" t="s">
        <v>103</v>
      </c>
      <c r="F1653">
        <v>860488</v>
      </c>
      <c r="G1653">
        <v>4</v>
      </c>
      <c r="H1653">
        <v>3</v>
      </c>
      <c r="I1653">
        <v>148</v>
      </c>
      <c r="J1653">
        <v>1999</v>
      </c>
      <c r="K1653" s="4">
        <v>44509</v>
      </c>
      <c r="L1653" t="s">
        <v>26</v>
      </c>
      <c r="M1653" t="s">
        <v>60</v>
      </c>
      <c r="N1653">
        <v>3.06</v>
      </c>
      <c r="O1653">
        <v>1884</v>
      </c>
      <c r="P1653">
        <v>3.39</v>
      </c>
      <c r="Q1653">
        <v>271</v>
      </c>
      <c r="R1653">
        <v>448</v>
      </c>
    </row>
    <row r="1654" spans="1:18" x14ac:dyDescent="0.2">
      <c r="A1654">
        <v>8</v>
      </c>
      <c r="B1654" t="s">
        <v>18</v>
      </c>
      <c r="E1654" t="s">
        <v>19</v>
      </c>
      <c r="F1654">
        <v>766730</v>
      </c>
      <c r="G1654">
        <v>4</v>
      </c>
      <c r="H1654">
        <v>3</v>
      </c>
      <c r="I1654">
        <v>357</v>
      </c>
      <c r="J1654">
        <v>1974</v>
      </c>
      <c r="K1654" s="4">
        <v>44551</v>
      </c>
      <c r="L1654" t="s">
        <v>20</v>
      </c>
      <c r="M1654" t="s">
        <v>69</v>
      </c>
      <c r="N1654">
        <v>2.09</v>
      </c>
      <c r="O1654">
        <v>858</v>
      </c>
      <c r="P1654">
        <v>4.87</v>
      </c>
      <c r="Q1654">
        <v>173</v>
      </c>
      <c r="R1654">
        <v>631</v>
      </c>
    </row>
    <row r="1655" spans="1:18" x14ac:dyDescent="0.2">
      <c r="A1655">
        <v>6</v>
      </c>
      <c r="B1655" t="s">
        <v>104</v>
      </c>
      <c r="E1655" t="s">
        <v>36</v>
      </c>
      <c r="F1655">
        <v>1924978</v>
      </c>
      <c r="G1655">
        <v>1</v>
      </c>
      <c r="H1655">
        <v>2</v>
      </c>
      <c r="I1655">
        <v>189</v>
      </c>
      <c r="J1655">
        <v>1995</v>
      </c>
      <c r="K1655" s="4">
        <v>44296</v>
      </c>
      <c r="L1655" t="s">
        <v>30</v>
      </c>
      <c r="M1655" t="s">
        <v>68</v>
      </c>
      <c r="N1655">
        <v>2.76</v>
      </c>
      <c r="O1655">
        <v>2188</v>
      </c>
      <c r="P1655">
        <v>0.12</v>
      </c>
      <c r="Q1655">
        <v>95</v>
      </c>
      <c r="R1655">
        <v>310</v>
      </c>
    </row>
    <row r="1656" spans="1:18" x14ac:dyDescent="0.2">
      <c r="A1656">
        <v>8</v>
      </c>
      <c r="B1656" t="s">
        <v>92</v>
      </c>
      <c r="E1656" t="s">
        <v>29</v>
      </c>
      <c r="F1656">
        <v>2812581</v>
      </c>
      <c r="G1656">
        <v>3</v>
      </c>
      <c r="H1656">
        <v>1</v>
      </c>
      <c r="I1656">
        <v>635</v>
      </c>
      <c r="J1656">
        <v>2019</v>
      </c>
      <c r="K1656" s="4">
        <v>44277</v>
      </c>
      <c r="L1656" t="s">
        <v>23</v>
      </c>
      <c r="M1656" t="s">
        <v>54</v>
      </c>
      <c r="N1656">
        <v>2.44</v>
      </c>
      <c r="O1656">
        <v>1397</v>
      </c>
      <c r="P1656">
        <v>1.42</v>
      </c>
      <c r="Q1656">
        <v>278</v>
      </c>
      <c r="R1656">
        <v>563</v>
      </c>
    </row>
    <row r="1657" spans="1:18" x14ac:dyDescent="0.2">
      <c r="A1657">
        <v>2</v>
      </c>
      <c r="B1657" t="s">
        <v>50</v>
      </c>
      <c r="E1657" t="s">
        <v>51</v>
      </c>
      <c r="F1657">
        <v>2912671</v>
      </c>
      <c r="G1657">
        <v>4</v>
      </c>
      <c r="H1657">
        <v>1</v>
      </c>
      <c r="I1657">
        <v>794</v>
      </c>
      <c r="J1657">
        <v>2010</v>
      </c>
      <c r="K1657" s="4">
        <v>44213</v>
      </c>
      <c r="L1657" t="s">
        <v>23</v>
      </c>
      <c r="M1657" t="s">
        <v>85</v>
      </c>
      <c r="N1657">
        <v>3.37</v>
      </c>
      <c r="O1657">
        <v>1129</v>
      </c>
      <c r="P1657">
        <v>1.53</v>
      </c>
      <c r="Q1657">
        <v>245</v>
      </c>
      <c r="R1657">
        <v>532</v>
      </c>
    </row>
    <row r="1658" spans="1:18" x14ac:dyDescent="0.2">
      <c r="A1658">
        <v>2</v>
      </c>
      <c r="B1658" t="s">
        <v>95</v>
      </c>
      <c r="E1658" t="s">
        <v>29</v>
      </c>
      <c r="F1658">
        <v>2288272</v>
      </c>
      <c r="G1658">
        <v>4</v>
      </c>
      <c r="H1658">
        <v>1</v>
      </c>
      <c r="I1658">
        <v>193</v>
      </c>
      <c r="J1658">
        <v>2009</v>
      </c>
      <c r="K1658" s="4">
        <v>44091</v>
      </c>
      <c r="L1658" t="s">
        <v>20</v>
      </c>
      <c r="M1658" t="s">
        <v>68</v>
      </c>
      <c r="N1658">
        <v>2.0299999999999998</v>
      </c>
      <c r="O1658">
        <v>1739</v>
      </c>
      <c r="P1658">
        <v>4.12</v>
      </c>
      <c r="Q1658">
        <v>333</v>
      </c>
      <c r="R1658">
        <v>329</v>
      </c>
    </row>
    <row r="1659" spans="1:18" x14ac:dyDescent="0.2">
      <c r="A1659">
        <v>0</v>
      </c>
      <c r="B1659" t="s">
        <v>73</v>
      </c>
      <c r="E1659" t="s">
        <v>36</v>
      </c>
      <c r="F1659">
        <v>2776021</v>
      </c>
      <c r="G1659">
        <v>0</v>
      </c>
      <c r="H1659">
        <v>3</v>
      </c>
      <c r="I1659">
        <v>669</v>
      </c>
      <c r="J1659">
        <v>1987</v>
      </c>
      <c r="K1659" s="4">
        <v>45501</v>
      </c>
      <c r="L1659" t="s">
        <v>30</v>
      </c>
      <c r="M1659" t="s">
        <v>70</v>
      </c>
      <c r="N1659">
        <v>1.64</v>
      </c>
      <c r="O1659">
        <v>2140</v>
      </c>
      <c r="P1659">
        <v>3.49</v>
      </c>
      <c r="Q1659">
        <v>52</v>
      </c>
      <c r="R1659">
        <v>574</v>
      </c>
    </row>
    <row r="1660" spans="1:18" x14ac:dyDescent="0.2">
      <c r="A1660">
        <v>4</v>
      </c>
      <c r="B1660" t="s">
        <v>39</v>
      </c>
      <c r="E1660" t="s">
        <v>51</v>
      </c>
      <c r="F1660">
        <v>1130359</v>
      </c>
      <c r="G1660">
        <v>5</v>
      </c>
      <c r="H1660">
        <v>3</v>
      </c>
      <c r="I1660">
        <v>82</v>
      </c>
      <c r="J1660">
        <v>1985</v>
      </c>
      <c r="K1660" s="4">
        <v>44975</v>
      </c>
      <c r="L1660" t="s">
        <v>20</v>
      </c>
      <c r="M1660" t="s">
        <v>82</v>
      </c>
      <c r="N1660">
        <v>1.59</v>
      </c>
      <c r="O1660">
        <v>859</v>
      </c>
      <c r="P1660">
        <v>3.08</v>
      </c>
      <c r="Q1660">
        <v>281</v>
      </c>
      <c r="R1660">
        <v>330</v>
      </c>
    </row>
    <row r="1661" spans="1:18" x14ac:dyDescent="0.2">
      <c r="A1661">
        <v>8</v>
      </c>
      <c r="B1661" t="s">
        <v>73</v>
      </c>
      <c r="E1661" t="s">
        <v>36</v>
      </c>
      <c r="F1661">
        <v>1968020</v>
      </c>
      <c r="G1661">
        <v>3</v>
      </c>
      <c r="H1661">
        <v>2</v>
      </c>
      <c r="I1661">
        <v>801</v>
      </c>
      <c r="J1661">
        <v>1989</v>
      </c>
      <c r="K1661" s="4">
        <v>44400</v>
      </c>
      <c r="L1661" t="s">
        <v>26</v>
      </c>
      <c r="M1661" t="s">
        <v>56</v>
      </c>
      <c r="N1661">
        <v>2.68</v>
      </c>
      <c r="O1661">
        <v>1391</v>
      </c>
      <c r="P1661">
        <v>3.47</v>
      </c>
      <c r="Q1661">
        <v>160</v>
      </c>
      <c r="R1661">
        <v>569</v>
      </c>
    </row>
    <row r="1662" spans="1:18" x14ac:dyDescent="0.2">
      <c r="A1662">
        <v>1</v>
      </c>
      <c r="B1662" t="s">
        <v>88</v>
      </c>
      <c r="E1662" t="s">
        <v>19</v>
      </c>
      <c r="F1662">
        <v>814611</v>
      </c>
      <c r="G1662">
        <v>4</v>
      </c>
      <c r="H1662">
        <v>1</v>
      </c>
      <c r="I1662">
        <v>183</v>
      </c>
      <c r="J1662">
        <v>1976</v>
      </c>
      <c r="K1662" s="4">
        <v>44557</v>
      </c>
      <c r="L1662" t="s">
        <v>23</v>
      </c>
      <c r="M1662" t="s">
        <v>45</v>
      </c>
      <c r="N1662">
        <v>3.39</v>
      </c>
      <c r="O1662">
        <v>2248</v>
      </c>
      <c r="P1662">
        <v>4.01</v>
      </c>
      <c r="Q1662">
        <v>247</v>
      </c>
      <c r="R1662">
        <v>325</v>
      </c>
    </row>
    <row r="1663" spans="1:18" x14ac:dyDescent="0.2">
      <c r="A1663">
        <v>2</v>
      </c>
      <c r="B1663" t="s">
        <v>90</v>
      </c>
      <c r="E1663" t="s">
        <v>29</v>
      </c>
      <c r="F1663">
        <v>1607475</v>
      </c>
      <c r="G1663">
        <v>1</v>
      </c>
      <c r="H1663">
        <v>1</v>
      </c>
      <c r="I1663">
        <v>377</v>
      </c>
      <c r="J1663">
        <v>1965</v>
      </c>
      <c r="K1663" s="4">
        <v>44347</v>
      </c>
      <c r="L1663" t="s">
        <v>30</v>
      </c>
      <c r="M1663" t="s">
        <v>97</v>
      </c>
      <c r="N1663">
        <v>2.16</v>
      </c>
      <c r="O1663">
        <v>1351</v>
      </c>
      <c r="P1663">
        <v>3.28</v>
      </c>
      <c r="Q1663">
        <v>160</v>
      </c>
      <c r="R1663">
        <v>345</v>
      </c>
    </row>
    <row r="1664" spans="1:18" x14ac:dyDescent="0.2">
      <c r="A1664">
        <v>9</v>
      </c>
      <c r="B1664" t="s">
        <v>92</v>
      </c>
      <c r="E1664" t="s">
        <v>36</v>
      </c>
      <c r="F1664">
        <v>2849130</v>
      </c>
      <c r="G1664">
        <v>3</v>
      </c>
      <c r="H1664">
        <v>3</v>
      </c>
      <c r="I1664">
        <v>244</v>
      </c>
      <c r="J1664">
        <v>2014</v>
      </c>
      <c r="K1664" s="4">
        <v>44418</v>
      </c>
      <c r="L1664" t="s">
        <v>23</v>
      </c>
      <c r="M1664" t="s">
        <v>40</v>
      </c>
      <c r="N1664">
        <v>2.7</v>
      </c>
      <c r="O1664">
        <v>1880</v>
      </c>
      <c r="P1664">
        <v>1.79</v>
      </c>
      <c r="Q1664">
        <v>262</v>
      </c>
      <c r="R1664">
        <v>644</v>
      </c>
    </row>
    <row r="1665" spans="1:18" x14ac:dyDescent="0.2">
      <c r="A1665">
        <v>7</v>
      </c>
      <c r="B1665" t="s">
        <v>67</v>
      </c>
      <c r="E1665" t="s">
        <v>36</v>
      </c>
      <c r="F1665">
        <v>1402505</v>
      </c>
      <c r="G1665">
        <v>4</v>
      </c>
      <c r="H1665">
        <v>3</v>
      </c>
      <c r="I1665">
        <v>785</v>
      </c>
      <c r="J1665">
        <v>1983</v>
      </c>
      <c r="K1665" s="4">
        <v>44095</v>
      </c>
      <c r="L1665" t="s">
        <v>26</v>
      </c>
      <c r="M1665" t="s">
        <v>27</v>
      </c>
      <c r="N1665">
        <v>2.4500000000000002</v>
      </c>
      <c r="O1665">
        <v>1501</v>
      </c>
      <c r="P1665">
        <v>0.39</v>
      </c>
      <c r="Q1665">
        <v>173</v>
      </c>
      <c r="R1665">
        <v>356</v>
      </c>
    </row>
    <row r="1666" spans="1:18" x14ac:dyDescent="0.2">
      <c r="A1666">
        <v>6</v>
      </c>
      <c r="B1666" t="s">
        <v>39</v>
      </c>
      <c r="E1666" t="s">
        <v>36</v>
      </c>
      <c r="F1666">
        <v>1785279</v>
      </c>
      <c r="G1666">
        <v>6</v>
      </c>
      <c r="H1666">
        <v>1</v>
      </c>
      <c r="I1666">
        <v>62</v>
      </c>
      <c r="J1666">
        <v>1989</v>
      </c>
      <c r="K1666" s="4">
        <v>44163</v>
      </c>
      <c r="L1666" t="s">
        <v>23</v>
      </c>
      <c r="M1666" t="s">
        <v>33</v>
      </c>
      <c r="N1666">
        <v>2.3199999999999998</v>
      </c>
      <c r="O1666">
        <v>2476</v>
      </c>
      <c r="P1666">
        <v>3.12</v>
      </c>
      <c r="Q1666">
        <v>374</v>
      </c>
      <c r="R1666">
        <v>514</v>
      </c>
    </row>
    <row r="1667" spans="1:18" x14ac:dyDescent="0.2">
      <c r="A1667">
        <v>1</v>
      </c>
      <c r="B1667" t="s">
        <v>32</v>
      </c>
      <c r="E1667" t="s">
        <v>29</v>
      </c>
      <c r="F1667">
        <v>977165</v>
      </c>
      <c r="G1667">
        <v>1</v>
      </c>
      <c r="H1667">
        <v>3</v>
      </c>
      <c r="I1667">
        <v>530</v>
      </c>
      <c r="J1667">
        <v>1960</v>
      </c>
      <c r="K1667" s="4">
        <v>45861</v>
      </c>
      <c r="L1667" t="s">
        <v>20</v>
      </c>
      <c r="M1667" t="s">
        <v>63</v>
      </c>
      <c r="N1667">
        <v>1.82</v>
      </c>
      <c r="O1667">
        <v>1613</v>
      </c>
      <c r="P1667">
        <v>4.9400000000000004</v>
      </c>
      <c r="Q1667">
        <v>61</v>
      </c>
      <c r="R1667">
        <v>665</v>
      </c>
    </row>
    <row r="1668" spans="1:18" x14ac:dyDescent="0.2">
      <c r="A1668">
        <v>9</v>
      </c>
      <c r="B1668" t="s">
        <v>28</v>
      </c>
      <c r="E1668" t="s">
        <v>29</v>
      </c>
      <c r="F1668">
        <v>1144201</v>
      </c>
      <c r="G1668">
        <v>3</v>
      </c>
      <c r="H1668">
        <v>1</v>
      </c>
      <c r="I1668">
        <v>134</v>
      </c>
      <c r="J1668">
        <v>1982</v>
      </c>
      <c r="K1668" s="4">
        <v>44638</v>
      </c>
      <c r="L1668" t="s">
        <v>20</v>
      </c>
      <c r="M1668" t="s">
        <v>45</v>
      </c>
      <c r="N1668">
        <v>2.69</v>
      </c>
      <c r="O1668">
        <v>1504</v>
      </c>
      <c r="P1668">
        <v>3.21</v>
      </c>
      <c r="Q1668">
        <v>199</v>
      </c>
      <c r="R1668">
        <v>602</v>
      </c>
    </row>
    <row r="1669" spans="1:18" x14ac:dyDescent="0.2">
      <c r="A1669">
        <v>3</v>
      </c>
      <c r="B1669" t="s">
        <v>87</v>
      </c>
      <c r="E1669" t="s">
        <v>19</v>
      </c>
      <c r="F1669">
        <v>568409</v>
      </c>
      <c r="G1669">
        <v>3</v>
      </c>
      <c r="H1669">
        <v>2</v>
      </c>
      <c r="I1669">
        <v>874</v>
      </c>
      <c r="J1669">
        <v>2015</v>
      </c>
      <c r="K1669" s="4">
        <v>44577</v>
      </c>
      <c r="L1669" t="s">
        <v>30</v>
      </c>
      <c r="M1669" t="s">
        <v>74</v>
      </c>
      <c r="N1669">
        <v>1.66</v>
      </c>
      <c r="O1669">
        <v>1576</v>
      </c>
      <c r="P1669">
        <v>2.98</v>
      </c>
      <c r="Q1669">
        <v>281</v>
      </c>
      <c r="R1669">
        <v>439</v>
      </c>
    </row>
    <row r="1670" spans="1:18" x14ac:dyDescent="0.2">
      <c r="A1670">
        <v>0</v>
      </c>
      <c r="B1670" t="s">
        <v>49</v>
      </c>
      <c r="E1670" t="s">
        <v>51</v>
      </c>
      <c r="F1670">
        <v>2284394</v>
      </c>
      <c r="G1670">
        <v>5</v>
      </c>
      <c r="H1670">
        <v>3</v>
      </c>
      <c r="I1670">
        <v>352</v>
      </c>
      <c r="J1670">
        <v>1981</v>
      </c>
      <c r="K1670" s="4">
        <v>45358</v>
      </c>
      <c r="L1670" t="s">
        <v>23</v>
      </c>
      <c r="M1670" t="s">
        <v>60</v>
      </c>
      <c r="N1670">
        <v>2.0699999999999998</v>
      </c>
      <c r="O1670">
        <v>1939</v>
      </c>
      <c r="P1670">
        <v>2.2799999999999998</v>
      </c>
      <c r="Q1670">
        <v>358</v>
      </c>
      <c r="R1670">
        <v>410</v>
      </c>
    </row>
    <row r="1671" spans="1:18" x14ac:dyDescent="0.2">
      <c r="A1671">
        <v>1</v>
      </c>
      <c r="B1671" t="s">
        <v>22</v>
      </c>
      <c r="E1671" t="s">
        <v>51</v>
      </c>
      <c r="F1671">
        <v>1875122</v>
      </c>
      <c r="G1671">
        <v>4</v>
      </c>
      <c r="H1671">
        <v>1</v>
      </c>
      <c r="I1671">
        <v>615</v>
      </c>
      <c r="J1671">
        <v>1971</v>
      </c>
      <c r="K1671" s="4">
        <v>45682</v>
      </c>
      <c r="L1671" t="s">
        <v>23</v>
      </c>
      <c r="M1671" t="s">
        <v>27</v>
      </c>
      <c r="N1671">
        <v>3.05</v>
      </c>
      <c r="O1671">
        <v>1648</v>
      </c>
      <c r="P1671">
        <v>4.2300000000000004</v>
      </c>
      <c r="Q1671">
        <v>209</v>
      </c>
      <c r="R1671">
        <v>497</v>
      </c>
    </row>
    <row r="1672" spans="1:18" x14ac:dyDescent="0.2">
      <c r="A1672">
        <v>3</v>
      </c>
      <c r="B1672" t="s">
        <v>34</v>
      </c>
      <c r="E1672" t="s">
        <v>19</v>
      </c>
      <c r="F1672">
        <v>2050341</v>
      </c>
      <c r="G1672">
        <v>3</v>
      </c>
      <c r="H1672">
        <v>2</v>
      </c>
      <c r="I1672">
        <v>729</v>
      </c>
      <c r="J1672">
        <v>1972</v>
      </c>
      <c r="K1672" s="4">
        <v>44733</v>
      </c>
      <c r="L1672" t="s">
        <v>26</v>
      </c>
      <c r="M1672" t="s">
        <v>77</v>
      </c>
      <c r="N1672">
        <v>1.6</v>
      </c>
      <c r="O1672">
        <v>1759</v>
      </c>
      <c r="P1672">
        <v>3.62</v>
      </c>
      <c r="Q1672">
        <v>188</v>
      </c>
      <c r="R1672">
        <v>508</v>
      </c>
    </row>
    <row r="1673" spans="1:18" x14ac:dyDescent="0.2">
      <c r="A1673">
        <v>4</v>
      </c>
      <c r="B1673" t="s">
        <v>71</v>
      </c>
      <c r="E1673" t="s">
        <v>19</v>
      </c>
      <c r="F1673">
        <v>2927580</v>
      </c>
      <c r="G1673">
        <v>2</v>
      </c>
      <c r="H1673">
        <v>3</v>
      </c>
      <c r="I1673">
        <v>241</v>
      </c>
      <c r="J1673">
        <v>2022</v>
      </c>
      <c r="K1673" s="4">
        <v>45428</v>
      </c>
      <c r="L1673" t="s">
        <v>30</v>
      </c>
      <c r="M1673" t="s">
        <v>85</v>
      </c>
      <c r="N1673">
        <v>2.02</v>
      </c>
      <c r="O1673">
        <v>2268</v>
      </c>
      <c r="P1673">
        <v>3.48</v>
      </c>
      <c r="Q1673">
        <v>93</v>
      </c>
      <c r="R1673">
        <v>692</v>
      </c>
    </row>
    <row r="1674" spans="1:18" x14ac:dyDescent="0.2">
      <c r="A1674">
        <v>3</v>
      </c>
      <c r="B1674" t="s">
        <v>44</v>
      </c>
      <c r="E1674" t="s">
        <v>29</v>
      </c>
      <c r="F1674">
        <v>458074</v>
      </c>
      <c r="G1674">
        <v>4</v>
      </c>
      <c r="H1674">
        <v>3</v>
      </c>
      <c r="I1674">
        <v>952</v>
      </c>
      <c r="J1674">
        <v>1987</v>
      </c>
      <c r="K1674" s="4">
        <v>44138</v>
      </c>
      <c r="L1674" t="s">
        <v>26</v>
      </c>
      <c r="M1674" t="s">
        <v>35</v>
      </c>
      <c r="N1674">
        <v>2.92</v>
      </c>
      <c r="O1674">
        <v>1637</v>
      </c>
      <c r="P1674">
        <v>4.16</v>
      </c>
      <c r="Q1674">
        <v>357</v>
      </c>
      <c r="R1674">
        <v>397</v>
      </c>
    </row>
    <row r="1675" spans="1:18" x14ac:dyDescent="0.2">
      <c r="A1675">
        <v>3</v>
      </c>
      <c r="B1675" t="s">
        <v>25</v>
      </c>
      <c r="E1675" t="s">
        <v>19</v>
      </c>
      <c r="F1675">
        <v>616046</v>
      </c>
      <c r="G1675">
        <v>2</v>
      </c>
      <c r="H1675">
        <v>2</v>
      </c>
      <c r="I1675">
        <v>145</v>
      </c>
      <c r="J1675">
        <v>1994</v>
      </c>
      <c r="K1675" s="4">
        <v>45732</v>
      </c>
      <c r="L1675" t="s">
        <v>26</v>
      </c>
      <c r="M1675" t="s">
        <v>56</v>
      </c>
      <c r="N1675">
        <v>2.29</v>
      </c>
      <c r="O1675">
        <v>847</v>
      </c>
      <c r="P1675">
        <v>3.74</v>
      </c>
      <c r="Q1675">
        <v>159</v>
      </c>
      <c r="R1675">
        <v>548</v>
      </c>
    </row>
    <row r="1676" spans="1:18" x14ac:dyDescent="0.2">
      <c r="A1676">
        <v>0</v>
      </c>
      <c r="B1676" t="s">
        <v>79</v>
      </c>
      <c r="E1676" t="s">
        <v>19</v>
      </c>
      <c r="F1676">
        <v>1948163</v>
      </c>
      <c r="G1676">
        <v>6</v>
      </c>
      <c r="H1676">
        <v>2</v>
      </c>
      <c r="I1676">
        <v>118</v>
      </c>
      <c r="J1676">
        <v>1975</v>
      </c>
      <c r="K1676" s="4">
        <v>45133</v>
      </c>
      <c r="L1676" t="s">
        <v>26</v>
      </c>
      <c r="M1676" t="s">
        <v>47</v>
      </c>
      <c r="N1676">
        <v>2.88</v>
      </c>
      <c r="O1676">
        <v>1482</v>
      </c>
      <c r="P1676">
        <v>1.07</v>
      </c>
      <c r="Q1676">
        <v>393</v>
      </c>
      <c r="R1676">
        <v>316</v>
      </c>
    </row>
    <row r="1677" spans="1:18" x14ac:dyDescent="0.2">
      <c r="A1677">
        <v>8</v>
      </c>
      <c r="B1677" t="s">
        <v>94</v>
      </c>
      <c r="E1677" t="s">
        <v>103</v>
      </c>
      <c r="F1677">
        <v>401105</v>
      </c>
      <c r="G1677">
        <v>0</v>
      </c>
      <c r="H1677">
        <v>3</v>
      </c>
      <c r="I1677">
        <v>366</v>
      </c>
      <c r="J1677">
        <v>1958</v>
      </c>
      <c r="K1677" s="4">
        <v>45809</v>
      </c>
      <c r="L1677" t="s">
        <v>26</v>
      </c>
      <c r="M1677" t="s">
        <v>42</v>
      </c>
      <c r="N1677">
        <v>1.88</v>
      </c>
      <c r="O1677">
        <v>2409</v>
      </c>
      <c r="P1677">
        <v>4.99</v>
      </c>
      <c r="Q1677">
        <v>49</v>
      </c>
      <c r="R1677">
        <v>684</v>
      </c>
    </row>
    <row r="1678" spans="1:18" x14ac:dyDescent="0.2">
      <c r="A1678">
        <v>0</v>
      </c>
      <c r="B1678" t="s">
        <v>32</v>
      </c>
      <c r="E1678" t="s">
        <v>29</v>
      </c>
      <c r="F1678">
        <v>629862</v>
      </c>
      <c r="G1678">
        <v>1</v>
      </c>
      <c r="H1678">
        <v>3</v>
      </c>
      <c r="I1678">
        <v>842</v>
      </c>
      <c r="J1678">
        <v>1985</v>
      </c>
      <c r="K1678" s="4">
        <v>44853</v>
      </c>
      <c r="L1678" t="s">
        <v>30</v>
      </c>
      <c r="M1678" t="s">
        <v>78</v>
      </c>
      <c r="N1678">
        <v>1.99</v>
      </c>
      <c r="O1678">
        <v>1986</v>
      </c>
      <c r="P1678">
        <v>0.24</v>
      </c>
      <c r="Q1678">
        <v>41</v>
      </c>
      <c r="R1678">
        <v>666</v>
      </c>
    </row>
    <row r="1679" spans="1:18" x14ac:dyDescent="0.2">
      <c r="A1679">
        <v>8</v>
      </c>
      <c r="B1679" t="s">
        <v>55</v>
      </c>
      <c r="E1679" t="s">
        <v>36</v>
      </c>
      <c r="F1679">
        <v>2978886</v>
      </c>
      <c r="G1679">
        <v>2</v>
      </c>
      <c r="H1679">
        <v>1</v>
      </c>
      <c r="I1679">
        <v>397</v>
      </c>
      <c r="J1679">
        <v>1992</v>
      </c>
      <c r="K1679" s="4">
        <v>44263</v>
      </c>
      <c r="L1679" t="s">
        <v>23</v>
      </c>
      <c r="M1679" t="s">
        <v>40</v>
      </c>
      <c r="N1679">
        <v>1.93</v>
      </c>
      <c r="O1679">
        <v>2353</v>
      </c>
      <c r="P1679">
        <v>1.25</v>
      </c>
      <c r="Q1679">
        <v>224</v>
      </c>
      <c r="R1679">
        <v>385</v>
      </c>
    </row>
    <row r="1680" spans="1:18" x14ac:dyDescent="0.2">
      <c r="A1680">
        <v>7</v>
      </c>
      <c r="B1680" t="s">
        <v>38</v>
      </c>
      <c r="E1680" t="s">
        <v>19</v>
      </c>
      <c r="F1680">
        <v>707693</v>
      </c>
      <c r="G1680">
        <v>4</v>
      </c>
      <c r="H1680">
        <v>1</v>
      </c>
      <c r="I1680">
        <v>612</v>
      </c>
      <c r="J1680">
        <v>1963</v>
      </c>
      <c r="K1680" s="4">
        <v>45513</v>
      </c>
      <c r="L1680" t="s">
        <v>20</v>
      </c>
      <c r="M1680" t="s">
        <v>60</v>
      </c>
      <c r="N1680">
        <v>3.22</v>
      </c>
      <c r="O1680">
        <v>1716</v>
      </c>
      <c r="P1680">
        <v>4.5199999999999996</v>
      </c>
      <c r="Q1680">
        <v>272</v>
      </c>
      <c r="R1680">
        <v>320</v>
      </c>
    </row>
    <row r="1681" spans="1:18" x14ac:dyDescent="0.2">
      <c r="A1681">
        <v>4</v>
      </c>
      <c r="B1681" t="s">
        <v>49</v>
      </c>
      <c r="E1681" t="s">
        <v>51</v>
      </c>
      <c r="F1681">
        <v>905096</v>
      </c>
      <c r="G1681">
        <v>4</v>
      </c>
      <c r="H1681">
        <v>3</v>
      </c>
      <c r="I1681">
        <v>407</v>
      </c>
      <c r="J1681">
        <v>2020</v>
      </c>
      <c r="K1681" s="4">
        <v>45038</v>
      </c>
      <c r="L1681" t="s">
        <v>30</v>
      </c>
      <c r="M1681" t="s">
        <v>74</v>
      </c>
      <c r="N1681">
        <v>2.85</v>
      </c>
      <c r="O1681">
        <v>2198</v>
      </c>
      <c r="P1681">
        <v>0.97</v>
      </c>
      <c r="Q1681">
        <v>333</v>
      </c>
      <c r="R1681">
        <v>556</v>
      </c>
    </row>
    <row r="1682" spans="1:18" x14ac:dyDescent="0.2">
      <c r="A1682">
        <v>0</v>
      </c>
      <c r="B1682" t="s">
        <v>55</v>
      </c>
      <c r="E1682" t="s">
        <v>51</v>
      </c>
      <c r="F1682">
        <v>1903306</v>
      </c>
      <c r="G1682">
        <v>1</v>
      </c>
      <c r="H1682">
        <v>1</v>
      </c>
      <c r="I1682">
        <v>423</v>
      </c>
      <c r="J1682">
        <v>2020</v>
      </c>
      <c r="K1682" s="4">
        <v>44286</v>
      </c>
      <c r="L1682" t="s">
        <v>26</v>
      </c>
      <c r="M1682" t="s">
        <v>85</v>
      </c>
      <c r="N1682">
        <v>2.73</v>
      </c>
      <c r="O1682">
        <v>1969</v>
      </c>
      <c r="P1682">
        <v>1.72</v>
      </c>
      <c r="Q1682">
        <v>46</v>
      </c>
      <c r="R1682">
        <v>406</v>
      </c>
    </row>
    <row r="1683" spans="1:18" x14ac:dyDescent="0.2">
      <c r="A1683">
        <v>6</v>
      </c>
      <c r="B1683" t="s">
        <v>101</v>
      </c>
      <c r="E1683" t="s">
        <v>19</v>
      </c>
      <c r="F1683">
        <v>2692995</v>
      </c>
      <c r="G1683">
        <v>3</v>
      </c>
      <c r="H1683">
        <v>1</v>
      </c>
      <c r="I1683">
        <v>555</v>
      </c>
      <c r="J1683">
        <v>1973</v>
      </c>
      <c r="K1683" s="4">
        <v>44347</v>
      </c>
      <c r="L1683" t="s">
        <v>23</v>
      </c>
      <c r="M1683" t="s">
        <v>74</v>
      </c>
      <c r="N1683">
        <v>1.98</v>
      </c>
      <c r="O1683">
        <v>1866</v>
      </c>
      <c r="P1683">
        <v>0.76</v>
      </c>
      <c r="Q1683">
        <v>251</v>
      </c>
      <c r="R1683">
        <v>590</v>
      </c>
    </row>
    <row r="1684" spans="1:18" x14ac:dyDescent="0.2">
      <c r="A1684">
        <v>4</v>
      </c>
      <c r="B1684" t="s">
        <v>72</v>
      </c>
      <c r="E1684" t="s">
        <v>36</v>
      </c>
      <c r="F1684">
        <v>2893168</v>
      </c>
      <c r="G1684">
        <v>2</v>
      </c>
      <c r="H1684">
        <v>3</v>
      </c>
      <c r="I1684">
        <v>997</v>
      </c>
      <c r="J1684">
        <v>1981</v>
      </c>
      <c r="K1684" s="4">
        <v>44171</v>
      </c>
      <c r="L1684" t="s">
        <v>26</v>
      </c>
      <c r="M1684" t="s">
        <v>60</v>
      </c>
      <c r="N1684">
        <v>2.3199999999999998</v>
      </c>
      <c r="O1684">
        <v>2012</v>
      </c>
      <c r="P1684">
        <v>3.17</v>
      </c>
      <c r="Q1684">
        <v>105</v>
      </c>
      <c r="R1684">
        <v>630</v>
      </c>
    </row>
    <row r="1685" spans="1:18" x14ac:dyDescent="0.2">
      <c r="A1685">
        <v>3</v>
      </c>
      <c r="B1685" t="s">
        <v>18</v>
      </c>
      <c r="E1685" t="s">
        <v>51</v>
      </c>
      <c r="F1685">
        <v>454910</v>
      </c>
      <c r="G1685">
        <v>1</v>
      </c>
      <c r="H1685">
        <v>3</v>
      </c>
      <c r="I1685">
        <v>809</v>
      </c>
      <c r="J1685">
        <v>1994</v>
      </c>
      <c r="K1685" s="4">
        <v>44923</v>
      </c>
      <c r="L1685" t="s">
        <v>20</v>
      </c>
      <c r="M1685" t="s">
        <v>66</v>
      </c>
      <c r="N1685">
        <v>2.99</v>
      </c>
      <c r="O1685">
        <v>904</v>
      </c>
      <c r="P1685">
        <v>0.48</v>
      </c>
      <c r="Q1685">
        <v>147</v>
      </c>
      <c r="R1685">
        <v>578</v>
      </c>
    </row>
    <row r="1686" spans="1:18" x14ac:dyDescent="0.2">
      <c r="A1686">
        <v>2</v>
      </c>
      <c r="B1686" t="s">
        <v>65</v>
      </c>
      <c r="E1686" t="s">
        <v>29</v>
      </c>
      <c r="F1686">
        <v>2394330</v>
      </c>
      <c r="G1686">
        <v>4</v>
      </c>
      <c r="H1686">
        <v>2</v>
      </c>
      <c r="I1686">
        <v>835</v>
      </c>
      <c r="J1686">
        <v>1976</v>
      </c>
      <c r="K1686" s="4">
        <v>44600</v>
      </c>
      <c r="L1686" t="s">
        <v>20</v>
      </c>
      <c r="M1686" t="s">
        <v>70</v>
      </c>
      <c r="N1686">
        <v>1.51</v>
      </c>
      <c r="O1686">
        <v>1691</v>
      </c>
      <c r="P1686">
        <v>0.71</v>
      </c>
      <c r="Q1686">
        <v>244</v>
      </c>
      <c r="R1686">
        <v>697</v>
      </c>
    </row>
    <row r="1687" spans="1:18" x14ac:dyDescent="0.2">
      <c r="A1687">
        <v>7</v>
      </c>
      <c r="B1687" t="s">
        <v>72</v>
      </c>
      <c r="E1687" t="s">
        <v>19</v>
      </c>
      <c r="F1687">
        <v>1419838</v>
      </c>
      <c r="G1687">
        <v>2</v>
      </c>
      <c r="H1687">
        <v>3</v>
      </c>
      <c r="I1687">
        <v>451</v>
      </c>
      <c r="J1687">
        <v>2022</v>
      </c>
      <c r="K1687" s="4">
        <v>44839</v>
      </c>
      <c r="L1687" t="s">
        <v>26</v>
      </c>
      <c r="M1687" t="s">
        <v>56</v>
      </c>
      <c r="N1687">
        <v>2.78</v>
      </c>
      <c r="O1687">
        <v>2082</v>
      </c>
      <c r="P1687">
        <v>2.21</v>
      </c>
      <c r="Q1687">
        <v>43</v>
      </c>
      <c r="R1687">
        <v>450</v>
      </c>
    </row>
    <row r="1688" spans="1:18" x14ac:dyDescent="0.2">
      <c r="A1688">
        <v>5</v>
      </c>
      <c r="B1688" t="s">
        <v>87</v>
      </c>
      <c r="E1688" t="s">
        <v>36</v>
      </c>
      <c r="F1688">
        <v>1663734</v>
      </c>
      <c r="G1688">
        <v>6</v>
      </c>
      <c r="H1688">
        <v>2</v>
      </c>
      <c r="I1688">
        <v>177</v>
      </c>
      <c r="J1688">
        <v>1977</v>
      </c>
      <c r="K1688" s="4">
        <v>44814</v>
      </c>
      <c r="L1688" t="s">
        <v>30</v>
      </c>
      <c r="M1688" t="s">
        <v>27</v>
      </c>
      <c r="N1688">
        <v>1.58</v>
      </c>
      <c r="O1688">
        <v>1901</v>
      </c>
      <c r="P1688">
        <v>2.38</v>
      </c>
      <c r="Q1688">
        <v>363</v>
      </c>
      <c r="R1688">
        <v>549</v>
      </c>
    </row>
    <row r="1689" spans="1:18" x14ac:dyDescent="0.2">
      <c r="A1689">
        <v>9</v>
      </c>
      <c r="B1689" t="s">
        <v>55</v>
      </c>
      <c r="E1689" t="s">
        <v>19</v>
      </c>
      <c r="F1689">
        <v>2664274</v>
      </c>
      <c r="G1689">
        <v>4</v>
      </c>
      <c r="H1689">
        <v>1</v>
      </c>
      <c r="I1689">
        <v>351</v>
      </c>
      <c r="J1689">
        <v>1975</v>
      </c>
      <c r="K1689" s="4">
        <v>45289</v>
      </c>
      <c r="L1689" t="s">
        <v>30</v>
      </c>
      <c r="M1689" t="s">
        <v>85</v>
      </c>
      <c r="N1689">
        <v>3.3</v>
      </c>
      <c r="O1689">
        <v>1353</v>
      </c>
      <c r="P1689">
        <v>2.04</v>
      </c>
      <c r="Q1689">
        <v>316</v>
      </c>
      <c r="R1689">
        <v>401</v>
      </c>
    </row>
    <row r="1690" spans="1:18" x14ac:dyDescent="0.2">
      <c r="A1690">
        <v>4</v>
      </c>
      <c r="B1690" t="s">
        <v>44</v>
      </c>
      <c r="E1690" t="s">
        <v>19</v>
      </c>
      <c r="F1690">
        <v>1101237</v>
      </c>
      <c r="G1690">
        <v>5</v>
      </c>
      <c r="H1690">
        <v>1</v>
      </c>
      <c r="I1690">
        <v>313</v>
      </c>
      <c r="J1690">
        <v>1992</v>
      </c>
      <c r="K1690" s="4">
        <v>44241</v>
      </c>
      <c r="L1690" t="s">
        <v>23</v>
      </c>
      <c r="M1690" t="s">
        <v>69</v>
      </c>
      <c r="N1690">
        <v>2.54</v>
      </c>
      <c r="O1690">
        <v>1542</v>
      </c>
      <c r="P1690">
        <v>1.76</v>
      </c>
      <c r="Q1690">
        <v>279</v>
      </c>
      <c r="R1690">
        <v>420</v>
      </c>
    </row>
    <row r="1691" spans="1:18" x14ac:dyDescent="0.2">
      <c r="A1691">
        <v>8</v>
      </c>
      <c r="B1691" t="s">
        <v>106</v>
      </c>
      <c r="E1691" t="s">
        <v>19</v>
      </c>
      <c r="F1691">
        <v>462412</v>
      </c>
      <c r="G1691">
        <v>5</v>
      </c>
      <c r="H1691">
        <v>3</v>
      </c>
      <c r="I1691">
        <v>111</v>
      </c>
      <c r="J1691">
        <v>1994</v>
      </c>
      <c r="K1691" s="4">
        <v>45533</v>
      </c>
      <c r="L1691" t="s">
        <v>26</v>
      </c>
      <c r="M1691" t="s">
        <v>59</v>
      </c>
      <c r="N1691">
        <v>3.49</v>
      </c>
      <c r="O1691">
        <v>1482</v>
      </c>
      <c r="P1691">
        <v>0.79</v>
      </c>
      <c r="Q1691">
        <v>278</v>
      </c>
      <c r="R1691">
        <v>488</v>
      </c>
    </row>
    <row r="1692" spans="1:18" x14ac:dyDescent="0.2">
      <c r="A1692">
        <v>7</v>
      </c>
      <c r="B1692" t="s">
        <v>87</v>
      </c>
      <c r="E1692" t="s">
        <v>51</v>
      </c>
      <c r="F1692">
        <v>489337</v>
      </c>
      <c r="G1692">
        <v>2</v>
      </c>
      <c r="H1692">
        <v>1</v>
      </c>
      <c r="I1692">
        <v>116</v>
      </c>
      <c r="J1692">
        <v>1994</v>
      </c>
      <c r="K1692" s="4">
        <v>44524</v>
      </c>
      <c r="L1692" t="s">
        <v>23</v>
      </c>
      <c r="M1692" t="s">
        <v>40</v>
      </c>
      <c r="N1692">
        <v>2.56</v>
      </c>
      <c r="O1692">
        <v>1497</v>
      </c>
      <c r="P1692">
        <v>2.5099999999999998</v>
      </c>
      <c r="Q1692">
        <v>208</v>
      </c>
      <c r="R1692">
        <v>425</v>
      </c>
    </row>
    <row r="1693" spans="1:18" x14ac:dyDescent="0.2">
      <c r="A1693">
        <v>3</v>
      </c>
      <c r="B1693" t="s">
        <v>44</v>
      </c>
      <c r="E1693" t="s">
        <v>29</v>
      </c>
      <c r="F1693">
        <v>436819</v>
      </c>
      <c r="G1693">
        <v>5</v>
      </c>
      <c r="H1693">
        <v>3</v>
      </c>
      <c r="I1693">
        <v>503</v>
      </c>
      <c r="J1693">
        <v>2008</v>
      </c>
      <c r="K1693" s="4">
        <v>45133</v>
      </c>
      <c r="L1693" t="s">
        <v>30</v>
      </c>
      <c r="M1693" t="s">
        <v>58</v>
      </c>
      <c r="N1693">
        <v>3</v>
      </c>
      <c r="O1693">
        <v>1542</v>
      </c>
      <c r="P1693">
        <v>0.45</v>
      </c>
      <c r="Q1693">
        <v>351</v>
      </c>
      <c r="R1693">
        <v>307</v>
      </c>
    </row>
    <row r="1694" spans="1:18" x14ac:dyDescent="0.2">
      <c r="A1694">
        <v>2</v>
      </c>
      <c r="B1694" t="s">
        <v>39</v>
      </c>
      <c r="E1694" t="s">
        <v>51</v>
      </c>
      <c r="F1694">
        <v>2891482</v>
      </c>
      <c r="G1694">
        <v>4</v>
      </c>
      <c r="H1694">
        <v>1</v>
      </c>
      <c r="I1694">
        <v>55</v>
      </c>
      <c r="J1694">
        <v>2020</v>
      </c>
      <c r="K1694" s="4">
        <v>44242</v>
      </c>
      <c r="L1694" t="s">
        <v>20</v>
      </c>
      <c r="M1694" t="s">
        <v>77</v>
      </c>
      <c r="N1694">
        <v>3.02</v>
      </c>
      <c r="O1694">
        <v>1414</v>
      </c>
      <c r="P1694">
        <v>1.95</v>
      </c>
      <c r="Q1694">
        <v>296</v>
      </c>
      <c r="R1694">
        <v>335</v>
      </c>
    </row>
    <row r="1695" spans="1:18" x14ac:dyDescent="0.2">
      <c r="A1695">
        <v>9</v>
      </c>
      <c r="B1695" t="s">
        <v>39</v>
      </c>
      <c r="E1695" t="s">
        <v>36</v>
      </c>
      <c r="F1695">
        <v>2608664</v>
      </c>
      <c r="G1695">
        <v>2</v>
      </c>
      <c r="H1695">
        <v>3</v>
      </c>
      <c r="I1695">
        <v>344</v>
      </c>
      <c r="J1695">
        <v>1997</v>
      </c>
      <c r="K1695" s="4">
        <v>45350</v>
      </c>
      <c r="L1695" t="s">
        <v>30</v>
      </c>
      <c r="M1695" t="s">
        <v>45</v>
      </c>
      <c r="N1695">
        <v>2.4900000000000002</v>
      </c>
      <c r="O1695">
        <v>1882</v>
      </c>
      <c r="P1695">
        <v>1.65</v>
      </c>
      <c r="Q1695">
        <v>97</v>
      </c>
      <c r="R1695">
        <v>598</v>
      </c>
    </row>
    <row r="1696" spans="1:18" x14ac:dyDescent="0.2">
      <c r="A1696">
        <v>5</v>
      </c>
      <c r="B1696" t="s">
        <v>46</v>
      </c>
      <c r="E1696" t="s">
        <v>51</v>
      </c>
      <c r="F1696">
        <v>2881017</v>
      </c>
      <c r="G1696">
        <v>3</v>
      </c>
      <c r="H1696">
        <v>2</v>
      </c>
      <c r="I1696">
        <v>627</v>
      </c>
      <c r="J1696">
        <v>1956</v>
      </c>
      <c r="K1696" s="4">
        <v>44106</v>
      </c>
      <c r="L1696" t="s">
        <v>26</v>
      </c>
      <c r="M1696" t="s">
        <v>27</v>
      </c>
      <c r="N1696">
        <v>1.79</v>
      </c>
      <c r="O1696">
        <v>968</v>
      </c>
      <c r="P1696">
        <v>0.74</v>
      </c>
      <c r="Q1696">
        <v>83</v>
      </c>
      <c r="R1696">
        <v>682</v>
      </c>
    </row>
    <row r="1697" spans="1:18" x14ac:dyDescent="0.2">
      <c r="A1697">
        <v>1</v>
      </c>
      <c r="B1697" t="s">
        <v>95</v>
      </c>
      <c r="E1697" t="s">
        <v>19</v>
      </c>
      <c r="F1697">
        <v>1513953</v>
      </c>
      <c r="G1697">
        <v>5</v>
      </c>
      <c r="H1697">
        <v>1</v>
      </c>
      <c r="I1697">
        <v>832</v>
      </c>
      <c r="J1697">
        <v>1953</v>
      </c>
      <c r="K1697" s="4">
        <v>45426</v>
      </c>
      <c r="L1697" t="s">
        <v>26</v>
      </c>
      <c r="M1697" t="s">
        <v>59</v>
      </c>
      <c r="N1697">
        <v>1.78</v>
      </c>
      <c r="O1697">
        <v>1579</v>
      </c>
      <c r="P1697">
        <v>1.32</v>
      </c>
      <c r="Q1697">
        <v>272</v>
      </c>
      <c r="R1697">
        <v>631</v>
      </c>
    </row>
    <row r="1698" spans="1:18" x14ac:dyDescent="0.2">
      <c r="A1698">
        <v>4</v>
      </c>
      <c r="B1698" t="s">
        <v>86</v>
      </c>
      <c r="E1698" t="s">
        <v>29</v>
      </c>
      <c r="F1698">
        <v>576632</v>
      </c>
      <c r="G1698">
        <v>3</v>
      </c>
      <c r="H1698">
        <v>1</v>
      </c>
      <c r="I1698">
        <v>194</v>
      </c>
      <c r="J1698">
        <v>1977</v>
      </c>
      <c r="K1698" s="4">
        <v>44848</v>
      </c>
      <c r="L1698" t="s">
        <v>23</v>
      </c>
      <c r="M1698" t="s">
        <v>60</v>
      </c>
      <c r="N1698">
        <v>2.93</v>
      </c>
      <c r="O1698">
        <v>1146</v>
      </c>
      <c r="P1698">
        <v>1.4</v>
      </c>
      <c r="Q1698">
        <v>185</v>
      </c>
      <c r="R1698">
        <v>347</v>
      </c>
    </row>
    <row r="1699" spans="1:18" x14ac:dyDescent="0.2">
      <c r="A1699">
        <v>4</v>
      </c>
      <c r="B1699" t="s">
        <v>25</v>
      </c>
      <c r="E1699" t="s">
        <v>19</v>
      </c>
      <c r="F1699">
        <v>1158989</v>
      </c>
      <c r="G1699">
        <v>2</v>
      </c>
      <c r="H1699">
        <v>1</v>
      </c>
      <c r="I1699">
        <v>896</v>
      </c>
      <c r="J1699">
        <v>1994</v>
      </c>
      <c r="K1699" s="4">
        <v>44323</v>
      </c>
      <c r="L1699" t="s">
        <v>20</v>
      </c>
      <c r="M1699" t="s">
        <v>45</v>
      </c>
      <c r="N1699">
        <v>1.86</v>
      </c>
      <c r="O1699">
        <v>1548</v>
      </c>
      <c r="P1699">
        <v>3.44</v>
      </c>
      <c r="Q1699">
        <v>134</v>
      </c>
      <c r="R1699">
        <v>433</v>
      </c>
    </row>
    <row r="1700" spans="1:18" x14ac:dyDescent="0.2">
      <c r="A1700">
        <v>6</v>
      </c>
      <c r="B1700" t="s">
        <v>83</v>
      </c>
      <c r="E1700" t="s">
        <v>51</v>
      </c>
      <c r="F1700">
        <v>1884249</v>
      </c>
      <c r="G1700">
        <v>2</v>
      </c>
      <c r="H1700">
        <v>2</v>
      </c>
      <c r="I1700">
        <v>784</v>
      </c>
      <c r="J1700">
        <v>1974</v>
      </c>
      <c r="K1700" s="4">
        <v>45535</v>
      </c>
      <c r="L1700" t="s">
        <v>26</v>
      </c>
      <c r="M1700" t="s">
        <v>60</v>
      </c>
      <c r="N1700">
        <v>1.88</v>
      </c>
      <c r="O1700">
        <v>2281</v>
      </c>
      <c r="P1700">
        <v>2.19</v>
      </c>
      <c r="Q1700">
        <v>143</v>
      </c>
      <c r="R1700">
        <v>661</v>
      </c>
    </row>
    <row r="1701" spans="1:18" x14ac:dyDescent="0.2">
      <c r="A1701">
        <v>1</v>
      </c>
      <c r="B1701" t="s">
        <v>92</v>
      </c>
      <c r="E1701" t="s">
        <v>36</v>
      </c>
      <c r="F1701">
        <v>1871529</v>
      </c>
      <c r="G1701">
        <v>5</v>
      </c>
      <c r="H1701">
        <v>2</v>
      </c>
      <c r="I1701">
        <v>601</v>
      </c>
      <c r="J1701">
        <v>1955</v>
      </c>
      <c r="K1701" s="4">
        <v>44348</v>
      </c>
      <c r="L1701" t="s">
        <v>23</v>
      </c>
      <c r="M1701" t="s">
        <v>76</v>
      </c>
      <c r="N1701">
        <v>2.62</v>
      </c>
      <c r="O1701">
        <v>2278</v>
      </c>
      <c r="P1701">
        <v>3.34</v>
      </c>
      <c r="Q1701">
        <v>392</v>
      </c>
      <c r="R1701">
        <v>580</v>
      </c>
    </row>
    <row r="1702" spans="1:18" x14ac:dyDescent="0.2">
      <c r="A1702">
        <v>2</v>
      </c>
      <c r="B1702" t="s">
        <v>41</v>
      </c>
      <c r="E1702" t="s">
        <v>51</v>
      </c>
      <c r="F1702">
        <v>1531086</v>
      </c>
      <c r="G1702">
        <v>4</v>
      </c>
      <c r="H1702">
        <v>1</v>
      </c>
      <c r="I1702">
        <v>208</v>
      </c>
      <c r="J1702">
        <v>1989</v>
      </c>
      <c r="K1702" s="4">
        <v>44891</v>
      </c>
      <c r="L1702" t="s">
        <v>23</v>
      </c>
      <c r="M1702" t="s">
        <v>56</v>
      </c>
      <c r="N1702">
        <v>2.48</v>
      </c>
      <c r="O1702">
        <v>1583</v>
      </c>
      <c r="P1702">
        <v>4.3</v>
      </c>
      <c r="Q1702">
        <v>168</v>
      </c>
      <c r="R1702">
        <v>686</v>
      </c>
    </row>
    <row r="1703" spans="1:18" x14ac:dyDescent="0.2">
      <c r="A1703">
        <v>0</v>
      </c>
      <c r="B1703" t="s">
        <v>84</v>
      </c>
      <c r="E1703" t="s">
        <v>51</v>
      </c>
      <c r="F1703">
        <v>1044945</v>
      </c>
      <c r="G1703">
        <v>2</v>
      </c>
      <c r="H1703">
        <v>2</v>
      </c>
      <c r="I1703">
        <v>815</v>
      </c>
      <c r="J1703">
        <v>1964</v>
      </c>
      <c r="K1703" s="4">
        <v>45567</v>
      </c>
      <c r="L1703" t="s">
        <v>30</v>
      </c>
      <c r="M1703" t="s">
        <v>31</v>
      </c>
      <c r="N1703">
        <v>2.89</v>
      </c>
      <c r="O1703">
        <v>1203</v>
      </c>
      <c r="P1703">
        <v>4.25</v>
      </c>
      <c r="Q1703">
        <v>168</v>
      </c>
      <c r="R1703">
        <v>463</v>
      </c>
    </row>
    <row r="1704" spans="1:18" x14ac:dyDescent="0.2">
      <c r="A1704">
        <v>5</v>
      </c>
      <c r="B1704" t="s">
        <v>86</v>
      </c>
      <c r="E1704" t="s">
        <v>36</v>
      </c>
      <c r="F1704">
        <v>1840338</v>
      </c>
      <c r="G1704">
        <v>4</v>
      </c>
      <c r="H1704">
        <v>2</v>
      </c>
      <c r="I1704">
        <v>617</v>
      </c>
      <c r="J1704">
        <v>1988</v>
      </c>
      <c r="K1704" s="4">
        <v>44081</v>
      </c>
      <c r="L1704" t="s">
        <v>23</v>
      </c>
      <c r="M1704" t="s">
        <v>63</v>
      </c>
      <c r="N1704">
        <v>2.4</v>
      </c>
      <c r="O1704">
        <v>2457</v>
      </c>
      <c r="P1704">
        <v>2.23</v>
      </c>
      <c r="Q1704">
        <v>241</v>
      </c>
      <c r="R1704">
        <v>330</v>
      </c>
    </row>
    <row r="1705" spans="1:18" x14ac:dyDescent="0.2">
      <c r="A1705">
        <v>0</v>
      </c>
      <c r="B1705" t="s">
        <v>65</v>
      </c>
      <c r="E1705" t="s">
        <v>19</v>
      </c>
      <c r="F1705">
        <v>2210496</v>
      </c>
      <c r="G1705">
        <v>1</v>
      </c>
      <c r="H1705">
        <v>1</v>
      </c>
      <c r="I1705">
        <v>881</v>
      </c>
      <c r="J1705">
        <v>1979</v>
      </c>
      <c r="K1705" s="4">
        <v>45191</v>
      </c>
      <c r="L1705" t="s">
        <v>26</v>
      </c>
      <c r="M1705" t="s">
        <v>66</v>
      </c>
      <c r="N1705">
        <v>2.08</v>
      </c>
      <c r="O1705">
        <v>1925</v>
      </c>
      <c r="P1705">
        <v>3.2</v>
      </c>
      <c r="Q1705">
        <v>147</v>
      </c>
      <c r="R1705">
        <v>686</v>
      </c>
    </row>
    <row r="1706" spans="1:18" x14ac:dyDescent="0.2">
      <c r="A1706">
        <v>0</v>
      </c>
      <c r="B1706" t="s">
        <v>101</v>
      </c>
      <c r="E1706" t="s">
        <v>36</v>
      </c>
      <c r="F1706">
        <v>2315924</v>
      </c>
      <c r="G1706">
        <v>4</v>
      </c>
      <c r="H1706">
        <v>1</v>
      </c>
      <c r="I1706">
        <v>426</v>
      </c>
      <c r="J1706">
        <v>1955</v>
      </c>
      <c r="K1706" s="4">
        <v>45598</v>
      </c>
      <c r="L1706" t="s">
        <v>26</v>
      </c>
      <c r="M1706" t="s">
        <v>35</v>
      </c>
      <c r="N1706">
        <v>1.65</v>
      </c>
      <c r="O1706">
        <v>1872</v>
      </c>
      <c r="P1706">
        <v>1.33</v>
      </c>
      <c r="Q1706">
        <v>374</v>
      </c>
      <c r="R1706">
        <v>334</v>
      </c>
    </row>
    <row r="1707" spans="1:18" x14ac:dyDescent="0.2">
      <c r="A1707">
        <v>9</v>
      </c>
      <c r="B1707" t="s">
        <v>75</v>
      </c>
      <c r="E1707" t="s">
        <v>19</v>
      </c>
      <c r="F1707">
        <v>2067547</v>
      </c>
      <c r="G1707">
        <v>5</v>
      </c>
      <c r="H1707">
        <v>1</v>
      </c>
      <c r="I1707">
        <v>831</v>
      </c>
      <c r="J1707">
        <v>1969</v>
      </c>
      <c r="K1707" s="4">
        <v>44723</v>
      </c>
      <c r="L1707" t="s">
        <v>20</v>
      </c>
      <c r="M1707" t="s">
        <v>85</v>
      </c>
      <c r="N1707">
        <v>2.4700000000000002</v>
      </c>
      <c r="O1707">
        <v>1971</v>
      </c>
      <c r="P1707">
        <v>1.26</v>
      </c>
      <c r="Q1707">
        <v>364</v>
      </c>
      <c r="R1707">
        <v>312</v>
      </c>
    </row>
    <row r="1708" spans="1:18" x14ac:dyDescent="0.2">
      <c r="A1708">
        <v>0</v>
      </c>
      <c r="B1708" t="s">
        <v>94</v>
      </c>
      <c r="E1708" t="s">
        <v>29</v>
      </c>
      <c r="F1708">
        <v>1610254</v>
      </c>
      <c r="G1708">
        <v>5</v>
      </c>
      <c r="H1708">
        <v>2</v>
      </c>
      <c r="I1708">
        <v>350</v>
      </c>
      <c r="J1708">
        <v>1968</v>
      </c>
      <c r="K1708" s="4">
        <v>45633</v>
      </c>
      <c r="L1708" t="s">
        <v>23</v>
      </c>
      <c r="M1708" t="s">
        <v>33</v>
      </c>
      <c r="N1708">
        <v>2.3199999999999998</v>
      </c>
      <c r="O1708">
        <v>1813</v>
      </c>
      <c r="P1708">
        <v>2.25</v>
      </c>
      <c r="Q1708">
        <v>308</v>
      </c>
      <c r="R1708">
        <v>651</v>
      </c>
    </row>
    <row r="1709" spans="1:18" x14ac:dyDescent="0.2">
      <c r="A1709">
        <v>7</v>
      </c>
      <c r="B1709" t="s">
        <v>55</v>
      </c>
      <c r="E1709" t="s">
        <v>19</v>
      </c>
      <c r="F1709">
        <v>635125</v>
      </c>
      <c r="G1709">
        <v>3</v>
      </c>
      <c r="H1709">
        <v>3</v>
      </c>
      <c r="I1709">
        <v>896</v>
      </c>
      <c r="J1709">
        <v>1953</v>
      </c>
      <c r="K1709" s="4">
        <v>44493</v>
      </c>
      <c r="L1709" t="s">
        <v>23</v>
      </c>
      <c r="M1709" t="s">
        <v>42</v>
      </c>
      <c r="N1709">
        <v>2.38</v>
      </c>
      <c r="O1709">
        <v>1983</v>
      </c>
      <c r="P1709">
        <v>2.3199999999999998</v>
      </c>
      <c r="Q1709">
        <v>299</v>
      </c>
      <c r="R1709">
        <v>422</v>
      </c>
    </row>
    <row r="1710" spans="1:18" x14ac:dyDescent="0.2">
      <c r="A1710">
        <v>5</v>
      </c>
      <c r="B1710" t="s">
        <v>62</v>
      </c>
      <c r="E1710" t="s">
        <v>19</v>
      </c>
      <c r="F1710">
        <v>2312877</v>
      </c>
      <c r="G1710">
        <v>2</v>
      </c>
      <c r="H1710">
        <v>1</v>
      </c>
      <c r="I1710">
        <v>706</v>
      </c>
      <c r="J1710">
        <v>1983</v>
      </c>
      <c r="K1710" s="4">
        <v>45198</v>
      </c>
      <c r="L1710" t="s">
        <v>20</v>
      </c>
      <c r="M1710" t="s">
        <v>76</v>
      </c>
      <c r="N1710">
        <v>1.95</v>
      </c>
      <c r="O1710">
        <v>2374</v>
      </c>
      <c r="P1710">
        <v>4.7300000000000004</v>
      </c>
      <c r="Q1710">
        <v>137</v>
      </c>
      <c r="R1710">
        <v>615</v>
      </c>
    </row>
    <row r="1711" spans="1:18" x14ac:dyDescent="0.2">
      <c r="A1711">
        <v>1</v>
      </c>
      <c r="B1711" t="s">
        <v>25</v>
      </c>
      <c r="E1711" t="s">
        <v>29</v>
      </c>
      <c r="F1711">
        <v>2481371</v>
      </c>
      <c r="G1711">
        <v>6</v>
      </c>
      <c r="H1711">
        <v>1</v>
      </c>
      <c r="I1711">
        <v>222</v>
      </c>
      <c r="J1711">
        <v>1987</v>
      </c>
      <c r="K1711" s="4">
        <v>44438</v>
      </c>
      <c r="L1711" t="s">
        <v>26</v>
      </c>
      <c r="M1711" t="s">
        <v>52</v>
      </c>
      <c r="N1711">
        <v>2.86</v>
      </c>
      <c r="O1711">
        <v>1290</v>
      </c>
      <c r="P1711">
        <v>2.81</v>
      </c>
      <c r="Q1711">
        <v>337</v>
      </c>
      <c r="R1711">
        <v>516</v>
      </c>
    </row>
    <row r="1712" spans="1:18" x14ac:dyDescent="0.2">
      <c r="A1712">
        <v>0</v>
      </c>
      <c r="B1712" t="s">
        <v>50</v>
      </c>
      <c r="E1712" t="s">
        <v>19</v>
      </c>
      <c r="F1712">
        <v>456619</v>
      </c>
      <c r="G1712">
        <v>4</v>
      </c>
      <c r="H1712">
        <v>1</v>
      </c>
      <c r="I1712">
        <v>510</v>
      </c>
      <c r="J1712">
        <v>2006</v>
      </c>
      <c r="K1712" s="4">
        <v>45394</v>
      </c>
      <c r="L1712" t="s">
        <v>26</v>
      </c>
      <c r="M1712" t="s">
        <v>97</v>
      </c>
      <c r="N1712">
        <v>2.97</v>
      </c>
      <c r="O1712">
        <v>1772</v>
      </c>
      <c r="P1712">
        <v>3.05</v>
      </c>
      <c r="Q1712">
        <v>399</v>
      </c>
      <c r="R1712">
        <v>487</v>
      </c>
    </row>
    <row r="1713" spans="1:18" x14ac:dyDescent="0.2">
      <c r="A1713">
        <v>7</v>
      </c>
      <c r="B1713" t="s">
        <v>92</v>
      </c>
      <c r="E1713" t="s">
        <v>36</v>
      </c>
      <c r="F1713">
        <v>2864644</v>
      </c>
      <c r="G1713">
        <v>4</v>
      </c>
      <c r="H1713">
        <v>3</v>
      </c>
      <c r="I1713">
        <v>192</v>
      </c>
      <c r="J1713">
        <v>1979</v>
      </c>
      <c r="K1713" s="4">
        <v>45332</v>
      </c>
      <c r="L1713" t="s">
        <v>30</v>
      </c>
      <c r="M1713" t="s">
        <v>33</v>
      </c>
      <c r="N1713">
        <v>1.63</v>
      </c>
      <c r="O1713">
        <v>923</v>
      </c>
      <c r="P1713">
        <v>0.82</v>
      </c>
      <c r="Q1713">
        <v>223</v>
      </c>
      <c r="R1713">
        <v>504</v>
      </c>
    </row>
    <row r="1714" spans="1:18" x14ac:dyDescent="0.2">
      <c r="A1714">
        <v>2</v>
      </c>
      <c r="B1714" t="s">
        <v>43</v>
      </c>
      <c r="E1714" t="s">
        <v>51</v>
      </c>
      <c r="F1714">
        <v>432606</v>
      </c>
      <c r="G1714">
        <v>5</v>
      </c>
      <c r="H1714">
        <v>1</v>
      </c>
      <c r="I1714">
        <v>957</v>
      </c>
      <c r="J1714">
        <v>1964</v>
      </c>
      <c r="K1714" s="4">
        <v>45586</v>
      </c>
      <c r="L1714" t="s">
        <v>20</v>
      </c>
      <c r="M1714" t="s">
        <v>47</v>
      </c>
      <c r="N1714">
        <v>3.44</v>
      </c>
      <c r="O1714">
        <v>1156</v>
      </c>
      <c r="P1714">
        <v>3.14</v>
      </c>
      <c r="Q1714">
        <v>268</v>
      </c>
      <c r="R1714">
        <v>592</v>
      </c>
    </row>
    <row r="1715" spans="1:18" x14ac:dyDescent="0.2">
      <c r="A1715">
        <v>2</v>
      </c>
      <c r="B1715" t="s">
        <v>25</v>
      </c>
      <c r="E1715" t="s">
        <v>36</v>
      </c>
      <c r="F1715">
        <v>1295825</v>
      </c>
      <c r="G1715">
        <v>5</v>
      </c>
      <c r="H1715">
        <v>1</v>
      </c>
      <c r="I1715">
        <v>526</v>
      </c>
      <c r="J1715">
        <v>1968</v>
      </c>
      <c r="K1715" s="4">
        <v>45753</v>
      </c>
      <c r="L1715" t="s">
        <v>26</v>
      </c>
      <c r="M1715" t="s">
        <v>60</v>
      </c>
      <c r="N1715">
        <v>1.93</v>
      </c>
      <c r="O1715">
        <v>831</v>
      </c>
      <c r="P1715">
        <v>1.06</v>
      </c>
      <c r="Q1715">
        <v>343</v>
      </c>
      <c r="R1715">
        <v>480</v>
      </c>
    </row>
    <row r="1716" spans="1:18" x14ac:dyDescent="0.2">
      <c r="A1716">
        <v>7</v>
      </c>
      <c r="B1716" t="s">
        <v>93</v>
      </c>
      <c r="E1716" t="s">
        <v>19</v>
      </c>
      <c r="F1716">
        <v>1464266</v>
      </c>
      <c r="G1716">
        <v>3</v>
      </c>
      <c r="H1716">
        <v>2</v>
      </c>
      <c r="I1716">
        <v>819</v>
      </c>
      <c r="J1716">
        <v>1974</v>
      </c>
      <c r="K1716" s="4">
        <v>45102</v>
      </c>
      <c r="L1716" t="s">
        <v>26</v>
      </c>
      <c r="M1716" t="s">
        <v>56</v>
      </c>
      <c r="N1716">
        <v>1.59</v>
      </c>
      <c r="O1716">
        <v>1125</v>
      </c>
      <c r="P1716">
        <v>2.37</v>
      </c>
      <c r="Q1716">
        <v>95</v>
      </c>
      <c r="R1716">
        <v>674</v>
      </c>
    </row>
    <row r="1717" spans="1:18" x14ac:dyDescent="0.2">
      <c r="A1717">
        <v>5</v>
      </c>
      <c r="B1717" t="s">
        <v>61</v>
      </c>
      <c r="E1717" t="s">
        <v>19</v>
      </c>
      <c r="F1717">
        <v>889097</v>
      </c>
      <c r="G1717">
        <v>4</v>
      </c>
      <c r="H1717">
        <v>3</v>
      </c>
      <c r="I1717">
        <v>768</v>
      </c>
      <c r="J1717">
        <v>2014</v>
      </c>
      <c r="K1717" s="4">
        <v>45163</v>
      </c>
      <c r="L1717" t="s">
        <v>30</v>
      </c>
      <c r="M1717" t="s">
        <v>40</v>
      </c>
      <c r="N1717">
        <v>3.24</v>
      </c>
      <c r="O1717">
        <v>1650</v>
      </c>
      <c r="P1717">
        <v>0.65</v>
      </c>
      <c r="Q1717">
        <v>370</v>
      </c>
      <c r="R1717">
        <v>323</v>
      </c>
    </row>
    <row r="1718" spans="1:18" x14ac:dyDescent="0.2">
      <c r="A1718">
        <v>5</v>
      </c>
      <c r="B1718" t="s">
        <v>46</v>
      </c>
      <c r="E1718" t="s">
        <v>51</v>
      </c>
      <c r="F1718">
        <v>618662</v>
      </c>
      <c r="G1718">
        <v>2</v>
      </c>
      <c r="H1718">
        <v>2</v>
      </c>
      <c r="I1718">
        <v>699</v>
      </c>
      <c r="J1718">
        <v>1965</v>
      </c>
      <c r="K1718" s="4">
        <v>44133</v>
      </c>
      <c r="L1718" t="s">
        <v>23</v>
      </c>
      <c r="M1718" t="s">
        <v>40</v>
      </c>
      <c r="N1718">
        <v>3.37</v>
      </c>
      <c r="O1718">
        <v>1661</v>
      </c>
      <c r="P1718">
        <v>0.28000000000000003</v>
      </c>
      <c r="Q1718">
        <v>164</v>
      </c>
      <c r="R1718">
        <v>687</v>
      </c>
    </row>
    <row r="1719" spans="1:18" x14ac:dyDescent="0.2">
      <c r="A1719">
        <v>5</v>
      </c>
      <c r="B1719" t="s">
        <v>83</v>
      </c>
      <c r="E1719" t="s">
        <v>19</v>
      </c>
      <c r="F1719">
        <v>2773533</v>
      </c>
      <c r="G1719">
        <v>3</v>
      </c>
      <c r="H1719">
        <v>3</v>
      </c>
      <c r="I1719">
        <v>527</v>
      </c>
      <c r="J1719">
        <v>1996</v>
      </c>
      <c r="K1719" s="4">
        <v>45036</v>
      </c>
      <c r="L1719" t="s">
        <v>20</v>
      </c>
      <c r="M1719" t="s">
        <v>56</v>
      </c>
      <c r="N1719">
        <v>1.87</v>
      </c>
      <c r="O1719">
        <v>2008</v>
      </c>
      <c r="P1719">
        <v>4.54</v>
      </c>
      <c r="Q1719">
        <v>92</v>
      </c>
      <c r="R1719">
        <v>464</v>
      </c>
    </row>
    <row r="1720" spans="1:18" x14ac:dyDescent="0.2">
      <c r="A1720">
        <v>7</v>
      </c>
      <c r="B1720" t="s">
        <v>84</v>
      </c>
      <c r="E1720" t="s">
        <v>51</v>
      </c>
      <c r="F1720">
        <v>461847</v>
      </c>
      <c r="G1720">
        <v>4</v>
      </c>
      <c r="H1720">
        <v>3</v>
      </c>
      <c r="I1720">
        <v>275</v>
      </c>
      <c r="J1720">
        <v>2020</v>
      </c>
      <c r="K1720" s="4">
        <v>44774</v>
      </c>
      <c r="L1720" t="s">
        <v>30</v>
      </c>
      <c r="M1720" t="s">
        <v>24</v>
      </c>
      <c r="N1720">
        <v>3.38</v>
      </c>
      <c r="O1720">
        <v>1477</v>
      </c>
      <c r="P1720">
        <v>3.74</v>
      </c>
      <c r="Q1720">
        <v>249</v>
      </c>
      <c r="R1720">
        <v>467</v>
      </c>
    </row>
    <row r="1721" spans="1:18" x14ac:dyDescent="0.2">
      <c r="A1721">
        <v>4</v>
      </c>
      <c r="B1721" t="s">
        <v>100</v>
      </c>
      <c r="E1721" t="s">
        <v>29</v>
      </c>
      <c r="F1721">
        <v>2961924</v>
      </c>
      <c r="G1721">
        <v>4</v>
      </c>
      <c r="H1721">
        <v>2</v>
      </c>
      <c r="I1721">
        <v>854</v>
      </c>
      <c r="J1721">
        <v>1979</v>
      </c>
      <c r="K1721" s="4">
        <v>45672</v>
      </c>
      <c r="L1721" t="s">
        <v>23</v>
      </c>
      <c r="M1721" t="s">
        <v>21</v>
      </c>
      <c r="N1721">
        <v>2.0699999999999998</v>
      </c>
      <c r="O1721">
        <v>869</v>
      </c>
      <c r="P1721">
        <v>0.28000000000000003</v>
      </c>
      <c r="Q1721">
        <v>261</v>
      </c>
      <c r="R1721">
        <v>426</v>
      </c>
    </row>
    <row r="1722" spans="1:18" x14ac:dyDescent="0.2">
      <c r="A1722">
        <v>5</v>
      </c>
      <c r="B1722" t="s">
        <v>100</v>
      </c>
      <c r="E1722" t="s">
        <v>19</v>
      </c>
      <c r="F1722">
        <v>1711482</v>
      </c>
      <c r="G1722">
        <v>5</v>
      </c>
      <c r="H1722">
        <v>2</v>
      </c>
      <c r="I1722">
        <v>386</v>
      </c>
      <c r="J1722">
        <v>1996</v>
      </c>
      <c r="K1722" s="4">
        <v>45730</v>
      </c>
      <c r="L1722" t="s">
        <v>20</v>
      </c>
      <c r="M1722" t="s">
        <v>76</v>
      </c>
      <c r="N1722">
        <v>2.1</v>
      </c>
      <c r="O1722">
        <v>1964</v>
      </c>
      <c r="P1722">
        <v>0.59</v>
      </c>
      <c r="Q1722">
        <v>329</v>
      </c>
      <c r="R1722">
        <v>466</v>
      </c>
    </row>
    <row r="1723" spans="1:18" x14ac:dyDescent="0.2">
      <c r="A1723">
        <v>8</v>
      </c>
      <c r="B1723" t="s">
        <v>22</v>
      </c>
      <c r="E1723" t="s">
        <v>29</v>
      </c>
      <c r="F1723">
        <v>2676755</v>
      </c>
      <c r="G1723">
        <v>5</v>
      </c>
      <c r="H1723">
        <v>3</v>
      </c>
      <c r="I1723">
        <v>194</v>
      </c>
      <c r="J1723">
        <v>1996</v>
      </c>
      <c r="K1723" s="4">
        <v>44553</v>
      </c>
      <c r="L1723" t="s">
        <v>26</v>
      </c>
      <c r="M1723" t="s">
        <v>85</v>
      </c>
      <c r="N1723">
        <v>2.5299999999999998</v>
      </c>
      <c r="O1723">
        <v>1506</v>
      </c>
      <c r="P1723">
        <v>0.66</v>
      </c>
      <c r="Q1723">
        <v>335</v>
      </c>
      <c r="R1723">
        <v>697</v>
      </c>
    </row>
    <row r="1724" spans="1:18" x14ac:dyDescent="0.2">
      <c r="A1724">
        <v>6</v>
      </c>
      <c r="B1724" t="s">
        <v>94</v>
      </c>
      <c r="E1724" t="s">
        <v>51</v>
      </c>
      <c r="F1724">
        <v>2353989</v>
      </c>
      <c r="G1724">
        <v>3</v>
      </c>
      <c r="H1724">
        <v>2</v>
      </c>
      <c r="I1724">
        <v>843</v>
      </c>
      <c r="J1724">
        <v>2003</v>
      </c>
      <c r="K1724" s="4">
        <v>45889</v>
      </c>
      <c r="L1724" t="s">
        <v>20</v>
      </c>
      <c r="M1724" t="s">
        <v>69</v>
      </c>
      <c r="N1724">
        <v>1.69</v>
      </c>
      <c r="O1724">
        <v>1070</v>
      </c>
      <c r="P1724">
        <v>1.08</v>
      </c>
      <c r="Q1724">
        <v>111</v>
      </c>
      <c r="R1724">
        <v>453</v>
      </c>
    </row>
    <row r="1725" spans="1:18" x14ac:dyDescent="0.2">
      <c r="A1725">
        <v>5</v>
      </c>
      <c r="B1725" t="s">
        <v>71</v>
      </c>
      <c r="E1725" t="s">
        <v>19</v>
      </c>
      <c r="F1725">
        <v>930390</v>
      </c>
      <c r="G1725">
        <v>4</v>
      </c>
      <c r="H1725">
        <v>1</v>
      </c>
      <c r="I1725">
        <v>707</v>
      </c>
      <c r="J1725">
        <v>1985</v>
      </c>
      <c r="K1725" s="4">
        <v>45548</v>
      </c>
      <c r="L1725" t="s">
        <v>30</v>
      </c>
      <c r="M1725" t="s">
        <v>31</v>
      </c>
      <c r="N1725">
        <v>2.71</v>
      </c>
      <c r="O1725">
        <v>1644</v>
      </c>
      <c r="P1725">
        <v>0.36</v>
      </c>
      <c r="Q1725">
        <v>380</v>
      </c>
      <c r="R1725">
        <v>363</v>
      </c>
    </row>
    <row r="1726" spans="1:18" x14ac:dyDescent="0.2">
      <c r="A1726">
        <v>0</v>
      </c>
      <c r="B1726" t="s">
        <v>65</v>
      </c>
      <c r="E1726" t="s">
        <v>51</v>
      </c>
      <c r="F1726">
        <v>920209</v>
      </c>
      <c r="G1726">
        <v>2</v>
      </c>
      <c r="H1726">
        <v>1</v>
      </c>
      <c r="I1726">
        <v>569</v>
      </c>
      <c r="J1726">
        <v>1987</v>
      </c>
      <c r="K1726" s="4">
        <v>44530</v>
      </c>
      <c r="L1726" t="s">
        <v>26</v>
      </c>
      <c r="M1726" t="s">
        <v>35</v>
      </c>
      <c r="N1726">
        <v>1.98</v>
      </c>
      <c r="O1726">
        <v>1958</v>
      </c>
      <c r="P1726">
        <v>1.93</v>
      </c>
      <c r="Q1726">
        <v>173</v>
      </c>
      <c r="R1726">
        <v>508</v>
      </c>
    </row>
    <row r="1727" spans="1:18" x14ac:dyDescent="0.2">
      <c r="A1727">
        <v>2</v>
      </c>
      <c r="B1727" t="s">
        <v>41</v>
      </c>
      <c r="E1727" t="s">
        <v>29</v>
      </c>
      <c r="F1727">
        <v>1795343</v>
      </c>
      <c r="G1727">
        <v>3</v>
      </c>
      <c r="H1727">
        <v>1</v>
      </c>
      <c r="I1727">
        <v>453</v>
      </c>
      <c r="J1727">
        <v>1994</v>
      </c>
      <c r="K1727" s="4">
        <v>45519</v>
      </c>
      <c r="L1727" t="s">
        <v>26</v>
      </c>
      <c r="M1727" t="s">
        <v>85</v>
      </c>
      <c r="N1727">
        <v>3.03</v>
      </c>
      <c r="O1727">
        <v>987</v>
      </c>
      <c r="P1727">
        <v>1.4</v>
      </c>
      <c r="Q1727">
        <v>209</v>
      </c>
      <c r="R1727">
        <v>438</v>
      </c>
    </row>
    <row r="1728" spans="1:18" x14ac:dyDescent="0.2">
      <c r="A1728">
        <v>0</v>
      </c>
      <c r="B1728" t="s">
        <v>53</v>
      </c>
      <c r="E1728" t="s">
        <v>29</v>
      </c>
      <c r="F1728">
        <v>1265290</v>
      </c>
      <c r="G1728">
        <v>2</v>
      </c>
      <c r="H1728">
        <v>2</v>
      </c>
      <c r="I1728">
        <v>928</v>
      </c>
      <c r="J1728">
        <v>1979</v>
      </c>
      <c r="K1728" s="4">
        <v>44066</v>
      </c>
      <c r="L1728" t="s">
        <v>26</v>
      </c>
      <c r="M1728" t="s">
        <v>54</v>
      </c>
      <c r="N1728">
        <v>3.28</v>
      </c>
      <c r="O1728">
        <v>1979</v>
      </c>
      <c r="P1728">
        <v>3.37</v>
      </c>
      <c r="Q1728">
        <v>228</v>
      </c>
      <c r="R1728">
        <v>610</v>
      </c>
    </row>
    <row r="1729" spans="1:18" x14ac:dyDescent="0.2">
      <c r="A1729">
        <v>3</v>
      </c>
      <c r="B1729" t="s">
        <v>64</v>
      </c>
      <c r="E1729" t="s">
        <v>29</v>
      </c>
      <c r="F1729">
        <v>1249679</v>
      </c>
      <c r="G1729">
        <v>4</v>
      </c>
      <c r="H1729">
        <v>1</v>
      </c>
      <c r="I1729">
        <v>264</v>
      </c>
      <c r="J1729">
        <v>1964</v>
      </c>
      <c r="K1729" s="4">
        <v>45594</v>
      </c>
      <c r="L1729" t="s">
        <v>30</v>
      </c>
      <c r="M1729" t="s">
        <v>45</v>
      </c>
      <c r="N1729">
        <v>2.4300000000000002</v>
      </c>
      <c r="O1729">
        <v>1169</v>
      </c>
      <c r="P1729">
        <v>3.23</v>
      </c>
      <c r="Q1729">
        <v>270</v>
      </c>
      <c r="R1729">
        <v>400</v>
      </c>
    </row>
    <row r="1730" spans="1:18" x14ac:dyDescent="0.2">
      <c r="A1730">
        <v>0</v>
      </c>
      <c r="B1730" t="s">
        <v>34</v>
      </c>
      <c r="E1730" t="s">
        <v>36</v>
      </c>
      <c r="F1730">
        <v>1894500</v>
      </c>
      <c r="G1730">
        <v>5</v>
      </c>
      <c r="H1730">
        <v>2</v>
      </c>
      <c r="I1730">
        <v>400</v>
      </c>
      <c r="J1730">
        <v>1969</v>
      </c>
      <c r="K1730" s="4">
        <v>44812</v>
      </c>
      <c r="L1730" t="s">
        <v>26</v>
      </c>
      <c r="M1730" t="s">
        <v>24</v>
      </c>
      <c r="N1730">
        <v>1.55</v>
      </c>
      <c r="O1730">
        <v>1204</v>
      </c>
      <c r="P1730">
        <v>2.25</v>
      </c>
      <c r="Q1730">
        <v>365</v>
      </c>
      <c r="R1730">
        <v>409</v>
      </c>
    </row>
    <row r="1731" spans="1:18" x14ac:dyDescent="0.2">
      <c r="A1731">
        <v>6</v>
      </c>
      <c r="B1731" t="s">
        <v>71</v>
      </c>
      <c r="E1731" t="s">
        <v>19</v>
      </c>
      <c r="F1731">
        <v>1560229</v>
      </c>
      <c r="G1731">
        <v>4</v>
      </c>
      <c r="H1731">
        <v>3</v>
      </c>
      <c r="I1731">
        <v>161</v>
      </c>
      <c r="J1731">
        <v>1986</v>
      </c>
      <c r="K1731" s="4">
        <v>45286</v>
      </c>
      <c r="L1731" t="s">
        <v>30</v>
      </c>
      <c r="M1731" t="s">
        <v>78</v>
      </c>
      <c r="N1731">
        <v>2.0699999999999998</v>
      </c>
      <c r="O1731">
        <v>1882</v>
      </c>
      <c r="P1731">
        <v>2.64</v>
      </c>
      <c r="Q1731">
        <v>286</v>
      </c>
      <c r="R1731">
        <v>600</v>
      </c>
    </row>
    <row r="1732" spans="1:18" x14ac:dyDescent="0.2">
      <c r="A1732">
        <v>8</v>
      </c>
      <c r="B1732" t="s">
        <v>25</v>
      </c>
      <c r="E1732" t="s">
        <v>36</v>
      </c>
      <c r="F1732">
        <v>1499966</v>
      </c>
      <c r="G1732">
        <v>4</v>
      </c>
      <c r="H1732">
        <v>2</v>
      </c>
      <c r="I1732">
        <v>153</v>
      </c>
      <c r="J1732">
        <v>2018</v>
      </c>
      <c r="K1732" s="4">
        <v>44530</v>
      </c>
      <c r="L1732" t="s">
        <v>30</v>
      </c>
      <c r="M1732" t="s">
        <v>97</v>
      </c>
      <c r="N1732">
        <v>3.3</v>
      </c>
      <c r="O1732">
        <v>1812</v>
      </c>
      <c r="P1732">
        <v>1.62</v>
      </c>
      <c r="Q1732">
        <v>387</v>
      </c>
      <c r="R1732">
        <v>535</v>
      </c>
    </row>
    <row r="1733" spans="1:18" x14ac:dyDescent="0.2">
      <c r="A1733">
        <v>2</v>
      </c>
      <c r="B1733" t="s">
        <v>53</v>
      </c>
      <c r="E1733" t="s">
        <v>19</v>
      </c>
      <c r="F1733">
        <v>841428</v>
      </c>
      <c r="G1733">
        <v>4</v>
      </c>
      <c r="H1733">
        <v>2</v>
      </c>
      <c r="I1733">
        <v>887</v>
      </c>
      <c r="J1733">
        <v>1989</v>
      </c>
      <c r="K1733" s="4">
        <v>44472</v>
      </c>
      <c r="L1733" t="s">
        <v>20</v>
      </c>
      <c r="M1733" t="s">
        <v>60</v>
      </c>
      <c r="N1733">
        <v>3.06</v>
      </c>
      <c r="O1733">
        <v>1208</v>
      </c>
      <c r="P1733">
        <v>3.99</v>
      </c>
      <c r="Q1733">
        <v>268</v>
      </c>
      <c r="R1733">
        <v>436</v>
      </c>
    </row>
    <row r="1734" spans="1:18" x14ac:dyDescent="0.2">
      <c r="A1734">
        <v>5</v>
      </c>
      <c r="B1734" t="s">
        <v>99</v>
      </c>
      <c r="E1734" t="s">
        <v>29</v>
      </c>
      <c r="F1734">
        <v>1092174</v>
      </c>
      <c r="G1734">
        <v>4</v>
      </c>
      <c r="H1734">
        <v>2</v>
      </c>
      <c r="I1734">
        <v>212</v>
      </c>
      <c r="J1734">
        <v>1993</v>
      </c>
      <c r="K1734" s="4">
        <v>44526</v>
      </c>
      <c r="L1734" t="s">
        <v>26</v>
      </c>
      <c r="M1734" t="s">
        <v>47</v>
      </c>
      <c r="N1734">
        <v>2.92</v>
      </c>
      <c r="O1734">
        <v>2213</v>
      </c>
      <c r="P1734">
        <v>3.48</v>
      </c>
      <c r="Q1734">
        <v>190</v>
      </c>
      <c r="R1734">
        <v>526</v>
      </c>
    </row>
    <row r="1735" spans="1:18" x14ac:dyDescent="0.2">
      <c r="A1735">
        <v>8</v>
      </c>
      <c r="B1735" t="s">
        <v>92</v>
      </c>
      <c r="E1735" t="s">
        <v>19</v>
      </c>
      <c r="F1735">
        <v>1526099</v>
      </c>
      <c r="G1735">
        <v>4</v>
      </c>
      <c r="H1735">
        <v>1</v>
      </c>
      <c r="I1735">
        <v>864</v>
      </c>
      <c r="J1735">
        <v>1962</v>
      </c>
      <c r="K1735" s="4">
        <v>45809</v>
      </c>
      <c r="L1735" t="s">
        <v>23</v>
      </c>
      <c r="M1735" t="s">
        <v>35</v>
      </c>
      <c r="N1735">
        <v>2.31</v>
      </c>
      <c r="O1735">
        <v>2491</v>
      </c>
      <c r="P1735">
        <v>0.9</v>
      </c>
      <c r="Q1735">
        <v>342</v>
      </c>
      <c r="R1735">
        <v>601</v>
      </c>
    </row>
    <row r="1736" spans="1:18" x14ac:dyDescent="0.2">
      <c r="A1736">
        <v>7</v>
      </c>
      <c r="B1736" t="s">
        <v>84</v>
      </c>
      <c r="E1736" t="s">
        <v>36</v>
      </c>
      <c r="F1736">
        <v>1272430</v>
      </c>
      <c r="G1736">
        <v>3</v>
      </c>
      <c r="H1736">
        <v>1</v>
      </c>
      <c r="I1736">
        <v>478</v>
      </c>
      <c r="J1736">
        <v>1992</v>
      </c>
      <c r="K1736" s="4">
        <v>44443</v>
      </c>
      <c r="L1736" t="s">
        <v>20</v>
      </c>
      <c r="M1736" t="s">
        <v>47</v>
      </c>
      <c r="N1736">
        <v>3.43</v>
      </c>
      <c r="O1736">
        <v>1476</v>
      </c>
      <c r="P1736">
        <v>1.25</v>
      </c>
      <c r="Q1736">
        <v>91</v>
      </c>
      <c r="R1736">
        <v>660</v>
      </c>
    </row>
    <row r="1737" spans="1:18" x14ac:dyDescent="0.2">
      <c r="A1737">
        <v>0</v>
      </c>
      <c r="B1737" t="s">
        <v>84</v>
      </c>
      <c r="E1737" t="s">
        <v>19</v>
      </c>
      <c r="F1737">
        <v>1776901</v>
      </c>
      <c r="G1737">
        <v>3</v>
      </c>
      <c r="H1737">
        <v>1</v>
      </c>
      <c r="I1737">
        <v>556</v>
      </c>
      <c r="J1737">
        <v>2015</v>
      </c>
      <c r="K1737" s="4">
        <v>44724</v>
      </c>
      <c r="L1737" t="s">
        <v>23</v>
      </c>
      <c r="M1737" t="s">
        <v>42</v>
      </c>
      <c r="N1737">
        <v>1.94</v>
      </c>
      <c r="O1737">
        <v>2286</v>
      </c>
      <c r="P1737">
        <v>3.16</v>
      </c>
      <c r="Q1737">
        <v>263</v>
      </c>
      <c r="R1737">
        <v>322</v>
      </c>
    </row>
    <row r="1738" spans="1:18" x14ac:dyDescent="0.2">
      <c r="A1738">
        <v>4</v>
      </c>
      <c r="B1738" t="s">
        <v>73</v>
      </c>
      <c r="E1738" t="s">
        <v>51</v>
      </c>
      <c r="F1738">
        <v>567088</v>
      </c>
      <c r="G1738">
        <v>5</v>
      </c>
      <c r="H1738">
        <v>1</v>
      </c>
      <c r="I1738">
        <v>773</v>
      </c>
      <c r="J1738">
        <v>2014</v>
      </c>
      <c r="K1738" s="4">
        <v>44373</v>
      </c>
      <c r="L1738" t="s">
        <v>26</v>
      </c>
      <c r="M1738" t="s">
        <v>59</v>
      </c>
      <c r="N1738">
        <v>3.2</v>
      </c>
      <c r="O1738">
        <v>1987</v>
      </c>
      <c r="P1738">
        <v>2.0299999999999998</v>
      </c>
      <c r="Q1738">
        <v>258</v>
      </c>
      <c r="R1738">
        <v>463</v>
      </c>
    </row>
    <row r="1739" spans="1:18" x14ac:dyDescent="0.2">
      <c r="A1739">
        <v>6</v>
      </c>
      <c r="B1739" t="s">
        <v>73</v>
      </c>
      <c r="E1739" t="s">
        <v>19</v>
      </c>
      <c r="F1739">
        <v>2646811</v>
      </c>
      <c r="G1739">
        <v>4</v>
      </c>
      <c r="H1739">
        <v>1</v>
      </c>
      <c r="I1739">
        <v>769</v>
      </c>
      <c r="J1739">
        <v>1979</v>
      </c>
      <c r="K1739" s="4">
        <v>44522</v>
      </c>
      <c r="L1739" t="s">
        <v>23</v>
      </c>
      <c r="M1739" t="s">
        <v>52</v>
      </c>
      <c r="N1739">
        <v>2.61</v>
      </c>
      <c r="O1739">
        <v>2325</v>
      </c>
      <c r="P1739">
        <v>3.71</v>
      </c>
      <c r="Q1739">
        <v>194</v>
      </c>
      <c r="R1739">
        <v>320</v>
      </c>
    </row>
    <row r="1740" spans="1:18" x14ac:dyDescent="0.2">
      <c r="A1740">
        <v>6</v>
      </c>
      <c r="B1740" t="s">
        <v>43</v>
      </c>
      <c r="E1740" t="s">
        <v>36</v>
      </c>
      <c r="F1740">
        <v>2796740</v>
      </c>
      <c r="G1740">
        <v>3</v>
      </c>
      <c r="H1740">
        <v>1</v>
      </c>
      <c r="I1740">
        <v>439</v>
      </c>
      <c r="J1740">
        <v>2013</v>
      </c>
      <c r="K1740" s="4">
        <v>44431</v>
      </c>
      <c r="L1740" t="s">
        <v>20</v>
      </c>
      <c r="M1740" t="s">
        <v>47</v>
      </c>
      <c r="N1740">
        <v>3.18</v>
      </c>
      <c r="O1740">
        <v>2307</v>
      </c>
      <c r="P1740">
        <v>3.47</v>
      </c>
      <c r="Q1740">
        <v>119</v>
      </c>
      <c r="R1740">
        <v>504</v>
      </c>
    </row>
    <row r="1741" spans="1:18" x14ac:dyDescent="0.2">
      <c r="A1741">
        <v>2</v>
      </c>
      <c r="B1741" t="s">
        <v>87</v>
      </c>
      <c r="E1741" t="s">
        <v>29</v>
      </c>
      <c r="F1741">
        <v>668772</v>
      </c>
      <c r="G1741">
        <v>3</v>
      </c>
      <c r="H1741">
        <v>2</v>
      </c>
      <c r="I1741">
        <v>802</v>
      </c>
      <c r="J1741">
        <v>1996</v>
      </c>
      <c r="K1741" s="4">
        <v>45580</v>
      </c>
      <c r="L1741" t="s">
        <v>20</v>
      </c>
      <c r="M1741" t="s">
        <v>82</v>
      </c>
      <c r="N1741">
        <v>2.0699999999999998</v>
      </c>
      <c r="O1741">
        <v>1350</v>
      </c>
      <c r="P1741">
        <v>1.99</v>
      </c>
      <c r="Q1741">
        <v>135</v>
      </c>
      <c r="R1741">
        <v>488</v>
      </c>
    </row>
    <row r="1742" spans="1:18" x14ac:dyDescent="0.2">
      <c r="A1742">
        <v>0</v>
      </c>
      <c r="B1742" t="s">
        <v>32</v>
      </c>
      <c r="E1742" t="s">
        <v>51</v>
      </c>
      <c r="F1742">
        <v>1106232</v>
      </c>
      <c r="G1742">
        <v>2</v>
      </c>
      <c r="H1742">
        <v>1</v>
      </c>
      <c r="I1742">
        <v>874</v>
      </c>
      <c r="J1742">
        <v>1956</v>
      </c>
      <c r="K1742" s="4">
        <v>45383</v>
      </c>
      <c r="L1742" t="s">
        <v>26</v>
      </c>
      <c r="M1742" t="s">
        <v>70</v>
      </c>
      <c r="N1742">
        <v>3.45</v>
      </c>
      <c r="O1742">
        <v>1416</v>
      </c>
      <c r="P1742">
        <v>3.46</v>
      </c>
      <c r="Q1742">
        <v>169</v>
      </c>
      <c r="R1742">
        <v>475</v>
      </c>
    </row>
    <row r="1743" spans="1:18" x14ac:dyDescent="0.2">
      <c r="A1743">
        <v>3</v>
      </c>
      <c r="B1743" t="s">
        <v>18</v>
      </c>
      <c r="E1743" t="s">
        <v>51</v>
      </c>
      <c r="F1743">
        <v>2236695</v>
      </c>
      <c r="G1743">
        <v>5</v>
      </c>
      <c r="H1743">
        <v>1</v>
      </c>
      <c r="I1743">
        <v>510</v>
      </c>
      <c r="J1743">
        <v>1979</v>
      </c>
      <c r="K1743" s="4">
        <v>44130</v>
      </c>
      <c r="L1743" t="s">
        <v>30</v>
      </c>
      <c r="M1743" t="s">
        <v>37</v>
      </c>
      <c r="N1743">
        <v>1.94</v>
      </c>
      <c r="O1743">
        <v>1877</v>
      </c>
      <c r="P1743">
        <v>3.11</v>
      </c>
      <c r="Q1743">
        <v>313</v>
      </c>
      <c r="R1743">
        <v>356</v>
      </c>
    </row>
    <row r="1744" spans="1:18" x14ac:dyDescent="0.2">
      <c r="A1744">
        <v>7</v>
      </c>
      <c r="B1744" t="s">
        <v>98</v>
      </c>
      <c r="E1744" t="s">
        <v>19</v>
      </c>
      <c r="F1744">
        <v>1103668</v>
      </c>
      <c r="G1744">
        <v>4</v>
      </c>
      <c r="H1744">
        <v>3</v>
      </c>
      <c r="I1744">
        <v>818</v>
      </c>
      <c r="J1744">
        <v>2003</v>
      </c>
      <c r="K1744" s="4">
        <v>45023</v>
      </c>
      <c r="L1744" t="s">
        <v>26</v>
      </c>
      <c r="M1744" t="s">
        <v>40</v>
      </c>
      <c r="N1744">
        <v>3.25</v>
      </c>
      <c r="O1744">
        <v>1910</v>
      </c>
      <c r="P1744">
        <v>3.37</v>
      </c>
      <c r="Q1744">
        <v>357</v>
      </c>
      <c r="R1744">
        <v>397</v>
      </c>
    </row>
    <row r="1745" spans="1:18" x14ac:dyDescent="0.2">
      <c r="A1745">
        <v>7</v>
      </c>
      <c r="B1745" t="s">
        <v>88</v>
      </c>
      <c r="E1745" t="s">
        <v>19</v>
      </c>
      <c r="F1745">
        <v>574267</v>
      </c>
      <c r="G1745">
        <v>5</v>
      </c>
      <c r="H1745">
        <v>2</v>
      </c>
      <c r="I1745">
        <v>719</v>
      </c>
      <c r="J1745">
        <v>2005</v>
      </c>
      <c r="K1745" s="4">
        <v>44564</v>
      </c>
      <c r="L1745" t="s">
        <v>26</v>
      </c>
      <c r="M1745" t="s">
        <v>24</v>
      </c>
      <c r="N1745">
        <v>1.61</v>
      </c>
      <c r="O1745">
        <v>990</v>
      </c>
      <c r="P1745">
        <v>3.72</v>
      </c>
      <c r="Q1745">
        <v>375</v>
      </c>
      <c r="R1745">
        <v>512</v>
      </c>
    </row>
    <row r="1746" spans="1:18" x14ac:dyDescent="0.2">
      <c r="A1746">
        <v>5</v>
      </c>
      <c r="B1746" t="s">
        <v>80</v>
      </c>
      <c r="E1746" t="s">
        <v>19</v>
      </c>
      <c r="F1746">
        <v>1501819</v>
      </c>
      <c r="G1746">
        <v>4</v>
      </c>
      <c r="H1746">
        <v>1</v>
      </c>
      <c r="I1746">
        <v>76</v>
      </c>
      <c r="J1746">
        <v>1956</v>
      </c>
      <c r="K1746" s="4">
        <v>44873</v>
      </c>
      <c r="L1746" t="s">
        <v>23</v>
      </c>
      <c r="M1746" t="s">
        <v>35</v>
      </c>
      <c r="N1746">
        <v>2.2000000000000002</v>
      </c>
      <c r="O1746">
        <v>1071</v>
      </c>
      <c r="P1746">
        <v>2.06</v>
      </c>
      <c r="Q1746">
        <v>344</v>
      </c>
      <c r="R1746">
        <v>520</v>
      </c>
    </row>
    <row r="1747" spans="1:18" x14ac:dyDescent="0.2">
      <c r="A1747">
        <v>0</v>
      </c>
      <c r="B1747" t="s">
        <v>88</v>
      </c>
      <c r="E1747" t="s">
        <v>51</v>
      </c>
      <c r="F1747">
        <v>1583659</v>
      </c>
      <c r="G1747">
        <v>4</v>
      </c>
      <c r="H1747">
        <v>2</v>
      </c>
      <c r="I1747">
        <v>497</v>
      </c>
      <c r="J1747">
        <v>1970</v>
      </c>
      <c r="K1747" s="4">
        <v>45617</v>
      </c>
      <c r="L1747" t="s">
        <v>30</v>
      </c>
      <c r="M1747" t="s">
        <v>70</v>
      </c>
      <c r="N1747">
        <v>1.67</v>
      </c>
      <c r="O1747">
        <v>1724</v>
      </c>
      <c r="P1747">
        <v>2.35</v>
      </c>
      <c r="Q1747">
        <v>388</v>
      </c>
      <c r="R1747">
        <v>436</v>
      </c>
    </row>
    <row r="1748" spans="1:18" x14ac:dyDescent="0.2">
      <c r="A1748">
        <v>4</v>
      </c>
      <c r="B1748" t="s">
        <v>93</v>
      </c>
      <c r="E1748" t="s">
        <v>19</v>
      </c>
      <c r="F1748">
        <v>1147681</v>
      </c>
      <c r="G1748">
        <v>1</v>
      </c>
      <c r="H1748">
        <v>1</v>
      </c>
      <c r="I1748">
        <v>242</v>
      </c>
      <c r="J1748">
        <v>1995</v>
      </c>
      <c r="K1748" s="4">
        <v>45207</v>
      </c>
      <c r="L1748" t="s">
        <v>20</v>
      </c>
      <c r="M1748" t="s">
        <v>97</v>
      </c>
      <c r="N1748">
        <v>2.62</v>
      </c>
      <c r="O1748">
        <v>1384</v>
      </c>
      <c r="P1748">
        <v>3.4</v>
      </c>
      <c r="Q1748">
        <v>110</v>
      </c>
      <c r="R1748">
        <v>469</v>
      </c>
    </row>
    <row r="1749" spans="1:18" x14ac:dyDescent="0.2">
      <c r="A1749">
        <v>5</v>
      </c>
      <c r="B1749" t="s">
        <v>84</v>
      </c>
      <c r="E1749" t="s">
        <v>51</v>
      </c>
      <c r="F1749">
        <v>1674287</v>
      </c>
      <c r="G1749">
        <v>3</v>
      </c>
      <c r="H1749">
        <v>1</v>
      </c>
      <c r="I1749">
        <v>716</v>
      </c>
      <c r="J1749">
        <v>1991</v>
      </c>
      <c r="K1749" s="4">
        <v>45115</v>
      </c>
      <c r="L1749" t="s">
        <v>26</v>
      </c>
      <c r="M1749" t="s">
        <v>82</v>
      </c>
      <c r="N1749">
        <v>2.48</v>
      </c>
      <c r="O1749">
        <v>2220</v>
      </c>
      <c r="P1749">
        <v>1.99</v>
      </c>
      <c r="Q1749">
        <v>160</v>
      </c>
      <c r="R1749">
        <v>402</v>
      </c>
    </row>
    <row r="1750" spans="1:18" x14ac:dyDescent="0.2">
      <c r="A1750">
        <v>8</v>
      </c>
      <c r="B1750" t="s">
        <v>46</v>
      </c>
      <c r="E1750" t="s">
        <v>29</v>
      </c>
      <c r="F1750">
        <v>1982374</v>
      </c>
      <c r="G1750">
        <v>4</v>
      </c>
      <c r="H1750">
        <v>3</v>
      </c>
      <c r="I1750">
        <v>712</v>
      </c>
      <c r="J1750">
        <v>2017</v>
      </c>
      <c r="K1750" s="4">
        <v>45239</v>
      </c>
      <c r="L1750" t="s">
        <v>20</v>
      </c>
      <c r="M1750" t="s">
        <v>42</v>
      </c>
      <c r="N1750">
        <v>3</v>
      </c>
      <c r="O1750">
        <v>1014</v>
      </c>
      <c r="P1750">
        <v>4.5199999999999996</v>
      </c>
      <c r="Q1750">
        <v>400</v>
      </c>
      <c r="R1750">
        <v>390</v>
      </c>
    </row>
    <row r="1751" spans="1:18" x14ac:dyDescent="0.2">
      <c r="A1751">
        <v>7</v>
      </c>
      <c r="B1751" t="s">
        <v>48</v>
      </c>
      <c r="E1751" t="s">
        <v>19</v>
      </c>
      <c r="F1751">
        <v>2801370</v>
      </c>
      <c r="G1751">
        <v>2</v>
      </c>
      <c r="H1751">
        <v>1</v>
      </c>
      <c r="I1751">
        <v>645</v>
      </c>
      <c r="J1751">
        <v>1959</v>
      </c>
      <c r="K1751" s="4">
        <v>45832</v>
      </c>
      <c r="L1751" t="s">
        <v>26</v>
      </c>
      <c r="M1751" t="s">
        <v>21</v>
      </c>
      <c r="N1751">
        <v>2.99</v>
      </c>
      <c r="O1751">
        <v>2341</v>
      </c>
      <c r="P1751">
        <v>1.8</v>
      </c>
      <c r="Q1751">
        <v>160</v>
      </c>
      <c r="R1751">
        <v>440</v>
      </c>
    </row>
    <row r="1752" spans="1:18" x14ac:dyDescent="0.2">
      <c r="A1752">
        <v>4</v>
      </c>
      <c r="B1752" t="s">
        <v>73</v>
      </c>
      <c r="E1752" t="s">
        <v>29</v>
      </c>
      <c r="F1752">
        <v>421871</v>
      </c>
      <c r="G1752">
        <v>5</v>
      </c>
      <c r="H1752">
        <v>2</v>
      </c>
      <c r="I1752">
        <v>55</v>
      </c>
      <c r="J1752">
        <v>1973</v>
      </c>
      <c r="K1752" s="4">
        <v>45158</v>
      </c>
      <c r="L1752" t="s">
        <v>23</v>
      </c>
      <c r="M1752" t="s">
        <v>85</v>
      </c>
      <c r="N1752">
        <v>2.19</v>
      </c>
      <c r="O1752">
        <v>1806</v>
      </c>
      <c r="P1752">
        <v>2.97</v>
      </c>
      <c r="Q1752">
        <v>332</v>
      </c>
      <c r="R1752">
        <v>386</v>
      </c>
    </row>
    <row r="1753" spans="1:18" x14ac:dyDescent="0.2">
      <c r="A1753">
        <v>4</v>
      </c>
      <c r="B1753" t="s">
        <v>50</v>
      </c>
      <c r="E1753" t="s">
        <v>29</v>
      </c>
      <c r="F1753">
        <v>2377929</v>
      </c>
      <c r="G1753">
        <v>3</v>
      </c>
      <c r="H1753">
        <v>3</v>
      </c>
      <c r="I1753">
        <v>286</v>
      </c>
      <c r="J1753">
        <v>2012</v>
      </c>
      <c r="K1753" s="4">
        <v>45336</v>
      </c>
      <c r="L1753" t="s">
        <v>26</v>
      </c>
      <c r="M1753" t="s">
        <v>66</v>
      </c>
      <c r="N1753">
        <v>2.16</v>
      </c>
      <c r="O1753">
        <v>2390</v>
      </c>
      <c r="P1753">
        <v>2.5299999999999998</v>
      </c>
      <c r="Q1753">
        <v>269</v>
      </c>
      <c r="R1753">
        <v>618</v>
      </c>
    </row>
    <row r="1754" spans="1:18" x14ac:dyDescent="0.2">
      <c r="A1754">
        <v>2</v>
      </c>
      <c r="B1754" t="s">
        <v>94</v>
      </c>
      <c r="E1754" t="s">
        <v>51</v>
      </c>
      <c r="F1754">
        <v>934762</v>
      </c>
      <c r="G1754">
        <v>2</v>
      </c>
      <c r="H1754">
        <v>3</v>
      </c>
      <c r="I1754">
        <v>143</v>
      </c>
      <c r="J1754">
        <v>2001</v>
      </c>
      <c r="K1754" s="4">
        <v>44343</v>
      </c>
      <c r="L1754" t="s">
        <v>30</v>
      </c>
      <c r="M1754" t="s">
        <v>56</v>
      </c>
      <c r="N1754">
        <v>2.83</v>
      </c>
      <c r="O1754">
        <v>1549</v>
      </c>
      <c r="P1754">
        <v>1.41</v>
      </c>
      <c r="Q1754">
        <v>49</v>
      </c>
      <c r="R1754">
        <v>605</v>
      </c>
    </row>
    <row r="1755" spans="1:18" x14ac:dyDescent="0.2">
      <c r="A1755">
        <v>0</v>
      </c>
      <c r="B1755" t="s">
        <v>95</v>
      </c>
      <c r="E1755" t="s">
        <v>36</v>
      </c>
      <c r="F1755">
        <v>440706</v>
      </c>
      <c r="G1755">
        <v>3</v>
      </c>
      <c r="H1755">
        <v>2</v>
      </c>
      <c r="I1755">
        <v>425</v>
      </c>
      <c r="J1755">
        <v>1996</v>
      </c>
      <c r="K1755" s="4">
        <v>44082</v>
      </c>
      <c r="L1755" t="s">
        <v>30</v>
      </c>
      <c r="M1755" t="s">
        <v>56</v>
      </c>
      <c r="N1755">
        <v>2.2799999999999998</v>
      </c>
      <c r="O1755">
        <v>1413</v>
      </c>
      <c r="P1755">
        <v>2.16</v>
      </c>
      <c r="Q1755">
        <v>121</v>
      </c>
      <c r="R1755">
        <v>304</v>
      </c>
    </row>
    <row r="1756" spans="1:18" x14ac:dyDescent="0.2">
      <c r="A1756">
        <v>6</v>
      </c>
      <c r="B1756" t="s">
        <v>46</v>
      </c>
      <c r="E1756" t="s">
        <v>19</v>
      </c>
      <c r="F1756">
        <v>1217006</v>
      </c>
      <c r="G1756">
        <v>5</v>
      </c>
      <c r="H1756">
        <v>1</v>
      </c>
      <c r="I1756">
        <v>979</v>
      </c>
      <c r="J1756">
        <v>2006</v>
      </c>
      <c r="K1756" s="4">
        <v>44186</v>
      </c>
      <c r="L1756" t="s">
        <v>20</v>
      </c>
      <c r="M1756" t="s">
        <v>82</v>
      </c>
      <c r="N1756">
        <v>1.53</v>
      </c>
      <c r="O1756">
        <v>1957</v>
      </c>
      <c r="P1756">
        <v>1.65</v>
      </c>
      <c r="Q1756">
        <v>315</v>
      </c>
      <c r="R1756">
        <v>340</v>
      </c>
    </row>
    <row r="1757" spans="1:18" x14ac:dyDescent="0.2">
      <c r="A1757">
        <v>6</v>
      </c>
      <c r="B1757" t="s">
        <v>62</v>
      </c>
      <c r="E1757" t="s">
        <v>19</v>
      </c>
      <c r="F1757">
        <v>1718725</v>
      </c>
      <c r="G1757">
        <v>3</v>
      </c>
      <c r="H1757">
        <v>3</v>
      </c>
      <c r="I1757">
        <v>915</v>
      </c>
      <c r="J1757">
        <v>2016</v>
      </c>
      <c r="K1757" s="4">
        <v>44858</v>
      </c>
      <c r="L1757" t="s">
        <v>26</v>
      </c>
      <c r="M1757" t="s">
        <v>37</v>
      </c>
      <c r="N1757">
        <v>1.85</v>
      </c>
      <c r="O1757">
        <v>979</v>
      </c>
      <c r="P1757">
        <v>3.82</v>
      </c>
      <c r="Q1757">
        <v>146</v>
      </c>
      <c r="R1757">
        <v>446</v>
      </c>
    </row>
    <row r="1758" spans="1:18" x14ac:dyDescent="0.2">
      <c r="A1758">
        <v>2</v>
      </c>
      <c r="B1758" t="s">
        <v>92</v>
      </c>
      <c r="E1758" t="s">
        <v>29</v>
      </c>
      <c r="F1758">
        <v>1281103</v>
      </c>
      <c r="G1758">
        <v>5</v>
      </c>
      <c r="H1758">
        <v>2</v>
      </c>
      <c r="I1758">
        <v>349</v>
      </c>
      <c r="J1758">
        <v>1971</v>
      </c>
      <c r="K1758" s="4">
        <v>45401</v>
      </c>
      <c r="L1758" t="s">
        <v>30</v>
      </c>
      <c r="M1758" t="s">
        <v>45</v>
      </c>
      <c r="N1758">
        <v>2.94</v>
      </c>
      <c r="O1758">
        <v>1776</v>
      </c>
      <c r="P1758">
        <v>2.69</v>
      </c>
      <c r="Q1758">
        <v>357</v>
      </c>
      <c r="R1758">
        <v>576</v>
      </c>
    </row>
    <row r="1759" spans="1:18" x14ac:dyDescent="0.2">
      <c r="A1759">
        <v>3</v>
      </c>
      <c r="B1759" t="s">
        <v>80</v>
      </c>
      <c r="E1759" t="s">
        <v>29</v>
      </c>
      <c r="F1759">
        <v>931631</v>
      </c>
      <c r="G1759">
        <v>4</v>
      </c>
      <c r="H1759">
        <v>1</v>
      </c>
      <c r="I1759">
        <v>919</v>
      </c>
      <c r="J1759">
        <v>2020</v>
      </c>
      <c r="K1759" s="4">
        <v>45338</v>
      </c>
      <c r="L1759" t="s">
        <v>23</v>
      </c>
      <c r="M1759" t="s">
        <v>35</v>
      </c>
      <c r="N1759">
        <v>3.22</v>
      </c>
      <c r="O1759">
        <v>1780</v>
      </c>
      <c r="P1759">
        <v>2.5499999999999998</v>
      </c>
      <c r="Q1759">
        <v>368</v>
      </c>
      <c r="R1759">
        <v>582</v>
      </c>
    </row>
    <row r="1760" spans="1:18" x14ac:dyDescent="0.2">
      <c r="A1760">
        <v>3</v>
      </c>
      <c r="B1760" t="s">
        <v>83</v>
      </c>
      <c r="E1760" t="s">
        <v>51</v>
      </c>
      <c r="F1760">
        <v>2101216</v>
      </c>
      <c r="G1760">
        <v>0</v>
      </c>
      <c r="H1760">
        <v>3</v>
      </c>
      <c r="I1760">
        <v>322</v>
      </c>
      <c r="J1760">
        <v>2008</v>
      </c>
      <c r="K1760" s="4">
        <v>45460</v>
      </c>
      <c r="L1760" t="s">
        <v>30</v>
      </c>
      <c r="M1760" t="s">
        <v>70</v>
      </c>
      <c r="N1760">
        <v>3.47</v>
      </c>
      <c r="O1760">
        <v>817</v>
      </c>
      <c r="P1760">
        <v>3</v>
      </c>
      <c r="Q1760">
        <v>68</v>
      </c>
      <c r="R1760">
        <v>336</v>
      </c>
    </row>
    <row r="1761" spans="1:18" x14ac:dyDescent="0.2">
      <c r="A1761">
        <v>7</v>
      </c>
      <c r="B1761" t="s">
        <v>99</v>
      </c>
      <c r="E1761" t="s">
        <v>51</v>
      </c>
      <c r="F1761">
        <v>2807758</v>
      </c>
      <c r="G1761">
        <v>2</v>
      </c>
      <c r="H1761">
        <v>3</v>
      </c>
      <c r="I1761">
        <v>926</v>
      </c>
      <c r="J1761">
        <v>1962</v>
      </c>
      <c r="K1761" s="4">
        <v>44823</v>
      </c>
      <c r="L1761" t="s">
        <v>23</v>
      </c>
      <c r="M1761" t="s">
        <v>54</v>
      </c>
      <c r="N1761">
        <v>3.41</v>
      </c>
      <c r="O1761">
        <v>1066</v>
      </c>
      <c r="P1761">
        <v>4.42</v>
      </c>
      <c r="Q1761">
        <v>189</v>
      </c>
      <c r="R1761">
        <v>353</v>
      </c>
    </row>
    <row r="1762" spans="1:18" x14ac:dyDescent="0.2">
      <c r="A1762">
        <v>1</v>
      </c>
      <c r="B1762" t="s">
        <v>80</v>
      </c>
      <c r="E1762" t="s">
        <v>29</v>
      </c>
      <c r="F1762">
        <v>1389673</v>
      </c>
      <c r="G1762">
        <v>2</v>
      </c>
      <c r="H1762">
        <v>3</v>
      </c>
      <c r="I1762">
        <v>778</v>
      </c>
      <c r="J1762">
        <v>2000</v>
      </c>
      <c r="K1762" s="4">
        <v>44414</v>
      </c>
      <c r="L1762" t="s">
        <v>30</v>
      </c>
      <c r="M1762" t="s">
        <v>74</v>
      </c>
      <c r="N1762">
        <v>1.61</v>
      </c>
      <c r="O1762">
        <v>2060</v>
      </c>
      <c r="P1762">
        <v>1.62</v>
      </c>
      <c r="Q1762">
        <v>178</v>
      </c>
      <c r="R1762">
        <v>690</v>
      </c>
    </row>
    <row r="1763" spans="1:18" x14ac:dyDescent="0.2">
      <c r="A1763">
        <v>0</v>
      </c>
      <c r="B1763" t="s">
        <v>75</v>
      </c>
      <c r="E1763" t="s">
        <v>29</v>
      </c>
      <c r="F1763">
        <v>1716047</v>
      </c>
      <c r="G1763">
        <v>2</v>
      </c>
      <c r="H1763">
        <v>1</v>
      </c>
      <c r="I1763">
        <v>696</v>
      </c>
      <c r="J1763">
        <v>1987</v>
      </c>
      <c r="K1763" s="4">
        <v>45106</v>
      </c>
      <c r="L1763" t="s">
        <v>26</v>
      </c>
      <c r="M1763" t="s">
        <v>59</v>
      </c>
      <c r="N1763">
        <v>2.2000000000000002</v>
      </c>
      <c r="O1763">
        <v>1572</v>
      </c>
      <c r="P1763">
        <v>1.45</v>
      </c>
      <c r="Q1763">
        <v>68</v>
      </c>
      <c r="R1763">
        <v>436</v>
      </c>
    </row>
    <row r="1764" spans="1:18" x14ac:dyDescent="0.2">
      <c r="A1764">
        <v>3</v>
      </c>
      <c r="B1764" t="s">
        <v>81</v>
      </c>
      <c r="E1764" t="s">
        <v>19</v>
      </c>
      <c r="F1764">
        <v>1594153</v>
      </c>
      <c r="G1764">
        <v>6</v>
      </c>
      <c r="H1764">
        <v>1</v>
      </c>
      <c r="I1764">
        <v>960</v>
      </c>
      <c r="J1764">
        <v>2016</v>
      </c>
      <c r="K1764" s="4">
        <v>44223</v>
      </c>
      <c r="L1764" t="s">
        <v>23</v>
      </c>
      <c r="M1764" t="s">
        <v>33</v>
      </c>
      <c r="N1764">
        <v>2.2000000000000002</v>
      </c>
      <c r="O1764">
        <v>920</v>
      </c>
      <c r="P1764">
        <v>3.37</v>
      </c>
      <c r="Q1764">
        <v>338</v>
      </c>
      <c r="R1764">
        <v>675</v>
      </c>
    </row>
    <row r="1765" spans="1:18" x14ac:dyDescent="0.2">
      <c r="A1765">
        <v>0</v>
      </c>
      <c r="B1765" t="s">
        <v>67</v>
      </c>
      <c r="E1765" t="s">
        <v>51</v>
      </c>
      <c r="F1765">
        <v>1599430</v>
      </c>
      <c r="G1765">
        <v>6</v>
      </c>
      <c r="H1765">
        <v>2</v>
      </c>
      <c r="I1765">
        <v>183</v>
      </c>
      <c r="J1765">
        <v>2016</v>
      </c>
      <c r="K1765" s="4">
        <v>45334</v>
      </c>
      <c r="L1765" t="s">
        <v>20</v>
      </c>
      <c r="M1765" t="s">
        <v>59</v>
      </c>
      <c r="N1765">
        <v>1.58</v>
      </c>
      <c r="O1765">
        <v>1539</v>
      </c>
      <c r="P1765">
        <v>2.4500000000000002</v>
      </c>
      <c r="Q1765">
        <v>368</v>
      </c>
      <c r="R1765">
        <v>608</v>
      </c>
    </row>
    <row r="1766" spans="1:18" x14ac:dyDescent="0.2">
      <c r="A1766">
        <v>3</v>
      </c>
      <c r="B1766" t="s">
        <v>94</v>
      </c>
      <c r="E1766" t="s">
        <v>36</v>
      </c>
      <c r="F1766">
        <v>2858560</v>
      </c>
      <c r="G1766">
        <v>6</v>
      </c>
      <c r="H1766">
        <v>1</v>
      </c>
      <c r="I1766">
        <v>230</v>
      </c>
      <c r="J1766">
        <v>1981</v>
      </c>
      <c r="K1766" s="4">
        <v>45820</v>
      </c>
      <c r="L1766" t="s">
        <v>23</v>
      </c>
      <c r="M1766" t="s">
        <v>33</v>
      </c>
      <c r="N1766">
        <v>2.25</v>
      </c>
      <c r="O1766">
        <v>2325</v>
      </c>
      <c r="P1766">
        <v>4.67</v>
      </c>
      <c r="Q1766">
        <v>395</v>
      </c>
      <c r="R1766">
        <v>577</v>
      </c>
    </row>
    <row r="1767" spans="1:18" x14ac:dyDescent="0.2">
      <c r="A1767">
        <v>5</v>
      </c>
      <c r="B1767" t="s">
        <v>28</v>
      </c>
      <c r="E1767" t="s">
        <v>36</v>
      </c>
      <c r="F1767">
        <v>944152</v>
      </c>
      <c r="G1767">
        <v>4</v>
      </c>
      <c r="H1767">
        <v>3</v>
      </c>
      <c r="I1767">
        <v>115</v>
      </c>
      <c r="J1767">
        <v>1951</v>
      </c>
      <c r="K1767" s="4">
        <v>44360</v>
      </c>
      <c r="L1767" t="s">
        <v>20</v>
      </c>
      <c r="M1767" t="s">
        <v>42</v>
      </c>
      <c r="N1767">
        <v>3.2</v>
      </c>
      <c r="O1767">
        <v>2223</v>
      </c>
      <c r="P1767">
        <v>0.44</v>
      </c>
      <c r="Q1767">
        <v>332</v>
      </c>
      <c r="R1767">
        <v>389</v>
      </c>
    </row>
    <row r="1768" spans="1:18" x14ac:dyDescent="0.2">
      <c r="A1768">
        <v>2</v>
      </c>
      <c r="B1768" t="s">
        <v>38</v>
      </c>
      <c r="E1768" t="s">
        <v>29</v>
      </c>
      <c r="F1768">
        <v>2167315</v>
      </c>
      <c r="G1768">
        <v>2</v>
      </c>
      <c r="H1768">
        <v>2</v>
      </c>
      <c r="I1768">
        <v>166</v>
      </c>
      <c r="J1768">
        <v>1982</v>
      </c>
      <c r="K1768" s="4">
        <v>44993</v>
      </c>
      <c r="L1768" t="s">
        <v>23</v>
      </c>
      <c r="M1768" t="s">
        <v>63</v>
      </c>
      <c r="N1768">
        <v>3.11</v>
      </c>
      <c r="O1768">
        <v>898</v>
      </c>
      <c r="P1768">
        <v>1.72</v>
      </c>
      <c r="Q1768">
        <v>98</v>
      </c>
      <c r="R1768">
        <v>463</v>
      </c>
    </row>
    <row r="1769" spans="1:18" x14ac:dyDescent="0.2">
      <c r="A1769">
        <v>9</v>
      </c>
      <c r="B1769" t="s">
        <v>65</v>
      </c>
      <c r="E1769" t="s">
        <v>29</v>
      </c>
      <c r="F1769">
        <v>2241933</v>
      </c>
      <c r="G1769">
        <v>5</v>
      </c>
      <c r="H1769">
        <v>3</v>
      </c>
      <c r="I1769">
        <v>817</v>
      </c>
      <c r="J1769">
        <v>1982</v>
      </c>
      <c r="K1769" s="4">
        <v>45098</v>
      </c>
      <c r="L1769" t="s">
        <v>20</v>
      </c>
      <c r="M1769" t="s">
        <v>52</v>
      </c>
      <c r="N1769">
        <v>2.52</v>
      </c>
      <c r="O1769">
        <v>1781</v>
      </c>
      <c r="P1769">
        <v>3.37</v>
      </c>
      <c r="Q1769">
        <v>242</v>
      </c>
      <c r="R1769">
        <v>556</v>
      </c>
    </row>
    <row r="1770" spans="1:18" x14ac:dyDescent="0.2">
      <c r="A1770">
        <v>3</v>
      </c>
      <c r="B1770" t="s">
        <v>32</v>
      </c>
      <c r="E1770" t="s">
        <v>19</v>
      </c>
      <c r="F1770">
        <v>494597</v>
      </c>
      <c r="G1770">
        <v>1</v>
      </c>
      <c r="H1770">
        <v>1</v>
      </c>
      <c r="I1770">
        <v>318</v>
      </c>
      <c r="J1770">
        <v>1951</v>
      </c>
      <c r="K1770" s="4">
        <v>45045</v>
      </c>
      <c r="L1770" t="s">
        <v>30</v>
      </c>
      <c r="M1770" t="s">
        <v>66</v>
      </c>
      <c r="N1770">
        <v>2.91</v>
      </c>
      <c r="O1770">
        <v>953</v>
      </c>
      <c r="P1770">
        <v>0.89</v>
      </c>
      <c r="Q1770">
        <v>94</v>
      </c>
      <c r="R1770">
        <v>412</v>
      </c>
    </row>
    <row r="1771" spans="1:18" x14ac:dyDescent="0.2">
      <c r="A1771">
        <v>4</v>
      </c>
      <c r="B1771" t="s">
        <v>86</v>
      </c>
      <c r="E1771" t="s">
        <v>36</v>
      </c>
      <c r="F1771">
        <v>2851816</v>
      </c>
      <c r="G1771">
        <v>4</v>
      </c>
      <c r="H1771">
        <v>2</v>
      </c>
      <c r="I1771">
        <v>475</v>
      </c>
      <c r="J1771">
        <v>2002</v>
      </c>
      <c r="K1771" s="4">
        <v>44507</v>
      </c>
      <c r="L1771" t="s">
        <v>23</v>
      </c>
      <c r="M1771" t="s">
        <v>47</v>
      </c>
      <c r="N1771">
        <v>1.54</v>
      </c>
      <c r="O1771">
        <v>1486</v>
      </c>
      <c r="P1771">
        <v>1.02</v>
      </c>
      <c r="Q1771">
        <v>170</v>
      </c>
      <c r="R1771">
        <v>586</v>
      </c>
    </row>
    <row r="1772" spans="1:18" x14ac:dyDescent="0.2">
      <c r="A1772">
        <v>6</v>
      </c>
      <c r="B1772" t="s">
        <v>49</v>
      </c>
      <c r="E1772" t="s">
        <v>51</v>
      </c>
      <c r="F1772">
        <v>1680459</v>
      </c>
      <c r="G1772">
        <v>6</v>
      </c>
      <c r="H1772">
        <v>2</v>
      </c>
      <c r="I1772">
        <v>185</v>
      </c>
      <c r="J1772">
        <v>1980</v>
      </c>
      <c r="K1772" s="4">
        <v>45476</v>
      </c>
      <c r="L1772" t="s">
        <v>23</v>
      </c>
      <c r="M1772" t="s">
        <v>56</v>
      </c>
      <c r="N1772">
        <v>2.2400000000000002</v>
      </c>
      <c r="O1772">
        <v>1437</v>
      </c>
      <c r="P1772">
        <v>3.86</v>
      </c>
      <c r="Q1772">
        <v>355</v>
      </c>
      <c r="R1772">
        <v>673</v>
      </c>
    </row>
    <row r="1773" spans="1:18" x14ac:dyDescent="0.2">
      <c r="A1773">
        <v>8</v>
      </c>
      <c r="B1773" t="s">
        <v>84</v>
      </c>
      <c r="E1773" t="s">
        <v>19</v>
      </c>
      <c r="F1773">
        <v>838292</v>
      </c>
      <c r="G1773">
        <v>6</v>
      </c>
      <c r="H1773">
        <v>3</v>
      </c>
      <c r="I1773">
        <v>752</v>
      </c>
      <c r="J1773">
        <v>1971</v>
      </c>
      <c r="K1773" s="4">
        <v>44537</v>
      </c>
      <c r="L1773" t="s">
        <v>20</v>
      </c>
      <c r="M1773" t="s">
        <v>27</v>
      </c>
      <c r="N1773">
        <v>2.39</v>
      </c>
      <c r="O1773">
        <v>1201</v>
      </c>
      <c r="P1773">
        <v>2.29</v>
      </c>
      <c r="Q1773">
        <v>356</v>
      </c>
      <c r="R1773">
        <v>406</v>
      </c>
    </row>
    <row r="1774" spans="1:18" x14ac:dyDescent="0.2">
      <c r="A1774">
        <v>6</v>
      </c>
      <c r="B1774" t="s">
        <v>53</v>
      </c>
      <c r="E1774" t="s">
        <v>29</v>
      </c>
      <c r="F1774">
        <v>2650283</v>
      </c>
      <c r="G1774">
        <v>5</v>
      </c>
      <c r="H1774">
        <v>3</v>
      </c>
      <c r="I1774">
        <v>139</v>
      </c>
      <c r="J1774">
        <v>1995</v>
      </c>
      <c r="K1774" s="4">
        <v>44716</v>
      </c>
      <c r="L1774" t="s">
        <v>23</v>
      </c>
      <c r="M1774" t="s">
        <v>76</v>
      </c>
      <c r="N1774">
        <v>3.19</v>
      </c>
      <c r="O1774">
        <v>1643</v>
      </c>
      <c r="P1774">
        <v>0.61</v>
      </c>
      <c r="Q1774">
        <v>325</v>
      </c>
      <c r="R1774">
        <v>535</v>
      </c>
    </row>
    <row r="1775" spans="1:18" x14ac:dyDescent="0.2">
      <c r="A1775">
        <v>7</v>
      </c>
      <c r="B1775" t="s">
        <v>41</v>
      </c>
      <c r="E1775" t="s">
        <v>51</v>
      </c>
      <c r="F1775">
        <v>862542</v>
      </c>
      <c r="G1775">
        <v>1</v>
      </c>
      <c r="H1775">
        <v>3</v>
      </c>
      <c r="I1775">
        <v>783</v>
      </c>
      <c r="J1775">
        <v>2013</v>
      </c>
      <c r="K1775" s="4">
        <v>45734</v>
      </c>
      <c r="L1775" t="s">
        <v>20</v>
      </c>
      <c r="M1775" t="s">
        <v>31</v>
      </c>
      <c r="N1775">
        <v>2.58</v>
      </c>
      <c r="O1775">
        <v>2060</v>
      </c>
      <c r="P1775">
        <v>4.8899999999999997</v>
      </c>
      <c r="Q1775">
        <v>117</v>
      </c>
      <c r="R1775">
        <v>661</v>
      </c>
    </row>
    <row r="1776" spans="1:18" x14ac:dyDescent="0.2">
      <c r="A1776">
        <v>0</v>
      </c>
      <c r="B1776" t="s">
        <v>44</v>
      </c>
      <c r="E1776" t="s">
        <v>19</v>
      </c>
      <c r="F1776">
        <v>402035</v>
      </c>
      <c r="G1776">
        <v>4</v>
      </c>
      <c r="H1776">
        <v>3</v>
      </c>
      <c r="I1776">
        <v>872</v>
      </c>
      <c r="J1776">
        <v>1952</v>
      </c>
      <c r="K1776" s="4">
        <v>45045</v>
      </c>
      <c r="L1776" t="s">
        <v>23</v>
      </c>
      <c r="M1776" t="s">
        <v>52</v>
      </c>
      <c r="N1776">
        <v>2.11</v>
      </c>
      <c r="O1776">
        <v>2113</v>
      </c>
      <c r="P1776">
        <v>1.33</v>
      </c>
      <c r="Q1776">
        <v>220</v>
      </c>
      <c r="R1776">
        <v>374</v>
      </c>
    </row>
    <row r="1777" spans="1:18" x14ac:dyDescent="0.2">
      <c r="A1777">
        <v>4</v>
      </c>
      <c r="B1777" t="s">
        <v>93</v>
      </c>
      <c r="E1777" t="s">
        <v>19</v>
      </c>
      <c r="F1777">
        <v>766917</v>
      </c>
      <c r="G1777">
        <v>3</v>
      </c>
      <c r="H1777">
        <v>1</v>
      </c>
      <c r="I1777">
        <v>388</v>
      </c>
      <c r="J1777">
        <v>1988</v>
      </c>
      <c r="K1777" s="4">
        <v>45684</v>
      </c>
      <c r="L1777" t="s">
        <v>20</v>
      </c>
      <c r="M1777" t="s">
        <v>78</v>
      </c>
      <c r="N1777">
        <v>3.09</v>
      </c>
      <c r="O1777">
        <v>1011</v>
      </c>
      <c r="P1777">
        <v>2.42</v>
      </c>
      <c r="Q1777">
        <v>187</v>
      </c>
      <c r="R1777">
        <v>366</v>
      </c>
    </row>
    <row r="1778" spans="1:18" x14ac:dyDescent="0.2">
      <c r="A1778">
        <v>0</v>
      </c>
      <c r="B1778" t="s">
        <v>91</v>
      </c>
      <c r="E1778" t="s">
        <v>19</v>
      </c>
      <c r="F1778">
        <v>2056119</v>
      </c>
      <c r="G1778">
        <v>6</v>
      </c>
      <c r="H1778">
        <v>2</v>
      </c>
      <c r="I1778">
        <v>740</v>
      </c>
      <c r="J1778">
        <v>2015</v>
      </c>
      <c r="K1778" s="4">
        <v>44303</v>
      </c>
      <c r="L1778" t="s">
        <v>20</v>
      </c>
      <c r="M1778" t="s">
        <v>89</v>
      </c>
      <c r="N1778">
        <v>3.1</v>
      </c>
      <c r="O1778">
        <v>1892</v>
      </c>
      <c r="P1778">
        <v>1.26</v>
      </c>
      <c r="Q1778">
        <v>322</v>
      </c>
      <c r="R1778">
        <v>595</v>
      </c>
    </row>
    <row r="1779" spans="1:18" x14ac:dyDescent="0.2">
      <c r="A1779">
        <v>3</v>
      </c>
      <c r="B1779" t="s">
        <v>18</v>
      </c>
      <c r="E1779" t="s">
        <v>29</v>
      </c>
      <c r="F1779">
        <v>1584315</v>
      </c>
      <c r="G1779">
        <v>5</v>
      </c>
      <c r="H1779">
        <v>2</v>
      </c>
      <c r="I1779">
        <v>678</v>
      </c>
      <c r="J1779">
        <v>1980</v>
      </c>
      <c r="K1779" s="4">
        <v>45047</v>
      </c>
      <c r="L1779" t="s">
        <v>23</v>
      </c>
      <c r="M1779" t="s">
        <v>37</v>
      </c>
      <c r="N1779">
        <v>2.12</v>
      </c>
      <c r="O1779">
        <v>1768</v>
      </c>
      <c r="P1779">
        <v>2.09</v>
      </c>
      <c r="Q1779">
        <v>305</v>
      </c>
      <c r="R1779">
        <v>625</v>
      </c>
    </row>
    <row r="1780" spans="1:18" x14ac:dyDescent="0.2">
      <c r="A1780">
        <v>0</v>
      </c>
      <c r="B1780" t="s">
        <v>92</v>
      </c>
      <c r="E1780" t="s">
        <v>19</v>
      </c>
      <c r="F1780">
        <v>642888</v>
      </c>
      <c r="G1780">
        <v>3</v>
      </c>
      <c r="H1780">
        <v>1</v>
      </c>
      <c r="I1780">
        <v>343</v>
      </c>
      <c r="J1780">
        <v>2004</v>
      </c>
      <c r="K1780" s="4">
        <v>45484</v>
      </c>
      <c r="L1780" t="s">
        <v>30</v>
      </c>
      <c r="M1780" t="s">
        <v>69</v>
      </c>
      <c r="N1780">
        <v>2.2799999999999998</v>
      </c>
      <c r="O1780">
        <v>1676</v>
      </c>
      <c r="P1780">
        <v>4.79</v>
      </c>
      <c r="Q1780">
        <v>138</v>
      </c>
      <c r="R1780">
        <v>613</v>
      </c>
    </row>
    <row r="1781" spans="1:18" x14ac:dyDescent="0.2">
      <c r="A1781">
        <v>9</v>
      </c>
      <c r="B1781" t="s">
        <v>22</v>
      </c>
      <c r="E1781" t="s">
        <v>29</v>
      </c>
      <c r="F1781">
        <v>1165226</v>
      </c>
      <c r="G1781">
        <v>3</v>
      </c>
      <c r="H1781">
        <v>3</v>
      </c>
      <c r="I1781">
        <v>920</v>
      </c>
      <c r="J1781">
        <v>2007</v>
      </c>
      <c r="K1781" s="4">
        <v>44507</v>
      </c>
      <c r="L1781" t="s">
        <v>20</v>
      </c>
      <c r="M1781" t="s">
        <v>35</v>
      </c>
      <c r="N1781">
        <v>1.93</v>
      </c>
      <c r="O1781">
        <v>1507</v>
      </c>
      <c r="P1781">
        <v>2.13</v>
      </c>
      <c r="Q1781">
        <v>305</v>
      </c>
      <c r="R1781">
        <v>458</v>
      </c>
    </row>
    <row r="1782" spans="1:18" x14ac:dyDescent="0.2">
      <c r="A1782">
        <v>4</v>
      </c>
      <c r="B1782" t="s">
        <v>83</v>
      </c>
      <c r="E1782" t="s">
        <v>19</v>
      </c>
      <c r="F1782">
        <v>1619870</v>
      </c>
      <c r="G1782">
        <v>2</v>
      </c>
      <c r="H1782">
        <v>3</v>
      </c>
      <c r="I1782">
        <v>911</v>
      </c>
      <c r="J1782">
        <v>2002</v>
      </c>
      <c r="K1782" s="4">
        <v>45548</v>
      </c>
      <c r="L1782" t="s">
        <v>26</v>
      </c>
      <c r="M1782" t="s">
        <v>68</v>
      </c>
      <c r="N1782">
        <v>2.0299999999999998</v>
      </c>
      <c r="O1782">
        <v>2227</v>
      </c>
      <c r="P1782">
        <v>0.11</v>
      </c>
      <c r="Q1782">
        <v>225</v>
      </c>
      <c r="R1782">
        <v>644</v>
      </c>
    </row>
    <row r="1783" spans="1:18" x14ac:dyDescent="0.2">
      <c r="A1783">
        <v>6</v>
      </c>
      <c r="B1783" t="s">
        <v>88</v>
      </c>
      <c r="E1783" t="s">
        <v>51</v>
      </c>
      <c r="F1783">
        <v>646798</v>
      </c>
      <c r="G1783">
        <v>3</v>
      </c>
      <c r="H1783">
        <v>1</v>
      </c>
      <c r="I1783">
        <v>651</v>
      </c>
      <c r="J1783">
        <v>1957</v>
      </c>
      <c r="K1783" s="4">
        <v>45255</v>
      </c>
      <c r="L1783" t="s">
        <v>26</v>
      </c>
      <c r="M1783" t="s">
        <v>40</v>
      </c>
      <c r="N1783">
        <v>3.22</v>
      </c>
      <c r="O1783">
        <v>1673</v>
      </c>
      <c r="P1783">
        <v>3.37</v>
      </c>
      <c r="Q1783">
        <v>315</v>
      </c>
      <c r="R1783">
        <v>525</v>
      </c>
    </row>
    <row r="1784" spans="1:18" x14ac:dyDescent="0.2">
      <c r="A1784">
        <v>3</v>
      </c>
      <c r="B1784" t="s">
        <v>50</v>
      </c>
      <c r="E1784" t="s">
        <v>36</v>
      </c>
      <c r="F1784">
        <v>1482429</v>
      </c>
      <c r="G1784">
        <v>1</v>
      </c>
      <c r="H1784">
        <v>1</v>
      </c>
      <c r="I1784">
        <v>580</v>
      </c>
      <c r="J1784">
        <v>1995</v>
      </c>
      <c r="K1784" s="4">
        <v>45078</v>
      </c>
      <c r="L1784" t="s">
        <v>23</v>
      </c>
      <c r="M1784" t="s">
        <v>97</v>
      </c>
      <c r="N1784">
        <v>3.13</v>
      </c>
      <c r="O1784">
        <v>946</v>
      </c>
      <c r="P1784">
        <v>3.62</v>
      </c>
      <c r="Q1784">
        <v>89</v>
      </c>
      <c r="R1784">
        <v>672</v>
      </c>
    </row>
    <row r="1785" spans="1:18" x14ac:dyDescent="0.2">
      <c r="A1785">
        <v>8</v>
      </c>
      <c r="B1785" t="s">
        <v>88</v>
      </c>
      <c r="E1785" t="s">
        <v>36</v>
      </c>
      <c r="F1785">
        <v>827508</v>
      </c>
      <c r="G1785">
        <v>4</v>
      </c>
      <c r="H1785">
        <v>3</v>
      </c>
      <c r="I1785">
        <v>647</v>
      </c>
      <c r="J1785">
        <v>1976</v>
      </c>
      <c r="K1785" s="4">
        <v>45742</v>
      </c>
      <c r="L1785" t="s">
        <v>26</v>
      </c>
      <c r="M1785" t="s">
        <v>40</v>
      </c>
      <c r="N1785">
        <v>2.79</v>
      </c>
      <c r="O1785">
        <v>2398</v>
      </c>
      <c r="P1785">
        <v>1.1599999999999999</v>
      </c>
      <c r="Q1785">
        <v>352</v>
      </c>
      <c r="R1785">
        <v>330</v>
      </c>
    </row>
    <row r="1786" spans="1:18" x14ac:dyDescent="0.2">
      <c r="A1786">
        <v>2</v>
      </c>
      <c r="B1786" t="s">
        <v>104</v>
      </c>
      <c r="E1786" t="s">
        <v>51</v>
      </c>
      <c r="F1786">
        <v>2615436</v>
      </c>
      <c r="G1786">
        <v>3</v>
      </c>
      <c r="H1786">
        <v>1</v>
      </c>
      <c r="I1786">
        <v>145</v>
      </c>
      <c r="J1786">
        <v>1962</v>
      </c>
      <c r="K1786" s="4">
        <v>44519</v>
      </c>
      <c r="L1786" t="s">
        <v>30</v>
      </c>
      <c r="M1786" t="s">
        <v>24</v>
      </c>
      <c r="N1786">
        <v>1.77</v>
      </c>
      <c r="O1786">
        <v>1152</v>
      </c>
      <c r="P1786">
        <v>1.31</v>
      </c>
      <c r="Q1786">
        <v>169</v>
      </c>
      <c r="R1786">
        <v>517</v>
      </c>
    </row>
    <row r="1787" spans="1:18" x14ac:dyDescent="0.2">
      <c r="A1787">
        <v>8</v>
      </c>
      <c r="B1787" t="s">
        <v>102</v>
      </c>
      <c r="E1787" t="s">
        <v>51</v>
      </c>
      <c r="F1787">
        <v>686700</v>
      </c>
      <c r="G1787">
        <v>4</v>
      </c>
      <c r="H1787">
        <v>2</v>
      </c>
      <c r="I1787">
        <v>858</v>
      </c>
      <c r="J1787">
        <v>1979</v>
      </c>
      <c r="K1787" s="4">
        <v>45321</v>
      </c>
      <c r="L1787" t="s">
        <v>30</v>
      </c>
      <c r="M1787" t="s">
        <v>27</v>
      </c>
      <c r="N1787">
        <v>2.42</v>
      </c>
      <c r="O1787">
        <v>1189</v>
      </c>
      <c r="P1787">
        <v>2.12</v>
      </c>
      <c r="Q1787">
        <v>161</v>
      </c>
      <c r="R1787">
        <v>469</v>
      </c>
    </row>
    <row r="1788" spans="1:18" x14ac:dyDescent="0.2">
      <c r="A1788">
        <v>2</v>
      </c>
      <c r="B1788" t="s">
        <v>106</v>
      </c>
      <c r="E1788" t="s">
        <v>36</v>
      </c>
      <c r="F1788">
        <v>2340341</v>
      </c>
      <c r="G1788">
        <v>4</v>
      </c>
      <c r="H1788">
        <v>1</v>
      </c>
      <c r="I1788">
        <v>932</v>
      </c>
      <c r="J1788">
        <v>1964</v>
      </c>
      <c r="K1788" s="4">
        <v>45725</v>
      </c>
      <c r="L1788" t="s">
        <v>23</v>
      </c>
      <c r="M1788" t="s">
        <v>85</v>
      </c>
      <c r="N1788">
        <v>3.22</v>
      </c>
      <c r="O1788">
        <v>1167</v>
      </c>
      <c r="P1788">
        <v>3.14</v>
      </c>
      <c r="Q1788">
        <v>278</v>
      </c>
      <c r="R1788">
        <v>460</v>
      </c>
    </row>
    <row r="1789" spans="1:18" x14ac:dyDescent="0.2">
      <c r="A1789">
        <v>9</v>
      </c>
      <c r="B1789" t="s">
        <v>104</v>
      </c>
      <c r="E1789" t="s">
        <v>19</v>
      </c>
      <c r="F1789">
        <v>1279435</v>
      </c>
      <c r="G1789">
        <v>5</v>
      </c>
      <c r="H1789">
        <v>2</v>
      </c>
      <c r="I1789">
        <v>856</v>
      </c>
      <c r="J1789">
        <v>1975</v>
      </c>
      <c r="K1789" s="4">
        <v>44081</v>
      </c>
      <c r="L1789" t="s">
        <v>20</v>
      </c>
      <c r="M1789" t="s">
        <v>47</v>
      </c>
      <c r="N1789">
        <v>2.93</v>
      </c>
      <c r="O1789">
        <v>1197</v>
      </c>
      <c r="P1789">
        <v>0.52</v>
      </c>
      <c r="Q1789">
        <v>300</v>
      </c>
      <c r="R1789">
        <v>314</v>
      </c>
    </row>
    <row r="1790" spans="1:18" x14ac:dyDescent="0.2">
      <c r="A1790">
        <v>4</v>
      </c>
      <c r="B1790" t="s">
        <v>71</v>
      </c>
      <c r="E1790" t="s">
        <v>19</v>
      </c>
      <c r="F1790">
        <v>1709830</v>
      </c>
      <c r="G1790">
        <v>3</v>
      </c>
      <c r="H1790">
        <v>1</v>
      </c>
      <c r="I1790">
        <v>172</v>
      </c>
      <c r="J1790">
        <v>1972</v>
      </c>
      <c r="K1790" s="4">
        <v>44591</v>
      </c>
      <c r="L1790" t="s">
        <v>20</v>
      </c>
      <c r="M1790" t="s">
        <v>85</v>
      </c>
      <c r="N1790">
        <v>2.35</v>
      </c>
      <c r="O1790">
        <v>1588</v>
      </c>
      <c r="P1790">
        <v>1.82</v>
      </c>
      <c r="Q1790">
        <v>168</v>
      </c>
      <c r="R1790">
        <v>613</v>
      </c>
    </row>
    <row r="1791" spans="1:18" x14ac:dyDescent="0.2">
      <c r="A1791">
        <v>1</v>
      </c>
      <c r="B1791" t="s">
        <v>102</v>
      </c>
      <c r="E1791" t="s">
        <v>51</v>
      </c>
      <c r="F1791">
        <v>2056111</v>
      </c>
      <c r="G1791">
        <v>3</v>
      </c>
      <c r="H1791">
        <v>3</v>
      </c>
      <c r="I1791">
        <v>942</v>
      </c>
      <c r="J1791">
        <v>1981</v>
      </c>
      <c r="K1791" s="4">
        <v>45818</v>
      </c>
      <c r="L1791" t="s">
        <v>23</v>
      </c>
      <c r="M1791" t="s">
        <v>82</v>
      </c>
      <c r="N1791">
        <v>2.78</v>
      </c>
      <c r="O1791">
        <v>1532</v>
      </c>
      <c r="P1791">
        <v>3.35</v>
      </c>
      <c r="Q1791">
        <v>113</v>
      </c>
      <c r="R1791">
        <v>681</v>
      </c>
    </row>
    <row r="1792" spans="1:18" x14ac:dyDescent="0.2">
      <c r="A1792">
        <v>0</v>
      </c>
      <c r="B1792" t="s">
        <v>101</v>
      </c>
      <c r="E1792" t="s">
        <v>51</v>
      </c>
      <c r="F1792">
        <v>747185</v>
      </c>
      <c r="G1792">
        <v>3</v>
      </c>
      <c r="H1792">
        <v>3</v>
      </c>
      <c r="I1792">
        <v>468</v>
      </c>
      <c r="J1792">
        <v>2001</v>
      </c>
      <c r="K1792" s="4">
        <v>45421</v>
      </c>
      <c r="L1792" t="s">
        <v>30</v>
      </c>
      <c r="M1792" t="s">
        <v>40</v>
      </c>
      <c r="N1792">
        <v>2.41</v>
      </c>
      <c r="O1792">
        <v>1373</v>
      </c>
      <c r="P1792">
        <v>2.17</v>
      </c>
      <c r="Q1792">
        <v>297</v>
      </c>
      <c r="R1792">
        <v>307</v>
      </c>
    </row>
    <row r="1793" spans="1:18" x14ac:dyDescent="0.2">
      <c r="A1793">
        <v>8</v>
      </c>
      <c r="B1793" t="s">
        <v>83</v>
      </c>
      <c r="E1793" t="s">
        <v>19</v>
      </c>
      <c r="F1793">
        <v>1513624</v>
      </c>
      <c r="G1793">
        <v>2</v>
      </c>
      <c r="H1793">
        <v>2</v>
      </c>
      <c r="I1793">
        <v>727</v>
      </c>
      <c r="J1793">
        <v>1965</v>
      </c>
      <c r="K1793" s="4">
        <v>44283</v>
      </c>
      <c r="L1793" t="s">
        <v>30</v>
      </c>
      <c r="M1793" t="s">
        <v>59</v>
      </c>
      <c r="N1793">
        <v>2.02</v>
      </c>
      <c r="O1793">
        <v>1156</v>
      </c>
      <c r="P1793">
        <v>2.44</v>
      </c>
      <c r="Q1793">
        <v>57</v>
      </c>
      <c r="R1793">
        <v>394</v>
      </c>
    </row>
    <row r="1794" spans="1:18" x14ac:dyDescent="0.2">
      <c r="A1794">
        <v>9</v>
      </c>
      <c r="B1794" t="s">
        <v>91</v>
      </c>
      <c r="E1794" t="s">
        <v>19</v>
      </c>
      <c r="F1794">
        <v>2134237</v>
      </c>
      <c r="G1794">
        <v>2</v>
      </c>
      <c r="H1794">
        <v>1</v>
      </c>
      <c r="I1794">
        <v>894</v>
      </c>
      <c r="J1794">
        <v>1999</v>
      </c>
      <c r="K1794" s="4">
        <v>45783</v>
      </c>
      <c r="L1794" t="s">
        <v>30</v>
      </c>
      <c r="M1794" t="s">
        <v>40</v>
      </c>
      <c r="N1794">
        <v>3.24</v>
      </c>
      <c r="O1794">
        <v>1244</v>
      </c>
      <c r="P1794">
        <v>4.34</v>
      </c>
      <c r="Q1794">
        <v>180</v>
      </c>
      <c r="R1794">
        <v>674</v>
      </c>
    </row>
    <row r="1795" spans="1:18" x14ac:dyDescent="0.2">
      <c r="A1795">
        <v>3</v>
      </c>
      <c r="B1795" t="s">
        <v>86</v>
      </c>
      <c r="E1795" t="s">
        <v>36</v>
      </c>
      <c r="F1795">
        <v>741807</v>
      </c>
      <c r="G1795">
        <v>5</v>
      </c>
      <c r="H1795">
        <v>1</v>
      </c>
      <c r="I1795">
        <v>575</v>
      </c>
      <c r="J1795">
        <v>2012</v>
      </c>
      <c r="K1795" s="4">
        <v>45763</v>
      </c>
      <c r="L1795" t="s">
        <v>23</v>
      </c>
      <c r="M1795" t="s">
        <v>78</v>
      </c>
      <c r="N1795">
        <v>2.78</v>
      </c>
      <c r="O1795">
        <v>1841</v>
      </c>
      <c r="P1795">
        <v>2.68</v>
      </c>
      <c r="Q1795">
        <v>397</v>
      </c>
      <c r="R1795">
        <v>583</v>
      </c>
    </row>
    <row r="1796" spans="1:18" x14ac:dyDescent="0.2">
      <c r="A1796">
        <v>7</v>
      </c>
      <c r="B1796" t="s">
        <v>81</v>
      </c>
      <c r="E1796" t="s">
        <v>29</v>
      </c>
      <c r="F1796">
        <v>1820720</v>
      </c>
      <c r="G1796">
        <v>5</v>
      </c>
      <c r="H1796">
        <v>1</v>
      </c>
      <c r="I1796">
        <v>912</v>
      </c>
      <c r="J1796">
        <v>2009</v>
      </c>
      <c r="K1796" s="4">
        <v>44655</v>
      </c>
      <c r="L1796" t="s">
        <v>23</v>
      </c>
      <c r="M1796" t="s">
        <v>60</v>
      </c>
      <c r="N1796">
        <v>2.54</v>
      </c>
      <c r="O1796">
        <v>2005</v>
      </c>
      <c r="P1796">
        <v>2.6</v>
      </c>
      <c r="Q1796">
        <v>321</v>
      </c>
      <c r="R1796">
        <v>336</v>
      </c>
    </row>
    <row r="1797" spans="1:18" x14ac:dyDescent="0.2">
      <c r="A1797">
        <v>4</v>
      </c>
      <c r="B1797" t="s">
        <v>88</v>
      </c>
      <c r="E1797" t="s">
        <v>51</v>
      </c>
      <c r="F1797">
        <v>2018732</v>
      </c>
      <c r="G1797">
        <v>1</v>
      </c>
      <c r="H1797">
        <v>3</v>
      </c>
      <c r="I1797">
        <v>986</v>
      </c>
      <c r="J1797">
        <v>1991</v>
      </c>
      <c r="K1797" s="4">
        <v>44411</v>
      </c>
      <c r="L1797" t="s">
        <v>30</v>
      </c>
      <c r="M1797" t="s">
        <v>76</v>
      </c>
      <c r="N1797">
        <v>2.71</v>
      </c>
      <c r="O1797">
        <v>1821</v>
      </c>
      <c r="P1797">
        <v>4.42</v>
      </c>
      <c r="Q1797">
        <v>51</v>
      </c>
      <c r="R1797">
        <v>542</v>
      </c>
    </row>
    <row r="1798" spans="1:18" x14ac:dyDescent="0.2">
      <c r="A1798">
        <v>5</v>
      </c>
      <c r="B1798" t="s">
        <v>100</v>
      </c>
      <c r="E1798" t="s">
        <v>51</v>
      </c>
      <c r="F1798">
        <v>1179431</v>
      </c>
      <c r="G1798">
        <v>4</v>
      </c>
      <c r="H1798">
        <v>3</v>
      </c>
      <c r="I1798">
        <v>965</v>
      </c>
      <c r="J1798">
        <v>2021</v>
      </c>
      <c r="K1798" s="4">
        <v>44221</v>
      </c>
      <c r="L1798" t="s">
        <v>20</v>
      </c>
      <c r="M1798" t="s">
        <v>78</v>
      </c>
      <c r="N1798">
        <v>2.67</v>
      </c>
      <c r="O1798">
        <v>2317</v>
      </c>
      <c r="P1798">
        <v>3.85</v>
      </c>
      <c r="Q1798">
        <v>264</v>
      </c>
      <c r="R1798">
        <v>654</v>
      </c>
    </row>
    <row r="1799" spans="1:18" x14ac:dyDescent="0.2">
      <c r="A1799">
        <v>1</v>
      </c>
      <c r="B1799" t="s">
        <v>79</v>
      </c>
      <c r="E1799" t="s">
        <v>36</v>
      </c>
      <c r="F1799">
        <v>1160349</v>
      </c>
      <c r="G1799">
        <v>1</v>
      </c>
      <c r="H1799">
        <v>1</v>
      </c>
      <c r="I1799">
        <v>369</v>
      </c>
      <c r="J1799">
        <v>1997</v>
      </c>
      <c r="K1799" s="4">
        <v>45812</v>
      </c>
      <c r="L1799" t="s">
        <v>30</v>
      </c>
      <c r="M1799" t="s">
        <v>54</v>
      </c>
      <c r="N1799">
        <v>2.83</v>
      </c>
      <c r="O1799">
        <v>2150</v>
      </c>
      <c r="P1799">
        <v>2.4700000000000002</v>
      </c>
      <c r="Q1799">
        <v>106</v>
      </c>
      <c r="R1799">
        <v>373</v>
      </c>
    </row>
    <row r="1800" spans="1:18" x14ac:dyDescent="0.2">
      <c r="A1800">
        <v>3</v>
      </c>
      <c r="B1800" t="s">
        <v>75</v>
      </c>
      <c r="E1800" t="s">
        <v>29</v>
      </c>
      <c r="F1800">
        <v>740575</v>
      </c>
      <c r="G1800">
        <v>3</v>
      </c>
      <c r="H1800">
        <v>1</v>
      </c>
      <c r="I1800">
        <v>123</v>
      </c>
      <c r="J1800">
        <v>2014</v>
      </c>
      <c r="K1800" s="4">
        <v>45256</v>
      </c>
      <c r="L1800" t="s">
        <v>23</v>
      </c>
      <c r="M1800" t="s">
        <v>69</v>
      </c>
      <c r="N1800">
        <v>1.82</v>
      </c>
      <c r="O1800">
        <v>2469</v>
      </c>
      <c r="P1800">
        <v>4.9000000000000004</v>
      </c>
      <c r="Q1800">
        <v>104</v>
      </c>
      <c r="R1800">
        <v>685</v>
      </c>
    </row>
    <row r="1801" spans="1:18" x14ac:dyDescent="0.2">
      <c r="A1801">
        <v>8</v>
      </c>
      <c r="B1801" t="s">
        <v>105</v>
      </c>
      <c r="E1801" t="s">
        <v>19</v>
      </c>
      <c r="F1801">
        <v>2504956</v>
      </c>
      <c r="G1801">
        <v>1</v>
      </c>
      <c r="H1801">
        <v>1</v>
      </c>
      <c r="I1801">
        <v>911</v>
      </c>
      <c r="J1801">
        <v>1953</v>
      </c>
      <c r="K1801" s="4">
        <v>45789</v>
      </c>
      <c r="L1801" t="s">
        <v>26</v>
      </c>
      <c r="M1801" t="s">
        <v>35</v>
      </c>
      <c r="N1801">
        <v>2.44</v>
      </c>
      <c r="O1801">
        <v>1759</v>
      </c>
      <c r="P1801">
        <v>2.09</v>
      </c>
      <c r="Q1801">
        <v>126</v>
      </c>
      <c r="R1801">
        <v>518</v>
      </c>
    </row>
    <row r="1802" spans="1:18" x14ac:dyDescent="0.2">
      <c r="A1802">
        <v>8</v>
      </c>
      <c r="B1802" t="s">
        <v>94</v>
      </c>
      <c r="E1802" t="s">
        <v>19</v>
      </c>
      <c r="F1802">
        <v>944979</v>
      </c>
      <c r="G1802">
        <v>0</v>
      </c>
      <c r="H1802">
        <v>2</v>
      </c>
      <c r="I1802">
        <v>869</v>
      </c>
      <c r="J1802">
        <v>1984</v>
      </c>
      <c r="K1802" s="4">
        <v>44906</v>
      </c>
      <c r="L1802" t="s">
        <v>20</v>
      </c>
      <c r="M1802" t="s">
        <v>70</v>
      </c>
      <c r="N1802">
        <v>3.09</v>
      </c>
      <c r="O1802">
        <v>2026</v>
      </c>
      <c r="P1802">
        <v>0.92</v>
      </c>
      <c r="Q1802">
        <v>79</v>
      </c>
      <c r="R1802">
        <v>491</v>
      </c>
    </row>
    <row r="1803" spans="1:18" x14ac:dyDescent="0.2">
      <c r="A1803">
        <v>6</v>
      </c>
      <c r="B1803" t="s">
        <v>75</v>
      </c>
      <c r="E1803" t="s">
        <v>29</v>
      </c>
      <c r="F1803">
        <v>2024528</v>
      </c>
      <c r="G1803">
        <v>4</v>
      </c>
      <c r="H1803">
        <v>3</v>
      </c>
      <c r="I1803">
        <v>248</v>
      </c>
      <c r="J1803">
        <v>1960</v>
      </c>
      <c r="K1803" s="4">
        <v>45093</v>
      </c>
      <c r="L1803" t="s">
        <v>20</v>
      </c>
      <c r="M1803" t="s">
        <v>54</v>
      </c>
      <c r="N1803">
        <v>3.32</v>
      </c>
      <c r="O1803">
        <v>1867</v>
      </c>
      <c r="P1803">
        <v>4.45</v>
      </c>
      <c r="Q1803">
        <v>333</v>
      </c>
      <c r="R1803">
        <v>404</v>
      </c>
    </row>
    <row r="1804" spans="1:18" x14ac:dyDescent="0.2">
      <c r="A1804">
        <v>2</v>
      </c>
      <c r="B1804" t="s">
        <v>32</v>
      </c>
      <c r="E1804" t="s">
        <v>36</v>
      </c>
      <c r="F1804">
        <v>412991</v>
      </c>
      <c r="G1804">
        <v>4</v>
      </c>
      <c r="H1804">
        <v>3</v>
      </c>
      <c r="I1804">
        <v>637</v>
      </c>
      <c r="J1804">
        <v>1990</v>
      </c>
      <c r="K1804" s="4">
        <v>45193</v>
      </c>
      <c r="L1804" t="s">
        <v>30</v>
      </c>
      <c r="M1804" t="s">
        <v>45</v>
      </c>
      <c r="N1804">
        <v>1.72</v>
      </c>
      <c r="O1804">
        <v>2371</v>
      </c>
      <c r="P1804">
        <v>1.85</v>
      </c>
      <c r="Q1804">
        <v>298</v>
      </c>
      <c r="R1804">
        <v>577</v>
      </c>
    </row>
    <row r="1805" spans="1:18" x14ac:dyDescent="0.2">
      <c r="A1805">
        <v>4</v>
      </c>
      <c r="B1805" t="s">
        <v>28</v>
      </c>
      <c r="E1805" t="s">
        <v>29</v>
      </c>
      <c r="F1805">
        <v>2003631</v>
      </c>
      <c r="G1805">
        <v>5</v>
      </c>
      <c r="H1805">
        <v>2</v>
      </c>
      <c r="I1805">
        <v>422</v>
      </c>
      <c r="J1805">
        <v>1967</v>
      </c>
      <c r="K1805" s="4">
        <v>45214</v>
      </c>
      <c r="L1805" t="s">
        <v>23</v>
      </c>
      <c r="M1805" t="s">
        <v>56</v>
      </c>
      <c r="N1805">
        <v>3.25</v>
      </c>
      <c r="O1805">
        <v>1771</v>
      </c>
      <c r="P1805">
        <v>3.13</v>
      </c>
      <c r="Q1805">
        <v>250</v>
      </c>
      <c r="R1805">
        <v>379</v>
      </c>
    </row>
    <row r="1806" spans="1:18" x14ac:dyDescent="0.2">
      <c r="A1806">
        <v>3</v>
      </c>
      <c r="B1806" t="s">
        <v>46</v>
      </c>
      <c r="E1806" t="s">
        <v>36</v>
      </c>
      <c r="F1806">
        <v>486278</v>
      </c>
      <c r="G1806">
        <v>2</v>
      </c>
      <c r="H1806">
        <v>3</v>
      </c>
      <c r="I1806">
        <v>403</v>
      </c>
      <c r="J1806">
        <v>2006</v>
      </c>
      <c r="K1806" s="4">
        <v>44183</v>
      </c>
      <c r="L1806" t="s">
        <v>23</v>
      </c>
      <c r="M1806" t="s">
        <v>21</v>
      </c>
      <c r="N1806">
        <v>3.33</v>
      </c>
      <c r="O1806">
        <v>2447</v>
      </c>
      <c r="P1806">
        <v>3.85</v>
      </c>
      <c r="Q1806">
        <v>158</v>
      </c>
      <c r="R1806">
        <v>592</v>
      </c>
    </row>
    <row r="1807" spans="1:18" x14ac:dyDescent="0.2">
      <c r="A1807">
        <v>0</v>
      </c>
      <c r="B1807" t="s">
        <v>34</v>
      </c>
      <c r="E1807" t="s">
        <v>51</v>
      </c>
      <c r="F1807">
        <v>1784265</v>
      </c>
      <c r="G1807">
        <v>4</v>
      </c>
      <c r="H1807">
        <v>3</v>
      </c>
      <c r="I1807">
        <v>438</v>
      </c>
      <c r="J1807">
        <v>1964</v>
      </c>
      <c r="K1807" s="4">
        <v>44788</v>
      </c>
      <c r="L1807" t="s">
        <v>23</v>
      </c>
      <c r="M1807" t="s">
        <v>27</v>
      </c>
      <c r="N1807">
        <v>2.4</v>
      </c>
      <c r="O1807">
        <v>1827</v>
      </c>
      <c r="P1807">
        <v>2.1800000000000002</v>
      </c>
      <c r="Q1807">
        <v>236</v>
      </c>
      <c r="R1807">
        <v>633</v>
      </c>
    </row>
    <row r="1808" spans="1:18" x14ac:dyDescent="0.2">
      <c r="A1808">
        <v>8</v>
      </c>
      <c r="B1808" t="s">
        <v>28</v>
      </c>
      <c r="E1808" t="s">
        <v>36</v>
      </c>
      <c r="F1808">
        <v>1394949</v>
      </c>
      <c r="G1808">
        <v>1</v>
      </c>
      <c r="H1808">
        <v>1</v>
      </c>
      <c r="I1808">
        <v>66</v>
      </c>
      <c r="J1808">
        <v>1956</v>
      </c>
      <c r="K1808" s="4">
        <v>45216</v>
      </c>
      <c r="L1808" t="s">
        <v>26</v>
      </c>
      <c r="M1808" t="s">
        <v>40</v>
      </c>
      <c r="N1808">
        <v>1.66</v>
      </c>
      <c r="O1808">
        <v>1129</v>
      </c>
      <c r="P1808">
        <v>4.49</v>
      </c>
      <c r="Q1808">
        <v>125</v>
      </c>
      <c r="R1808">
        <v>418</v>
      </c>
    </row>
    <row r="1809" spans="1:18" x14ac:dyDescent="0.2">
      <c r="A1809">
        <v>8</v>
      </c>
      <c r="B1809" t="s">
        <v>28</v>
      </c>
      <c r="E1809" t="s">
        <v>29</v>
      </c>
      <c r="F1809">
        <v>2569606</v>
      </c>
      <c r="G1809">
        <v>4</v>
      </c>
      <c r="H1809">
        <v>2</v>
      </c>
      <c r="I1809">
        <v>228</v>
      </c>
      <c r="J1809">
        <v>1996</v>
      </c>
      <c r="K1809" s="4">
        <v>45567</v>
      </c>
      <c r="L1809" t="s">
        <v>23</v>
      </c>
      <c r="M1809" t="s">
        <v>74</v>
      </c>
      <c r="N1809">
        <v>2.42</v>
      </c>
      <c r="O1809">
        <v>1076</v>
      </c>
      <c r="P1809">
        <v>1.1299999999999999</v>
      </c>
      <c r="Q1809">
        <v>398</v>
      </c>
      <c r="R1809">
        <v>578</v>
      </c>
    </row>
    <row r="1810" spans="1:18" x14ac:dyDescent="0.2">
      <c r="A1810">
        <v>1</v>
      </c>
      <c r="B1810" t="s">
        <v>50</v>
      </c>
      <c r="E1810" t="s">
        <v>51</v>
      </c>
      <c r="F1810">
        <v>2202412</v>
      </c>
      <c r="G1810">
        <v>4</v>
      </c>
      <c r="H1810">
        <v>1</v>
      </c>
      <c r="I1810">
        <v>667</v>
      </c>
      <c r="J1810">
        <v>1962</v>
      </c>
      <c r="K1810" s="4">
        <v>45552</v>
      </c>
      <c r="L1810" t="s">
        <v>26</v>
      </c>
      <c r="M1810" t="s">
        <v>76</v>
      </c>
      <c r="N1810">
        <v>2.71</v>
      </c>
      <c r="O1810">
        <v>1314</v>
      </c>
      <c r="P1810">
        <v>2.73</v>
      </c>
      <c r="Q1810">
        <v>282</v>
      </c>
      <c r="R1810">
        <v>528</v>
      </c>
    </row>
    <row r="1811" spans="1:18" x14ac:dyDescent="0.2">
      <c r="A1811">
        <v>6</v>
      </c>
      <c r="B1811" t="s">
        <v>80</v>
      </c>
      <c r="E1811" t="s">
        <v>36</v>
      </c>
      <c r="F1811">
        <v>1650030</v>
      </c>
      <c r="G1811">
        <v>1</v>
      </c>
      <c r="H1811">
        <v>2</v>
      </c>
      <c r="I1811">
        <v>92</v>
      </c>
      <c r="J1811">
        <v>1994</v>
      </c>
      <c r="K1811" s="4">
        <v>44675</v>
      </c>
      <c r="L1811" t="s">
        <v>23</v>
      </c>
      <c r="M1811" t="s">
        <v>68</v>
      </c>
      <c r="N1811">
        <v>1.62</v>
      </c>
      <c r="O1811">
        <v>1578</v>
      </c>
      <c r="P1811">
        <v>0.42</v>
      </c>
      <c r="Q1811">
        <v>106</v>
      </c>
      <c r="R1811">
        <v>612</v>
      </c>
    </row>
    <row r="1812" spans="1:18" x14ac:dyDescent="0.2">
      <c r="A1812">
        <v>5</v>
      </c>
      <c r="B1812" t="s">
        <v>71</v>
      </c>
      <c r="E1812" t="s">
        <v>19</v>
      </c>
      <c r="F1812">
        <v>2537538</v>
      </c>
      <c r="G1812">
        <v>5</v>
      </c>
      <c r="H1812">
        <v>1</v>
      </c>
      <c r="I1812">
        <v>168</v>
      </c>
      <c r="J1812">
        <v>2000</v>
      </c>
      <c r="K1812" s="4">
        <v>45239</v>
      </c>
      <c r="L1812" t="s">
        <v>26</v>
      </c>
      <c r="M1812" t="s">
        <v>33</v>
      </c>
      <c r="N1812">
        <v>1.77</v>
      </c>
      <c r="O1812">
        <v>1021</v>
      </c>
      <c r="P1812">
        <v>2.75</v>
      </c>
      <c r="Q1812">
        <v>246</v>
      </c>
      <c r="R1812">
        <v>446</v>
      </c>
    </row>
    <row r="1813" spans="1:18" x14ac:dyDescent="0.2">
      <c r="A1813">
        <v>5</v>
      </c>
      <c r="B1813" t="s">
        <v>18</v>
      </c>
      <c r="E1813" t="s">
        <v>36</v>
      </c>
      <c r="F1813">
        <v>2782874</v>
      </c>
      <c r="G1813">
        <v>2</v>
      </c>
      <c r="H1813">
        <v>1</v>
      </c>
      <c r="I1813">
        <v>971</v>
      </c>
      <c r="J1813">
        <v>1956</v>
      </c>
      <c r="K1813" s="4">
        <v>44565</v>
      </c>
      <c r="L1813" t="s">
        <v>26</v>
      </c>
      <c r="M1813" t="s">
        <v>37</v>
      </c>
      <c r="N1813">
        <v>1.62</v>
      </c>
      <c r="O1813">
        <v>1553</v>
      </c>
      <c r="P1813">
        <v>2.2200000000000002</v>
      </c>
      <c r="Q1813">
        <v>69</v>
      </c>
      <c r="R1813">
        <v>459</v>
      </c>
    </row>
    <row r="1814" spans="1:18" x14ac:dyDescent="0.2">
      <c r="A1814">
        <v>9</v>
      </c>
      <c r="B1814" t="s">
        <v>86</v>
      </c>
      <c r="E1814" t="s">
        <v>19</v>
      </c>
      <c r="F1814">
        <v>2133059</v>
      </c>
      <c r="G1814">
        <v>1</v>
      </c>
      <c r="H1814">
        <v>1</v>
      </c>
      <c r="I1814">
        <v>502</v>
      </c>
      <c r="J1814">
        <v>1958</v>
      </c>
      <c r="K1814" s="4">
        <v>44486</v>
      </c>
      <c r="L1814" t="s">
        <v>26</v>
      </c>
      <c r="M1814" t="s">
        <v>31</v>
      </c>
      <c r="N1814">
        <v>2.42</v>
      </c>
      <c r="O1814">
        <v>2309</v>
      </c>
      <c r="P1814">
        <v>1.63</v>
      </c>
      <c r="Q1814">
        <v>85</v>
      </c>
      <c r="R1814">
        <v>348</v>
      </c>
    </row>
    <row r="1815" spans="1:18" x14ac:dyDescent="0.2">
      <c r="A1815">
        <v>8</v>
      </c>
      <c r="B1815" t="s">
        <v>75</v>
      </c>
      <c r="E1815" t="s">
        <v>36</v>
      </c>
      <c r="F1815">
        <v>2573825</v>
      </c>
      <c r="G1815">
        <v>4</v>
      </c>
      <c r="H1815">
        <v>3</v>
      </c>
      <c r="I1815">
        <v>506</v>
      </c>
      <c r="J1815">
        <v>2010</v>
      </c>
      <c r="K1815" s="4">
        <v>45553</v>
      </c>
      <c r="L1815" t="s">
        <v>23</v>
      </c>
      <c r="M1815" t="s">
        <v>45</v>
      </c>
      <c r="N1815">
        <v>2.96</v>
      </c>
      <c r="O1815">
        <v>2205</v>
      </c>
      <c r="P1815">
        <v>1.96</v>
      </c>
      <c r="Q1815">
        <v>310</v>
      </c>
      <c r="R1815">
        <v>541</v>
      </c>
    </row>
    <row r="1816" spans="1:18" x14ac:dyDescent="0.2">
      <c r="A1816">
        <v>4</v>
      </c>
      <c r="B1816" t="s">
        <v>55</v>
      </c>
      <c r="E1816" t="s">
        <v>29</v>
      </c>
      <c r="F1816">
        <v>2760146</v>
      </c>
      <c r="G1816">
        <v>4</v>
      </c>
      <c r="H1816">
        <v>3</v>
      </c>
      <c r="I1816">
        <v>850</v>
      </c>
      <c r="J1816">
        <v>2002</v>
      </c>
      <c r="K1816" s="4">
        <v>44173</v>
      </c>
      <c r="L1816" t="s">
        <v>20</v>
      </c>
      <c r="M1816" t="s">
        <v>58</v>
      </c>
      <c r="N1816">
        <v>2.08</v>
      </c>
      <c r="O1816">
        <v>1818</v>
      </c>
      <c r="P1816">
        <v>3.25</v>
      </c>
      <c r="Q1816">
        <v>270</v>
      </c>
      <c r="R1816">
        <v>367</v>
      </c>
    </row>
    <row r="1817" spans="1:18" x14ac:dyDescent="0.2">
      <c r="A1817">
        <v>1</v>
      </c>
      <c r="B1817" t="s">
        <v>98</v>
      </c>
      <c r="E1817" t="s">
        <v>29</v>
      </c>
      <c r="F1817">
        <v>1391015</v>
      </c>
      <c r="G1817">
        <v>2</v>
      </c>
      <c r="H1817">
        <v>1</v>
      </c>
      <c r="I1817">
        <v>448</v>
      </c>
      <c r="J1817">
        <v>1964</v>
      </c>
      <c r="K1817" s="4">
        <v>45546</v>
      </c>
      <c r="L1817" t="s">
        <v>26</v>
      </c>
      <c r="M1817" t="s">
        <v>76</v>
      </c>
      <c r="N1817">
        <v>2.99</v>
      </c>
      <c r="O1817">
        <v>956</v>
      </c>
      <c r="P1817">
        <v>3.96</v>
      </c>
      <c r="Q1817">
        <v>160</v>
      </c>
      <c r="R1817">
        <v>434</v>
      </c>
    </row>
    <row r="1818" spans="1:18" x14ac:dyDescent="0.2">
      <c r="A1818">
        <v>6</v>
      </c>
      <c r="B1818" t="s">
        <v>87</v>
      </c>
      <c r="E1818" t="s">
        <v>29</v>
      </c>
      <c r="F1818">
        <v>2322760</v>
      </c>
      <c r="G1818">
        <v>4</v>
      </c>
      <c r="H1818">
        <v>1</v>
      </c>
      <c r="I1818">
        <v>670</v>
      </c>
      <c r="J1818">
        <v>1981</v>
      </c>
      <c r="K1818" s="4">
        <v>45785</v>
      </c>
      <c r="L1818" t="s">
        <v>23</v>
      </c>
      <c r="M1818" t="s">
        <v>45</v>
      </c>
      <c r="N1818">
        <v>1.89</v>
      </c>
      <c r="O1818">
        <v>2127</v>
      </c>
      <c r="P1818">
        <v>4.88</v>
      </c>
      <c r="Q1818">
        <v>246</v>
      </c>
      <c r="R1818">
        <v>414</v>
      </c>
    </row>
    <row r="1819" spans="1:18" x14ac:dyDescent="0.2">
      <c r="A1819">
        <v>9</v>
      </c>
      <c r="B1819" t="s">
        <v>53</v>
      </c>
      <c r="E1819" t="s">
        <v>36</v>
      </c>
      <c r="F1819">
        <v>1121014</v>
      </c>
      <c r="G1819">
        <v>5</v>
      </c>
      <c r="H1819">
        <v>2</v>
      </c>
      <c r="I1819">
        <v>208</v>
      </c>
      <c r="J1819">
        <v>1971</v>
      </c>
      <c r="K1819" s="4">
        <v>44279</v>
      </c>
      <c r="L1819" t="s">
        <v>20</v>
      </c>
      <c r="M1819" t="s">
        <v>70</v>
      </c>
      <c r="N1819">
        <v>1.85</v>
      </c>
      <c r="O1819">
        <v>1250</v>
      </c>
      <c r="P1819">
        <v>1.03</v>
      </c>
      <c r="Q1819">
        <v>351</v>
      </c>
      <c r="R1819">
        <v>518</v>
      </c>
    </row>
    <row r="1820" spans="1:18" x14ac:dyDescent="0.2">
      <c r="A1820">
        <v>7</v>
      </c>
      <c r="B1820" t="s">
        <v>100</v>
      </c>
      <c r="E1820" t="s">
        <v>36</v>
      </c>
      <c r="F1820">
        <v>692106</v>
      </c>
      <c r="G1820">
        <v>5</v>
      </c>
      <c r="H1820">
        <v>3</v>
      </c>
      <c r="I1820">
        <v>454</v>
      </c>
      <c r="J1820">
        <v>1962</v>
      </c>
      <c r="K1820" s="4">
        <v>45503</v>
      </c>
      <c r="L1820" t="s">
        <v>23</v>
      </c>
      <c r="M1820" t="s">
        <v>27</v>
      </c>
      <c r="N1820">
        <v>3.26</v>
      </c>
      <c r="O1820">
        <v>2080</v>
      </c>
      <c r="P1820">
        <v>2.2000000000000002</v>
      </c>
      <c r="Q1820">
        <v>300</v>
      </c>
      <c r="R1820">
        <v>544</v>
      </c>
    </row>
    <row r="1821" spans="1:18" x14ac:dyDescent="0.2">
      <c r="A1821">
        <v>9</v>
      </c>
      <c r="B1821" t="s">
        <v>91</v>
      </c>
      <c r="E1821" t="s">
        <v>19</v>
      </c>
      <c r="F1821">
        <v>2797204</v>
      </c>
      <c r="G1821">
        <v>5</v>
      </c>
      <c r="H1821">
        <v>2</v>
      </c>
      <c r="I1821">
        <v>91</v>
      </c>
      <c r="J1821">
        <v>2007</v>
      </c>
      <c r="K1821" s="4">
        <v>45710</v>
      </c>
      <c r="L1821" t="s">
        <v>26</v>
      </c>
      <c r="M1821" t="s">
        <v>21</v>
      </c>
      <c r="N1821">
        <v>3.25</v>
      </c>
      <c r="O1821">
        <v>1954</v>
      </c>
      <c r="P1821">
        <v>2.42</v>
      </c>
      <c r="Q1821">
        <v>361</v>
      </c>
      <c r="R1821">
        <v>553</v>
      </c>
    </row>
    <row r="1822" spans="1:18" x14ac:dyDescent="0.2">
      <c r="A1822">
        <v>5</v>
      </c>
      <c r="B1822" t="s">
        <v>99</v>
      </c>
      <c r="E1822" t="s">
        <v>19</v>
      </c>
      <c r="F1822">
        <v>2654916</v>
      </c>
      <c r="G1822">
        <v>2</v>
      </c>
      <c r="H1822">
        <v>1</v>
      </c>
      <c r="I1822">
        <v>992</v>
      </c>
      <c r="J1822">
        <v>1965</v>
      </c>
      <c r="K1822" s="4">
        <v>44422</v>
      </c>
      <c r="L1822" t="s">
        <v>20</v>
      </c>
      <c r="M1822" t="s">
        <v>77</v>
      </c>
      <c r="N1822">
        <v>1.88</v>
      </c>
      <c r="O1822">
        <v>1342</v>
      </c>
      <c r="P1822">
        <v>1.81</v>
      </c>
      <c r="Q1822">
        <v>131</v>
      </c>
      <c r="R1822">
        <v>590</v>
      </c>
    </row>
    <row r="1823" spans="1:18" x14ac:dyDescent="0.2">
      <c r="A1823">
        <v>3</v>
      </c>
      <c r="B1823" t="s">
        <v>32</v>
      </c>
      <c r="E1823" t="s">
        <v>19</v>
      </c>
      <c r="F1823">
        <v>1043720</v>
      </c>
      <c r="G1823">
        <v>4</v>
      </c>
      <c r="H1823">
        <v>3</v>
      </c>
      <c r="I1823">
        <v>660</v>
      </c>
      <c r="J1823">
        <v>1978</v>
      </c>
      <c r="K1823" s="4">
        <v>45541</v>
      </c>
      <c r="L1823" t="s">
        <v>20</v>
      </c>
      <c r="M1823" t="s">
        <v>60</v>
      </c>
      <c r="N1823">
        <v>1.74</v>
      </c>
      <c r="O1823">
        <v>893</v>
      </c>
      <c r="P1823">
        <v>1.94</v>
      </c>
      <c r="Q1823">
        <v>283</v>
      </c>
      <c r="R1823">
        <v>636</v>
      </c>
    </row>
    <row r="1824" spans="1:18" x14ac:dyDescent="0.2">
      <c r="A1824">
        <v>7</v>
      </c>
      <c r="B1824" t="s">
        <v>72</v>
      </c>
      <c r="E1824" t="s">
        <v>51</v>
      </c>
      <c r="F1824">
        <v>931362</v>
      </c>
      <c r="G1824">
        <v>4</v>
      </c>
      <c r="H1824">
        <v>2</v>
      </c>
      <c r="I1824">
        <v>774</v>
      </c>
      <c r="J1824">
        <v>1966</v>
      </c>
      <c r="K1824" s="4">
        <v>44174</v>
      </c>
      <c r="L1824" t="s">
        <v>20</v>
      </c>
      <c r="M1824" t="s">
        <v>42</v>
      </c>
      <c r="N1824">
        <v>2.37</v>
      </c>
      <c r="O1824">
        <v>915</v>
      </c>
      <c r="P1824">
        <v>0.59</v>
      </c>
      <c r="Q1824">
        <v>365</v>
      </c>
      <c r="R1824">
        <v>664</v>
      </c>
    </row>
    <row r="1825" spans="1:18" x14ac:dyDescent="0.2">
      <c r="A1825">
        <v>1</v>
      </c>
      <c r="B1825" t="s">
        <v>34</v>
      </c>
      <c r="E1825" t="s">
        <v>51</v>
      </c>
      <c r="F1825">
        <v>1089638</v>
      </c>
      <c r="G1825">
        <v>4</v>
      </c>
      <c r="H1825">
        <v>2</v>
      </c>
      <c r="I1825">
        <v>569</v>
      </c>
      <c r="J1825">
        <v>2007</v>
      </c>
      <c r="K1825" s="4">
        <v>45433</v>
      </c>
      <c r="L1825" t="s">
        <v>20</v>
      </c>
      <c r="M1825" t="s">
        <v>74</v>
      </c>
      <c r="N1825">
        <v>3.45</v>
      </c>
      <c r="O1825">
        <v>1147</v>
      </c>
      <c r="P1825">
        <v>2.1</v>
      </c>
      <c r="Q1825">
        <v>380</v>
      </c>
      <c r="R1825">
        <v>490</v>
      </c>
    </row>
    <row r="1826" spans="1:18" x14ac:dyDescent="0.2">
      <c r="A1826">
        <v>4</v>
      </c>
      <c r="B1826" t="s">
        <v>57</v>
      </c>
      <c r="E1826" t="s">
        <v>36</v>
      </c>
      <c r="F1826">
        <v>2326347</v>
      </c>
      <c r="G1826">
        <v>1</v>
      </c>
      <c r="H1826">
        <v>3</v>
      </c>
      <c r="I1826">
        <v>504</v>
      </c>
      <c r="J1826">
        <v>2008</v>
      </c>
      <c r="K1826" s="4">
        <v>45842</v>
      </c>
      <c r="L1826" t="s">
        <v>20</v>
      </c>
      <c r="M1826" t="s">
        <v>40</v>
      </c>
      <c r="N1826">
        <v>2.2999999999999998</v>
      </c>
      <c r="O1826">
        <v>2215</v>
      </c>
      <c r="P1826">
        <v>0.78</v>
      </c>
      <c r="Q1826">
        <v>120</v>
      </c>
      <c r="R1826">
        <v>698</v>
      </c>
    </row>
    <row r="1827" spans="1:18" x14ac:dyDescent="0.2">
      <c r="A1827">
        <v>1</v>
      </c>
      <c r="B1827" t="s">
        <v>67</v>
      </c>
      <c r="E1827" t="s">
        <v>36</v>
      </c>
      <c r="F1827">
        <v>941823</v>
      </c>
      <c r="G1827">
        <v>3</v>
      </c>
      <c r="H1827">
        <v>1</v>
      </c>
      <c r="I1827">
        <v>281</v>
      </c>
      <c r="J1827">
        <v>1991</v>
      </c>
      <c r="K1827" s="4">
        <v>44369</v>
      </c>
      <c r="L1827" t="s">
        <v>23</v>
      </c>
      <c r="M1827" t="s">
        <v>97</v>
      </c>
      <c r="N1827">
        <v>2.79</v>
      </c>
      <c r="O1827">
        <v>1944</v>
      </c>
      <c r="P1827">
        <v>1.39</v>
      </c>
      <c r="Q1827">
        <v>244</v>
      </c>
      <c r="R1827">
        <v>674</v>
      </c>
    </row>
    <row r="1828" spans="1:18" x14ac:dyDescent="0.2">
      <c r="A1828">
        <v>5</v>
      </c>
      <c r="B1828" t="s">
        <v>25</v>
      </c>
      <c r="E1828" t="s">
        <v>19</v>
      </c>
      <c r="F1828">
        <v>636047</v>
      </c>
      <c r="G1828">
        <v>4</v>
      </c>
      <c r="H1828">
        <v>1</v>
      </c>
      <c r="I1828">
        <v>714</v>
      </c>
      <c r="J1828">
        <v>2006</v>
      </c>
      <c r="K1828" s="4">
        <v>45157</v>
      </c>
      <c r="L1828" t="s">
        <v>30</v>
      </c>
      <c r="M1828" t="s">
        <v>35</v>
      </c>
      <c r="N1828">
        <v>2.36</v>
      </c>
      <c r="O1828">
        <v>1459</v>
      </c>
      <c r="P1828">
        <v>0.65</v>
      </c>
      <c r="Q1828">
        <v>378</v>
      </c>
      <c r="R1828">
        <v>619</v>
      </c>
    </row>
    <row r="1829" spans="1:18" x14ac:dyDescent="0.2">
      <c r="A1829">
        <v>9</v>
      </c>
      <c r="B1829" t="s">
        <v>71</v>
      </c>
      <c r="E1829" t="s">
        <v>29</v>
      </c>
      <c r="F1829">
        <v>1728101</v>
      </c>
      <c r="G1829">
        <v>4</v>
      </c>
      <c r="H1829">
        <v>3</v>
      </c>
      <c r="I1829">
        <v>897</v>
      </c>
      <c r="J1829">
        <v>2019</v>
      </c>
      <c r="K1829" s="4">
        <v>45537</v>
      </c>
      <c r="L1829" t="s">
        <v>26</v>
      </c>
      <c r="M1829" t="s">
        <v>47</v>
      </c>
      <c r="N1829">
        <v>3.11</v>
      </c>
      <c r="O1829">
        <v>1933</v>
      </c>
      <c r="P1829">
        <v>4.46</v>
      </c>
      <c r="Q1829">
        <v>192</v>
      </c>
      <c r="R1829">
        <v>575</v>
      </c>
    </row>
    <row r="1830" spans="1:18" x14ac:dyDescent="0.2">
      <c r="A1830">
        <v>1</v>
      </c>
      <c r="B1830" t="s">
        <v>90</v>
      </c>
      <c r="E1830" t="s">
        <v>51</v>
      </c>
      <c r="F1830">
        <v>2320115</v>
      </c>
      <c r="G1830">
        <v>2</v>
      </c>
      <c r="H1830">
        <v>2</v>
      </c>
      <c r="I1830">
        <v>697</v>
      </c>
      <c r="J1830">
        <v>1952</v>
      </c>
      <c r="K1830" s="4">
        <v>44324</v>
      </c>
      <c r="L1830" t="s">
        <v>30</v>
      </c>
      <c r="M1830" t="s">
        <v>85</v>
      </c>
      <c r="N1830">
        <v>1.87</v>
      </c>
      <c r="O1830">
        <v>1202</v>
      </c>
      <c r="P1830">
        <v>3.79</v>
      </c>
      <c r="Q1830">
        <v>139</v>
      </c>
      <c r="R1830">
        <v>428</v>
      </c>
    </row>
    <row r="1831" spans="1:18" x14ac:dyDescent="0.2">
      <c r="A1831">
        <v>1</v>
      </c>
      <c r="B1831" t="s">
        <v>105</v>
      </c>
      <c r="E1831" t="s">
        <v>29</v>
      </c>
      <c r="F1831">
        <v>1717421</v>
      </c>
      <c r="G1831">
        <v>2</v>
      </c>
      <c r="H1831">
        <v>2</v>
      </c>
      <c r="I1831">
        <v>194</v>
      </c>
      <c r="J1831">
        <v>2004</v>
      </c>
      <c r="K1831" s="4">
        <v>44966</v>
      </c>
      <c r="L1831" t="s">
        <v>20</v>
      </c>
      <c r="M1831" t="s">
        <v>70</v>
      </c>
      <c r="N1831">
        <v>2.14</v>
      </c>
      <c r="O1831">
        <v>1705</v>
      </c>
      <c r="P1831">
        <v>4.83</v>
      </c>
      <c r="Q1831">
        <v>217</v>
      </c>
      <c r="R1831">
        <v>580</v>
      </c>
    </row>
    <row r="1832" spans="1:18" x14ac:dyDescent="0.2">
      <c r="A1832">
        <v>0</v>
      </c>
      <c r="B1832" t="s">
        <v>72</v>
      </c>
      <c r="E1832" t="s">
        <v>29</v>
      </c>
      <c r="F1832">
        <v>580228</v>
      </c>
      <c r="G1832">
        <v>4</v>
      </c>
      <c r="H1832">
        <v>2</v>
      </c>
      <c r="I1832">
        <v>648</v>
      </c>
      <c r="J1832">
        <v>1952</v>
      </c>
      <c r="K1832" s="4">
        <v>44340</v>
      </c>
      <c r="L1832" t="s">
        <v>30</v>
      </c>
      <c r="M1832" t="s">
        <v>47</v>
      </c>
      <c r="N1832">
        <v>2.94</v>
      </c>
      <c r="O1832">
        <v>1517</v>
      </c>
      <c r="P1832">
        <v>2.0499999999999998</v>
      </c>
      <c r="Q1832">
        <v>197</v>
      </c>
      <c r="R1832">
        <v>325</v>
      </c>
    </row>
    <row r="1833" spans="1:18" x14ac:dyDescent="0.2">
      <c r="A1833">
        <v>3</v>
      </c>
      <c r="B1833" t="s">
        <v>75</v>
      </c>
      <c r="E1833" t="s">
        <v>19</v>
      </c>
      <c r="F1833">
        <v>1210592</v>
      </c>
      <c r="G1833">
        <v>5</v>
      </c>
      <c r="H1833">
        <v>3</v>
      </c>
      <c r="I1833">
        <v>403</v>
      </c>
      <c r="J1833">
        <v>1963</v>
      </c>
      <c r="K1833" s="4">
        <v>44402</v>
      </c>
      <c r="L1833" t="s">
        <v>30</v>
      </c>
      <c r="M1833" t="s">
        <v>63</v>
      </c>
      <c r="N1833">
        <v>2.99</v>
      </c>
      <c r="O1833">
        <v>900</v>
      </c>
      <c r="P1833">
        <v>0.38</v>
      </c>
      <c r="Q1833">
        <v>385</v>
      </c>
      <c r="R1833">
        <v>665</v>
      </c>
    </row>
    <row r="1834" spans="1:18" x14ac:dyDescent="0.2">
      <c r="A1834">
        <v>1</v>
      </c>
      <c r="B1834" t="s">
        <v>38</v>
      </c>
      <c r="E1834" t="s">
        <v>29</v>
      </c>
      <c r="F1834">
        <v>1143952</v>
      </c>
      <c r="G1834">
        <v>3</v>
      </c>
      <c r="H1834">
        <v>1</v>
      </c>
      <c r="I1834">
        <v>655</v>
      </c>
      <c r="J1834">
        <v>1962</v>
      </c>
      <c r="K1834" s="4">
        <v>45215</v>
      </c>
      <c r="L1834" t="s">
        <v>26</v>
      </c>
      <c r="M1834" t="s">
        <v>76</v>
      </c>
      <c r="N1834">
        <v>1.81</v>
      </c>
      <c r="O1834">
        <v>1347</v>
      </c>
      <c r="P1834">
        <v>0.16</v>
      </c>
      <c r="Q1834">
        <v>228</v>
      </c>
      <c r="R1834">
        <v>395</v>
      </c>
    </row>
    <row r="1835" spans="1:18" x14ac:dyDescent="0.2">
      <c r="A1835">
        <v>6</v>
      </c>
      <c r="B1835" t="s">
        <v>50</v>
      </c>
      <c r="E1835" t="s">
        <v>51</v>
      </c>
      <c r="F1835">
        <v>1161592</v>
      </c>
      <c r="G1835">
        <v>0</v>
      </c>
      <c r="H1835">
        <v>1</v>
      </c>
      <c r="I1835">
        <v>481</v>
      </c>
      <c r="J1835">
        <v>1998</v>
      </c>
      <c r="K1835" s="4">
        <v>44318</v>
      </c>
      <c r="L1835" t="s">
        <v>20</v>
      </c>
      <c r="M1835" t="s">
        <v>54</v>
      </c>
      <c r="N1835">
        <v>2.78</v>
      </c>
      <c r="O1835">
        <v>1006</v>
      </c>
      <c r="P1835">
        <v>1.52</v>
      </c>
      <c r="Q1835">
        <v>44</v>
      </c>
      <c r="R1835">
        <v>344</v>
      </c>
    </row>
    <row r="1836" spans="1:18" x14ac:dyDescent="0.2">
      <c r="A1836">
        <v>0</v>
      </c>
      <c r="B1836" t="s">
        <v>25</v>
      </c>
      <c r="E1836" t="s">
        <v>29</v>
      </c>
      <c r="F1836">
        <v>2482269</v>
      </c>
      <c r="G1836">
        <v>3</v>
      </c>
      <c r="H1836">
        <v>3</v>
      </c>
      <c r="I1836">
        <v>498</v>
      </c>
      <c r="J1836">
        <v>1986</v>
      </c>
      <c r="K1836" s="4">
        <v>44561</v>
      </c>
      <c r="L1836" t="s">
        <v>20</v>
      </c>
      <c r="M1836" t="s">
        <v>40</v>
      </c>
      <c r="N1836">
        <v>3.3</v>
      </c>
      <c r="O1836">
        <v>1654</v>
      </c>
      <c r="P1836">
        <v>2.61</v>
      </c>
      <c r="Q1836">
        <v>278</v>
      </c>
      <c r="R1836">
        <v>335</v>
      </c>
    </row>
    <row r="1837" spans="1:18" x14ac:dyDescent="0.2">
      <c r="A1837">
        <v>9</v>
      </c>
      <c r="B1837" t="s">
        <v>57</v>
      </c>
      <c r="E1837" t="s">
        <v>36</v>
      </c>
      <c r="F1837">
        <v>2968704</v>
      </c>
      <c r="G1837">
        <v>5</v>
      </c>
      <c r="H1837">
        <v>1</v>
      </c>
      <c r="I1837">
        <v>284</v>
      </c>
      <c r="J1837">
        <v>1978</v>
      </c>
      <c r="K1837" s="4">
        <v>45614</v>
      </c>
      <c r="L1837" t="s">
        <v>20</v>
      </c>
      <c r="M1837" t="s">
        <v>69</v>
      </c>
      <c r="N1837">
        <v>2.93</v>
      </c>
      <c r="O1837">
        <v>883</v>
      </c>
      <c r="P1837">
        <v>3.15</v>
      </c>
      <c r="Q1837">
        <v>268</v>
      </c>
      <c r="R1837">
        <v>316</v>
      </c>
    </row>
    <row r="1838" spans="1:18" x14ac:dyDescent="0.2">
      <c r="A1838">
        <v>7</v>
      </c>
      <c r="B1838" t="s">
        <v>32</v>
      </c>
      <c r="E1838" t="s">
        <v>19</v>
      </c>
      <c r="F1838">
        <v>2714010</v>
      </c>
      <c r="G1838">
        <v>5</v>
      </c>
      <c r="H1838">
        <v>2</v>
      </c>
      <c r="I1838">
        <v>478</v>
      </c>
      <c r="J1838">
        <v>2017</v>
      </c>
      <c r="K1838" s="4">
        <v>45033</v>
      </c>
      <c r="L1838" t="s">
        <v>30</v>
      </c>
      <c r="M1838" t="s">
        <v>45</v>
      </c>
      <c r="N1838">
        <v>2.66</v>
      </c>
      <c r="O1838">
        <v>1520</v>
      </c>
      <c r="P1838">
        <v>4.92</v>
      </c>
      <c r="Q1838">
        <v>344</v>
      </c>
      <c r="R1838">
        <v>469</v>
      </c>
    </row>
    <row r="1839" spans="1:18" x14ac:dyDescent="0.2">
      <c r="A1839">
        <v>3</v>
      </c>
      <c r="B1839" t="s">
        <v>90</v>
      </c>
      <c r="E1839" t="s">
        <v>19</v>
      </c>
      <c r="F1839">
        <v>1640668</v>
      </c>
      <c r="G1839">
        <v>5</v>
      </c>
      <c r="H1839">
        <v>1</v>
      </c>
      <c r="I1839">
        <v>115</v>
      </c>
      <c r="J1839">
        <v>1974</v>
      </c>
      <c r="K1839" s="4">
        <v>44079</v>
      </c>
      <c r="L1839" t="s">
        <v>20</v>
      </c>
      <c r="M1839" t="s">
        <v>63</v>
      </c>
      <c r="N1839">
        <v>2.09</v>
      </c>
      <c r="O1839">
        <v>1431</v>
      </c>
      <c r="P1839">
        <v>3.83</v>
      </c>
      <c r="Q1839">
        <v>325</v>
      </c>
      <c r="R1839">
        <v>446</v>
      </c>
    </row>
    <row r="1840" spans="1:18" x14ac:dyDescent="0.2">
      <c r="A1840">
        <v>4</v>
      </c>
      <c r="B1840" t="s">
        <v>55</v>
      </c>
      <c r="E1840" t="s">
        <v>51</v>
      </c>
      <c r="F1840">
        <v>2596307</v>
      </c>
      <c r="G1840">
        <v>4</v>
      </c>
      <c r="H1840">
        <v>2</v>
      </c>
      <c r="I1840">
        <v>256</v>
      </c>
      <c r="J1840">
        <v>2007</v>
      </c>
      <c r="K1840" s="4">
        <v>45273</v>
      </c>
      <c r="L1840" t="s">
        <v>20</v>
      </c>
      <c r="M1840" t="s">
        <v>85</v>
      </c>
      <c r="N1840">
        <v>3.15</v>
      </c>
      <c r="O1840">
        <v>804</v>
      </c>
      <c r="P1840">
        <v>3.18</v>
      </c>
      <c r="Q1840">
        <v>302</v>
      </c>
      <c r="R1840">
        <v>675</v>
      </c>
    </row>
    <row r="1841" spans="1:18" x14ac:dyDescent="0.2">
      <c r="A1841">
        <v>6</v>
      </c>
      <c r="B1841" t="s">
        <v>73</v>
      </c>
      <c r="E1841" t="s">
        <v>51</v>
      </c>
      <c r="F1841">
        <v>917181</v>
      </c>
      <c r="G1841">
        <v>4</v>
      </c>
      <c r="H1841">
        <v>2</v>
      </c>
      <c r="I1841">
        <v>681</v>
      </c>
      <c r="J1841">
        <v>1987</v>
      </c>
      <c r="K1841" s="4">
        <v>45291</v>
      </c>
      <c r="L1841" t="s">
        <v>23</v>
      </c>
      <c r="M1841" t="s">
        <v>24</v>
      </c>
      <c r="N1841">
        <v>3.21</v>
      </c>
      <c r="O1841">
        <v>1743</v>
      </c>
      <c r="P1841">
        <v>4.7699999999999996</v>
      </c>
      <c r="Q1841">
        <v>290</v>
      </c>
      <c r="R1841">
        <v>687</v>
      </c>
    </row>
    <row r="1842" spans="1:18" x14ac:dyDescent="0.2">
      <c r="A1842">
        <v>9</v>
      </c>
      <c r="B1842" t="s">
        <v>92</v>
      </c>
      <c r="E1842" t="s">
        <v>29</v>
      </c>
      <c r="F1842">
        <v>2289836</v>
      </c>
      <c r="G1842">
        <v>3</v>
      </c>
      <c r="H1842">
        <v>2</v>
      </c>
      <c r="I1842">
        <v>547</v>
      </c>
      <c r="J1842">
        <v>1962</v>
      </c>
      <c r="K1842" s="4">
        <v>45687</v>
      </c>
      <c r="L1842" t="s">
        <v>30</v>
      </c>
      <c r="M1842" t="s">
        <v>24</v>
      </c>
      <c r="N1842">
        <v>2.38</v>
      </c>
      <c r="O1842">
        <v>1897</v>
      </c>
      <c r="P1842">
        <v>4.6900000000000004</v>
      </c>
      <c r="Q1842">
        <v>233</v>
      </c>
      <c r="R1842">
        <v>623</v>
      </c>
    </row>
    <row r="1843" spans="1:18" x14ac:dyDescent="0.2">
      <c r="A1843">
        <v>5</v>
      </c>
      <c r="B1843" t="s">
        <v>99</v>
      </c>
      <c r="E1843" t="s">
        <v>19</v>
      </c>
      <c r="F1843">
        <v>2246431</v>
      </c>
      <c r="G1843">
        <v>0</v>
      </c>
      <c r="H1843">
        <v>2</v>
      </c>
      <c r="I1843">
        <v>0</v>
      </c>
      <c r="J1843">
        <v>1989</v>
      </c>
      <c r="K1843" s="4">
        <v>45033</v>
      </c>
      <c r="L1843" t="s">
        <v>23</v>
      </c>
      <c r="M1843" t="s">
        <v>35</v>
      </c>
      <c r="N1843">
        <v>2.06</v>
      </c>
      <c r="O1843">
        <v>2394</v>
      </c>
      <c r="P1843">
        <v>2.04</v>
      </c>
      <c r="Q1843">
        <v>78</v>
      </c>
      <c r="R1843">
        <v>446</v>
      </c>
    </row>
    <row r="1844" spans="1:18" x14ac:dyDescent="0.2">
      <c r="A1844">
        <v>9</v>
      </c>
      <c r="B1844" t="s">
        <v>18</v>
      </c>
      <c r="E1844" t="s">
        <v>29</v>
      </c>
      <c r="F1844">
        <v>533388</v>
      </c>
      <c r="G1844">
        <v>4</v>
      </c>
      <c r="H1844">
        <v>2</v>
      </c>
      <c r="I1844">
        <v>294</v>
      </c>
      <c r="J1844">
        <v>2000</v>
      </c>
      <c r="K1844" s="4">
        <v>44566</v>
      </c>
      <c r="L1844" t="s">
        <v>20</v>
      </c>
      <c r="M1844" t="s">
        <v>69</v>
      </c>
      <c r="N1844">
        <v>3.01</v>
      </c>
      <c r="O1844">
        <v>2035</v>
      </c>
      <c r="P1844">
        <v>2.92</v>
      </c>
      <c r="Q1844">
        <v>184</v>
      </c>
      <c r="R1844">
        <v>614</v>
      </c>
    </row>
    <row r="1845" spans="1:18" x14ac:dyDescent="0.2">
      <c r="A1845">
        <v>9</v>
      </c>
      <c r="B1845" t="s">
        <v>67</v>
      </c>
      <c r="E1845" t="s">
        <v>51</v>
      </c>
      <c r="F1845">
        <v>2877259</v>
      </c>
      <c r="G1845">
        <v>4</v>
      </c>
      <c r="H1845">
        <v>1</v>
      </c>
      <c r="I1845">
        <v>242</v>
      </c>
      <c r="J1845">
        <v>1999</v>
      </c>
      <c r="K1845" s="4">
        <v>44507</v>
      </c>
      <c r="L1845" t="s">
        <v>26</v>
      </c>
      <c r="M1845" t="s">
        <v>33</v>
      </c>
      <c r="N1845">
        <v>3.29</v>
      </c>
      <c r="O1845">
        <v>807</v>
      </c>
      <c r="P1845">
        <v>3.56</v>
      </c>
      <c r="Q1845">
        <v>217</v>
      </c>
      <c r="R1845">
        <v>425</v>
      </c>
    </row>
    <row r="1846" spans="1:18" x14ac:dyDescent="0.2">
      <c r="A1846">
        <v>7</v>
      </c>
      <c r="B1846" t="s">
        <v>41</v>
      </c>
      <c r="E1846" t="s">
        <v>36</v>
      </c>
      <c r="F1846">
        <v>2501548</v>
      </c>
      <c r="G1846">
        <v>2</v>
      </c>
      <c r="H1846">
        <v>3</v>
      </c>
      <c r="I1846">
        <v>934</v>
      </c>
      <c r="J1846">
        <v>1970</v>
      </c>
      <c r="K1846" s="4">
        <v>44623</v>
      </c>
      <c r="L1846" t="s">
        <v>20</v>
      </c>
      <c r="M1846" t="s">
        <v>74</v>
      </c>
      <c r="N1846">
        <v>1.55</v>
      </c>
      <c r="O1846">
        <v>1062</v>
      </c>
      <c r="P1846">
        <v>1.96</v>
      </c>
      <c r="Q1846">
        <v>181</v>
      </c>
      <c r="R1846">
        <v>359</v>
      </c>
    </row>
    <row r="1847" spans="1:18" x14ac:dyDescent="0.2">
      <c r="A1847">
        <v>2</v>
      </c>
      <c r="B1847" t="s">
        <v>43</v>
      </c>
      <c r="E1847" t="s">
        <v>19</v>
      </c>
      <c r="F1847">
        <v>1995984</v>
      </c>
      <c r="G1847">
        <v>4</v>
      </c>
      <c r="H1847">
        <v>3</v>
      </c>
      <c r="I1847">
        <v>940</v>
      </c>
      <c r="J1847">
        <v>1963</v>
      </c>
      <c r="K1847" s="4">
        <v>44934</v>
      </c>
      <c r="L1847" t="s">
        <v>26</v>
      </c>
      <c r="M1847" t="s">
        <v>56</v>
      </c>
      <c r="N1847">
        <v>3.49</v>
      </c>
      <c r="O1847">
        <v>1240</v>
      </c>
      <c r="P1847">
        <v>0.32</v>
      </c>
      <c r="Q1847">
        <v>205</v>
      </c>
      <c r="R1847">
        <v>359</v>
      </c>
    </row>
    <row r="1848" spans="1:18" x14ac:dyDescent="0.2">
      <c r="A1848">
        <v>6</v>
      </c>
      <c r="B1848" t="s">
        <v>38</v>
      </c>
      <c r="E1848" t="s">
        <v>29</v>
      </c>
      <c r="F1848">
        <v>2717612</v>
      </c>
      <c r="G1848">
        <v>3</v>
      </c>
      <c r="H1848">
        <v>1</v>
      </c>
      <c r="I1848">
        <v>109</v>
      </c>
      <c r="J1848">
        <v>2018</v>
      </c>
      <c r="K1848" s="4">
        <v>44924</v>
      </c>
      <c r="L1848" t="s">
        <v>26</v>
      </c>
      <c r="M1848" t="s">
        <v>59</v>
      </c>
      <c r="N1848">
        <v>2.95</v>
      </c>
      <c r="O1848">
        <v>1646</v>
      </c>
      <c r="P1848">
        <v>4.8099999999999996</v>
      </c>
      <c r="Q1848">
        <v>83</v>
      </c>
      <c r="R1848">
        <v>469</v>
      </c>
    </row>
    <row r="1849" spans="1:18" x14ac:dyDescent="0.2">
      <c r="A1849">
        <v>9</v>
      </c>
      <c r="B1849" t="s">
        <v>100</v>
      </c>
      <c r="E1849" t="s">
        <v>19</v>
      </c>
      <c r="F1849">
        <v>1249869</v>
      </c>
      <c r="G1849">
        <v>3</v>
      </c>
      <c r="H1849">
        <v>2</v>
      </c>
      <c r="I1849">
        <v>503</v>
      </c>
      <c r="J1849">
        <v>1966</v>
      </c>
      <c r="K1849" s="4">
        <v>45453</v>
      </c>
      <c r="L1849" t="s">
        <v>30</v>
      </c>
      <c r="M1849" t="s">
        <v>58</v>
      </c>
      <c r="N1849">
        <v>2.41</v>
      </c>
      <c r="O1849">
        <v>2378</v>
      </c>
      <c r="P1849">
        <v>1.1100000000000001</v>
      </c>
      <c r="Q1849">
        <v>210</v>
      </c>
      <c r="R1849">
        <v>598</v>
      </c>
    </row>
    <row r="1850" spans="1:18" x14ac:dyDescent="0.2">
      <c r="A1850">
        <v>8</v>
      </c>
      <c r="B1850" t="s">
        <v>100</v>
      </c>
      <c r="E1850" t="s">
        <v>51</v>
      </c>
      <c r="F1850">
        <v>457197</v>
      </c>
      <c r="G1850">
        <v>2</v>
      </c>
      <c r="H1850">
        <v>3</v>
      </c>
      <c r="I1850">
        <v>191</v>
      </c>
      <c r="J1850">
        <v>1966</v>
      </c>
      <c r="K1850" s="4">
        <v>45307</v>
      </c>
      <c r="L1850" t="s">
        <v>23</v>
      </c>
      <c r="M1850" t="s">
        <v>74</v>
      </c>
      <c r="N1850">
        <v>3.21</v>
      </c>
      <c r="O1850">
        <v>1399</v>
      </c>
      <c r="P1850">
        <v>0.19</v>
      </c>
      <c r="Q1850">
        <v>196</v>
      </c>
      <c r="R1850">
        <v>695</v>
      </c>
    </row>
    <row r="1851" spans="1:18" x14ac:dyDescent="0.2">
      <c r="A1851">
        <v>8</v>
      </c>
      <c r="B1851" t="s">
        <v>55</v>
      </c>
      <c r="E1851" t="s">
        <v>29</v>
      </c>
      <c r="F1851">
        <v>869046</v>
      </c>
      <c r="G1851">
        <v>1</v>
      </c>
      <c r="H1851">
        <v>1</v>
      </c>
      <c r="I1851">
        <v>403</v>
      </c>
      <c r="J1851">
        <v>2019</v>
      </c>
      <c r="K1851" s="4">
        <v>45340</v>
      </c>
      <c r="L1851" t="s">
        <v>26</v>
      </c>
      <c r="M1851" t="s">
        <v>78</v>
      </c>
      <c r="N1851">
        <v>2.14</v>
      </c>
      <c r="O1851">
        <v>1000</v>
      </c>
      <c r="P1851">
        <v>0.71</v>
      </c>
      <c r="Q1851">
        <v>55</v>
      </c>
      <c r="R1851">
        <v>635</v>
      </c>
    </row>
    <row r="1852" spans="1:18" x14ac:dyDescent="0.2">
      <c r="A1852">
        <v>5</v>
      </c>
      <c r="B1852" t="s">
        <v>48</v>
      </c>
      <c r="E1852" t="s">
        <v>19</v>
      </c>
      <c r="F1852">
        <v>950466</v>
      </c>
      <c r="G1852">
        <v>1</v>
      </c>
      <c r="H1852">
        <v>3</v>
      </c>
      <c r="I1852">
        <v>298</v>
      </c>
      <c r="J1852">
        <v>1960</v>
      </c>
      <c r="K1852" s="4">
        <v>45284</v>
      </c>
      <c r="L1852" t="s">
        <v>23</v>
      </c>
      <c r="M1852" t="s">
        <v>74</v>
      </c>
      <c r="N1852">
        <v>3.44</v>
      </c>
      <c r="O1852">
        <v>2314</v>
      </c>
      <c r="P1852">
        <v>2.06</v>
      </c>
      <c r="Q1852">
        <v>148</v>
      </c>
      <c r="R1852">
        <v>487</v>
      </c>
    </row>
    <row r="1853" spans="1:18" x14ac:dyDescent="0.2">
      <c r="A1853">
        <v>0</v>
      </c>
      <c r="B1853" t="s">
        <v>28</v>
      </c>
      <c r="E1853" t="s">
        <v>36</v>
      </c>
      <c r="F1853">
        <v>2254652</v>
      </c>
      <c r="G1853">
        <v>6</v>
      </c>
      <c r="H1853">
        <v>3</v>
      </c>
      <c r="I1853">
        <v>442</v>
      </c>
      <c r="J1853">
        <v>1957</v>
      </c>
      <c r="K1853" s="4">
        <v>44424</v>
      </c>
      <c r="L1853" t="s">
        <v>23</v>
      </c>
      <c r="M1853" t="s">
        <v>33</v>
      </c>
      <c r="N1853">
        <v>1.63</v>
      </c>
      <c r="O1853">
        <v>2287</v>
      </c>
      <c r="P1853">
        <v>3.25</v>
      </c>
      <c r="Q1853">
        <v>373</v>
      </c>
      <c r="R1853">
        <v>562</v>
      </c>
    </row>
    <row r="1854" spans="1:18" x14ac:dyDescent="0.2">
      <c r="A1854">
        <v>4</v>
      </c>
      <c r="B1854" t="s">
        <v>98</v>
      </c>
      <c r="E1854" t="s">
        <v>51</v>
      </c>
      <c r="F1854">
        <v>853801</v>
      </c>
      <c r="G1854">
        <v>4</v>
      </c>
      <c r="H1854">
        <v>3</v>
      </c>
      <c r="I1854">
        <v>511</v>
      </c>
      <c r="J1854">
        <v>1951</v>
      </c>
      <c r="K1854" s="4">
        <v>45781</v>
      </c>
      <c r="L1854" t="s">
        <v>30</v>
      </c>
      <c r="M1854" t="s">
        <v>74</v>
      </c>
      <c r="N1854">
        <v>2.64</v>
      </c>
      <c r="O1854">
        <v>911</v>
      </c>
      <c r="P1854">
        <v>1.46</v>
      </c>
      <c r="Q1854">
        <v>350</v>
      </c>
      <c r="R1854">
        <v>398</v>
      </c>
    </row>
    <row r="1855" spans="1:18" x14ac:dyDescent="0.2">
      <c r="A1855">
        <v>0</v>
      </c>
      <c r="B1855" t="s">
        <v>90</v>
      </c>
      <c r="E1855" t="s">
        <v>51</v>
      </c>
      <c r="F1855">
        <v>2239713</v>
      </c>
      <c r="G1855">
        <v>5</v>
      </c>
      <c r="H1855">
        <v>3</v>
      </c>
      <c r="I1855">
        <v>498</v>
      </c>
      <c r="J1855">
        <v>2014</v>
      </c>
      <c r="K1855" s="4">
        <v>45649</v>
      </c>
      <c r="L1855" t="s">
        <v>20</v>
      </c>
      <c r="M1855" t="s">
        <v>85</v>
      </c>
      <c r="N1855">
        <v>2.96</v>
      </c>
      <c r="O1855">
        <v>1861</v>
      </c>
      <c r="P1855">
        <v>4.1900000000000004</v>
      </c>
      <c r="Q1855">
        <v>394</v>
      </c>
      <c r="R1855">
        <v>377</v>
      </c>
    </row>
    <row r="1856" spans="1:18" x14ac:dyDescent="0.2">
      <c r="A1856">
        <v>0</v>
      </c>
      <c r="B1856" t="s">
        <v>87</v>
      </c>
      <c r="E1856" t="s">
        <v>51</v>
      </c>
      <c r="F1856">
        <v>677729</v>
      </c>
      <c r="G1856">
        <v>5</v>
      </c>
      <c r="H1856">
        <v>3</v>
      </c>
      <c r="I1856">
        <v>783</v>
      </c>
      <c r="J1856">
        <v>1995</v>
      </c>
      <c r="K1856" s="4">
        <v>45222</v>
      </c>
      <c r="L1856" t="s">
        <v>23</v>
      </c>
      <c r="M1856" t="s">
        <v>37</v>
      </c>
      <c r="N1856">
        <v>2.91</v>
      </c>
      <c r="O1856">
        <v>1468</v>
      </c>
      <c r="P1856">
        <v>3.27</v>
      </c>
      <c r="Q1856">
        <v>319</v>
      </c>
      <c r="R1856">
        <v>684</v>
      </c>
    </row>
    <row r="1857" spans="1:18" x14ac:dyDescent="0.2">
      <c r="A1857">
        <v>6</v>
      </c>
      <c r="B1857" t="s">
        <v>98</v>
      </c>
      <c r="E1857" t="s">
        <v>29</v>
      </c>
      <c r="F1857">
        <v>1934649</v>
      </c>
      <c r="G1857">
        <v>2</v>
      </c>
      <c r="H1857">
        <v>3</v>
      </c>
      <c r="I1857">
        <v>759</v>
      </c>
      <c r="J1857">
        <v>1952</v>
      </c>
      <c r="K1857" s="4">
        <v>44715</v>
      </c>
      <c r="L1857" t="s">
        <v>23</v>
      </c>
      <c r="M1857" t="s">
        <v>85</v>
      </c>
      <c r="N1857">
        <v>2.83</v>
      </c>
      <c r="O1857">
        <v>1019</v>
      </c>
      <c r="P1857">
        <v>0.26</v>
      </c>
      <c r="Q1857">
        <v>127</v>
      </c>
      <c r="R1857">
        <v>452</v>
      </c>
    </row>
    <row r="1858" spans="1:18" x14ac:dyDescent="0.2">
      <c r="A1858">
        <v>1</v>
      </c>
      <c r="B1858" t="s">
        <v>64</v>
      </c>
      <c r="E1858" t="s">
        <v>19</v>
      </c>
      <c r="F1858">
        <v>833027</v>
      </c>
      <c r="G1858">
        <v>3</v>
      </c>
      <c r="H1858">
        <v>3</v>
      </c>
      <c r="I1858">
        <v>162</v>
      </c>
      <c r="J1858">
        <v>1953</v>
      </c>
      <c r="K1858" s="4">
        <v>45248</v>
      </c>
      <c r="L1858" t="s">
        <v>26</v>
      </c>
      <c r="M1858" t="s">
        <v>82</v>
      </c>
      <c r="N1858">
        <v>2.91</v>
      </c>
      <c r="O1858">
        <v>2138</v>
      </c>
      <c r="P1858">
        <v>1.24</v>
      </c>
      <c r="Q1858">
        <v>97</v>
      </c>
      <c r="R1858">
        <v>536</v>
      </c>
    </row>
    <row r="1859" spans="1:18" x14ac:dyDescent="0.2">
      <c r="A1859">
        <v>9</v>
      </c>
      <c r="B1859" t="s">
        <v>53</v>
      </c>
      <c r="E1859" t="s">
        <v>51</v>
      </c>
      <c r="F1859">
        <v>2239878</v>
      </c>
      <c r="G1859">
        <v>5</v>
      </c>
      <c r="H1859">
        <v>3</v>
      </c>
      <c r="I1859">
        <v>312</v>
      </c>
      <c r="J1859">
        <v>1974</v>
      </c>
      <c r="K1859" s="4">
        <v>44559</v>
      </c>
      <c r="L1859" t="s">
        <v>26</v>
      </c>
      <c r="M1859" t="s">
        <v>33</v>
      </c>
      <c r="N1859">
        <v>1.61</v>
      </c>
      <c r="O1859">
        <v>1077</v>
      </c>
      <c r="P1859">
        <v>2.91</v>
      </c>
      <c r="Q1859">
        <v>244</v>
      </c>
      <c r="R1859">
        <v>422</v>
      </c>
    </row>
    <row r="1860" spans="1:18" x14ac:dyDescent="0.2">
      <c r="A1860">
        <v>5</v>
      </c>
      <c r="B1860" t="s">
        <v>57</v>
      </c>
      <c r="E1860" t="s">
        <v>51</v>
      </c>
      <c r="F1860">
        <v>2307785</v>
      </c>
      <c r="G1860">
        <v>2</v>
      </c>
      <c r="H1860">
        <v>2</v>
      </c>
      <c r="I1860">
        <v>916</v>
      </c>
      <c r="J1860">
        <v>2017</v>
      </c>
      <c r="K1860" s="4">
        <v>44526</v>
      </c>
      <c r="L1860" t="s">
        <v>26</v>
      </c>
      <c r="M1860" t="s">
        <v>45</v>
      </c>
      <c r="N1860">
        <v>3.24</v>
      </c>
      <c r="O1860">
        <v>1272</v>
      </c>
      <c r="P1860">
        <v>4.01</v>
      </c>
      <c r="Q1860">
        <v>87</v>
      </c>
      <c r="R1860">
        <v>589</v>
      </c>
    </row>
    <row r="1861" spans="1:18" x14ac:dyDescent="0.2">
      <c r="A1861">
        <v>8</v>
      </c>
      <c r="B1861" t="s">
        <v>87</v>
      </c>
      <c r="E1861" t="s">
        <v>29</v>
      </c>
      <c r="F1861">
        <v>1368586</v>
      </c>
      <c r="G1861">
        <v>4</v>
      </c>
      <c r="H1861">
        <v>2</v>
      </c>
      <c r="I1861">
        <v>508</v>
      </c>
      <c r="J1861">
        <v>1962</v>
      </c>
      <c r="K1861" s="4">
        <v>45177</v>
      </c>
      <c r="L1861" t="s">
        <v>26</v>
      </c>
      <c r="M1861" t="s">
        <v>37</v>
      </c>
      <c r="N1861">
        <v>1.78</v>
      </c>
      <c r="O1861">
        <v>1975</v>
      </c>
      <c r="P1861">
        <v>0.48</v>
      </c>
      <c r="Q1861">
        <v>227</v>
      </c>
      <c r="R1861">
        <v>432</v>
      </c>
    </row>
    <row r="1862" spans="1:18" x14ac:dyDescent="0.2">
      <c r="A1862">
        <v>2</v>
      </c>
      <c r="B1862" t="s">
        <v>28</v>
      </c>
      <c r="E1862" t="s">
        <v>51</v>
      </c>
      <c r="F1862">
        <v>1623442</v>
      </c>
      <c r="G1862">
        <v>1</v>
      </c>
      <c r="H1862">
        <v>3</v>
      </c>
      <c r="I1862">
        <v>592</v>
      </c>
      <c r="J1862">
        <v>1964</v>
      </c>
      <c r="K1862" s="4">
        <v>45125</v>
      </c>
      <c r="L1862" t="s">
        <v>26</v>
      </c>
      <c r="M1862" t="s">
        <v>74</v>
      </c>
      <c r="N1862">
        <v>1.92</v>
      </c>
      <c r="O1862">
        <v>1452</v>
      </c>
      <c r="P1862">
        <v>1.1399999999999999</v>
      </c>
      <c r="Q1862">
        <v>93</v>
      </c>
      <c r="R1862">
        <v>615</v>
      </c>
    </row>
    <row r="1863" spans="1:18" x14ac:dyDescent="0.2">
      <c r="A1863">
        <v>5</v>
      </c>
      <c r="B1863" t="s">
        <v>88</v>
      </c>
      <c r="E1863" t="s">
        <v>36</v>
      </c>
      <c r="F1863">
        <v>2913168</v>
      </c>
      <c r="G1863">
        <v>4</v>
      </c>
      <c r="H1863">
        <v>1</v>
      </c>
      <c r="I1863">
        <v>673</v>
      </c>
      <c r="J1863">
        <v>1993</v>
      </c>
      <c r="K1863" s="4">
        <v>44226</v>
      </c>
      <c r="L1863" t="s">
        <v>20</v>
      </c>
      <c r="M1863" t="s">
        <v>56</v>
      </c>
      <c r="N1863">
        <v>1.58</v>
      </c>
      <c r="O1863">
        <v>1360</v>
      </c>
      <c r="P1863">
        <v>1.68</v>
      </c>
      <c r="Q1863">
        <v>198</v>
      </c>
      <c r="R1863">
        <v>572</v>
      </c>
    </row>
    <row r="1864" spans="1:18" x14ac:dyDescent="0.2">
      <c r="A1864">
        <v>1</v>
      </c>
      <c r="B1864" t="s">
        <v>84</v>
      </c>
      <c r="E1864" t="s">
        <v>19</v>
      </c>
      <c r="F1864">
        <v>794230</v>
      </c>
      <c r="G1864">
        <v>4</v>
      </c>
      <c r="H1864">
        <v>1</v>
      </c>
      <c r="I1864">
        <v>967</v>
      </c>
      <c r="J1864">
        <v>2003</v>
      </c>
      <c r="K1864" s="4">
        <v>44804</v>
      </c>
      <c r="L1864" t="s">
        <v>23</v>
      </c>
      <c r="M1864" t="s">
        <v>31</v>
      </c>
      <c r="N1864">
        <v>3.25</v>
      </c>
      <c r="O1864">
        <v>1339</v>
      </c>
      <c r="P1864">
        <v>2.96</v>
      </c>
      <c r="Q1864">
        <v>323</v>
      </c>
      <c r="R1864">
        <v>400</v>
      </c>
    </row>
    <row r="1865" spans="1:18" x14ac:dyDescent="0.2">
      <c r="A1865">
        <v>9</v>
      </c>
      <c r="B1865" t="s">
        <v>106</v>
      </c>
      <c r="E1865" t="s">
        <v>51</v>
      </c>
      <c r="F1865">
        <v>1883867</v>
      </c>
      <c r="G1865">
        <v>2</v>
      </c>
      <c r="H1865">
        <v>3</v>
      </c>
      <c r="I1865">
        <v>300</v>
      </c>
      <c r="J1865">
        <v>2012</v>
      </c>
      <c r="K1865" s="4">
        <v>44238</v>
      </c>
      <c r="L1865" t="s">
        <v>30</v>
      </c>
      <c r="M1865" t="s">
        <v>60</v>
      </c>
      <c r="N1865">
        <v>3.12</v>
      </c>
      <c r="O1865">
        <v>1150</v>
      </c>
      <c r="P1865">
        <v>2.12</v>
      </c>
      <c r="Q1865">
        <v>138</v>
      </c>
      <c r="R1865">
        <v>611</v>
      </c>
    </row>
    <row r="1866" spans="1:18" x14ac:dyDescent="0.2">
      <c r="A1866">
        <v>6</v>
      </c>
      <c r="B1866" t="s">
        <v>57</v>
      </c>
      <c r="E1866" t="s">
        <v>51</v>
      </c>
      <c r="F1866">
        <v>2868163</v>
      </c>
      <c r="G1866">
        <v>2</v>
      </c>
      <c r="H1866">
        <v>1</v>
      </c>
      <c r="I1866">
        <v>520</v>
      </c>
      <c r="J1866">
        <v>2020</v>
      </c>
      <c r="K1866" s="4">
        <v>45623</v>
      </c>
      <c r="L1866" t="s">
        <v>30</v>
      </c>
      <c r="M1866" t="s">
        <v>45</v>
      </c>
      <c r="N1866">
        <v>2.5</v>
      </c>
      <c r="O1866">
        <v>950</v>
      </c>
      <c r="P1866">
        <v>0.83</v>
      </c>
      <c r="Q1866">
        <v>130</v>
      </c>
      <c r="R1866">
        <v>390</v>
      </c>
    </row>
    <row r="1867" spans="1:18" x14ac:dyDescent="0.2">
      <c r="A1867">
        <v>5</v>
      </c>
      <c r="B1867" t="s">
        <v>75</v>
      </c>
      <c r="E1867" t="s">
        <v>29</v>
      </c>
      <c r="F1867">
        <v>1454205</v>
      </c>
      <c r="G1867">
        <v>5</v>
      </c>
      <c r="H1867">
        <v>3</v>
      </c>
      <c r="I1867">
        <v>592</v>
      </c>
      <c r="J1867">
        <v>1997</v>
      </c>
      <c r="K1867" s="4">
        <v>44845</v>
      </c>
      <c r="L1867" t="s">
        <v>20</v>
      </c>
      <c r="M1867" t="s">
        <v>33</v>
      </c>
      <c r="N1867">
        <v>2.97</v>
      </c>
      <c r="O1867">
        <v>2094</v>
      </c>
      <c r="P1867">
        <v>1.08</v>
      </c>
      <c r="Q1867">
        <v>294</v>
      </c>
      <c r="R1867">
        <v>676</v>
      </c>
    </row>
    <row r="1868" spans="1:18" x14ac:dyDescent="0.2">
      <c r="A1868">
        <v>2</v>
      </c>
      <c r="B1868" t="s">
        <v>38</v>
      </c>
      <c r="E1868" t="s">
        <v>51</v>
      </c>
      <c r="F1868">
        <v>517139</v>
      </c>
      <c r="G1868">
        <v>1</v>
      </c>
      <c r="H1868">
        <v>3</v>
      </c>
      <c r="I1868">
        <v>867</v>
      </c>
      <c r="J1868">
        <v>2015</v>
      </c>
      <c r="K1868" s="4">
        <v>45182</v>
      </c>
      <c r="L1868" t="s">
        <v>26</v>
      </c>
      <c r="M1868" t="s">
        <v>40</v>
      </c>
      <c r="N1868">
        <v>3.03</v>
      </c>
      <c r="O1868">
        <v>1629</v>
      </c>
      <c r="P1868">
        <v>4.91</v>
      </c>
      <c r="Q1868">
        <v>136</v>
      </c>
      <c r="R1868">
        <v>567</v>
      </c>
    </row>
    <row r="1869" spans="1:18" x14ac:dyDescent="0.2">
      <c r="A1869">
        <v>6</v>
      </c>
      <c r="B1869" t="s">
        <v>98</v>
      </c>
      <c r="E1869" t="s">
        <v>51</v>
      </c>
      <c r="F1869">
        <v>2875820</v>
      </c>
      <c r="G1869">
        <v>5</v>
      </c>
      <c r="H1869">
        <v>1</v>
      </c>
      <c r="I1869">
        <v>731</v>
      </c>
      <c r="J1869">
        <v>2014</v>
      </c>
      <c r="K1869" s="4">
        <v>44135</v>
      </c>
      <c r="L1869" t="s">
        <v>23</v>
      </c>
      <c r="M1869" t="s">
        <v>63</v>
      </c>
      <c r="N1869">
        <v>2.42</v>
      </c>
      <c r="O1869">
        <v>2094</v>
      </c>
      <c r="P1869">
        <v>1.41</v>
      </c>
      <c r="Q1869">
        <v>392</v>
      </c>
      <c r="R1869">
        <v>461</v>
      </c>
    </row>
    <row r="1870" spans="1:18" x14ac:dyDescent="0.2">
      <c r="A1870">
        <v>4</v>
      </c>
      <c r="B1870" t="s">
        <v>44</v>
      </c>
      <c r="E1870" t="s">
        <v>29</v>
      </c>
      <c r="F1870">
        <v>1567999</v>
      </c>
      <c r="G1870">
        <v>0</v>
      </c>
      <c r="H1870">
        <v>2</v>
      </c>
      <c r="I1870">
        <v>406</v>
      </c>
      <c r="J1870">
        <v>2016</v>
      </c>
      <c r="K1870" s="4">
        <v>45185</v>
      </c>
      <c r="L1870" t="s">
        <v>30</v>
      </c>
      <c r="M1870" t="s">
        <v>70</v>
      </c>
      <c r="N1870">
        <v>2.02</v>
      </c>
      <c r="O1870">
        <v>1148</v>
      </c>
      <c r="P1870">
        <v>2.35</v>
      </c>
      <c r="Q1870">
        <v>60</v>
      </c>
      <c r="R1870">
        <v>323</v>
      </c>
    </row>
    <row r="1871" spans="1:18" x14ac:dyDescent="0.2">
      <c r="A1871">
        <v>9</v>
      </c>
      <c r="B1871" t="s">
        <v>32</v>
      </c>
      <c r="E1871" t="s">
        <v>36</v>
      </c>
      <c r="F1871">
        <v>843113</v>
      </c>
      <c r="G1871">
        <v>4</v>
      </c>
      <c r="H1871">
        <v>3</v>
      </c>
      <c r="I1871">
        <v>311</v>
      </c>
      <c r="J1871">
        <v>2008</v>
      </c>
      <c r="K1871" s="4">
        <v>45672</v>
      </c>
      <c r="L1871" t="s">
        <v>20</v>
      </c>
      <c r="M1871" t="s">
        <v>40</v>
      </c>
      <c r="N1871">
        <v>1.58</v>
      </c>
      <c r="O1871">
        <v>1846</v>
      </c>
      <c r="P1871">
        <v>2.62</v>
      </c>
      <c r="Q1871">
        <v>332</v>
      </c>
      <c r="R1871">
        <v>357</v>
      </c>
    </row>
    <row r="1872" spans="1:18" x14ac:dyDescent="0.2">
      <c r="A1872">
        <v>7</v>
      </c>
      <c r="B1872" t="s">
        <v>93</v>
      </c>
      <c r="E1872" t="s">
        <v>36</v>
      </c>
      <c r="F1872">
        <v>1290813</v>
      </c>
      <c r="G1872">
        <v>3</v>
      </c>
      <c r="H1872">
        <v>2</v>
      </c>
      <c r="I1872">
        <v>507</v>
      </c>
      <c r="J1872">
        <v>1960</v>
      </c>
      <c r="K1872" s="4">
        <v>45034</v>
      </c>
      <c r="L1872" t="s">
        <v>30</v>
      </c>
      <c r="M1872" t="s">
        <v>33</v>
      </c>
      <c r="N1872">
        <v>3.28</v>
      </c>
      <c r="O1872">
        <v>2324</v>
      </c>
      <c r="P1872">
        <v>0.19</v>
      </c>
      <c r="Q1872">
        <v>101</v>
      </c>
      <c r="R1872">
        <v>599</v>
      </c>
    </row>
    <row r="1873" spans="1:18" x14ac:dyDescent="0.2">
      <c r="A1873">
        <v>7</v>
      </c>
      <c r="B1873" t="s">
        <v>61</v>
      </c>
      <c r="E1873" t="s">
        <v>36</v>
      </c>
      <c r="F1873">
        <v>1780564</v>
      </c>
      <c r="G1873">
        <v>6</v>
      </c>
      <c r="H1873">
        <v>3</v>
      </c>
      <c r="I1873">
        <v>73</v>
      </c>
      <c r="J1873">
        <v>1983</v>
      </c>
      <c r="K1873" s="4">
        <v>45826</v>
      </c>
      <c r="L1873" t="s">
        <v>30</v>
      </c>
      <c r="M1873" t="s">
        <v>37</v>
      </c>
      <c r="N1873">
        <v>3.08</v>
      </c>
      <c r="O1873">
        <v>1053</v>
      </c>
      <c r="P1873">
        <v>3.71</v>
      </c>
      <c r="Q1873">
        <v>329</v>
      </c>
      <c r="R1873">
        <v>388</v>
      </c>
    </row>
    <row r="1874" spans="1:18" x14ac:dyDescent="0.2">
      <c r="A1874">
        <v>1</v>
      </c>
      <c r="B1874" t="s">
        <v>57</v>
      </c>
      <c r="E1874" t="s">
        <v>51</v>
      </c>
      <c r="F1874">
        <v>2519590</v>
      </c>
      <c r="G1874">
        <v>3</v>
      </c>
      <c r="H1874">
        <v>2</v>
      </c>
      <c r="I1874">
        <v>563</v>
      </c>
      <c r="J1874">
        <v>1970</v>
      </c>
      <c r="K1874" s="4">
        <v>44308</v>
      </c>
      <c r="L1874" t="s">
        <v>23</v>
      </c>
      <c r="M1874" t="s">
        <v>21</v>
      </c>
      <c r="N1874">
        <v>2.08</v>
      </c>
      <c r="O1874">
        <v>2123</v>
      </c>
      <c r="P1874">
        <v>0.64</v>
      </c>
      <c r="Q1874">
        <v>207</v>
      </c>
      <c r="R1874">
        <v>481</v>
      </c>
    </row>
    <row r="1875" spans="1:18" x14ac:dyDescent="0.2">
      <c r="A1875">
        <v>4</v>
      </c>
      <c r="B1875" t="s">
        <v>34</v>
      </c>
      <c r="E1875" t="s">
        <v>29</v>
      </c>
      <c r="F1875">
        <v>2083578</v>
      </c>
      <c r="G1875">
        <v>3</v>
      </c>
      <c r="H1875">
        <v>2</v>
      </c>
      <c r="I1875">
        <v>858</v>
      </c>
      <c r="J1875">
        <v>2005</v>
      </c>
      <c r="K1875" s="4">
        <v>44810</v>
      </c>
      <c r="L1875" t="s">
        <v>20</v>
      </c>
      <c r="M1875" t="s">
        <v>63</v>
      </c>
      <c r="N1875">
        <v>1.53</v>
      </c>
      <c r="O1875">
        <v>830</v>
      </c>
      <c r="P1875">
        <v>1.71</v>
      </c>
      <c r="Q1875">
        <v>199</v>
      </c>
      <c r="R1875">
        <v>537</v>
      </c>
    </row>
    <row r="1876" spans="1:18" x14ac:dyDescent="0.2">
      <c r="A1876">
        <v>9</v>
      </c>
      <c r="B1876" t="s">
        <v>41</v>
      </c>
      <c r="E1876" t="s">
        <v>36</v>
      </c>
      <c r="F1876">
        <v>1083302</v>
      </c>
      <c r="G1876">
        <v>5</v>
      </c>
      <c r="H1876">
        <v>1</v>
      </c>
      <c r="I1876">
        <v>462</v>
      </c>
      <c r="J1876">
        <v>2003</v>
      </c>
      <c r="K1876" s="4">
        <v>45548</v>
      </c>
      <c r="L1876" t="s">
        <v>26</v>
      </c>
      <c r="M1876" t="s">
        <v>33</v>
      </c>
      <c r="N1876">
        <v>2.4500000000000002</v>
      </c>
      <c r="O1876">
        <v>2251</v>
      </c>
      <c r="P1876">
        <v>1.06</v>
      </c>
      <c r="Q1876">
        <v>249</v>
      </c>
      <c r="R1876">
        <v>358</v>
      </c>
    </row>
    <row r="1877" spans="1:18" x14ac:dyDescent="0.2">
      <c r="A1877">
        <v>3</v>
      </c>
      <c r="B1877" t="s">
        <v>64</v>
      </c>
      <c r="E1877" t="s">
        <v>36</v>
      </c>
      <c r="F1877">
        <v>1297191</v>
      </c>
      <c r="G1877">
        <v>3</v>
      </c>
      <c r="H1877">
        <v>2</v>
      </c>
      <c r="I1877">
        <v>536</v>
      </c>
      <c r="J1877">
        <v>1984</v>
      </c>
      <c r="K1877" s="4">
        <v>45731</v>
      </c>
      <c r="L1877" t="s">
        <v>26</v>
      </c>
      <c r="M1877" t="s">
        <v>70</v>
      </c>
      <c r="N1877">
        <v>2.58</v>
      </c>
      <c r="O1877">
        <v>1930</v>
      </c>
      <c r="P1877">
        <v>3.35</v>
      </c>
      <c r="Q1877">
        <v>292</v>
      </c>
      <c r="R1877">
        <v>631</v>
      </c>
    </row>
    <row r="1878" spans="1:18" x14ac:dyDescent="0.2">
      <c r="A1878">
        <v>4</v>
      </c>
      <c r="B1878" t="s">
        <v>86</v>
      </c>
      <c r="E1878" t="s">
        <v>29</v>
      </c>
      <c r="F1878">
        <v>488252</v>
      </c>
      <c r="G1878">
        <v>4</v>
      </c>
      <c r="H1878">
        <v>2</v>
      </c>
      <c r="I1878">
        <v>819</v>
      </c>
      <c r="J1878">
        <v>1997</v>
      </c>
      <c r="K1878" s="4">
        <v>44804</v>
      </c>
      <c r="L1878" t="s">
        <v>26</v>
      </c>
      <c r="M1878" t="s">
        <v>54</v>
      </c>
      <c r="N1878">
        <v>3.25</v>
      </c>
      <c r="O1878">
        <v>2478</v>
      </c>
      <c r="P1878">
        <v>2.73</v>
      </c>
      <c r="Q1878">
        <v>355</v>
      </c>
      <c r="R1878">
        <v>651</v>
      </c>
    </row>
    <row r="1879" spans="1:18" x14ac:dyDescent="0.2">
      <c r="A1879">
        <v>2</v>
      </c>
      <c r="B1879" t="s">
        <v>43</v>
      </c>
      <c r="E1879" t="s">
        <v>51</v>
      </c>
      <c r="F1879">
        <v>1810530</v>
      </c>
      <c r="G1879">
        <v>2</v>
      </c>
      <c r="H1879">
        <v>3</v>
      </c>
      <c r="I1879">
        <v>344</v>
      </c>
      <c r="J1879">
        <v>1960</v>
      </c>
      <c r="K1879" s="4">
        <v>45475</v>
      </c>
      <c r="L1879" t="s">
        <v>23</v>
      </c>
      <c r="M1879" t="s">
        <v>78</v>
      </c>
      <c r="N1879">
        <v>1.87</v>
      </c>
      <c r="O1879">
        <v>2226</v>
      </c>
      <c r="P1879">
        <v>2.95</v>
      </c>
      <c r="Q1879">
        <v>112</v>
      </c>
      <c r="R1879">
        <v>542</v>
      </c>
    </row>
    <row r="1880" spans="1:18" x14ac:dyDescent="0.2">
      <c r="A1880">
        <v>3</v>
      </c>
      <c r="B1880" t="s">
        <v>28</v>
      </c>
      <c r="E1880" t="s">
        <v>29</v>
      </c>
      <c r="F1880">
        <v>1487583</v>
      </c>
      <c r="G1880">
        <v>5</v>
      </c>
      <c r="H1880">
        <v>3</v>
      </c>
      <c r="I1880">
        <v>803</v>
      </c>
      <c r="J1880">
        <v>2005</v>
      </c>
      <c r="K1880" s="4">
        <v>44599</v>
      </c>
      <c r="L1880" t="s">
        <v>30</v>
      </c>
      <c r="M1880" t="s">
        <v>89</v>
      </c>
      <c r="N1880">
        <v>1.86</v>
      </c>
      <c r="O1880">
        <v>1349</v>
      </c>
      <c r="P1880">
        <v>1.08</v>
      </c>
      <c r="Q1880">
        <v>304</v>
      </c>
      <c r="R1880">
        <v>516</v>
      </c>
    </row>
    <row r="1881" spans="1:18" x14ac:dyDescent="0.2">
      <c r="A1881">
        <v>3</v>
      </c>
      <c r="B1881" t="s">
        <v>38</v>
      </c>
      <c r="E1881" t="s">
        <v>36</v>
      </c>
      <c r="F1881">
        <v>1140654</v>
      </c>
      <c r="G1881">
        <v>3</v>
      </c>
      <c r="H1881">
        <v>3</v>
      </c>
      <c r="I1881">
        <v>74</v>
      </c>
      <c r="J1881">
        <v>2015</v>
      </c>
      <c r="K1881" s="4">
        <v>44252</v>
      </c>
      <c r="L1881" t="s">
        <v>30</v>
      </c>
      <c r="M1881" t="s">
        <v>24</v>
      </c>
      <c r="N1881">
        <v>2.31</v>
      </c>
      <c r="O1881">
        <v>1676</v>
      </c>
      <c r="P1881">
        <v>0.28999999999999998</v>
      </c>
      <c r="Q1881">
        <v>226</v>
      </c>
      <c r="R1881">
        <v>347</v>
      </c>
    </row>
    <row r="1882" spans="1:18" x14ac:dyDescent="0.2">
      <c r="A1882">
        <v>4</v>
      </c>
      <c r="B1882" t="s">
        <v>62</v>
      </c>
      <c r="E1882" t="s">
        <v>29</v>
      </c>
      <c r="F1882">
        <v>455151</v>
      </c>
      <c r="G1882">
        <v>3</v>
      </c>
      <c r="H1882">
        <v>3</v>
      </c>
      <c r="I1882">
        <v>853</v>
      </c>
      <c r="J1882">
        <v>2013</v>
      </c>
      <c r="K1882" s="4">
        <v>45650</v>
      </c>
      <c r="L1882" t="s">
        <v>20</v>
      </c>
      <c r="M1882" t="s">
        <v>63</v>
      </c>
      <c r="N1882">
        <v>3.33</v>
      </c>
      <c r="O1882">
        <v>1860</v>
      </c>
      <c r="P1882">
        <v>2.4300000000000002</v>
      </c>
      <c r="Q1882">
        <v>231</v>
      </c>
      <c r="R1882">
        <v>505</v>
      </c>
    </row>
    <row r="1883" spans="1:18" x14ac:dyDescent="0.2">
      <c r="A1883">
        <v>3</v>
      </c>
      <c r="B1883" t="s">
        <v>99</v>
      </c>
      <c r="E1883" t="s">
        <v>36</v>
      </c>
      <c r="F1883">
        <v>2257095</v>
      </c>
      <c r="G1883">
        <v>1</v>
      </c>
      <c r="H1883">
        <v>2</v>
      </c>
      <c r="I1883">
        <v>182</v>
      </c>
      <c r="J1883">
        <v>1975</v>
      </c>
      <c r="K1883" s="4">
        <v>45438</v>
      </c>
      <c r="L1883" t="s">
        <v>20</v>
      </c>
      <c r="M1883" t="s">
        <v>76</v>
      </c>
      <c r="N1883">
        <v>3.38</v>
      </c>
      <c r="O1883">
        <v>871</v>
      </c>
      <c r="P1883">
        <v>2.65</v>
      </c>
      <c r="Q1883">
        <v>78</v>
      </c>
      <c r="R1883">
        <v>312</v>
      </c>
    </row>
    <row r="1884" spans="1:18" x14ac:dyDescent="0.2">
      <c r="A1884">
        <v>9</v>
      </c>
      <c r="B1884" t="s">
        <v>80</v>
      </c>
      <c r="E1884" t="s">
        <v>36</v>
      </c>
      <c r="F1884">
        <v>1108773</v>
      </c>
      <c r="G1884">
        <v>2</v>
      </c>
      <c r="H1884">
        <v>1</v>
      </c>
      <c r="I1884">
        <v>53</v>
      </c>
      <c r="J1884">
        <v>1973</v>
      </c>
      <c r="K1884" s="4">
        <v>44970</v>
      </c>
      <c r="L1884" t="s">
        <v>30</v>
      </c>
      <c r="M1884" t="s">
        <v>40</v>
      </c>
      <c r="N1884">
        <v>3.05</v>
      </c>
      <c r="O1884">
        <v>2493</v>
      </c>
      <c r="P1884">
        <v>0.32</v>
      </c>
      <c r="Q1884">
        <v>231</v>
      </c>
      <c r="R1884">
        <v>308</v>
      </c>
    </row>
    <row r="1885" spans="1:18" x14ac:dyDescent="0.2">
      <c r="A1885">
        <v>9</v>
      </c>
      <c r="B1885" t="s">
        <v>32</v>
      </c>
      <c r="E1885" t="s">
        <v>29</v>
      </c>
      <c r="F1885">
        <v>1514069</v>
      </c>
      <c r="G1885">
        <v>2</v>
      </c>
      <c r="H1885">
        <v>3</v>
      </c>
      <c r="I1885">
        <v>348</v>
      </c>
      <c r="J1885">
        <v>2013</v>
      </c>
      <c r="K1885" s="4">
        <v>44230</v>
      </c>
      <c r="L1885" t="s">
        <v>23</v>
      </c>
      <c r="M1885" t="s">
        <v>40</v>
      </c>
      <c r="N1885">
        <v>2.06</v>
      </c>
      <c r="O1885">
        <v>987</v>
      </c>
      <c r="P1885">
        <v>2.2400000000000002</v>
      </c>
      <c r="Q1885">
        <v>200</v>
      </c>
      <c r="R1885">
        <v>364</v>
      </c>
    </row>
    <row r="1886" spans="1:18" x14ac:dyDescent="0.2">
      <c r="A1886">
        <v>3</v>
      </c>
      <c r="B1886" t="s">
        <v>96</v>
      </c>
      <c r="E1886" t="s">
        <v>36</v>
      </c>
      <c r="F1886">
        <v>724292</v>
      </c>
      <c r="G1886">
        <v>5</v>
      </c>
      <c r="H1886">
        <v>2</v>
      </c>
      <c r="I1886">
        <v>888</v>
      </c>
      <c r="J1886">
        <v>1989</v>
      </c>
      <c r="K1886" s="4">
        <v>44958</v>
      </c>
      <c r="L1886" t="s">
        <v>30</v>
      </c>
      <c r="M1886" t="s">
        <v>27</v>
      </c>
      <c r="N1886">
        <v>2.2200000000000002</v>
      </c>
      <c r="O1886">
        <v>2440</v>
      </c>
      <c r="P1886">
        <v>1.86</v>
      </c>
      <c r="Q1886">
        <v>271</v>
      </c>
      <c r="R1886">
        <v>378</v>
      </c>
    </row>
    <row r="1887" spans="1:18" x14ac:dyDescent="0.2">
      <c r="A1887">
        <v>4</v>
      </c>
      <c r="B1887" t="s">
        <v>105</v>
      </c>
      <c r="E1887" t="s">
        <v>29</v>
      </c>
      <c r="F1887">
        <v>723158</v>
      </c>
      <c r="G1887">
        <v>-2</v>
      </c>
      <c r="H1887">
        <v>3</v>
      </c>
      <c r="I1887">
        <v>890</v>
      </c>
      <c r="J1887">
        <v>1991</v>
      </c>
      <c r="K1887" s="4">
        <v>44274</v>
      </c>
      <c r="L1887" t="s">
        <v>26</v>
      </c>
      <c r="M1887" t="s">
        <v>76</v>
      </c>
      <c r="N1887">
        <v>2.77</v>
      </c>
      <c r="O1887">
        <v>1740</v>
      </c>
      <c r="P1887">
        <v>3.5</v>
      </c>
      <c r="Q1887">
        <v>285</v>
      </c>
      <c r="R1887">
        <v>623</v>
      </c>
    </row>
    <row r="1888" spans="1:18" x14ac:dyDescent="0.2">
      <c r="A1888">
        <v>4</v>
      </c>
      <c r="B1888" t="s">
        <v>43</v>
      </c>
      <c r="E1888" t="s">
        <v>19</v>
      </c>
      <c r="F1888">
        <v>1010913</v>
      </c>
      <c r="G1888">
        <v>4</v>
      </c>
      <c r="H1888">
        <v>1</v>
      </c>
      <c r="I1888">
        <v>239</v>
      </c>
      <c r="J1888">
        <v>1961</v>
      </c>
      <c r="K1888" s="4">
        <v>44137</v>
      </c>
      <c r="L1888" t="s">
        <v>23</v>
      </c>
      <c r="M1888" t="s">
        <v>47</v>
      </c>
      <c r="N1888">
        <v>2.9</v>
      </c>
      <c r="O1888">
        <v>2165</v>
      </c>
      <c r="P1888">
        <v>1.78</v>
      </c>
      <c r="Q1888">
        <v>179</v>
      </c>
      <c r="R1888">
        <v>574</v>
      </c>
    </row>
    <row r="1889" spans="1:18" x14ac:dyDescent="0.2">
      <c r="A1889">
        <v>8</v>
      </c>
      <c r="B1889" t="s">
        <v>104</v>
      </c>
      <c r="E1889" t="s">
        <v>29</v>
      </c>
      <c r="F1889">
        <v>2204819</v>
      </c>
      <c r="G1889">
        <v>5</v>
      </c>
      <c r="H1889">
        <v>2</v>
      </c>
      <c r="I1889">
        <v>598</v>
      </c>
      <c r="J1889">
        <v>1988</v>
      </c>
      <c r="K1889" s="4">
        <v>44670</v>
      </c>
      <c r="L1889" t="s">
        <v>26</v>
      </c>
      <c r="M1889" t="s">
        <v>85</v>
      </c>
      <c r="N1889">
        <v>3.43</v>
      </c>
      <c r="O1889">
        <v>2303</v>
      </c>
      <c r="P1889">
        <v>2.4900000000000002</v>
      </c>
      <c r="Q1889">
        <v>391</v>
      </c>
      <c r="R1889">
        <v>620</v>
      </c>
    </row>
    <row r="1890" spans="1:18" x14ac:dyDescent="0.2">
      <c r="A1890">
        <v>7</v>
      </c>
      <c r="B1890" t="s">
        <v>39</v>
      </c>
      <c r="E1890" t="s">
        <v>29</v>
      </c>
      <c r="F1890">
        <v>633360</v>
      </c>
      <c r="G1890">
        <v>2</v>
      </c>
      <c r="H1890">
        <v>1</v>
      </c>
      <c r="I1890">
        <v>362</v>
      </c>
      <c r="J1890">
        <v>1960</v>
      </c>
      <c r="K1890" s="4">
        <v>45168</v>
      </c>
      <c r="L1890" t="s">
        <v>26</v>
      </c>
      <c r="M1890" t="s">
        <v>70</v>
      </c>
      <c r="N1890">
        <v>1.84</v>
      </c>
      <c r="O1890">
        <v>1468</v>
      </c>
      <c r="P1890">
        <v>3.68</v>
      </c>
      <c r="Q1890">
        <v>190</v>
      </c>
      <c r="R1890">
        <v>423</v>
      </c>
    </row>
    <row r="1891" spans="1:18" x14ac:dyDescent="0.2">
      <c r="A1891">
        <v>8</v>
      </c>
      <c r="B1891" t="s">
        <v>48</v>
      </c>
      <c r="E1891" t="s">
        <v>51</v>
      </c>
      <c r="F1891">
        <v>1006014</v>
      </c>
      <c r="G1891">
        <v>2</v>
      </c>
      <c r="H1891">
        <v>1</v>
      </c>
      <c r="I1891">
        <v>635</v>
      </c>
      <c r="J1891">
        <v>1964</v>
      </c>
      <c r="K1891" s="4">
        <v>44663</v>
      </c>
      <c r="L1891" t="s">
        <v>23</v>
      </c>
      <c r="M1891" t="s">
        <v>56</v>
      </c>
      <c r="N1891">
        <v>1.84</v>
      </c>
      <c r="O1891">
        <v>1125</v>
      </c>
      <c r="P1891">
        <v>1.7</v>
      </c>
      <c r="Q1891">
        <v>49</v>
      </c>
      <c r="R1891">
        <v>503</v>
      </c>
    </row>
    <row r="1892" spans="1:18" x14ac:dyDescent="0.2">
      <c r="A1892">
        <v>1</v>
      </c>
      <c r="B1892" t="s">
        <v>25</v>
      </c>
      <c r="E1892" t="s">
        <v>29</v>
      </c>
      <c r="F1892">
        <v>2590358</v>
      </c>
      <c r="G1892">
        <v>3</v>
      </c>
      <c r="H1892">
        <v>3</v>
      </c>
      <c r="I1892">
        <v>986</v>
      </c>
      <c r="J1892">
        <v>1958</v>
      </c>
      <c r="K1892" s="4">
        <v>44807</v>
      </c>
      <c r="L1892" t="s">
        <v>23</v>
      </c>
      <c r="M1892" t="s">
        <v>76</v>
      </c>
      <c r="N1892">
        <v>3.37</v>
      </c>
      <c r="O1892">
        <v>1794</v>
      </c>
      <c r="P1892">
        <v>1.53</v>
      </c>
      <c r="Q1892">
        <v>178</v>
      </c>
      <c r="R1892">
        <v>449</v>
      </c>
    </row>
    <row r="1893" spans="1:18" x14ac:dyDescent="0.2">
      <c r="A1893">
        <v>8</v>
      </c>
      <c r="B1893" t="s">
        <v>44</v>
      </c>
      <c r="E1893" t="s">
        <v>19</v>
      </c>
      <c r="F1893">
        <v>1871325</v>
      </c>
      <c r="G1893">
        <v>3</v>
      </c>
      <c r="H1893">
        <v>3</v>
      </c>
      <c r="I1893">
        <v>593</v>
      </c>
      <c r="J1893">
        <v>1971</v>
      </c>
      <c r="K1893" s="4">
        <v>45031</v>
      </c>
      <c r="L1893" t="s">
        <v>23</v>
      </c>
      <c r="M1893" t="s">
        <v>69</v>
      </c>
      <c r="N1893">
        <v>1.62</v>
      </c>
      <c r="O1893">
        <v>1909</v>
      </c>
      <c r="P1893">
        <v>2.11</v>
      </c>
      <c r="Q1893">
        <v>130</v>
      </c>
      <c r="R1893">
        <v>614</v>
      </c>
    </row>
    <row r="1894" spans="1:18" x14ac:dyDescent="0.2">
      <c r="A1894">
        <v>9</v>
      </c>
      <c r="B1894" t="s">
        <v>48</v>
      </c>
      <c r="E1894" t="s">
        <v>36</v>
      </c>
      <c r="F1894">
        <v>1961630</v>
      </c>
      <c r="G1894">
        <v>3</v>
      </c>
      <c r="H1894">
        <v>1</v>
      </c>
      <c r="I1894">
        <v>331</v>
      </c>
      <c r="J1894">
        <v>1971</v>
      </c>
      <c r="K1894" s="4">
        <v>45516</v>
      </c>
      <c r="L1894" t="s">
        <v>26</v>
      </c>
      <c r="M1894" t="s">
        <v>58</v>
      </c>
      <c r="N1894">
        <v>3.28</v>
      </c>
      <c r="O1894">
        <v>1977</v>
      </c>
      <c r="P1894">
        <v>2.69</v>
      </c>
      <c r="Q1894">
        <v>183</v>
      </c>
      <c r="R1894">
        <v>622</v>
      </c>
    </row>
    <row r="1895" spans="1:18" x14ac:dyDescent="0.2">
      <c r="A1895">
        <v>9</v>
      </c>
      <c r="B1895" t="s">
        <v>106</v>
      </c>
      <c r="E1895" t="s">
        <v>36</v>
      </c>
      <c r="F1895">
        <v>1635361</v>
      </c>
      <c r="G1895">
        <v>2</v>
      </c>
      <c r="H1895">
        <v>1</v>
      </c>
      <c r="I1895">
        <v>120</v>
      </c>
      <c r="J1895">
        <v>2008</v>
      </c>
      <c r="K1895" s="4">
        <v>44647</v>
      </c>
      <c r="L1895" t="s">
        <v>23</v>
      </c>
      <c r="M1895" t="s">
        <v>21</v>
      </c>
      <c r="N1895">
        <v>2.11</v>
      </c>
      <c r="O1895">
        <v>910</v>
      </c>
      <c r="P1895">
        <v>1.28</v>
      </c>
      <c r="Q1895">
        <v>148</v>
      </c>
      <c r="R1895">
        <v>346</v>
      </c>
    </row>
    <row r="1896" spans="1:18" x14ac:dyDescent="0.2">
      <c r="A1896">
        <v>2</v>
      </c>
      <c r="B1896" t="s">
        <v>83</v>
      </c>
      <c r="E1896" t="s">
        <v>36</v>
      </c>
      <c r="F1896">
        <v>2631357</v>
      </c>
      <c r="G1896">
        <v>3</v>
      </c>
      <c r="H1896">
        <v>3</v>
      </c>
      <c r="I1896">
        <v>589</v>
      </c>
      <c r="J1896">
        <v>1972</v>
      </c>
      <c r="K1896" s="4">
        <v>45334</v>
      </c>
      <c r="L1896" t="s">
        <v>26</v>
      </c>
      <c r="M1896" t="s">
        <v>33</v>
      </c>
      <c r="N1896">
        <v>1.55</v>
      </c>
      <c r="O1896">
        <v>2231</v>
      </c>
      <c r="P1896">
        <v>2.41</v>
      </c>
      <c r="Q1896">
        <v>98</v>
      </c>
      <c r="R1896">
        <v>577</v>
      </c>
    </row>
    <row r="1897" spans="1:18" x14ac:dyDescent="0.2">
      <c r="A1897">
        <v>0</v>
      </c>
      <c r="B1897" t="s">
        <v>86</v>
      </c>
      <c r="E1897" t="s">
        <v>19</v>
      </c>
      <c r="F1897">
        <v>1727009</v>
      </c>
      <c r="G1897">
        <v>4</v>
      </c>
      <c r="H1897">
        <v>3</v>
      </c>
      <c r="I1897">
        <v>809</v>
      </c>
      <c r="J1897">
        <v>1989</v>
      </c>
      <c r="K1897" s="4">
        <v>44264</v>
      </c>
      <c r="L1897" t="s">
        <v>20</v>
      </c>
      <c r="M1897" t="s">
        <v>82</v>
      </c>
      <c r="N1897">
        <v>1.9</v>
      </c>
      <c r="O1897">
        <v>1769</v>
      </c>
      <c r="P1897">
        <v>1.27</v>
      </c>
      <c r="Q1897">
        <v>162</v>
      </c>
      <c r="R1897">
        <v>441</v>
      </c>
    </row>
    <row r="1898" spans="1:18" x14ac:dyDescent="0.2">
      <c r="A1898">
        <v>8</v>
      </c>
      <c r="B1898" t="s">
        <v>104</v>
      </c>
      <c r="E1898" t="s">
        <v>29</v>
      </c>
      <c r="F1898">
        <v>1790483</v>
      </c>
      <c r="G1898">
        <v>4</v>
      </c>
      <c r="H1898">
        <v>2</v>
      </c>
      <c r="I1898">
        <v>682</v>
      </c>
      <c r="J1898">
        <v>2007</v>
      </c>
      <c r="K1898" s="4">
        <v>44789</v>
      </c>
      <c r="L1898" t="s">
        <v>26</v>
      </c>
      <c r="M1898" t="s">
        <v>60</v>
      </c>
      <c r="N1898">
        <v>2.54</v>
      </c>
      <c r="O1898">
        <v>2285</v>
      </c>
      <c r="P1898">
        <v>2.71</v>
      </c>
      <c r="Q1898">
        <v>280</v>
      </c>
      <c r="R1898">
        <v>358</v>
      </c>
    </row>
    <row r="1899" spans="1:18" x14ac:dyDescent="0.2">
      <c r="A1899">
        <v>7</v>
      </c>
      <c r="B1899" t="s">
        <v>39</v>
      </c>
      <c r="E1899" t="s">
        <v>29</v>
      </c>
      <c r="F1899">
        <v>1669957</v>
      </c>
      <c r="G1899">
        <v>4</v>
      </c>
      <c r="H1899">
        <v>1</v>
      </c>
      <c r="I1899">
        <v>337</v>
      </c>
      <c r="J1899">
        <v>2018</v>
      </c>
      <c r="K1899" s="4">
        <v>44906</v>
      </c>
      <c r="L1899" t="s">
        <v>20</v>
      </c>
      <c r="M1899" t="s">
        <v>76</v>
      </c>
      <c r="N1899">
        <v>3.39</v>
      </c>
      <c r="O1899">
        <v>1844</v>
      </c>
      <c r="P1899">
        <v>4</v>
      </c>
      <c r="Q1899">
        <v>316</v>
      </c>
      <c r="R1899">
        <v>549</v>
      </c>
    </row>
    <row r="1900" spans="1:18" x14ac:dyDescent="0.2">
      <c r="A1900">
        <v>0</v>
      </c>
      <c r="B1900" t="s">
        <v>53</v>
      </c>
      <c r="E1900" t="s">
        <v>36</v>
      </c>
      <c r="F1900">
        <v>1644263</v>
      </c>
      <c r="G1900">
        <v>6</v>
      </c>
      <c r="H1900">
        <v>3</v>
      </c>
      <c r="I1900">
        <v>303</v>
      </c>
      <c r="J1900">
        <v>2019</v>
      </c>
      <c r="K1900" s="4">
        <v>45821</v>
      </c>
      <c r="L1900" t="s">
        <v>26</v>
      </c>
      <c r="M1900" t="s">
        <v>27</v>
      </c>
      <c r="N1900">
        <v>1.71</v>
      </c>
      <c r="O1900">
        <v>946</v>
      </c>
      <c r="P1900">
        <v>1.1100000000000001</v>
      </c>
      <c r="Q1900">
        <v>390</v>
      </c>
      <c r="R1900">
        <v>682</v>
      </c>
    </row>
    <row r="1901" spans="1:18" x14ac:dyDescent="0.2">
      <c r="A1901">
        <v>8</v>
      </c>
      <c r="B1901" t="s">
        <v>41</v>
      </c>
      <c r="E1901" t="s">
        <v>51</v>
      </c>
      <c r="F1901">
        <v>2036735</v>
      </c>
      <c r="G1901">
        <v>5</v>
      </c>
      <c r="H1901">
        <v>1</v>
      </c>
      <c r="I1901">
        <v>744</v>
      </c>
      <c r="J1901">
        <v>2021</v>
      </c>
      <c r="K1901" s="4">
        <v>44246</v>
      </c>
      <c r="L1901" t="s">
        <v>23</v>
      </c>
      <c r="M1901" t="s">
        <v>59</v>
      </c>
      <c r="N1901">
        <v>1.83</v>
      </c>
      <c r="O1901">
        <v>1719</v>
      </c>
      <c r="P1901">
        <v>3.83</v>
      </c>
      <c r="Q1901">
        <v>303</v>
      </c>
      <c r="R1901">
        <v>599</v>
      </c>
    </row>
    <row r="1902" spans="1:18" x14ac:dyDescent="0.2">
      <c r="A1902">
        <v>9</v>
      </c>
      <c r="B1902" t="s">
        <v>83</v>
      </c>
      <c r="E1902" t="s">
        <v>36</v>
      </c>
      <c r="F1902">
        <v>2967026</v>
      </c>
      <c r="G1902">
        <v>5</v>
      </c>
      <c r="H1902">
        <v>1</v>
      </c>
      <c r="I1902">
        <v>631</v>
      </c>
      <c r="J1902">
        <v>1973</v>
      </c>
      <c r="K1902" s="4">
        <v>45719</v>
      </c>
      <c r="L1902" t="s">
        <v>26</v>
      </c>
      <c r="M1902" t="s">
        <v>69</v>
      </c>
      <c r="N1902">
        <v>1.52</v>
      </c>
      <c r="O1902">
        <v>1100</v>
      </c>
      <c r="P1902">
        <v>0.23</v>
      </c>
      <c r="Q1902">
        <v>313</v>
      </c>
      <c r="R1902">
        <v>655</v>
      </c>
    </row>
    <row r="1903" spans="1:18" x14ac:dyDescent="0.2">
      <c r="A1903">
        <v>0</v>
      </c>
      <c r="B1903" t="s">
        <v>93</v>
      </c>
      <c r="E1903" t="s">
        <v>51</v>
      </c>
      <c r="F1903">
        <v>1202981</v>
      </c>
      <c r="G1903">
        <v>1</v>
      </c>
      <c r="H1903">
        <v>2</v>
      </c>
      <c r="I1903">
        <v>536</v>
      </c>
      <c r="J1903">
        <v>1977</v>
      </c>
      <c r="K1903" s="4">
        <v>45824</v>
      </c>
      <c r="L1903" t="s">
        <v>26</v>
      </c>
      <c r="M1903" t="s">
        <v>66</v>
      </c>
      <c r="N1903">
        <v>3.33</v>
      </c>
      <c r="O1903">
        <v>2441</v>
      </c>
      <c r="P1903">
        <v>3.89</v>
      </c>
      <c r="Q1903">
        <v>130</v>
      </c>
      <c r="R1903">
        <v>638</v>
      </c>
    </row>
    <row r="1904" spans="1:18" x14ac:dyDescent="0.2">
      <c r="A1904">
        <v>8</v>
      </c>
      <c r="B1904" t="s">
        <v>102</v>
      </c>
      <c r="E1904" t="s">
        <v>19</v>
      </c>
      <c r="F1904">
        <v>676095</v>
      </c>
      <c r="G1904">
        <v>2</v>
      </c>
      <c r="H1904">
        <v>1</v>
      </c>
      <c r="I1904">
        <v>514</v>
      </c>
      <c r="J1904">
        <v>1952</v>
      </c>
      <c r="K1904" s="4">
        <v>45888</v>
      </c>
      <c r="L1904" t="s">
        <v>30</v>
      </c>
      <c r="M1904" t="s">
        <v>68</v>
      </c>
      <c r="N1904">
        <v>2.58</v>
      </c>
      <c r="O1904">
        <v>1055</v>
      </c>
      <c r="P1904">
        <v>1.02</v>
      </c>
      <c r="Q1904">
        <v>196</v>
      </c>
      <c r="R1904">
        <v>456</v>
      </c>
    </row>
    <row r="1905" spans="1:18" x14ac:dyDescent="0.2">
      <c r="A1905">
        <v>7</v>
      </c>
      <c r="B1905" t="s">
        <v>32</v>
      </c>
      <c r="E1905" t="s">
        <v>19</v>
      </c>
      <c r="F1905">
        <v>1979991</v>
      </c>
      <c r="G1905">
        <v>4</v>
      </c>
      <c r="H1905">
        <v>1</v>
      </c>
      <c r="I1905">
        <v>360</v>
      </c>
      <c r="J1905">
        <v>2013</v>
      </c>
      <c r="K1905" s="4">
        <v>45097</v>
      </c>
      <c r="L1905" t="s">
        <v>20</v>
      </c>
      <c r="M1905" t="s">
        <v>56</v>
      </c>
      <c r="N1905">
        <v>1.65</v>
      </c>
      <c r="O1905">
        <v>931</v>
      </c>
      <c r="P1905">
        <v>0.57999999999999996</v>
      </c>
      <c r="Q1905">
        <v>238</v>
      </c>
      <c r="R1905">
        <v>502</v>
      </c>
    </row>
    <row r="1906" spans="1:18" x14ac:dyDescent="0.2">
      <c r="A1906">
        <v>5</v>
      </c>
      <c r="B1906" t="s">
        <v>39</v>
      </c>
      <c r="E1906" t="s">
        <v>36</v>
      </c>
      <c r="F1906">
        <v>716841</v>
      </c>
      <c r="G1906">
        <v>5</v>
      </c>
      <c r="H1906">
        <v>2</v>
      </c>
      <c r="I1906">
        <v>538</v>
      </c>
      <c r="J1906">
        <v>2009</v>
      </c>
      <c r="K1906" s="4">
        <v>45459</v>
      </c>
      <c r="L1906" t="s">
        <v>30</v>
      </c>
      <c r="M1906" t="s">
        <v>77</v>
      </c>
      <c r="N1906">
        <v>1.6</v>
      </c>
      <c r="O1906">
        <v>1225</v>
      </c>
      <c r="P1906">
        <v>1.68</v>
      </c>
      <c r="Q1906">
        <v>336</v>
      </c>
      <c r="R1906">
        <v>357</v>
      </c>
    </row>
    <row r="1907" spans="1:18" x14ac:dyDescent="0.2">
      <c r="A1907">
        <v>4</v>
      </c>
      <c r="B1907" t="s">
        <v>41</v>
      </c>
      <c r="E1907" t="s">
        <v>51</v>
      </c>
      <c r="F1907">
        <v>1583224</v>
      </c>
      <c r="G1907">
        <v>1</v>
      </c>
      <c r="H1907">
        <v>3</v>
      </c>
      <c r="I1907">
        <v>298</v>
      </c>
      <c r="J1907">
        <v>1964</v>
      </c>
      <c r="K1907" s="4">
        <v>45353</v>
      </c>
      <c r="L1907" t="s">
        <v>23</v>
      </c>
      <c r="M1907" t="s">
        <v>35</v>
      </c>
      <c r="N1907">
        <v>2.0499999999999998</v>
      </c>
      <c r="O1907">
        <v>1138</v>
      </c>
      <c r="P1907">
        <v>3.35</v>
      </c>
      <c r="Q1907">
        <v>140</v>
      </c>
      <c r="R1907">
        <v>611</v>
      </c>
    </row>
    <row r="1908" spans="1:18" x14ac:dyDescent="0.2">
      <c r="A1908">
        <v>8</v>
      </c>
      <c r="B1908" t="s">
        <v>98</v>
      </c>
      <c r="E1908" t="s">
        <v>29</v>
      </c>
      <c r="F1908">
        <v>2067542</v>
      </c>
      <c r="G1908">
        <v>3</v>
      </c>
      <c r="H1908">
        <v>1</v>
      </c>
      <c r="I1908">
        <v>720</v>
      </c>
      <c r="J1908">
        <v>1969</v>
      </c>
      <c r="K1908" s="4">
        <v>45143</v>
      </c>
      <c r="L1908" t="s">
        <v>20</v>
      </c>
      <c r="M1908" t="s">
        <v>27</v>
      </c>
      <c r="N1908">
        <v>2.54</v>
      </c>
      <c r="O1908">
        <v>1395</v>
      </c>
      <c r="P1908">
        <v>2.17</v>
      </c>
      <c r="Q1908">
        <v>99</v>
      </c>
      <c r="R1908">
        <v>601</v>
      </c>
    </row>
    <row r="1909" spans="1:18" x14ac:dyDescent="0.2">
      <c r="A1909">
        <v>9</v>
      </c>
      <c r="B1909" t="s">
        <v>83</v>
      </c>
      <c r="E1909" t="s">
        <v>19</v>
      </c>
      <c r="F1909">
        <v>1028868</v>
      </c>
      <c r="G1909">
        <v>6</v>
      </c>
      <c r="H1909">
        <v>3</v>
      </c>
      <c r="I1909">
        <v>652</v>
      </c>
      <c r="J1909">
        <v>1982</v>
      </c>
      <c r="K1909" s="4">
        <v>45687</v>
      </c>
      <c r="L1909" t="s">
        <v>26</v>
      </c>
      <c r="M1909" t="s">
        <v>33</v>
      </c>
      <c r="N1909">
        <v>2.94</v>
      </c>
      <c r="O1909">
        <v>2045</v>
      </c>
      <c r="P1909">
        <v>2.0499999999999998</v>
      </c>
      <c r="Q1909">
        <v>397</v>
      </c>
      <c r="R1909">
        <v>356</v>
      </c>
    </row>
    <row r="1910" spans="1:18" x14ac:dyDescent="0.2">
      <c r="A1910">
        <v>8</v>
      </c>
      <c r="B1910" t="s">
        <v>50</v>
      </c>
      <c r="E1910" t="s">
        <v>19</v>
      </c>
      <c r="F1910">
        <v>1809266</v>
      </c>
      <c r="G1910">
        <v>3</v>
      </c>
      <c r="H1910">
        <v>2</v>
      </c>
      <c r="I1910">
        <v>454</v>
      </c>
      <c r="J1910">
        <v>2026</v>
      </c>
      <c r="K1910" s="4">
        <v>45741</v>
      </c>
      <c r="L1910" t="s">
        <v>30</v>
      </c>
      <c r="M1910" t="s">
        <v>77</v>
      </c>
      <c r="N1910">
        <v>2.5299999999999998</v>
      </c>
      <c r="O1910">
        <v>1704</v>
      </c>
      <c r="P1910">
        <v>1.45</v>
      </c>
      <c r="Q1910">
        <v>184</v>
      </c>
      <c r="R1910">
        <v>613</v>
      </c>
    </row>
    <row r="1911" spans="1:18" x14ac:dyDescent="0.2">
      <c r="A1911">
        <v>5</v>
      </c>
      <c r="B1911" t="s">
        <v>64</v>
      </c>
      <c r="E1911" t="s">
        <v>19</v>
      </c>
      <c r="F1911">
        <v>491108</v>
      </c>
      <c r="G1911">
        <v>5</v>
      </c>
      <c r="H1911">
        <v>1</v>
      </c>
      <c r="I1911">
        <v>604</v>
      </c>
      <c r="J1911">
        <v>2007</v>
      </c>
      <c r="K1911" s="4">
        <v>44735</v>
      </c>
      <c r="L1911" t="s">
        <v>30</v>
      </c>
      <c r="M1911" t="s">
        <v>24</v>
      </c>
      <c r="N1911">
        <v>2.4300000000000002</v>
      </c>
      <c r="O1911">
        <v>1561</v>
      </c>
      <c r="P1911">
        <v>2.17</v>
      </c>
      <c r="Q1911">
        <v>353</v>
      </c>
      <c r="R1911">
        <v>372</v>
      </c>
    </row>
    <row r="1912" spans="1:18" x14ac:dyDescent="0.2">
      <c r="A1912">
        <v>9</v>
      </c>
      <c r="B1912" t="s">
        <v>98</v>
      </c>
      <c r="E1912" t="s">
        <v>36</v>
      </c>
      <c r="F1912">
        <v>1457355</v>
      </c>
      <c r="G1912">
        <v>6</v>
      </c>
      <c r="H1912">
        <v>2</v>
      </c>
      <c r="I1912">
        <v>284</v>
      </c>
      <c r="J1912">
        <v>1962</v>
      </c>
      <c r="K1912" s="4">
        <v>44277</v>
      </c>
      <c r="L1912" t="s">
        <v>26</v>
      </c>
      <c r="M1912" t="s">
        <v>82</v>
      </c>
      <c r="N1912">
        <v>2.4500000000000002</v>
      </c>
      <c r="O1912">
        <v>2232</v>
      </c>
      <c r="P1912">
        <v>1.1100000000000001</v>
      </c>
      <c r="Q1912">
        <v>338</v>
      </c>
      <c r="R1912">
        <v>562</v>
      </c>
    </row>
    <row r="1913" spans="1:18" x14ac:dyDescent="0.2">
      <c r="A1913">
        <v>5</v>
      </c>
      <c r="B1913" t="s">
        <v>46</v>
      </c>
      <c r="E1913" t="s">
        <v>19</v>
      </c>
      <c r="F1913">
        <v>1968167</v>
      </c>
      <c r="G1913">
        <v>2</v>
      </c>
      <c r="H1913">
        <v>2</v>
      </c>
      <c r="I1913">
        <v>198</v>
      </c>
      <c r="J1913">
        <v>2018</v>
      </c>
      <c r="K1913" s="4">
        <v>45143</v>
      </c>
      <c r="L1913" t="s">
        <v>30</v>
      </c>
      <c r="M1913" t="s">
        <v>59</v>
      </c>
      <c r="N1913">
        <v>3.04</v>
      </c>
      <c r="O1913">
        <v>1038</v>
      </c>
      <c r="P1913">
        <v>0.99</v>
      </c>
      <c r="Q1913">
        <v>61</v>
      </c>
      <c r="R1913">
        <v>635</v>
      </c>
    </row>
    <row r="1914" spans="1:18" x14ac:dyDescent="0.2">
      <c r="A1914">
        <v>0</v>
      </c>
      <c r="B1914" t="s">
        <v>48</v>
      </c>
      <c r="E1914" t="s">
        <v>29</v>
      </c>
      <c r="F1914">
        <v>536891</v>
      </c>
      <c r="G1914">
        <v>4</v>
      </c>
      <c r="H1914">
        <v>3</v>
      </c>
      <c r="I1914">
        <v>62</v>
      </c>
      <c r="J1914">
        <v>1950</v>
      </c>
      <c r="K1914" s="4">
        <v>45014</v>
      </c>
      <c r="L1914" t="s">
        <v>26</v>
      </c>
      <c r="M1914" t="s">
        <v>37</v>
      </c>
      <c r="N1914">
        <v>2.88</v>
      </c>
      <c r="O1914">
        <v>2366</v>
      </c>
      <c r="P1914">
        <v>2.64</v>
      </c>
      <c r="Q1914">
        <v>192</v>
      </c>
      <c r="R1914">
        <v>368</v>
      </c>
    </row>
    <row r="1915" spans="1:18" x14ac:dyDescent="0.2">
      <c r="A1915">
        <v>5</v>
      </c>
      <c r="B1915" t="s">
        <v>72</v>
      </c>
      <c r="E1915" t="s">
        <v>36</v>
      </c>
      <c r="F1915">
        <v>2736800</v>
      </c>
      <c r="G1915">
        <v>5</v>
      </c>
      <c r="H1915">
        <v>3</v>
      </c>
      <c r="I1915">
        <v>714</v>
      </c>
      <c r="J1915">
        <v>2015</v>
      </c>
      <c r="K1915" s="4">
        <v>44172</v>
      </c>
      <c r="L1915" t="s">
        <v>20</v>
      </c>
      <c r="M1915" t="s">
        <v>82</v>
      </c>
      <c r="N1915">
        <v>1.72</v>
      </c>
      <c r="O1915">
        <v>2466</v>
      </c>
      <c r="P1915">
        <v>3.13</v>
      </c>
      <c r="Q1915">
        <v>297</v>
      </c>
      <c r="R1915">
        <v>561</v>
      </c>
    </row>
    <row r="1916" spans="1:18" x14ac:dyDescent="0.2">
      <c r="A1916">
        <v>3</v>
      </c>
      <c r="B1916" t="s">
        <v>83</v>
      </c>
      <c r="E1916" t="s">
        <v>36</v>
      </c>
      <c r="F1916">
        <v>2560151</v>
      </c>
      <c r="G1916">
        <v>4</v>
      </c>
      <c r="H1916">
        <v>3</v>
      </c>
      <c r="I1916">
        <v>492</v>
      </c>
      <c r="J1916">
        <v>1962</v>
      </c>
      <c r="K1916" s="4">
        <v>45231</v>
      </c>
      <c r="L1916" t="s">
        <v>20</v>
      </c>
      <c r="M1916" t="s">
        <v>47</v>
      </c>
      <c r="N1916">
        <v>3.02</v>
      </c>
      <c r="O1916">
        <v>1976</v>
      </c>
      <c r="P1916">
        <v>1.57</v>
      </c>
      <c r="Q1916">
        <v>204</v>
      </c>
      <c r="R1916">
        <v>659</v>
      </c>
    </row>
    <row r="1917" spans="1:18" x14ac:dyDescent="0.2">
      <c r="A1917">
        <v>0</v>
      </c>
      <c r="B1917" t="s">
        <v>18</v>
      </c>
      <c r="E1917" t="s">
        <v>36</v>
      </c>
      <c r="F1917">
        <v>762725</v>
      </c>
      <c r="G1917">
        <v>0</v>
      </c>
      <c r="H1917">
        <v>3</v>
      </c>
      <c r="I1917">
        <v>762</v>
      </c>
      <c r="J1917">
        <v>1974</v>
      </c>
      <c r="K1917" s="4">
        <v>45078</v>
      </c>
      <c r="L1917" t="s">
        <v>26</v>
      </c>
      <c r="M1917" t="s">
        <v>70</v>
      </c>
      <c r="N1917">
        <v>3.43</v>
      </c>
      <c r="O1917">
        <v>2057</v>
      </c>
      <c r="P1917">
        <v>2.8</v>
      </c>
      <c r="Q1917">
        <v>65</v>
      </c>
      <c r="R1917">
        <v>429</v>
      </c>
    </row>
    <row r="1918" spans="1:18" x14ac:dyDescent="0.2">
      <c r="A1918">
        <v>4</v>
      </c>
      <c r="B1918" t="s">
        <v>84</v>
      </c>
      <c r="E1918" t="s">
        <v>29</v>
      </c>
      <c r="F1918">
        <v>563061</v>
      </c>
      <c r="G1918">
        <v>4</v>
      </c>
      <c r="H1918">
        <v>1</v>
      </c>
      <c r="I1918">
        <v>79</v>
      </c>
      <c r="J1918">
        <v>2019</v>
      </c>
      <c r="K1918" s="4">
        <v>45045</v>
      </c>
      <c r="L1918" t="s">
        <v>20</v>
      </c>
      <c r="M1918" t="s">
        <v>60</v>
      </c>
      <c r="N1918">
        <v>3.49</v>
      </c>
      <c r="O1918">
        <v>2471</v>
      </c>
      <c r="P1918">
        <v>4.9400000000000004</v>
      </c>
      <c r="Q1918">
        <v>319</v>
      </c>
      <c r="R1918">
        <v>654</v>
      </c>
    </row>
    <row r="1919" spans="1:18" x14ac:dyDescent="0.2">
      <c r="A1919">
        <v>0</v>
      </c>
      <c r="B1919" t="s">
        <v>100</v>
      </c>
      <c r="E1919" t="s">
        <v>36</v>
      </c>
      <c r="F1919">
        <v>1201827</v>
      </c>
      <c r="G1919">
        <v>3</v>
      </c>
      <c r="H1919">
        <v>3</v>
      </c>
      <c r="I1919">
        <v>122</v>
      </c>
      <c r="J1919">
        <v>1999</v>
      </c>
      <c r="K1919" s="4">
        <v>44344</v>
      </c>
      <c r="L1919" t="s">
        <v>23</v>
      </c>
      <c r="M1919" t="s">
        <v>54</v>
      </c>
      <c r="N1919">
        <v>1.59</v>
      </c>
      <c r="O1919">
        <v>1853</v>
      </c>
      <c r="P1919">
        <v>3.59</v>
      </c>
      <c r="Q1919">
        <v>312</v>
      </c>
      <c r="R1919">
        <v>318</v>
      </c>
    </row>
    <row r="1920" spans="1:18" x14ac:dyDescent="0.2">
      <c r="A1920">
        <v>4</v>
      </c>
      <c r="B1920" t="s">
        <v>18</v>
      </c>
      <c r="E1920" t="s">
        <v>36</v>
      </c>
      <c r="F1920">
        <v>550502</v>
      </c>
      <c r="G1920">
        <v>3</v>
      </c>
      <c r="H1920">
        <v>1</v>
      </c>
      <c r="I1920">
        <v>644</v>
      </c>
      <c r="J1920">
        <v>1967</v>
      </c>
      <c r="K1920" s="4">
        <v>45043</v>
      </c>
      <c r="L1920" t="s">
        <v>26</v>
      </c>
      <c r="M1920" t="s">
        <v>70</v>
      </c>
      <c r="N1920">
        <v>3.45</v>
      </c>
      <c r="O1920">
        <v>1919</v>
      </c>
      <c r="P1920">
        <v>4.0999999999999996</v>
      </c>
      <c r="Q1920">
        <v>274</v>
      </c>
      <c r="R1920">
        <v>538</v>
      </c>
    </row>
    <row r="1921" spans="1:18" x14ac:dyDescent="0.2">
      <c r="A1921">
        <v>2</v>
      </c>
      <c r="B1921" t="s">
        <v>28</v>
      </c>
      <c r="E1921" t="s">
        <v>36</v>
      </c>
      <c r="F1921">
        <v>2971137</v>
      </c>
      <c r="G1921">
        <v>3</v>
      </c>
      <c r="H1921">
        <v>1</v>
      </c>
      <c r="I1921">
        <v>392</v>
      </c>
      <c r="J1921">
        <v>1962</v>
      </c>
      <c r="K1921" s="4">
        <v>44586</v>
      </c>
      <c r="L1921" t="s">
        <v>20</v>
      </c>
      <c r="M1921" t="s">
        <v>27</v>
      </c>
      <c r="N1921">
        <v>1.8</v>
      </c>
      <c r="O1921">
        <v>2019</v>
      </c>
      <c r="P1921">
        <v>0.49</v>
      </c>
      <c r="Q1921">
        <v>94</v>
      </c>
      <c r="R1921">
        <v>359</v>
      </c>
    </row>
    <row r="1922" spans="1:18" x14ac:dyDescent="0.2">
      <c r="A1922">
        <v>6</v>
      </c>
      <c r="B1922" t="s">
        <v>65</v>
      </c>
      <c r="E1922" t="s">
        <v>29</v>
      </c>
      <c r="F1922">
        <v>1651730</v>
      </c>
      <c r="G1922">
        <v>0</v>
      </c>
      <c r="H1922">
        <v>2</v>
      </c>
      <c r="I1922">
        <v>968</v>
      </c>
      <c r="J1922">
        <v>1994</v>
      </c>
      <c r="K1922" s="4">
        <v>45135</v>
      </c>
      <c r="L1922" t="s">
        <v>20</v>
      </c>
      <c r="M1922" t="s">
        <v>66</v>
      </c>
      <c r="N1922">
        <v>3.29</v>
      </c>
      <c r="O1922">
        <v>1560</v>
      </c>
      <c r="P1922">
        <v>2.29</v>
      </c>
      <c r="Q1922">
        <v>72</v>
      </c>
      <c r="R1922">
        <v>642</v>
      </c>
    </row>
    <row r="1923" spans="1:18" x14ac:dyDescent="0.2">
      <c r="A1923">
        <v>9</v>
      </c>
      <c r="B1923" t="s">
        <v>43</v>
      </c>
      <c r="E1923" t="s">
        <v>36</v>
      </c>
      <c r="F1923">
        <v>2600449</v>
      </c>
      <c r="G1923">
        <v>4</v>
      </c>
      <c r="H1923">
        <v>3</v>
      </c>
      <c r="I1923">
        <v>51</v>
      </c>
      <c r="J1923">
        <v>1974</v>
      </c>
      <c r="K1923" s="4">
        <v>45439</v>
      </c>
      <c r="L1923" t="s">
        <v>30</v>
      </c>
      <c r="M1923" t="s">
        <v>82</v>
      </c>
      <c r="N1923">
        <v>2.0099999999999998</v>
      </c>
      <c r="O1923">
        <v>1835</v>
      </c>
      <c r="P1923">
        <v>1.22</v>
      </c>
      <c r="Q1923">
        <v>195</v>
      </c>
      <c r="R1923">
        <v>416</v>
      </c>
    </row>
    <row r="1924" spans="1:18" x14ac:dyDescent="0.2">
      <c r="A1924">
        <v>1</v>
      </c>
      <c r="B1924" t="s">
        <v>57</v>
      </c>
      <c r="E1924" t="s">
        <v>29</v>
      </c>
      <c r="F1924">
        <v>765503</v>
      </c>
      <c r="G1924">
        <v>2</v>
      </c>
      <c r="H1924">
        <v>3</v>
      </c>
      <c r="I1924">
        <v>621</v>
      </c>
      <c r="J1924">
        <v>1965</v>
      </c>
      <c r="K1924" s="4">
        <v>44489</v>
      </c>
      <c r="L1924" t="s">
        <v>30</v>
      </c>
      <c r="M1924" t="s">
        <v>24</v>
      </c>
      <c r="N1924">
        <v>1.5</v>
      </c>
      <c r="O1924">
        <v>2351</v>
      </c>
      <c r="P1924">
        <v>4.49</v>
      </c>
      <c r="Q1924">
        <v>148</v>
      </c>
      <c r="R1924">
        <v>526</v>
      </c>
    </row>
    <row r="1925" spans="1:18" x14ac:dyDescent="0.2">
      <c r="A1925">
        <v>7</v>
      </c>
      <c r="B1925" t="s">
        <v>96</v>
      </c>
      <c r="E1925" t="s">
        <v>51</v>
      </c>
      <c r="F1925">
        <v>440751</v>
      </c>
      <c r="G1925">
        <v>5</v>
      </c>
      <c r="H1925">
        <v>1</v>
      </c>
      <c r="I1925">
        <v>859</v>
      </c>
      <c r="J1925">
        <v>1980</v>
      </c>
      <c r="K1925" s="4">
        <v>45883</v>
      </c>
      <c r="L1925" t="s">
        <v>20</v>
      </c>
      <c r="M1925" t="s">
        <v>77</v>
      </c>
      <c r="N1925">
        <v>3.37</v>
      </c>
      <c r="O1925">
        <v>1165</v>
      </c>
      <c r="P1925">
        <v>4.01</v>
      </c>
      <c r="Q1925">
        <v>331</v>
      </c>
      <c r="R1925">
        <v>320</v>
      </c>
    </row>
    <row r="1926" spans="1:18" x14ac:dyDescent="0.2">
      <c r="A1926">
        <v>8</v>
      </c>
      <c r="B1926" t="s">
        <v>102</v>
      </c>
      <c r="E1926" t="s">
        <v>51</v>
      </c>
      <c r="F1926">
        <v>1077045</v>
      </c>
      <c r="G1926">
        <v>3</v>
      </c>
      <c r="H1926">
        <v>3</v>
      </c>
      <c r="I1926">
        <v>222</v>
      </c>
      <c r="J1926">
        <v>1993</v>
      </c>
      <c r="K1926" s="4">
        <v>44572</v>
      </c>
      <c r="L1926" t="s">
        <v>30</v>
      </c>
      <c r="M1926" t="s">
        <v>58</v>
      </c>
      <c r="N1926">
        <v>2.97</v>
      </c>
      <c r="O1926">
        <v>2270</v>
      </c>
      <c r="P1926">
        <v>4.75</v>
      </c>
      <c r="Q1926">
        <v>216</v>
      </c>
      <c r="R1926">
        <v>573</v>
      </c>
    </row>
    <row r="1927" spans="1:18" x14ac:dyDescent="0.2">
      <c r="A1927">
        <v>9</v>
      </c>
      <c r="B1927" t="s">
        <v>67</v>
      </c>
      <c r="E1927" t="s">
        <v>51</v>
      </c>
      <c r="F1927">
        <v>1573754</v>
      </c>
      <c r="G1927">
        <v>2</v>
      </c>
      <c r="H1927">
        <v>1</v>
      </c>
      <c r="I1927">
        <v>189</v>
      </c>
      <c r="J1927">
        <v>2002</v>
      </c>
      <c r="K1927" s="4">
        <v>44465</v>
      </c>
      <c r="L1927" t="s">
        <v>23</v>
      </c>
      <c r="M1927" t="s">
        <v>78</v>
      </c>
      <c r="N1927">
        <v>1.7</v>
      </c>
      <c r="O1927">
        <v>1099</v>
      </c>
      <c r="P1927">
        <v>3.87</v>
      </c>
      <c r="Q1927">
        <v>113</v>
      </c>
      <c r="R1927">
        <v>519</v>
      </c>
    </row>
    <row r="1928" spans="1:18" x14ac:dyDescent="0.2">
      <c r="A1928">
        <v>4</v>
      </c>
      <c r="B1928" t="s">
        <v>90</v>
      </c>
      <c r="E1928" t="s">
        <v>51</v>
      </c>
      <c r="F1928">
        <v>2820433</v>
      </c>
      <c r="G1928">
        <v>2</v>
      </c>
      <c r="H1928">
        <v>1</v>
      </c>
      <c r="I1928">
        <v>278</v>
      </c>
      <c r="J1928">
        <v>1964</v>
      </c>
      <c r="K1928" s="4">
        <v>45887</v>
      </c>
      <c r="L1928" t="s">
        <v>30</v>
      </c>
      <c r="M1928" t="s">
        <v>60</v>
      </c>
      <c r="N1928">
        <v>2.0699999999999998</v>
      </c>
      <c r="O1928">
        <v>1837</v>
      </c>
      <c r="P1928">
        <v>1.66</v>
      </c>
      <c r="Q1928">
        <v>110</v>
      </c>
      <c r="R1928">
        <v>348</v>
      </c>
    </row>
    <row r="1929" spans="1:18" x14ac:dyDescent="0.2">
      <c r="A1929">
        <v>9</v>
      </c>
      <c r="B1929" t="s">
        <v>94</v>
      </c>
      <c r="E1929" t="s">
        <v>51</v>
      </c>
      <c r="F1929">
        <v>913185</v>
      </c>
      <c r="G1929">
        <v>3</v>
      </c>
      <c r="H1929">
        <v>3</v>
      </c>
      <c r="I1929">
        <v>880</v>
      </c>
      <c r="J1929">
        <v>1962</v>
      </c>
      <c r="K1929" s="4">
        <v>45253</v>
      </c>
      <c r="L1929" t="s">
        <v>20</v>
      </c>
      <c r="M1929" t="s">
        <v>40</v>
      </c>
      <c r="N1929">
        <v>3.45</v>
      </c>
      <c r="O1929">
        <v>1430</v>
      </c>
      <c r="P1929">
        <v>4.66</v>
      </c>
      <c r="Q1929">
        <v>253</v>
      </c>
      <c r="R1929">
        <v>422</v>
      </c>
    </row>
    <row r="1930" spans="1:18" x14ac:dyDescent="0.2">
      <c r="A1930">
        <v>2</v>
      </c>
      <c r="B1930" t="s">
        <v>22</v>
      </c>
      <c r="E1930" t="s">
        <v>36</v>
      </c>
      <c r="F1930">
        <v>2072009</v>
      </c>
      <c r="G1930">
        <v>6</v>
      </c>
      <c r="H1930">
        <v>3</v>
      </c>
      <c r="I1930">
        <v>901</v>
      </c>
      <c r="J1930">
        <v>2022</v>
      </c>
      <c r="K1930" s="4">
        <v>44558</v>
      </c>
      <c r="L1930" t="s">
        <v>26</v>
      </c>
      <c r="M1930" t="s">
        <v>12</v>
      </c>
      <c r="N1930">
        <v>1.84</v>
      </c>
      <c r="O1930">
        <v>906</v>
      </c>
      <c r="P1930">
        <v>4.95</v>
      </c>
      <c r="Q1930">
        <v>369</v>
      </c>
      <c r="R1930">
        <v>305</v>
      </c>
    </row>
    <row r="1931" spans="1:18" x14ac:dyDescent="0.2">
      <c r="A1931">
        <v>6</v>
      </c>
      <c r="B1931" t="s">
        <v>73</v>
      </c>
      <c r="E1931" t="s">
        <v>51</v>
      </c>
      <c r="F1931">
        <v>2087382</v>
      </c>
      <c r="G1931">
        <v>4</v>
      </c>
      <c r="H1931">
        <v>2</v>
      </c>
      <c r="I1931">
        <v>465</v>
      </c>
      <c r="J1931">
        <v>1959</v>
      </c>
      <c r="K1931" s="4">
        <v>44912</v>
      </c>
      <c r="L1931" t="s">
        <v>26</v>
      </c>
      <c r="M1931" t="s">
        <v>54</v>
      </c>
      <c r="N1931">
        <v>2</v>
      </c>
      <c r="O1931">
        <v>1500</v>
      </c>
      <c r="P1931">
        <v>4.79</v>
      </c>
      <c r="Q1931">
        <v>352</v>
      </c>
      <c r="R1931">
        <v>622</v>
      </c>
    </row>
    <row r="1932" spans="1:18" x14ac:dyDescent="0.2">
      <c r="A1932">
        <v>2</v>
      </c>
      <c r="B1932" t="s">
        <v>22</v>
      </c>
      <c r="E1932" t="s">
        <v>36</v>
      </c>
      <c r="F1932">
        <v>641596</v>
      </c>
      <c r="G1932">
        <v>1</v>
      </c>
      <c r="H1932">
        <v>3</v>
      </c>
      <c r="I1932">
        <v>484</v>
      </c>
      <c r="J1932">
        <v>1969</v>
      </c>
      <c r="K1932" s="4">
        <v>44888</v>
      </c>
      <c r="L1932" t="s">
        <v>23</v>
      </c>
      <c r="M1932" t="s">
        <v>42</v>
      </c>
      <c r="N1932">
        <v>2.75</v>
      </c>
      <c r="O1932">
        <v>1256</v>
      </c>
      <c r="P1932">
        <v>2.25</v>
      </c>
      <c r="Q1932">
        <v>83</v>
      </c>
      <c r="R1932">
        <v>444</v>
      </c>
    </row>
    <row r="1933" spans="1:18" x14ac:dyDescent="0.2">
      <c r="A1933">
        <v>0</v>
      </c>
      <c r="B1933" t="s">
        <v>22</v>
      </c>
      <c r="E1933" t="s">
        <v>19</v>
      </c>
      <c r="F1933">
        <v>2351935</v>
      </c>
      <c r="G1933">
        <v>5</v>
      </c>
      <c r="H1933">
        <v>3</v>
      </c>
      <c r="I1933">
        <v>512</v>
      </c>
      <c r="J1933">
        <v>2004</v>
      </c>
      <c r="K1933" s="4">
        <v>44367</v>
      </c>
      <c r="L1933" t="s">
        <v>23</v>
      </c>
      <c r="M1933" t="s">
        <v>82</v>
      </c>
      <c r="N1933">
        <v>3.44</v>
      </c>
      <c r="O1933">
        <v>1027</v>
      </c>
      <c r="P1933">
        <v>3.26</v>
      </c>
      <c r="Q1933">
        <v>245</v>
      </c>
      <c r="R1933">
        <v>468</v>
      </c>
    </row>
    <row r="1934" spans="1:18" x14ac:dyDescent="0.2">
      <c r="A1934">
        <v>2</v>
      </c>
      <c r="B1934" t="s">
        <v>32</v>
      </c>
      <c r="E1934" t="s">
        <v>29</v>
      </c>
      <c r="F1934">
        <v>1584929</v>
      </c>
      <c r="G1934">
        <v>3</v>
      </c>
      <c r="H1934">
        <v>1</v>
      </c>
      <c r="I1934">
        <v>443</v>
      </c>
      <c r="J1934">
        <v>1996</v>
      </c>
      <c r="K1934" s="4">
        <v>45645</v>
      </c>
      <c r="L1934" t="s">
        <v>30</v>
      </c>
      <c r="M1934" t="s">
        <v>97</v>
      </c>
      <c r="N1934">
        <v>1.76</v>
      </c>
      <c r="O1934">
        <v>2299</v>
      </c>
      <c r="P1934">
        <v>4.1500000000000004</v>
      </c>
      <c r="Q1934">
        <v>256</v>
      </c>
      <c r="R1934">
        <v>523</v>
      </c>
    </row>
    <row r="1935" spans="1:18" x14ac:dyDescent="0.2">
      <c r="A1935">
        <v>9</v>
      </c>
      <c r="B1935" t="s">
        <v>25</v>
      </c>
      <c r="E1935" t="s">
        <v>19</v>
      </c>
      <c r="F1935">
        <v>742763</v>
      </c>
      <c r="G1935">
        <v>0</v>
      </c>
      <c r="H1935">
        <v>3</v>
      </c>
      <c r="I1935">
        <v>266</v>
      </c>
      <c r="J1935">
        <v>1984</v>
      </c>
      <c r="K1935" s="4">
        <v>44585</v>
      </c>
      <c r="L1935" t="s">
        <v>23</v>
      </c>
      <c r="M1935" t="s">
        <v>40</v>
      </c>
      <c r="N1935">
        <v>2.5299999999999998</v>
      </c>
      <c r="O1935">
        <v>1050</v>
      </c>
      <c r="P1935">
        <v>0.51</v>
      </c>
      <c r="Q1935">
        <v>70</v>
      </c>
      <c r="R1935">
        <v>635</v>
      </c>
    </row>
    <row r="1936" spans="1:18" x14ac:dyDescent="0.2">
      <c r="A1936">
        <v>2</v>
      </c>
      <c r="B1936" t="s">
        <v>95</v>
      </c>
      <c r="E1936" t="s">
        <v>19</v>
      </c>
      <c r="F1936">
        <v>2515174</v>
      </c>
      <c r="G1936">
        <v>4</v>
      </c>
      <c r="H1936">
        <v>1</v>
      </c>
      <c r="I1936">
        <v>896</v>
      </c>
      <c r="J1936">
        <v>1981</v>
      </c>
      <c r="K1936" s="4">
        <v>45822</v>
      </c>
      <c r="L1936" t="s">
        <v>26</v>
      </c>
      <c r="M1936" t="s">
        <v>59</v>
      </c>
      <c r="N1936">
        <v>3.41</v>
      </c>
      <c r="O1936">
        <v>1026</v>
      </c>
      <c r="P1936">
        <v>2.12</v>
      </c>
      <c r="Q1936">
        <v>174</v>
      </c>
      <c r="R1936">
        <v>544</v>
      </c>
    </row>
    <row r="1937" spans="1:18" x14ac:dyDescent="0.2">
      <c r="A1937">
        <v>1</v>
      </c>
      <c r="B1937" t="s">
        <v>102</v>
      </c>
      <c r="E1937" t="s">
        <v>36</v>
      </c>
      <c r="F1937">
        <v>1085324</v>
      </c>
      <c r="G1937">
        <v>5</v>
      </c>
      <c r="H1937">
        <v>2</v>
      </c>
      <c r="I1937">
        <v>119</v>
      </c>
      <c r="J1937">
        <v>1956</v>
      </c>
      <c r="K1937" s="4">
        <v>45450</v>
      </c>
      <c r="L1937" t="s">
        <v>26</v>
      </c>
      <c r="M1937" t="s">
        <v>33</v>
      </c>
      <c r="N1937">
        <v>2.12</v>
      </c>
      <c r="O1937">
        <v>2436</v>
      </c>
      <c r="P1937">
        <v>3.16</v>
      </c>
      <c r="Q1937">
        <v>262</v>
      </c>
      <c r="R1937">
        <v>649</v>
      </c>
    </row>
    <row r="1938" spans="1:18" x14ac:dyDescent="0.2">
      <c r="A1938">
        <v>4</v>
      </c>
      <c r="B1938" t="s">
        <v>34</v>
      </c>
      <c r="E1938" t="s">
        <v>36</v>
      </c>
      <c r="F1938">
        <v>2786894</v>
      </c>
      <c r="G1938">
        <v>4</v>
      </c>
      <c r="H1938">
        <v>2</v>
      </c>
      <c r="I1938">
        <v>850</v>
      </c>
      <c r="J1938">
        <v>1996</v>
      </c>
      <c r="K1938" s="4">
        <v>44948</v>
      </c>
      <c r="L1938" t="s">
        <v>20</v>
      </c>
      <c r="M1938" t="s">
        <v>82</v>
      </c>
      <c r="N1938">
        <v>1.63</v>
      </c>
      <c r="O1938">
        <v>911</v>
      </c>
      <c r="P1938">
        <v>0.47</v>
      </c>
      <c r="Q1938">
        <v>231</v>
      </c>
      <c r="R1938">
        <v>627</v>
      </c>
    </row>
    <row r="1939" spans="1:18" x14ac:dyDescent="0.2">
      <c r="A1939">
        <v>9</v>
      </c>
      <c r="B1939" t="s">
        <v>73</v>
      </c>
      <c r="E1939" t="s">
        <v>29</v>
      </c>
      <c r="F1939">
        <v>1312695</v>
      </c>
      <c r="G1939">
        <v>2</v>
      </c>
      <c r="H1939">
        <v>1</v>
      </c>
      <c r="I1939">
        <v>979</v>
      </c>
      <c r="J1939">
        <v>1989</v>
      </c>
      <c r="K1939" s="4">
        <v>45109</v>
      </c>
      <c r="L1939" t="s">
        <v>30</v>
      </c>
      <c r="M1939" t="s">
        <v>60</v>
      </c>
      <c r="N1939">
        <v>3.24</v>
      </c>
      <c r="O1939">
        <v>2068</v>
      </c>
      <c r="P1939">
        <v>3.53</v>
      </c>
      <c r="Q1939">
        <v>128</v>
      </c>
      <c r="R1939">
        <v>467</v>
      </c>
    </row>
    <row r="1940" spans="1:18" x14ac:dyDescent="0.2">
      <c r="A1940">
        <v>7</v>
      </c>
      <c r="B1940" t="s">
        <v>32</v>
      </c>
      <c r="E1940" t="s">
        <v>36</v>
      </c>
      <c r="F1940">
        <v>1704076</v>
      </c>
      <c r="G1940">
        <v>6</v>
      </c>
      <c r="H1940">
        <v>1</v>
      </c>
      <c r="I1940">
        <v>919</v>
      </c>
      <c r="J1940">
        <v>2010</v>
      </c>
      <c r="K1940" s="4">
        <v>45086</v>
      </c>
      <c r="L1940" t="s">
        <v>30</v>
      </c>
      <c r="M1940" t="s">
        <v>82</v>
      </c>
      <c r="N1940">
        <v>2.4500000000000002</v>
      </c>
      <c r="O1940">
        <v>2267</v>
      </c>
      <c r="P1940">
        <v>0.82</v>
      </c>
      <c r="Q1940">
        <v>371</v>
      </c>
      <c r="R1940">
        <v>689</v>
      </c>
    </row>
    <row r="1941" spans="1:18" x14ac:dyDescent="0.2">
      <c r="A1941">
        <v>6</v>
      </c>
      <c r="B1941" t="s">
        <v>64</v>
      </c>
      <c r="E1941" t="s">
        <v>19</v>
      </c>
      <c r="F1941">
        <v>2389598</v>
      </c>
      <c r="G1941">
        <v>3</v>
      </c>
      <c r="H1941">
        <v>1</v>
      </c>
      <c r="I1941">
        <v>831</v>
      </c>
      <c r="J1941">
        <v>1970</v>
      </c>
      <c r="K1941" s="4">
        <v>44448</v>
      </c>
      <c r="L1941" t="s">
        <v>23</v>
      </c>
      <c r="M1941" t="s">
        <v>42</v>
      </c>
      <c r="N1941">
        <v>2.13</v>
      </c>
      <c r="O1941">
        <v>1054</v>
      </c>
      <c r="P1941">
        <v>3.16</v>
      </c>
      <c r="Q1941">
        <v>285</v>
      </c>
      <c r="R1941">
        <v>331</v>
      </c>
    </row>
    <row r="1942" spans="1:18" x14ac:dyDescent="0.2">
      <c r="A1942">
        <v>6</v>
      </c>
      <c r="B1942" t="s">
        <v>84</v>
      </c>
      <c r="E1942" t="s">
        <v>51</v>
      </c>
      <c r="F1942">
        <v>1982282</v>
      </c>
      <c r="G1942">
        <v>4</v>
      </c>
      <c r="H1942">
        <v>3</v>
      </c>
      <c r="I1942">
        <v>883</v>
      </c>
      <c r="J1942">
        <v>1957</v>
      </c>
      <c r="K1942" s="4">
        <v>44314</v>
      </c>
      <c r="L1942" t="s">
        <v>30</v>
      </c>
      <c r="M1942" t="s">
        <v>60</v>
      </c>
      <c r="N1942">
        <v>2.86</v>
      </c>
      <c r="O1942">
        <v>1111</v>
      </c>
      <c r="P1942">
        <v>4.6900000000000004</v>
      </c>
      <c r="Q1942">
        <v>297</v>
      </c>
      <c r="R1942">
        <v>351</v>
      </c>
    </row>
    <row r="1943" spans="1:18" x14ac:dyDescent="0.2">
      <c r="A1943">
        <v>7</v>
      </c>
      <c r="B1943" t="s">
        <v>65</v>
      </c>
      <c r="E1943" t="s">
        <v>19</v>
      </c>
      <c r="F1943">
        <v>1998748</v>
      </c>
      <c r="G1943">
        <v>6</v>
      </c>
      <c r="H1943">
        <v>1</v>
      </c>
      <c r="I1943">
        <v>269</v>
      </c>
      <c r="J1943">
        <v>1962</v>
      </c>
      <c r="K1943" s="4">
        <v>44322</v>
      </c>
      <c r="L1943" t="s">
        <v>30</v>
      </c>
      <c r="M1943" t="s">
        <v>52</v>
      </c>
      <c r="N1943">
        <v>3.15</v>
      </c>
      <c r="O1943">
        <v>1972</v>
      </c>
      <c r="P1943">
        <v>2.61</v>
      </c>
      <c r="Q1943">
        <v>370</v>
      </c>
      <c r="R1943">
        <v>541</v>
      </c>
    </row>
    <row r="1944" spans="1:18" x14ac:dyDescent="0.2">
      <c r="A1944">
        <v>1</v>
      </c>
      <c r="B1944" t="s">
        <v>73</v>
      </c>
      <c r="E1944" t="s">
        <v>19</v>
      </c>
      <c r="F1944">
        <v>2058125</v>
      </c>
      <c r="G1944">
        <v>6</v>
      </c>
      <c r="H1944">
        <v>3</v>
      </c>
      <c r="I1944">
        <v>474</v>
      </c>
      <c r="J1944">
        <v>1998</v>
      </c>
      <c r="K1944" s="4">
        <v>44354</v>
      </c>
      <c r="L1944" t="s">
        <v>26</v>
      </c>
      <c r="M1944" t="s">
        <v>89</v>
      </c>
      <c r="N1944">
        <v>2.21</v>
      </c>
      <c r="O1944">
        <v>1439</v>
      </c>
      <c r="P1944">
        <v>0.56000000000000005</v>
      </c>
      <c r="Q1944">
        <v>386</v>
      </c>
      <c r="R1944">
        <v>571</v>
      </c>
    </row>
    <row r="1945" spans="1:18" x14ac:dyDescent="0.2">
      <c r="A1945">
        <v>7</v>
      </c>
      <c r="B1945" t="s">
        <v>91</v>
      </c>
      <c r="E1945" t="s">
        <v>51</v>
      </c>
      <c r="F1945">
        <v>1164175</v>
      </c>
      <c r="G1945">
        <v>4</v>
      </c>
      <c r="H1945">
        <v>2</v>
      </c>
      <c r="I1945">
        <v>615</v>
      </c>
      <c r="J1945">
        <v>1984</v>
      </c>
      <c r="K1945" s="4">
        <v>45086</v>
      </c>
      <c r="L1945" t="s">
        <v>20</v>
      </c>
      <c r="M1945" t="s">
        <v>89</v>
      </c>
      <c r="N1945">
        <v>3.32</v>
      </c>
      <c r="O1945">
        <v>2457</v>
      </c>
      <c r="P1945">
        <v>0.24</v>
      </c>
      <c r="Q1945">
        <v>220</v>
      </c>
      <c r="R1945">
        <v>410</v>
      </c>
    </row>
    <row r="1946" spans="1:18" x14ac:dyDescent="0.2">
      <c r="A1946">
        <v>0</v>
      </c>
      <c r="B1946" t="s">
        <v>92</v>
      </c>
      <c r="E1946" t="s">
        <v>51</v>
      </c>
      <c r="F1946">
        <v>2744725</v>
      </c>
      <c r="G1946">
        <v>4</v>
      </c>
      <c r="H1946">
        <v>2</v>
      </c>
      <c r="I1946">
        <v>399</v>
      </c>
      <c r="J1946">
        <v>1980</v>
      </c>
      <c r="K1946" s="4">
        <v>44297</v>
      </c>
      <c r="L1946" t="s">
        <v>23</v>
      </c>
      <c r="M1946" t="s">
        <v>69</v>
      </c>
      <c r="N1946">
        <v>3.49</v>
      </c>
      <c r="O1946">
        <v>802</v>
      </c>
      <c r="P1946">
        <v>1.19</v>
      </c>
      <c r="Q1946">
        <v>175</v>
      </c>
      <c r="R1946">
        <v>672</v>
      </c>
    </row>
    <row r="1947" spans="1:18" x14ac:dyDescent="0.2">
      <c r="A1947">
        <v>8</v>
      </c>
      <c r="B1947" t="s">
        <v>46</v>
      </c>
      <c r="E1947" t="s">
        <v>29</v>
      </c>
      <c r="F1947">
        <v>1939693</v>
      </c>
      <c r="G1947">
        <v>4</v>
      </c>
      <c r="H1947">
        <v>1</v>
      </c>
      <c r="I1947">
        <v>223</v>
      </c>
      <c r="J1947">
        <v>1993</v>
      </c>
      <c r="K1947" s="4">
        <v>45421</v>
      </c>
      <c r="L1947" t="s">
        <v>30</v>
      </c>
      <c r="M1947" t="s">
        <v>40</v>
      </c>
      <c r="N1947">
        <v>3.19</v>
      </c>
      <c r="O1947">
        <v>1363</v>
      </c>
      <c r="P1947">
        <v>1.02</v>
      </c>
      <c r="Q1947">
        <v>396</v>
      </c>
      <c r="R1947">
        <v>448</v>
      </c>
    </row>
    <row r="1948" spans="1:18" x14ac:dyDescent="0.2">
      <c r="A1948">
        <v>1</v>
      </c>
      <c r="B1948" t="s">
        <v>61</v>
      </c>
      <c r="E1948" t="s">
        <v>29</v>
      </c>
      <c r="F1948">
        <v>1436985</v>
      </c>
      <c r="G1948">
        <v>5</v>
      </c>
      <c r="H1948">
        <v>1</v>
      </c>
      <c r="I1948">
        <v>265</v>
      </c>
      <c r="J1948">
        <v>2008</v>
      </c>
      <c r="K1948" s="4">
        <v>44127</v>
      </c>
      <c r="L1948" t="s">
        <v>30</v>
      </c>
      <c r="M1948" t="s">
        <v>85</v>
      </c>
      <c r="N1948">
        <v>3.04</v>
      </c>
      <c r="O1948">
        <v>2026</v>
      </c>
      <c r="P1948">
        <v>2.79</v>
      </c>
      <c r="Q1948">
        <v>353</v>
      </c>
      <c r="R1948">
        <v>640</v>
      </c>
    </row>
    <row r="1949" spans="1:18" x14ac:dyDescent="0.2">
      <c r="A1949">
        <v>4</v>
      </c>
      <c r="B1949" t="s">
        <v>65</v>
      </c>
      <c r="E1949" t="s">
        <v>36</v>
      </c>
      <c r="F1949">
        <v>2674534</v>
      </c>
      <c r="G1949">
        <v>2</v>
      </c>
      <c r="H1949">
        <v>2</v>
      </c>
      <c r="I1949">
        <v>444</v>
      </c>
      <c r="J1949">
        <v>2005</v>
      </c>
      <c r="K1949" s="4">
        <v>45311</v>
      </c>
      <c r="L1949" t="s">
        <v>23</v>
      </c>
      <c r="M1949" t="s">
        <v>35</v>
      </c>
      <c r="N1949">
        <v>3.34</v>
      </c>
      <c r="O1949">
        <v>1596</v>
      </c>
      <c r="P1949">
        <v>1.52</v>
      </c>
      <c r="Q1949">
        <v>236</v>
      </c>
      <c r="R1949">
        <v>524</v>
      </c>
    </row>
    <row r="1950" spans="1:18" x14ac:dyDescent="0.2">
      <c r="A1950">
        <v>0</v>
      </c>
      <c r="B1950" t="s">
        <v>86</v>
      </c>
      <c r="E1950" t="s">
        <v>36</v>
      </c>
      <c r="F1950">
        <v>2932419</v>
      </c>
      <c r="G1950">
        <v>1</v>
      </c>
      <c r="H1950">
        <v>2</v>
      </c>
      <c r="I1950">
        <v>77</v>
      </c>
      <c r="J1950">
        <v>1966</v>
      </c>
      <c r="K1950" s="4">
        <v>44859</v>
      </c>
      <c r="L1950" t="s">
        <v>30</v>
      </c>
      <c r="M1950" t="s">
        <v>60</v>
      </c>
      <c r="N1950">
        <v>2.97</v>
      </c>
      <c r="O1950">
        <v>832</v>
      </c>
      <c r="P1950">
        <v>0.77</v>
      </c>
      <c r="Q1950">
        <v>63</v>
      </c>
      <c r="R1950">
        <v>432</v>
      </c>
    </row>
    <row r="1951" spans="1:18" x14ac:dyDescent="0.2">
      <c r="A1951">
        <v>3</v>
      </c>
      <c r="B1951" t="s">
        <v>61</v>
      </c>
      <c r="E1951" t="s">
        <v>29</v>
      </c>
      <c r="F1951">
        <v>487343</v>
      </c>
      <c r="G1951">
        <v>4</v>
      </c>
      <c r="H1951">
        <v>2</v>
      </c>
      <c r="I1951">
        <v>522</v>
      </c>
      <c r="J1951">
        <v>1986</v>
      </c>
      <c r="K1951" s="4">
        <v>45581</v>
      </c>
      <c r="L1951" t="s">
        <v>20</v>
      </c>
      <c r="M1951" t="s">
        <v>33</v>
      </c>
      <c r="N1951">
        <v>1.7</v>
      </c>
      <c r="O1951">
        <v>2308</v>
      </c>
      <c r="P1951">
        <v>0.78</v>
      </c>
      <c r="Q1951">
        <v>180</v>
      </c>
      <c r="R1951">
        <v>560</v>
      </c>
    </row>
    <row r="1952" spans="1:18" x14ac:dyDescent="0.2">
      <c r="A1952">
        <v>4</v>
      </c>
      <c r="B1952" t="s">
        <v>73</v>
      </c>
      <c r="E1952" t="s">
        <v>19</v>
      </c>
      <c r="F1952">
        <v>2388740</v>
      </c>
      <c r="G1952">
        <v>2</v>
      </c>
      <c r="H1952">
        <v>1</v>
      </c>
      <c r="I1952">
        <v>934</v>
      </c>
      <c r="J1952">
        <v>2009</v>
      </c>
      <c r="K1952" s="4">
        <v>45054</v>
      </c>
      <c r="L1952" t="s">
        <v>20</v>
      </c>
      <c r="M1952" t="s">
        <v>35</v>
      </c>
      <c r="N1952">
        <v>1.77</v>
      </c>
      <c r="O1952">
        <v>2208</v>
      </c>
      <c r="P1952">
        <v>3.44</v>
      </c>
      <c r="Q1952">
        <v>198</v>
      </c>
      <c r="R1952">
        <v>447</v>
      </c>
    </row>
    <row r="1953" spans="1:18" x14ac:dyDescent="0.2">
      <c r="A1953">
        <v>7</v>
      </c>
      <c r="B1953" t="s">
        <v>64</v>
      </c>
      <c r="E1953" t="s">
        <v>51</v>
      </c>
      <c r="F1953">
        <v>578853</v>
      </c>
      <c r="G1953">
        <v>4</v>
      </c>
      <c r="H1953">
        <v>3</v>
      </c>
      <c r="I1953">
        <v>503</v>
      </c>
      <c r="J1953">
        <v>1982</v>
      </c>
      <c r="K1953" s="4">
        <v>45225</v>
      </c>
      <c r="L1953" t="s">
        <v>26</v>
      </c>
      <c r="M1953" t="s">
        <v>85</v>
      </c>
      <c r="N1953">
        <v>1.99</v>
      </c>
      <c r="O1953">
        <v>2125</v>
      </c>
      <c r="P1953">
        <v>1.08</v>
      </c>
      <c r="Q1953">
        <v>254</v>
      </c>
      <c r="R1953">
        <v>583</v>
      </c>
    </row>
    <row r="1954" spans="1:18" x14ac:dyDescent="0.2">
      <c r="A1954">
        <v>3</v>
      </c>
      <c r="B1954" t="s">
        <v>99</v>
      </c>
      <c r="E1954" t="s">
        <v>51</v>
      </c>
      <c r="F1954">
        <v>1706169</v>
      </c>
      <c r="G1954">
        <v>3</v>
      </c>
      <c r="H1954">
        <v>3</v>
      </c>
      <c r="I1954">
        <v>610</v>
      </c>
      <c r="J1954">
        <v>1972</v>
      </c>
      <c r="K1954" s="4">
        <v>44845</v>
      </c>
      <c r="L1954" t="s">
        <v>30</v>
      </c>
      <c r="M1954" t="s">
        <v>68</v>
      </c>
      <c r="N1954">
        <v>2.77</v>
      </c>
      <c r="O1954">
        <v>2248</v>
      </c>
      <c r="P1954">
        <v>4.26</v>
      </c>
      <c r="Q1954">
        <v>262</v>
      </c>
      <c r="R1954">
        <v>331</v>
      </c>
    </row>
    <row r="1955" spans="1:18" x14ac:dyDescent="0.2">
      <c r="A1955">
        <v>5</v>
      </c>
      <c r="B1955" t="s">
        <v>98</v>
      </c>
      <c r="E1955" t="s">
        <v>36</v>
      </c>
      <c r="F1955">
        <v>987034</v>
      </c>
      <c r="G1955">
        <v>4</v>
      </c>
      <c r="H1955">
        <v>1</v>
      </c>
      <c r="I1955">
        <v>732</v>
      </c>
      <c r="J1955">
        <v>1951</v>
      </c>
      <c r="K1955" s="4">
        <v>44142</v>
      </c>
      <c r="L1955" t="s">
        <v>20</v>
      </c>
      <c r="M1955" t="s">
        <v>89</v>
      </c>
      <c r="N1955">
        <v>2.82</v>
      </c>
      <c r="O1955">
        <v>2439</v>
      </c>
      <c r="P1955">
        <v>4.57</v>
      </c>
      <c r="Q1955">
        <v>239</v>
      </c>
      <c r="R1955">
        <v>420</v>
      </c>
    </row>
    <row r="1956" spans="1:18" x14ac:dyDescent="0.2">
      <c r="A1956">
        <v>9</v>
      </c>
      <c r="B1956" t="s">
        <v>86</v>
      </c>
      <c r="E1956" t="s">
        <v>51</v>
      </c>
      <c r="F1956">
        <v>1680291</v>
      </c>
      <c r="G1956">
        <v>3</v>
      </c>
      <c r="H1956">
        <v>1</v>
      </c>
      <c r="I1956">
        <v>768</v>
      </c>
      <c r="J1956">
        <v>2005</v>
      </c>
      <c r="K1956" s="4">
        <v>45323</v>
      </c>
      <c r="L1956" t="s">
        <v>30</v>
      </c>
      <c r="M1956" t="s">
        <v>42</v>
      </c>
      <c r="N1956">
        <v>2.1</v>
      </c>
      <c r="O1956">
        <v>1310</v>
      </c>
      <c r="P1956">
        <v>1.66</v>
      </c>
      <c r="Q1956">
        <v>314</v>
      </c>
      <c r="R1956">
        <v>593</v>
      </c>
    </row>
    <row r="1957" spans="1:18" x14ac:dyDescent="0.2">
      <c r="A1957">
        <v>1</v>
      </c>
      <c r="B1957" t="s">
        <v>64</v>
      </c>
      <c r="E1957" t="s">
        <v>36</v>
      </c>
      <c r="F1957">
        <v>1059064</v>
      </c>
      <c r="G1957">
        <v>5</v>
      </c>
      <c r="H1957">
        <v>3</v>
      </c>
      <c r="I1957">
        <v>157</v>
      </c>
      <c r="J1957">
        <v>1970</v>
      </c>
      <c r="K1957" s="4">
        <v>44915</v>
      </c>
      <c r="L1957" t="s">
        <v>23</v>
      </c>
      <c r="M1957" t="s">
        <v>21</v>
      </c>
      <c r="N1957">
        <v>2.13</v>
      </c>
      <c r="O1957">
        <v>1364</v>
      </c>
      <c r="P1957">
        <v>3.04</v>
      </c>
      <c r="Q1957">
        <v>330</v>
      </c>
      <c r="R1957">
        <v>673</v>
      </c>
    </row>
    <row r="1958" spans="1:18" x14ac:dyDescent="0.2">
      <c r="A1958">
        <v>9</v>
      </c>
      <c r="B1958" t="s">
        <v>83</v>
      </c>
      <c r="E1958" t="s">
        <v>19</v>
      </c>
      <c r="F1958">
        <v>954344</v>
      </c>
      <c r="G1958">
        <v>2</v>
      </c>
      <c r="H1958">
        <v>3</v>
      </c>
      <c r="I1958">
        <v>416</v>
      </c>
      <c r="J1958">
        <v>2019</v>
      </c>
      <c r="K1958" s="4">
        <v>45087</v>
      </c>
      <c r="L1958" t="s">
        <v>26</v>
      </c>
      <c r="M1958" t="s">
        <v>31</v>
      </c>
      <c r="N1958">
        <v>2.09</v>
      </c>
      <c r="O1958">
        <v>2029</v>
      </c>
      <c r="P1958">
        <v>1.82</v>
      </c>
      <c r="Q1958">
        <v>224</v>
      </c>
      <c r="R1958">
        <v>643</v>
      </c>
    </row>
    <row r="1959" spans="1:18" x14ac:dyDescent="0.2">
      <c r="A1959">
        <v>3</v>
      </c>
      <c r="B1959" t="s">
        <v>73</v>
      </c>
      <c r="E1959" t="s">
        <v>51</v>
      </c>
      <c r="F1959">
        <v>2853308</v>
      </c>
      <c r="G1959">
        <v>1</v>
      </c>
      <c r="H1959">
        <v>1</v>
      </c>
      <c r="I1959">
        <v>844</v>
      </c>
      <c r="J1959">
        <v>1956</v>
      </c>
      <c r="K1959" s="4">
        <v>44764</v>
      </c>
      <c r="L1959" t="s">
        <v>30</v>
      </c>
      <c r="M1959" t="s">
        <v>42</v>
      </c>
      <c r="N1959">
        <v>3.36</v>
      </c>
      <c r="O1959">
        <v>2122</v>
      </c>
      <c r="P1959">
        <v>2.34</v>
      </c>
      <c r="Q1959">
        <v>127</v>
      </c>
      <c r="R1959">
        <v>539</v>
      </c>
    </row>
    <row r="1960" spans="1:18" x14ac:dyDescent="0.2">
      <c r="A1960">
        <v>3</v>
      </c>
      <c r="B1960" t="s">
        <v>87</v>
      </c>
      <c r="E1960" t="s">
        <v>29</v>
      </c>
      <c r="F1960">
        <v>686406</v>
      </c>
      <c r="G1960">
        <v>4</v>
      </c>
      <c r="H1960">
        <v>2</v>
      </c>
      <c r="I1960">
        <v>514</v>
      </c>
      <c r="J1960">
        <v>2001</v>
      </c>
      <c r="K1960" s="4">
        <v>44214</v>
      </c>
      <c r="L1960" t="s">
        <v>20</v>
      </c>
      <c r="M1960" t="s">
        <v>42</v>
      </c>
      <c r="N1960">
        <v>1.82</v>
      </c>
      <c r="O1960">
        <v>1272</v>
      </c>
      <c r="P1960">
        <v>1.1299999999999999</v>
      </c>
      <c r="Q1960">
        <v>324</v>
      </c>
      <c r="R1960">
        <v>397</v>
      </c>
    </row>
    <row r="1961" spans="1:18" x14ac:dyDescent="0.2">
      <c r="A1961">
        <v>8</v>
      </c>
      <c r="B1961" t="s">
        <v>88</v>
      </c>
      <c r="E1961" t="s">
        <v>29</v>
      </c>
      <c r="F1961">
        <v>1485470</v>
      </c>
      <c r="G1961">
        <v>1</v>
      </c>
      <c r="H1961">
        <v>3</v>
      </c>
      <c r="I1961">
        <v>562</v>
      </c>
      <c r="J1961">
        <v>1963</v>
      </c>
      <c r="K1961" s="4">
        <v>44101</v>
      </c>
      <c r="L1961" t="s">
        <v>26</v>
      </c>
      <c r="M1961" t="s">
        <v>35</v>
      </c>
      <c r="N1961">
        <v>3.48</v>
      </c>
      <c r="O1961">
        <v>2411</v>
      </c>
      <c r="P1961">
        <v>1.35</v>
      </c>
      <c r="Q1961">
        <v>93</v>
      </c>
      <c r="R1961">
        <v>469</v>
      </c>
    </row>
    <row r="1962" spans="1:18" x14ac:dyDescent="0.2">
      <c r="A1962">
        <v>5</v>
      </c>
      <c r="B1962" t="s">
        <v>102</v>
      </c>
      <c r="E1962" t="s">
        <v>36</v>
      </c>
      <c r="F1962">
        <v>2475651</v>
      </c>
      <c r="G1962">
        <v>4</v>
      </c>
      <c r="H1962">
        <v>3</v>
      </c>
      <c r="I1962">
        <v>893</v>
      </c>
      <c r="J1962">
        <v>2009</v>
      </c>
      <c r="K1962" s="4">
        <v>44697</v>
      </c>
      <c r="L1962" t="s">
        <v>26</v>
      </c>
      <c r="M1962" t="s">
        <v>52</v>
      </c>
      <c r="N1962">
        <v>2.66</v>
      </c>
      <c r="O1962">
        <v>1042</v>
      </c>
      <c r="P1962">
        <v>4.0199999999999996</v>
      </c>
      <c r="Q1962">
        <v>188</v>
      </c>
      <c r="R1962">
        <v>421</v>
      </c>
    </row>
    <row r="1963" spans="1:18" x14ac:dyDescent="0.2">
      <c r="A1963">
        <v>8</v>
      </c>
      <c r="B1963" t="s">
        <v>86</v>
      </c>
      <c r="E1963" t="s">
        <v>19</v>
      </c>
      <c r="F1963">
        <v>1776235</v>
      </c>
      <c r="G1963">
        <v>2</v>
      </c>
      <c r="H1963">
        <v>2</v>
      </c>
      <c r="I1963">
        <v>592</v>
      </c>
      <c r="J1963">
        <v>1988</v>
      </c>
      <c r="K1963" s="4">
        <v>45692</v>
      </c>
      <c r="L1963" t="s">
        <v>23</v>
      </c>
      <c r="M1963" t="s">
        <v>60</v>
      </c>
      <c r="N1963">
        <v>2.41</v>
      </c>
      <c r="O1963">
        <v>2038</v>
      </c>
      <c r="P1963">
        <v>1.75</v>
      </c>
      <c r="Q1963">
        <v>105</v>
      </c>
      <c r="R1963">
        <v>573</v>
      </c>
    </row>
    <row r="1964" spans="1:18" x14ac:dyDescent="0.2">
      <c r="A1964">
        <v>3</v>
      </c>
      <c r="B1964" t="s">
        <v>32</v>
      </c>
      <c r="E1964" t="s">
        <v>29</v>
      </c>
      <c r="F1964">
        <v>2462450</v>
      </c>
      <c r="G1964">
        <v>6</v>
      </c>
      <c r="H1964">
        <v>1</v>
      </c>
      <c r="I1964">
        <v>702</v>
      </c>
      <c r="J1964">
        <v>1972</v>
      </c>
      <c r="K1964" s="4">
        <v>44405</v>
      </c>
      <c r="L1964" t="s">
        <v>26</v>
      </c>
      <c r="M1964" t="s">
        <v>27</v>
      </c>
      <c r="N1964">
        <v>2.67</v>
      </c>
      <c r="O1964">
        <v>1734</v>
      </c>
      <c r="P1964">
        <v>3.27</v>
      </c>
      <c r="Q1964">
        <v>330</v>
      </c>
      <c r="R1964">
        <v>603</v>
      </c>
    </row>
    <row r="1965" spans="1:18" x14ac:dyDescent="0.2">
      <c r="A1965">
        <v>6</v>
      </c>
      <c r="B1965" t="s">
        <v>67</v>
      </c>
      <c r="E1965" t="s">
        <v>51</v>
      </c>
      <c r="F1965">
        <v>2675937</v>
      </c>
      <c r="G1965">
        <v>2</v>
      </c>
      <c r="H1965">
        <v>2</v>
      </c>
      <c r="I1965">
        <v>899</v>
      </c>
      <c r="J1965">
        <v>1996</v>
      </c>
      <c r="K1965" s="4">
        <v>45657</v>
      </c>
      <c r="L1965" t="s">
        <v>20</v>
      </c>
      <c r="M1965" t="s">
        <v>21</v>
      </c>
      <c r="N1965">
        <v>2.48</v>
      </c>
      <c r="O1965">
        <v>1187</v>
      </c>
      <c r="P1965">
        <v>3.06</v>
      </c>
      <c r="Q1965">
        <v>138</v>
      </c>
      <c r="R1965">
        <v>512</v>
      </c>
    </row>
    <row r="1966" spans="1:18" x14ac:dyDescent="0.2">
      <c r="A1966">
        <v>9</v>
      </c>
      <c r="B1966" t="s">
        <v>95</v>
      </c>
      <c r="E1966" t="s">
        <v>19</v>
      </c>
      <c r="F1966">
        <v>1494916</v>
      </c>
      <c r="G1966">
        <v>3</v>
      </c>
      <c r="H1966">
        <v>1</v>
      </c>
      <c r="I1966">
        <v>802</v>
      </c>
      <c r="J1966">
        <v>2005</v>
      </c>
      <c r="K1966" s="4">
        <v>44217</v>
      </c>
      <c r="L1966" t="s">
        <v>30</v>
      </c>
      <c r="M1966" t="s">
        <v>77</v>
      </c>
      <c r="N1966">
        <v>3.46</v>
      </c>
      <c r="O1966">
        <v>1736</v>
      </c>
      <c r="P1966">
        <v>1.74</v>
      </c>
      <c r="Q1966">
        <v>204</v>
      </c>
      <c r="R1966">
        <v>448</v>
      </c>
    </row>
    <row r="1967" spans="1:18" x14ac:dyDescent="0.2">
      <c r="A1967">
        <v>3</v>
      </c>
      <c r="B1967" t="s">
        <v>25</v>
      </c>
      <c r="E1967" t="s">
        <v>36</v>
      </c>
      <c r="F1967">
        <v>2654346</v>
      </c>
      <c r="G1967">
        <v>3</v>
      </c>
      <c r="H1967">
        <v>1</v>
      </c>
      <c r="I1967">
        <v>981</v>
      </c>
      <c r="J1967">
        <v>1958</v>
      </c>
      <c r="K1967" s="4">
        <v>45363</v>
      </c>
      <c r="L1967" t="s">
        <v>30</v>
      </c>
      <c r="M1967" t="s">
        <v>21</v>
      </c>
      <c r="N1967">
        <v>2.02</v>
      </c>
      <c r="O1967">
        <v>1323</v>
      </c>
      <c r="P1967">
        <v>3.18</v>
      </c>
      <c r="Q1967">
        <v>163</v>
      </c>
      <c r="R1967">
        <v>548</v>
      </c>
    </row>
    <row r="1968" spans="1:18" x14ac:dyDescent="0.2">
      <c r="A1968">
        <v>6</v>
      </c>
      <c r="B1968" t="s">
        <v>38</v>
      </c>
      <c r="E1968" t="s">
        <v>51</v>
      </c>
      <c r="F1968">
        <v>2893479</v>
      </c>
      <c r="G1968">
        <v>6</v>
      </c>
      <c r="H1968">
        <v>1</v>
      </c>
      <c r="I1968">
        <v>489</v>
      </c>
      <c r="J1968">
        <v>1970</v>
      </c>
      <c r="K1968" s="4">
        <v>45144</v>
      </c>
      <c r="L1968" t="s">
        <v>20</v>
      </c>
      <c r="M1968" t="s">
        <v>89</v>
      </c>
      <c r="N1968">
        <v>2.23</v>
      </c>
      <c r="O1968">
        <v>1266</v>
      </c>
      <c r="P1968">
        <v>1.3</v>
      </c>
      <c r="Q1968">
        <v>393</v>
      </c>
      <c r="R1968">
        <v>590</v>
      </c>
    </row>
    <row r="1969" spans="1:18" x14ac:dyDescent="0.2">
      <c r="A1969">
        <v>4</v>
      </c>
      <c r="B1969" t="s">
        <v>62</v>
      </c>
      <c r="E1969" t="s">
        <v>29</v>
      </c>
      <c r="F1969">
        <v>1537522</v>
      </c>
      <c r="G1969">
        <v>3</v>
      </c>
      <c r="H1969">
        <v>3</v>
      </c>
      <c r="I1969">
        <v>576</v>
      </c>
      <c r="J1969">
        <v>2002</v>
      </c>
      <c r="K1969" s="4">
        <v>45839</v>
      </c>
      <c r="L1969" t="s">
        <v>26</v>
      </c>
      <c r="M1969" t="s">
        <v>58</v>
      </c>
      <c r="N1969">
        <v>2.4900000000000002</v>
      </c>
      <c r="O1969">
        <v>1502</v>
      </c>
      <c r="P1969">
        <v>4.22</v>
      </c>
      <c r="Q1969">
        <v>172</v>
      </c>
      <c r="R1969">
        <v>699</v>
      </c>
    </row>
    <row r="1970" spans="1:18" x14ac:dyDescent="0.2">
      <c r="A1970">
        <v>9</v>
      </c>
      <c r="B1970" t="s">
        <v>67</v>
      </c>
      <c r="E1970" t="s">
        <v>36</v>
      </c>
      <c r="F1970">
        <v>892322</v>
      </c>
      <c r="G1970">
        <v>0</v>
      </c>
      <c r="H1970">
        <v>2</v>
      </c>
      <c r="I1970">
        <v>585</v>
      </c>
      <c r="J1970">
        <v>2026</v>
      </c>
      <c r="K1970" s="4">
        <v>45210</v>
      </c>
      <c r="L1970" t="s">
        <v>30</v>
      </c>
      <c r="M1970" t="s">
        <v>54</v>
      </c>
      <c r="N1970">
        <v>1.69</v>
      </c>
      <c r="O1970">
        <v>1772</v>
      </c>
      <c r="P1970">
        <v>4.24</v>
      </c>
      <c r="Q1970">
        <v>53</v>
      </c>
      <c r="R1970">
        <v>575</v>
      </c>
    </row>
    <row r="1971" spans="1:18" x14ac:dyDescent="0.2">
      <c r="A1971">
        <v>0</v>
      </c>
      <c r="B1971" t="s">
        <v>94</v>
      </c>
      <c r="E1971" t="s">
        <v>29</v>
      </c>
      <c r="F1971">
        <v>2793084</v>
      </c>
      <c r="G1971">
        <v>3</v>
      </c>
      <c r="H1971">
        <v>1</v>
      </c>
      <c r="I1971">
        <v>196</v>
      </c>
      <c r="J1971">
        <v>1992</v>
      </c>
      <c r="K1971" s="4">
        <v>44373</v>
      </c>
      <c r="L1971" t="s">
        <v>20</v>
      </c>
      <c r="M1971" t="s">
        <v>77</v>
      </c>
      <c r="N1971">
        <v>3.44</v>
      </c>
      <c r="O1971">
        <v>1733</v>
      </c>
      <c r="P1971">
        <v>1.73</v>
      </c>
      <c r="Q1971">
        <v>233</v>
      </c>
      <c r="R1971">
        <v>325</v>
      </c>
    </row>
    <row r="1972" spans="1:18" x14ac:dyDescent="0.2">
      <c r="A1972">
        <v>2</v>
      </c>
      <c r="B1972" t="s">
        <v>61</v>
      </c>
      <c r="E1972" t="s">
        <v>36</v>
      </c>
      <c r="F1972">
        <v>1449009</v>
      </c>
      <c r="G1972">
        <v>4</v>
      </c>
      <c r="H1972">
        <v>3</v>
      </c>
      <c r="I1972">
        <v>207</v>
      </c>
      <c r="J1972">
        <v>2015</v>
      </c>
      <c r="K1972" s="4">
        <v>44330</v>
      </c>
      <c r="L1972" t="s">
        <v>20</v>
      </c>
      <c r="M1972" t="s">
        <v>40</v>
      </c>
      <c r="N1972">
        <v>2.02</v>
      </c>
      <c r="O1972">
        <v>1099</v>
      </c>
      <c r="P1972">
        <v>1.77</v>
      </c>
      <c r="Q1972">
        <v>397</v>
      </c>
      <c r="R1972">
        <v>549</v>
      </c>
    </row>
    <row r="1973" spans="1:18" x14ac:dyDescent="0.2">
      <c r="A1973">
        <v>3</v>
      </c>
      <c r="B1973" t="s">
        <v>50</v>
      </c>
      <c r="E1973" t="s">
        <v>29</v>
      </c>
      <c r="F1973">
        <v>2432392</v>
      </c>
      <c r="G1973">
        <v>4</v>
      </c>
      <c r="H1973">
        <v>3</v>
      </c>
      <c r="I1973">
        <v>183</v>
      </c>
      <c r="J1973">
        <v>1990</v>
      </c>
      <c r="K1973" s="4">
        <v>45063</v>
      </c>
      <c r="L1973" t="s">
        <v>20</v>
      </c>
      <c r="M1973" t="s">
        <v>97</v>
      </c>
      <c r="N1973">
        <v>2.65</v>
      </c>
      <c r="O1973">
        <v>877</v>
      </c>
      <c r="P1973">
        <v>2.0099999999999998</v>
      </c>
      <c r="Q1973">
        <v>359</v>
      </c>
      <c r="R1973">
        <v>676</v>
      </c>
    </row>
    <row r="1974" spans="1:18" x14ac:dyDescent="0.2">
      <c r="A1974">
        <v>5</v>
      </c>
      <c r="B1974" t="s">
        <v>38</v>
      </c>
      <c r="E1974" t="s">
        <v>51</v>
      </c>
      <c r="F1974">
        <v>901560</v>
      </c>
      <c r="G1974">
        <v>0</v>
      </c>
      <c r="H1974">
        <v>1</v>
      </c>
      <c r="I1974">
        <v>976</v>
      </c>
      <c r="J1974">
        <v>1998</v>
      </c>
      <c r="K1974" s="4">
        <v>45350</v>
      </c>
      <c r="L1974" t="s">
        <v>30</v>
      </c>
      <c r="M1974" t="s">
        <v>31</v>
      </c>
      <c r="N1974">
        <v>2.36</v>
      </c>
      <c r="O1974">
        <v>912</v>
      </c>
      <c r="P1974">
        <v>0.46</v>
      </c>
      <c r="Q1974">
        <v>57</v>
      </c>
      <c r="R1974">
        <v>405</v>
      </c>
    </row>
    <row r="1975" spans="1:18" x14ac:dyDescent="0.2">
      <c r="A1975">
        <v>7</v>
      </c>
      <c r="B1975" t="s">
        <v>90</v>
      </c>
      <c r="E1975" t="s">
        <v>36</v>
      </c>
      <c r="F1975">
        <v>535714</v>
      </c>
      <c r="G1975">
        <v>2</v>
      </c>
      <c r="H1975">
        <v>3</v>
      </c>
      <c r="I1975">
        <v>974</v>
      </c>
      <c r="J1975">
        <v>1956</v>
      </c>
      <c r="K1975" s="4">
        <v>45048</v>
      </c>
      <c r="L1975" t="s">
        <v>30</v>
      </c>
      <c r="M1975" t="s">
        <v>77</v>
      </c>
      <c r="N1975">
        <v>3.43</v>
      </c>
      <c r="O1975">
        <v>2386</v>
      </c>
      <c r="P1975">
        <v>0.14000000000000001</v>
      </c>
      <c r="Q1975">
        <v>81</v>
      </c>
      <c r="R1975">
        <v>430</v>
      </c>
    </row>
    <row r="1976" spans="1:18" x14ac:dyDescent="0.2">
      <c r="A1976">
        <v>2</v>
      </c>
      <c r="B1976" t="s">
        <v>18</v>
      </c>
      <c r="E1976" t="s">
        <v>51</v>
      </c>
      <c r="F1976">
        <v>1827374</v>
      </c>
      <c r="G1976">
        <v>3</v>
      </c>
      <c r="H1976">
        <v>3</v>
      </c>
      <c r="I1976">
        <v>697</v>
      </c>
      <c r="J1976">
        <v>2006</v>
      </c>
      <c r="K1976" s="4">
        <v>44729</v>
      </c>
      <c r="L1976" t="s">
        <v>26</v>
      </c>
      <c r="M1976" t="s">
        <v>78</v>
      </c>
      <c r="N1976">
        <v>1.56</v>
      </c>
      <c r="O1976">
        <v>1790</v>
      </c>
      <c r="P1976">
        <v>1.19</v>
      </c>
      <c r="Q1976">
        <v>182</v>
      </c>
      <c r="R1976">
        <v>598</v>
      </c>
    </row>
    <row r="1977" spans="1:18" x14ac:dyDescent="0.2">
      <c r="A1977">
        <v>4</v>
      </c>
      <c r="B1977" t="s">
        <v>87</v>
      </c>
      <c r="E1977" t="s">
        <v>19</v>
      </c>
      <c r="F1977">
        <v>1123153</v>
      </c>
      <c r="G1977">
        <v>5</v>
      </c>
      <c r="H1977">
        <v>2</v>
      </c>
      <c r="I1977">
        <v>442</v>
      </c>
      <c r="J1977">
        <v>1961</v>
      </c>
      <c r="K1977" s="4">
        <v>44968</v>
      </c>
      <c r="L1977" t="s">
        <v>26</v>
      </c>
      <c r="M1977" t="s">
        <v>85</v>
      </c>
      <c r="N1977">
        <v>1.5</v>
      </c>
      <c r="O1977">
        <v>837</v>
      </c>
      <c r="P1977">
        <v>3.62</v>
      </c>
      <c r="Q1977">
        <v>368</v>
      </c>
      <c r="R1977">
        <v>466</v>
      </c>
    </row>
    <row r="1978" spans="1:18" x14ac:dyDescent="0.2">
      <c r="A1978">
        <v>6</v>
      </c>
      <c r="B1978" t="s">
        <v>80</v>
      </c>
      <c r="E1978" t="s">
        <v>19</v>
      </c>
      <c r="F1978">
        <v>1663249</v>
      </c>
      <c r="G1978">
        <v>4</v>
      </c>
      <c r="H1978">
        <v>1</v>
      </c>
      <c r="I1978">
        <v>978</v>
      </c>
      <c r="J1978">
        <v>1977</v>
      </c>
      <c r="K1978" s="4">
        <v>45280</v>
      </c>
      <c r="L1978" t="s">
        <v>23</v>
      </c>
      <c r="M1978" t="s">
        <v>59</v>
      </c>
      <c r="N1978">
        <v>2.35</v>
      </c>
      <c r="O1978">
        <v>1983</v>
      </c>
      <c r="P1978">
        <v>3.24</v>
      </c>
      <c r="Q1978">
        <v>209</v>
      </c>
      <c r="R1978">
        <v>627</v>
      </c>
    </row>
    <row r="1979" spans="1:18" x14ac:dyDescent="0.2">
      <c r="A1979">
        <v>0</v>
      </c>
      <c r="B1979" t="s">
        <v>65</v>
      </c>
      <c r="E1979" t="s">
        <v>51</v>
      </c>
      <c r="F1979">
        <v>2480408</v>
      </c>
      <c r="G1979">
        <v>5</v>
      </c>
      <c r="H1979">
        <v>2</v>
      </c>
      <c r="I1979">
        <v>342</v>
      </c>
      <c r="J1979">
        <v>1989</v>
      </c>
      <c r="K1979" s="4">
        <v>45076</v>
      </c>
      <c r="L1979" t="s">
        <v>20</v>
      </c>
      <c r="M1979" t="s">
        <v>59</v>
      </c>
      <c r="N1979">
        <v>1.96</v>
      </c>
      <c r="O1979">
        <v>1110</v>
      </c>
      <c r="P1979">
        <v>1.99</v>
      </c>
      <c r="Q1979">
        <v>247</v>
      </c>
      <c r="R1979">
        <v>313</v>
      </c>
    </row>
    <row r="1980" spans="1:18" x14ac:dyDescent="0.2">
      <c r="A1980">
        <v>0</v>
      </c>
      <c r="B1980" t="s">
        <v>48</v>
      </c>
      <c r="E1980" t="s">
        <v>29</v>
      </c>
      <c r="F1980">
        <v>973630</v>
      </c>
      <c r="G1980">
        <v>3</v>
      </c>
      <c r="H1980">
        <v>1</v>
      </c>
      <c r="I1980">
        <v>585</v>
      </c>
      <c r="J1980">
        <v>1966</v>
      </c>
      <c r="K1980" s="4">
        <v>45841</v>
      </c>
      <c r="L1980" t="s">
        <v>26</v>
      </c>
      <c r="M1980" t="s">
        <v>52</v>
      </c>
      <c r="N1980">
        <v>2.4</v>
      </c>
      <c r="O1980">
        <v>2407</v>
      </c>
      <c r="P1980">
        <v>2.96</v>
      </c>
      <c r="Q1980">
        <v>121</v>
      </c>
      <c r="R1980">
        <v>527</v>
      </c>
    </row>
    <row r="1981" spans="1:18" x14ac:dyDescent="0.2">
      <c r="A1981">
        <v>4</v>
      </c>
      <c r="B1981" t="s">
        <v>44</v>
      </c>
      <c r="E1981" t="s">
        <v>36</v>
      </c>
      <c r="F1981">
        <v>2687426</v>
      </c>
      <c r="G1981">
        <v>1</v>
      </c>
      <c r="H1981">
        <v>3</v>
      </c>
      <c r="I1981">
        <v>299</v>
      </c>
      <c r="J1981">
        <v>2006</v>
      </c>
      <c r="K1981" s="4">
        <v>45682</v>
      </c>
      <c r="L1981" t="s">
        <v>23</v>
      </c>
      <c r="M1981" t="s">
        <v>42</v>
      </c>
      <c r="N1981">
        <v>2.09</v>
      </c>
      <c r="O1981">
        <v>829</v>
      </c>
      <c r="P1981">
        <v>0.97</v>
      </c>
      <c r="Q1981">
        <v>97</v>
      </c>
      <c r="R1981">
        <v>587</v>
      </c>
    </row>
    <row r="1982" spans="1:18" x14ac:dyDescent="0.2">
      <c r="A1982">
        <v>9</v>
      </c>
      <c r="B1982" t="s">
        <v>81</v>
      </c>
      <c r="E1982" t="s">
        <v>19</v>
      </c>
      <c r="F1982">
        <v>1118968</v>
      </c>
      <c r="G1982">
        <v>4</v>
      </c>
      <c r="H1982">
        <v>3</v>
      </c>
      <c r="I1982">
        <v>226</v>
      </c>
      <c r="J1982">
        <v>1975</v>
      </c>
      <c r="K1982" s="4">
        <v>45451</v>
      </c>
      <c r="L1982" t="s">
        <v>23</v>
      </c>
      <c r="M1982" t="s">
        <v>40</v>
      </c>
      <c r="N1982">
        <v>2.63</v>
      </c>
      <c r="O1982">
        <v>2084</v>
      </c>
      <c r="P1982">
        <v>2.4300000000000002</v>
      </c>
      <c r="Q1982">
        <v>344</v>
      </c>
      <c r="R1982">
        <v>588</v>
      </c>
    </row>
    <row r="1983" spans="1:18" x14ac:dyDescent="0.2">
      <c r="A1983">
        <v>8</v>
      </c>
      <c r="B1983" t="s">
        <v>55</v>
      </c>
      <c r="E1983" t="s">
        <v>29</v>
      </c>
      <c r="F1983">
        <v>825605</v>
      </c>
      <c r="G1983">
        <v>3</v>
      </c>
      <c r="H1983">
        <v>2</v>
      </c>
      <c r="I1983">
        <v>93</v>
      </c>
      <c r="J1983">
        <v>1950</v>
      </c>
      <c r="K1983" s="4">
        <v>45457</v>
      </c>
      <c r="L1983" t="s">
        <v>20</v>
      </c>
      <c r="M1983" t="s">
        <v>89</v>
      </c>
      <c r="N1983">
        <v>2.12</v>
      </c>
      <c r="O1983">
        <v>1924</v>
      </c>
      <c r="P1983">
        <v>0.51</v>
      </c>
      <c r="Q1983">
        <v>116</v>
      </c>
      <c r="R1983">
        <v>381</v>
      </c>
    </row>
    <row r="1984" spans="1:18" x14ac:dyDescent="0.2">
      <c r="A1984">
        <v>9</v>
      </c>
      <c r="B1984" t="s">
        <v>61</v>
      </c>
      <c r="E1984" t="s">
        <v>29</v>
      </c>
      <c r="F1984">
        <v>1072864</v>
      </c>
      <c r="G1984">
        <v>1</v>
      </c>
      <c r="H1984">
        <v>1</v>
      </c>
      <c r="I1984">
        <v>175</v>
      </c>
      <c r="J1984">
        <v>1960</v>
      </c>
      <c r="K1984" s="4">
        <v>45512</v>
      </c>
      <c r="L1984" t="s">
        <v>30</v>
      </c>
      <c r="M1984" t="s">
        <v>66</v>
      </c>
      <c r="N1984">
        <v>2.56</v>
      </c>
      <c r="O1984">
        <v>2343</v>
      </c>
      <c r="P1984">
        <v>3.66</v>
      </c>
      <c r="Q1984">
        <v>130</v>
      </c>
      <c r="R1984">
        <v>461</v>
      </c>
    </row>
    <row r="1985" spans="1:18" x14ac:dyDescent="0.2">
      <c r="A1985">
        <v>5</v>
      </c>
      <c r="B1985" t="s">
        <v>32</v>
      </c>
      <c r="E1985" t="s">
        <v>36</v>
      </c>
      <c r="F1985">
        <v>1821814</v>
      </c>
      <c r="G1985">
        <v>5</v>
      </c>
      <c r="H1985">
        <v>1</v>
      </c>
      <c r="I1985">
        <v>812</v>
      </c>
      <c r="J1985">
        <v>1963</v>
      </c>
      <c r="K1985" s="4">
        <v>44215</v>
      </c>
      <c r="L1985" t="s">
        <v>26</v>
      </c>
      <c r="M1985" t="s">
        <v>85</v>
      </c>
      <c r="N1985">
        <v>3.17</v>
      </c>
      <c r="O1985">
        <v>2483</v>
      </c>
      <c r="P1985">
        <v>0.98</v>
      </c>
      <c r="Q1985">
        <v>377</v>
      </c>
      <c r="R1985">
        <v>577</v>
      </c>
    </row>
    <row r="1986" spans="1:18" x14ac:dyDescent="0.2">
      <c r="A1986">
        <v>1</v>
      </c>
      <c r="B1986" t="s">
        <v>43</v>
      </c>
      <c r="E1986" t="s">
        <v>19</v>
      </c>
      <c r="F1986">
        <v>2732261</v>
      </c>
      <c r="G1986">
        <v>3</v>
      </c>
      <c r="H1986">
        <v>1</v>
      </c>
      <c r="I1986">
        <v>172</v>
      </c>
      <c r="J1986">
        <v>1975</v>
      </c>
      <c r="K1986" s="4">
        <v>45544</v>
      </c>
      <c r="L1986" t="s">
        <v>26</v>
      </c>
      <c r="M1986" t="s">
        <v>76</v>
      </c>
      <c r="N1986">
        <v>1.73</v>
      </c>
      <c r="O1986">
        <v>2489</v>
      </c>
      <c r="P1986">
        <v>2.74</v>
      </c>
      <c r="Q1986">
        <v>177</v>
      </c>
      <c r="R1986">
        <v>692</v>
      </c>
    </row>
    <row r="1987" spans="1:18" x14ac:dyDescent="0.2">
      <c r="A1987">
        <v>6</v>
      </c>
      <c r="B1987" t="s">
        <v>57</v>
      </c>
      <c r="E1987" t="s">
        <v>29</v>
      </c>
      <c r="F1987">
        <v>524733</v>
      </c>
      <c r="G1987">
        <v>3</v>
      </c>
      <c r="H1987">
        <v>2</v>
      </c>
      <c r="I1987">
        <v>848</v>
      </c>
      <c r="J1987">
        <v>1953</v>
      </c>
      <c r="K1987" s="4">
        <v>44077</v>
      </c>
      <c r="L1987" t="s">
        <v>26</v>
      </c>
      <c r="M1987" t="s">
        <v>69</v>
      </c>
      <c r="N1987">
        <v>1.6</v>
      </c>
      <c r="O1987">
        <v>1400</v>
      </c>
      <c r="P1987">
        <v>3.31</v>
      </c>
      <c r="Q1987">
        <v>140</v>
      </c>
      <c r="R1987">
        <v>307</v>
      </c>
    </row>
    <row r="1988" spans="1:18" x14ac:dyDescent="0.2">
      <c r="A1988">
        <v>2</v>
      </c>
      <c r="B1988" t="s">
        <v>101</v>
      </c>
      <c r="E1988" t="s">
        <v>51</v>
      </c>
      <c r="F1988">
        <v>2001601</v>
      </c>
      <c r="G1988">
        <v>3</v>
      </c>
      <c r="H1988">
        <v>1</v>
      </c>
      <c r="I1988">
        <v>788</v>
      </c>
      <c r="J1988">
        <v>1969</v>
      </c>
      <c r="K1988" s="4">
        <v>45168</v>
      </c>
      <c r="L1988" t="s">
        <v>23</v>
      </c>
      <c r="M1988" t="s">
        <v>33</v>
      </c>
      <c r="N1988">
        <v>3.12</v>
      </c>
      <c r="O1988">
        <v>857</v>
      </c>
      <c r="P1988">
        <v>1.76</v>
      </c>
      <c r="Q1988">
        <v>117</v>
      </c>
      <c r="R1988">
        <v>447</v>
      </c>
    </row>
    <row r="1989" spans="1:18" x14ac:dyDescent="0.2">
      <c r="A1989">
        <v>3</v>
      </c>
      <c r="B1989" t="s">
        <v>101</v>
      </c>
      <c r="E1989" t="s">
        <v>29</v>
      </c>
      <c r="F1989">
        <v>2274525</v>
      </c>
      <c r="G1989">
        <v>3</v>
      </c>
      <c r="H1989">
        <v>2</v>
      </c>
      <c r="I1989">
        <v>965</v>
      </c>
      <c r="J1989">
        <v>1951</v>
      </c>
      <c r="K1989" s="4">
        <v>45589</v>
      </c>
      <c r="L1989" t="s">
        <v>30</v>
      </c>
      <c r="M1989" t="s">
        <v>37</v>
      </c>
      <c r="N1989">
        <v>3.33</v>
      </c>
      <c r="O1989">
        <v>2075</v>
      </c>
      <c r="P1989">
        <v>2.91</v>
      </c>
      <c r="Q1989">
        <v>119</v>
      </c>
      <c r="R1989">
        <v>517</v>
      </c>
    </row>
    <row r="1990" spans="1:18" x14ac:dyDescent="0.2">
      <c r="A1990">
        <v>1</v>
      </c>
      <c r="B1990" t="s">
        <v>100</v>
      </c>
      <c r="E1990" t="s">
        <v>19</v>
      </c>
      <c r="F1990">
        <v>2206590</v>
      </c>
      <c r="G1990">
        <v>3</v>
      </c>
      <c r="H1990">
        <v>2</v>
      </c>
      <c r="I1990">
        <v>945</v>
      </c>
      <c r="J1990">
        <v>2021</v>
      </c>
      <c r="K1990" s="4">
        <v>44843</v>
      </c>
      <c r="L1990" t="s">
        <v>30</v>
      </c>
      <c r="M1990" t="s">
        <v>52</v>
      </c>
      <c r="N1990">
        <v>2.14</v>
      </c>
      <c r="O1990">
        <v>1286</v>
      </c>
      <c r="P1990">
        <v>1.74</v>
      </c>
      <c r="Q1990">
        <v>94</v>
      </c>
      <c r="R1990">
        <v>491</v>
      </c>
    </row>
    <row r="1991" spans="1:18" x14ac:dyDescent="0.2">
      <c r="A1991">
        <v>3</v>
      </c>
      <c r="B1991" t="s">
        <v>67</v>
      </c>
      <c r="E1991" t="s">
        <v>19</v>
      </c>
      <c r="F1991">
        <v>794148</v>
      </c>
      <c r="G1991">
        <v>3</v>
      </c>
      <c r="H1991">
        <v>2</v>
      </c>
      <c r="I1991">
        <v>331</v>
      </c>
      <c r="J1991">
        <v>1951</v>
      </c>
      <c r="K1991" s="4">
        <v>45717</v>
      </c>
      <c r="L1991" t="s">
        <v>23</v>
      </c>
      <c r="M1991" t="s">
        <v>52</v>
      </c>
      <c r="N1991">
        <v>2.88</v>
      </c>
      <c r="O1991">
        <v>2181</v>
      </c>
      <c r="P1991">
        <v>3.72</v>
      </c>
      <c r="Q1991">
        <v>120</v>
      </c>
      <c r="R1991">
        <v>682</v>
      </c>
    </row>
    <row r="1992" spans="1:18" x14ac:dyDescent="0.2">
      <c r="A1992">
        <v>7</v>
      </c>
      <c r="B1992" t="s">
        <v>90</v>
      </c>
      <c r="E1992" t="s">
        <v>36</v>
      </c>
      <c r="F1992">
        <v>2279020</v>
      </c>
      <c r="G1992">
        <v>3</v>
      </c>
      <c r="H1992">
        <v>1</v>
      </c>
      <c r="I1992">
        <v>868</v>
      </c>
      <c r="J1992">
        <v>1964</v>
      </c>
      <c r="K1992" s="4">
        <v>44617</v>
      </c>
      <c r="L1992" t="s">
        <v>26</v>
      </c>
      <c r="M1992" t="s">
        <v>85</v>
      </c>
      <c r="N1992">
        <v>1.52</v>
      </c>
      <c r="O1992">
        <v>1945</v>
      </c>
      <c r="P1992">
        <v>4.3099999999999996</v>
      </c>
      <c r="Q1992">
        <v>161</v>
      </c>
      <c r="R1992">
        <v>415</v>
      </c>
    </row>
    <row r="1993" spans="1:18" x14ac:dyDescent="0.2">
      <c r="A1993">
        <v>6</v>
      </c>
      <c r="B1993" t="s">
        <v>87</v>
      </c>
      <c r="E1993" t="s">
        <v>51</v>
      </c>
      <c r="F1993">
        <v>2905573</v>
      </c>
      <c r="G1993">
        <v>1</v>
      </c>
      <c r="H1993">
        <v>1</v>
      </c>
      <c r="I1993">
        <v>418</v>
      </c>
      <c r="J1993">
        <v>2008</v>
      </c>
      <c r="K1993" s="4">
        <v>44546</v>
      </c>
      <c r="L1993" t="s">
        <v>30</v>
      </c>
      <c r="M1993" t="s">
        <v>35</v>
      </c>
      <c r="N1993">
        <v>2.33</v>
      </c>
      <c r="O1993">
        <v>1888</v>
      </c>
      <c r="P1993">
        <v>4.57</v>
      </c>
      <c r="Q1993">
        <v>128</v>
      </c>
      <c r="R1993">
        <v>399</v>
      </c>
    </row>
    <row r="1994" spans="1:18" x14ac:dyDescent="0.2">
      <c r="A1994">
        <v>4</v>
      </c>
      <c r="B1994" t="s">
        <v>46</v>
      </c>
      <c r="E1994" t="s">
        <v>36</v>
      </c>
      <c r="F1994">
        <v>2061029</v>
      </c>
      <c r="G1994">
        <v>1</v>
      </c>
      <c r="H1994">
        <v>3</v>
      </c>
      <c r="I1994">
        <v>90</v>
      </c>
      <c r="J1994">
        <v>1974</v>
      </c>
      <c r="K1994" s="4">
        <v>44531</v>
      </c>
      <c r="L1994" t="s">
        <v>20</v>
      </c>
      <c r="M1994" t="s">
        <v>76</v>
      </c>
      <c r="N1994">
        <v>1.93</v>
      </c>
      <c r="O1994">
        <v>1322</v>
      </c>
      <c r="P1994">
        <v>4.4000000000000004</v>
      </c>
      <c r="Q1994">
        <v>67</v>
      </c>
      <c r="R1994">
        <v>514</v>
      </c>
    </row>
    <row r="1995" spans="1:18" x14ac:dyDescent="0.2">
      <c r="A1995">
        <v>1</v>
      </c>
      <c r="B1995" t="s">
        <v>67</v>
      </c>
      <c r="E1995" t="s">
        <v>29</v>
      </c>
      <c r="F1995">
        <v>1029878</v>
      </c>
      <c r="G1995">
        <v>4</v>
      </c>
      <c r="H1995">
        <v>1</v>
      </c>
      <c r="I1995">
        <v>73</v>
      </c>
      <c r="J1995">
        <v>2018</v>
      </c>
      <c r="K1995" s="4">
        <v>44938</v>
      </c>
      <c r="L1995" t="s">
        <v>20</v>
      </c>
      <c r="M1995" t="s">
        <v>42</v>
      </c>
      <c r="N1995">
        <v>3.06</v>
      </c>
      <c r="O1995">
        <v>1894</v>
      </c>
      <c r="P1995">
        <v>2.2799999999999998</v>
      </c>
      <c r="Q1995">
        <v>337</v>
      </c>
      <c r="R1995">
        <v>592</v>
      </c>
    </row>
    <row r="1996" spans="1:18" x14ac:dyDescent="0.2">
      <c r="A1996">
        <v>6</v>
      </c>
      <c r="B1996" t="s">
        <v>49</v>
      </c>
      <c r="E1996" t="s">
        <v>51</v>
      </c>
      <c r="F1996">
        <v>2488853</v>
      </c>
      <c r="G1996">
        <v>1</v>
      </c>
      <c r="H1996">
        <v>3</v>
      </c>
      <c r="I1996">
        <v>387</v>
      </c>
      <c r="J1996">
        <v>2016</v>
      </c>
      <c r="K1996" s="4">
        <v>44860</v>
      </c>
      <c r="L1996" t="s">
        <v>23</v>
      </c>
      <c r="M1996" t="s">
        <v>21</v>
      </c>
      <c r="N1996">
        <v>2.46</v>
      </c>
      <c r="O1996">
        <v>1721</v>
      </c>
      <c r="P1996">
        <v>0.28999999999999998</v>
      </c>
      <c r="Q1996">
        <v>79</v>
      </c>
      <c r="R1996">
        <v>356</v>
      </c>
    </row>
    <row r="1997" spans="1:18" x14ac:dyDescent="0.2">
      <c r="A1997">
        <v>2</v>
      </c>
      <c r="B1997" t="s">
        <v>72</v>
      </c>
      <c r="E1997" t="s">
        <v>36</v>
      </c>
      <c r="F1997">
        <v>1249589</v>
      </c>
      <c r="G1997">
        <v>3</v>
      </c>
      <c r="H1997">
        <v>2</v>
      </c>
      <c r="I1997">
        <v>567</v>
      </c>
      <c r="J1997">
        <v>2003</v>
      </c>
      <c r="K1997" s="4">
        <v>45572</v>
      </c>
      <c r="L1997" t="s">
        <v>23</v>
      </c>
      <c r="M1997" t="s">
        <v>77</v>
      </c>
      <c r="N1997">
        <v>2.21</v>
      </c>
      <c r="O1997">
        <v>1917</v>
      </c>
      <c r="P1997">
        <v>4.34</v>
      </c>
      <c r="Q1997">
        <v>183</v>
      </c>
      <c r="R1997">
        <v>512</v>
      </c>
    </row>
    <row r="1998" spans="1:18" x14ac:dyDescent="0.2">
      <c r="A1998">
        <v>5</v>
      </c>
      <c r="B1998" t="s">
        <v>102</v>
      </c>
      <c r="E1998" t="s">
        <v>29</v>
      </c>
      <c r="F1998">
        <v>1656259</v>
      </c>
      <c r="G1998">
        <v>2</v>
      </c>
      <c r="H1998">
        <v>1</v>
      </c>
      <c r="I1998">
        <v>421</v>
      </c>
      <c r="J1998">
        <v>1978</v>
      </c>
      <c r="K1998" s="4">
        <v>44659</v>
      </c>
      <c r="L1998" t="s">
        <v>20</v>
      </c>
      <c r="M1998" t="s">
        <v>47</v>
      </c>
      <c r="N1998">
        <v>3.46</v>
      </c>
      <c r="O1998">
        <v>1558</v>
      </c>
      <c r="P1998">
        <v>0.71</v>
      </c>
      <c r="Q1998">
        <v>50</v>
      </c>
      <c r="R1998">
        <v>590</v>
      </c>
    </row>
    <row r="1999" spans="1:18" x14ac:dyDescent="0.2">
      <c r="A1999">
        <v>4</v>
      </c>
      <c r="B1999" t="s">
        <v>53</v>
      </c>
      <c r="E1999" t="s">
        <v>29</v>
      </c>
      <c r="F1999">
        <v>2876870</v>
      </c>
      <c r="G1999">
        <v>4</v>
      </c>
      <c r="H1999">
        <v>2</v>
      </c>
      <c r="I1999">
        <v>708</v>
      </c>
      <c r="J1999">
        <v>1979</v>
      </c>
      <c r="K1999" s="4">
        <v>45541</v>
      </c>
      <c r="L1999" t="s">
        <v>20</v>
      </c>
      <c r="M1999" t="s">
        <v>37</v>
      </c>
      <c r="N1999">
        <v>2.6</v>
      </c>
      <c r="O1999">
        <v>1363</v>
      </c>
      <c r="P1999">
        <v>4.78</v>
      </c>
      <c r="Q1999">
        <v>235</v>
      </c>
      <c r="R1999">
        <v>359</v>
      </c>
    </row>
    <row r="2000" spans="1:18" x14ac:dyDescent="0.2">
      <c r="A2000">
        <v>0</v>
      </c>
      <c r="B2000" t="s">
        <v>81</v>
      </c>
      <c r="E2000" t="s">
        <v>29</v>
      </c>
      <c r="F2000">
        <v>1910750</v>
      </c>
      <c r="G2000">
        <v>3</v>
      </c>
      <c r="H2000">
        <v>3</v>
      </c>
      <c r="I2000">
        <v>828</v>
      </c>
      <c r="J2000">
        <v>1963</v>
      </c>
      <c r="K2000" s="4">
        <v>44798</v>
      </c>
      <c r="L2000" t="s">
        <v>26</v>
      </c>
      <c r="M2000" t="s">
        <v>82</v>
      </c>
      <c r="N2000">
        <v>3.14</v>
      </c>
      <c r="O2000">
        <v>909</v>
      </c>
      <c r="P2000">
        <v>2.12</v>
      </c>
      <c r="Q2000">
        <v>128</v>
      </c>
      <c r="R2000">
        <v>469</v>
      </c>
    </row>
    <row r="2001" spans="1:18" x14ac:dyDescent="0.2">
      <c r="A2001">
        <v>8</v>
      </c>
      <c r="B2001" t="s">
        <v>88</v>
      </c>
      <c r="E2001" t="s">
        <v>51</v>
      </c>
      <c r="F2001">
        <v>1404350</v>
      </c>
      <c r="G2001">
        <v>1</v>
      </c>
      <c r="H2001">
        <v>1</v>
      </c>
      <c r="I2001">
        <v>70</v>
      </c>
      <c r="J2001">
        <v>1968</v>
      </c>
      <c r="K2001" s="4">
        <v>44985</v>
      </c>
      <c r="L2001" t="s">
        <v>26</v>
      </c>
      <c r="M2001" t="s">
        <v>74</v>
      </c>
      <c r="N2001">
        <v>1.74</v>
      </c>
      <c r="O2001">
        <v>1827</v>
      </c>
      <c r="P2001">
        <v>2.58</v>
      </c>
      <c r="Q2001">
        <v>119</v>
      </c>
      <c r="R2001">
        <v>397</v>
      </c>
    </row>
    <row r="2002" spans="1:18" x14ac:dyDescent="0.2">
      <c r="A2002">
        <v>8</v>
      </c>
      <c r="B2002" t="s">
        <v>94</v>
      </c>
      <c r="E2002" t="s">
        <v>51</v>
      </c>
      <c r="F2002">
        <v>1819559</v>
      </c>
      <c r="G2002">
        <v>4</v>
      </c>
      <c r="H2002">
        <v>3</v>
      </c>
      <c r="I2002">
        <v>362</v>
      </c>
      <c r="J2002">
        <v>2005</v>
      </c>
      <c r="K2002" s="4">
        <v>45250</v>
      </c>
      <c r="L2002" t="s">
        <v>30</v>
      </c>
      <c r="M2002" t="s">
        <v>76</v>
      </c>
      <c r="N2002">
        <v>3.46</v>
      </c>
      <c r="O2002">
        <v>1819</v>
      </c>
      <c r="P2002">
        <v>0.59</v>
      </c>
      <c r="Q2002">
        <v>257</v>
      </c>
      <c r="R2002">
        <v>375</v>
      </c>
    </row>
    <row r="2003" spans="1:18" x14ac:dyDescent="0.2">
      <c r="A2003">
        <v>1</v>
      </c>
      <c r="B2003" t="s">
        <v>41</v>
      </c>
      <c r="E2003" t="s">
        <v>29</v>
      </c>
      <c r="F2003">
        <v>2262602</v>
      </c>
      <c r="G2003">
        <v>2</v>
      </c>
      <c r="H2003">
        <v>3</v>
      </c>
      <c r="I2003">
        <v>639</v>
      </c>
      <c r="J2003">
        <v>1964</v>
      </c>
      <c r="K2003" s="4">
        <v>44322</v>
      </c>
      <c r="L2003" t="s">
        <v>26</v>
      </c>
      <c r="M2003" t="s">
        <v>89</v>
      </c>
      <c r="N2003">
        <v>2.67</v>
      </c>
      <c r="O2003">
        <v>1393</v>
      </c>
      <c r="P2003">
        <v>1.44</v>
      </c>
      <c r="Q2003">
        <v>42</v>
      </c>
      <c r="R2003">
        <v>446</v>
      </c>
    </row>
    <row r="2004" spans="1:18" x14ac:dyDescent="0.2">
      <c r="A2004">
        <v>0</v>
      </c>
      <c r="B2004" t="s">
        <v>92</v>
      </c>
      <c r="E2004" t="s">
        <v>51</v>
      </c>
      <c r="F2004">
        <v>2154086</v>
      </c>
      <c r="G2004">
        <v>3</v>
      </c>
      <c r="H2004">
        <v>2</v>
      </c>
      <c r="I2004">
        <v>64</v>
      </c>
      <c r="J2004">
        <v>2001</v>
      </c>
      <c r="K2004" s="4">
        <v>45269</v>
      </c>
      <c r="L2004" t="s">
        <v>20</v>
      </c>
      <c r="M2004" t="s">
        <v>63</v>
      </c>
      <c r="N2004">
        <v>3.03</v>
      </c>
      <c r="O2004">
        <v>1258</v>
      </c>
      <c r="P2004">
        <v>1.6</v>
      </c>
      <c r="Q2004">
        <v>172</v>
      </c>
      <c r="R2004">
        <v>504</v>
      </c>
    </row>
    <row r="2005" spans="1:18" x14ac:dyDescent="0.2">
      <c r="A2005">
        <v>7</v>
      </c>
      <c r="B2005" t="s">
        <v>46</v>
      </c>
      <c r="E2005" t="s">
        <v>19</v>
      </c>
      <c r="F2005">
        <v>2744672</v>
      </c>
      <c r="G2005">
        <v>1</v>
      </c>
      <c r="H2005">
        <v>2</v>
      </c>
      <c r="I2005">
        <v>250</v>
      </c>
      <c r="J2005">
        <v>1975</v>
      </c>
      <c r="K2005" s="4">
        <v>45653</v>
      </c>
      <c r="L2005" t="s">
        <v>30</v>
      </c>
      <c r="M2005" t="s">
        <v>68</v>
      </c>
      <c r="N2005">
        <v>2.21</v>
      </c>
      <c r="O2005">
        <v>1257</v>
      </c>
      <c r="P2005">
        <v>3.94</v>
      </c>
      <c r="Q2005">
        <v>139</v>
      </c>
      <c r="R2005">
        <v>358</v>
      </c>
    </row>
    <row r="2006" spans="1:18" x14ac:dyDescent="0.2">
      <c r="A2006">
        <v>1</v>
      </c>
      <c r="B2006" t="s">
        <v>34</v>
      </c>
      <c r="E2006" t="s">
        <v>29</v>
      </c>
      <c r="F2006">
        <v>850569</v>
      </c>
      <c r="G2006">
        <v>3</v>
      </c>
      <c r="H2006">
        <v>2</v>
      </c>
      <c r="I2006">
        <v>88</v>
      </c>
      <c r="J2006">
        <v>1955</v>
      </c>
      <c r="K2006" s="4">
        <v>45796</v>
      </c>
      <c r="L2006" t="s">
        <v>26</v>
      </c>
      <c r="M2006" t="s">
        <v>59</v>
      </c>
      <c r="N2006">
        <v>2.15</v>
      </c>
      <c r="O2006">
        <v>2391</v>
      </c>
      <c r="P2006">
        <v>3.19</v>
      </c>
      <c r="Q2006">
        <v>148</v>
      </c>
      <c r="R2006">
        <v>429</v>
      </c>
    </row>
    <row r="2007" spans="1:18" x14ac:dyDescent="0.2">
      <c r="A2007">
        <v>3</v>
      </c>
      <c r="B2007" t="s">
        <v>39</v>
      </c>
      <c r="E2007" t="s">
        <v>19</v>
      </c>
      <c r="F2007">
        <v>794288</v>
      </c>
      <c r="G2007">
        <v>3</v>
      </c>
      <c r="H2007">
        <v>2</v>
      </c>
      <c r="I2007">
        <v>401</v>
      </c>
      <c r="J2007">
        <v>1954</v>
      </c>
      <c r="K2007" s="4">
        <v>45789</v>
      </c>
      <c r="L2007" t="s">
        <v>23</v>
      </c>
      <c r="M2007" t="s">
        <v>58</v>
      </c>
      <c r="N2007">
        <v>2.62</v>
      </c>
      <c r="O2007">
        <v>1260</v>
      </c>
      <c r="P2007">
        <v>4.72</v>
      </c>
      <c r="Q2007">
        <v>214</v>
      </c>
      <c r="R2007">
        <v>602</v>
      </c>
    </row>
    <row r="2008" spans="1:18" x14ac:dyDescent="0.2">
      <c r="A2008">
        <v>4</v>
      </c>
      <c r="B2008" t="s">
        <v>96</v>
      </c>
      <c r="E2008" t="s">
        <v>51</v>
      </c>
      <c r="F2008">
        <v>2929713</v>
      </c>
      <c r="G2008">
        <v>2</v>
      </c>
      <c r="H2008">
        <v>1</v>
      </c>
      <c r="I2008">
        <v>621</v>
      </c>
      <c r="J2008">
        <v>2006</v>
      </c>
      <c r="K2008" s="4">
        <v>45102</v>
      </c>
      <c r="L2008" t="s">
        <v>20</v>
      </c>
      <c r="M2008" t="s">
        <v>70</v>
      </c>
      <c r="N2008">
        <v>3.38</v>
      </c>
      <c r="O2008">
        <v>1113</v>
      </c>
      <c r="P2008">
        <v>1.1399999999999999</v>
      </c>
      <c r="Q2008">
        <v>236</v>
      </c>
      <c r="R2008">
        <v>611</v>
      </c>
    </row>
    <row r="2009" spans="1:18" x14ac:dyDescent="0.2">
      <c r="A2009">
        <v>0</v>
      </c>
      <c r="B2009" t="s">
        <v>79</v>
      </c>
      <c r="E2009" t="s">
        <v>51</v>
      </c>
      <c r="F2009">
        <v>2756271</v>
      </c>
      <c r="G2009">
        <v>4</v>
      </c>
      <c r="H2009">
        <v>3</v>
      </c>
      <c r="I2009">
        <v>838</v>
      </c>
      <c r="J2009">
        <v>2002</v>
      </c>
      <c r="K2009" s="4">
        <v>44901</v>
      </c>
      <c r="L2009" t="s">
        <v>20</v>
      </c>
      <c r="M2009" t="s">
        <v>54</v>
      </c>
      <c r="N2009">
        <v>2.21</v>
      </c>
      <c r="O2009">
        <v>2337</v>
      </c>
      <c r="P2009">
        <v>4.8</v>
      </c>
      <c r="Q2009">
        <v>378</v>
      </c>
      <c r="R2009">
        <v>495</v>
      </c>
    </row>
    <row r="2010" spans="1:18" x14ac:dyDescent="0.2">
      <c r="A2010">
        <v>7</v>
      </c>
      <c r="B2010" t="s">
        <v>48</v>
      </c>
      <c r="E2010" t="s">
        <v>29</v>
      </c>
      <c r="F2010">
        <v>1347178</v>
      </c>
      <c r="G2010">
        <v>3</v>
      </c>
      <c r="H2010">
        <v>1</v>
      </c>
      <c r="I2010">
        <v>437</v>
      </c>
      <c r="J2010">
        <v>1951</v>
      </c>
      <c r="K2010" s="4">
        <v>45458</v>
      </c>
      <c r="L2010" t="s">
        <v>23</v>
      </c>
      <c r="M2010" t="s">
        <v>24</v>
      </c>
      <c r="N2010">
        <v>2.71</v>
      </c>
      <c r="O2010">
        <v>1322</v>
      </c>
      <c r="P2010">
        <v>2.5499999999999998</v>
      </c>
      <c r="Q2010">
        <v>210</v>
      </c>
      <c r="R2010">
        <v>663</v>
      </c>
    </row>
    <row r="2011" spans="1:18" x14ac:dyDescent="0.2">
      <c r="A2011">
        <v>4</v>
      </c>
      <c r="B2011" t="s">
        <v>96</v>
      </c>
      <c r="E2011" t="s">
        <v>29</v>
      </c>
      <c r="F2011">
        <v>2044840</v>
      </c>
      <c r="G2011">
        <v>3</v>
      </c>
      <c r="H2011">
        <v>3</v>
      </c>
      <c r="I2011">
        <v>122</v>
      </c>
      <c r="J2011">
        <v>2005</v>
      </c>
      <c r="K2011" s="4">
        <v>45827</v>
      </c>
      <c r="L2011" t="s">
        <v>30</v>
      </c>
      <c r="M2011" t="s">
        <v>76</v>
      </c>
      <c r="N2011">
        <v>2.71</v>
      </c>
      <c r="O2011">
        <v>1342</v>
      </c>
      <c r="P2011">
        <v>0.35</v>
      </c>
      <c r="Q2011">
        <v>161</v>
      </c>
      <c r="R2011">
        <v>672</v>
      </c>
    </row>
    <row r="2012" spans="1:18" x14ac:dyDescent="0.2">
      <c r="A2012">
        <v>1</v>
      </c>
      <c r="B2012" t="s">
        <v>87</v>
      </c>
      <c r="E2012" t="s">
        <v>36</v>
      </c>
      <c r="F2012">
        <v>2586329</v>
      </c>
      <c r="G2012">
        <v>5</v>
      </c>
      <c r="H2012">
        <v>1</v>
      </c>
      <c r="I2012">
        <v>73</v>
      </c>
      <c r="J2012">
        <v>2000</v>
      </c>
      <c r="K2012" s="4">
        <v>45630</v>
      </c>
      <c r="L2012" t="s">
        <v>26</v>
      </c>
      <c r="M2012" t="s">
        <v>63</v>
      </c>
      <c r="N2012">
        <v>2.94</v>
      </c>
      <c r="O2012">
        <v>1304</v>
      </c>
      <c r="P2012">
        <v>4.7300000000000004</v>
      </c>
      <c r="Q2012">
        <v>329</v>
      </c>
      <c r="R2012">
        <v>670</v>
      </c>
    </row>
    <row r="2013" spans="1:18" x14ac:dyDescent="0.2">
      <c r="A2013">
        <v>9</v>
      </c>
      <c r="B2013" t="s">
        <v>44</v>
      </c>
      <c r="E2013" t="s">
        <v>29</v>
      </c>
      <c r="F2013">
        <v>1515433</v>
      </c>
      <c r="G2013">
        <v>5</v>
      </c>
      <c r="H2013">
        <v>3</v>
      </c>
      <c r="I2013">
        <v>54</v>
      </c>
      <c r="J2013">
        <v>1961</v>
      </c>
      <c r="K2013" s="4">
        <v>45864</v>
      </c>
      <c r="L2013" t="s">
        <v>20</v>
      </c>
      <c r="M2013" t="s">
        <v>69</v>
      </c>
      <c r="N2013">
        <v>2.95</v>
      </c>
      <c r="O2013">
        <v>2110</v>
      </c>
      <c r="P2013">
        <v>2.2200000000000002</v>
      </c>
      <c r="Q2013">
        <v>248</v>
      </c>
      <c r="R2013">
        <v>328</v>
      </c>
    </row>
    <row r="2014" spans="1:18" x14ac:dyDescent="0.2">
      <c r="A2014">
        <v>7</v>
      </c>
      <c r="B2014" t="s">
        <v>99</v>
      </c>
      <c r="E2014" t="s">
        <v>19</v>
      </c>
      <c r="F2014">
        <v>1683904</v>
      </c>
      <c r="G2014">
        <v>1</v>
      </c>
      <c r="H2014">
        <v>3</v>
      </c>
      <c r="I2014">
        <v>685</v>
      </c>
      <c r="J2014">
        <v>1972</v>
      </c>
      <c r="K2014" s="4">
        <v>45299</v>
      </c>
      <c r="L2014" t="s">
        <v>26</v>
      </c>
      <c r="M2014" t="s">
        <v>31</v>
      </c>
      <c r="N2014">
        <v>3.03</v>
      </c>
      <c r="O2014">
        <v>1034</v>
      </c>
      <c r="P2014">
        <v>0.63</v>
      </c>
      <c r="Q2014">
        <v>102</v>
      </c>
      <c r="R2014">
        <v>595</v>
      </c>
    </row>
    <row r="2015" spans="1:18" x14ac:dyDescent="0.2">
      <c r="A2015">
        <v>6</v>
      </c>
      <c r="B2015" t="s">
        <v>92</v>
      </c>
      <c r="E2015" t="s">
        <v>51</v>
      </c>
      <c r="F2015">
        <v>957670</v>
      </c>
      <c r="G2015">
        <v>5</v>
      </c>
      <c r="H2015">
        <v>2</v>
      </c>
      <c r="I2015">
        <v>288</v>
      </c>
      <c r="J2015">
        <v>2013</v>
      </c>
      <c r="K2015" s="4">
        <v>45638</v>
      </c>
      <c r="L2015" t="s">
        <v>30</v>
      </c>
      <c r="M2015" t="s">
        <v>27</v>
      </c>
      <c r="N2015">
        <v>1.93</v>
      </c>
      <c r="O2015">
        <v>1327</v>
      </c>
      <c r="P2015">
        <v>2.69</v>
      </c>
      <c r="Q2015">
        <v>299</v>
      </c>
      <c r="R2015">
        <v>496</v>
      </c>
    </row>
    <row r="2016" spans="1:18" x14ac:dyDescent="0.2">
      <c r="A2016">
        <v>2</v>
      </c>
      <c r="B2016" t="s">
        <v>73</v>
      </c>
      <c r="E2016" t="s">
        <v>36</v>
      </c>
      <c r="F2016">
        <v>1693403</v>
      </c>
      <c r="G2016">
        <v>3</v>
      </c>
      <c r="H2016">
        <v>2</v>
      </c>
      <c r="I2016">
        <v>285</v>
      </c>
      <c r="J2016">
        <v>1993</v>
      </c>
      <c r="K2016" s="4">
        <v>44982</v>
      </c>
      <c r="L2016" t="s">
        <v>20</v>
      </c>
      <c r="M2016" t="s">
        <v>97</v>
      </c>
      <c r="N2016">
        <v>1.67</v>
      </c>
      <c r="O2016">
        <v>812</v>
      </c>
      <c r="P2016">
        <v>2.92</v>
      </c>
      <c r="Q2016">
        <v>303</v>
      </c>
      <c r="R2016">
        <v>549</v>
      </c>
    </row>
    <row r="2017" spans="1:18" x14ac:dyDescent="0.2">
      <c r="A2017">
        <v>4</v>
      </c>
      <c r="B2017" t="s">
        <v>62</v>
      </c>
      <c r="E2017" t="s">
        <v>29</v>
      </c>
      <c r="F2017">
        <v>2915502</v>
      </c>
      <c r="G2017">
        <v>4</v>
      </c>
      <c r="H2017">
        <v>1</v>
      </c>
      <c r="I2017">
        <v>741</v>
      </c>
      <c r="J2017">
        <v>1961</v>
      </c>
      <c r="K2017" s="4">
        <v>44665</v>
      </c>
      <c r="L2017" t="s">
        <v>30</v>
      </c>
      <c r="M2017" t="s">
        <v>27</v>
      </c>
      <c r="N2017">
        <v>2.66</v>
      </c>
      <c r="O2017">
        <v>1627</v>
      </c>
      <c r="P2017">
        <v>1.23</v>
      </c>
      <c r="Q2017">
        <v>207</v>
      </c>
      <c r="R2017">
        <v>439</v>
      </c>
    </row>
    <row r="2018" spans="1:18" x14ac:dyDescent="0.2">
      <c r="A2018">
        <v>8</v>
      </c>
      <c r="B2018" t="s">
        <v>57</v>
      </c>
      <c r="E2018" t="s">
        <v>19</v>
      </c>
      <c r="F2018">
        <v>848715</v>
      </c>
      <c r="G2018">
        <v>0</v>
      </c>
      <c r="H2018">
        <v>1</v>
      </c>
      <c r="I2018">
        <v>644</v>
      </c>
      <c r="J2018">
        <v>1976</v>
      </c>
      <c r="K2018" s="4">
        <v>44771</v>
      </c>
      <c r="L2018" t="s">
        <v>23</v>
      </c>
      <c r="M2018" t="s">
        <v>31</v>
      </c>
      <c r="N2018">
        <v>2.17</v>
      </c>
      <c r="O2018">
        <v>1701</v>
      </c>
      <c r="P2018">
        <v>3.04</v>
      </c>
      <c r="Q2018">
        <v>48</v>
      </c>
      <c r="R2018">
        <v>545</v>
      </c>
    </row>
    <row r="2019" spans="1:18" x14ac:dyDescent="0.2">
      <c r="A2019">
        <v>6</v>
      </c>
      <c r="B2019" t="s">
        <v>43</v>
      </c>
      <c r="E2019" t="s">
        <v>29</v>
      </c>
      <c r="F2019">
        <v>996036</v>
      </c>
      <c r="G2019">
        <v>6</v>
      </c>
      <c r="H2019">
        <v>1</v>
      </c>
      <c r="I2019">
        <v>578</v>
      </c>
      <c r="J2019">
        <v>1960</v>
      </c>
      <c r="K2019" s="4">
        <v>45881</v>
      </c>
      <c r="L2019" t="s">
        <v>23</v>
      </c>
      <c r="M2019" t="s">
        <v>89</v>
      </c>
      <c r="N2019">
        <v>1.96</v>
      </c>
      <c r="O2019">
        <v>1264</v>
      </c>
      <c r="P2019">
        <v>2.14</v>
      </c>
      <c r="Q2019">
        <v>388</v>
      </c>
      <c r="R2019">
        <v>646</v>
      </c>
    </row>
    <row r="2020" spans="1:18" x14ac:dyDescent="0.2">
      <c r="A2020">
        <v>0</v>
      </c>
      <c r="B2020" t="s">
        <v>80</v>
      </c>
      <c r="E2020" t="s">
        <v>51</v>
      </c>
      <c r="F2020">
        <v>1394505</v>
      </c>
      <c r="G2020">
        <v>1</v>
      </c>
      <c r="H2020">
        <v>2</v>
      </c>
      <c r="I2020">
        <v>692</v>
      </c>
      <c r="J2020">
        <v>2019</v>
      </c>
      <c r="K2020" s="4">
        <v>44388</v>
      </c>
      <c r="L2020" t="s">
        <v>30</v>
      </c>
      <c r="M2020" t="s">
        <v>66</v>
      </c>
      <c r="N2020">
        <v>1.81</v>
      </c>
      <c r="O2020">
        <v>2401</v>
      </c>
      <c r="P2020">
        <v>1.73</v>
      </c>
      <c r="Q2020">
        <v>111</v>
      </c>
      <c r="R2020">
        <v>682</v>
      </c>
    </row>
    <row r="2021" spans="1:18" x14ac:dyDescent="0.2">
      <c r="A2021">
        <v>8</v>
      </c>
      <c r="B2021" t="s">
        <v>62</v>
      </c>
      <c r="E2021" t="s">
        <v>36</v>
      </c>
      <c r="F2021">
        <v>2099007</v>
      </c>
      <c r="G2021">
        <v>4</v>
      </c>
      <c r="H2021">
        <v>2</v>
      </c>
      <c r="I2021">
        <v>336</v>
      </c>
      <c r="J2021">
        <v>2018</v>
      </c>
      <c r="K2021" s="4">
        <v>45324</v>
      </c>
      <c r="L2021" t="s">
        <v>26</v>
      </c>
      <c r="M2021" t="s">
        <v>45</v>
      </c>
      <c r="N2021">
        <v>2.59</v>
      </c>
      <c r="O2021">
        <v>1188</v>
      </c>
      <c r="P2021">
        <v>3.86</v>
      </c>
      <c r="Q2021">
        <v>297</v>
      </c>
      <c r="R2021">
        <v>312</v>
      </c>
    </row>
    <row r="2022" spans="1:18" x14ac:dyDescent="0.2">
      <c r="A2022">
        <v>4</v>
      </c>
      <c r="B2022" t="s">
        <v>94</v>
      </c>
      <c r="E2022" t="s">
        <v>19</v>
      </c>
      <c r="F2022">
        <v>2775113</v>
      </c>
      <c r="G2022">
        <v>3</v>
      </c>
      <c r="H2022">
        <v>1</v>
      </c>
      <c r="I2022">
        <v>650</v>
      </c>
      <c r="J2022">
        <v>1968</v>
      </c>
      <c r="K2022" s="4">
        <v>45266</v>
      </c>
      <c r="L2022" t="s">
        <v>20</v>
      </c>
      <c r="M2022" t="s">
        <v>78</v>
      </c>
      <c r="N2022">
        <v>1.68</v>
      </c>
      <c r="O2022">
        <v>1991</v>
      </c>
      <c r="P2022">
        <v>4.4800000000000004</v>
      </c>
      <c r="Q2022">
        <v>177</v>
      </c>
      <c r="R2022">
        <v>464</v>
      </c>
    </row>
    <row r="2023" spans="1:18" x14ac:dyDescent="0.2">
      <c r="A2023">
        <v>2</v>
      </c>
      <c r="B2023" t="s">
        <v>65</v>
      </c>
      <c r="E2023" t="s">
        <v>36</v>
      </c>
      <c r="F2023">
        <v>2316862</v>
      </c>
      <c r="G2023">
        <v>3</v>
      </c>
      <c r="H2023">
        <v>3</v>
      </c>
      <c r="I2023">
        <v>400</v>
      </c>
      <c r="J2023">
        <v>1975</v>
      </c>
      <c r="K2023" s="4">
        <v>45780</v>
      </c>
      <c r="L2023" t="s">
        <v>23</v>
      </c>
      <c r="M2023" t="s">
        <v>40</v>
      </c>
      <c r="N2023">
        <v>2.2000000000000002</v>
      </c>
      <c r="O2023">
        <v>1586</v>
      </c>
      <c r="P2023">
        <v>1.98</v>
      </c>
      <c r="Q2023">
        <v>249</v>
      </c>
      <c r="R2023">
        <v>559</v>
      </c>
    </row>
    <row r="2024" spans="1:18" x14ac:dyDescent="0.2">
      <c r="A2024">
        <v>6</v>
      </c>
      <c r="B2024" t="s">
        <v>93</v>
      </c>
      <c r="E2024" t="s">
        <v>51</v>
      </c>
      <c r="F2024">
        <v>800966</v>
      </c>
      <c r="G2024">
        <v>6</v>
      </c>
      <c r="H2024">
        <v>1</v>
      </c>
      <c r="I2024">
        <v>606</v>
      </c>
      <c r="J2024">
        <v>1999</v>
      </c>
      <c r="K2024" s="4">
        <v>44766</v>
      </c>
      <c r="L2024" t="s">
        <v>30</v>
      </c>
      <c r="M2024" t="s">
        <v>47</v>
      </c>
      <c r="N2024">
        <v>1.58</v>
      </c>
      <c r="O2024">
        <v>1646</v>
      </c>
      <c r="P2024">
        <v>4.9400000000000004</v>
      </c>
      <c r="Q2024">
        <v>360</v>
      </c>
      <c r="R2024">
        <v>438</v>
      </c>
    </row>
    <row r="2025" spans="1:18" x14ac:dyDescent="0.2">
      <c r="A2025">
        <v>4</v>
      </c>
      <c r="B2025" t="s">
        <v>102</v>
      </c>
      <c r="E2025" t="s">
        <v>29</v>
      </c>
      <c r="F2025">
        <v>2173917</v>
      </c>
      <c r="G2025">
        <v>4</v>
      </c>
      <c r="H2025">
        <v>1</v>
      </c>
      <c r="I2025">
        <v>812</v>
      </c>
      <c r="J2025">
        <v>2006</v>
      </c>
      <c r="K2025" s="4">
        <v>44070</v>
      </c>
      <c r="L2025" t="s">
        <v>20</v>
      </c>
      <c r="M2025" t="s">
        <v>68</v>
      </c>
      <c r="N2025">
        <v>2.16</v>
      </c>
      <c r="O2025">
        <v>1682</v>
      </c>
      <c r="P2025">
        <v>3.56</v>
      </c>
      <c r="Q2025">
        <v>395</v>
      </c>
      <c r="R2025">
        <v>410</v>
      </c>
    </row>
    <row r="2026" spans="1:18" x14ac:dyDescent="0.2">
      <c r="A2026">
        <v>1</v>
      </c>
      <c r="B2026" t="s">
        <v>75</v>
      </c>
      <c r="E2026" t="s">
        <v>36</v>
      </c>
      <c r="F2026">
        <v>2875169</v>
      </c>
      <c r="G2026">
        <v>4</v>
      </c>
      <c r="H2026">
        <v>3</v>
      </c>
      <c r="I2026">
        <v>835</v>
      </c>
      <c r="J2026">
        <v>1991</v>
      </c>
      <c r="K2026" s="4">
        <v>45181</v>
      </c>
      <c r="L2026" t="s">
        <v>26</v>
      </c>
      <c r="M2026" t="s">
        <v>24</v>
      </c>
      <c r="N2026">
        <v>2.86</v>
      </c>
      <c r="O2026">
        <v>1767</v>
      </c>
      <c r="P2026">
        <v>2.13</v>
      </c>
      <c r="Q2026">
        <v>283</v>
      </c>
      <c r="R2026">
        <v>419</v>
      </c>
    </row>
    <row r="2027" spans="1:18" x14ac:dyDescent="0.2">
      <c r="A2027">
        <v>5</v>
      </c>
      <c r="B2027" t="s">
        <v>18</v>
      </c>
      <c r="E2027" t="s">
        <v>51</v>
      </c>
      <c r="F2027">
        <v>2791971</v>
      </c>
      <c r="G2027">
        <v>3</v>
      </c>
      <c r="H2027">
        <v>2</v>
      </c>
      <c r="I2027">
        <v>163</v>
      </c>
      <c r="J2027">
        <v>2004</v>
      </c>
      <c r="K2027" s="4">
        <v>44856</v>
      </c>
      <c r="L2027" t="s">
        <v>20</v>
      </c>
      <c r="M2027" t="s">
        <v>76</v>
      </c>
      <c r="N2027">
        <v>1.6</v>
      </c>
      <c r="O2027">
        <v>1310</v>
      </c>
      <c r="P2027">
        <v>1.02</v>
      </c>
      <c r="Q2027">
        <v>210</v>
      </c>
      <c r="R2027">
        <v>322</v>
      </c>
    </row>
    <row r="2028" spans="1:18" x14ac:dyDescent="0.2">
      <c r="A2028">
        <v>5</v>
      </c>
      <c r="B2028" t="s">
        <v>50</v>
      </c>
      <c r="E2028" t="s">
        <v>36</v>
      </c>
      <c r="F2028">
        <v>442950</v>
      </c>
      <c r="G2028">
        <v>4</v>
      </c>
      <c r="H2028">
        <v>1</v>
      </c>
      <c r="I2028">
        <v>793</v>
      </c>
      <c r="J2028">
        <v>1959</v>
      </c>
      <c r="K2028" s="4">
        <v>45136</v>
      </c>
      <c r="L2028" t="s">
        <v>23</v>
      </c>
      <c r="M2028" t="s">
        <v>97</v>
      </c>
      <c r="N2028">
        <v>3.21</v>
      </c>
      <c r="O2028">
        <v>1680</v>
      </c>
      <c r="P2028">
        <v>2.19</v>
      </c>
      <c r="Q2028">
        <v>327</v>
      </c>
      <c r="R2028">
        <v>685</v>
      </c>
    </row>
    <row r="2029" spans="1:18" x14ac:dyDescent="0.2">
      <c r="A2029">
        <v>7</v>
      </c>
      <c r="B2029" t="s">
        <v>41</v>
      </c>
      <c r="E2029" t="s">
        <v>29</v>
      </c>
      <c r="F2029">
        <v>1696692</v>
      </c>
      <c r="G2029">
        <v>3</v>
      </c>
      <c r="H2029">
        <v>3</v>
      </c>
      <c r="I2029">
        <v>421</v>
      </c>
      <c r="J2029">
        <v>1987</v>
      </c>
      <c r="K2029" s="4">
        <v>45724</v>
      </c>
      <c r="L2029" t="s">
        <v>20</v>
      </c>
      <c r="M2029" t="s">
        <v>69</v>
      </c>
      <c r="N2029">
        <v>1.54</v>
      </c>
      <c r="O2029">
        <v>1478</v>
      </c>
      <c r="P2029">
        <v>1.35</v>
      </c>
      <c r="Q2029">
        <v>82</v>
      </c>
      <c r="R2029">
        <v>558</v>
      </c>
    </row>
    <row r="2030" spans="1:18" x14ac:dyDescent="0.2">
      <c r="A2030">
        <v>0</v>
      </c>
      <c r="B2030" t="s">
        <v>43</v>
      </c>
      <c r="E2030" t="s">
        <v>19</v>
      </c>
      <c r="F2030">
        <v>880643</v>
      </c>
      <c r="G2030">
        <v>4</v>
      </c>
      <c r="H2030">
        <v>1</v>
      </c>
      <c r="I2030">
        <v>722</v>
      </c>
      <c r="J2030">
        <v>1956</v>
      </c>
      <c r="K2030" s="4">
        <v>45163</v>
      </c>
      <c r="L2030" t="s">
        <v>23</v>
      </c>
      <c r="M2030" t="s">
        <v>21</v>
      </c>
      <c r="N2030">
        <v>3.19</v>
      </c>
      <c r="O2030">
        <v>1295</v>
      </c>
      <c r="P2030">
        <v>3.56</v>
      </c>
      <c r="Q2030">
        <v>283</v>
      </c>
      <c r="R2030">
        <v>604</v>
      </c>
    </row>
    <row r="2031" spans="1:18" x14ac:dyDescent="0.2">
      <c r="A2031">
        <v>4</v>
      </c>
      <c r="B2031" t="s">
        <v>86</v>
      </c>
      <c r="E2031" t="s">
        <v>29</v>
      </c>
      <c r="F2031">
        <v>2084457</v>
      </c>
      <c r="G2031">
        <v>1</v>
      </c>
      <c r="H2031">
        <v>1</v>
      </c>
      <c r="I2031">
        <v>497</v>
      </c>
      <c r="J2031">
        <v>1992</v>
      </c>
      <c r="K2031" s="4">
        <v>44315</v>
      </c>
      <c r="L2031" t="s">
        <v>26</v>
      </c>
      <c r="M2031" t="s">
        <v>42</v>
      </c>
      <c r="N2031">
        <v>3.45</v>
      </c>
      <c r="O2031">
        <v>1797</v>
      </c>
      <c r="P2031">
        <v>0.94</v>
      </c>
      <c r="Q2031">
        <v>82</v>
      </c>
      <c r="R2031">
        <v>453</v>
      </c>
    </row>
    <row r="2032" spans="1:18" x14ac:dyDescent="0.2">
      <c r="A2032">
        <v>5</v>
      </c>
      <c r="B2032" t="s">
        <v>104</v>
      </c>
      <c r="E2032" t="s">
        <v>36</v>
      </c>
      <c r="F2032">
        <v>2035000</v>
      </c>
      <c r="G2032">
        <v>5</v>
      </c>
      <c r="H2032">
        <v>2</v>
      </c>
      <c r="I2032">
        <v>109</v>
      </c>
      <c r="J2032">
        <v>1977</v>
      </c>
      <c r="K2032" s="4">
        <v>44751</v>
      </c>
      <c r="L2032" t="s">
        <v>30</v>
      </c>
      <c r="M2032" t="s">
        <v>52</v>
      </c>
      <c r="N2032">
        <v>1.95</v>
      </c>
      <c r="O2032">
        <v>1302</v>
      </c>
      <c r="P2032">
        <v>4.12</v>
      </c>
      <c r="Q2032">
        <v>317</v>
      </c>
      <c r="R2032">
        <v>346</v>
      </c>
    </row>
    <row r="2033" spans="1:18" x14ac:dyDescent="0.2">
      <c r="A2033">
        <v>2</v>
      </c>
      <c r="B2033" t="s">
        <v>22</v>
      </c>
      <c r="E2033" t="s">
        <v>51</v>
      </c>
      <c r="F2033">
        <v>961839</v>
      </c>
      <c r="G2033">
        <v>3</v>
      </c>
      <c r="H2033">
        <v>3</v>
      </c>
      <c r="I2033">
        <v>852</v>
      </c>
      <c r="J2033">
        <v>1986</v>
      </c>
      <c r="K2033" s="4">
        <v>45181</v>
      </c>
      <c r="L2033" t="s">
        <v>26</v>
      </c>
      <c r="M2033" t="s">
        <v>78</v>
      </c>
      <c r="N2033">
        <v>1.74</v>
      </c>
      <c r="O2033">
        <v>1759</v>
      </c>
      <c r="P2033">
        <v>0.67</v>
      </c>
      <c r="Q2033">
        <v>178</v>
      </c>
      <c r="R2033">
        <v>650</v>
      </c>
    </row>
    <row r="2034" spans="1:18" x14ac:dyDescent="0.2">
      <c r="A2034">
        <v>1</v>
      </c>
      <c r="B2034" t="s">
        <v>34</v>
      </c>
      <c r="E2034" t="s">
        <v>51</v>
      </c>
      <c r="F2034">
        <v>2300589</v>
      </c>
      <c r="G2034">
        <v>5</v>
      </c>
      <c r="H2034">
        <v>1</v>
      </c>
      <c r="I2034">
        <v>145</v>
      </c>
      <c r="J2034">
        <v>2001</v>
      </c>
      <c r="K2034" s="4">
        <v>45636</v>
      </c>
      <c r="L2034" t="s">
        <v>23</v>
      </c>
      <c r="M2034" t="s">
        <v>85</v>
      </c>
      <c r="N2034">
        <v>1.95</v>
      </c>
      <c r="O2034">
        <v>2437</v>
      </c>
      <c r="P2034">
        <v>2.2200000000000002</v>
      </c>
      <c r="Q2034">
        <v>397</v>
      </c>
      <c r="R2034">
        <v>563</v>
      </c>
    </row>
    <row r="2035" spans="1:18" x14ac:dyDescent="0.2">
      <c r="A2035">
        <v>5</v>
      </c>
      <c r="B2035" t="s">
        <v>83</v>
      </c>
      <c r="E2035" t="s">
        <v>19</v>
      </c>
      <c r="F2035">
        <v>2265448</v>
      </c>
      <c r="G2035">
        <v>2</v>
      </c>
      <c r="H2035">
        <v>2</v>
      </c>
      <c r="I2035">
        <v>891</v>
      </c>
      <c r="J2035">
        <v>1966</v>
      </c>
      <c r="K2035" s="4">
        <v>44135</v>
      </c>
      <c r="L2035" t="s">
        <v>20</v>
      </c>
      <c r="M2035" t="s">
        <v>60</v>
      </c>
      <c r="N2035">
        <v>2.0099999999999998</v>
      </c>
      <c r="O2035">
        <v>1408</v>
      </c>
      <c r="P2035">
        <v>1.36</v>
      </c>
      <c r="Q2035">
        <v>117</v>
      </c>
      <c r="R2035">
        <v>497</v>
      </c>
    </row>
    <row r="2036" spans="1:18" x14ac:dyDescent="0.2">
      <c r="A2036">
        <v>3</v>
      </c>
      <c r="B2036" t="s">
        <v>22</v>
      </c>
      <c r="E2036" t="s">
        <v>36</v>
      </c>
      <c r="F2036">
        <v>664473</v>
      </c>
      <c r="G2036">
        <v>3</v>
      </c>
      <c r="H2036">
        <v>3</v>
      </c>
      <c r="I2036">
        <v>112</v>
      </c>
      <c r="J2036">
        <v>1981</v>
      </c>
      <c r="K2036" s="4">
        <v>44118</v>
      </c>
      <c r="L2036" t="s">
        <v>26</v>
      </c>
      <c r="M2036" t="s">
        <v>76</v>
      </c>
      <c r="N2036">
        <v>3.48</v>
      </c>
      <c r="O2036">
        <v>2022</v>
      </c>
      <c r="P2036">
        <v>2.46</v>
      </c>
      <c r="Q2036">
        <v>234</v>
      </c>
      <c r="R2036">
        <v>429</v>
      </c>
    </row>
    <row r="2037" spans="1:18" x14ac:dyDescent="0.2">
      <c r="A2037">
        <v>7</v>
      </c>
      <c r="B2037" t="s">
        <v>53</v>
      </c>
      <c r="E2037" t="s">
        <v>19</v>
      </c>
      <c r="F2037">
        <v>1070984</v>
      </c>
      <c r="G2037">
        <v>2</v>
      </c>
      <c r="H2037">
        <v>3</v>
      </c>
      <c r="I2037">
        <v>829</v>
      </c>
      <c r="J2037">
        <v>2013</v>
      </c>
      <c r="K2037" s="4">
        <v>45195</v>
      </c>
      <c r="L2037" t="s">
        <v>30</v>
      </c>
      <c r="M2037" t="s">
        <v>42</v>
      </c>
      <c r="N2037">
        <v>2.13</v>
      </c>
      <c r="O2037">
        <v>1808</v>
      </c>
      <c r="P2037">
        <v>3.59</v>
      </c>
      <c r="Q2037">
        <v>173</v>
      </c>
      <c r="R2037">
        <v>585</v>
      </c>
    </row>
    <row r="2038" spans="1:18" x14ac:dyDescent="0.2">
      <c r="A2038">
        <v>2</v>
      </c>
      <c r="B2038" t="s">
        <v>38</v>
      </c>
      <c r="E2038" t="s">
        <v>36</v>
      </c>
      <c r="F2038">
        <v>1772108</v>
      </c>
      <c r="G2038">
        <v>3</v>
      </c>
      <c r="H2038">
        <v>3</v>
      </c>
      <c r="I2038">
        <v>941</v>
      </c>
      <c r="J2038">
        <v>2009</v>
      </c>
      <c r="K2038" s="4">
        <v>45347</v>
      </c>
      <c r="L2038" t="s">
        <v>23</v>
      </c>
      <c r="M2038" t="s">
        <v>37</v>
      </c>
      <c r="N2038">
        <v>3.28</v>
      </c>
      <c r="O2038">
        <v>2180</v>
      </c>
      <c r="P2038">
        <v>1.79</v>
      </c>
      <c r="Q2038">
        <v>138</v>
      </c>
      <c r="R2038">
        <v>508</v>
      </c>
    </row>
    <row r="2039" spans="1:18" x14ac:dyDescent="0.2">
      <c r="A2039">
        <v>0</v>
      </c>
      <c r="B2039" t="s">
        <v>53</v>
      </c>
      <c r="E2039" t="s">
        <v>51</v>
      </c>
      <c r="F2039">
        <v>1318580</v>
      </c>
      <c r="G2039">
        <v>3</v>
      </c>
      <c r="H2039">
        <v>2</v>
      </c>
      <c r="I2039">
        <v>534</v>
      </c>
      <c r="J2039">
        <v>1951</v>
      </c>
      <c r="K2039" s="4">
        <v>44299</v>
      </c>
      <c r="L2039" t="s">
        <v>30</v>
      </c>
      <c r="M2039" t="s">
        <v>21</v>
      </c>
      <c r="N2039">
        <v>2.64</v>
      </c>
      <c r="O2039">
        <v>2075</v>
      </c>
      <c r="P2039">
        <v>3.84</v>
      </c>
      <c r="Q2039">
        <v>169</v>
      </c>
      <c r="R2039">
        <v>307</v>
      </c>
    </row>
    <row r="2040" spans="1:18" x14ac:dyDescent="0.2">
      <c r="A2040">
        <v>9</v>
      </c>
      <c r="B2040" t="s">
        <v>94</v>
      </c>
      <c r="E2040" t="s">
        <v>19</v>
      </c>
      <c r="F2040">
        <v>2604571</v>
      </c>
      <c r="G2040">
        <v>1</v>
      </c>
      <c r="H2040">
        <v>3</v>
      </c>
      <c r="I2040">
        <v>167</v>
      </c>
      <c r="J2040">
        <v>2015</v>
      </c>
      <c r="K2040" s="4">
        <v>45638</v>
      </c>
      <c r="L2040" t="s">
        <v>20</v>
      </c>
      <c r="M2040" t="s">
        <v>76</v>
      </c>
      <c r="N2040">
        <v>3.3</v>
      </c>
      <c r="O2040">
        <v>1523</v>
      </c>
      <c r="P2040">
        <v>4.99</v>
      </c>
      <c r="Q2040">
        <v>73</v>
      </c>
      <c r="R2040">
        <v>396</v>
      </c>
    </row>
    <row r="2041" spans="1:18" x14ac:dyDescent="0.2">
      <c r="A2041">
        <v>5</v>
      </c>
      <c r="B2041" t="s">
        <v>39</v>
      </c>
      <c r="E2041" t="s">
        <v>36</v>
      </c>
      <c r="F2041">
        <v>882545</v>
      </c>
      <c r="G2041">
        <v>2</v>
      </c>
      <c r="H2041">
        <v>2</v>
      </c>
      <c r="I2041">
        <v>557</v>
      </c>
      <c r="J2041">
        <v>2013</v>
      </c>
      <c r="K2041" s="4">
        <v>45333</v>
      </c>
      <c r="L2041" t="s">
        <v>26</v>
      </c>
      <c r="M2041" t="s">
        <v>60</v>
      </c>
      <c r="N2041">
        <v>2.97</v>
      </c>
      <c r="O2041">
        <v>1204</v>
      </c>
      <c r="P2041">
        <v>0.35</v>
      </c>
      <c r="Q2041">
        <v>102</v>
      </c>
      <c r="R2041">
        <v>616</v>
      </c>
    </row>
    <row r="2042" spans="1:18" x14ac:dyDescent="0.2">
      <c r="A2042">
        <v>4</v>
      </c>
      <c r="B2042" t="s">
        <v>50</v>
      </c>
      <c r="E2042" t="s">
        <v>51</v>
      </c>
      <c r="F2042">
        <v>496756</v>
      </c>
      <c r="G2042">
        <v>3</v>
      </c>
      <c r="H2042">
        <v>1</v>
      </c>
      <c r="I2042">
        <v>399</v>
      </c>
      <c r="J2042">
        <v>2016</v>
      </c>
      <c r="K2042" s="4">
        <v>44436</v>
      </c>
      <c r="L2042" t="s">
        <v>23</v>
      </c>
      <c r="M2042" t="s">
        <v>37</v>
      </c>
      <c r="N2042">
        <v>1.64</v>
      </c>
      <c r="O2042">
        <v>1852</v>
      </c>
      <c r="P2042">
        <v>2.66</v>
      </c>
      <c r="Q2042">
        <v>93</v>
      </c>
      <c r="R2042">
        <v>321</v>
      </c>
    </row>
    <row r="2043" spans="1:18" x14ac:dyDescent="0.2">
      <c r="A2043">
        <v>0</v>
      </c>
      <c r="B2043" t="s">
        <v>64</v>
      </c>
      <c r="E2043" t="s">
        <v>36</v>
      </c>
      <c r="F2043">
        <v>2359666</v>
      </c>
      <c r="G2043">
        <v>3</v>
      </c>
      <c r="H2043">
        <v>2</v>
      </c>
      <c r="I2043">
        <v>148</v>
      </c>
      <c r="J2043">
        <v>2005</v>
      </c>
      <c r="K2043" s="4">
        <v>44412</v>
      </c>
      <c r="L2043" t="s">
        <v>30</v>
      </c>
      <c r="M2043" t="s">
        <v>85</v>
      </c>
      <c r="N2043">
        <v>2.11</v>
      </c>
      <c r="O2043">
        <v>2309</v>
      </c>
      <c r="P2043">
        <v>1.22</v>
      </c>
      <c r="Q2043">
        <v>188</v>
      </c>
      <c r="R2043">
        <v>637</v>
      </c>
    </row>
    <row r="2044" spans="1:18" x14ac:dyDescent="0.2">
      <c r="A2044">
        <v>6</v>
      </c>
      <c r="B2044" t="s">
        <v>100</v>
      </c>
      <c r="E2044" t="s">
        <v>36</v>
      </c>
      <c r="F2044">
        <v>1280743</v>
      </c>
      <c r="G2044">
        <v>6</v>
      </c>
      <c r="H2044">
        <v>1</v>
      </c>
      <c r="I2044">
        <v>994</v>
      </c>
      <c r="J2044">
        <v>1981</v>
      </c>
      <c r="K2044" s="4">
        <v>45480</v>
      </c>
      <c r="L2044" t="s">
        <v>23</v>
      </c>
      <c r="M2044" t="s">
        <v>47</v>
      </c>
      <c r="N2044">
        <v>2.5299999999999998</v>
      </c>
      <c r="O2044">
        <v>1443</v>
      </c>
      <c r="P2044">
        <v>2.0499999999999998</v>
      </c>
      <c r="Q2044">
        <v>345</v>
      </c>
      <c r="R2044">
        <v>488</v>
      </c>
    </row>
    <row r="2045" spans="1:18" x14ac:dyDescent="0.2">
      <c r="A2045">
        <v>0</v>
      </c>
      <c r="B2045" t="s">
        <v>100</v>
      </c>
      <c r="E2045" t="s">
        <v>51</v>
      </c>
      <c r="F2045">
        <v>854517</v>
      </c>
      <c r="G2045">
        <v>5</v>
      </c>
      <c r="H2045">
        <v>1</v>
      </c>
      <c r="I2045">
        <v>653</v>
      </c>
      <c r="J2045">
        <v>1953</v>
      </c>
      <c r="K2045" s="4">
        <v>44121</v>
      </c>
      <c r="L2045" t="s">
        <v>20</v>
      </c>
      <c r="M2045" t="s">
        <v>60</v>
      </c>
      <c r="N2045">
        <v>1.5</v>
      </c>
      <c r="O2045">
        <v>1346</v>
      </c>
      <c r="P2045">
        <v>2.93</v>
      </c>
      <c r="Q2045">
        <v>334</v>
      </c>
      <c r="R2045">
        <v>503</v>
      </c>
    </row>
    <row r="2046" spans="1:18" x14ac:dyDescent="0.2">
      <c r="A2046">
        <v>2</v>
      </c>
      <c r="B2046" t="s">
        <v>55</v>
      </c>
      <c r="E2046" t="s">
        <v>51</v>
      </c>
      <c r="F2046">
        <v>544229</v>
      </c>
      <c r="G2046">
        <v>3</v>
      </c>
      <c r="H2046">
        <v>2</v>
      </c>
      <c r="I2046">
        <v>154</v>
      </c>
      <c r="J2046">
        <v>2009</v>
      </c>
      <c r="K2046" s="4">
        <v>44623</v>
      </c>
      <c r="L2046" t="s">
        <v>26</v>
      </c>
      <c r="M2046" t="s">
        <v>21</v>
      </c>
      <c r="N2046">
        <v>2.2200000000000002</v>
      </c>
      <c r="O2046">
        <v>2027</v>
      </c>
      <c r="P2046">
        <v>0.63</v>
      </c>
      <c r="Q2046">
        <v>172</v>
      </c>
      <c r="R2046">
        <v>558</v>
      </c>
    </row>
    <row r="2047" spans="1:18" x14ac:dyDescent="0.2">
      <c r="A2047">
        <v>1</v>
      </c>
      <c r="B2047" t="s">
        <v>43</v>
      </c>
      <c r="E2047" t="s">
        <v>19</v>
      </c>
      <c r="F2047">
        <v>1879523</v>
      </c>
      <c r="G2047">
        <v>2</v>
      </c>
      <c r="H2047">
        <v>3</v>
      </c>
      <c r="I2047">
        <v>526</v>
      </c>
      <c r="J2047">
        <v>1970</v>
      </c>
      <c r="K2047" s="4">
        <v>45597</v>
      </c>
      <c r="L2047" t="s">
        <v>30</v>
      </c>
      <c r="M2047" t="s">
        <v>47</v>
      </c>
      <c r="N2047">
        <v>2.5499999999999998</v>
      </c>
      <c r="O2047">
        <v>2089</v>
      </c>
      <c r="P2047">
        <v>0.32</v>
      </c>
      <c r="Q2047">
        <v>59</v>
      </c>
      <c r="R2047">
        <v>659</v>
      </c>
    </row>
    <row r="2048" spans="1:18" x14ac:dyDescent="0.2">
      <c r="A2048">
        <v>5</v>
      </c>
      <c r="B2048" t="s">
        <v>84</v>
      </c>
      <c r="E2048" t="s">
        <v>51</v>
      </c>
      <c r="F2048">
        <v>1045826</v>
      </c>
      <c r="G2048">
        <v>2</v>
      </c>
      <c r="H2048">
        <v>1</v>
      </c>
      <c r="I2048">
        <v>978</v>
      </c>
      <c r="J2048">
        <v>1996</v>
      </c>
      <c r="K2048" s="4">
        <v>44400</v>
      </c>
      <c r="L2048" t="s">
        <v>20</v>
      </c>
      <c r="M2048" t="s">
        <v>27</v>
      </c>
      <c r="N2048">
        <v>2.5499999999999998</v>
      </c>
      <c r="O2048">
        <v>801</v>
      </c>
      <c r="P2048">
        <v>4.1399999999999997</v>
      </c>
      <c r="Q2048">
        <v>54</v>
      </c>
      <c r="R2048">
        <v>536</v>
      </c>
    </row>
    <row r="2049" spans="1:18" x14ac:dyDescent="0.2">
      <c r="A2049">
        <v>0</v>
      </c>
      <c r="B2049" t="s">
        <v>64</v>
      </c>
      <c r="E2049" t="s">
        <v>29</v>
      </c>
      <c r="F2049">
        <v>1524086</v>
      </c>
      <c r="G2049">
        <v>4</v>
      </c>
      <c r="H2049">
        <v>1</v>
      </c>
      <c r="I2049">
        <v>89</v>
      </c>
      <c r="J2049">
        <v>2007</v>
      </c>
      <c r="K2049" s="4">
        <v>45655</v>
      </c>
      <c r="L2049" t="s">
        <v>20</v>
      </c>
      <c r="M2049" t="s">
        <v>31</v>
      </c>
      <c r="N2049">
        <v>3.39</v>
      </c>
      <c r="O2049">
        <v>1003</v>
      </c>
      <c r="P2049">
        <v>3.68</v>
      </c>
      <c r="Q2049">
        <v>376</v>
      </c>
      <c r="R2049">
        <v>370</v>
      </c>
    </row>
    <row r="2050" spans="1:18" x14ac:dyDescent="0.2">
      <c r="A2050">
        <v>9</v>
      </c>
      <c r="B2050" t="s">
        <v>81</v>
      </c>
      <c r="E2050" t="s">
        <v>36</v>
      </c>
      <c r="F2050">
        <v>924593</v>
      </c>
      <c r="G2050">
        <v>3</v>
      </c>
      <c r="H2050">
        <v>2</v>
      </c>
      <c r="I2050">
        <v>678</v>
      </c>
      <c r="J2050">
        <v>2001</v>
      </c>
      <c r="K2050" s="4">
        <v>45420</v>
      </c>
      <c r="L2050" t="s">
        <v>20</v>
      </c>
      <c r="M2050" t="s">
        <v>74</v>
      </c>
      <c r="N2050">
        <v>2.42</v>
      </c>
      <c r="O2050">
        <v>1901</v>
      </c>
      <c r="P2050">
        <v>1.88</v>
      </c>
      <c r="Q2050">
        <v>254</v>
      </c>
      <c r="R2050">
        <v>307</v>
      </c>
    </row>
    <row r="2051" spans="1:18" x14ac:dyDescent="0.2">
      <c r="A2051">
        <v>3</v>
      </c>
      <c r="B2051" t="s">
        <v>96</v>
      </c>
      <c r="E2051" t="s">
        <v>36</v>
      </c>
      <c r="F2051">
        <v>2276325</v>
      </c>
      <c r="G2051">
        <v>2</v>
      </c>
      <c r="H2051">
        <v>1</v>
      </c>
      <c r="I2051">
        <v>523</v>
      </c>
      <c r="J2051">
        <v>1999</v>
      </c>
      <c r="K2051" s="4">
        <v>45213</v>
      </c>
      <c r="L2051" t="s">
        <v>23</v>
      </c>
      <c r="M2051" t="s">
        <v>74</v>
      </c>
      <c r="N2051">
        <v>2.2000000000000002</v>
      </c>
      <c r="O2051">
        <v>2016</v>
      </c>
      <c r="P2051">
        <v>4.5</v>
      </c>
      <c r="Q2051">
        <v>161</v>
      </c>
      <c r="R2051">
        <v>396</v>
      </c>
    </row>
    <row r="2052" spans="1:18" x14ac:dyDescent="0.2">
      <c r="A2052">
        <v>0</v>
      </c>
      <c r="B2052" t="s">
        <v>64</v>
      </c>
      <c r="E2052" t="s">
        <v>51</v>
      </c>
      <c r="F2052">
        <v>1540852</v>
      </c>
      <c r="G2052">
        <v>4</v>
      </c>
      <c r="H2052">
        <v>2</v>
      </c>
      <c r="I2052">
        <v>874</v>
      </c>
      <c r="J2052">
        <v>1993</v>
      </c>
      <c r="K2052" s="4">
        <v>45234</v>
      </c>
      <c r="L2052" t="s">
        <v>26</v>
      </c>
      <c r="M2052" t="s">
        <v>69</v>
      </c>
      <c r="N2052">
        <v>2.16</v>
      </c>
      <c r="O2052">
        <v>1404</v>
      </c>
      <c r="P2052">
        <v>0.84</v>
      </c>
      <c r="Q2052">
        <v>239</v>
      </c>
      <c r="R2052">
        <v>582</v>
      </c>
    </row>
    <row r="2053" spans="1:18" x14ac:dyDescent="0.2">
      <c r="A2053">
        <v>8</v>
      </c>
      <c r="B2053" t="s">
        <v>53</v>
      </c>
      <c r="E2053" t="s">
        <v>29</v>
      </c>
      <c r="F2053">
        <v>2749464</v>
      </c>
      <c r="G2053">
        <v>2</v>
      </c>
      <c r="H2053">
        <v>2</v>
      </c>
      <c r="I2053">
        <v>175</v>
      </c>
      <c r="J2053">
        <v>2002</v>
      </c>
      <c r="K2053" s="4">
        <v>45747</v>
      </c>
      <c r="L2053" t="s">
        <v>30</v>
      </c>
      <c r="M2053" t="s">
        <v>21</v>
      </c>
      <c r="N2053">
        <v>2.0499999999999998</v>
      </c>
      <c r="O2053">
        <v>1342</v>
      </c>
      <c r="P2053">
        <v>3.84</v>
      </c>
      <c r="Q2053">
        <v>159</v>
      </c>
      <c r="R2053">
        <v>519</v>
      </c>
    </row>
    <row r="2054" spans="1:18" x14ac:dyDescent="0.2">
      <c r="A2054">
        <v>3</v>
      </c>
      <c r="B2054" t="s">
        <v>67</v>
      </c>
      <c r="E2054" t="s">
        <v>29</v>
      </c>
      <c r="F2054">
        <v>2455098</v>
      </c>
      <c r="G2054">
        <v>5</v>
      </c>
      <c r="H2054">
        <v>2</v>
      </c>
      <c r="I2054">
        <v>462</v>
      </c>
      <c r="J2054">
        <v>2019</v>
      </c>
      <c r="K2054" s="4">
        <v>45647</v>
      </c>
      <c r="L2054" t="s">
        <v>30</v>
      </c>
      <c r="M2054" t="s">
        <v>69</v>
      </c>
      <c r="N2054">
        <v>1.5</v>
      </c>
      <c r="O2054">
        <v>1960</v>
      </c>
      <c r="P2054">
        <v>0.23</v>
      </c>
      <c r="Q2054">
        <v>264</v>
      </c>
      <c r="R2054">
        <v>505</v>
      </c>
    </row>
    <row r="2055" spans="1:18" x14ac:dyDescent="0.2">
      <c r="A2055">
        <v>8</v>
      </c>
      <c r="B2055" t="s">
        <v>22</v>
      </c>
      <c r="E2055" t="s">
        <v>19</v>
      </c>
      <c r="F2055">
        <v>1974320</v>
      </c>
      <c r="G2055">
        <v>3</v>
      </c>
      <c r="H2055">
        <v>1</v>
      </c>
      <c r="I2055">
        <v>853</v>
      </c>
      <c r="J2055">
        <v>1999</v>
      </c>
      <c r="K2055" s="4">
        <v>44092</v>
      </c>
      <c r="L2055" t="s">
        <v>23</v>
      </c>
      <c r="M2055" t="s">
        <v>47</v>
      </c>
      <c r="N2055">
        <v>1.7</v>
      </c>
      <c r="O2055">
        <v>1519</v>
      </c>
      <c r="P2055">
        <v>3.42</v>
      </c>
      <c r="Q2055">
        <v>132</v>
      </c>
      <c r="R2055">
        <v>627</v>
      </c>
    </row>
    <row r="2056" spans="1:18" x14ac:dyDescent="0.2">
      <c r="A2056">
        <v>2</v>
      </c>
      <c r="B2056" t="s">
        <v>46</v>
      </c>
      <c r="E2056" t="s">
        <v>51</v>
      </c>
      <c r="F2056">
        <v>664568</v>
      </c>
      <c r="G2056">
        <v>4</v>
      </c>
      <c r="H2056">
        <v>1</v>
      </c>
      <c r="I2056">
        <v>93</v>
      </c>
      <c r="J2056">
        <v>1983</v>
      </c>
      <c r="K2056" s="4">
        <v>45840</v>
      </c>
      <c r="L2056" t="s">
        <v>30</v>
      </c>
      <c r="M2056" t="s">
        <v>52</v>
      </c>
      <c r="N2056">
        <v>2.72</v>
      </c>
      <c r="O2056">
        <v>2377</v>
      </c>
      <c r="P2056">
        <v>1.1000000000000001</v>
      </c>
      <c r="Q2056">
        <v>162</v>
      </c>
      <c r="R2056">
        <v>411</v>
      </c>
    </row>
    <row r="2057" spans="1:18" x14ac:dyDescent="0.2">
      <c r="A2057">
        <v>7</v>
      </c>
      <c r="B2057" t="s">
        <v>48</v>
      </c>
      <c r="E2057" t="s">
        <v>19</v>
      </c>
      <c r="F2057">
        <v>510744</v>
      </c>
      <c r="G2057">
        <v>3</v>
      </c>
      <c r="H2057">
        <v>3</v>
      </c>
      <c r="I2057">
        <v>143</v>
      </c>
      <c r="J2057">
        <v>2016</v>
      </c>
      <c r="K2057" s="4">
        <v>45574</v>
      </c>
      <c r="L2057" t="s">
        <v>20</v>
      </c>
      <c r="M2057" t="s">
        <v>47</v>
      </c>
      <c r="N2057">
        <v>2.76</v>
      </c>
      <c r="O2057">
        <v>1434</v>
      </c>
      <c r="P2057">
        <v>4.59</v>
      </c>
      <c r="Q2057">
        <v>138</v>
      </c>
      <c r="R2057">
        <v>661</v>
      </c>
    </row>
    <row r="2058" spans="1:18" x14ac:dyDescent="0.2">
      <c r="A2058">
        <v>6</v>
      </c>
      <c r="B2058" t="s">
        <v>41</v>
      </c>
      <c r="E2058" t="s">
        <v>103</v>
      </c>
      <c r="F2058">
        <v>1528685</v>
      </c>
      <c r="G2058">
        <v>2</v>
      </c>
      <c r="H2058">
        <v>3</v>
      </c>
      <c r="I2058">
        <v>428</v>
      </c>
      <c r="J2058">
        <v>1953</v>
      </c>
      <c r="K2058" s="4">
        <v>45885</v>
      </c>
      <c r="L2058" t="s">
        <v>30</v>
      </c>
      <c r="M2058" t="s">
        <v>24</v>
      </c>
      <c r="N2058">
        <v>2.88</v>
      </c>
      <c r="O2058">
        <v>1163</v>
      </c>
      <c r="P2058">
        <v>3.39</v>
      </c>
      <c r="Q2058">
        <v>137</v>
      </c>
      <c r="R2058">
        <v>659</v>
      </c>
    </row>
    <row r="2059" spans="1:18" x14ac:dyDescent="0.2">
      <c r="A2059">
        <v>8</v>
      </c>
      <c r="B2059" t="s">
        <v>93</v>
      </c>
      <c r="E2059" t="s">
        <v>19</v>
      </c>
      <c r="F2059">
        <v>857448</v>
      </c>
      <c r="G2059">
        <v>3</v>
      </c>
      <c r="H2059">
        <v>1</v>
      </c>
      <c r="I2059">
        <v>414</v>
      </c>
      <c r="J2059">
        <v>2005</v>
      </c>
      <c r="K2059" s="4">
        <v>45854</v>
      </c>
      <c r="L2059" t="s">
        <v>30</v>
      </c>
      <c r="M2059" t="s">
        <v>52</v>
      </c>
      <c r="N2059">
        <v>2.21</v>
      </c>
      <c r="O2059">
        <v>1400</v>
      </c>
      <c r="P2059">
        <v>4.93</v>
      </c>
      <c r="Q2059">
        <v>104</v>
      </c>
      <c r="R2059">
        <v>417</v>
      </c>
    </row>
    <row r="2060" spans="1:18" x14ac:dyDescent="0.2">
      <c r="A2060">
        <v>0</v>
      </c>
      <c r="B2060" t="s">
        <v>50</v>
      </c>
      <c r="E2060" t="s">
        <v>29</v>
      </c>
      <c r="F2060">
        <v>1409140</v>
      </c>
      <c r="G2060">
        <v>1</v>
      </c>
      <c r="H2060">
        <v>3</v>
      </c>
      <c r="I2060">
        <v>189</v>
      </c>
      <c r="J2060">
        <v>2013</v>
      </c>
      <c r="K2060" s="4">
        <v>44340</v>
      </c>
      <c r="L2060" t="s">
        <v>30</v>
      </c>
      <c r="M2060" t="s">
        <v>24</v>
      </c>
      <c r="N2060">
        <v>2.88</v>
      </c>
      <c r="O2060">
        <v>1079</v>
      </c>
      <c r="P2060">
        <v>2.2599999999999998</v>
      </c>
      <c r="Q2060">
        <v>61</v>
      </c>
      <c r="R2060">
        <v>398</v>
      </c>
    </row>
    <row r="2061" spans="1:18" x14ac:dyDescent="0.2">
      <c r="A2061">
        <v>3</v>
      </c>
      <c r="B2061" t="s">
        <v>79</v>
      </c>
      <c r="E2061" t="s">
        <v>29</v>
      </c>
      <c r="F2061">
        <v>432003</v>
      </c>
      <c r="G2061">
        <v>1</v>
      </c>
      <c r="H2061">
        <v>3</v>
      </c>
      <c r="I2061">
        <v>238</v>
      </c>
      <c r="J2061">
        <v>2021</v>
      </c>
      <c r="K2061" s="4">
        <v>44400</v>
      </c>
      <c r="L2061" t="s">
        <v>30</v>
      </c>
      <c r="M2061" t="s">
        <v>40</v>
      </c>
      <c r="N2061">
        <v>2.2799999999999998</v>
      </c>
      <c r="O2061">
        <v>2420</v>
      </c>
      <c r="P2061">
        <v>3.4</v>
      </c>
      <c r="Q2061">
        <v>112</v>
      </c>
      <c r="R2061">
        <v>562</v>
      </c>
    </row>
    <row r="2062" spans="1:18" x14ac:dyDescent="0.2">
      <c r="A2062">
        <v>9</v>
      </c>
      <c r="B2062" t="s">
        <v>67</v>
      </c>
      <c r="E2062" t="s">
        <v>19</v>
      </c>
      <c r="F2062">
        <v>1467708</v>
      </c>
      <c r="G2062">
        <v>1</v>
      </c>
      <c r="H2062">
        <v>1</v>
      </c>
      <c r="I2062">
        <v>312</v>
      </c>
      <c r="J2062">
        <v>1958</v>
      </c>
      <c r="K2062" s="4">
        <v>45595</v>
      </c>
      <c r="L2062" t="s">
        <v>20</v>
      </c>
      <c r="M2062" t="s">
        <v>70</v>
      </c>
      <c r="N2062">
        <v>1.59</v>
      </c>
      <c r="O2062">
        <v>1566</v>
      </c>
      <c r="P2062">
        <v>3.91</v>
      </c>
      <c r="Q2062">
        <v>100</v>
      </c>
      <c r="R2062">
        <v>328</v>
      </c>
    </row>
    <row r="2063" spans="1:18" x14ac:dyDescent="0.2">
      <c r="A2063">
        <v>3</v>
      </c>
      <c r="B2063" t="s">
        <v>72</v>
      </c>
      <c r="E2063" t="s">
        <v>29</v>
      </c>
      <c r="F2063">
        <v>1760072</v>
      </c>
      <c r="G2063">
        <v>1</v>
      </c>
      <c r="H2063">
        <v>2</v>
      </c>
      <c r="I2063">
        <v>401</v>
      </c>
      <c r="J2063">
        <v>2012</v>
      </c>
      <c r="K2063" s="4">
        <v>45091</v>
      </c>
      <c r="L2063" t="s">
        <v>23</v>
      </c>
      <c r="M2063" t="s">
        <v>68</v>
      </c>
      <c r="N2063">
        <v>2.25</v>
      </c>
      <c r="O2063">
        <v>1025</v>
      </c>
      <c r="P2063">
        <v>3.62</v>
      </c>
      <c r="Q2063">
        <v>138</v>
      </c>
      <c r="R2063">
        <v>335</v>
      </c>
    </row>
    <row r="2064" spans="1:18" x14ac:dyDescent="0.2">
      <c r="A2064">
        <v>8</v>
      </c>
      <c r="B2064" t="s">
        <v>87</v>
      </c>
      <c r="E2064" t="s">
        <v>29</v>
      </c>
      <c r="F2064">
        <v>983398</v>
      </c>
      <c r="G2064">
        <v>1</v>
      </c>
      <c r="H2064">
        <v>1</v>
      </c>
      <c r="I2064">
        <v>845</v>
      </c>
      <c r="J2064">
        <v>2004</v>
      </c>
      <c r="K2064" s="4">
        <v>45756</v>
      </c>
      <c r="L2064" t="s">
        <v>23</v>
      </c>
      <c r="M2064" t="s">
        <v>54</v>
      </c>
      <c r="N2064">
        <v>2.81</v>
      </c>
      <c r="O2064">
        <v>1668</v>
      </c>
      <c r="P2064">
        <v>3.82</v>
      </c>
      <c r="Q2064">
        <v>149</v>
      </c>
      <c r="R2064">
        <v>563</v>
      </c>
    </row>
    <row r="2065" spans="1:18" x14ac:dyDescent="0.2">
      <c r="A2065">
        <v>9</v>
      </c>
      <c r="B2065" t="s">
        <v>80</v>
      </c>
      <c r="E2065" t="s">
        <v>51</v>
      </c>
      <c r="F2065">
        <v>1108356</v>
      </c>
      <c r="G2065">
        <v>2</v>
      </c>
      <c r="H2065">
        <v>2</v>
      </c>
      <c r="I2065">
        <v>407</v>
      </c>
      <c r="J2065">
        <v>2022</v>
      </c>
      <c r="K2065" s="4">
        <v>44962</v>
      </c>
      <c r="L2065" t="s">
        <v>20</v>
      </c>
      <c r="M2065" t="s">
        <v>74</v>
      </c>
      <c r="N2065">
        <v>2.76</v>
      </c>
      <c r="O2065">
        <v>2173</v>
      </c>
      <c r="P2065">
        <v>2.2400000000000002</v>
      </c>
      <c r="Q2065">
        <v>222</v>
      </c>
      <c r="R2065">
        <v>339</v>
      </c>
    </row>
    <row r="2066" spans="1:18" x14ac:dyDescent="0.2">
      <c r="A2066">
        <v>9</v>
      </c>
      <c r="B2066" t="s">
        <v>94</v>
      </c>
      <c r="E2066" t="s">
        <v>19</v>
      </c>
      <c r="F2066">
        <v>1321144</v>
      </c>
      <c r="G2066">
        <v>2</v>
      </c>
      <c r="H2066">
        <v>3</v>
      </c>
      <c r="I2066">
        <v>172</v>
      </c>
      <c r="J2066">
        <v>2020</v>
      </c>
      <c r="K2066" s="4">
        <v>44472</v>
      </c>
      <c r="L2066" t="s">
        <v>30</v>
      </c>
      <c r="M2066" t="s">
        <v>45</v>
      </c>
      <c r="N2066">
        <v>2.4500000000000002</v>
      </c>
      <c r="O2066">
        <v>1214</v>
      </c>
      <c r="P2066">
        <v>3.07</v>
      </c>
      <c r="Q2066">
        <v>142</v>
      </c>
      <c r="R2066">
        <v>653</v>
      </c>
    </row>
    <row r="2067" spans="1:18" x14ac:dyDescent="0.2">
      <c r="A2067">
        <v>4</v>
      </c>
      <c r="B2067" t="s">
        <v>44</v>
      </c>
      <c r="E2067" t="s">
        <v>29</v>
      </c>
      <c r="F2067">
        <v>491953</v>
      </c>
      <c r="G2067">
        <v>5</v>
      </c>
      <c r="H2067">
        <v>2</v>
      </c>
      <c r="I2067">
        <v>464</v>
      </c>
      <c r="J2067">
        <v>2009</v>
      </c>
      <c r="K2067" s="4">
        <v>44730</v>
      </c>
      <c r="L2067" t="s">
        <v>26</v>
      </c>
      <c r="M2067" t="s">
        <v>77</v>
      </c>
      <c r="N2067">
        <v>3.3</v>
      </c>
      <c r="O2067">
        <v>1299</v>
      </c>
      <c r="P2067">
        <v>1.67</v>
      </c>
      <c r="Q2067">
        <v>383</v>
      </c>
      <c r="R2067">
        <v>654</v>
      </c>
    </row>
    <row r="2068" spans="1:18" x14ac:dyDescent="0.2">
      <c r="A2068">
        <v>2</v>
      </c>
      <c r="B2068" t="s">
        <v>92</v>
      </c>
      <c r="E2068" t="s">
        <v>29</v>
      </c>
      <c r="F2068">
        <v>2287392</v>
      </c>
      <c r="G2068">
        <v>3</v>
      </c>
      <c r="H2068">
        <v>3</v>
      </c>
      <c r="I2068">
        <v>177</v>
      </c>
      <c r="J2068">
        <v>2013</v>
      </c>
      <c r="K2068" s="4">
        <v>45376</v>
      </c>
      <c r="L2068" t="s">
        <v>20</v>
      </c>
      <c r="M2068" t="s">
        <v>58</v>
      </c>
      <c r="N2068">
        <v>2.79</v>
      </c>
      <c r="O2068">
        <v>1815</v>
      </c>
      <c r="P2068">
        <v>2.71</v>
      </c>
      <c r="Q2068">
        <v>199</v>
      </c>
      <c r="R2068">
        <v>427</v>
      </c>
    </row>
    <row r="2069" spans="1:18" x14ac:dyDescent="0.2">
      <c r="A2069">
        <v>8</v>
      </c>
      <c r="B2069" t="s">
        <v>28</v>
      </c>
      <c r="E2069" t="s">
        <v>36</v>
      </c>
      <c r="F2069">
        <v>2145433</v>
      </c>
      <c r="G2069">
        <v>4</v>
      </c>
      <c r="H2069">
        <v>3</v>
      </c>
      <c r="I2069">
        <v>737</v>
      </c>
      <c r="J2069">
        <v>1964</v>
      </c>
      <c r="K2069" s="4">
        <v>45716</v>
      </c>
      <c r="L2069" t="s">
        <v>20</v>
      </c>
      <c r="M2069" t="s">
        <v>45</v>
      </c>
      <c r="N2069">
        <v>3.05</v>
      </c>
      <c r="O2069">
        <v>2143</v>
      </c>
      <c r="P2069">
        <v>4.0199999999999996</v>
      </c>
      <c r="Q2069">
        <v>245</v>
      </c>
      <c r="R2069">
        <v>402</v>
      </c>
    </row>
    <row r="2070" spans="1:18" x14ac:dyDescent="0.2">
      <c r="A2070">
        <v>5</v>
      </c>
      <c r="B2070" t="s">
        <v>44</v>
      </c>
      <c r="E2070" t="s">
        <v>36</v>
      </c>
      <c r="F2070">
        <v>1205890</v>
      </c>
      <c r="G2070">
        <v>3</v>
      </c>
      <c r="H2070">
        <v>3</v>
      </c>
      <c r="I2070">
        <v>461</v>
      </c>
      <c r="J2070">
        <v>1991</v>
      </c>
      <c r="K2070" s="4">
        <v>44912</v>
      </c>
      <c r="L2070" t="s">
        <v>26</v>
      </c>
      <c r="M2070" t="s">
        <v>66</v>
      </c>
      <c r="N2070">
        <v>3.35</v>
      </c>
      <c r="O2070">
        <v>2420</v>
      </c>
      <c r="P2070">
        <v>3.25</v>
      </c>
      <c r="Q2070">
        <v>310</v>
      </c>
      <c r="R2070">
        <v>476</v>
      </c>
    </row>
    <row r="2071" spans="1:18" x14ac:dyDescent="0.2">
      <c r="A2071">
        <v>9</v>
      </c>
      <c r="B2071" t="s">
        <v>48</v>
      </c>
      <c r="E2071" t="s">
        <v>36</v>
      </c>
      <c r="F2071">
        <v>1036456</v>
      </c>
      <c r="G2071">
        <v>3</v>
      </c>
      <c r="H2071">
        <v>3</v>
      </c>
      <c r="I2071">
        <v>673</v>
      </c>
      <c r="J2071">
        <v>2002</v>
      </c>
      <c r="K2071" s="4">
        <v>45580</v>
      </c>
      <c r="L2071" t="s">
        <v>26</v>
      </c>
      <c r="M2071" t="s">
        <v>78</v>
      </c>
      <c r="N2071">
        <v>1.85</v>
      </c>
      <c r="O2071">
        <v>1903</v>
      </c>
      <c r="P2071">
        <v>3.94</v>
      </c>
      <c r="Q2071">
        <v>172</v>
      </c>
      <c r="R2071">
        <v>469</v>
      </c>
    </row>
    <row r="2072" spans="1:18" x14ac:dyDescent="0.2">
      <c r="A2072">
        <v>5</v>
      </c>
      <c r="B2072" t="s">
        <v>72</v>
      </c>
      <c r="E2072" t="s">
        <v>36</v>
      </c>
      <c r="F2072">
        <v>527683</v>
      </c>
      <c r="G2072">
        <v>3</v>
      </c>
      <c r="H2072">
        <v>2</v>
      </c>
      <c r="I2072">
        <v>389</v>
      </c>
      <c r="J2072">
        <v>2012</v>
      </c>
      <c r="K2072" s="4">
        <v>45616</v>
      </c>
      <c r="L2072" t="s">
        <v>23</v>
      </c>
      <c r="M2072" t="s">
        <v>70</v>
      </c>
      <c r="N2072">
        <v>1.6</v>
      </c>
      <c r="O2072">
        <v>1431</v>
      </c>
      <c r="P2072">
        <v>4.5</v>
      </c>
      <c r="Q2072">
        <v>277</v>
      </c>
      <c r="R2072">
        <v>685</v>
      </c>
    </row>
    <row r="2073" spans="1:18" x14ac:dyDescent="0.2">
      <c r="A2073">
        <v>9</v>
      </c>
      <c r="B2073" t="s">
        <v>92</v>
      </c>
      <c r="E2073" t="s">
        <v>36</v>
      </c>
      <c r="F2073">
        <v>1202626</v>
      </c>
      <c r="G2073">
        <v>6</v>
      </c>
      <c r="H2073">
        <v>3</v>
      </c>
      <c r="I2073">
        <v>430</v>
      </c>
      <c r="J2073">
        <v>1991</v>
      </c>
      <c r="K2073" s="4">
        <v>44281</v>
      </c>
      <c r="L2073" t="s">
        <v>23</v>
      </c>
      <c r="M2073" t="s">
        <v>47</v>
      </c>
      <c r="N2073">
        <v>2.25</v>
      </c>
      <c r="O2073">
        <v>877</v>
      </c>
      <c r="P2073">
        <v>0.43</v>
      </c>
      <c r="Q2073">
        <v>340</v>
      </c>
      <c r="R2073">
        <v>422</v>
      </c>
    </row>
    <row r="2074" spans="1:18" x14ac:dyDescent="0.2">
      <c r="A2074">
        <v>4</v>
      </c>
      <c r="B2074" t="s">
        <v>95</v>
      </c>
      <c r="E2074" t="s">
        <v>19</v>
      </c>
      <c r="F2074">
        <v>2389160</v>
      </c>
      <c r="G2074">
        <v>4</v>
      </c>
      <c r="H2074">
        <v>1</v>
      </c>
      <c r="I2074">
        <v>144</v>
      </c>
      <c r="J2074">
        <v>1952</v>
      </c>
      <c r="K2074" s="4">
        <v>45380</v>
      </c>
      <c r="L2074" t="s">
        <v>30</v>
      </c>
      <c r="M2074" t="s">
        <v>40</v>
      </c>
      <c r="N2074">
        <v>2.25</v>
      </c>
      <c r="O2074">
        <v>2383</v>
      </c>
      <c r="P2074">
        <v>3.02</v>
      </c>
      <c r="Q2074">
        <v>373</v>
      </c>
      <c r="R2074">
        <v>616</v>
      </c>
    </row>
    <row r="2075" spans="1:18" x14ac:dyDescent="0.2">
      <c r="A2075">
        <v>1</v>
      </c>
      <c r="B2075" t="s">
        <v>49</v>
      </c>
      <c r="E2075" t="s">
        <v>51</v>
      </c>
      <c r="F2075">
        <v>801785</v>
      </c>
      <c r="G2075">
        <v>4</v>
      </c>
      <c r="H2075">
        <v>2</v>
      </c>
      <c r="I2075">
        <v>578</v>
      </c>
      <c r="J2075">
        <v>1998</v>
      </c>
      <c r="K2075" s="4">
        <v>45539</v>
      </c>
      <c r="L2075" t="s">
        <v>20</v>
      </c>
      <c r="M2075" t="s">
        <v>82</v>
      </c>
      <c r="N2075">
        <v>3.37</v>
      </c>
      <c r="O2075">
        <v>1986</v>
      </c>
      <c r="P2075">
        <v>0.5</v>
      </c>
      <c r="Q2075">
        <v>227</v>
      </c>
      <c r="R2075">
        <v>499</v>
      </c>
    </row>
    <row r="2076" spans="1:18" x14ac:dyDescent="0.2">
      <c r="A2076">
        <v>8</v>
      </c>
      <c r="B2076" t="s">
        <v>18</v>
      </c>
      <c r="E2076" t="s">
        <v>19</v>
      </c>
      <c r="F2076">
        <v>1541902</v>
      </c>
      <c r="G2076">
        <v>2</v>
      </c>
      <c r="H2076">
        <v>3</v>
      </c>
      <c r="I2076">
        <v>216</v>
      </c>
      <c r="J2076">
        <v>2004</v>
      </c>
      <c r="K2076" s="4">
        <v>45628</v>
      </c>
      <c r="L2076" t="s">
        <v>26</v>
      </c>
      <c r="M2076" t="s">
        <v>31</v>
      </c>
      <c r="N2076">
        <v>3.24</v>
      </c>
      <c r="O2076">
        <v>1005</v>
      </c>
      <c r="P2076">
        <v>1.85</v>
      </c>
      <c r="Q2076">
        <v>194</v>
      </c>
      <c r="R2076">
        <v>658</v>
      </c>
    </row>
    <row r="2077" spans="1:18" x14ac:dyDescent="0.2">
      <c r="A2077">
        <v>1</v>
      </c>
      <c r="B2077" t="s">
        <v>102</v>
      </c>
      <c r="E2077" t="s">
        <v>19</v>
      </c>
      <c r="F2077">
        <v>977611</v>
      </c>
      <c r="G2077">
        <v>4</v>
      </c>
      <c r="H2077">
        <v>1</v>
      </c>
      <c r="I2077">
        <v>689</v>
      </c>
      <c r="J2077">
        <v>2013</v>
      </c>
      <c r="K2077" s="4">
        <v>44090</v>
      </c>
      <c r="L2077" t="s">
        <v>20</v>
      </c>
      <c r="M2077" t="s">
        <v>35</v>
      </c>
      <c r="N2077">
        <v>2.29</v>
      </c>
      <c r="O2077">
        <v>1552</v>
      </c>
      <c r="P2077">
        <v>2.58</v>
      </c>
      <c r="Q2077">
        <v>322</v>
      </c>
      <c r="R2077">
        <v>303</v>
      </c>
    </row>
    <row r="2078" spans="1:18" x14ac:dyDescent="0.2">
      <c r="A2078">
        <v>8</v>
      </c>
      <c r="B2078" t="s">
        <v>86</v>
      </c>
      <c r="E2078" t="s">
        <v>29</v>
      </c>
      <c r="F2078">
        <v>1751035</v>
      </c>
      <c r="G2078">
        <v>5</v>
      </c>
      <c r="H2078">
        <v>2</v>
      </c>
      <c r="I2078">
        <v>53</v>
      </c>
      <c r="J2078">
        <v>1970</v>
      </c>
      <c r="K2078" s="4">
        <v>45243</v>
      </c>
      <c r="L2078" t="s">
        <v>30</v>
      </c>
      <c r="M2078" t="s">
        <v>77</v>
      </c>
      <c r="N2078">
        <v>1.51</v>
      </c>
      <c r="O2078">
        <v>908</v>
      </c>
      <c r="P2078">
        <v>3.03</v>
      </c>
      <c r="Q2078">
        <v>329</v>
      </c>
      <c r="R2078">
        <v>475</v>
      </c>
    </row>
    <row r="2079" spans="1:18" x14ac:dyDescent="0.2">
      <c r="A2079">
        <v>5</v>
      </c>
      <c r="B2079" t="s">
        <v>99</v>
      </c>
      <c r="E2079" t="s">
        <v>36</v>
      </c>
      <c r="F2079">
        <v>540380</v>
      </c>
      <c r="G2079">
        <v>4</v>
      </c>
      <c r="H2079">
        <v>2</v>
      </c>
      <c r="I2079">
        <v>104</v>
      </c>
      <c r="J2079">
        <v>1993</v>
      </c>
      <c r="K2079" s="4">
        <v>45332</v>
      </c>
      <c r="L2079" t="s">
        <v>30</v>
      </c>
      <c r="M2079" t="s">
        <v>45</v>
      </c>
      <c r="N2079">
        <v>3.24</v>
      </c>
      <c r="O2079">
        <v>2126</v>
      </c>
      <c r="P2079">
        <v>2.64</v>
      </c>
      <c r="Q2079">
        <v>290</v>
      </c>
      <c r="R2079">
        <v>470</v>
      </c>
    </row>
    <row r="2080" spans="1:18" x14ac:dyDescent="0.2">
      <c r="A2080">
        <v>0</v>
      </c>
      <c r="B2080" t="s">
        <v>43</v>
      </c>
      <c r="E2080" t="s">
        <v>36</v>
      </c>
      <c r="F2080">
        <v>2992411</v>
      </c>
      <c r="G2080">
        <v>3</v>
      </c>
      <c r="H2080">
        <v>1</v>
      </c>
      <c r="I2080">
        <v>712</v>
      </c>
      <c r="J2080">
        <v>1988</v>
      </c>
      <c r="K2080" s="4">
        <v>45542</v>
      </c>
      <c r="L2080" t="s">
        <v>23</v>
      </c>
      <c r="M2080" t="s">
        <v>85</v>
      </c>
      <c r="N2080">
        <v>2.2799999999999998</v>
      </c>
      <c r="O2080">
        <v>1435</v>
      </c>
      <c r="P2080">
        <v>2.0499999999999998</v>
      </c>
      <c r="Q2080">
        <v>199</v>
      </c>
      <c r="R2080">
        <v>445</v>
      </c>
    </row>
    <row r="2081" spans="1:18" x14ac:dyDescent="0.2">
      <c r="A2081">
        <v>9</v>
      </c>
      <c r="B2081" t="s">
        <v>83</v>
      </c>
      <c r="E2081" t="s">
        <v>19</v>
      </c>
      <c r="F2081">
        <v>2780503</v>
      </c>
      <c r="G2081">
        <v>4</v>
      </c>
      <c r="H2081">
        <v>3</v>
      </c>
      <c r="I2081">
        <v>268</v>
      </c>
      <c r="J2081">
        <v>1974</v>
      </c>
      <c r="K2081" s="4">
        <v>45826</v>
      </c>
      <c r="L2081" t="s">
        <v>20</v>
      </c>
      <c r="M2081" t="s">
        <v>60</v>
      </c>
      <c r="N2081">
        <v>3.1</v>
      </c>
      <c r="O2081">
        <v>1053</v>
      </c>
      <c r="P2081">
        <v>3.57</v>
      </c>
      <c r="Q2081">
        <v>304</v>
      </c>
      <c r="R2081">
        <v>458</v>
      </c>
    </row>
    <row r="2082" spans="1:18" x14ac:dyDescent="0.2">
      <c r="A2082">
        <v>0</v>
      </c>
      <c r="B2082" t="s">
        <v>72</v>
      </c>
      <c r="E2082" t="s">
        <v>29</v>
      </c>
      <c r="F2082">
        <v>1256351</v>
      </c>
      <c r="G2082">
        <v>2</v>
      </c>
      <c r="H2082">
        <v>1</v>
      </c>
      <c r="I2082">
        <v>70</v>
      </c>
      <c r="J2082">
        <v>1956</v>
      </c>
      <c r="K2082" s="4">
        <v>44641</v>
      </c>
      <c r="L2082" t="s">
        <v>20</v>
      </c>
      <c r="M2082" t="s">
        <v>68</v>
      </c>
      <c r="N2082">
        <v>2.56</v>
      </c>
      <c r="O2082">
        <v>1918</v>
      </c>
      <c r="P2082">
        <v>0.52</v>
      </c>
      <c r="Q2082">
        <v>203</v>
      </c>
      <c r="R2082">
        <v>527</v>
      </c>
    </row>
    <row r="2083" spans="1:18" x14ac:dyDescent="0.2">
      <c r="A2083">
        <v>5</v>
      </c>
      <c r="B2083" t="s">
        <v>53</v>
      </c>
      <c r="E2083" t="s">
        <v>19</v>
      </c>
      <c r="F2083">
        <v>1062216</v>
      </c>
      <c r="G2083">
        <v>3</v>
      </c>
      <c r="H2083">
        <v>3</v>
      </c>
      <c r="I2083">
        <v>502</v>
      </c>
      <c r="J2083">
        <v>1951</v>
      </c>
      <c r="K2083" s="4">
        <v>44889</v>
      </c>
      <c r="L2083" t="s">
        <v>23</v>
      </c>
      <c r="M2083" t="s">
        <v>37</v>
      </c>
      <c r="N2083">
        <v>2.25</v>
      </c>
      <c r="O2083">
        <v>2017</v>
      </c>
      <c r="P2083">
        <v>3.42</v>
      </c>
      <c r="Q2083">
        <v>95</v>
      </c>
      <c r="R2083">
        <v>662</v>
      </c>
    </row>
    <row r="2084" spans="1:18" x14ac:dyDescent="0.2">
      <c r="A2084">
        <v>2</v>
      </c>
      <c r="B2084" t="s">
        <v>46</v>
      </c>
      <c r="E2084" t="s">
        <v>29</v>
      </c>
      <c r="F2084">
        <v>1585403</v>
      </c>
      <c r="G2084">
        <v>0</v>
      </c>
      <c r="H2084">
        <v>2</v>
      </c>
      <c r="I2084">
        <v>294</v>
      </c>
      <c r="J2084">
        <v>1991</v>
      </c>
      <c r="K2084" s="4">
        <v>45677</v>
      </c>
      <c r="L2084" t="s">
        <v>30</v>
      </c>
      <c r="M2084" t="s">
        <v>66</v>
      </c>
      <c r="N2084">
        <v>2.88</v>
      </c>
      <c r="O2084">
        <v>1211</v>
      </c>
      <c r="P2084">
        <v>1.39</v>
      </c>
      <c r="Q2084">
        <v>67</v>
      </c>
      <c r="R2084">
        <v>525</v>
      </c>
    </row>
    <row r="2085" spans="1:18" x14ac:dyDescent="0.2">
      <c r="A2085">
        <v>6</v>
      </c>
      <c r="B2085" t="s">
        <v>87</v>
      </c>
      <c r="E2085" t="s">
        <v>51</v>
      </c>
      <c r="F2085">
        <v>457978</v>
      </c>
      <c r="G2085">
        <v>5</v>
      </c>
      <c r="H2085">
        <v>1</v>
      </c>
      <c r="I2085">
        <v>171</v>
      </c>
      <c r="J2085">
        <v>1951</v>
      </c>
      <c r="K2085" s="4">
        <v>44220</v>
      </c>
      <c r="L2085" t="s">
        <v>20</v>
      </c>
      <c r="M2085" t="s">
        <v>21</v>
      </c>
      <c r="N2085">
        <v>1.51</v>
      </c>
      <c r="O2085">
        <v>1559</v>
      </c>
      <c r="P2085">
        <v>1.57</v>
      </c>
      <c r="Q2085">
        <v>349</v>
      </c>
      <c r="R2085">
        <v>556</v>
      </c>
    </row>
    <row r="2086" spans="1:18" x14ac:dyDescent="0.2">
      <c r="A2086">
        <v>0</v>
      </c>
      <c r="B2086" t="s">
        <v>61</v>
      </c>
      <c r="E2086" t="s">
        <v>51</v>
      </c>
      <c r="F2086">
        <v>647468</v>
      </c>
      <c r="G2086">
        <v>3</v>
      </c>
      <c r="H2086">
        <v>3</v>
      </c>
      <c r="I2086">
        <v>655</v>
      </c>
      <c r="J2086">
        <v>2011</v>
      </c>
      <c r="K2086" s="4">
        <v>44327</v>
      </c>
      <c r="L2086" t="s">
        <v>26</v>
      </c>
      <c r="M2086" t="s">
        <v>68</v>
      </c>
      <c r="N2086">
        <v>2.98</v>
      </c>
      <c r="O2086">
        <v>2177</v>
      </c>
      <c r="P2086">
        <v>1.6</v>
      </c>
      <c r="Q2086">
        <v>245</v>
      </c>
      <c r="R2086">
        <v>563</v>
      </c>
    </row>
    <row r="2087" spans="1:18" x14ac:dyDescent="0.2">
      <c r="A2087">
        <v>2</v>
      </c>
      <c r="B2087" t="s">
        <v>64</v>
      </c>
      <c r="E2087" t="s">
        <v>29</v>
      </c>
      <c r="F2087">
        <v>2446728</v>
      </c>
      <c r="G2087">
        <v>4</v>
      </c>
      <c r="H2087">
        <v>3</v>
      </c>
      <c r="I2087">
        <v>759</v>
      </c>
      <c r="J2087">
        <v>1997</v>
      </c>
      <c r="K2087" s="4">
        <v>45451</v>
      </c>
      <c r="L2087" t="s">
        <v>23</v>
      </c>
      <c r="M2087" t="s">
        <v>35</v>
      </c>
      <c r="N2087">
        <v>3.48</v>
      </c>
      <c r="O2087">
        <v>1705</v>
      </c>
      <c r="P2087">
        <v>0.13</v>
      </c>
      <c r="Q2087">
        <v>380</v>
      </c>
      <c r="R2087">
        <v>632</v>
      </c>
    </row>
    <row r="2088" spans="1:18" x14ac:dyDescent="0.2">
      <c r="A2088">
        <v>6</v>
      </c>
      <c r="B2088" t="s">
        <v>22</v>
      </c>
      <c r="E2088" t="s">
        <v>19</v>
      </c>
      <c r="F2088">
        <v>1059466</v>
      </c>
      <c r="G2088">
        <v>1</v>
      </c>
      <c r="H2088">
        <v>2</v>
      </c>
      <c r="I2088">
        <v>881</v>
      </c>
      <c r="J2088">
        <v>1996</v>
      </c>
      <c r="K2088" s="4">
        <v>44975</v>
      </c>
      <c r="L2088" t="s">
        <v>23</v>
      </c>
      <c r="M2088" t="s">
        <v>45</v>
      </c>
      <c r="N2088">
        <v>1.78</v>
      </c>
      <c r="O2088">
        <v>2104</v>
      </c>
      <c r="P2088">
        <v>3.16</v>
      </c>
      <c r="Q2088">
        <v>66</v>
      </c>
      <c r="R2088">
        <v>675</v>
      </c>
    </row>
    <row r="2089" spans="1:18" x14ac:dyDescent="0.2">
      <c r="A2089">
        <v>6</v>
      </c>
      <c r="B2089" t="s">
        <v>90</v>
      </c>
      <c r="E2089" t="s">
        <v>36</v>
      </c>
      <c r="F2089">
        <v>1505833</v>
      </c>
      <c r="G2089">
        <v>3</v>
      </c>
      <c r="H2089">
        <v>3</v>
      </c>
      <c r="I2089">
        <v>987</v>
      </c>
      <c r="J2089">
        <v>1953</v>
      </c>
      <c r="K2089" s="4">
        <v>44420</v>
      </c>
      <c r="L2089" t="s">
        <v>30</v>
      </c>
      <c r="M2089" t="s">
        <v>89</v>
      </c>
      <c r="N2089">
        <v>2.34</v>
      </c>
      <c r="O2089">
        <v>818</v>
      </c>
      <c r="P2089">
        <v>3.97</v>
      </c>
      <c r="Q2089">
        <v>110</v>
      </c>
      <c r="R2089">
        <v>379</v>
      </c>
    </row>
    <row r="2090" spans="1:18" x14ac:dyDescent="0.2">
      <c r="A2090">
        <v>5</v>
      </c>
      <c r="B2090" t="s">
        <v>86</v>
      </c>
      <c r="E2090" t="s">
        <v>36</v>
      </c>
      <c r="F2090">
        <v>2112362</v>
      </c>
      <c r="G2090">
        <v>3</v>
      </c>
      <c r="H2090">
        <v>2</v>
      </c>
      <c r="I2090">
        <v>295</v>
      </c>
      <c r="J2090">
        <v>2019</v>
      </c>
      <c r="K2090" s="4">
        <v>45873</v>
      </c>
      <c r="L2090" t="s">
        <v>23</v>
      </c>
      <c r="M2090" t="s">
        <v>63</v>
      </c>
      <c r="N2090">
        <v>1.6</v>
      </c>
      <c r="O2090">
        <v>2382</v>
      </c>
      <c r="P2090">
        <v>4.72</v>
      </c>
      <c r="Q2090">
        <v>180</v>
      </c>
      <c r="R2090">
        <v>369</v>
      </c>
    </row>
    <row r="2091" spans="1:18" x14ac:dyDescent="0.2">
      <c r="A2091">
        <v>9</v>
      </c>
      <c r="B2091" t="s">
        <v>93</v>
      </c>
      <c r="E2091" t="s">
        <v>19</v>
      </c>
      <c r="F2091">
        <v>524791</v>
      </c>
      <c r="G2091">
        <v>6</v>
      </c>
      <c r="H2091">
        <v>2</v>
      </c>
      <c r="I2091">
        <v>552</v>
      </c>
      <c r="J2091">
        <v>2007</v>
      </c>
      <c r="K2091" s="4">
        <v>44101</v>
      </c>
      <c r="L2091" t="s">
        <v>23</v>
      </c>
      <c r="M2091" t="s">
        <v>59</v>
      </c>
      <c r="N2091">
        <v>2.77</v>
      </c>
      <c r="O2091">
        <v>2314</v>
      </c>
      <c r="P2091">
        <v>4.5999999999999996</v>
      </c>
      <c r="Q2091">
        <v>367</v>
      </c>
      <c r="R2091">
        <v>645</v>
      </c>
    </row>
    <row r="2092" spans="1:18" x14ac:dyDescent="0.2">
      <c r="A2092">
        <v>3</v>
      </c>
      <c r="B2092" t="s">
        <v>101</v>
      </c>
      <c r="E2092" t="s">
        <v>29</v>
      </c>
      <c r="F2092">
        <v>756642</v>
      </c>
      <c r="G2092">
        <v>4</v>
      </c>
      <c r="H2092">
        <v>2</v>
      </c>
      <c r="I2092">
        <v>97</v>
      </c>
      <c r="J2092">
        <v>1950</v>
      </c>
      <c r="K2092" s="4">
        <v>44500</v>
      </c>
      <c r="L2092" t="s">
        <v>23</v>
      </c>
      <c r="M2092" t="s">
        <v>21</v>
      </c>
      <c r="N2092">
        <v>1.86</v>
      </c>
      <c r="O2092">
        <v>2474</v>
      </c>
      <c r="P2092">
        <v>2.98</v>
      </c>
      <c r="Q2092">
        <v>312</v>
      </c>
      <c r="R2092">
        <v>460</v>
      </c>
    </row>
    <row r="2093" spans="1:18" x14ac:dyDescent="0.2">
      <c r="A2093">
        <v>5</v>
      </c>
      <c r="B2093" t="s">
        <v>71</v>
      </c>
      <c r="E2093" t="s">
        <v>19</v>
      </c>
      <c r="F2093">
        <v>2233275</v>
      </c>
      <c r="G2093">
        <v>6</v>
      </c>
      <c r="H2093">
        <v>2</v>
      </c>
      <c r="I2093">
        <v>932</v>
      </c>
      <c r="J2093">
        <v>2008</v>
      </c>
      <c r="K2093" s="4">
        <v>45028</v>
      </c>
      <c r="L2093" t="s">
        <v>20</v>
      </c>
      <c r="M2093" t="s">
        <v>69</v>
      </c>
      <c r="N2093">
        <v>2.73</v>
      </c>
      <c r="O2093">
        <v>1875</v>
      </c>
      <c r="P2093">
        <v>2.75</v>
      </c>
      <c r="Q2093">
        <v>400</v>
      </c>
      <c r="R2093">
        <v>309</v>
      </c>
    </row>
    <row r="2094" spans="1:18" x14ac:dyDescent="0.2">
      <c r="A2094">
        <v>6</v>
      </c>
      <c r="B2094" t="s">
        <v>81</v>
      </c>
      <c r="E2094" t="s">
        <v>51</v>
      </c>
      <c r="F2094">
        <v>2238423</v>
      </c>
      <c r="G2094">
        <v>2</v>
      </c>
      <c r="H2094">
        <v>1</v>
      </c>
      <c r="I2094">
        <v>467</v>
      </c>
      <c r="J2094">
        <v>2022</v>
      </c>
      <c r="K2094" s="4">
        <v>45415</v>
      </c>
      <c r="L2094" t="s">
        <v>20</v>
      </c>
      <c r="M2094" t="s">
        <v>69</v>
      </c>
      <c r="N2094">
        <v>3.49</v>
      </c>
      <c r="O2094">
        <v>1511</v>
      </c>
      <c r="P2094">
        <v>1.04</v>
      </c>
      <c r="Q2094">
        <v>46</v>
      </c>
      <c r="R2094">
        <v>568</v>
      </c>
    </row>
    <row r="2095" spans="1:18" x14ac:dyDescent="0.2">
      <c r="A2095">
        <v>8</v>
      </c>
      <c r="B2095" t="s">
        <v>75</v>
      </c>
      <c r="E2095" t="s">
        <v>51</v>
      </c>
      <c r="F2095">
        <v>882400</v>
      </c>
      <c r="G2095">
        <v>3</v>
      </c>
      <c r="H2095">
        <v>1</v>
      </c>
      <c r="I2095">
        <v>300</v>
      </c>
      <c r="J2095">
        <v>2006</v>
      </c>
      <c r="K2095" s="4">
        <v>44493</v>
      </c>
      <c r="L2095" t="s">
        <v>23</v>
      </c>
      <c r="M2095" t="s">
        <v>37</v>
      </c>
      <c r="N2095">
        <v>3.33</v>
      </c>
      <c r="O2095">
        <v>1143</v>
      </c>
      <c r="P2095">
        <v>4.96</v>
      </c>
      <c r="Q2095">
        <v>120</v>
      </c>
      <c r="R2095">
        <v>457</v>
      </c>
    </row>
    <row r="2096" spans="1:18" x14ac:dyDescent="0.2">
      <c r="A2096">
        <v>5</v>
      </c>
      <c r="B2096" t="s">
        <v>83</v>
      </c>
      <c r="E2096" t="s">
        <v>36</v>
      </c>
      <c r="F2096">
        <v>559378</v>
      </c>
      <c r="G2096">
        <v>3</v>
      </c>
      <c r="H2096">
        <v>1</v>
      </c>
      <c r="I2096">
        <v>369</v>
      </c>
      <c r="J2096">
        <v>2013</v>
      </c>
      <c r="K2096" s="4">
        <v>44441</v>
      </c>
      <c r="L2096" t="s">
        <v>23</v>
      </c>
      <c r="M2096" t="s">
        <v>31</v>
      </c>
      <c r="N2096">
        <v>3.32</v>
      </c>
      <c r="O2096">
        <v>1291</v>
      </c>
      <c r="P2096">
        <v>3.13</v>
      </c>
      <c r="Q2096">
        <v>310</v>
      </c>
      <c r="R2096">
        <v>635</v>
      </c>
    </row>
    <row r="2097" spans="1:18" x14ac:dyDescent="0.2">
      <c r="A2097">
        <v>0</v>
      </c>
      <c r="B2097" t="s">
        <v>43</v>
      </c>
      <c r="E2097" t="s">
        <v>36</v>
      </c>
      <c r="F2097">
        <v>977119</v>
      </c>
      <c r="G2097">
        <v>6</v>
      </c>
      <c r="H2097">
        <v>1</v>
      </c>
      <c r="I2097">
        <v>481</v>
      </c>
      <c r="J2097">
        <v>1974</v>
      </c>
      <c r="K2097" s="4">
        <v>45526</v>
      </c>
      <c r="L2097" t="s">
        <v>30</v>
      </c>
      <c r="M2097" t="s">
        <v>52</v>
      </c>
      <c r="N2097">
        <v>2.11</v>
      </c>
      <c r="O2097">
        <v>1838</v>
      </c>
      <c r="P2097">
        <v>2.33</v>
      </c>
      <c r="Q2097">
        <v>343</v>
      </c>
      <c r="R2097">
        <v>538</v>
      </c>
    </row>
    <row r="2098" spans="1:18" x14ac:dyDescent="0.2">
      <c r="A2098">
        <v>9</v>
      </c>
      <c r="B2098" t="s">
        <v>25</v>
      </c>
      <c r="E2098" t="s">
        <v>36</v>
      </c>
      <c r="F2098">
        <v>1549110</v>
      </c>
      <c r="G2098">
        <v>4</v>
      </c>
      <c r="H2098">
        <v>2</v>
      </c>
      <c r="I2098">
        <v>50</v>
      </c>
      <c r="J2098">
        <v>1960</v>
      </c>
      <c r="K2098" s="4">
        <v>44885</v>
      </c>
      <c r="L2098" t="s">
        <v>20</v>
      </c>
      <c r="M2098" t="s">
        <v>68</v>
      </c>
      <c r="N2098">
        <v>3.25</v>
      </c>
      <c r="O2098">
        <v>924</v>
      </c>
      <c r="P2098">
        <v>2.33</v>
      </c>
      <c r="Q2098">
        <v>350</v>
      </c>
      <c r="R2098">
        <v>627</v>
      </c>
    </row>
    <row r="2099" spans="1:18" x14ac:dyDescent="0.2">
      <c r="A2099">
        <v>6</v>
      </c>
      <c r="B2099" t="s">
        <v>61</v>
      </c>
      <c r="E2099" t="s">
        <v>36</v>
      </c>
      <c r="F2099">
        <v>802865</v>
      </c>
      <c r="G2099">
        <v>0</v>
      </c>
      <c r="H2099">
        <v>3</v>
      </c>
      <c r="I2099">
        <v>576</v>
      </c>
      <c r="J2099">
        <v>2015</v>
      </c>
      <c r="K2099" s="4">
        <v>45268</v>
      </c>
      <c r="L2099" t="s">
        <v>20</v>
      </c>
      <c r="M2099" t="s">
        <v>74</v>
      </c>
      <c r="N2099">
        <v>2.84</v>
      </c>
      <c r="O2099">
        <v>1643</v>
      </c>
      <c r="P2099">
        <v>0.41</v>
      </c>
      <c r="Q2099">
        <v>47</v>
      </c>
      <c r="R2099">
        <v>346</v>
      </c>
    </row>
    <row r="2100" spans="1:18" x14ac:dyDescent="0.2">
      <c r="A2100">
        <v>2</v>
      </c>
      <c r="B2100" t="s">
        <v>61</v>
      </c>
      <c r="E2100" t="s">
        <v>51</v>
      </c>
      <c r="F2100">
        <v>660853</v>
      </c>
      <c r="G2100">
        <v>2</v>
      </c>
      <c r="H2100">
        <v>1</v>
      </c>
      <c r="I2100">
        <v>540</v>
      </c>
      <c r="J2100">
        <v>2004</v>
      </c>
      <c r="K2100" s="4">
        <v>44683</v>
      </c>
      <c r="L2100" t="s">
        <v>26</v>
      </c>
      <c r="M2100" t="s">
        <v>77</v>
      </c>
      <c r="N2100">
        <v>3.1</v>
      </c>
      <c r="O2100">
        <v>1853</v>
      </c>
      <c r="P2100">
        <v>0.97</v>
      </c>
      <c r="Q2100">
        <v>144</v>
      </c>
      <c r="R2100">
        <v>458</v>
      </c>
    </row>
    <row r="2101" spans="1:18" x14ac:dyDescent="0.2">
      <c r="A2101">
        <v>3</v>
      </c>
      <c r="B2101" t="s">
        <v>100</v>
      </c>
      <c r="E2101" t="s">
        <v>51</v>
      </c>
      <c r="F2101">
        <v>1289761</v>
      </c>
      <c r="G2101">
        <v>2</v>
      </c>
      <c r="H2101">
        <v>2</v>
      </c>
      <c r="I2101">
        <v>365</v>
      </c>
      <c r="J2101">
        <v>1967</v>
      </c>
      <c r="K2101" s="4">
        <v>44290</v>
      </c>
      <c r="L2101" t="s">
        <v>20</v>
      </c>
      <c r="M2101" t="s">
        <v>27</v>
      </c>
      <c r="N2101">
        <v>2.37</v>
      </c>
      <c r="O2101">
        <v>2364</v>
      </c>
      <c r="P2101">
        <v>2.58</v>
      </c>
      <c r="Q2101">
        <v>64</v>
      </c>
      <c r="R2101">
        <v>592</v>
      </c>
    </row>
    <row r="2102" spans="1:18" x14ac:dyDescent="0.2">
      <c r="A2102">
        <v>6</v>
      </c>
      <c r="B2102" t="s">
        <v>81</v>
      </c>
      <c r="E2102" t="s">
        <v>36</v>
      </c>
      <c r="F2102">
        <v>1825457</v>
      </c>
      <c r="G2102">
        <v>2</v>
      </c>
      <c r="H2102">
        <v>1</v>
      </c>
      <c r="I2102">
        <v>340</v>
      </c>
      <c r="J2102">
        <v>2018</v>
      </c>
      <c r="K2102" s="4">
        <v>44941</v>
      </c>
      <c r="L2102" t="s">
        <v>23</v>
      </c>
      <c r="M2102" t="s">
        <v>33</v>
      </c>
      <c r="N2102">
        <v>2.5</v>
      </c>
      <c r="O2102">
        <v>947</v>
      </c>
      <c r="P2102">
        <v>3.19</v>
      </c>
      <c r="Q2102">
        <v>57</v>
      </c>
      <c r="R2102">
        <v>346</v>
      </c>
    </row>
    <row r="2103" spans="1:18" x14ac:dyDescent="0.2">
      <c r="A2103">
        <v>8</v>
      </c>
      <c r="B2103" t="s">
        <v>92</v>
      </c>
      <c r="E2103" t="s">
        <v>51</v>
      </c>
      <c r="F2103">
        <v>855772</v>
      </c>
      <c r="G2103">
        <v>3</v>
      </c>
      <c r="H2103">
        <v>3</v>
      </c>
      <c r="I2103">
        <v>55</v>
      </c>
      <c r="J2103">
        <v>2021</v>
      </c>
      <c r="K2103" s="4">
        <v>45511</v>
      </c>
      <c r="L2103" t="s">
        <v>23</v>
      </c>
      <c r="M2103" t="s">
        <v>45</v>
      </c>
      <c r="N2103">
        <v>2.44</v>
      </c>
      <c r="O2103">
        <v>1097</v>
      </c>
      <c r="P2103">
        <v>0.86</v>
      </c>
      <c r="Q2103">
        <v>189</v>
      </c>
      <c r="R2103">
        <v>641</v>
      </c>
    </row>
    <row r="2104" spans="1:18" x14ac:dyDescent="0.2">
      <c r="A2104">
        <v>7</v>
      </c>
      <c r="B2104" t="s">
        <v>96</v>
      </c>
      <c r="E2104" t="s">
        <v>51</v>
      </c>
      <c r="F2104">
        <v>2037953</v>
      </c>
      <c r="G2104">
        <v>4</v>
      </c>
      <c r="H2104">
        <v>2</v>
      </c>
      <c r="I2104">
        <v>995</v>
      </c>
      <c r="J2104">
        <v>2010</v>
      </c>
      <c r="K2104" s="4">
        <v>44168</v>
      </c>
      <c r="L2104" t="s">
        <v>26</v>
      </c>
      <c r="M2104" t="s">
        <v>31</v>
      </c>
      <c r="N2104">
        <v>3.25</v>
      </c>
      <c r="O2104">
        <v>912</v>
      </c>
      <c r="P2104">
        <v>2.2000000000000002</v>
      </c>
      <c r="Q2104">
        <v>332</v>
      </c>
      <c r="R2104">
        <v>399</v>
      </c>
    </row>
    <row r="2105" spans="1:18" x14ac:dyDescent="0.2">
      <c r="A2105">
        <v>4</v>
      </c>
      <c r="B2105" t="s">
        <v>86</v>
      </c>
      <c r="E2105" t="s">
        <v>51</v>
      </c>
      <c r="F2105">
        <v>2526296</v>
      </c>
      <c r="G2105">
        <v>2</v>
      </c>
      <c r="H2105">
        <v>1</v>
      </c>
      <c r="I2105">
        <v>253</v>
      </c>
      <c r="J2105">
        <v>1991</v>
      </c>
      <c r="K2105" s="4">
        <v>45859</v>
      </c>
      <c r="L2105" t="s">
        <v>23</v>
      </c>
      <c r="M2105" t="s">
        <v>45</v>
      </c>
      <c r="N2105">
        <v>2.4500000000000002</v>
      </c>
      <c r="O2105">
        <v>1109</v>
      </c>
      <c r="P2105">
        <v>1.62</v>
      </c>
      <c r="Q2105">
        <v>153</v>
      </c>
      <c r="R2105">
        <v>545</v>
      </c>
    </row>
    <row r="2106" spans="1:18" x14ac:dyDescent="0.2">
      <c r="A2106">
        <v>7</v>
      </c>
      <c r="B2106" t="s">
        <v>49</v>
      </c>
      <c r="E2106" t="s">
        <v>36</v>
      </c>
      <c r="F2106">
        <v>481271</v>
      </c>
      <c r="G2106">
        <v>1</v>
      </c>
      <c r="H2106">
        <v>3</v>
      </c>
      <c r="I2106">
        <v>613</v>
      </c>
      <c r="J2106">
        <v>1952</v>
      </c>
      <c r="K2106" s="4">
        <v>44132</v>
      </c>
      <c r="L2106" t="s">
        <v>26</v>
      </c>
      <c r="M2106" t="s">
        <v>24</v>
      </c>
      <c r="N2106">
        <v>2.1800000000000002</v>
      </c>
      <c r="O2106">
        <v>1310</v>
      </c>
      <c r="P2106">
        <v>3.33</v>
      </c>
      <c r="Q2106">
        <v>75</v>
      </c>
      <c r="R2106">
        <v>633</v>
      </c>
    </row>
    <row r="2107" spans="1:18" x14ac:dyDescent="0.2">
      <c r="A2107">
        <v>6</v>
      </c>
      <c r="B2107" t="s">
        <v>99</v>
      </c>
      <c r="E2107" t="s">
        <v>19</v>
      </c>
      <c r="F2107">
        <v>511889</v>
      </c>
      <c r="G2107">
        <v>2</v>
      </c>
      <c r="H2107">
        <v>1</v>
      </c>
      <c r="I2107">
        <v>283</v>
      </c>
      <c r="J2107">
        <v>1967</v>
      </c>
      <c r="K2107" s="4">
        <v>44970</v>
      </c>
      <c r="L2107" t="s">
        <v>20</v>
      </c>
      <c r="M2107" t="s">
        <v>35</v>
      </c>
      <c r="N2107">
        <v>3.31</v>
      </c>
      <c r="O2107">
        <v>1369</v>
      </c>
      <c r="P2107">
        <v>4.0999999999999996</v>
      </c>
      <c r="Q2107">
        <v>223</v>
      </c>
      <c r="R2107">
        <v>468</v>
      </c>
    </row>
    <row r="2108" spans="1:18" x14ac:dyDescent="0.2">
      <c r="A2108">
        <v>0</v>
      </c>
      <c r="B2108" t="s">
        <v>93</v>
      </c>
      <c r="E2108" t="s">
        <v>36</v>
      </c>
      <c r="F2108">
        <v>1034848</v>
      </c>
      <c r="G2108">
        <v>5</v>
      </c>
      <c r="H2108">
        <v>1</v>
      </c>
      <c r="I2108">
        <v>220</v>
      </c>
      <c r="J2108">
        <v>1999</v>
      </c>
      <c r="K2108" s="4">
        <v>44789</v>
      </c>
      <c r="L2108" t="s">
        <v>26</v>
      </c>
      <c r="M2108" t="s">
        <v>89</v>
      </c>
      <c r="N2108">
        <v>2.8</v>
      </c>
      <c r="O2108">
        <v>1774</v>
      </c>
      <c r="P2108">
        <v>3.19</v>
      </c>
      <c r="Q2108">
        <v>265</v>
      </c>
      <c r="R2108">
        <v>666</v>
      </c>
    </row>
    <row r="2109" spans="1:18" x14ac:dyDescent="0.2">
      <c r="A2109">
        <v>0</v>
      </c>
      <c r="B2109" t="s">
        <v>92</v>
      </c>
      <c r="E2109" t="s">
        <v>29</v>
      </c>
      <c r="F2109">
        <v>1661993</v>
      </c>
      <c r="G2109">
        <v>3</v>
      </c>
      <c r="H2109">
        <v>1</v>
      </c>
      <c r="I2109">
        <v>159</v>
      </c>
      <c r="J2109">
        <v>1972</v>
      </c>
      <c r="K2109" s="4">
        <v>44107</v>
      </c>
      <c r="L2109" t="s">
        <v>30</v>
      </c>
      <c r="M2109" t="s">
        <v>59</v>
      </c>
      <c r="N2109">
        <v>3.21</v>
      </c>
      <c r="O2109">
        <v>951</v>
      </c>
      <c r="P2109">
        <v>3.12</v>
      </c>
      <c r="Q2109">
        <v>97</v>
      </c>
      <c r="R2109">
        <v>462</v>
      </c>
    </row>
    <row r="2110" spans="1:18" x14ac:dyDescent="0.2">
      <c r="A2110">
        <v>4</v>
      </c>
      <c r="B2110" t="s">
        <v>49</v>
      </c>
      <c r="E2110" t="s">
        <v>19</v>
      </c>
      <c r="F2110">
        <v>1973223</v>
      </c>
      <c r="G2110">
        <v>6</v>
      </c>
      <c r="H2110">
        <v>1</v>
      </c>
      <c r="I2110">
        <v>648</v>
      </c>
      <c r="J2110">
        <v>2005</v>
      </c>
      <c r="K2110" s="4">
        <v>44776</v>
      </c>
      <c r="L2110" t="s">
        <v>23</v>
      </c>
      <c r="M2110" t="s">
        <v>52</v>
      </c>
      <c r="N2110">
        <v>2.08</v>
      </c>
      <c r="O2110">
        <v>1956</v>
      </c>
      <c r="P2110">
        <v>3.53</v>
      </c>
      <c r="Q2110">
        <v>367</v>
      </c>
      <c r="R2110">
        <v>698</v>
      </c>
    </row>
    <row r="2111" spans="1:18" x14ac:dyDescent="0.2">
      <c r="A2111">
        <v>7</v>
      </c>
      <c r="B2111" t="s">
        <v>102</v>
      </c>
      <c r="E2111" t="s">
        <v>19</v>
      </c>
      <c r="F2111">
        <v>2868551</v>
      </c>
      <c r="G2111">
        <v>3</v>
      </c>
      <c r="H2111">
        <v>2</v>
      </c>
      <c r="I2111">
        <v>888</v>
      </c>
      <c r="J2111">
        <v>1986</v>
      </c>
      <c r="K2111" s="4">
        <v>44681</v>
      </c>
      <c r="L2111" t="s">
        <v>23</v>
      </c>
      <c r="M2111" t="s">
        <v>31</v>
      </c>
      <c r="N2111">
        <v>2.23</v>
      </c>
      <c r="O2111">
        <v>2030</v>
      </c>
      <c r="P2111">
        <v>4.55</v>
      </c>
      <c r="Q2111">
        <v>256</v>
      </c>
      <c r="R2111">
        <v>360</v>
      </c>
    </row>
    <row r="2112" spans="1:18" x14ac:dyDescent="0.2">
      <c r="A2112">
        <v>3</v>
      </c>
      <c r="B2112" t="s">
        <v>75</v>
      </c>
      <c r="E2112" t="s">
        <v>29</v>
      </c>
      <c r="F2112">
        <v>1045049</v>
      </c>
      <c r="G2112">
        <v>0</v>
      </c>
      <c r="H2112">
        <v>2</v>
      </c>
      <c r="I2112">
        <v>304</v>
      </c>
      <c r="J2112">
        <v>2019</v>
      </c>
      <c r="K2112" s="4">
        <v>45813</v>
      </c>
      <c r="L2112" t="s">
        <v>20</v>
      </c>
      <c r="M2112" t="s">
        <v>40</v>
      </c>
      <c r="N2112">
        <v>2.4700000000000002</v>
      </c>
      <c r="O2112">
        <v>1390</v>
      </c>
      <c r="P2112">
        <v>4.45</v>
      </c>
      <c r="Q2112">
        <v>49</v>
      </c>
      <c r="R2112">
        <v>449</v>
      </c>
    </row>
    <row r="2113" spans="1:18" x14ac:dyDescent="0.2">
      <c r="A2113">
        <v>7</v>
      </c>
      <c r="B2113" t="s">
        <v>83</v>
      </c>
      <c r="E2113" t="s">
        <v>29</v>
      </c>
      <c r="F2113">
        <v>1944283</v>
      </c>
      <c r="G2113">
        <v>0</v>
      </c>
      <c r="H2113">
        <v>2</v>
      </c>
      <c r="I2113">
        <v>950</v>
      </c>
      <c r="J2113">
        <v>2003</v>
      </c>
      <c r="K2113" s="4">
        <v>44316</v>
      </c>
      <c r="L2113" t="s">
        <v>23</v>
      </c>
      <c r="M2113" t="s">
        <v>66</v>
      </c>
      <c r="N2113">
        <v>1.73</v>
      </c>
      <c r="O2113">
        <v>1322</v>
      </c>
      <c r="P2113">
        <v>2.08</v>
      </c>
      <c r="Q2113">
        <v>45</v>
      </c>
      <c r="R2113">
        <v>447</v>
      </c>
    </row>
    <row r="2114" spans="1:18" x14ac:dyDescent="0.2">
      <c r="A2114">
        <v>7</v>
      </c>
      <c r="B2114" t="s">
        <v>93</v>
      </c>
      <c r="E2114" t="s">
        <v>51</v>
      </c>
      <c r="F2114">
        <v>1542153</v>
      </c>
      <c r="G2114">
        <v>3</v>
      </c>
      <c r="H2114">
        <v>1</v>
      </c>
      <c r="I2114">
        <v>909</v>
      </c>
      <c r="J2114">
        <v>1959</v>
      </c>
      <c r="K2114" s="4">
        <v>44948</v>
      </c>
      <c r="L2114" t="s">
        <v>26</v>
      </c>
      <c r="M2114" t="s">
        <v>60</v>
      </c>
      <c r="N2114">
        <v>1.5</v>
      </c>
      <c r="O2114">
        <v>1876</v>
      </c>
      <c r="P2114">
        <v>0.49</v>
      </c>
      <c r="Q2114">
        <v>187</v>
      </c>
      <c r="R2114">
        <v>435</v>
      </c>
    </row>
    <row r="2115" spans="1:18" x14ac:dyDescent="0.2">
      <c r="A2115">
        <v>6</v>
      </c>
      <c r="B2115" t="s">
        <v>90</v>
      </c>
      <c r="E2115" t="s">
        <v>19</v>
      </c>
      <c r="F2115">
        <v>2909845</v>
      </c>
      <c r="G2115">
        <v>3</v>
      </c>
      <c r="H2115">
        <v>3</v>
      </c>
      <c r="I2115">
        <v>909</v>
      </c>
      <c r="J2115">
        <v>1962</v>
      </c>
      <c r="K2115" s="4">
        <v>44244</v>
      </c>
      <c r="L2115" t="s">
        <v>26</v>
      </c>
      <c r="M2115" t="s">
        <v>12</v>
      </c>
      <c r="N2115">
        <v>2.54</v>
      </c>
      <c r="O2115">
        <v>1309</v>
      </c>
      <c r="P2115">
        <v>3.56</v>
      </c>
      <c r="Q2115">
        <v>212</v>
      </c>
      <c r="R2115">
        <v>485</v>
      </c>
    </row>
    <row r="2116" spans="1:18" x14ac:dyDescent="0.2">
      <c r="A2116">
        <v>9</v>
      </c>
      <c r="B2116" t="s">
        <v>81</v>
      </c>
      <c r="E2116" t="s">
        <v>36</v>
      </c>
      <c r="F2116">
        <v>622564</v>
      </c>
      <c r="G2116">
        <v>4</v>
      </c>
      <c r="H2116">
        <v>3</v>
      </c>
      <c r="I2116">
        <v>494</v>
      </c>
      <c r="J2116">
        <v>2019</v>
      </c>
      <c r="K2116" s="4">
        <v>44426</v>
      </c>
      <c r="L2116" t="s">
        <v>26</v>
      </c>
      <c r="M2116" t="s">
        <v>74</v>
      </c>
      <c r="N2116">
        <v>2.73</v>
      </c>
      <c r="O2116">
        <v>1044</v>
      </c>
      <c r="P2116">
        <v>1.01</v>
      </c>
      <c r="Q2116">
        <v>355</v>
      </c>
      <c r="R2116">
        <v>438</v>
      </c>
    </row>
    <row r="2117" spans="1:18" x14ac:dyDescent="0.2">
      <c r="A2117">
        <v>0</v>
      </c>
      <c r="B2117" t="s">
        <v>102</v>
      </c>
      <c r="E2117" t="s">
        <v>29</v>
      </c>
      <c r="F2117">
        <v>2279428</v>
      </c>
      <c r="G2117">
        <v>2</v>
      </c>
      <c r="H2117">
        <v>1</v>
      </c>
      <c r="I2117">
        <v>295</v>
      </c>
      <c r="J2117">
        <v>1991</v>
      </c>
      <c r="K2117" s="4">
        <v>44462</v>
      </c>
      <c r="L2117" t="s">
        <v>30</v>
      </c>
      <c r="M2117" t="s">
        <v>63</v>
      </c>
      <c r="N2117">
        <v>3.17</v>
      </c>
      <c r="O2117">
        <v>1855</v>
      </c>
      <c r="P2117">
        <v>0.37</v>
      </c>
      <c r="Q2117">
        <v>97</v>
      </c>
      <c r="R2117">
        <v>315</v>
      </c>
    </row>
    <row r="2118" spans="1:18" x14ac:dyDescent="0.2">
      <c r="A2118">
        <v>9</v>
      </c>
      <c r="B2118" t="s">
        <v>100</v>
      </c>
      <c r="E2118" t="s">
        <v>36</v>
      </c>
      <c r="F2118">
        <v>1931533</v>
      </c>
      <c r="G2118">
        <v>5</v>
      </c>
      <c r="H2118">
        <v>3</v>
      </c>
      <c r="I2118">
        <v>974</v>
      </c>
      <c r="J2118">
        <v>1990</v>
      </c>
      <c r="K2118" s="4">
        <v>44341</v>
      </c>
      <c r="L2118" t="s">
        <v>20</v>
      </c>
      <c r="M2118" t="s">
        <v>78</v>
      </c>
      <c r="N2118">
        <v>2.73</v>
      </c>
      <c r="O2118">
        <v>2115</v>
      </c>
      <c r="P2118">
        <v>4.7699999999999996</v>
      </c>
      <c r="Q2118">
        <v>387</v>
      </c>
      <c r="R2118">
        <v>361</v>
      </c>
    </row>
    <row r="2119" spans="1:18" x14ac:dyDescent="0.2">
      <c r="A2119">
        <v>7</v>
      </c>
      <c r="B2119" t="s">
        <v>79</v>
      </c>
      <c r="E2119" t="s">
        <v>19</v>
      </c>
      <c r="F2119">
        <v>2596157</v>
      </c>
      <c r="G2119">
        <v>4</v>
      </c>
      <c r="H2119">
        <v>1</v>
      </c>
      <c r="I2119">
        <v>957</v>
      </c>
      <c r="J2119">
        <v>1965</v>
      </c>
      <c r="K2119" s="4">
        <v>45842</v>
      </c>
      <c r="L2119" t="s">
        <v>30</v>
      </c>
      <c r="M2119" t="s">
        <v>24</v>
      </c>
      <c r="N2119">
        <v>1.69</v>
      </c>
      <c r="O2119">
        <v>1909</v>
      </c>
      <c r="P2119">
        <v>1.44</v>
      </c>
      <c r="Q2119">
        <v>279</v>
      </c>
      <c r="R2119">
        <v>337</v>
      </c>
    </row>
    <row r="2120" spans="1:18" x14ac:dyDescent="0.2">
      <c r="A2120">
        <v>6</v>
      </c>
      <c r="B2120" t="s">
        <v>102</v>
      </c>
      <c r="E2120" t="s">
        <v>51</v>
      </c>
      <c r="F2120">
        <v>1850363</v>
      </c>
      <c r="G2120">
        <v>4</v>
      </c>
      <c r="H2120">
        <v>2</v>
      </c>
      <c r="I2120">
        <v>630</v>
      </c>
      <c r="J2120">
        <v>2014</v>
      </c>
      <c r="K2120" s="4">
        <v>44817</v>
      </c>
      <c r="L2120" t="s">
        <v>20</v>
      </c>
      <c r="M2120" t="s">
        <v>77</v>
      </c>
      <c r="N2120">
        <v>1.84</v>
      </c>
      <c r="O2120">
        <v>2041</v>
      </c>
      <c r="P2120">
        <v>0.19</v>
      </c>
      <c r="Q2120">
        <v>255</v>
      </c>
      <c r="R2120">
        <v>305</v>
      </c>
    </row>
    <row r="2121" spans="1:18" x14ac:dyDescent="0.2">
      <c r="A2121">
        <v>1</v>
      </c>
      <c r="B2121" t="s">
        <v>106</v>
      </c>
      <c r="E2121" t="s">
        <v>36</v>
      </c>
      <c r="F2121">
        <v>1304423</v>
      </c>
      <c r="G2121">
        <v>2</v>
      </c>
      <c r="H2121">
        <v>2</v>
      </c>
      <c r="I2121">
        <v>654</v>
      </c>
      <c r="J2121">
        <v>1969</v>
      </c>
      <c r="K2121" s="4">
        <v>44741</v>
      </c>
      <c r="L2121" t="s">
        <v>23</v>
      </c>
      <c r="M2121" t="s">
        <v>31</v>
      </c>
      <c r="N2121">
        <v>3.38</v>
      </c>
      <c r="O2121">
        <v>2164</v>
      </c>
      <c r="P2121">
        <v>4.88</v>
      </c>
      <c r="Q2121">
        <v>203</v>
      </c>
      <c r="R2121">
        <v>406</v>
      </c>
    </row>
    <row r="2122" spans="1:18" x14ac:dyDescent="0.2">
      <c r="A2122">
        <v>7</v>
      </c>
      <c r="B2122" t="s">
        <v>101</v>
      </c>
      <c r="E2122" t="s">
        <v>36</v>
      </c>
      <c r="F2122">
        <v>463591</v>
      </c>
      <c r="G2122">
        <v>2</v>
      </c>
      <c r="H2122">
        <v>1</v>
      </c>
      <c r="I2122">
        <v>925</v>
      </c>
      <c r="J2122">
        <v>2020</v>
      </c>
      <c r="K2122" s="4">
        <v>44457</v>
      </c>
      <c r="L2122" t="s">
        <v>26</v>
      </c>
      <c r="M2122" t="s">
        <v>97</v>
      </c>
      <c r="N2122">
        <v>3.31</v>
      </c>
      <c r="O2122">
        <v>929</v>
      </c>
      <c r="P2122">
        <v>1.31</v>
      </c>
      <c r="Q2122">
        <v>211</v>
      </c>
      <c r="R2122">
        <v>640</v>
      </c>
    </row>
    <row r="2123" spans="1:18" x14ac:dyDescent="0.2">
      <c r="A2123">
        <v>0</v>
      </c>
      <c r="B2123" t="s">
        <v>92</v>
      </c>
      <c r="E2123" t="s">
        <v>51</v>
      </c>
      <c r="F2123">
        <v>2144195</v>
      </c>
      <c r="G2123">
        <v>3</v>
      </c>
      <c r="H2123">
        <v>3</v>
      </c>
      <c r="I2123">
        <v>312</v>
      </c>
      <c r="J2123">
        <v>1981</v>
      </c>
      <c r="K2123" s="4">
        <v>45424</v>
      </c>
      <c r="L2123" t="s">
        <v>30</v>
      </c>
      <c r="M2123" t="s">
        <v>59</v>
      </c>
      <c r="N2123">
        <v>2.33</v>
      </c>
      <c r="O2123">
        <v>1580</v>
      </c>
      <c r="P2123">
        <v>3.35</v>
      </c>
      <c r="Q2123">
        <v>158</v>
      </c>
      <c r="R2123">
        <v>447</v>
      </c>
    </row>
    <row r="2124" spans="1:18" x14ac:dyDescent="0.2">
      <c r="A2124">
        <v>2</v>
      </c>
      <c r="B2124" t="s">
        <v>95</v>
      </c>
      <c r="E2124" t="s">
        <v>19</v>
      </c>
      <c r="F2124">
        <v>1622054</v>
      </c>
      <c r="G2124">
        <v>1</v>
      </c>
      <c r="H2124">
        <v>2</v>
      </c>
      <c r="I2124">
        <v>643</v>
      </c>
      <c r="J2124">
        <v>1951</v>
      </c>
      <c r="K2124" s="4">
        <v>45590</v>
      </c>
      <c r="L2124" t="s">
        <v>30</v>
      </c>
      <c r="M2124" t="s">
        <v>68</v>
      </c>
      <c r="N2124">
        <v>1.84</v>
      </c>
      <c r="O2124">
        <v>1271</v>
      </c>
      <c r="P2124">
        <v>1.36</v>
      </c>
      <c r="Q2124">
        <v>146</v>
      </c>
      <c r="R2124">
        <v>384</v>
      </c>
    </row>
    <row r="2125" spans="1:18" x14ac:dyDescent="0.2">
      <c r="A2125">
        <v>8</v>
      </c>
      <c r="B2125" t="s">
        <v>104</v>
      </c>
      <c r="E2125" t="s">
        <v>36</v>
      </c>
      <c r="F2125">
        <v>1639685</v>
      </c>
      <c r="G2125">
        <v>4</v>
      </c>
      <c r="H2125">
        <v>2</v>
      </c>
      <c r="I2125">
        <v>798</v>
      </c>
      <c r="J2125">
        <v>1966</v>
      </c>
      <c r="K2125" s="4">
        <v>44846</v>
      </c>
      <c r="L2125" t="s">
        <v>23</v>
      </c>
      <c r="M2125" t="s">
        <v>74</v>
      </c>
      <c r="N2125">
        <v>2.09</v>
      </c>
      <c r="O2125">
        <v>1563</v>
      </c>
      <c r="P2125">
        <v>0.46</v>
      </c>
      <c r="Q2125">
        <v>396</v>
      </c>
      <c r="R2125">
        <v>677</v>
      </c>
    </row>
    <row r="2126" spans="1:18" x14ac:dyDescent="0.2">
      <c r="A2126">
        <v>5</v>
      </c>
      <c r="B2126" t="s">
        <v>96</v>
      </c>
      <c r="E2126" t="s">
        <v>19</v>
      </c>
      <c r="F2126">
        <v>936921</v>
      </c>
      <c r="G2126">
        <v>4</v>
      </c>
      <c r="H2126">
        <v>3</v>
      </c>
      <c r="I2126">
        <v>933</v>
      </c>
      <c r="J2126">
        <v>1950</v>
      </c>
      <c r="K2126" s="4">
        <v>44371</v>
      </c>
      <c r="L2126" t="s">
        <v>23</v>
      </c>
      <c r="M2126" t="s">
        <v>40</v>
      </c>
      <c r="N2126">
        <v>3.18</v>
      </c>
      <c r="O2126">
        <v>1481</v>
      </c>
      <c r="P2126">
        <v>2.79</v>
      </c>
      <c r="Q2126">
        <v>333</v>
      </c>
      <c r="R2126">
        <v>571</v>
      </c>
    </row>
    <row r="2127" spans="1:18" x14ac:dyDescent="0.2">
      <c r="A2127">
        <v>7</v>
      </c>
      <c r="B2127" t="s">
        <v>101</v>
      </c>
      <c r="E2127" t="s">
        <v>51</v>
      </c>
      <c r="F2127">
        <v>2645905</v>
      </c>
      <c r="G2127">
        <v>4</v>
      </c>
      <c r="H2127">
        <v>3</v>
      </c>
      <c r="I2127">
        <v>843</v>
      </c>
      <c r="J2127">
        <v>2026</v>
      </c>
      <c r="K2127" s="4">
        <v>45235</v>
      </c>
      <c r="L2127" t="s">
        <v>26</v>
      </c>
      <c r="M2127" t="s">
        <v>77</v>
      </c>
      <c r="N2127">
        <v>2.73</v>
      </c>
      <c r="O2127">
        <v>1240</v>
      </c>
      <c r="P2127">
        <v>1.64</v>
      </c>
      <c r="Q2127">
        <v>308</v>
      </c>
      <c r="R2127">
        <v>336</v>
      </c>
    </row>
    <row r="2128" spans="1:18" x14ac:dyDescent="0.2">
      <c r="A2128">
        <v>0</v>
      </c>
      <c r="B2128" t="s">
        <v>99</v>
      </c>
      <c r="E2128" t="s">
        <v>36</v>
      </c>
      <c r="F2128">
        <v>1361206</v>
      </c>
      <c r="G2128">
        <v>0</v>
      </c>
      <c r="H2128">
        <v>3</v>
      </c>
      <c r="I2128">
        <v>492</v>
      </c>
      <c r="J2128">
        <v>1982</v>
      </c>
      <c r="K2128" s="4">
        <v>44167</v>
      </c>
      <c r="L2128" t="s">
        <v>23</v>
      </c>
      <c r="M2128" t="s">
        <v>35</v>
      </c>
      <c r="N2128">
        <v>2.0099999999999998</v>
      </c>
      <c r="O2128">
        <v>2362</v>
      </c>
      <c r="P2128">
        <v>4.3</v>
      </c>
      <c r="Q2128">
        <v>40</v>
      </c>
      <c r="R2128">
        <v>609</v>
      </c>
    </row>
    <row r="2129" spans="1:18" x14ac:dyDescent="0.2">
      <c r="A2129">
        <v>5</v>
      </c>
      <c r="B2129" t="s">
        <v>67</v>
      </c>
      <c r="E2129" t="s">
        <v>51</v>
      </c>
      <c r="F2129">
        <v>557191</v>
      </c>
      <c r="G2129">
        <v>5</v>
      </c>
      <c r="H2129">
        <v>1</v>
      </c>
      <c r="I2129">
        <v>77</v>
      </c>
      <c r="J2129">
        <v>1961</v>
      </c>
      <c r="K2129" s="4">
        <v>44830</v>
      </c>
      <c r="L2129" t="s">
        <v>20</v>
      </c>
      <c r="M2129" t="s">
        <v>37</v>
      </c>
      <c r="N2129">
        <v>3.4</v>
      </c>
      <c r="O2129">
        <v>1911</v>
      </c>
      <c r="P2129">
        <v>3.51</v>
      </c>
      <c r="Q2129">
        <v>300</v>
      </c>
      <c r="R2129">
        <v>580</v>
      </c>
    </row>
    <row r="2130" spans="1:18" x14ac:dyDescent="0.2">
      <c r="A2130">
        <v>9</v>
      </c>
      <c r="B2130" t="s">
        <v>22</v>
      </c>
      <c r="E2130" t="s">
        <v>51</v>
      </c>
      <c r="F2130">
        <v>2569379</v>
      </c>
      <c r="G2130">
        <v>4</v>
      </c>
      <c r="H2130">
        <v>2</v>
      </c>
      <c r="I2130">
        <v>263</v>
      </c>
      <c r="J2130">
        <v>2008</v>
      </c>
      <c r="K2130" s="4">
        <v>44830</v>
      </c>
      <c r="L2130" t="s">
        <v>23</v>
      </c>
      <c r="M2130" t="s">
        <v>37</v>
      </c>
      <c r="N2130">
        <v>1.57</v>
      </c>
      <c r="O2130">
        <v>1283</v>
      </c>
      <c r="P2130">
        <v>3.28</v>
      </c>
      <c r="Q2130">
        <v>217</v>
      </c>
      <c r="R2130">
        <v>531</v>
      </c>
    </row>
    <row r="2131" spans="1:18" x14ac:dyDescent="0.2">
      <c r="A2131">
        <v>3</v>
      </c>
      <c r="B2131" t="s">
        <v>71</v>
      </c>
      <c r="E2131" t="s">
        <v>29</v>
      </c>
      <c r="F2131">
        <v>2269501</v>
      </c>
      <c r="G2131">
        <v>1</v>
      </c>
      <c r="H2131">
        <v>1</v>
      </c>
      <c r="I2131">
        <v>821</v>
      </c>
      <c r="J2131">
        <v>2005</v>
      </c>
      <c r="K2131" s="4">
        <v>44707</v>
      </c>
      <c r="L2131" t="s">
        <v>26</v>
      </c>
      <c r="M2131" t="s">
        <v>70</v>
      </c>
      <c r="N2131">
        <v>2.57</v>
      </c>
      <c r="O2131">
        <v>2185</v>
      </c>
      <c r="P2131">
        <v>3.26</v>
      </c>
      <c r="Q2131">
        <v>149</v>
      </c>
      <c r="R2131">
        <v>548</v>
      </c>
    </row>
    <row r="2132" spans="1:18" x14ac:dyDescent="0.2">
      <c r="A2132">
        <v>2</v>
      </c>
      <c r="B2132" t="s">
        <v>25</v>
      </c>
      <c r="E2132" t="s">
        <v>19</v>
      </c>
      <c r="F2132">
        <v>1252154</v>
      </c>
      <c r="G2132">
        <v>4</v>
      </c>
      <c r="H2132">
        <v>1</v>
      </c>
      <c r="I2132">
        <v>972</v>
      </c>
      <c r="J2132">
        <v>1986</v>
      </c>
      <c r="K2132" s="4">
        <v>45592</v>
      </c>
      <c r="L2132" t="s">
        <v>30</v>
      </c>
      <c r="M2132" t="s">
        <v>40</v>
      </c>
      <c r="N2132">
        <v>2.77</v>
      </c>
      <c r="O2132">
        <v>2320</v>
      </c>
      <c r="P2132">
        <v>3.99</v>
      </c>
      <c r="Q2132">
        <v>340</v>
      </c>
      <c r="R2132">
        <v>325</v>
      </c>
    </row>
    <row r="2133" spans="1:18" x14ac:dyDescent="0.2">
      <c r="A2133">
        <v>5</v>
      </c>
      <c r="B2133" t="s">
        <v>22</v>
      </c>
      <c r="E2133" t="s">
        <v>19</v>
      </c>
      <c r="F2133">
        <v>891590</v>
      </c>
      <c r="G2133">
        <v>4</v>
      </c>
      <c r="H2133">
        <v>1</v>
      </c>
      <c r="I2133">
        <v>982</v>
      </c>
      <c r="J2133">
        <v>1999</v>
      </c>
      <c r="K2133" s="4">
        <v>44256</v>
      </c>
      <c r="L2133" t="s">
        <v>20</v>
      </c>
      <c r="M2133" t="s">
        <v>33</v>
      </c>
      <c r="N2133">
        <v>2.83</v>
      </c>
      <c r="O2133">
        <v>1122</v>
      </c>
      <c r="P2133">
        <v>4.17</v>
      </c>
      <c r="Q2133">
        <v>222</v>
      </c>
      <c r="R2133">
        <v>614</v>
      </c>
    </row>
    <row r="2134" spans="1:18" x14ac:dyDescent="0.2">
      <c r="A2134">
        <v>4</v>
      </c>
      <c r="B2134" t="s">
        <v>86</v>
      </c>
      <c r="E2134" t="s">
        <v>51</v>
      </c>
      <c r="F2134">
        <v>2046071</v>
      </c>
      <c r="G2134">
        <v>1</v>
      </c>
      <c r="H2134">
        <v>1</v>
      </c>
      <c r="I2134">
        <v>217</v>
      </c>
      <c r="J2134">
        <v>2013</v>
      </c>
      <c r="K2134" s="4">
        <v>45876</v>
      </c>
      <c r="L2134" t="s">
        <v>23</v>
      </c>
      <c r="M2134" t="s">
        <v>42</v>
      </c>
      <c r="N2134">
        <v>2.2200000000000002</v>
      </c>
      <c r="O2134">
        <v>1320</v>
      </c>
      <c r="P2134">
        <v>1.06</v>
      </c>
      <c r="Q2134">
        <v>134</v>
      </c>
      <c r="R2134">
        <v>496</v>
      </c>
    </row>
    <row r="2135" spans="1:18" x14ac:dyDescent="0.2">
      <c r="A2135">
        <v>0</v>
      </c>
      <c r="B2135" t="s">
        <v>93</v>
      </c>
      <c r="E2135" t="s">
        <v>36</v>
      </c>
      <c r="F2135">
        <v>1648759</v>
      </c>
      <c r="G2135">
        <v>1</v>
      </c>
      <c r="H2135">
        <v>2</v>
      </c>
      <c r="I2135">
        <v>435</v>
      </c>
      <c r="J2135">
        <v>1982</v>
      </c>
      <c r="K2135" s="4">
        <v>44218</v>
      </c>
      <c r="L2135" t="s">
        <v>20</v>
      </c>
      <c r="M2135" t="s">
        <v>63</v>
      </c>
      <c r="N2135">
        <v>3.23</v>
      </c>
      <c r="O2135">
        <v>1729</v>
      </c>
      <c r="P2135">
        <v>2.8</v>
      </c>
      <c r="Q2135">
        <v>51</v>
      </c>
      <c r="R2135">
        <v>577</v>
      </c>
    </row>
    <row r="2136" spans="1:18" x14ac:dyDescent="0.2">
      <c r="A2136">
        <v>8</v>
      </c>
      <c r="B2136" t="s">
        <v>67</v>
      </c>
      <c r="E2136" t="s">
        <v>51</v>
      </c>
      <c r="F2136">
        <v>1278005</v>
      </c>
      <c r="G2136">
        <v>6</v>
      </c>
      <c r="H2136">
        <v>2</v>
      </c>
      <c r="I2136">
        <v>822</v>
      </c>
      <c r="J2136">
        <v>1999</v>
      </c>
      <c r="K2136" s="4">
        <v>44605</v>
      </c>
      <c r="L2136" t="s">
        <v>23</v>
      </c>
      <c r="M2136" t="s">
        <v>82</v>
      </c>
      <c r="N2136">
        <v>1.71</v>
      </c>
      <c r="O2136">
        <v>1159</v>
      </c>
      <c r="P2136">
        <v>1.37</v>
      </c>
      <c r="Q2136">
        <v>390</v>
      </c>
      <c r="R2136">
        <v>452</v>
      </c>
    </row>
    <row r="2137" spans="1:18" x14ac:dyDescent="0.2">
      <c r="A2137">
        <v>8</v>
      </c>
      <c r="B2137" t="s">
        <v>65</v>
      </c>
      <c r="E2137" t="s">
        <v>36</v>
      </c>
      <c r="F2137">
        <v>2006391</v>
      </c>
      <c r="G2137">
        <v>3</v>
      </c>
      <c r="H2137">
        <v>2</v>
      </c>
      <c r="I2137">
        <v>455</v>
      </c>
      <c r="J2137">
        <v>1991</v>
      </c>
      <c r="K2137" s="4">
        <v>45824</v>
      </c>
      <c r="L2137" t="s">
        <v>30</v>
      </c>
      <c r="M2137" t="s">
        <v>85</v>
      </c>
      <c r="N2137">
        <v>1.99</v>
      </c>
      <c r="O2137">
        <v>2151</v>
      </c>
      <c r="P2137">
        <v>3.98</v>
      </c>
      <c r="Q2137">
        <v>169</v>
      </c>
      <c r="R2137">
        <v>411</v>
      </c>
    </row>
    <row r="2138" spans="1:18" x14ac:dyDescent="0.2">
      <c r="A2138">
        <v>0</v>
      </c>
      <c r="B2138" t="s">
        <v>61</v>
      </c>
      <c r="E2138" t="s">
        <v>29</v>
      </c>
      <c r="F2138">
        <v>1516326</v>
      </c>
      <c r="G2138">
        <v>5</v>
      </c>
      <c r="H2138">
        <v>3</v>
      </c>
      <c r="I2138">
        <v>322</v>
      </c>
      <c r="J2138">
        <v>1978</v>
      </c>
      <c r="K2138" s="4">
        <v>45699</v>
      </c>
      <c r="L2138" t="s">
        <v>26</v>
      </c>
      <c r="M2138" t="s">
        <v>45</v>
      </c>
      <c r="N2138">
        <v>3.04</v>
      </c>
      <c r="O2138">
        <v>2018</v>
      </c>
      <c r="P2138">
        <v>3.88</v>
      </c>
      <c r="Q2138">
        <v>342</v>
      </c>
      <c r="R2138">
        <v>682</v>
      </c>
    </row>
    <row r="2139" spans="1:18" x14ac:dyDescent="0.2">
      <c r="A2139">
        <v>3</v>
      </c>
      <c r="B2139" t="s">
        <v>53</v>
      </c>
      <c r="E2139" t="s">
        <v>29</v>
      </c>
      <c r="F2139">
        <v>695202</v>
      </c>
      <c r="G2139">
        <v>4</v>
      </c>
      <c r="H2139">
        <v>1</v>
      </c>
      <c r="I2139">
        <v>164</v>
      </c>
      <c r="J2139">
        <v>2014</v>
      </c>
      <c r="K2139" s="4">
        <v>45112</v>
      </c>
      <c r="L2139" t="s">
        <v>30</v>
      </c>
      <c r="M2139" t="s">
        <v>69</v>
      </c>
      <c r="N2139">
        <v>1.68</v>
      </c>
      <c r="O2139">
        <v>1589</v>
      </c>
      <c r="P2139">
        <v>1.81</v>
      </c>
      <c r="Q2139">
        <v>215</v>
      </c>
      <c r="R2139">
        <v>357</v>
      </c>
    </row>
    <row r="2140" spans="1:18" x14ac:dyDescent="0.2">
      <c r="A2140">
        <v>8</v>
      </c>
      <c r="B2140" t="s">
        <v>72</v>
      </c>
      <c r="E2140" t="s">
        <v>36</v>
      </c>
      <c r="F2140">
        <v>1060185</v>
      </c>
      <c r="G2140">
        <v>6</v>
      </c>
      <c r="H2140">
        <v>2</v>
      </c>
      <c r="I2140">
        <v>315</v>
      </c>
      <c r="J2140">
        <v>2008</v>
      </c>
      <c r="K2140" s="4">
        <v>45097</v>
      </c>
      <c r="L2140" t="s">
        <v>26</v>
      </c>
      <c r="M2140" t="s">
        <v>59</v>
      </c>
      <c r="N2140">
        <v>3.3</v>
      </c>
      <c r="O2140">
        <v>2396</v>
      </c>
      <c r="P2140">
        <v>2.54</v>
      </c>
      <c r="Q2140">
        <v>369</v>
      </c>
      <c r="R2140">
        <v>468</v>
      </c>
    </row>
    <row r="2141" spans="1:18" x14ac:dyDescent="0.2">
      <c r="A2141">
        <v>3</v>
      </c>
      <c r="B2141" t="s">
        <v>93</v>
      </c>
      <c r="E2141" t="s">
        <v>29</v>
      </c>
      <c r="F2141">
        <v>1512263</v>
      </c>
      <c r="G2141">
        <v>2</v>
      </c>
      <c r="H2141">
        <v>3</v>
      </c>
      <c r="I2141">
        <v>720</v>
      </c>
      <c r="J2141">
        <v>1958</v>
      </c>
      <c r="K2141" s="4">
        <v>45766</v>
      </c>
      <c r="L2141" t="s">
        <v>30</v>
      </c>
      <c r="M2141" t="s">
        <v>97</v>
      </c>
      <c r="N2141">
        <v>2.7</v>
      </c>
      <c r="O2141">
        <v>1927</v>
      </c>
      <c r="P2141">
        <v>3.28</v>
      </c>
      <c r="Q2141">
        <v>184</v>
      </c>
      <c r="R2141">
        <v>619</v>
      </c>
    </row>
    <row r="2142" spans="1:18" x14ac:dyDescent="0.2">
      <c r="A2142">
        <v>0</v>
      </c>
      <c r="B2142" t="s">
        <v>98</v>
      </c>
      <c r="E2142" t="s">
        <v>29</v>
      </c>
      <c r="F2142">
        <v>856096</v>
      </c>
      <c r="G2142">
        <v>3</v>
      </c>
      <c r="H2142">
        <v>3</v>
      </c>
      <c r="I2142">
        <v>606</v>
      </c>
      <c r="J2142">
        <v>1960</v>
      </c>
      <c r="K2142" s="4">
        <v>45541</v>
      </c>
      <c r="L2142" t="s">
        <v>26</v>
      </c>
      <c r="M2142" t="s">
        <v>69</v>
      </c>
      <c r="N2142">
        <v>1.55</v>
      </c>
      <c r="O2142">
        <v>1199</v>
      </c>
      <c r="P2142">
        <v>2.08</v>
      </c>
      <c r="Q2142">
        <v>120</v>
      </c>
      <c r="R2142">
        <v>604</v>
      </c>
    </row>
    <row r="2143" spans="1:18" x14ac:dyDescent="0.2">
      <c r="A2143">
        <v>7</v>
      </c>
      <c r="B2143" t="s">
        <v>96</v>
      </c>
      <c r="E2143" t="s">
        <v>36</v>
      </c>
      <c r="F2143">
        <v>1694469</v>
      </c>
      <c r="G2143">
        <v>3</v>
      </c>
      <c r="H2143">
        <v>1</v>
      </c>
      <c r="I2143">
        <v>354</v>
      </c>
      <c r="J2143">
        <v>2015</v>
      </c>
      <c r="K2143" s="4">
        <v>44734</v>
      </c>
      <c r="L2143" t="s">
        <v>20</v>
      </c>
      <c r="M2143" t="s">
        <v>68</v>
      </c>
      <c r="N2143">
        <v>1.52</v>
      </c>
      <c r="O2143">
        <v>1599</v>
      </c>
      <c r="P2143">
        <v>0.55000000000000004</v>
      </c>
      <c r="Q2143">
        <v>320</v>
      </c>
      <c r="R2143">
        <v>642</v>
      </c>
    </row>
    <row r="2144" spans="1:18" x14ac:dyDescent="0.2">
      <c r="A2144">
        <v>9</v>
      </c>
      <c r="B2144" t="s">
        <v>64</v>
      </c>
      <c r="E2144" t="s">
        <v>51</v>
      </c>
      <c r="F2144">
        <v>1022113</v>
      </c>
      <c r="G2144">
        <v>4</v>
      </c>
      <c r="H2144">
        <v>2</v>
      </c>
      <c r="I2144">
        <v>294</v>
      </c>
      <c r="J2144">
        <v>2022</v>
      </c>
      <c r="K2144" s="4">
        <v>44366</v>
      </c>
      <c r="L2144" t="s">
        <v>30</v>
      </c>
      <c r="M2144" t="s">
        <v>69</v>
      </c>
      <c r="N2144">
        <v>1.85</v>
      </c>
      <c r="O2144">
        <v>2461</v>
      </c>
      <c r="P2144">
        <v>0.31</v>
      </c>
      <c r="Q2144">
        <v>238</v>
      </c>
      <c r="R2144">
        <v>505</v>
      </c>
    </row>
    <row r="2145" spans="1:18" x14ac:dyDescent="0.2">
      <c r="A2145">
        <v>6</v>
      </c>
      <c r="B2145" t="s">
        <v>100</v>
      </c>
      <c r="E2145" t="s">
        <v>19</v>
      </c>
      <c r="F2145">
        <v>1586155</v>
      </c>
      <c r="G2145">
        <v>3</v>
      </c>
      <c r="H2145">
        <v>1</v>
      </c>
      <c r="I2145">
        <v>736</v>
      </c>
      <c r="J2145">
        <v>1981</v>
      </c>
      <c r="K2145" s="4">
        <v>45175</v>
      </c>
      <c r="L2145" t="s">
        <v>23</v>
      </c>
      <c r="M2145" t="s">
        <v>54</v>
      </c>
      <c r="N2145">
        <v>2.89</v>
      </c>
      <c r="O2145">
        <v>1073</v>
      </c>
      <c r="P2145">
        <v>4.95</v>
      </c>
      <c r="Q2145">
        <v>309</v>
      </c>
      <c r="R2145">
        <v>643</v>
      </c>
    </row>
    <row r="2146" spans="1:18" x14ac:dyDescent="0.2">
      <c r="A2146">
        <v>2</v>
      </c>
      <c r="B2146" t="s">
        <v>32</v>
      </c>
      <c r="E2146" t="s">
        <v>36</v>
      </c>
      <c r="F2146">
        <v>2440628</v>
      </c>
      <c r="G2146">
        <v>4</v>
      </c>
      <c r="H2146">
        <v>3</v>
      </c>
      <c r="I2146">
        <v>184</v>
      </c>
      <c r="J2146">
        <v>1999</v>
      </c>
      <c r="K2146" s="4">
        <v>44227</v>
      </c>
      <c r="L2146" t="s">
        <v>20</v>
      </c>
      <c r="M2146" t="s">
        <v>42</v>
      </c>
      <c r="N2146">
        <v>2.15</v>
      </c>
      <c r="O2146">
        <v>2054</v>
      </c>
      <c r="P2146">
        <v>4.9400000000000004</v>
      </c>
      <c r="Q2146">
        <v>369</v>
      </c>
      <c r="R2146">
        <v>528</v>
      </c>
    </row>
    <row r="2147" spans="1:18" x14ac:dyDescent="0.2">
      <c r="A2147">
        <v>1</v>
      </c>
      <c r="B2147" t="s">
        <v>50</v>
      </c>
      <c r="E2147" t="s">
        <v>19</v>
      </c>
      <c r="F2147">
        <v>2771541</v>
      </c>
      <c r="G2147">
        <v>5</v>
      </c>
      <c r="H2147">
        <v>2</v>
      </c>
      <c r="I2147">
        <v>359</v>
      </c>
      <c r="J2147">
        <v>1965</v>
      </c>
      <c r="K2147" s="4">
        <v>45150</v>
      </c>
      <c r="L2147" t="s">
        <v>20</v>
      </c>
      <c r="M2147" t="s">
        <v>78</v>
      </c>
      <c r="N2147">
        <v>3.31</v>
      </c>
      <c r="O2147">
        <v>2029</v>
      </c>
      <c r="P2147">
        <v>3.95</v>
      </c>
      <c r="Q2147">
        <v>332</v>
      </c>
      <c r="R2147">
        <v>627</v>
      </c>
    </row>
    <row r="2148" spans="1:18" x14ac:dyDescent="0.2">
      <c r="A2148">
        <v>1</v>
      </c>
      <c r="B2148" t="s">
        <v>53</v>
      </c>
      <c r="E2148" t="s">
        <v>51</v>
      </c>
      <c r="F2148">
        <v>2600318</v>
      </c>
      <c r="G2148">
        <v>4</v>
      </c>
      <c r="H2148">
        <v>3</v>
      </c>
      <c r="I2148">
        <v>191</v>
      </c>
      <c r="J2148">
        <v>1965</v>
      </c>
      <c r="K2148" s="4">
        <v>45325</v>
      </c>
      <c r="L2148" t="s">
        <v>20</v>
      </c>
      <c r="M2148" t="s">
        <v>59</v>
      </c>
      <c r="N2148">
        <v>2.0299999999999998</v>
      </c>
      <c r="O2148">
        <v>2320</v>
      </c>
      <c r="P2148">
        <v>3.62</v>
      </c>
      <c r="Q2148">
        <v>228</v>
      </c>
      <c r="R2148">
        <v>329</v>
      </c>
    </row>
    <row r="2149" spans="1:18" x14ac:dyDescent="0.2">
      <c r="A2149">
        <v>9</v>
      </c>
      <c r="B2149" t="s">
        <v>95</v>
      </c>
      <c r="E2149" t="s">
        <v>51</v>
      </c>
      <c r="F2149">
        <v>534127</v>
      </c>
      <c r="G2149">
        <v>4</v>
      </c>
      <c r="H2149">
        <v>2</v>
      </c>
      <c r="I2149">
        <v>650</v>
      </c>
      <c r="J2149">
        <v>1977</v>
      </c>
      <c r="K2149" s="4">
        <v>44763</v>
      </c>
      <c r="L2149" t="s">
        <v>23</v>
      </c>
      <c r="M2149" t="s">
        <v>59</v>
      </c>
      <c r="N2149">
        <v>3.4</v>
      </c>
      <c r="O2149">
        <v>2215</v>
      </c>
      <c r="P2149">
        <v>0.28999999999999998</v>
      </c>
      <c r="Q2149">
        <v>188</v>
      </c>
      <c r="R2149">
        <v>451</v>
      </c>
    </row>
    <row r="2150" spans="1:18" x14ac:dyDescent="0.2">
      <c r="A2150">
        <v>2</v>
      </c>
      <c r="B2150" t="s">
        <v>86</v>
      </c>
      <c r="E2150" t="s">
        <v>36</v>
      </c>
      <c r="F2150">
        <v>828427</v>
      </c>
      <c r="G2150">
        <v>2</v>
      </c>
      <c r="H2150">
        <v>3</v>
      </c>
      <c r="I2150">
        <v>521</v>
      </c>
      <c r="J2150">
        <v>2015</v>
      </c>
      <c r="K2150" s="4">
        <v>45266</v>
      </c>
      <c r="L2150" t="s">
        <v>26</v>
      </c>
      <c r="M2150" t="s">
        <v>42</v>
      </c>
      <c r="N2150">
        <v>2.13</v>
      </c>
      <c r="O2150">
        <v>844</v>
      </c>
      <c r="P2150">
        <v>1.31</v>
      </c>
      <c r="Q2150">
        <v>239</v>
      </c>
      <c r="R2150">
        <v>625</v>
      </c>
    </row>
    <row r="2151" spans="1:18" x14ac:dyDescent="0.2">
      <c r="A2151">
        <v>0</v>
      </c>
      <c r="B2151" t="s">
        <v>39</v>
      </c>
      <c r="E2151" t="s">
        <v>19</v>
      </c>
      <c r="F2151">
        <v>582361</v>
      </c>
      <c r="G2151">
        <v>2</v>
      </c>
      <c r="H2151">
        <v>3</v>
      </c>
      <c r="I2151">
        <v>961</v>
      </c>
      <c r="J2151">
        <v>1962</v>
      </c>
      <c r="K2151" s="4">
        <v>45352</v>
      </c>
      <c r="L2151" t="s">
        <v>20</v>
      </c>
      <c r="M2151" t="s">
        <v>40</v>
      </c>
      <c r="N2151">
        <v>2.3199999999999998</v>
      </c>
      <c r="O2151">
        <v>2090</v>
      </c>
      <c r="P2151">
        <v>1.65</v>
      </c>
      <c r="Q2151">
        <v>175</v>
      </c>
      <c r="R2151">
        <v>319</v>
      </c>
    </row>
    <row r="2152" spans="1:18" x14ac:dyDescent="0.2">
      <c r="A2152">
        <v>9</v>
      </c>
      <c r="B2152" t="s">
        <v>92</v>
      </c>
      <c r="E2152" t="s">
        <v>51</v>
      </c>
      <c r="F2152">
        <v>2927047</v>
      </c>
      <c r="G2152">
        <v>3</v>
      </c>
      <c r="H2152">
        <v>2</v>
      </c>
      <c r="I2152">
        <v>582</v>
      </c>
      <c r="J2152">
        <v>1960</v>
      </c>
      <c r="K2152" s="4">
        <v>44286</v>
      </c>
      <c r="L2152" t="s">
        <v>23</v>
      </c>
      <c r="M2152" t="s">
        <v>59</v>
      </c>
      <c r="N2152">
        <v>3.14</v>
      </c>
      <c r="O2152">
        <v>837</v>
      </c>
      <c r="P2152">
        <v>3.72</v>
      </c>
      <c r="Q2152">
        <v>145</v>
      </c>
      <c r="R2152">
        <v>422</v>
      </c>
    </row>
    <row r="2153" spans="1:18" x14ac:dyDescent="0.2">
      <c r="A2153">
        <v>8</v>
      </c>
      <c r="B2153" t="s">
        <v>48</v>
      </c>
      <c r="E2153" t="s">
        <v>51</v>
      </c>
      <c r="F2153">
        <v>2930608</v>
      </c>
      <c r="G2153">
        <v>4</v>
      </c>
      <c r="H2153">
        <v>3</v>
      </c>
      <c r="I2153">
        <v>426</v>
      </c>
      <c r="J2153">
        <v>2006</v>
      </c>
      <c r="K2153" s="4">
        <v>44592</v>
      </c>
      <c r="L2153" t="s">
        <v>26</v>
      </c>
      <c r="M2153" t="s">
        <v>52</v>
      </c>
      <c r="N2153">
        <v>1.81</v>
      </c>
      <c r="O2153">
        <v>1892</v>
      </c>
      <c r="P2153">
        <v>0.72</v>
      </c>
      <c r="Q2153">
        <v>214</v>
      </c>
      <c r="R2153">
        <v>672</v>
      </c>
    </row>
    <row r="2154" spans="1:18" x14ac:dyDescent="0.2">
      <c r="A2154">
        <v>4</v>
      </c>
      <c r="B2154" t="s">
        <v>64</v>
      </c>
      <c r="E2154" t="s">
        <v>29</v>
      </c>
      <c r="F2154">
        <v>1111435</v>
      </c>
      <c r="G2154">
        <v>2</v>
      </c>
      <c r="H2154">
        <v>2</v>
      </c>
      <c r="I2154">
        <v>100</v>
      </c>
      <c r="J2154">
        <v>1994</v>
      </c>
      <c r="K2154" s="4">
        <v>45815</v>
      </c>
      <c r="L2154" t="s">
        <v>30</v>
      </c>
      <c r="M2154" t="s">
        <v>58</v>
      </c>
      <c r="N2154">
        <v>1.9</v>
      </c>
      <c r="O2154">
        <v>1796</v>
      </c>
      <c r="P2154">
        <v>2.12</v>
      </c>
      <c r="Q2154">
        <v>114</v>
      </c>
      <c r="R2154">
        <v>357</v>
      </c>
    </row>
    <row r="2155" spans="1:18" x14ac:dyDescent="0.2">
      <c r="A2155">
        <v>5</v>
      </c>
      <c r="B2155" t="s">
        <v>46</v>
      </c>
      <c r="E2155" t="s">
        <v>51</v>
      </c>
      <c r="F2155">
        <v>2750432</v>
      </c>
      <c r="G2155">
        <v>5</v>
      </c>
      <c r="H2155">
        <v>2</v>
      </c>
      <c r="I2155">
        <v>57</v>
      </c>
      <c r="J2155">
        <v>1965</v>
      </c>
      <c r="K2155" s="4">
        <v>44684</v>
      </c>
      <c r="L2155" t="s">
        <v>20</v>
      </c>
      <c r="M2155" t="s">
        <v>76</v>
      </c>
      <c r="N2155">
        <v>3.45</v>
      </c>
      <c r="O2155">
        <v>1773</v>
      </c>
      <c r="P2155">
        <v>1.91</v>
      </c>
      <c r="Q2155">
        <v>335</v>
      </c>
      <c r="R2155">
        <v>462</v>
      </c>
    </row>
    <row r="2156" spans="1:18" x14ac:dyDescent="0.2">
      <c r="A2156">
        <v>5</v>
      </c>
      <c r="B2156" t="s">
        <v>91</v>
      </c>
      <c r="E2156" t="s">
        <v>29</v>
      </c>
      <c r="F2156">
        <v>2654381</v>
      </c>
      <c r="G2156">
        <v>3</v>
      </c>
      <c r="H2156">
        <v>3</v>
      </c>
      <c r="I2156">
        <v>887</v>
      </c>
      <c r="J2156">
        <v>1961</v>
      </c>
      <c r="K2156" s="4">
        <v>45007</v>
      </c>
      <c r="L2156" t="s">
        <v>30</v>
      </c>
      <c r="M2156" t="s">
        <v>40</v>
      </c>
      <c r="N2156">
        <v>1.56</v>
      </c>
      <c r="O2156">
        <v>1745</v>
      </c>
      <c r="P2156">
        <v>1.73</v>
      </c>
      <c r="Q2156">
        <v>277</v>
      </c>
      <c r="R2156">
        <v>345</v>
      </c>
    </row>
    <row r="2157" spans="1:18" x14ac:dyDescent="0.2">
      <c r="A2157">
        <v>3</v>
      </c>
      <c r="B2157" t="s">
        <v>55</v>
      </c>
      <c r="E2157" t="s">
        <v>51</v>
      </c>
      <c r="F2157">
        <v>1231393</v>
      </c>
      <c r="G2157">
        <v>4</v>
      </c>
      <c r="H2157">
        <v>1</v>
      </c>
      <c r="I2157">
        <v>714</v>
      </c>
      <c r="J2157">
        <v>1984</v>
      </c>
      <c r="K2157" s="4">
        <v>45665</v>
      </c>
      <c r="L2157" t="s">
        <v>20</v>
      </c>
      <c r="M2157" t="s">
        <v>69</v>
      </c>
      <c r="N2157">
        <v>3.04</v>
      </c>
      <c r="O2157">
        <v>2350</v>
      </c>
      <c r="P2157">
        <v>1.22</v>
      </c>
      <c r="Q2157">
        <v>229</v>
      </c>
      <c r="R2157">
        <v>556</v>
      </c>
    </row>
    <row r="2158" spans="1:18" x14ac:dyDescent="0.2">
      <c r="A2158">
        <v>4</v>
      </c>
      <c r="B2158" t="s">
        <v>86</v>
      </c>
      <c r="E2158" t="s">
        <v>19</v>
      </c>
      <c r="F2158">
        <v>2160932</v>
      </c>
      <c r="G2158">
        <v>6</v>
      </c>
      <c r="H2158">
        <v>2</v>
      </c>
      <c r="I2158">
        <v>929</v>
      </c>
      <c r="J2158">
        <v>2019</v>
      </c>
      <c r="K2158" s="4">
        <v>45889</v>
      </c>
      <c r="L2158" t="s">
        <v>23</v>
      </c>
      <c r="M2158" t="s">
        <v>59</v>
      </c>
      <c r="N2158">
        <v>2.91</v>
      </c>
      <c r="O2158">
        <v>1756</v>
      </c>
      <c r="P2158">
        <v>0.69</v>
      </c>
      <c r="Q2158">
        <v>389</v>
      </c>
      <c r="R2158">
        <v>555</v>
      </c>
    </row>
    <row r="2159" spans="1:18" x14ac:dyDescent="0.2">
      <c r="A2159">
        <v>1</v>
      </c>
      <c r="B2159" t="s">
        <v>49</v>
      </c>
      <c r="E2159" t="s">
        <v>19</v>
      </c>
      <c r="F2159">
        <v>2364870</v>
      </c>
      <c r="G2159">
        <v>3</v>
      </c>
      <c r="H2159">
        <v>2</v>
      </c>
      <c r="I2159">
        <v>801</v>
      </c>
      <c r="J2159">
        <v>2020</v>
      </c>
      <c r="K2159" s="4">
        <v>44143</v>
      </c>
      <c r="L2159" t="s">
        <v>30</v>
      </c>
      <c r="M2159" t="s">
        <v>82</v>
      </c>
      <c r="N2159">
        <v>2.56</v>
      </c>
      <c r="O2159">
        <v>806</v>
      </c>
      <c r="P2159">
        <v>3.32</v>
      </c>
      <c r="Q2159">
        <v>155</v>
      </c>
      <c r="R2159">
        <v>460</v>
      </c>
    </row>
    <row r="2160" spans="1:18" x14ac:dyDescent="0.2">
      <c r="A2160">
        <v>0</v>
      </c>
      <c r="B2160" t="s">
        <v>18</v>
      </c>
      <c r="E2160" t="s">
        <v>29</v>
      </c>
      <c r="F2160">
        <v>1543091</v>
      </c>
      <c r="G2160">
        <v>5</v>
      </c>
      <c r="H2160">
        <v>3</v>
      </c>
      <c r="I2160">
        <v>792</v>
      </c>
      <c r="J2160">
        <v>2018</v>
      </c>
      <c r="K2160" s="4">
        <v>45406</v>
      </c>
      <c r="L2160" t="s">
        <v>23</v>
      </c>
      <c r="M2160" t="s">
        <v>77</v>
      </c>
      <c r="N2160">
        <v>1.72</v>
      </c>
      <c r="O2160">
        <v>1020</v>
      </c>
      <c r="P2160">
        <v>4.3</v>
      </c>
      <c r="Q2160">
        <v>332</v>
      </c>
      <c r="R2160">
        <v>487</v>
      </c>
    </row>
    <row r="2161" spans="1:18" x14ac:dyDescent="0.2">
      <c r="A2161">
        <v>8</v>
      </c>
      <c r="B2161" t="s">
        <v>41</v>
      </c>
      <c r="E2161" t="s">
        <v>36</v>
      </c>
      <c r="F2161">
        <v>1468091</v>
      </c>
      <c r="G2161">
        <v>6</v>
      </c>
      <c r="H2161">
        <v>3</v>
      </c>
      <c r="I2161">
        <v>130</v>
      </c>
      <c r="J2161">
        <v>1957</v>
      </c>
      <c r="K2161" s="4">
        <v>44434</v>
      </c>
      <c r="L2161" t="s">
        <v>30</v>
      </c>
      <c r="M2161" t="s">
        <v>47</v>
      </c>
      <c r="N2161">
        <v>2.98</v>
      </c>
      <c r="O2161">
        <v>1646</v>
      </c>
      <c r="P2161">
        <v>1.08</v>
      </c>
      <c r="Q2161">
        <v>321</v>
      </c>
      <c r="R2161">
        <v>376</v>
      </c>
    </row>
    <row r="2162" spans="1:18" x14ac:dyDescent="0.2">
      <c r="A2162">
        <v>7</v>
      </c>
      <c r="B2162" t="s">
        <v>84</v>
      </c>
      <c r="E2162" t="s">
        <v>36</v>
      </c>
      <c r="F2162">
        <v>696955</v>
      </c>
      <c r="G2162">
        <v>3</v>
      </c>
      <c r="H2162">
        <v>2</v>
      </c>
      <c r="I2162">
        <v>133</v>
      </c>
      <c r="J2162">
        <v>1996</v>
      </c>
      <c r="K2162" s="4">
        <v>45811</v>
      </c>
      <c r="L2162" t="s">
        <v>23</v>
      </c>
      <c r="M2162" t="s">
        <v>76</v>
      </c>
      <c r="N2162">
        <v>3.43</v>
      </c>
      <c r="O2162">
        <v>1353</v>
      </c>
      <c r="P2162">
        <v>0.98</v>
      </c>
      <c r="Q2162">
        <v>190</v>
      </c>
      <c r="R2162">
        <v>443</v>
      </c>
    </row>
    <row r="2163" spans="1:18" x14ac:dyDescent="0.2">
      <c r="A2163">
        <v>2</v>
      </c>
      <c r="B2163" t="s">
        <v>34</v>
      </c>
      <c r="E2163" t="s">
        <v>51</v>
      </c>
      <c r="F2163">
        <v>2859745</v>
      </c>
      <c r="G2163">
        <v>3</v>
      </c>
      <c r="H2163">
        <v>2</v>
      </c>
      <c r="I2163">
        <v>85</v>
      </c>
      <c r="J2163">
        <v>1988</v>
      </c>
      <c r="K2163" s="4">
        <v>45367</v>
      </c>
      <c r="L2163" t="s">
        <v>23</v>
      </c>
      <c r="M2163" t="s">
        <v>66</v>
      </c>
      <c r="N2163">
        <v>3.46</v>
      </c>
      <c r="O2163">
        <v>1170</v>
      </c>
      <c r="P2163">
        <v>2.21</v>
      </c>
      <c r="Q2163">
        <v>299</v>
      </c>
      <c r="R2163">
        <v>537</v>
      </c>
    </row>
    <row r="2164" spans="1:18" x14ac:dyDescent="0.2">
      <c r="A2164">
        <v>0</v>
      </c>
      <c r="B2164" t="s">
        <v>90</v>
      </c>
      <c r="E2164" t="s">
        <v>19</v>
      </c>
      <c r="F2164">
        <v>2139093</v>
      </c>
      <c r="G2164">
        <v>2</v>
      </c>
      <c r="H2164">
        <v>2</v>
      </c>
      <c r="I2164">
        <v>525</v>
      </c>
      <c r="J2164">
        <v>2003</v>
      </c>
      <c r="K2164" s="4">
        <v>45587</v>
      </c>
      <c r="L2164" t="s">
        <v>30</v>
      </c>
      <c r="M2164" t="s">
        <v>66</v>
      </c>
      <c r="N2164">
        <v>3.28</v>
      </c>
      <c r="O2164">
        <v>822</v>
      </c>
      <c r="P2164">
        <v>2.88</v>
      </c>
      <c r="Q2164">
        <v>174</v>
      </c>
      <c r="R2164">
        <v>575</v>
      </c>
    </row>
    <row r="2165" spans="1:18" x14ac:dyDescent="0.2">
      <c r="A2165">
        <v>3</v>
      </c>
      <c r="B2165" t="s">
        <v>106</v>
      </c>
      <c r="E2165" t="s">
        <v>36</v>
      </c>
      <c r="F2165">
        <v>2930933</v>
      </c>
      <c r="G2165">
        <v>2</v>
      </c>
      <c r="H2165">
        <v>2</v>
      </c>
      <c r="I2165">
        <v>724</v>
      </c>
      <c r="J2165">
        <v>2002</v>
      </c>
      <c r="K2165" s="4">
        <v>45733</v>
      </c>
      <c r="L2165" t="s">
        <v>26</v>
      </c>
      <c r="M2165" t="s">
        <v>56</v>
      </c>
      <c r="N2165">
        <v>1.94</v>
      </c>
      <c r="O2165">
        <v>2047</v>
      </c>
      <c r="P2165">
        <v>3</v>
      </c>
      <c r="Q2165">
        <v>120</v>
      </c>
      <c r="R2165">
        <v>652</v>
      </c>
    </row>
    <row r="2166" spans="1:18" x14ac:dyDescent="0.2">
      <c r="A2166">
        <v>2</v>
      </c>
      <c r="B2166" t="s">
        <v>102</v>
      </c>
      <c r="E2166" t="s">
        <v>36</v>
      </c>
      <c r="F2166">
        <v>1834621</v>
      </c>
      <c r="G2166">
        <v>1</v>
      </c>
      <c r="H2166">
        <v>1</v>
      </c>
      <c r="I2166">
        <v>248</v>
      </c>
      <c r="J2166">
        <v>1961</v>
      </c>
      <c r="K2166" s="4">
        <v>45843</v>
      </c>
      <c r="L2166" t="s">
        <v>30</v>
      </c>
      <c r="M2166" t="s">
        <v>85</v>
      </c>
      <c r="N2166">
        <v>1.94</v>
      </c>
      <c r="O2166">
        <v>2005</v>
      </c>
      <c r="P2166">
        <v>1.05</v>
      </c>
      <c r="Q2166">
        <v>70</v>
      </c>
      <c r="R2166">
        <v>492</v>
      </c>
    </row>
    <row r="2167" spans="1:18" x14ac:dyDescent="0.2">
      <c r="A2167">
        <v>1</v>
      </c>
      <c r="B2167" t="s">
        <v>38</v>
      </c>
      <c r="E2167" t="s">
        <v>19</v>
      </c>
      <c r="F2167">
        <v>2536205</v>
      </c>
      <c r="G2167">
        <v>6</v>
      </c>
      <c r="H2167">
        <v>2</v>
      </c>
      <c r="I2167">
        <v>205</v>
      </c>
      <c r="J2167">
        <v>2001</v>
      </c>
      <c r="K2167" s="4">
        <v>45407</v>
      </c>
      <c r="L2167" t="s">
        <v>26</v>
      </c>
      <c r="M2167" t="s">
        <v>82</v>
      </c>
      <c r="N2167">
        <v>1.6</v>
      </c>
      <c r="O2167">
        <v>1750</v>
      </c>
      <c r="P2167">
        <v>1.94</v>
      </c>
      <c r="Q2167">
        <v>371</v>
      </c>
      <c r="R2167">
        <v>335</v>
      </c>
    </row>
    <row r="2168" spans="1:18" x14ac:dyDescent="0.2">
      <c r="A2168">
        <v>8</v>
      </c>
      <c r="B2168" t="s">
        <v>67</v>
      </c>
      <c r="E2168" t="s">
        <v>36</v>
      </c>
      <c r="F2168">
        <v>2406211</v>
      </c>
      <c r="G2168">
        <v>5</v>
      </c>
      <c r="H2168">
        <v>2</v>
      </c>
      <c r="I2168">
        <v>639</v>
      </c>
      <c r="J2168">
        <v>1965</v>
      </c>
      <c r="K2168" s="4">
        <v>45388</v>
      </c>
      <c r="L2168" t="s">
        <v>26</v>
      </c>
      <c r="M2168" t="s">
        <v>78</v>
      </c>
      <c r="N2168">
        <v>1.87</v>
      </c>
      <c r="O2168">
        <v>1890</v>
      </c>
      <c r="P2168">
        <v>1.31</v>
      </c>
      <c r="Q2168">
        <v>347</v>
      </c>
      <c r="R2168">
        <v>662</v>
      </c>
    </row>
    <row r="2169" spans="1:18" x14ac:dyDescent="0.2">
      <c r="A2169">
        <v>3</v>
      </c>
      <c r="B2169" t="s">
        <v>18</v>
      </c>
      <c r="E2169" t="s">
        <v>51</v>
      </c>
      <c r="F2169">
        <v>574984</v>
      </c>
      <c r="G2169">
        <v>2</v>
      </c>
      <c r="H2169">
        <v>2</v>
      </c>
      <c r="I2169">
        <v>634</v>
      </c>
      <c r="J2169">
        <v>2008</v>
      </c>
      <c r="K2169" s="4">
        <v>44310</v>
      </c>
      <c r="L2169" t="s">
        <v>23</v>
      </c>
      <c r="M2169" t="s">
        <v>35</v>
      </c>
      <c r="N2169">
        <v>2.27</v>
      </c>
      <c r="O2169">
        <v>2241</v>
      </c>
      <c r="P2169">
        <v>1.23</v>
      </c>
      <c r="Q2169">
        <v>167</v>
      </c>
      <c r="R2169">
        <v>330</v>
      </c>
    </row>
    <row r="2170" spans="1:18" x14ac:dyDescent="0.2">
      <c r="A2170">
        <v>6</v>
      </c>
      <c r="B2170" t="s">
        <v>84</v>
      </c>
      <c r="E2170" t="s">
        <v>29</v>
      </c>
      <c r="F2170">
        <v>899932</v>
      </c>
      <c r="G2170">
        <v>2</v>
      </c>
      <c r="H2170">
        <v>3</v>
      </c>
      <c r="I2170">
        <v>697</v>
      </c>
      <c r="J2170">
        <v>1996</v>
      </c>
      <c r="K2170" s="4">
        <v>45725</v>
      </c>
      <c r="L2170" t="s">
        <v>30</v>
      </c>
      <c r="M2170" t="s">
        <v>85</v>
      </c>
      <c r="N2170">
        <v>1.9</v>
      </c>
      <c r="O2170">
        <v>2010</v>
      </c>
      <c r="P2170">
        <v>0.37</v>
      </c>
      <c r="Q2170">
        <v>117</v>
      </c>
      <c r="R2170">
        <v>611</v>
      </c>
    </row>
    <row r="2171" spans="1:18" x14ac:dyDescent="0.2">
      <c r="A2171">
        <v>1</v>
      </c>
      <c r="B2171" t="s">
        <v>32</v>
      </c>
      <c r="E2171" t="s">
        <v>36</v>
      </c>
      <c r="F2171">
        <v>2031272</v>
      </c>
      <c r="G2171">
        <v>4</v>
      </c>
      <c r="H2171">
        <v>1</v>
      </c>
      <c r="I2171">
        <v>598</v>
      </c>
      <c r="J2171">
        <v>1988</v>
      </c>
      <c r="K2171" s="4">
        <v>45072</v>
      </c>
      <c r="L2171" t="s">
        <v>30</v>
      </c>
      <c r="M2171" t="s">
        <v>37</v>
      </c>
      <c r="N2171">
        <v>3.18</v>
      </c>
      <c r="O2171">
        <v>2079</v>
      </c>
      <c r="P2171">
        <v>4.1500000000000004</v>
      </c>
      <c r="Q2171">
        <v>221</v>
      </c>
      <c r="R2171">
        <v>669</v>
      </c>
    </row>
    <row r="2172" spans="1:18" x14ac:dyDescent="0.2">
      <c r="A2172">
        <v>7</v>
      </c>
      <c r="B2172" t="s">
        <v>81</v>
      </c>
      <c r="E2172" t="s">
        <v>51</v>
      </c>
      <c r="F2172">
        <v>1195534</v>
      </c>
      <c r="G2172">
        <v>6</v>
      </c>
      <c r="H2172">
        <v>2</v>
      </c>
      <c r="I2172">
        <v>342</v>
      </c>
      <c r="J2172">
        <v>1966</v>
      </c>
      <c r="K2172" s="4">
        <v>45882</v>
      </c>
      <c r="L2172" t="s">
        <v>20</v>
      </c>
      <c r="M2172" t="s">
        <v>52</v>
      </c>
      <c r="N2172">
        <v>1.86</v>
      </c>
      <c r="O2172">
        <v>1540</v>
      </c>
      <c r="P2172">
        <v>2.39</v>
      </c>
      <c r="Q2172">
        <v>342</v>
      </c>
      <c r="R2172">
        <v>547</v>
      </c>
    </row>
    <row r="2173" spans="1:18" x14ac:dyDescent="0.2">
      <c r="A2173">
        <v>4</v>
      </c>
      <c r="B2173" t="s">
        <v>18</v>
      </c>
      <c r="E2173" t="s">
        <v>36</v>
      </c>
      <c r="F2173">
        <v>2512486</v>
      </c>
      <c r="G2173">
        <v>4</v>
      </c>
      <c r="H2173">
        <v>1</v>
      </c>
      <c r="I2173">
        <v>286</v>
      </c>
      <c r="J2173">
        <v>2011</v>
      </c>
      <c r="K2173" s="4">
        <v>45169</v>
      </c>
      <c r="L2173" t="s">
        <v>26</v>
      </c>
      <c r="M2173" t="s">
        <v>78</v>
      </c>
      <c r="N2173">
        <v>2.89</v>
      </c>
      <c r="O2173">
        <v>862</v>
      </c>
      <c r="P2173">
        <v>3.7</v>
      </c>
      <c r="Q2173">
        <v>256</v>
      </c>
      <c r="R2173">
        <v>659</v>
      </c>
    </row>
    <row r="2174" spans="1:18" x14ac:dyDescent="0.2">
      <c r="A2174">
        <v>3</v>
      </c>
      <c r="B2174" t="s">
        <v>88</v>
      </c>
      <c r="E2174" t="s">
        <v>19</v>
      </c>
      <c r="F2174">
        <v>2963797</v>
      </c>
      <c r="G2174">
        <v>5</v>
      </c>
      <c r="H2174">
        <v>3</v>
      </c>
      <c r="I2174">
        <v>663</v>
      </c>
      <c r="J2174">
        <v>1985</v>
      </c>
      <c r="K2174" s="4">
        <v>45567</v>
      </c>
      <c r="L2174" t="s">
        <v>20</v>
      </c>
      <c r="M2174" t="s">
        <v>33</v>
      </c>
      <c r="N2174">
        <v>2.33</v>
      </c>
      <c r="O2174">
        <v>1629</v>
      </c>
      <c r="P2174">
        <v>3.35</v>
      </c>
      <c r="Q2174">
        <v>247</v>
      </c>
      <c r="R2174">
        <v>506</v>
      </c>
    </row>
    <row r="2175" spans="1:18" x14ac:dyDescent="0.2">
      <c r="A2175">
        <v>1</v>
      </c>
      <c r="B2175" t="s">
        <v>91</v>
      </c>
      <c r="E2175" t="s">
        <v>36</v>
      </c>
      <c r="F2175">
        <v>1728151</v>
      </c>
      <c r="G2175">
        <v>1</v>
      </c>
      <c r="H2175">
        <v>1</v>
      </c>
      <c r="I2175">
        <v>232</v>
      </c>
      <c r="J2175">
        <v>1976</v>
      </c>
      <c r="K2175" s="4">
        <v>45361</v>
      </c>
      <c r="L2175" t="s">
        <v>23</v>
      </c>
      <c r="M2175" t="s">
        <v>74</v>
      </c>
      <c r="N2175">
        <v>2.5</v>
      </c>
      <c r="O2175">
        <v>2262</v>
      </c>
      <c r="P2175">
        <v>3.4</v>
      </c>
      <c r="Q2175">
        <v>147</v>
      </c>
      <c r="R2175">
        <v>533</v>
      </c>
    </row>
    <row r="2176" spans="1:18" x14ac:dyDescent="0.2">
      <c r="A2176">
        <v>8</v>
      </c>
      <c r="B2176" t="s">
        <v>105</v>
      </c>
      <c r="E2176" t="s">
        <v>51</v>
      </c>
      <c r="F2176">
        <v>908420</v>
      </c>
      <c r="G2176">
        <v>2</v>
      </c>
      <c r="H2176">
        <v>1</v>
      </c>
      <c r="I2176">
        <v>807</v>
      </c>
      <c r="J2176">
        <v>1990</v>
      </c>
      <c r="K2176" s="4">
        <v>45754</v>
      </c>
      <c r="L2176" t="s">
        <v>26</v>
      </c>
      <c r="M2176" t="s">
        <v>58</v>
      </c>
      <c r="N2176">
        <v>1.96</v>
      </c>
      <c r="O2176">
        <v>2318</v>
      </c>
      <c r="P2176">
        <v>0.62</v>
      </c>
      <c r="Q2176">
        <v>99</v>
      </c>
      <c r="R2176">
        <v>508</v>
      </c>
    </row>
    <row r="2177" spans="1:18" x14ac:dyDescent="0.2">
      <c r="A2177">
        <v>6</v>
      </c>
      <c r="B2177" t="s">
        <v>50</v>
      </c>
      <c r="E2177" t="s">
        <v>36</v>
      </c>
      <c r="F2177">
        <v>1601977</v>
      </c>
      <c r="G2177">
        <v>2</v>
      </c>
      <c r="H2177">
        <v>2</v>
      </c>
      <c r="I2177">
        <v>423</v>
      </c>
      <c r="J2177">
        <v>1963</v>
      </c>
      <c r="K2177" s="4">
        <v>45839</v>
      </c>
      <c r="L2177" t="s">
        <v>23</v>
      </c>
      <c r="M2177" t="s">
        <v>76</v>
      </c>
      <c r="N2177">
        <v>2.11</v>
      </c>
      <c r="O2177">
        <v>2060</v>
      </c>
      <c r="P2177">
        <v>1.99</v>
      </c>
      <c r="Q2177">
        <v>127</v>
      </c>
      <c r="R2177">
        <v>452</v>
      </c>
    </row>
    <row r="2178" spans="1:18" x14ac:dyDescent="0.2">
      <c r="A2178">
        <v>5</v>
      </c>
      <c r="B2178" t="s">
        <v>96</v>
      </c>
      <c r="E2178" t="s">
        <v>19</v>
      </c>
      <c r="F2178">
        <v>492473</v>
      </c>
      <c r="G2178">
        <v>3</v>
      </c>
      <c r="H2178">
        <v>2</v>
      </c>
      <c r="I2178">
        <v>516</v>
      </c>
      <c r="J2178">
        <v>1963</v>
      </c>
      <c r="K2178" s="4">
        <v>45396</v>
      </c>
      <c r="L2178" t="s">
        <v>20</v>
      </c>
      <c r="M2178" t="s">
        <v>27</v>
      </c>
      <c r="N2178">
        <v>2.59</v>
      </c>
      <c r="O2178">
        <v>1664</v>
      </c>
      <c r="P2178">
        <v>0.84</v>
      </c>
      <c r="Q2178">
        <v>155</v>
      </c>
      <c r="R2178">
        <v>632</v>
      </c>
    </row>
    <row r="2179" spans="1:18" x14ac:dyDescent="0.2">
      <c r="A2179">
        <v>6</v>
      </c>
      <c r="B2179" t="s">
        <v>83</v>
      </c>
      <c r="E2179" t="s">
        <v>51</v>
      </c>
      <c r="F2179">
        <v>798343</v>
      </c>
      <c r="G2179">
        <v>1</v>
      </c>
      <c r="H2179">
        <v>1</v>
      </c>
      <c r="I2179">
        <v>594</v>
      </c>
      <c r="J2179">
        <v>1973</v>
      </c>
      <c r="K2179" s="4">
        <v>44549</v>
      </c>
      <c r="L2179" t="s">
        <v>23</v>
      </c>
      <c r="M2179" t="s">
        <v>45</v>
      </c>
      <c r="N2179">
        <v>2.72</v>
      </c>
      <c r="O2179">
        <v>1888</v>
      </c>
      <c r="P2179">
        <v>2.75</v>
      </c>
      <c r="Q2179">
        <v>47</v>
      </c>
      <c r="R2179">
        <v>552</v>
      </c>
    </row>
    <row r="2180" spans="1:18" x14ac:dyDescent="0.2">
      <c r="A2180">
        <v>7</v>
      </c>
      <c r="B2180" t="s">
        <v>46</v>
      </c>
      <c r="E2180" t="s">
        <v>51</v>
      </c>
      <c r="F2180">
        <v>886890</v>
      </c>
      <c r="G2180">
        <v>5</v>
      </c>
      <c r="H2180">
        <v>2</v>
      </c>
      <c r="I2180">
        <v>985</v>
      </c>
      <c r="J2180">
        <v>1990</v>
      </c>
      <c r="K2180" s="4">
        <v>44291</v>
      </c>
      <c r="L2180" t="s">
        <v>23</v>
      </c>
      <c r="M2180" t="s">
        <v>24</v>
      </c>
      <c r="N2180">
        <v>2.4900000000000002</v>
      </c>
      <c r="O2180">
        <v>1488</v>
      </c>
      <c r="P2180">
        <v>0.48</v>
      </c>
      <c r="Q2180">
        <v>377</v>
      </c>
      <c r="R2180">
        <v>588</v>
      </c>
    </row>
    <row r="2181" spans="1:18" x14ac:dyDescent="0.2">
      <c r="A2181">
        <v>8</v>
      </c>
      <c r="B2181" t="s">
        <v>84</v>
      </c>
      <c r="E2181" t="s">
        <v>29</v>
      </c>
      <c r="F2181">
        <v>1735513</v>
      </c>
      <c r="G2181">
        <v>3</v>
      </c>
      <c r="H2181">
        <v>3</v>
      </c>
      <c r="I2181">
        <v>772</v>
      </c>
      <c r="J2181">
        <v>2020</v>
      </c>
      <c r="K2181" s="4">
        <v>45355</v>
      </c>
      <c r="L2181" t="s">
        <v>30</v>
      </c>
      <c r="M2181" t="s">
        <v>97</v>
      </c>
      <c r="N2181">
        <v>1.87</v>
      </c>
      <c r="O2181">
        <v>1411</v>
      </c>
      <c r="P2181">
        <v>4.7</v>
      </c>
      <c r="Q2181">
        <v>288</v>
      </c>
      <c r="R2181">
        <v>338</v>
      </c>
    </row>
    <row r="2182" spans="1:18" x14ac:dyDescent="0.2">
      <c r="A2182">
        <v>7</v>
      </c>
      <c r="B2182" t="s">
        <v>98</v>
      </c>
      <c r="E2182" t="s">
        <v>51</v>
      </c>
      <c r="F2182">
        <v>988885</v>
      </c>
      <c r="G2182">
        <v>2</v>
      </c>
      <c r="H2182">
        <v>2</v>
      </c>
      <c r="I2182">
        <v>125</v>
      </c>
      <c r="J2182">
        <v>1965</v>
      </c>
      <c r="K2182" s="4">
        <v>44467</v>
      </c>
      <c r="L2182" t="s">
        <v>26</v>
      </c>
      <c r="M2182" t="s">
        <v>37</v>
      </c>
      <c r="N2182">
        <v>2.11</v>
      </c>
      <c r="O2182">
        <v>1375</v>
      </c>
      <c r="P2182">
        <v>4.05</v>
      </c>
      <c r="Q2182">
        <v>59</v>
      </c>
      <c r="R2182">
        <v>461</v>
      </c>
    </row>
    <row r="2183" spans="1:18" x14ac:dyDescent="0.2">
      <c r="A2183">
        <v>3</v>
      </c>
      <c r="B2183" t="s">
        <v>48</v>
      </c>
      <c r="E2183" t="s">
        <v>36</v>
      </c>
      <c r="F2183">
        <v>2817164</v>
      </c>
      <c r="G2183">
        <v>1</v>
      </c>
      <c r="H2183">
        <v>1</v>
      </c>
      <c r="I2183">
        <v>929</v>
      </c>
      <c r="J2183">
        <v>1982</v>
      </c>
      <c r="K2183" s="4">
        <v>45450</v>
      </c>
      <c r="L2183" t="s">
        <v>20</v>
      </c>
      <c r="M2183" t="s">
        <v>77</v>
      </c>
      <c r="N2183">
        <v>1.88</v>
      </c>
      <c r="O2183">
        <v>2126</v>
      </c>
      <c r="P2183">
        <v>3.25</v>
      </c>
      <c r="Q2183">
        <v>53</v>
      </c>
      <c r="R2183">
        <v>691</v>
      </c>
    </row>
    <row r="2184" spans="1:18" x14ac:dyDescent="0.2">
      <c r="A2184">
        <v>7</v>
      </c>
      <c r="B2184" t="s">
        <v>104</v>
      </c>
      <c r="E2184" t="s">
        <v>29</v>
      </c>
      <c r="F2184">
        <v>2696381</v>
      </c>
      <c r="G2184">
        <v>3</v>
      </c>
      <c r="H2184">
        <v>1</v>
      </c>
      <c r="I2184">
        <v>415</v>
      </c>
      <c r="J2184">
        <v>2019</v>
      </c>
      <c r="K2184" s="4">
        <v>45293</v>
      </c>
      <c r="L2184" t="s">
        <v>23</v>
      </c>
      <c r="M2184" t="s">
        <v>82</v>
      </c>
      <c r="N2184">
        <v>3.36</v>
      </c>
      <c r="O2184">
        <v>2120</v>
      </c>
      <c r="P2184">
        <v>2.48</v>
      </c>
      <c r="Q2184">
        <v>121</v>
      </c>
      <c r="R2184">
        <v>582</v>
      </c>
    </row>
    <row r="2185" spans="1:18" x14ac:dyDescent="0.2">
      <c r="A2185">
        <v>5</v>
      </c>
      <c r="B2185" t="s">
        <v>46</v>
      </c>
      <c r="E2185" t="s">
        <v>19</v>
      </c>
      <c r="F2185">
        <v>1075983</v>
      </c>
      <c r="G2185">
        <v>6</v>
      </c>
      <c r="H2185">
        <v>3</v>
      </c>
      <c r="I2185">
        <v>270</v>
      </c>
      <c r="J2185">
        <v>2005</v>
      </c>
      <c r="K2185" s="4">
        <v>45163</v>
      </c>
      <c r="L2185" t="s">
        <v>20</v>
      </c>
      <c r="M2185" t="s">
        <v>37</v>
      </c>
      <c r="N2185">
        <v>2.29</v>
      </c>
      <c r="O2185">
        <v>2168</v>
      </c>
      <c r="P2185">
        <v>2.9</v>
      </c>
      <c r="Q2185">
        <v>388</v>
      </c>
      <c r="R2185">
        <v>467</v>
      </c>
    </row>
    <row r="2186" spans="1:18" x14ac:dyDescent="0.2">
      <c r="A2186">
        <v>0</v>
      </c>
      <c r="B2186" t="s">
        <v>50</v>
      </c>
      <c r="E2186" t="s">
        <v>36</v>
      </c>
      <c r="F2186">
        <v>2667626</v>
      </c>
      <c r="G2186">
        <v>4</v>
      </c>
      <c r="H2186">
        <v>2</v>
      </c>
      <c r="I2186">
        <v>548</v>
      </c>
      <c r="J2186">
        <v>1961</v>
      </c>
      <c r="K2186" s="4">
        <v>44464</v>
      </c>
      <c r="L2186" t="s">
        <v>26</v>
      </c>
      <c r="M2186" t="s">
        <v>40</v>
      </c>
      <c r="N2186">
        <v>3.44</v>
      </c>
      <c r="O2186">
        <v>2312</v>
      </c>
      <c r="P2186">
        <v>4.8600000000000003</v>
      </c>
      <c r="Q2186">
        <v>327</v>
      </c>
      <c r="R2186">
        <v>648</v>
      </c>
    </row>
    <row r="2187" spans="1:18" x14ac:dyDescent="0.2">
      <c r="A2187">
        <v>6</v>
      </c>
      <c r="B2187" t="s">
        <v>43</v>
      </c>
      <c r="E2187" t="s">
        <v>19</v>
      </c>
      <c r="F2187">
        <v>2549816</v>
      </c>
      <c r="G2187">
        <v>3</v>
      </c>
      <c r="H2187">
        <v>1</v>
      </c>
      <c r="I2187">
        <v>184</v>
      </c>
      <c r="J2187">
        <v>2013</v>
      </c>
      <c r="K2187" s="4">
        <v>45559</v>
      </c>
      <c r="L2187" t="s">
        <v>26</v>
      </c>
      <c r="M2187" t="s">
        <v>85</v>
      </c>
      <c r="N2187">
        <v>2.0499999999999998</v>
      </c>
      <c r="O2187">
        <v>2150</v>
      </c>
      <c r="P2187">
        <v>0.46</v>
      </c>
      <c r="Q2187">
        <v>189</v>
      </c>
      <c r="R2187">
        <v>408</v>
      </c>
    </row>
    <row r="2188" spans="1:18" x14ac:dyDescent="0.2">
      <c r="A2188">
        <v>2</v>
      </c>
      <c r="B2188" t="s">
        <v>62</v>
      </c>
      <c r="E2188" t="s">
        <v>29</v>
      </c>
      <c r="F2188">
        <v>2492733</v>
      </c>
      <c r="G2188">
        <v>6</v>
      </c>
      <c r="H2188">
        <v>1</v>
      </c>
      <c r="I2188">
        <v>976</v>
      </c>
      <c r="J2188">
        <v>1997</v>
      </c>
      <c r="K2188" s="4">
        <v>44225</v>
      </c>
      <c r="L2188" t="s">
        <v>23</v>
      </c>
      <c r="M2188" t="s">
        <v>37</v>
      </c>
      <c r="N2188">
        <v>2.5299999999999998</v>
      </c>
      <c r="O2188">
        <v>1455</v>
      </c>
      <c r="P2188">
        <v>0.48</v>
      </c>
      <c r="Q2188">
        <v>372</v>
      </c>
      <c r="R2188">
        <v>308</v>
      </c>
    </row>
    <row r="2189" spans="1:18" x14ac:dyDescent="0.2">
      <c r="A2189">
        <v>5</v>
      </c>
      <c r="B2189" t="s">
        <v>49</v>
      </c>
      <c r="E2189" t="s">
        <v>29</v>
      </c>
      <c r="F2189">
        <v>2113080</v>
      </c>
      <c r="G2189">
        <v>5</v>
      </c>
      <c r="H2189">
        <v>2</v>
      </c>
      <c r="I2189">
        <v>388</v>
      </c>
      <c r="J2189">
        <v>1980</v>
      </c>
      <c r="K2189" s="4">
        <v>45754</v>
      </c>
      <c r="L2189" t="s">
        <v>20</v>
      </c>
      <c r="M2189" t="s">
        <v>45</v>
      </c>
      <c r="N2189">
        <v>3.16</v>
      </c>
      <c r="O2189">
        <v>2037</v>
      </c>
      <c r="P2189">
        <v>0.91</v>
      </c>
      <c r="Q2189">
        <v>327</v>
      </c>
      <c r="R2189">
        <v>527</v>
      </c>
    </row>
    <row r="2190" spans="1:18" x14ac:dyDescent="0.2">
      <c r="A2190">
        <v>7</v>
      </c>
      <c r="B2190" t="s">
        <v>101</v>
      </c>
      <c r="E2190" t="s">
        <v>29</v>
      </c>
      <c r="F2190">
        <v>1578043</v>
      </c>
      <c r="G2190">
        <v>2</v>
      </c>
      <c r="H2190">
        <v>2</v>
      </c>
      <c r="I2190">
        <v>978</v>
      </c>
      <c r="J2190">
        <v>2010</v>
      </c>
      <c r="K2190" s="4">
        <v>44615</v>
      </c>
      <c r="L2190" t="s">
        <v>30</v>
      </c>
      <c r="M2190" t="s">
        <v>24</v>
      </c>
      <c r="N2190">
        <v>3.31</v>
      </c>
      <c r="O2190">
        <v>1924</v>
      </c>
      <c r="P2190">
        <v>1</v>
      </c>
      <c r="Q2190">
        <v>98</v>
      </c>
      <c r="R2190">
        <v>564</v>
      </c>
    </row>
    <row r="2191" spans="1:18" x14ac:dyDescent="0.2">
      <c r="A2191">
        <v>8</v>
      </c>
      <c r="B2191" t="s">
        <v>46</v>
      </c>
      <c r="E2191" t="s">
        <v>51</v>
      </c>
      <c r="F2191">
        <v>1178340</v>
      </c>
      <c r="G2191">
        <v>2</v>
      </c>
      <c r="H2191">
        <v>1</v>
      </c>
      <c r="I2191">
        <v>157</v>
      </c>
      <c r="J2191">
        <v>1950</v>
      </c>
      <c r="K2191" s="4">
        <v>45065</v>
      </c>
      <c r="L2191" t="s">
        <v>26</v>
      </c>
      <c r="M2191" t="s">
        <v>40</v>
      </c>
      <c r="N2191">
        <v>3.31</v>
      </c>
      <c r="O2191">
        <v>1838</v>
      </c>
      <c r="P2191">
        <v>1.69</v>
      </c>
      <c r="Q2191">
        <v>185</v>
      </c>
      <c r="R2191">
        <v>548</v>
      </c>
    </row>
    <row r="2192" spans="1:18" x14ac:dyDescent="0.2">
      <c r="A2192">
        <v>7</v>
      </c>
      <c r="B2192" t="s">
        <v>32</v>
      </c>
      <c r="E2192" t="s">
        <v>19</v>
      </c>
      <c r="F2192">
        <v>2760387</v>
      </c>
      <c r="G2192">
        <v>4</v>
      </c>
      <c r="H2192">
        <v>3</v>
      </c>
      <c r="I2192">
        <v>364</v>
      </c>
      <c r="J2192">
        <v>2014</v>
      </c>
      <c r="K2192" s="4">
        <v>44333</v>
      </c>
      <c r="L2192" t="s">
        <v>30</v>
      </c>
      <c r="M2192" t="s">
        <v>97</v>
      </c>
      <c r="N2192">
        <v>2.89</v>
      </c>
      <c r="O2192">
        <v>1530</v>
      </c>
      <c r="P2192">
        <v>4.37</v>
      </c>
      <c r="Q2192">
        <v>397</v>
      </c>
      <c r="R2192">
        <v>433</v>
      </c>
    </row>
    <row r="2193" spans="1:18" x14ac:dyDescent="0.2">
      <c r="A2193">
        <v>5</v>
      </c>
      <c r="B2193" t="s">
        <v>25</v>
      </c>
      <c r="E2193" t="s">
        <v>19</v>
      </c>
      <c r="F2193">
        <v>2773075</v>
      </c>
      <c r="G2193">
        <v>2</v>
      </c>
      <c r="H2193">
        <v>3</v>
      </c>
      <c r="I2193">
        <v>793</v>
      </c>
      <c r="J2193">
        <v>1987</v>
      </c>
      <c r="K2193" s="4">
        <v>45450</v>
      </c>
      <c r="L2193" t="s">
        <v>20</v>
      </c>
      <c r="M2193" t="s">
        <v>68</v>
      </c>
      <c r="N2193">
        <v>2.09</v>
      </c>
      <c r="O2193">
        <v>1878</v>
      </c>
      <c r="P2193">
        <v>4.91</v>
      </c>
      <c r="Q2193">
        <v>216</v>
      </c>
      <c r="R2193">
        <v>302</v>
      </c>
    </row>
    <row r="2194" spans="1:18" x14ac:dyDescent="0.2">
      <c r="A2194">
        <v>1</v>
      </c>
      <c r="B2194" t="s">
        <v>80</v>
      </c>
      <c r="E2194" t="s">
        <v>36</v>
      </c>
      <c r="F2194">
        <v>427504</v>
      </c>
      <c r="G2194">
        <v>0</v>
      </c>
      <c r="H2194">
        <v>3</v>
      </c>
      <c r="I2194">
        <v>376</v>
      </c>
      <c r="J2194">
        <v>2003</v>
      </c>
      <c r="K2194" s="4">
        <v>44815</v>
      </c>
      <c r="L2194" t="s">
        <v>20</v>
      </c>
      <c r="M2194" t="s">
        <v>68</v>
      </c>
      <c r="N2194">
        <v>2.42</v>
      </c>
      <c r="O2194">
        <v>1785</v>
      </c>
      <c r="P2194">
        <v>4.8499999999999996</v>
      </c>
      <c r="Q2194">
        <v>43</v>
      </c>
      <c r="R2194">
        <v>478</v>
      </c>
    </row>
    <row r="2195" spans="1:18" x14ac:dyDescent="0.2">
      <c r="A2195">
        <v>7</v>
      </c>
      <c r="B2195" t="s">
        <v>84</v>
      </c>
      <c r="E2195" t="s">
        <v>51</v>
      </c>
      <c r="F2195">
        <v>553903</v>
      </c>
      <c r="G2195">
        <v>5</v>
      </c>
      <c r="H2195">
        <v>1</v>
      </c>
      <c r="I2195">
        <v>591</v>
      </c>
      <c r="J2195">
        <v>1975</v>
      </c>
      <c r="K2195" s="4">
        <v>45579</v>
      </c>
      <c r="L2195" t="s">
        <v>20</v>
      </c>
      <c r="M2195" t="s">
        <v>24</v>
      </c>
      <c r="N2195">
        <v>3.28</v>
      </c>
      <c r="O2195">
        <v>1786</v>
      </c>
      <c r="P2195">
        <v>1.63</v>
      </c>
      <c r="Q2195">
        <v>357</v>
      </c>
      <c r="R2195">
        <v>496</v>
      </c>
    </row>
    <row r="2196" spans="1:18" x14ac:dyDescent="0.2">
      <c r="A2196">
        <v>7</v>
      </c>
      <c r="B2196" t="s">
        <v>32</v>
      </c>
      <c r="E2196" t="s">
        <v>29</v>
      </c>
      <c r="F2196">
        <v>2003312</v>
      </c>
      <c r="G2196">
        <v>2</v>
      </c>
      <c r="H2196">
        <v>3</v>
      </c>
      <c r="I2196">
        <v>604</v>
      </c>
      <c r="J2196">
        <v>1987</v>
      </c>
      <c r="K2196" s="4">
        <v>44863</v>
      </c>
      <c r="L2196" t="s">
        <v>26</v>
      </c>
      <c r="M2196" t="s">
        <v>45</v>
      </c>
      <c r="N2196">
        <v>2.97</v>
      </c>
      <c r="O2196">
        <v>1550</v>
      </c>
      <c r="P2196">
        <v>3.5</v>
      </c>
      <c r="Q2196">
        <v>84</v>
      </c>
      <c r="R2196">
        <v>599</v>
      </c>
    </row>
    <row r="2197" spans="1:18" x14ac:dyDescent="0.2">
      <c r="A2197">
        <v>6</v>
      </c>
      <c r="B2197" t="s">
        <v>62</v>
      </c>
      <c r="E2197" t="s">
        <v>36</v>
      </c>
      <c r="F2197">
        <v>2316580</v>
      </c>
      <c r="G2197">
        <v>3</v>
      </c>
      <c r="H2197">
        <v>3</v>
      </c>
      <c r="I2197">
        <v>189</v>
      </c>
      <c r="J2197">
        <v>1961</v>
      </c>
      <c r="K2197" s="4">
        <v>45111</v>
      </c>
      <c r="L2197" t="s">
        <v>20</v>
      </c>
      <c r="M2197" t="s">
        <v>45</v>
      </c>
      <c r="N2197">
        <v>1.93</v>
      </c>
      <c r="O2197">
        <v>1645</v>
      </c>
      <c r="P2197">
        <v>4.24</v>
      </c>
      <c r="Q2197">
        <v>204</v>
      </c>
      <c r="R2197">
        <v>469</v>
      </c>
    </row>
    <row r="2198" spans="1:18" x14ac:dyDescent="0.2">
      <c r="A2198">
        <v>6</v>
      </c>
      <c r="B2198" t="s">
        <v>41</v>
      </c>
      <c r="E2198" t="s">
        <v>51</v>
      </c>
      <c r="F2198">
        <v>1236031</v>
      </c>
      <c r="G2198">
        <v>4</v>
      </c>
      <c r="H2198">
        <v>2</v>
      </c>
      <c r="I2198">
        <v>384</v>
      </c>
      <c r="J2198">
        <v>1971</v>
      </c>
      <c r="K2198" s="4">
        <v>45619</v>
      </c>
      <c r="L2198" t="s">
        <v>23</v>
      </c>
      <c r="M2198" t="s">
        <v>42</v>
      </c>
      <c r="N2198">
        <v>3.1</v>
      </c>
      <c r="O2198">
        <v>1196</v>
      </c>
      <c r="P2198">
        <v>2.27</v>
      </c>
      <c r="Q2198">
        <v>340</v>
      </c>
      <c r="R2198">
        <v>385</v>
      </c>
    </row>
    <row r="2199" spans="1:18" x14ac:dyDescent="0.2">
      <c r="A2199">
        <v>2</v>
      </c>
      <c r="B2199" t="s">
        <v>50</v>
      </c>
      <c r="E2199" t="s">
        <v>29</v>
      </c>
      <c r="F2199">
        <v>488102</v>
      </c>
      <c r="G2199">
        <v>3</v>
      </c>
      <c r="H2199">
        <v>3</v>
      </c>
      <c r="I2199">
        <v>872</v>
      </c>
      <c r="J2199">
        <v>1968</v>
      </c>
      <c r="K2199" s="4">
        <v>44152</v>
      </c>
      <c r="L2199" t="s">
        <v>23</v>
      </c>
      <c r="M2199" t="s">
        <v>60</v>
      </c>
      <c r="N2199">
        <v>2.67</v>
      </c>
      <c r="O2199">
        <v>1607</v>
      </c>
      <c r="P2199">
        <v>2.64</v>
      </c>
      <c r="Q2199">
        <v>184</v>
      </c>
      <c r="R2199">
        <v>653</v>
      </c>
    </row>
    <row r="2200" spans="1:18" x14ac:dyDescent="0.2">
      <c r="A2200">
        <v>9</v>
      </c>
      <c r="B2200" t="s">
        <v>96</v>
      </c>
      <c r="E2200" t="s">
        <v>51</v>
      </c>
      <c r="F2200">
        <v>574474</v>
      </c>
      <c r="G2200">
        <v>2</v>
      </c>
      <c r="H2200">
        <v>3</v>
      </c>
      <c r="I2200">
        <v>380</v>
      </c>
      <c r="J2200">
        <v>1999</v>
      </c>
      <c r="K2200" s="4">
        <v>44941</v>
      </c>
      <c r="L2200" t="s">
        <v>30</v>
      </c>
      <c r="M2200" t="s">
        <v>27</v>
      </c>
      <c r="N2200">
        <v>2.68</v>
      </c>
      <c r="O2200">
        <v>2375</v>
      </c>
      <c r="P2200">
        <v>4.63</v>
      </c>
      <c r="Q2200">
        <v>55</v>
      </c>
      <c r="R2200">
        <v>467</v>
      </c>
    </row>
    <row r="2201" spans="1:18" x14ac:dyDescent="0.2">
      <c r="A2201">
        <v>7</v>
      </c>
      <c r="B2201" t="s">
        <v>28</v>
      </c>
      <c r="E2201" t="s">
        <v>19</v>
      </c>
      <c r="F2201">
        <v>1238559</v>
      </c>
      <c r="G2201">
        <v>3</v>
      </c>
      <c r="H2201">
        <v>3</v>
      </c>
      <c r="I2201">
        <v>827</v>
      </c>
      <c r="J2201">
        <v>1968</v>
      </c>
      <c r="K2201" s="4">
        <v>45394</v>
      </c>
      <c r="L2201" t="s">
        <v>26</v>
      </c>
      <c r="M2201" t="s">
        <v>40</v>
      </c>
      <c r="N2201">
        <v>1.92</v>
      </c>
      <c r="O2201">
        <v>1481</v>
      </c>
      <c r="P2201">
        <v>3.38</v>
      </c>
      <c r="Q2201">
        <v>267</v>
      </c>
      <c r="R2201">
        <v>557</v>
      </c>
    </row>
    <row r="2202" spans="1:18" x14ac:dyDescent="0.2">
      <c r="A2202">
        <v>5</v>
      </c>
      <c r="B2202" t="s">
        <v>100</v>
      </c>
      <c r="E2202" t="s">
        <v>51</v>
      </c>
      <c r="F2202">
        <v>1564428</v>
      </c>
      <c r="G2202">
        <v>5</v>
      </c>
      <c r="H2202">
        <v>2</v>
      </c>
      <c r="I2202">
        <v>596</v>
      </c>
      <c r="J2202">
        <v>1971</v>
      </c>
      <c r="K2202" s="4">
        <v>45106</v>
      </c>
      <c r="L2202" t="s">
        <v>26</v>
      </c>
      <c r="M2202" t="s">
        <v>77</v>
      </c>
      <c r="N2202">
        <v>2.77</v>
      </c>
      <c r="O2202">
        <v>2425</v>
      </c>
      <c r="P2202">
        <v>3.13</v>
      </c>
      <c r="Q2202">
        <v>344</v>
      </c>
      <c r="R2202">
        <v>422</v>
      </c>
    </row>
    <row r="2203" spans="1:18" x14ac:dyDescent="0.2">
      <c r="A2203">
        <v>4</v>
      </c>
      <c r="B2203" t="s">
        <v>94</v>
      </c>
      <c r="E2203" t="s">
        <v>51</v>
      </c>
      <c r="F2203">
        <v>415553</v>
      </c>
      <c r="G2203">
        <v>4</v>
      </c>
      <c r="H2203">
        <v>3</v>
      </c>
      <c r="I2203">
        <v>194</v>
      </c>
      <c r="J2203">
        <v>1963</v>
      </c>
      <c r="K2203" s="4">
        <v>45376</v>
      </c>
      <c r="L2203" t="s">
        <v>23</v>
      </c>
      <c r="M2203" t="s">
        <v>68</v>
      </c>
      <c r="N2203">
        <v>1.54</v>
      </c>
      <c r="O2203">
        <v>2098</v>
      </c>
      <c r="P2203">
        <v>2.74</v>
      </c>
      <c r="Q2203">
        <v>328</v>
      </c>
      <c r="R2203">
        <v>484</v>
      </c>
    </row>
    <row r="2204" spans="1:18" x14ac:dyDescent="0.2">
      <c r="A2204">
        <v>1</v>
      </c>
      <c r="B2204" t="s">
        <v>73</v>
      </c>
      <c r="E2204" t="s">
        <v>36</v>
      </c>
      <c r="F2204">
        <v>2088091</v>
      </c>
      <c r="G2204">
        <v>1</v>
      </c>
      <c r="H2204">
        <v>1</v>
      </c>
      <c r="I2204">
        <v>316</v>
      </c>
      <c r="J2204">
        <v>1998</v>
      </c>
      <c r="K2204" s="4">
        <v>44364</v>
      </c>
      <c r="L2204" t="s">
        <v>26</v>
      </c>
      <c r="M2204" t="s">
        <v>97</v>
      </c>
      <c r="N2204">
        <v>2.0299999999999998</v>
      </c>
      <c r="O2204">
        <v>1575</v>
      </c>
      <c r="P2204">
        <v>1.37</v>
      </c>
      <c r="Q2204">
        <v>94</v>
      </c>
      <c r="R2204">
        <v>611</v>
      </c>
    </row>
    <row r="2205" spans="1:18" x14ac:dyDescent="0.2">
      <c r="A2205">
        <v>2</v>
      </c>
      <c r="B2205" t="s">
        <v>43</v>
      </c>
      <c r="E2205" t="s">
        <v>36</v>
      </c>
      <c r="F2205">
        <v>857526</v>
      </c>
      <c r="G2205">
        <v>4</v>
      </c>
      <c r="H2205">
        <v>1</v>
      </c>
      <c r="I2205">
        <v>541</v>
      </c>
      <c r="J2205">
        <v>1968</v>
      </c>
      <c r="K2205" s="4">
        <v>45303</v>
      </c>
      <c r="L2205" t="s">
        <v>26</v>
      </c>
      <c r="M2205" t="s">
        <v>42</v>
      </c>
      <c r="N2205">
        <v>3.49</v>
      </c>
      <c r="O2205">
        <v>1306</v>
      </c>
      <c r="P2205">
        <v>2.5499999999999998</v>
      </c>
      <c r="Q2205">
        <v>326</v>
      </c>
      <c r="R2205">
        <v>511</v>
      </c>
    </row>
    <row r="2206" spans="1:18" x14ac:dyDescent="0.2">
      <c r="A2206">
        <v>1</v>
      </c>
      <c r="B2206" t="s">
        <v>73</v>
      </c>
      <c r="E2206" t="s">
        <v>29</v>
      </c>
      <c r="F2206">
        <v>2441843</v>
      </c>
      <c r="G2206">
        <v>1</v>
      </c>
      <c r="H2206">
        <v>1</v>
      </c>
      <c r="I2206">
        <v>614</v>
      </c>
      <c r="J2206">
        <v>1954</v>
      </c>
      <c r="K2206" s="4">
        <v>45433</v>
      </c>
      <c r="L2206" t="s">
        <v>20</v>
      </c>
      <c r="M2206" t="s">
        <v>21</v>
      </c>
      <c r="N2206">
        <v>2.66</v>
      </c>
      <c r="O2206">
        <v>2064</v>
      </c>
      <c r="P2206">
        <v>1.58</v>
      </c>
      <c r="Q2206">
        <v>47</v>
      </c>
      <c r="R2206">
        <v>547</v>
      </c>
    </row>
    <row r="2207" spans="1:18" x14ac:dyDescent="0.2">
      <c r="A2207">
        <v>5</v>
      </c>
      <c r="B2207" t="s">
        <v>75</v>
      </c>
      <c r="E2207" t="s">
        <v>51</v>
      </c>
      <c r="F2207">
        <v>1360057</v>
      </c>
      <c r="G2207">
        <v>2</v>
      </c>
      <c r="H2207">
        <v>3</v>
      </c>
      <c r="I2207">
        <v>370</v>
      </c>
      <c r="J2207">
        <v>1981</v>
      </c>
      <c r="K2207" s="4">
        <v>45333</v>
      </c>
      <c r="L2207" t="s">
        <v>23</v>
      </c>
      <c r="M2207" t="s">
        <v>97</v>
      </c>
      <c r="N2207">
        <v>2.4</v>
      </c>
      <c r="O2207">
        <v>1981</v>
      </c>
      <c r="P2207">
        <v>0.33</v>
      </c>
      <c r="Q2207">
        <v>237</v>
      </c>
      <c r="R2207">
        <v>519</v>
      </c>
    </row>
    <row r="2208" spans="1:18" x14ac:dyDescent="0.2">
      <c r="A2208">
        <v>0</v>
      </c>
      <c r="B2208" t="s">
        <v>71</v>
      </c>
      <c r="E2208" t="s">
        <v>36</v>
      </c>
      <c r="F2208">
        <v>2467594</v>
      </c>
      <c r="G2208">
        <v>4</v>
      </c>
      <c r="H2208">
        <v>3</v>
      </c>
      <c r="I2208">
        <v>267</v>
      </c>
      <c r="J2208">
        <v>1982</v>
      </c>
      <c r="K2208" s="4">
        <v>44845</v>
      </c>
      <c r="L2208" t="s">
        <v>30</v>
      </c>
      <c r="M2208" t="s">
        <v>56</v>
      </c>
      <c r="N2208">
        <v>3.37</v>
      </c>
      <c r="O2208">
        <v>2051</v>
      </c>
      <c r="P2208">
        <v>3.57</v>
      </c>
      <c r="Q2208">
        <v>173</v>
      </c>
      <c r="R2208">
        <v>490</v>
      </c>
    </row>
    <row r="2209" spans="1:18" x14ac:dyDescent="0.2">
      <c r="A2209">
        <v>7</v>
      </c>
      <c r="B2209" t="s">
        <v>55</v>
      </c>
      <c r="E2209" t="s">
        <v>51</v>
      </c>
      <c r="F2209">
        <v>2549137</v>
      </c>
      <c r="G2209">
        <v>4</v>
      </c>
      <c r="H2209">
        <v>3</v>
      </c>
      <c r="I2209">
        <v>544</v>
      </c>
      <c r="J2209">
        <v>1954</v>
      </c>
      <c r="K2209" s="4">
        <v>45011</v>
      </c>
      <c r="L2209" t="s">
        <v>20</v>
      </c>
      <c r="M2209" t="s">
        <v>31</v>
      </c>
      <c r="N2209">
        <v>2.64</v>
      </c>
      <c r="O2209">
        <v>2075</v>
      </c>
      <c r="P2209">
        <v>2.89</v>
      </c>
      <c r="Q2209">
        <v>336</v>
      </c>
      <c r="R2209">
        <v>628</v>
      </c>
    </row>
    <row r="2210" spans="1:18" x14ac:dyDescent="0.2">
      <c r="A2210">
        <v>2</v>
      </c>
      <c r="B2210" t="s">
        <v>84</v>
      </c>
      <c r="E2210" t="s">
        <v>51</v>
      </c>
      <c r="F2210">
        <v>1448637</v>
      </c>
      <c r="G2210">
        <v>4</v>
      </c>
      <c r="H2210">
        <v>2</v>
      </c>
      <c r="I2210">
        <v>902</v>
      </c>
      <c r="J2210">
        <v>2003</v>
      </c>
      <c r="K2210" s="4">
        <v>44967</v>
      </c>
      <c r="L2210" t="s">
        <v>26</v>
      </c>
      <c r="M2210" t="s">
        <v>52</v>
      </c>
      <c r="N2210">
        <v>2.8</v>
      </c>
      <c r="O2210">
        <v>1618</v>
      </c>
      <c r="P2210">
        <v>3.86</v>
      </c>
      <c r="Q2210">
        <v>207</v>
      </c>
      <c r="R2210">
        <v>407</v>
      </c>
    </row>
    <row r="2211" spans="1:18" x14ac:dyDescent="0.2">
      <c r="A2211">
        <v>9</v>
      </c>
      <c r="B2211" t="s">
        <v>43</v>
      </c>
      <c r="E2211" t="s">
        <v>29</v>
      </c>
      <c r="F2211">
        <v>443249</v>
      </c>
      <c r="G2211">
        <v>4</v>
      </c>
      <c r="H2211">
        <v>3</v>
      </c>
      <c r="I2211">
        <v>843</v>
      </c>
      <c r="J2211">
        <v>1999</v>
      </c>
      <c r="K2211" s="4">
        <v>44812</v>
      </c>
      <c r="L2211" t="s">
        <v>20</v>
      </c>
      <c r="M2211" t="s">
        <v>33</v>
      </c>
      <c r="N2211">
        <v>2.08</v>
      </c>
      <c r="O2211">
        <v>1388</v>
      </c>
      <c r="P2211">
        <v>0.34</v>
      </c>
      <c r="Q2211">
        <v>232</v>
      </c>
      <c r="R2211">
        <v>600</v>
      </c>
    </row>
    <row r="2212" spans="1:18" x14ac:dyDescent="0.2">
      <c r="A2212">
        <v>6</v>
      </c>
      <c r="B2212" t="s">
        <v>101</v>
      </c>
      <c r="E2212" t="s">
        <v>51</v>
      </c>
      <c r="F2212">
        <v>1850310</v>
      </c>
      <c r="G2212">
        <v>3</v>
      </c>
      <c r="H2212">
        <v>2</v>
      </c>
      <c r="I2212">
        <v>289</v>
      </c>
      <c r="J2212">
        <v>1980</v>
      </c>
      <c r="K2212" s="4">
        <v>45578</v>
      </c>
      <c r="L2212" t="s">
        <v>20</v>
      </c>
      <c r="M2212" t="s">
        <v>31</v>
      </c>
      <c r="N2212">
        <v>2.74</v>
      </c>
      <c r="O2212">
        <v>1347</v>
      </c>
      <c r="P2212">
        <v>2.14</v>
      </c>
      <c r="Q2212">
        <v>318</v>
      </c>
      <c r="R2212">
        <v>607</v>
      </c>
    </row>
    <row r="2213" spans="1:18" x14ac:dyDescent="0.2">
      <c r="A2213">
        <v>8</v>
      </c>
      <c r="B2213" t="s">
        <v>79</v>
      </c>
      <c r="E2213" t="s">
        <v>29</v>
      </c>
      <c r="F2213">
        <v>890418</v>
      </c>
      <c r="G2213">
        <v>2</v>
      </c>
      <c r="H2213">
        <v>3</v>
      </c>
      <c r="I2213">
        <v>656</v>
      </c>
      <c r="J2213">
        <v>2004</v>
      </c>
      <c r="K2213" s="4">
        <v>44606</v>
      </c>
      <c r="L2213" t="s">
        <v>23</v>
      </c>
      <c r="M2213" t="s">
        <v>54</v>
      </c>
      <c r="N2213">
        <v>2.5</v>
      </c>
      <c r="O2213">
        <v>1636</v>
      </c>
      <c r="P2213">
        <v>1.59</v>
      </c>
      <c r="Q2213">
        <v>197</v>
      </c>
      <c r="R2213">
        <v>644</v>
      </c>
    </row>
    <row r="2214" spans="1:18" x14ac:dyDescent="0.2">
      <c r="A2214">
        <v>1</v>
      </c>
      <c r="B2214" t="s">
        <v>62</v>
      </c>
      <c r="E2214" t="s">
        <v>19</v>
      </c>
      <c r="F2214">
        <v>1911799</v>
      </c>
      <c r="G2214">
        <v>2</v>
      </c>
      <c r="H2214">
        <v>2</v>
      </c>
      <c r="I2214">
        <v>507</v>
      </c>
      <c r="J2214">
        <v>1973</v>
      </c>
      <c r="K2214" s="4">
        <v>44504</v>
      </c>
      <c r="L2214" t="s">
        <v>26</v>
      </c>
      <c r="M2214" t="s">
        <v>58</v>
      </c>
      <c r="N2214">
        <v>2.62</v>
      </c>
      <c r="O2214">
        <v>2096</v>
      </c>
      <c r="P2214">
        <v>1.49</v>
      </c>
      <c r="Q2214">
        <v>154</v>
      </c>
      <c r="R2214">
        <v>384</v>
      </c>
    </row>
    <row r="2215" spans="1:18" x14ac:dyDescent="0.2">
      <c r="A2215">
        <v>4</v>
      </c>
      <c r="B2215" t="s">
        <v>55</v>
      </c>
      <c r="E2215" t="s">
        <v>51</v>
      </c>
      <c r="F2215">
        <v>2246848</v>
      </c>
      <c r="G2215">
        <v>3</v>
      </c>
      <c r="H2215">
        <v>3</v>
      </c>
      <c r="I2215">
        <v>182</v>
      </c>
      <c r="J2215">
        <v>1982</v>
      </c>
      <c r="K2215" s="4">
        <v>45596</v>
      </c>
      <c r="L2215" t="s">
        <v>30</v>
      </c>
      <c r="M2215" t="s">
        <v>76</v>
      </c>
      <c r="N2215">
        <v>3.28</v>
      </c>
      <c r="O2215">
        <v>852</v>
      </c>
      <c r="P2215">
        <v>1.4</v>
      </c>
      <c r="Q2215">
        <v>199</v>
      </c>
      <c r="R2215">
        <v>519</v>
      </c>
    </row>
    <row r="2216" spans="1:18" x14ac:dyDescent="0.2">
      <c r="A2216">
        <v>2</v>
      </c>
      <c r="B2216" t="s">
        <v>96</v>
      </c>
      <c r="E2216" t="s">
        <v>51</v>
      </c>
      <c r="F2216">
        <v>2261944</v>
      </c>
      <c r="G2216">
        <v>5</v>
      </c>
      <c r="H2216">
        <v>3</v>
      </c>
      <c r="I2216">
        <v>936</v>
      </c>
      <c r="J2216">
        <v>2020</v>
      </c>
      <c r="K2216" s="4">
        <v>44355</v>
      </c>
      <c r="L2216" t="s">
        <v>20</v>
      </c>
      <c r="M2216" t="s">
        <v>37</v>
      </c>
      <c r="N2216">
        <v>1.56</v>
      </c>
      <c r="O2216">
        <v>1092</v>
      </c>
      <c r="P2216">
        <v>3.49</v>
      </c>
      <c r="Q2216">
        <v>306</v>
      </c>
      <c r="R2216">
        <v>630</v>
      </c>
    </row>
    <row r="2217" spans="1:18" x14ac:dyDescent="0.2">
      <c r="A2217">
        <v>9</v>
      </c>
      <c r="B2217" t="s">
        <v>32</v>
      </c>
      <c r="E2217" t="s">
        <v>29</v>
      </c>
      <c r="F2217">
        <v>2560214</v>
      </c>
      <c r="G2217">
        <v>0</v>
      </c>
      <c r="H2217">
        <v>2</v>
      </c>
      <c r="I2217">
        <v>211</v>
      </c>
      <c r="J2217">
        <v>1960</v>
      </c>
      <c r="K2217" s="4">
        <v>44720</v>
      </c>
      <c r="L2217" t="s">
        <v>23</v>
      </c>
      <c r="M2217" t="s">
        <v>97</v>
      </c>
      <c r="N2217">
        <v>1.52</v>
      </c>
      <c r="O2217">
        <v>1572</v>
      </c>
      <c r="P2217">
        <v>1.73</v>
      </c>
      <c r="Q2217">
        <v>41</v>
      </c>
      <c r="R2217">
        <v>474</v>
      </c>
    </row>
    <row r="2218" spans="1:18" x14ac:dyDescent="0.2">
      <c r="A2218">
        <v>7</v>
      </c>
      <c r="B2218" t="s">
        <v>32</v>
      </c>
      <c r="E2218" t="s">
        <v>36</v>
      </c>
      <c r="F2218">
        <v>2761248</v>
      </c>
      <c r="G2218">
        <v>2</v>
      </c>
      <c r="H2218">
        <v>2</v>
      </c>
      <c r="I2218">
        <v>230</v>
      </c>
      <c r="J2218">
        <v>1978</v>
      </c>
      <c r="K2218" s="4">
        <v>44402</v>
      </c>
      <c r="L2218" t="s">
        <v>23</v>
      </c>
      <c r="M2218" t="s">
        <v>31</v>
      </c>
      <c r="N2218">
        <v>2.85</v>
      </c>
      <c r="O2218">
        <v>1985</v>
      </c>
      <c r="P2218">
        <v>3.48</v>
      </c>
      <c r="Q2218">
        <v>164</v>
      </c>
      <c r="R2218">
        <v>416</v>
      </c>
    </row>
    <row r="2219" spans="1:18" x14ac:dyDescent="0.2">
      <c r="A2219">
        <v>5</v>
      </c>
      <c r="B2219" t="s">
        <v>25</v>
      </c>
      <c r="E2219" t="s">
        <v>29</v>
      </c>
      <c r="F2219">
        <v>1012102</v>
      </c>
      <c r="G2219">
        <v>5</v>
      </c>
      <c r="H2219">
        <v>1</v>
      </c>
      <c r="I2219">
        <v>441</v>
      </c>
      <c r="J2219">
        <v>1987</v>
      </c>
      <c r="K2219" s="4">
        <v>44543</v>
      </c>
      <c r="L2219" t="s">
        <v>20</v>
      </c>
      <c r="M2219" t="s">
        <v>76</v>
      </c>
      <c r="N2219">
        <v>3.29</v>
      </c>
      <c r="O2219">
        <v>2333</v>
      </c>
      <c r="P2219">
        <v>2.2999999999999998</v>
      </c>
      <c r="Q2219">
        <v>349</v>
      </c>
      <c r="R2219">
        <v>630</v>
      </c>
    </row>
    <row r="2220" spans="1:18" x14ac:dyDescent="0.2">
      <c r="A2220">
        <v>2</v>
      </c>
      <c r="B2220" t="s">
        <v>99</v>
      </c>
      <c r="E2220" t="s">
        <v>29</v>
      </c>
      <c r="F2220">
        <v>2376103</v>
      </c>
      <c r="G2220">
        <v>5</v>
      </c>
      <c r="H2220">
        <v>3</v>
      </c>
      <c r="I2220">
        <v>448</v>
      </c>
      <c r="J2220">
        <v>1957</v>
      </c>
      <c r="K2220" s="4">
        <v>44563</v>
      </c>
      <c r="L2220" t="s">
        <v>30</v>
      </c>
      <c r="M2220" t="s">
        <v>77</v>
      </c>
      <c r="N2220">
        <v>2.02</v>
      </c>
      <c r="O2220">
        <v>1127</v>
      </c>
      <c r="P2220">
        <v>0.49</v>
      </c>
      <c r="Q2220">
        <v>332</v>
      </c>
      <c r="R2220">
        <v>529</v>
      </c>
    </row>
    <row r="2221" spans="1:18" x14ac:dyDescent="0.2">
      <c r="A2221">
        <v>5</v>
      </c>
      <c r="B2221" t="s">
        <v>93</v>
      </c>
      <c r="E2221" t="s">
        <v>29</v>
      </c>
      <c r="F2221">
        <v>2314812</v>
      </c>
      <c r="G2221">
        <v>3</v>
      </c>
      <c r="H2221">
        <v>1</v>
      </c>
      <c r="I2221">
        <v>689</v>
      </c>
      <c r="J2221">
        <v>1995</v>
      </c>
      <c r="K2221" s="4">
        <v>44943</v>
      </c>
      <c r="L2221" t="s">
        <v>23</v>
      </c>
      <c r="M2221" t="s">
        <v>33</v>
      </c>
      <c r="N2221">
        <v>1.9</v>
      </c>
      <c r="O2221">
        <v>1144</v>
      </c>
      <c r="P2221">
        <v>1.03</v>
      </c>
      <c r="Q2221">
        <v>100</v>
      </c>
      <c r="R2221">
        <v>481</v>
      </c>
    </row>
    <row r="2222" spans="1:18" x14ac:dyDescent="0.2">
      <c r="A2222">
        <v>0</v>
      </c>
      <c r="B2222" t="s">
        <v>62</v>
      </c>
      <c r="E2222" t="s">
        <v>19</v>
      </c>
      <c r="F2222">
        <v>2903120</v>
      </c>
      <c r="G2222">
        <v>2</v>
      </c>
      <c r="H2222">
        <v>2</v>
      </c>
      <c r="I2222">
        <v>425</v>
      </c>
      <c r="J2222">
        <v>1969</v>
      </c>
      <c r="K2222" s="4">
        <v>45622</v>
      </c>
      <c r="L2222" t="s">
        <v>30</v>
      </c>
      <c r="M2222" t="s">
        <v>70</v>
      </c>
      <c r="N2222">
        <v>2.36</v>
      </c>
      <c r="O2222">
        <v>1540</v>
      </c>
      <c r="P2222">
        <v>1.6</v>
      </c>
      <c r="Q2222">
        <v>235</v>
      </c>
      <c r="R2222">
        <v>560</v>
      </c>
    </row>
    <row r="2223" spans="1:18" x14ac:dyDescent="0.2">
      <c r="A2223">
        <v>9</v>
      </c>
      <c r="B2223" t="s">
        <v>81</v>
      </c>
      <c r="E2223" t="s">
        <v>29</v>
      </c>
      <c r="F2223">
        <v>1816476</v>
      </c>
      <c r="G2223">
        <v>0</v>
      </c>
      <c r="H2223">
        <v>3</v>
      </c>
      <c r="I2223">
        <v>951</v>
      </c>
      <c r="J2223">
        <v>2010</v>
      </c>
      <c r="K2223" s="4">
        <v>45578</v>
      </c>
      <c r="L2223" t="s">
        <v>20</v>
      </c>
      <c r="M2223" t="s">
        <v>54</v>
      </c>
      <c r="N2223">
        <v>1.57</v>
      </c>
      <c r="O2223">
        <v>824</v>
      </c>
      <c r="P2223">
        <v>4.8499999999999996</v>
      </c>
      <c r="Q2223">
        <v>62</v>
      </c>
      <c r="R2223">
        <v>501</v>
      </c>
    </row>
    <row r="2224" spans="1:18" x14ac:dyDescent="0.2">
      <c r="A2224">
        <v>3</v>
      </c>
      <c r="B2224" t="s">
        <v>75</v>
      </c>
      <c r="E2224" t="s">
        <v>29</v>
      </c>
      <c r="F2224">
        <v>816795</v>
      </c>
      <c r="G2224">
        <v>4</v>
      </c>
      <c r="H2224">
        <v>3</v>
      </c>
      <c r="I2224">
        <v>331</v>
      </c>
      <c r="J2224">
        <v>1961</v>
      </c>
      <c r="K2224" s="4">
        <v>44363</v>
      </c>
      <c r="L2224" t="s">
        <v>30</v>
      </c>
      <c r="M2224" t="s">
        <v>35</v>
      </c>
      <c r="N2224">
        <v>1.7</v>
      </c>
      <c r="O2224">
        <v>934</v>
      </c>
      <c r="P2224">
        <v>2.84</v>
      </c>
      <c r="Q2224">
        <v>392</v>
      </c>
      <c r="R2224">
        <v>577</v>
      </c>
    </row>
    <row r="2225" spans="1:18" x14ac:dyDescent="0.2">
      <c r="A2225">
        <v>4</v>
      </c>
      <c r="B2225" t="s">
        <v>75</v>
      </c>
      <c r="E2225" t="s">
        <v>19</v>
      </c>
      <c r="F2225">
        <v>2235013</v>
      </c>
      <c r="G2225">
        <v>3</v>
      </c>
      <c r="H2225">
        <v>3</v>
      </c>
      <c r="I2225">
        <v>793</v>
      </c>
      <c r="J2225">
        <v>2019</v>
      </c>
      <c r="K2225" s="4">
        <v>44828</v>
      </c>
      <c r="L2225" t="s">
        <v>30</v>
      </c>
      <c r="M2225" t="s">
        <v>27</v>
      </c>
      <c r="N2225">
        <v>2.0699999999999998</v>
      </c>
      <c r="O2225">
        <v>2190</v>
      </c>
      <c r="P2225">
        <v>2.95</v>
      </c>
      <c r="Q2225">
        <v>154</v>
      </c>
      <c r="R2225">
        <v>426</v>
      </c>
    </row>
    <row r="2226" spans="1:18" x14ac:dyDescent="0.2">
      <c r="A2226">
        <v>1</v>
      </c>
      <c r="B2226" t="s">
        <v>80</v>
      </c>
      <c r="E2226" t="s">
        <v>29</v>
      </c>
      <c r="F2226">
        <v>673360</v>
      </c>
      <c r="G2226">
        <v>2</v>
      </c>
      <c r="H2226">
        <v>3</v>
      </c>
      <c r="I2226">
        <v>396</v>
      </c>
      <c r="J2226">
        <v>1982</v>
      </c>
      <c r="K2226" s="4">
        <v>44671</v>
      </c>
      <c r="L2226" t="s">
        <v>26</v>
      </c>
      <c r="M2226" t="s">
        <v>35</v>
      </c>
      <c r="N2226">
        <v>3.44</v>
      </c>
      <c r="O2226">
        <v>1601</v>
      </c>
      <c r="P2226">
        <v>2.59</v>
      </c>
      <c r="Q2226">
        <v>179</v>
      </c>
      <c r="R2226">
        <v>551</v>
      </c>
    </row>
    <row r="2227" spans="1:18" x14ac:dyDescent="0.2">
      <c r="A2227">
        <v>5</v>
      </c>
      <c r="B2227" t="s">
        <v>104</v>
      </c>
      <c r="E2227" t="s">
        <v>19</v>
      </c>
      <c r="F2227">
        <v>1668520</v>
      </c>
      <c r="G2227">
        <v>3</v>
      </c>
      <c r="H2227">
        <v>2</v>
      </c>
      <c r="I2227">
        <v>195</v>
      </c>
      <c r="J2227">
        <v>2019</v>
      </c>
      <c r="K2227" s="4">
        <v>45448</v>
      </c>
      <c r="L2227" t="s">
        <v>30</v>
      </c>
      <c r="M2227" t="s">
        <v>78</v>
      </c>
      <c r="N2227">
        <v>2.99</v>
      </c>
      <c r="O2227">
        <v>1190</v>
      </c>
      <c r="P2227">
        <v>2.82</v>
      </c>
      <c r="Q2227">
        <v>234</v>
      </c>
      <c r="R2227">
        <v>477</v>
      </c>
    </row>
    <row r="2228" spans="1:18" x14ac:dyDescent="0.2">
      <c r="A2228">
        <v>8</v>
      </c>
      <c r="B2228" t="s">
        <v>75</v>
      </c>
      <c r="E2228" t="s">
        <v>36</v>
      </c>
      <c r="F2228">
        <v>577622</v>
      </c>
      <c r="G2228">
        <v>3</v>
      </c>
      <c r="H2228">
        <v>3</v>
      </c>
      <c r="I2228">
        <v>371</v>
      </c>
      <c r="J2228">
        <v>1954</v>
      </c>
      <c r="K2228" s="4">
        <v>44574</v>
      </c>
      <c r="L2228" t="s">
        <v>20</v>
      </c>
      <c r="M2228" t="s">
        <v>56</v>
      </c>
      <c r="N2228">
        <v>1.75</v>
      </c>
      <c r="O2228">
        <v>1292</v>
      </c>
      <c r="P2228">
        <v>3.65</v>
      </c>
      <c r="Q2228">
        <v>96</v>
      </c>
      <c r="R2228">
        <v>658</v>
      </c>
    </row>
    <row r="2229" spans="1:18" x14ac:dyDescent="0.2">
      <c r="A2229">
        <v>3</v>
      </c>
      <c r="B2229" t="s">
        <v>101</v>
      </c>
      <c r="E2229" t="s">
        <v>36</v>
      </c>
      <c r="F2229">
        <v>699915</v>
      </c>
      <c r="G2229">
        <v>4</v>
      </c>
      <c r="H2229">
        <v>1</v>
      </c>
      <c r="I2229">
        <v>468</v>
      </c>
      <c r="J2229">
        <v>1975</v>
      </c>
      <c r="K2229" s="4">
        <v>44906</v>
      </c>
      <c r="L2229" t="s">
        <v>26</v>
      </c>
      <c r="M2229" t="s">
        <v>37</v>
      </c>
      <c r="N2229">
        <v>3.11</v>
      </c>
      <c r="O2229">
        <v>2137</v>
      </c>
      <c r="P2229">
        <v>1.89</v>
      </c>
      <c r="Q2229">
        <v>223</v>
      </c>
      <c r="R2229">
        <v>508</v>
      </c>
    </row>
    <row r="2230" spans="1:18" x14ac:dyDescent="0.2">
      <c r="A2230">
        <v>7</v>
      </c>
      <c r="B2230" t="s">
        <v>38</v>
      </c>
      <c r="E2230" t="s">
        <v>19</v>
      </c>
      <c r="F2230">
        <v>2396775</v>
      </c>
      <c r="G2230">
        <v>4</v>
      </c>
      <c r="H2230">
        <v>2</v>
      </c>
      <c r="I2230">
        <v>262</v>
      </c>
      <c r="J2230">
        <v>2007</v>
      </c>
      <c r="K2230" s="4">
        <v>45573</v>
      </c>
      <c r="L2230" t="s">
        <v>26</v>
      </c>
      <c r="M2230" t="s">
        <v>70</v>
      </c>
      <c r="N2230">
        <v>2.39</v>
      </c>
      <c r="O2230">
        <v>1110</v>
      </c>
      <c r="P2230">
        <v>0.14000000000000001</v>
      </c>
      <c r="Q2230">
        <v>368</v>
      </c>
      <c r="R2230">
        <v>527</v>
      </c>
    </row>
    <row r="2231" spans="1:18" x14ac:dyDescent="0.2">
      <c r="A2231">
        <v>1</v>
      </c>
      <c r="B2231" t="s">
        <v>100</v>
      </c>
      <c r="E2231" t="s">
        <v>19</v>
      </c>
      <c r="F2231">
        <v>1679491</v>
      </c>
      <c r="G2231">
        <v>5</v>
      </c>
      <c r="H2231">
        <v>2</v>
      </c>
      <c r="I2231">
        <v>419</v>
      </c>
      <c r="J2231">
        <v>1963</v>
      </c>
      <c r="K2231" s="4">
        <v>44768</v>
      </c>
      <c r="L2231" t="s">
        <v>30</v>
      </c>
      <c r="M2231" t="s">
        <v>27</v>
      </c>
      <c r="N2231">
        <v>1.6</v>
      </c>
      <c r="O2231">
        <v>2260</v>
      </c>
      <c r="P2231">
        <v>4.59</v>
      </c>
      <c r="Q2231">
        <v>251</v>
      </c>
      <c r="R2231">
        <v>584</v>
      </c>
    </row>
    <row r="2232" spans="1:18" x14ac:dyDescent="0.2">
      <c r="A2232">
        <v>4</v>
      </c>
      <c r="B2232" t="s">
        <v>73</v>
      </c>
      <c r="E2232" t="s">
        <v>51</v>
      </c>
      <c r="F2232">
        <v>2976040</v>
      </c>
      <c r="G2232">
        <v>3</v>
      </c>
      <c r="H2232">
        <v>2</v>
      </c>
      <c r="I2232">
        <v>239</v>
      </c>
      <c r="J2232">
        <v>1972</v>
      </c>
      <c r="K2232" s="4">
        <v>45456</v>
      </c>
      <c r="L2232" t="s">
        <v>23</v>
      </c>
      <c r="M2232" t="s">
        <v>47</v>
      </c>
      <c r="N2232">
        <v>2.94</v>
      </c>
      <c r="O2232">
        <v>1426</v>
      </c>
      <c r="P2232">
        <v>2.37</v>
      </c>
      <c r="Q2232">
        <v>140</v>
      </c>
      <c r="R2232">
        <v>517</v>
      </c>
    </row>
    <row r="2233" spans="1:18" x14ac:dyDescent="0.2">
      <c r="A2233">
        <v>4</v>
      </c>
      <c r="B2233" t="s">
        <v>96</v>
      </c>
      <c r="E2233" t="s">
        <v>19</v>
      </c>
      <c r="F2233">
        <v>2664558</v>
      </c>
      <c r="G2233">
        <v>1</v>
      </c>
      <c r="H2233">
        <v>3</v>
      </c>
      <c r="I2233">
        <v>364</v>
      </c>
      <c r="J2233">
        <v>1992</v>
      </c>
      <c r="K2233" s="4">
        <v>45364</v>
      </c>
      <c r="L2233" t="s">
        <v>30</v>
      </c>
      <c r="M2233" t="s">
        <v>35</v>
      </c>
      <c r="N2233">
        <v>1.64</v>
      </c>
      <c r="O2233">
        <v>1706</v>
      </c>
      <c r="P2233">
        <v>4.4800000000000004</v>
      </c>
      <c r="Q2233">
        <v>118</v>
      </c>
      <c r="R2233">
        <v>396</v>
      </c>
    </row>
    <row r="2234" spans="1:18" x14ac:dyDescent="0.2">
      <c r="A2234">
        <v>0</v>
      </c>
      <c r="B2234" t="s">
        <v>99</v>
      </c>
      <c r="E2234" t="s">
        <v>29</v>
      </c>
      <c r="F2234">
        <v>1691175</v>
      </c>
      <c r="G2234">
        <v>3</v>
      </c>
      <c r="H2234">
        <v>2</v>
      </c>
      <c r="I2234">
        <v>671</v>
      </c>
      <c r="J2234">
        <v>1993</v>
      </c>
      <c r="K2234" s="4">
        <v>44341</v>
      </c>
      <c r="L2234" t="s">
        <v>30</v>
      </c>
      <c r="M2234" t="s">
        <v>97</v>
      </c>
      <c r="N2234">
        <v>3.26</v>
      </c>
      <c r="O2234">
        <v>1902</v>
      </c>
      <c r="P2234">
        <v>3.39</v>
      </c>
      <c r="Q2234">
        <v>256</v>
      </c>
      <c r="R2234">
        <v>319</v>
      </c>
    </row>
    <row r="2235" spans="1:18" x14ac:dyDescent="0.2">
      <c r="A2235">
        <v>4</v>
      </c>
      <c r="B2235" t="s">
        <v>98</v>
      </c>
      <c r="E2235" t="s">
        <v>19</v>
      </c>
      <c r="F2235">
        <v>484242</v>
      </c>
      <c r="G2235">
        <v>3</v>
      </c>
      <c r="H2235">
        <v>3</v>
      </c>
      <c r="I2235">
        <v>564</v>
      </c>
      <c r="J2235">
        <v>2009</v>
      </c>
      <c r="K2235" s="4">
        <v>44922</v>
      </c>
      <c r="L2235" t="s">
        <v>20</v>
      </c>
      <c r="M2235" t="s">
        <v>85</v>
      </c>
      <c r="N2235">
        <v>1.68</v>
      </c>
      <c r="O2235">
        <v>1688</v>
      </c>
      <c r="P2235">
        <v>4.12</v>
      </c>
      <c r="Q2235">
        <v>225</v>
      </c>
      <c r="R2235">
        <v>658</v>
      </c>
    </row>
    <row r="2236" spans="1:18" x14ac:dyDescent="0.2">
      <c r="A2236">
        <v>3</v>
      </c>
      <c r="B2236" t="s">
        <v>28</v>
      </c>
      <c r="E2236" t="s">
        <v>51</v>
      </c>
      <c r="F2236">
        <v>1011300</v>
      </c>
      <c r="G2236">
        <v>3</v>
      </c>
      <c r="H2236">
        <v>3</v>
      </c>
      <c r="I2236">
        <v>629</v>
      </c>
      <c r="J2236">
        <v>1987</v>
      </c>
      <c r="K2236" s="4">
        <v>44303</v>
      </c>
      <c r="L2236" t="s">
        <v>30</v>
      </c>
      <c r="M2236" t="s">
        <v>76</v>
      </c>
      <c r="N2236">
        <v>1.57</v>
      </c>
      <c r="O2236">
        <v>2131</v>
      </c>
      <c r="P2236">
        <v>1.38</v>
      </c>
      <c r="Q2236">
        <v>179</v>
      </c>
      <c r="R2236">
        <v>306</v>
      </c>
    </row>
    <row r="2237" spans="1:18" x14ac:dyDescent="0.2">
      <c r="A2237">
        <v>2</v>
      </c>
      <c r="B2237" t="s">
        <v>94</v>
      </c>
      <c r="E2237" t="s">
        <v>36</v>
      </c>
      <c r="F2237">
        <v>2591192</v>
      </c>
      <c r="G2237">
        <v>4</v>
      </c>
      <c r="H2237">
        <v>1</v>
      </c>
      <c r="I2237">
        <v>483</v>
      </c>
      <c r="J2237">
        <v>1955</v>
      </c>
      <c r="K2237" s="4">
        <v>45115</v>
      </c>
      <c r="L2237" t="s">
        <v>23</v>
      </c>
      <c r="M2237" t="s">
        <v>52</v>
      </c>
      <c r="N2237">
        <v>3.14</v>
      </c>
      <c r="O2237">
        <v>2226</v>
      </c>
      <c r="P2237">
        <v>3.62</v>
      </c>
      <c r="Q2237">
        <v>193</v>
      </c>
      <c r="R2237">
        <v>419</v>
      </c>
    </row>
    <row r="2238" spans="1:18" x14ac:dyDescent="0.2">
      <c r="A2238">
        <v>1</v>
      </c>
      <c r="B2238" t="s">
        <v>106</v>
      </c>
      <c r="E2238" t="s">
        <v>19</v>
      </c>
      <c r="F2238">
        <v>2278858</v>
      </c>
      <c r="G2238">
        <v>1</v>
      </c>
      <c r="H2238">
        <v>3</v>
      </c>
      <c r="I2238">
        <v>881</v>
      </c>
      <c r="J2238">
        <v>1994</v>
      </c>
      <c r="K2238" s="4">
        <v>44946</v>
      </c>
      <c r="L2238" t="s">
        <v>23</v>
      </c>
      <c r="M2238" t="s">
        <v>42</v>
      </c>
      <c r="N2238">
        <v>2.1</v>
      </c>
      <c r="O2238">
        <v>1827</v>
      </c>
      <c r="P2238">
        <v>0.37</v>
      </c>
      <c r="Q2238">
        <v>112</v>
      </c>
      <c r="R2238">
        <v>697</v>
      </c>
    </row>
    <row r="2239" spans="1:18" x14ac:dyDescent="0.2">
      <c r="A2239">
        <v>0</v>
      </c>
      <c r="B2239" t="s">
        <v>88</v>
      </c>
      <c r="E2239" t="s">
        <v>36</v>
      </c>
      <c r="F2239">
        <v>2290622</v>
      </c>
      <c r="G2239">
        <v>1</v>
      </c>
      <c r="H2239">
        <v>2</v>
      </c>
      <c r="I2239">
        <v>141</v>
      </c>
      <c r="J2239">
        <v>1959</v>
      </c>
      <c r="K2239" s="4">
        <v>45865</v>
      </c>
      <c r="L2239" t="s">
        <v>26</v>
      </c>
      <c r="M2239" t="s">
        <v>68</v>
      </c>
      <c r="N2239">
        <v>3.14</v>
      </c>
      <c r="O2239">
        <v>2321</v>
      </c>
      <c r="P2239">
        <v>2.99</v>
      </c>
      <c r="Q2239">
        <v>127</v>
      </c>
      <c r="R2239">
        <v>368</v>
      </c>
    </row>
    <row r="2240" spans="1:18" x14ac:dyDescent="0.2">
      <c r="A2240">
        <v>4</v>
      </c>
      <c r="B2240" t="s">
        <v>34</v>
      </c>
      <c r="E2240" t="s">
        <v>19</v>
      </c>
      <c r="F2240">
        <v>2532597</v>
      </c>
      <c r="G2240">
        <v>1</v>
      </c>
      <c r="H2240">
        <v>1</v>
      </c>
      <c r="I2240">
        <v>570</v>
      </c>
      <c r="J2240">
        <v>1973</v>
      </c>
      <c r="K2240" s="4">
        <v>44454</v>
      </c>
      <c r="L2240" t="s">
        <v>30</v>
      </c>
      <c r="M2240" t="s">
        <v>58</v>
      </c>
      <c r="N2240">
        <v>2.9</v>
      </c>
      <c r="O2240">
        <v>2103</v>
      </c>
      <c r="P2240">
        <v>2.1800000000000002</v>
      </c>
      <c r="Q2240">
        <v>50</v>
      </c>
      <c r="R2240">
        <v>309</v>
      </c>
    </row>
    <row r="2241" spans="1:18" x14ac:dyDescent="0.2">
      <c r="A2241">
        <v>5</v>
      </c>
      <c r="B2241" t="s">
        <v>50</v>
      </c>
      <c r="E2241" t="s">
        <v>29</v>
      </c>
      <c r="F2241">
        <v>1853626</v>
      </c>
      <c r="G2241">
        <v>3</v>
      </c>
      <c r="H2241">
        <v>2</v>
      </c>
      <c r="I2241">
        <v>80</v>
      </c>
      <c r="J2241">
        <v>1962</v>
      </c>
      <c r="K2241" s="4">
        <v>45544</v>
      </c>
      <c r="L2241" t="s">
        <v>30</v>
      </c>
      <c r="M2241" t="s">
        <v>66</v>
      </c>
      <c r="N2241">
        <v>2.21</v>
      </c>
      <c r="O2241">
        <v>988</v>
      </c>
      <c r="P2241">
        <v>2.63</v>
      </c>
      <c r="Q2241">
        <v>275</v>
      </c>
      <c r="R2241">
        <v>597</v>
      </c>
    </row>
    <row r="2242" spans="1:18" x14ac:dyDescent="0.2">
      <c r="A2242">
        <v>3</v>
      </c>
      <c r="B2242" t="s">
        <v>99</v>
      </c>
      <c r="E2242" t="s">
        <v>19</v>
      </c>
      <c r="F2242">
        <v>2776850</v>
      </c>
      <c r="G2242">
        <v>5</v>
      </c>
      <c r="H2242">
        <v>1</v>
      </c>
      <c r="I2242">
        <v>780</v>
      </c>
      <c r="J2242">
        <v>1974</v>
      </c>
      <c r="K2242" s="4">
        <v>45537</v>
      </c>
      <c r="L2242" t="s">
        <v>23</v>
      </c>
      <c r="M2242" t="s">
        <v>60</v>
      </c>
      <c r="N2242">
        <v>2.92</v>
      </c>
      <c r="O2242">
        <v>1218</v>
      </c>
      <c r="P2242">
        <v>3.69</v>
      </c>
      <c r="Q2242">
        <v>389</v>
      </c>
      <c r="R2242">
        <v>344</v>
      </c>
    </row>
    <row r="2243" spans="1:18" x14ac:dyDescent="0.2">
      <c r="A2243">
        <v>9</v>
      </c>
      <c r="B2243" t="s">
        <v>43</v>
      </c>
      <c r="E2243" t="s">
        <v>29</v>
      </c>
      <c r="F2243">
        <v>2323664</v>
      </c>
      <c r="G2243">
        <v>3</v>
      </c>
      <c r="H2243">
        <v>2</v>
      </c>
      <c r="I2243">
        <v>777</v>
      </c>
      <c r="J2243">
        <v>1950</v>
      </c>
      <c r="K2243" s="4">
        <v>45885</v>
      </c>
      <c r="L2243" t="s">
        <v>23</v>
      </c>
      <c r="M2243" t="s">
        <v>82</v>
      </c>
      <c r="N2243">
        <v>3.48</v>
      </c>
      <c r="O2243">
        <v>883</v>
      </c>
      <c r="P2243">
        <v>4.2300000000000004</v>
      </c>
      <c r="Q2243">
        <v>143</v>
      </c>
      <c r="R2243">
        <v>477</v>
      </c>
    </row>
    <row r="2244" spans="1:18" x14ac:dyDescent="0.2">
      <c r="A2244">
        <v>4</v>
      </c>
      <c r="B2244" t="s">
        <v>98</v>
      </c>
      <c r="E2244" t="s">
        <v>19</v>
      </c>
      <c r="F2244">
        <v>2834177</v>
      </c>
      <c r="G2244">
        <v>4</v>
      </c>
      <c r="H2244">
        <v>3</v>
      </c>
      <c r="I2244">
        <v>943</v>
      </c>
      <c r="J2244">
        <v>1955</v>
      </c>
      <c r="K2244" s="4">
        <v>45480</v>
      </c>
      <c r="L2244" t="s">
        <v>23</v>
      </c>
      <c r="M2244" t="s">
        <v>70</v>
      </c>
      <c r="N2244">
        <v>2.84</v>
      </c>
      <c r="O2244">
        <v>2416</v>
      </c>
      <c r="P2244">
        <v>2.31</v>
      </c>
      <c r="Q2244">
        <v>369</v>
      </c>
      <c r="R2244">
        <v>368</v>
      </c>
    </row>
    <row r="2245" spans="1:18" x14ac:dyDescent="0.2">
      <c r="A2245">
        <v>7</v>
      </c>
      <c r="B2245" t="s">
        <v>94</v>
      </c>
      <c r="E2245" t="s">
        <v>36</v>
      </c>
      <c r="F2245">
        <v>2829399</v>
      </c>
      <c r="G2245">
        <v>1</v>
      </c>
      <c r="H2245">
        <v>3</v>
      </c>
      <c r="I2245">
        <v>891</v>
      </c>
      <c r="J2245">
        <v>2001</v>
      </c>
      <c r="K2245" s="4">
        <v>45713</v>
      </c>
      <c r="L2245" t="s">
        <v>30</v>
      </c>
      <c r="M2245" t="s">
        <v>31</v>
      </c>
      <c r="N2245">
        <v>2.57</v>
      </c>
      <c r="O2245">
        <v>1182</v>
      </c>
      <c r="P2245">
        <v>0.39</v>
      </c>
      <c r="Q2245">
        <v>94</v>
      </c>
      <c r="R2245">
        <v>356</v>
      </c>
    </row>
    <row r="2246" spans="1:18" x14ac:dyDescent="0.2">
      <c r="A2246">
        <v>2</v>
      </c>
      <c r="B2246" t="s">
        <v>48</v>
      </c>
      <c r="E2246" t="s">
        <v>51</v>
      </c>
      <c r="F2246">
        <v>1008120</v>
      </c>
      <c r="G2246">
        <v>3</v>
      </c>
      <c r="H2246">
        <v>1</v>
      </c>
      <c r="I2246">
        <v>692</v>
      </c>
      <c r="J2246">
        <v>1979</v>
      </c>
      <c r="K2246" s="4">
        <v>44072</v>
      </c>
      <c r="L2246" t="s">
        <v>20</v>
      </c>
      <c r="M2246" t="s">
        <v>40</v>
      </c>
      <c r="N2246">
        <v>2.41</v>
      </c>
      <c r="O2246">
        <v>2127</v>
      </c>
      <c r="P2246">
        <v>4.58</v>
      </c>
      <c r="Q2246">
        <v>249</v>
      </c>
      <c r="R2246">
        <v>398</v>
      </c>
    </row>
    <row r="2247" spans="1:18" x14ac:dyDescent="0.2">
      <c r="A2247">
        <v>3</v>
      </c>
      <c r="B2247" t="s">
        <v>55</v>
      </c>
      <c r="E2247" t="s">
        <v>36</v>
      </c>
      <c r="F2247">
        <v>2212705</v>
      </c>
      <c r="G2247">
        <v>3</v>
      </c>
      <c r="H2247">
        <v>2</v>
      </c>
      <c r="I2247">
        <v>667</v>
      </c>
      <c r="J2247">
        <v>2012</v>
      </c>
      <c r="K2247" s="4">
        <v>44440</v>
      </c>
      <c r="L2247" t="s">
        <v>23</v>
      </c>
      <c r="M2247" t="s">
        <v>52</v>
      </c>
      <c r="N2247">
        <v>2.13</v>
      </c>
      <c r="O2247">
        <v>1730</v>
      </c>
      <c r="P2247">
        <v>1.76</v>
      </c>
      <c r="Q2247">
        <v>141</v>
      </c>
      <c r="R2247">
        <v>370</v>
      </c>
    </row>
    <row r="2248" spans="1:18" x14ac:dyDescent="0.2">
      <c r="A2248">
        <v>0</v>
      </c>
      <c r="B2248" t="s">
        <v>50</v>
      </c>
      <c r="E2248" t="s">
        <v>51</v>
      </c>
      <c r="F2248">
        <v>1858147</v>
      </c>
      <c r="G2248">
        <v>5</v>
      </c>
      <c r="H2248">
        <v>2</v>
      </c>
      <c r="I2248">
        <v>917</v>
      </c>
      <c r="J2248">
        <v>1954</v>
      </c>
      <c r="K2248" s="4">
        <v>44971</v>
      </c>
      <c r="L2248" t="s">
        <v>26</v>
      </c>
      <c r="M2248" t="s">
        <v>56</v>
      </c>
      <c r="N2248">
        <v>2.7</v>
      </c>
      <c r="O2248">
        <v>1308</v>
      </c>
      <c r="P2248">
        <v>3.36</v>
      </c>
      <c r="Q2248">
        <v>296</v>
      </c>
      <c r="R2248">
        <v>492</v>
      </c>
    </row>
    <row r="2249" spans="1:18" x14ac:dyDescent="0.2">
      <c r="A2249">
        <v>3</v>
      </c>
      <c r="B2249" t="s">
        <v>75</v>
      </c>
      <c r="E2249" t="s">
        <v>19</v>
      </c>
      <c r="F2249">
        <v>2854122</v>
      </c>
      <c r="G2249">
        <v>1</v>
      </c>
      <c r="H2249">
        <v>3</v>
      </c>
      <c r="I2249">
        <v>957</v>
      </c>
      <c r="J2249">
        <v>1955</v>
      </c>
      <c r="K2249" s="4">
        <v>45840</v>
      </c>
      <c r="L2249" t="s">
        <v>26</v>
      </c>
      <c r="M2249" t="s">
        <v>35</v>
      </c>
      <c r="N2249">
        <v>2.67</v>
      </c>
      <c r="O2249">
        <v>1307</v>
      </c>
      <c r="P2249">
        <v>3.78</v>
      </c>
      <c r="Q2249">
        <v>152</v>
      </c>
      <c r="R2249">
        <v>392</v>
      </c>
    </row>
    <row r="2250" spans="1:18" x14ac:dyDescent="0.2">
      <c r="A2250">
        <v>3</v>
      </c>
      <c r="B2250" t="s">
        <v>93</v>
      </c>
      <c r="E2250" t="s">
        <v>29</v>
      </c>
      <c r="F2250">
        <v>2169406</v>
      </c>
      <c r="G2250">
        <v>4</v>
      </c>
      <c r="H2250">
        <v>1</v>
      </c>
      <c r="I2250">
        <v>802</v>
      </c>
      <c r="J2250">
        <v>1956</v>
      </c>
      <c r="K2250" s="4">
        <v>44533</v>
      </c>
      <c r="L2250" t="s">
        <v>26</v>
      </c>
      <c r="M2250" t="s">
        <v>68</v>
      </c>
      <c r="N2250">
        <v>1.64</v>
      </c>
      <c r="O2250">
        <v>2084</v>
      </c>
      <c r="P2250">
        <v>0.42</v>
      </c>
      <c r="Q2250">
        <v>342</v>
      </c>
      <c r="R2250">
        <v>656</v>
      </c>
    </row>
    <row r="2251" spans="1:18" x14ac:dyDescent="0.2">
      <c r="A2251">
        <v>4</v>
      </c>
      <c r="B2251" t="s">
        <v>90</v>
      </c>
      <c r="E2251" t="s">
        <v>51</v>
      </c>
      <c r="F2251">
        <v>2626823</v>
      </c>
      <c r="G2251">
        <v>1</v>
      </c>
      <c r="H2251">
        <v>2</v>
      </c>
      <c r="I2251">
        <v>279</v>
      </c>
      <c r="J2251">
        <v>1976</v>
      </c>
      <c r="K2251" s="4">
        <v>44301</v>
      </c>
      <c r="L2251" t="s">
        <v>20</v>
      </c>
      <c r="M2251" t="s">
        <v>97</v>
      </c>
      <c r="N2251">
        <v>2.4300000000000002</v>
      </c>
      <c r="O2251">
        <v>2059</v>
      </c>
      <c r="P2251">
        <v>3.11</v>
      </c>
      <c r="Q2251">
        <v>137</v>
      </c>
      <c r="R2251">
        <v>557</v>
      </c>
    </row>
    <row r="2252" spans="1:18" x14ac:dyDescent="0.2">
      <c r="A2252">
        <v>9</v>
      </c>
      <c r="B2252" t="s">
        <v>34</v>
      </c>
      <c r="E2252" t="s">
        <v>29</v>
      </c>
      <c r="F2252">
        <v>1897479</v>
      </c>
      <c r="G2252">
        <v>5</v>
      </c>
      <c r="H2252">
        <v>3</v>
      </c>
      <c r="I2252">
        <v>539</v>
      </c>
      <c r="J2252">
        <v>1987</v>
      </c>
      <c r="K2252" s="4">
        <v>45308</v>
      </c>
      <c r="L2252" t="s">
        <v>26</v>
      </c>
      <c r="M2252" t="s">
        <v>76</v>
      </c>
      <c r="N2252">
        <v>3.36</v>
      </c>
      <c r="O2252">
        <v>1608</v>
      </c>
      <c r="P2252">
        <v>3.57</v>
      </c>
      <c r="Q2252">
        <v>362</v>
      </c>
      <c r="R2252">
        <v>625</v>
      </c>
    </row>
    <row r="2253" spans="1:18" x14ac:dyDescent="0.2">
      <c r="A2253">
        <v>0</v>
      </c>
      <c r="B2253" t="s">
        <v>46</v>
      </c>
      <c r="E2253" t="s">
        <v>36</v>
      </c>
      <c r="F2253">
        <v>480084</v>
      </c>
      <c r="G2253">
        <v>2</v>
      </c>
      <c r="H2253">
        <v>3</v>
      </c>
      <c r="I2253">
        <v>940</v>
      </c>
      <c r="J2253">
        <v>1958</v>
      </c>
      <c r="K2253" s="4">
        <v>45269</v>
      </c>
      <c r="L2253" t="s">
        <v>20</v>
      </c>
      <c r="M2253" t="s">
        <v>24</v>
      </c>
      <c r="N2253">
        <v>2.06</v>
      </c>
      <c r="O2253">
        <v>2127</v>
      </c>
      <c r="P2253">
        <v>1.85</v>
      </c>
      <c r="Q2253">
        <v>154</v>
      </c>
      <c r="R2253">
        <v>664</v>
      </c>
    </row>
    <row r="2254" spans="1:18" x14ac:dyDescent="0.2">
      <c r="A2254">
        <v>5</v>
      </c>
      <c r="B2254" t="s">
        <v>67</v>
      </c>
      <c r="E2254" t="s">
        <v>51</v>
      </c>
      <c r="F2254">
        <v>2624270</v>
      </c>
      <c r="G2254">
        <v>1</v>
      </c>
      <c r="H2254">
        <v>1</v>
      </c>
      <c r="I2254">
        <v>562</v>
      </c>
      <c r="J2254">
        <v>1965</v>
      </c>
      <c r="K2254" s="4">
        <v>45498</v>
      </c>
      <c r="L2254" t="s">
        <v>23</v>
      </c>
      <c r="M2254" t="s">
        <v>35</v>
      </c>
      <c r="N2254">
        <v>1.95</v>
      </c>
      <c r="O2254">
        <v>1505</v>
      </c>
      <c r="P2254">
        <v>2.5499999999999998</v>
      </c>
      <c r="Q2254">
        <v>134</v>
      </c>
      <c r="R2254">
        <v>670</v>
      </c>
    </row>
    <row r="2255" spans="1:18" x14ac:dyDescent="0.2">
      <c r="A2255">
        <v>2</v>
      </c>
      <c r="B2255" t="s">
        <v>92</v>
      </c>
      <c r="E2255" t="s">
        <v>36</v>
      </c>
      <c r="F2255">
        <v>1035834</v>
      </c>
      <c r="G2255">
        <v>2</v>
      </c>
      <c r="H2255">
        <v>1</v>
      </c>
      <c r="I2255">
        <v>786</v>
      </c>
      <c r="J2255">
        <v>1991</v>
      </c>
      <c r="K2255" s="4">
        <v>44601</v>
      </c>
      <c r="L2255" t="s">
        <v>23</v>
      </c>
      <c r="M2255" t="s">
        <v>68</v>
      </c>
      <c r="N2255">
        <v>2.4300000000000002</v>
      </c>
      <c r="O2255">
        <v>809</v>
      </c>
      <c r="P2255">
        <v>4.8600000000000003</v>
      </c>
      <c r="Q2255">
        <v>169</v>
      </c>
      <c r="R2255">
        <v>645</v>
      </c>
    </row>
    <row r="2256" spans="1:18" x14ac:dyDescent="0.2">
      <c r="A2256">
        <v>8</v>
      </c>
      <c r="B2256" t="s">
        <v>46</v>
      </c>
      <c r="E2256" t="s">
        <v>19</v>
      </c>
      <c r="F2256">
        <v>1839764</v>
      </c>
      <c r="G2256">
        <v>2</v>
      </c>
      <c r="H2256">
        <v>2</v>
      </c>
      <c r="I2256">
        <v>689</v>
      </c>
      <c r="J2256">
        <v>1987</v>
      </c>
      <c r="K2256" s="4">
        <v>44204</v>
      </c>
      <c r="L2256" t="s">
        <v>23</v>
      </c>
      <c r="M2256" t="s">
        <v>45</v>
      </c>
      <c r="N2256">
        <v>2.81</v>
      </c>
      <c r="O2256">
        <v>1041</v>
      </c>
      <c r="P2256">
        <v>2.0099999999999998</v>
      </c>
      <c r="Q2256">
        <v>121</v>
      </c>
      <c r="R2256">
        <v>515</v>
      </c>
    </row>
    <row r="2257" spans="1:18" x14ac:dyDescent="0.2">
      <c r="A2257">
        <v>3</v>
      </c>
      <c r="B2257" t="s">
        <v>104</v>
      </c>
      <c r="E2257" t="s">
        <v>19</v>
      </c>
      <c r="F2257">
        <v>618910</v>
      </c>
      <c r="G2257">
        <v>5</v>
      </c>
      <c r="H2257">
        <v>1</v>
      </c>
      <c r="I2257">
        <v>350</v>
      </c>
      <c r="J2257">
        <v>1958</v>
      </c>
      <c r="K2257" s="4">
        <v>44741</v>
      </c>
      <c r="L2257" t="s">
        <v>20</v>
      </c>
      <c r="M2257" t="s">
        <v>58</v>
      </c>
      <c r="N2257">
        <v>1.68</v>
      </c>
      <c r="O2257">
        <v>1003</v>
      </c>
      <c r="P2257">
        <v>2.77</v>
      </c>
      <c r="Q2257">
        <v>330</v>
      </c>
      <c r="R2257">
        <v>581</v>
      </c>
    </row>
    <row r="2258" spans="1:18" x14ac:dyDescent="0.2">
      <c r="A2258">
        <v>2</v>
      </c>
      <c r="B2258" t="s">
        <v>62</v>
      </c>
      <c r="E2258" t="s">
        <v>36</v>
      </c>
      <c r="F2258">
        <v>939804</v>
      </c>
      <c r="G2258">
        <v>4</v>
      </c>
      <c r="H2258">
        <v>3</v>
      </c>
      <c r="I2258">
        <v>69</v>
      </c>
      <c r="J2258">
        <v>2017</v>
      </c>
      <c r="K2258" s="4">
        <v>44508</v>
      </c>
      <c r="L2258" t="s">
        <v>20</v>
      </c>
      <c r="M2258" t="s">
        <v>69</v>
      </c>
      <c r="N2258">
        <v>3.33</v>
      </c>
      <c r="O2258">
        <v>1824</v>
      </c>
      <c r="P2258">
        <v>3.74</v>
      </c>
      <c r="Q2258">
        <v>236</v>
      </c>
      <c r="R2258">
        <v>603</v>
      </c>
    </row>
    <row r="2259" spans="1:18" x14ac:dyDescent="0.2">
      <c r="A2259">
        <v>7</v>
      </c>
      <c r="B2259" t="s">
        <v>18</v>
      </c>
      <c r="E2259" t="s">
        <v>19</v>
      </c>
      <c r="F2259">
        <v>2236992</v>
      </c>
      <c r="G2259">
        <v>5</v>
      </c>
      <c r="H2259">
        <v>2</v>
      </c>
      <c r="I2259">
        <v>770</v>
      </c>
      <c r="J2259">
        <v>1997</v>
      </c>
      <c r="K2259" s="4">
        <v>44278</v>
      </c>
      <c r="L2259" t="s">
        <v>23</v>
      </c>
      <c r="M2259" t="s">
        <v>77</v>
      </c>
      <c r="N2259">
        <v>1.95</v>
      </c>
      <c r="O2259">
        <v>1788</v>
      </c>
      <c r="P2259">
        <v>2.85</v>
      </c>
      <c r="Q2259">
        <v>369</v>
      </c>
      <c r="R2259">
        <v>662</v>
      </c>
    </row>
    <row r="2260" spans="1:18" x14ac:dyDescent="0.2">
      <c r="A2260">
        <v>1</v>
      </c>
      <c r="B2260" t="s">
        <v>92</v>
      </c>
      <c r="E2260" t="s">
        <v>29</v>
      </c>
      <c r="F2260">
        <v>512244</v>
      </c>
      <c r="G2260">
        <v>4</v>
      </c>
      <c r="H2260">
        <v>1</v>
      </c>
      <c r="I2260">
        <v>338</v>
      </c>
      <c r="J2260">
        <v>1968</v>
      </c>
      <c r="K2260" s="4">
        <v>45548</v>
      </c>
      <c r="L2260" t="s">
        <v>23</v>
      </c>
      <c r="M2260" t="s">
        <v>68</v>
      </c>
      <c r="N2260">
        <v>1.86</v>
      </c>
      <c r="O2260">
        <v>1229</v>
      </c>
      <c r="P2260">
        <v>3.14</v>
      </c>
      <c r="Q2260">
        <v>377</v>
      </c>
      <c r="R2260">
        <v>545</v>
      </c>
    </row>
    <row r="2261" spans="1:18" x14ac:dyDescent="0.2">
      <c r="A2261">
        <v>2</v>
      </c>
      <c r="B2261" t="s">
        <v>25</v>
      </c>
      <c r="E2261" t="s">
        <v>51</v>
      </c>
      <c r="F2261">
        <v>2518426</v>
      </c>
      <c r="G2261">
        <v>3</v>
      </c>
      <c r="H2261">
        <v>1</v>
      </c>
      <c r="I2261">
        <v>932</v>
      </c>
      <c r="J2261">
        <v>1986</v>
      </c>
      <c r="K2261" s="4">
        <v>44625</v>
      </c>
      <c r="L2261" t="s">
        <v>26</v>
      </c>
      <c r="M2261" t="s">
        <v>27</v>
      </c>
      <c r="N2261">
        <v>3.25</v>
      </c>
      <c r="O2261">
        <v>1580</v>
      </c>
      <c r="P2261">
        <v>3.04</v>
      </c>
      <c r="Q2261">
        <v>112</v>
      </c>
      <c r="R2261">
        <v>344</v>
      </c>
    </row>
    <row r="2262" spans="1:18" x14ac:dyDescent="0.2">
      <c r="A2262">
        <v>8</v>
      </c>
      <c r="B2262" t="s">
        <v>64</v>
      </c>
      <c r="E2262" t="s">
        <v>36</v>
      </c>
      <c r="F2262">
        <v>1779935</v>
      </c>
      <c r="G2262">
        <v>3</v>
      </c>
      <c r="H2262">
        <v>3</v>
      </c>
      <c r="I2262">
        <v>399</v>
      </c>
      <c r="J2262">
        <v>1967</v>
      </c>
      <c r="K2262" s="4">
        <v>44253</v>
      </c>
      <c r="L2262" t="s">
        <v>20</v>
      </c>
      <c r="M2262" t="s">
        <v>56</v>
      </c>
      <c r="N2262">
        <v>3.25</v>
      </c>
      <c r="O2262">
        <v>1274</v>
      </c>
      <c r="P2262">
        <v>1.19</v>
      </c>
      <c r="Q2262">
        <v>131</v>
      </c>
      <c r="R2262">
        <v>687</v>
      </c>
    </row>
    <row r="2263" spans="1:18" x14ac:dyDescent="0.2">
      <c r="A2263">
        <v>7</v>
      </c>
      <c r="B2263" t="s">
        <v>25</v>
      </c>
      <c r="E2263" t="s">
        <v>51</v>
      </c>
      <c r="F2263">
        <v>1474876</v>
      </c>
      <c r="G2263">
        <v>6</v>
      </c>
      <c r="H2263">
        <v>3</v>
      </c>
      <c r="I2263">
        <v>193</v>
      </c>
      <c r="J2263">
        <v>1969</v>
      </c>
      <c r="K2263" s="4">
        <v>44450</v>
      </c>
      <c r="L2263" t="s">
        <v>30</v>
      </c>
      <c r="M2263" t="s">
        <v>47</v>
      </c>
      <c r="N2263">
        <v>3.44</v>
      </c>
      <c r="O2263">
        <v>2084</v>
      </c>
      <c r="P2263">
        <v>3.7</v>
      </c>
      <c r="Q2263">
        <v>339</v>
      </c>
      <c r="R2263">
        <v>367</v>
      </c>
    </row>
    <row r="2264" spans="1:18" x14ac:dyDescent="0.2">
      <c r="A2264">
        <v>3</v>
      </c>
      <c r="B2264" t="s">
        <v>98</v>
      </c>
      <c r="E2264" t="s">
        <v>19</v>
      </c>
      <c r="F2264">
        <v>2079637</v>
      </c>
      <c r="G2264">
        <v>2</v>
      </c>
      <c r="H2264">
        <v>3</v>
      </c>
      <c r="I2264">
        <v>871</v>
      </c>
      <c r="J2264">
        <v>1961</v>
      </c>
      <c r="K2264" s="4">
        <v>45306</v>
      </c>
      <c r="L2264" t="s">
        <v>26</v>
      </c>
      <c r="M2264" t="s">
        <v>21</v>
      </c>
      <c r="N2264">
        <v>2.35</v>
      </c>
      <c r="O2264">
        <v>1326</v>
      </c>
      <c r="P2264">
        <v>1.25</v>
      </c>
      <c r="Q2264">
        <v>151</v>
      </c>
      <c r="R2264">
        <v>522</v>
      </c>
    </row>
    <row r="2265" spans="1:18" x14ac:dyDescent="0.2">
      <c r="A2265">
        <v>6</v>
      </c>
      <c r="B2265" t="s">
        <v>81</v>
      </c>
      <c r="E2265" t="s">
        <v>51</v>
      </c>
      <c r="F2265">
        <v>2115389</v>
      </c>
      <c r="G2265">
        <v>3</v>
      </c>
      <c r="H2265">
        <v>2</v>
      </c>
      <c r="I2265">
        <v>747</v>
      </c>
      <c r="J2265">
        <v>1998</v>
      </c>
      <c r="K2265" s="4">
        <v>45491</v>
      </c>
      <c r="L2265" t="s">
        <v>20</v>
      </c>
      <c r="M2265" t="s">
        <v>70</v>
      </c>
      <c r="N2265">
        <v>1.57</v>
      </c>
      <c r="O2265">
        <v>2266</v>
      </c>
      <c r="P2265">
        <v>3.29</v>
      </c>
      <c r="Q2265">
        <v>312</v>
      </c>
      <c r="R2265">
        <v>620</v>
      </c>
    </row>
    <row r="2266" spans="1:18" x14ac:dyDescent="0.2">
      <c r="A2266">
        <v>2</v>
      </c>
      <c r="B2266" t="s">
        <v>75</v>
      </c>
      <c r="E2266" t="s">
        <v>19</v>
      </c>
      <c r="F2266">
        <v>1982889</v>
      </c>
      <c r="G2266">
        <v>3</v>
      </c>
      <c r="H2266">
        <v>3</v>
      </c>
      <c r="I2266">
        <v>698</v>
      </c>
      <c r="J2266">
        <v>2021</v>
      </c>
      <c r="K2266" s="4">
        <v>45840</v>
      </c>
      <c r="L2266" t="s">
        <v>26</v>
      </c>
      <c r="M2266" t="s">
        <v>24</v>
      </c>
      <c r="N2266">
        <v>2.04</v>
      </c>
      <c r="O2266">
        <v>2179</v>
      </c>
      <c r="P2266">
        <v>2.1800000000000002</v>
      </c>
      <c r="Q2266">
        <v>190</v>
      </c>
      <c r="R2266">
        <v>565</v>
      </c>
    </row>
    <row r="2267" spans="1:18" x14ac:dyDescent="0.2">
      <c r="A2267">
        <v>9</v>
      </c>
      <c r="B2267" t="s">
        <v>32</v>
      </c>
      <c r="E2267" t="s">
        <v>51</v>
      </c>
      <c r="F2267">
        <v>2622329</v>
      </c>
      <c r="G2267">
        <v>3</v>
      </c>
      <c r="H2267">
        <v>1</v>
      </c>
      <c r="I2267">
        <v>995</v>
      </c>
      <c r="J2267">
        <v>1961</v>
      </c>
      <c r="K2267" s="4">
        <v>45566</v>
      </c>
      <c r="L2267" t="s">
        <v>23</v>
      </c>
      <c r="M2267" t="s">
        <v>63</v>
      </c>
      <c r="N2267">
        <v>3.32</v>
      </c>
      <c r="O2267">
        <v>1199</v>
      </c>
      <c r="P2267">
        <v>4.1100000000000003</v>
      </c>
      <c r="Q2267">
        <v>194</v>
      </c>
      <c r="R2267">
        <v>586</v>
      </c>
    </row>
    <row r="2268" spans="1:18" x14ac:dyDescent="0.2">
      <c r="A2268">
        <v>2</v>
      </c>
      <c r="B2268" t="s">
        <v>88</v>
      </c>
      <c r="E2268" t="s">
        <v>36</v>
      </c>
      <c r="F2268">
        <v>1413948</v>
      </c>
      <c r="G2268">
        <v>4</v>
      </c>
      <c r="H2268">
        <v>1</v>
      </c>
      <c r="I2268">
        <v>156</v>
      </c>
      <c r="J2268">
        <v>1976</v>
      </c>
      <c r="K2268" s="4">
        <v>44161</v>
      </c>
      <c r="L2268" t="s">
        <v>30</v>
      </c>
      <c r="M2268" t="s">
        <v>66</v>
      </c>
      <c r="N2268">
        <v>1.89</v>
      </c>
      <c r="O2268">
        <v>1669</v>
      </c>
      <c r="P2268">
        <v>1.07</v>
      </c>
      <c r="Q2268">
        <v>370</v>
      </c>
      <c r="R2268">
        <v>377</v>
      </c>
    </row>
    <row r="2269" spans="1:18" x14ac:dyDescent="0.2">
      <c r="A2269">
        <v>2</v>
      </c>
      <c r="B2269" t="s">
        <v>101</v>
      </c>
      <c r="E2269" t="s">
        <v>29</v>
      </c>
      <c r="F2269">
        <v>1348741</v>
      </c>
      <c r="G2269">
        <v>1</v>
      </c>
      <c r="H2269">
        <v>1</v>
      </c>
      <c r="I2269">
        <v>471</v>
      </c>
      <c r="J2269">
        <v>1976</v>
      </c>
      <c r="K2269" s="4">
        <v>45125</v>
      </c>
      <c r="L2269" t="s">
        <v>26</v>
      </c>
      <c r="M2269" t="s">
        <v>70</v>
      </c>
      <c r="N2269">
        <v>2.29</v>
      </c>
      <c r="O2269">
        <v>1471</v>
      </c>
      <c r="P2269">
        <v>4.2</v>
      </c>
      <c r="Q2269">
        <v>104</v>
      </c>
      <c r="R2269">
        <v>670</v>
      </c>
    </row>
    <row r="2270" spans="1:18" x14ac:dyDescent="0.2">
      <c r="A2270">
        <v>0</v>
      </c>
      <c r="B2270" t="s">
        <v>99</v>
      </c>
      <c r="E2270" t="s">
        <v>29</v>
      </c>
      <c r="F2270">
        <v>2395636</v>
      </c>
      <c r="G2270">
        <v>5</v>
      </c>
      <c r="H2270">
        <v>3</v>
      </c>
      <c r="I2270">
        <v>615</v>
      </c>
      <c r="J2270">
        <v>2022</v>
      </c>
      <c r="K2270" s="4">
        <v>45410</v>
      </c>
      <c r="L2270" t="s">
        <v>26</v>
      </c>
      <c r="M2270" t="s">
        <v>69</v>
      </c>
      <c r="N2270">
        <v>1.59</v>
      </c>
      <c r="O2270">
        <v>1658</v>
      </c>
      <c r="P2270">
        <v>3.15</v>
      </c>
      <c r="Q2270">
        <v>250</v>
      </c>
      <c r="R2270">
        <v>689</v>
      </c>
    </row>
    <row r="2271" spans="1:18" x14ac:dyDescent="0.2">
      <c r="A2271">
        <v>5</v>
      </c>
      <c r="B2271" t="s">
        <v>93</v>
      </c>
      <c r="E2271" t="s">
        <v>19</v>
      </c>
      <c r="F2271">
        <v>651942</v>
      </c>
      <c r="G2271">
        <v>5</v>
      </c>
      <c r="H2271">
        <v>3</v>
      </c>
      <c r="I2271">
        <v>615</v>
      </c>
      <c r="J2271">
        <v>1975</v>
      </c>
      <c r="K2271" s="4">
        <v>44177</v>
      </c>
      <c r="L2271" t="s">
        <v>30</v>
      </c>
      <c r="M2271" t="s">
        <v>59</v>
      </c>
      <c r="N2271">
        <v>2.92</v>
      </c>
      <c r="O2271">
        <v>2266</v>
      </c>
      <c r="P2271">
        <v>3.98</v>
      </c>
      <c r="Q2271">
        <v>270</v>
      </c>
      <c r="R2271">
        <v>310</v>
      </c>
    </row>
    <row r="2272" spans="1:18" x14ac:dyDescent="0.2">
      <c r="A2272">
        <v>7</v>
      </c>
      <c r="B2272" t="s">
        <v>55</v>
      </c>
      <c r="E2272" t="s">
        <v>36</v>
      </c>
      <c r="F2272">
        <v>1160664</v>
      </c>
      <c r="G2272">
        <v>4</v>
      </c>
      <c r="H2272">
        <v>1</v>
      </c>
      <c r="I2272">
        <v>213</v>
      </c>
      <c r="J2272">
        <v>1960</v>
      </c>
      <c r="K2272" s="4">
        <v>44449</v>
      </c>
      <c r="L2272" t="s">
        <v>26</v>
      </c>
      <c r="M2272" t="s">
        <v>45</v>
      </c>
      <c r="N2272">
        <v>2.41</v>
      </c>
      <c r="O2272">
        <v>1596</v>
      </c>
      <c r="P2272">
        <v>3.53</v>
      </c>
      <c r="Q2272">
        <v>278</v>
      </c>
      <c r="R2272">
        <v>417</v>
      </c>
    </row>
    <row r="2273" spans="1:18" x14ac:dyDescent="0.2">
      <c r="A2273">
        <v>2</v>
      </c>
      <c r="B2273" t="s">
        <v>100</v>
      </c>
      <c r="E2273" t="s">
        <v>19</v>
      </c>
      <c r="F2273">
        <v>1263308</v>
      </c>
      <c r="G2273">
        <v>5</v>
      </c>
      <c r="H2273">
        <v>2</v>
      </c>
      <c r="I2273">
        <v>170</v>
      </c>
      <c r="J2273">
        <v>1992</v>
      </c>
      <c r="K2273" s="4">
        <v>45806</v>
      </c>
      <c r="L2273" t="s">
        <v>30</v>
      </c>
      <c r="M2273" t="s">
        <v>56</v>
      </c>
      <c r="N2273">
        <v>3.07</v>
      </c>
      <c r="O2273">
        <v>2468</v>
      </c>
      <c r="P2273">
        <v>1.84</v>
      </c>
      <c r="Q2273">
        <v>322</v>
      </c>
      <c r="R2273">
        <v>457</v>
      </c>
    </row>
    <row r="2274" spans="1:18" x14ac:dyDescent="0.2">
      <c r="A2274">
        <v>2</v>
      </c>
      <c r="B2274" t="s">
        <v>79</v>
      </c>
      <c r="E2274" t="s">
        <v>19</v>
      </c>
      <c r="F2274">
        <v>714609</v>
      </c>
      <c r="G2274">
        <v>2</v>
      </c>
      <c r="H2274">
        <v>1</v>
      </c>
      <c r="I2274">
        <v>298</v>
      </c>
      <c r="J2274">
        <v>2015</v>
      </c>
      <c r="K2274" s="4">
        <v>45155</v>
      </c>
      <c r="L2274" t="s">
        <v>30</v>
      </c>
      <c r="M2274" t="s">
        <v>70</v>
      </c>
      <c r="N2274">
        <v>1.53</v>
      </c>
      <c r="O2274">
        <v>1970</v>
      </c>
      <c r="P2274">
        <v>4.24</v>
      </c>
      <c r="Q2274">
        <v>221</v>
      </c>
      <c r="R2274">
        <v>668</v>
      </c>
    </row>
    <row r="2275" spans="1:18" x14ac:dyDescent="0.2">
      <c r="A2275">
        <v>9</v>
      </c>
      <c r="B2275" t="s">
        <v>84</v>
      </c>
      <c r="E2275" t="s">
        <v>51</v>
      </c>
      <c r="F2275">
        <v>1910032</v>
      </c>
      <c r="G2275">
        <v>3</v>
      </c>
      <c r="H2275">
        <v>2</v>
      </c>
      <c r="I2275">
        <v>103</v>
      </c>
      <c r="J2275">
        <v>1971</v>
      </c>
      <c r="K2275" s="4">
        <v>44463</v>
      </c>
      <c r="L2275" t="s">
        <v>20</v>
      </c>
      <c r="M2275" t="s">
        <v>58</v>
      </c>
      <c r="N2275">
        <v>1.69</v>
      </c>
      <c r="O2275">
        <v>2183</v>
      </c>
      <c r="P2275">
        <v>4.7300000000000004</v>
      </c>
      <c r="Q2275">
        <v>212</v>
      </c>
      <c r="R2275">
        <v>366</v>
      </c>
    </row>
    <row r="2276" spans="1:18" x14ac:dyDescent="0.2">
      <c r="A2276">
        <v>6</v>
      </c>
      <c r="B2276" t="s">
        <v>99</v>
      </c>
      <c r="E2276" t="s">
        <v>29</v>
      </c>
      <c r="F2276">
        <v>794503</v>
      </c>
      <c r="G2276">
        <v>4</v>
      </c>
      <c r="H2276">
        <v>1</v>
      </c>
      <c r="I2276">
        <v>105</v>
      </c>
      <c r="J2276">
        <v>1989</v>
      </c>
      <c r="K2276" s="4">
        <v>44596</v>
      </c>
      <c r="L2276" t="s">
        <v>20</v>
      </c>
      <c r="M2276" t="s">
        <v>59</v>
      </c>
      <c r="N2276">
        <v>1.7</v>
      </c>
      <c r="O2276">
        <v>1102</v>
      </c>
      <c r="P2276">
        <v>0.86</v>
      </c>
      <c r="Q2276">
        <v>215</v>
      </c>
      <c r="R2276">
        <v>628</v>
      </c>
    </row>
    <row r="2277" spans="1:18" x14ac:dyDescent="0.2">
      <c r="A2277">
        <v>5</v>
      </c>
      <c r="B2277" t="s">
        <v>41</v>
      </c>
      <c r="E2277" t="s">
        <v>36</v>
      </c>
      <c r="F2277">
        <v>877257</v>
      </c>
      <c r="G2277">
        <v>3</v>
      </c>
      <c r="H2277">
        <v>3</v>
      </c>
      <c r="I2277">
        <v>556</v>
      </c>
      <c r="J2277">
        <v>1977</v>
      </c>
      <c r="K2277" s="4">
        <v>44474</v>
      </c>
      <c r="L2277" t="s">
        <v>30</v>
      </c>
      <c r="M2277" t="s">
        <v>24</v>
      </c>
      <c r="N2277">
        <v>2.35</v>
      </c>
      <c r="O2277">
        <v>1835</v>
      </c>
      <c r="P2277">
        <v>3.37</v>
      </c>
      <c r="Q2277">
        <v>208</v>
      </c>
      <c r="R2277">
        <v>684</v>
      </c>
    </row>
    <row r="2278" spans="1:18" x14ac:dyDescent="0.2">
      <c r="A2278">
        <v>8</v>
      </c>
      <c r="B2278" t="s">
        <v>72</v>
      </c>
      <c r="E2278" t="s">
        <v>51</v>
      </c>
      <c r="F2278">
        <v>1569949</v>
      </c>
      <c r="G2278">
        <v>4</v>
      </c>
      <c r="H2278">
        <v>2</v>
      </c>
      <c r="I2278">
        <v>215</v>
      </c>
      <c r="J2278">
        <v>2022</v>
      </c>
      <c r="K2278" s="4">
        <v>44303</v>
      </c>
      <c r="L2278" t="s">
        <v>20</v>
      </c>
      <c r="M2278" t="s">
        <v>74</v>
      </c>
      <c r="N2278">
        <v>2.78</v>
      </c>
      <c r="O2278">
        <v>1173</v>
      </c>
      <c r="P2278">
        <v>4.72</v>
      </c>
      <c r="Q2278">
        <v>377</v>
      </c>
      <c r="R2278">
        <v>329</v>
      </c>
    </row>
    <row r="2279" spans="1:18" x14ac:dyDescent="0.2">
      <c r="A2279">
        <v>8</v>
      </c>
      <c r="B2279" t="s">
        <v>79</v>
      </c>
      <c r="E2279" t="s">
        <v>29</v>
      </c>
      <c r="F2279">
        <v>1833772</v>
      </c>
      <c r="G2279">
        <v>1</v>
      </c>
      <c r="H2279">
        <v>3</v>
      </c>
      <c r="I2279">
        <v>766</v>
      </c>
      <c r="J2279">
        <v>1989</v>
      </c>
      <c r="K2279" s="4">
        <v>45104</v>
      </c>
      <c r="L2279" t="s">
        <v>26</v>
      </c>
      <c r="M2279" t="s">
        <v>74</v>
      </c>
      <c r="N2279">
        <v>2.4300000000000002</v>
      </c>
      <c r="O2279">
        <v>2006</v>
      </c>
      <c r="P2279">
        <v>2.11</v>
      </c>
      <c r="Q2279">
        <v>93</v>
      </c>
      <c r="R2279">
        <v>692</v>
      </c>
    </row>
    <row r="2280" spans="1:18" x14ac:dyDescent="0.2">
      <c r="A2280">
        <v>9</v>
      </c>
      <c r="B2280" t="s">
        <v>43</v>
      </c>
      <c r="E2280" t="s">
        <v>36</v>
      </c>
      <c r="F2280">
        <v>469854</v>
      </c>
      <c r="G2280">
        <v>4</v>
      </c>
      <c r="H2280">
        <v>1</v>
      </c>
      <c r="I2280">
        <v>624</v>
      </c>
      <c r="J2280">
        <v>1950</v>
      </c>
      <c r="K2280" s="4">
        <v>45295</v>
      </c>
      <c r="L2280" t="s">
        <v>30</v>
      </c>
      <c r="M2280" t="s">
        <v>69</v>
      </c>
      <c r="N2280">
        <v>1.7</v>
      </c>
      <c r="O2280">
        <v>2456</v>
      </c>
      <c r="P2280">
        <v>1.98</v>
      </c>
      <c r="Q2280">
        <v>212</v>
      </c>
      <c r="R2280">
        <v>443</v>
      </c>
    </row>
    <row r="2281" spans="1:18" x14ac:dyDescent="0.2">
      <c r="A2281">
        <v>1</v>
      </c>
      <c r="B2281" t="s">
        <v>57</v>
      </c>
      <c r="E2281" t="s">
        <v>19</v>
      </c>
      <c r="F2281">
        <v>1531002</v>
      </c>
      <c r="G2281">
        <v>5</v>
      </c>
      <c r="H2281">
        <v>3</v>
      </c>
      <c r="I2281">
        <v>159</v>
      </c>
      <c r="J2281">
        <v>2007</v>
      </c>
      <c r="K2281" s="4">
        <v>44808</v>
      </c>
      <c r="L2281" t="s">
        <v>30</v>
      </c>
      <c r="M2281" t="s">
        <v>21</v>
      </c>
      <c r="N2281">
        <v>3.35</v>
      </c>
      <c r="O2281">
        <v>1362</v>
      </c>
      <c r="P2281">
        <v>4.62</v>
      </c>
      <c r="Q2281">
        <v>377</v>
      </c>
      <c r="R2281">
        <v>383</v>
      </c>
    </row>
    <row r="2282" spans="1:18" x14ac:dyDescent="0.2">
      <c r="A2282">
        <v>0</v>
      </c>
      <c r="B2282" t="s">
        <v>67</v>
      </c>
      <c r="E2282" t="s">
        <v>51</v>
      </c>
      <c r="F2282">
        <v>2002058</v>
      </c>
      <c r="G2282">
        <v>0</v>
      </c>
      <c r="H2282">
        <v>3</v>
      </c>
      <c r="I2282">
        <v>441</v>
      </c>
      <c r="J2282">
        <v>2009</v>
      </c>
      <c r="K2282" s="4">
        <v>45702</v>
      </c>
      <c r="L2282" t="s">
        <v>20</v>
      </c>
      <c r="M2282" t="s">
        <v>35</v>
      </c>
      <c r="N2282">
        <v>1.68</v>
      </c>
      <c r="O2282">
        <v>2067</v>
      </c>
      <c r="P2282">
        <v>0.8</v>
      </c>
      <c r="Q2282">
        <v>71</v>
      </c>
      <c r="R2282">
        <v>376</v>
      </c>
    </row>
    <row r="2283" spans="1:18" x14ac:dyDescent="0.2">
      <c r="A2283">
        <v>6</v>
      </c>
      <c r="B2283" t="s">
        <v>83</v>
      </c>
      <c r="E2283" t="s">
        <v>19</v>
      </c>
      <c r="F2283">
        <v>2825190</v>
      </c>
      <c r="G2283">
        <v>4</v>
      </c>
      <c r="H2283">
        <v>1</v>
      </c>
      <c r="I2283">
        <v>532</v>
      </c>
      <c r="J2283">
        <v>2016</v>
      </c>
      <c r="K2283" s="4">
        <v>44834</v>
      </c>
      <c r="L2283" t="s">
        <v>30</v>
      </c>
      <c r="M2283" t="s">
        <v>70</v>
      </c>
      <c r="N2283">
        <v>1.8</v>
      </c>
      <c r="O2283">
        <v>1608</v>
      </c>
      <c r="P2283">
        <v>2.35</v>
      </c>
      <c r="Q2283">
        <v>361</v>
      </c>
      <c r="R2283">
        <v>550</v>
      </c>
    </row>
    <row r="2284" spans="1:18" x14ac:dyDescent="0.2">
      <c r="A2284">
        <v>2</v>
      </c>
      <c r="B2284" t="s">
        <v>99</v>
      </c>
      <c r="E2284" t="s">
        <v>19</v>
      </c>
      <c r="F2284">
        <v>2099159</v>
      </c>
      <c r="G2284">
        <v>4</v>
      </c>
      <c r="H2284">
        <v>1</v>
      </c>
      <c r="I2284">
        <v>239</v>
      </c>
      <c r="J2284">
        <v>1987</v>
      </c>
      <c r="K2284" s="4">
        <v>44849</v>
      </c>
      <c r="L2284" t="s">
        <v>26</v>
      </c>
      <c r="M2284" t="s">
        <v>56</v>
      </c>
      <c r="N2284">
        <v>1.61</v>
      </c>
      <c r="O2284">
        <v>1109</v>
      </c>
      <c r="P2284">
        <v>4.16</v>
      </c>
      <c r="Q2284">
        <v>229</v>
      </c>
      <c r="R2284">
        <v>379</v>
      </c>
    </row>
    <row r="2285" spans="1:18" x14ac:dyDescent="0.2">
      <c r="A2285">
        <v>1</v>
      </c>
      <c r="B2285" t="s">
        <v>46</v>
      </c>
      <c r="E2285" t="s">
        <v>51</v>
      </c>
      <c r="F2285">
        <v>440268</v>
      </c>
      <c r="G2285">
        <v>5</v>
      </c>
      <c r="H2285">
        <v>3</v>
      </c>
      <c r="I2285">
        <v>424</v>
      </c>
      <c r="J2285">
        <v>1996</v>
      </c>
      <c r="K2285" s="4">
        <v>45833</v>
      </c>
      <c r="L2285" t="s">
        <v>26</v>
      </c>
      <c r="M2285" t="s">
        <v>89</v>
      </c>
      <c r="N2285">
        <v>2.02</v>
      </c>
      <c r="O2285">
        <v>1439</v>
      </c>
      <c r="P2285">
        <v>0.47</v>
      </c>
      <c r="Q2285">
        <v>298</v>
      </c>
      <c r="R2285">
        <v>530</v>
      </c>
    </row>
    <row r="2286" spans="1:18" x14ac:dyDescent="0.2">
      <c r="A2286">
        <v>9</v>
      </c>
      <c r="B2286" t="s">
        <v>25</v>
      </c>
      <c r="E2286" t="s">
        <v>51</v>
      </c>
      <c r="F2286">
        <v>700460</v>
      </c>
      <c r="G2286">
        <v>5</v>
      </c>
      <c r="H2286">
        <v>2</v>
      </c>
      <c r="I2286">
        <v>543</v>
      </c>
      <c r="J2286">
        <v>1966</v>
      </c>
      <c r="K2286" s="4">
        <v>44184</v>
      </c>
      <c r="L2286" t="s">
        <v>26</v>
      </c>
      <c r="M2286" t="s">
        <v>69</v>
      </c>
      <c r="N2286">
        <v>2.5</v>
      </c>
      <c r="O2286">
        <v>1483</v>
      </c>
      <c r="P2286">
        <v>3.33</v>
      </c>
      <c r="Q2286">
        <v>279</v>
      </c>
      <c r="R2286">
        <v>639</v>
      </c>
    </row>
    <row r="2287" spans="1:18" x14ac:dyDescent="0.2">
      <c r="A2287">
        <v>2</v>
      </c>
      <c r="B2287" t="s">
        <v>102</v>
      </c>
      <c r="E2287" t="s">
        <v>51</v>
      </c>
      <c r="F2287">
        <v>1083859</v>
      </c>
      <c r="G2287">
        <v>3</v>
      </c>
      <c r="H2287">
        <v>2</v>
      </c>
      <c r="I2287">
        <v>566</v>
      </c>
      <c r="J2287">
        <v>1983</v>
      </c>
      <c r="K2287" s="4">
        <v>44458</v>
      </c>
      <c r="L2287" t="s">
        <v>20</v>
      </c>
      <c r="M2287" t="s">
        <v>76</v>
      </c>
      <c r="N2287">
        <v>2.44</v>
      </c>
      <c r="O2287">
        <v>1431</v>
      </c>
      <c r="P2287">
        <v>4.5599999999999996</v>
      </c>
      <c r="Q2287">
        <v>199</v>
      </c>
      <c r="R2287">
        <v>595</v>
      </c>
    </row>
    <row r="2288" spans="1:18" x14ac:dyDescent="0.2">
      <c r="A2288">
        <v>5</v>
      </c>
      <c r="B2288" t="s">
        <v>79</v>
      </c>
      <c r="E2288" t="s">
        <v>29</v>
      </c>
      <c r="F2288">
        <v>2309622</v>
      </c>
      <c r="G2288">
        <v>0</v>
      </c>
      <c r="H2288">
        <v>2</v>
      </c>
      <c r="I2288">
        <v>165</v>
      </c>
      <c r="J2288">
        <v>1978</v>
      </c>
      <c r="K2288" s="4">
        <v>45841</v>
      </c>
      <c r="L2288" t="s">
        <v>30</v>
      </c>
      <c r="M2288" t="s">
        <v>31</v>
      </c>
      <c r="N2288">
        <v>1.76</v>
      </c>
      <c r="O2288">
        <v>1865</v>
      </c>
      <c r="P2288">
        <v>3.91</v>
      </c>
      <c r="Q2288">
        <v>61</v>
      </c>
      <c r="R2288">
        <v>640</v>
      </c>
    </row>
    <row r="2289" spans="1:18" x14ac:dyDescent="0.2">
      <c r="A2289">
        <v>0</v>
      </c>
      <c r="B2289" t="s">
        <v>39</v>
      </c>
      <c r="E2289" t="s">
        <v>19</v>
      </c>
      <c r="F2289">
        <v>1163826</v>
      </c>
      <c r="G2289">
        <v>3</v>
      </c>
      <c r="H2289">
        <v>3</v>
      </c>
      <c r="I2289">
        <v>103</v>
      </c>
      <c r="J2289">
        <v>2013</v>
      </c>
      <c r="K2289" s="4">
        <v>44124</v>
      </c>
      <c r="L2289" t="s">
        <v>23</v>
      </c>
      <c r="M2289" t="s">
        <v>77</v>
      </c>
      <c r="N2289">
        <v>2.15</v>
      </c>
      <c r="O2289">
        <v>2137</v>
      </c>
      <c r="P2289">
        <v>0.62</v>
      </c>
      <c r="Q2289">
        <v>199</v>
      </c>
      <c r="R2289">
        <v>623</v>
      </c>
    </row>
    <row r="2290" spans="1:18" x14ac:dyDescent="0.2">
      <c r="A2290">
        <v>9</v>
      </c>
      <c r="B2290" t="s">
        <v>65</v>
      </c>
      <c r="E2290" t="s">
        <v>29</v>
      </c>
      <c r="F2290">
        <v>1455510</v>
      </c>
      <c r="G2290">
        <v>3</v>
      </c>
      <c r="H2290">
        <v>2</v>
      </c>
      <c r="I2290">
        <v>769</v>
      </c>
      <c r="J2290">
        <v>1997</v>
      </c>
      <c r="K2290" s="4">
        <v>45734</v>
      </c>
      <c r="L2290" t="s">
        <v>30</v>
      </c>
      <c r="M2290" t="s">
        <v>33</v>
      </c>
      <c r="N2290">
        <v>2.81</v>
      </c>
      <c r="O2290">
        <v>1914</v>
      </c>
      <c r="P2290">
        <v>0.56999999999999995</v>
      </c>
      <c r="Q2290">
        <v>136</v>
      </c>
      <c r="R2290">
        <v>497</v>
      </c>
    </row>
    <row r="2291" spans="1:18" x14ac:dyDescent="0.2">
      <c r="A2291">
        <v>8</v>
      </c>
      <c r="B2291" t="s">
        <v>99</v>
      </c>
      <c r="E2291" t="s">
        <v>19</v>
      </c>
      <c r="F2291">
        <v>1514593</v>
      </c>
      <c r="G2291">
        <v>3</v>
      </c>
      <c r="H2291">
        <v>1</v>
      </c>
      <c r="I2291">
        <v>108</v>
      </c>
      <c r="J2291">
        <v>1967</v>
      </c>
      <c r="K2291" s="4">
        <v>44131</v>
      </c>
      <c r="L2291" t="s">
        <v>23</v>
      </c>
      <c r="M2291" t="s">
        <v>24</v>
      </c>
      <c r="N2291">
        <v>1.86</v>
      </c>
      <c r="O2291">
        <v>1705</v>
      </c>
      <c r="P2291">
        <v>2.23</v>
      </c>
      <c r="Q2291">
        <v>188</v>
      </c>
      <c r="R2291">
        <v>545</v>
      </c>
    </row>
    <row r="2292" spans="1:18" x14ac:dyDescent="0.2">
      <c r="A2292">
        <v>5</v>
      </c>
      <c r="B2292" t="s">
        <v>80</v>
      </c>
      <c r="E2292" t="s">
        <v>19</v>
      </c>
      <c r="F2292">
        <v>1630213</v>
      </c>
      <c r="G2292">
        <v>1</v>
      </c>
      <c r="H2292">
        <v>1</v>
      </c>
      <c r="I2292">
        <v>960</v>
      </c>
      <c r="J2292">
        <v>1966</v>
      </c>
      <c r="K2292" s="4">
        <v>45051</v>
      </c>
      <c r="L2292" t="s">
        <v>20</v>
      </c>
      <c r="M2292" t="s">
        <v>66</v>
      </c>
      <c r="N2292">
        <v>2.09</v>
      </c>
      <c r="O2292">
        <v>852</v>
      </c>
      <c r="P2292">
        <v>2.39</v>
      </c>
      <c r="Q2292">
        <v>110</v>
      </c>
      <c r="R2292">
        <v>371</v>
      </c>
    </row>
    <row r="2293" spans="1:18" x14ac:dyDescent="0.2">
      <c r="A2293">
        <v>3</v>
      </c>
      <c r="B2293" t="s">
        <v>53</v>
      </c>
      <c r="E2293" t="s">
        <v>29</v>
      </c>
      <c r="F2293">
        <v>480779</v>
      </c>
      <c r="G2293">
        <v>4</v>
      </c>
      <c r="H2293">
        <v>2</v>
      </c>
      <c r="I2293">
        <v>377</v>
      </c>
      <c r="J2293">
        <v>1962</v>
      </c>
      <c r="K2293" s="4">
        <v>44069</v>
      </c>
      <c r="L2293" t="s">
        <v>26</v>
      </c>
      <c r="M2293" t="s">
        <v>33</v>
      </c>
      <c r="N2293">
        <v>2.82</v>
      </c>
      <c r="O2293">
        <v>1093</v>
      </c>
      <c r="P2293">
        <v>1.67</v>
      </c>
      <c r="Q2293">
        <v>186</v>
      </c>
      <c r="R2293">
        <v>599</v>
      </c>
    </row>
    <row r="2294" spans="1:18" x14ac:dyDescent="0.2">
      <c r="A2294">
        <v>3</v>
      </c>
      <c r="B2294" t="s">
        <v>101</v>
      </c>
      <c r="E2294" t="s">
        <v>36</v>
      </c>
      <c r="F2294">
        <v>1479721</v>
      </c>
      <c r="G2294">
        <v>-2</v>
      </c>
      <c r="H2294">
        <v>3</v>
      </c>
      <c r="I2294">
        <v>942</v>
      </c>
      <c r="J2294">
        <v>1976</v>
      </c>
      <c r="K2294" s="4">
        <v>45371</v>
      </c>
      <c r="L2294" t="s">
        <v>30</v>
      </c>
      <c r="M2294" t="s">
        <v>74</v>
      </c>
      <c r="N2294">
        <v>2.0699999999999998</v>
      </c>
      <c r="O2294">
        <v>1615</v>
      </c>
      <c r="P2294">
        <v>3.27</v>
      </c>
      <c r="Q2294">
        <v>250</v>
      </c>
      <c r="R2294">
        <v>537</v>
      </c>
    </row>
    <row r="2295" spans="1:18" x14ac:dyDescent="0.2">
      <c r="A2295">
        <v>2</v>
      </c>
      <c r="B2295" t="s">
        <v>98</v>
      </c>
      <c r="E2295" t="s">
        <v>19</v>
      </c>
      <c r="F2295">
        <v>2945275</v>
      </c>
      <c r="G2295">
        <v>2</v>
      </c>
      <c r="H2295">
        <v>1</v>
      </c>
      <c r="I2295">
        <v>769</v>
      </c>
      <c r="J2295">
        <v>1969</v>
      </c>
      <c r="K2295" s="4">
        <v>45573</v>
      </c>
      <c r="L2295" t="s">
        <v>20</v>
      </c>
      <c r="M2295" t="s">
        <v>63</v>
      </c>
      <c r="N2295">
        <v>1.52</v>
      </c>
      <c r="O2295">
        <v>1117</v>
      </c>
      <c r="P2295">
        <v>1.03</v>
      </c>
      <c r="Q2295">
        <v>125</v>
      </c>
      <c r="R2295">
        <v>506</v>
      </c>
    </row>
    <row r="2296" spans="1:18" x14ac:dyDescent="0.2">
      <c r="A2296">
        <v>6</v>
      </c>
      <c r="B2296" t="s">
        <v>18</v>
      </c>
      <c r="E2296" t="s">
        <v>19</v>
      </c>
      <c r="F2296">
        <v>642386</v>
      </c>
      <c r="G2296">
        <v>3</v>
      </c>
      <c r="H2296">
        <v>3</v>
      </c>
      <c r="I2296">
        <v>970</v>
      </c>
      <c r="J2296">
        <v>1976</v>
      </c>
      <c r="K2296" s="4">
        <v>45317</v>
      </c>
      <c r="L2296" t="s">
        <v>26</v>
      </c>
      <c r="M2296" t="s">
        <v>58</v>
      </c>
      <c r="N2296">
        <v>2.06</v>
      </c>
      <c r="O2296">
        <v>865</v>
      </c>
      <c r="P2296">
        <v>3.18</v>
      </c>
      <c r="Q2296">
        <v>161</v>
      </c>
      <c r="R2296">
        <v>330</v>
      </c>
    </row>
    <row r="2297" spans="1:18" x14ac:dyDescent="0.2">
      <c r="A2297">
        <v>2</v>
      </c>
      <c r="B2297" t="s">
        <v>75</v>
      </c>
      <c r="E2297" t="s">
        <v>36</v>
      </c>
      <c r="F2297">
        <v>1607829</v>
      </c>
      <c r="G2297">
        <v>4</v>
      </c>
      <c r="H2297">
        <v>1</v>
      </c>
      <c r="I2297">
        <v>58</v>
      </c>
      <c r="J2297">
        <v>1997</v>
      </c>
      <c r="K2297" s="4">
        <v>44291</v>
      </c>
      <c r="L2297" t="s">
        <v>26</v>
      </c>
      <c r="M2297" t="s">
        <v>59</v>
      </c>
      <c r="N2297">
        <v>2.39</v>
      </c>
      <c r="O2297">
        <v>1966</v>
      </c>
      <c r="P2297">
        <v>3.66</v>
      </c>
      <c r="Q2297">
        <v>206</v>
      </c>
      <c r="R2297">
        <v>458</v>
      </c>
    </row>
    <row r="2298" spans="1:18" x14ac:dyDescent="0.2">
      <c r="A2298">
        <v>1</v>
      </c>
      <c r="B2298" t="s">
        <v>75</v>
      </c>
      <c r="E2298" t="s">
        <v>51</v>
      </c>
      <c r="F2298">
        <v>2349919</v>
      </c>
      <c r="G2298">
        <v>4</v>
      </c>
      <c r="H2298">
        <v>3</v>
      </c>
      <c r="I2298">
        <v>927</v>
      </c>
      <c r="J2298">
        <v>1955</v>
      </c>
      <c r="K2298" s="4">
        <v>45212</v>
      </c>
      <c r="L2298" t="s">
        <v>26</v>
      </c>
      <c r="M2298" t="s">
        <v>27</v>
      </c>
      <c r="N2298">
        <v>2.73</v>
      </c>
      <c r="O2298">
        <v>1298</v>
      </c>
      <c r="P2298">
        <v>2.86</v>
      </c>
      <c r="Q2298">
        <v>197</v>
      </c>
      <c r="R2298">
        <v>410</v>
      </c>
    </row>
    <row r="2299" spans="1:18" x14ac:dyDescent="0.2">
      <c r="A2299">
        <v>3</v>
      </c>
      <c r="B2299" t="s">
        <v>94</v>
      </c>
      <c r="E2299" t="s">
        <v>36</v>
      </c>
      <c r="F2299">
        <v>1923446</v>
      </c>
      <c r="G2299">
        <v>3</v>
      </c>
      <c r="H2299">
        <v>2</v>
      </c>
      <c r="I2299">
        <v>80</v>
      </c>
      <c r="J2299">
        <v>2017</v>
      </c>
      <c r="K2299" s="4">
        <v>45273</v>
      </c>
      <c r="L2299" t="s">
        <v>20</v>
      </c>
      <c r="M2299" t="s">
        <v>82</v>
      </c>
      <c r="N2299">
        <v>2.2000000000000002</v>
      </c>
      <c r="O2299">
        <v>1437</v>
      </c>
      <c r="P2299">
        <v>2.74</v>
      </c>
      <c r="Q2299">
        <v>160</v>
      </c>
      <c r="R2299">
        <v>577</v>
      </c>
    </row>
    <row r="2300" spans="1:18" x14ac:dyDescent="0.2">
      <c r="A2300">
        <v>5</v>
      </c>
      <c r="B2300" t="s">
        <v>18</v>
      </c>
      <c r="E2300" t="s">
        <v>29</v>
      </c>
      <c r="F2300">
        <v>758839</v>
      </c>
      <c r="G2300">
        <v>4</v>
      </c>
      <c r="H2300">
        <v>3</v>
      </c>
      <c r="I2300">
        <v>234</v>
      </c>
      <c r="J2300">
        <v>2002</v>
      </c>
      <c r="K2300" s="4">
        <v>45106</v>
      </c>
      <c r="L2300" t="s">
        <v>23</v>
      </c>
      <c r="M2300" t="s">
        <v>69</v>
      </c>
      <c r="N2300">
        <v>3.41</v>
      </c>
      <c r="O2300">
        <v>2171</v>
      </c>
      <c r="P2300">
        <v>1.1200000000000001</v>
      </c>
      <c r="Q2300">
        <v>233</v>
      </c>
      <c r="R2300">
        <v>473</v>
      </c>
    </row>
    <row r="2301" spans="1:18" x14ac:dyDescent="0.2">
      <c r="A2301">
        <v>4</v>
      </c>
      <c r="B2301" t="s">
        <v>98</v>
      </c>
      <c r="E2301" t="s">
        <v>19</v>
      </c>
      <c r="F2301">
        <v>2445098</v>
      </c>
      <c r="G2301">
        <v>4</v>
      </c>
      <c r="H2301">
        <v>2</v>
      </c>
      <c r="I2301">
        <v>518</v>
      </c>
      <c r="J2301">
        <v>2018</v>
      </c>
      <c r="K2301" s="4">
        <v>45605</v>
      </c>
      <c r="L2301" t="s">
        <v>30</v>
      </c>
      <c r="M2301" t="s">
        <v>52</v>
      </c>
      <c r="N2301">
        <v>2.4300000000000002</v>
      </c>
      <c r="O2301">
        <v>1926</v>
      </c>
      <c r="P2301">
        <v>2.19</v>
      </c>
      <c r="Q2301">
        <v>228</v>
      </c>
      <c r="R2301">
        <v>634</v>
      </c>
    </row>
    <row r="2302" spans="1:18" x14ac:dyDescent="0.2">
      <c r="A2302">
        <v>3</v>
      </c>
      <c r="B2302" t="s">
        <v>57</v>
      </c>
      <c r="E2302" t="s">
        <v>29</v>
      </c>
      <c r="F2302">
        <v>797085</v>
      </c>
      <c r="G2302">
        <v>6</v>
      </c>
      <c r="H2302">
        <v>1</v>
      </c>
      <c r="I2302">
        <v>441</v>
      </c>
      <c r="J2302">
        <v>2006</v>
      </c>
      <c r="K2302" s="4">
        <v>45541</v>
      </c>
      <c r="L2302" t="s">
        <v>26</v>
      </c>
      <c r="M2302" t="s">
        <v>27</v>
      </c>
      <c r="N2302">
        <v>2.0299999999999998</v>
      </c>
      <c r="O2302">
        <v>2009</v>
      </c>
      <c r="P2302">
        <v>2.2400000000000002</v>
      </c>
      <c r="Q2302">
        <v>366</v>
      </c>
      <c r="R2302">
        <v>313</v>
      </c>
    </row>
    <row r="2303" spans="1:18" x14ac:dyDescent="0.2">
      <c r="A2303">
        <v>0</v>
      </c>
      <c r="B2303" t="s">
        <v>38</v>
      </c>
      <c r="E2303" t="s">
        <v>51</v>
      </c>
      <c r="F2303">
        <v>2287702</v>
      </c>
      <c r="G2303">
        <v>3</v>
      </c>
      <c r="H2303">
        <v>3</v>
      </c>
      <c r="I2303">
        <v>491</v>
      </c>
      <c r="J2303">
        <v>1951</v>
      </c>
      <c r="K2303" s="4">
        <v>44790</v>
      </c>
      <c r="L2303" t="s">
        <v>26</v>
      </c>
      <c r="M2303" t="s">
        <v>70</v>
      </c>
      <c r="N2303">
        <v>3.09</v>
      </c>
      <c r="O2303">
        <v>1469</v>
      </c>
      <c r="P2303">
        <v>4.6900000000000004</v>
      </c>
      <c r="Q2303">
        <v>296</v>
      </c>
      <c r="R2303">
        <v>377</v>
      </c>
    </row>
    <row r="2304" spans="1:18" x14ac:dyDescent="0.2">
      <c r="A2304">
        <v>7</v>
      </c>
      <c r="B2304" t="s">
        <v>86</v>
      </c>
      <c r="E2304" t="s">
        <v>51</v>
      </c>
      <c r="F2304">
        <v>817836</v>
      </c>
      <c r="G2304">
        <v>4</v>
      </c>
      <c r="H2304">
        <v>1</v>
      </c>
      <c r="I2304">
        <v>564</v>
      </c>
      <c r="J2304">
        <v>1994</v>
      </c>
      <c r="K2304" s="4">
        <v>44150</v>
      </c>
      <c r="L2304" t="s">
        <v>20</v>
      </c>
      <c r="M2304" t="s">
        <v>31</v>
      </c>
      <c r="N2304">
        <v>2.86</v>
      </c>
      <c r="O2304">
        <v>1347</v>
      </c>
      <c r="P2304">
        <v>2.46</v>
      </c>
      <c r="Q2304">
        <v>382</v>
      </c>
      <c r="R2304">
        <v>341</v>
      </c>
    </row>
    <row r="2305" spans="1:18" x14ac:dyDescent="0.2">
      <c r="A2305">
        <v>4</v>
      </c>
      <c r="B2305" t="s">
        <v>79</v>
      </c>
      <c r="E2305" t="s">
        <v>19</v>
      </c>
      <c r="F2305">
        <v>562482</v>
      </c>
      <c r="G2305">
        <v>3</v>
      </c>
      <c r="H2305">
        <v>1</v>
      </c>
      <c r="I2305">
        <v>882</v>
      </c>
      <c r="J2305">
        <v>1998</v>
      </c>
      <c r="K2305" s="4">
        <v>44914</v>
      </c>
      <c r="L2305" t="s">
        <v>26</v>
      </c>
      <c r="M2305" t="s">
        <v>59</v>
      </c>
      <c r="N2305">
        <v>2.11</v>
      </c>
      <c r="O2305">
        <v>1374</v>
      </c>
      <c r="P2305">
        <v>3.8</v>
      </c>
      <c r="Q2305">
        <v>130</v>
      </c>
      <c r="R2305">
        <v>660</v>
      </c>
    </row>
    <row r="2306" spans="1:18" x14ac:dyDescent="0.2">
      <c r="A2306">
        <v>4</v>
      </c>
      <c r="B2306" t="s">
        <v>92</v>
      </c>
      <c r="E2306" t="s">
        <v>29</v>
      </c>
      <c r="F2306">
        <v>1181806</v>
      </c>
      <c r="G2306">
        <v>1</v>
      </c>
      <c r="H2306">
        <v>2</v>
      </c>
      <c r="I2306">
        <v>63</v>
      </c>
      <c r="J2306">
        <v>2014</v>
      </c>
      <c r="K2306" s="4">
        <v>45700</v>
      </c>
      <c r="L2306" t="s">
        <v>23</v>
      </c>
      <c r="M2306" t="s">
        <v>68</v>
      </c>
      <c r="N2306">
        <v>2.06</v>
      </c>
      <c r="O2306">
        <v>1348</v>
      </c>
      <c r="P2306">
        <v>2.4500000000000002</v>
      </c>
      <c r="Q2306">
        <v>117</v>
      </c>
      <c r="R2306">
        <v>461</v>
      </c>
    </row>
    <row r="2307" spans="1:18" x14ac:dyDescent="0.2">
      <c r="A2307">
        <v>0</v>
      </c>
      <c r="B2307" t="s">
        <v>43</v>
      </c>
      <c r="E2307" t="s">
        <v>19</v>
      </c>
      <c r="F2307">
        <v>2925570</v>
      </c>
      <c r="G2307">
        <v>1</v>
      </c>
      <c r="H2307">
        <v>2</v>
      </c>
      <c r="I2307">
        <v>352</v>
      </c>
      <c r="J2307">
        <v>2020</v>
      </c>
      <c r="K2307" s="4">
        <v>44584</v>
      </c>
      <c r="L2307" t="s">
        <v>26</v>
      </c>
      <c r="M2307" t="s">
        <v>58</v>
      </c>
      <c r="N2307">
        <v>1.85</v>
      </c>
      <c r="O2307">
        <v>1013</v>
      </c>
      <c r="P2307">
        <v>2.71</v>
      </c>
      <c r="Q2307">
        <v>66</v>
      </c>
      <c r="R2307">
        <v>659</v>
      </c>
    </row>
    <row r="2308" spans="1:18" x14ac:dyDescent="0.2">
      <c r="A2308">
        <v>2</v>
      </c>
      <c r="B2308" t="s">
        <v>90</v>
      </c>
      <c r="E2308" t="s">
        <v>19</v>
      </c>
      <c r="F2308">
        <v>750666</v>
      </c>
      <c r="G2308">
        <v>5</v>
      </c>
      <c r="H2308">
        <v>1</v>
      </c>
      <c r="I2308">
        <v>681</v>
      </c>
      <c r="J2308">
        <v>1954</v>
      </c>
      <c r="K2308" s="4">
        <v>44835</v>
      </c>
      <c r="L2308" t="s">
        <v>30</v>
      </c>
      <c r="M2308" t="s">
        <v>60</v>
      </c>
      <c r="N2308">
        <v>3</v>
      </c>
      <c r="O2308">
        <v>1745</v>
      </c>
      <c r="P2308">
        <v>3.47</v>
      </c>
      <c r="Q2308">
        <v>328</v>
      </c>
      <c r="R2308">
        <v>666</v>
      </c>
    </row>
    <row r="2309" spans="1:18" x14ac:dyDescent="0.2">
      <c r="A2309">
        <v>7</v>
      </c>
      <c r="B2309" t="s">
        <v>32</v>
      </c>
      <c r="E2309" t="s">
        <v>19</v>
      </c>
      <c r="F2309">
        <v>2880405</v>
      </c>
      <c r="G2309">
        <v>4</v>
      </c>
      <c r="H2309">
        <v>2</v>
      </c>
      <c r="I2309">
        <v>812</v>
      </c>
      <c r="J2309">
        <v>1951</v>
      </c>
      <c r="K2309" s="4">
        <v>44693</v>
      </c>
      <c r="L2309" t="s">
        <v>30</v>
      </c>
      <c r="M2309" t="s">
        <v>27</v>
      </c>
      <c r="N2309">
        <v>2.75</v>
      </c>
      <c r="O2309">
        <v>2109</v>
      </c>
      <c r="P2309">
        <v>3.36</v>
      </c>
      <c r="Q2309">
        <v>226</v>
      </c>
      <c r="R2309">
        <v>472</v>
      </c>
    </row>
    <row r="2310" spans="1:18" x14ac:dyDescent="0.2">
      <c r="A2310">
        <v>7</v>
      </c>
      <c r="B2310" t="s">
        <v>98</v>
      </c>
      <c r="E2310" t="s">
        <v>19</v>
      </c>
      <c r="F2310">
        <v>624983</v>
      </c>
      <c r="G2310">
        <v>5</v>
      </c>
      <c r="H2310">
        <v>3</v>
      </c>
      <c r="I2310">
        <v>982</v>
      </c>
      <c r="J2310">
        <v>2004</v>
      </c>
      <c r="K2310" s="4">
        <v>45304</v>
      </c>
      <c r="L2310" t="s">
        <v>30</v>
      </c>
      <c r="M2310" t="s">
        <v>78</v>
      </c>
      <c r="N2310">
        <v>1.8</v>
      </c>
      <c r="O2310">
        <v>1464</v>
      </c>
      <c r="P2310">
        <v>4.7699999999999996</v>
      </c>
      <c r="Q2310">
        <v>340</v>
      </c>
      <c r="R2310">
        <v>644</v>
      </c>
    </row>
    <row r="2311" spans="1:18" x14ac:dyDescent="0.2">
      <c r="A2311">
        <v>2</v>
      </c>
      <c r="B2311" t="s">
        <v>28</v>
      </c>
      <c r="E2311" t="s">
        <v>29</v>
      </c>
      <c r="F2311">
        <v>781995</v>
      </c>
      <c r="G2311">
        <v>3</v>
      </c>
      <c r="H2311">
        <v>3</v>
      </c>
      <c r="I2311">
        <v>880</v>
      </c>
      <c r="J2311">
        <v>1992</v>
      </c>
      <c r="K2311" s="4">
        <v>45506</v>
      </c>
      <c r="L2311" t="s">
        <v>20</v>
      </c>
      <c r="M2311" t="s">
        <v>47</v>
      </c>
      <c r="N2311">
        <v>2.2000000000000002</v>
      </c>
      <c r="O2311">
        <v>1536</v>
      </c>
      <c r="P2311">
        <v>4.1500000000000004</v>
      </c>
      <c r="Q2311">
        <v>98</v>
      </c>
      <c r="R2311">
        <v>484</v>
      </c>
    </row>
    <row r="2312" spans="1:18" x14ac:dyDescent="0.2">
      <c r="A2312">
        <v>7</v>
      </c>
      <c r="B2312" t="s">
        <v>101</v>
      </c>
      <c r="E2312" t="s">
        <v>19</v>
      </c>
      <c r="F2312">
        <v>2246977</v>
      </c>
      <c r="G2312">
        <v>1</v>
      </c>
      <c r="H2312">
        <v>2</v>
      </c>
      <c r="I2312">
        <v>70</v>
      </c>
      <c r="J2312">
        <v>1996</v>
      </c>
      <c r="K2312" s="4">
        <v>45763</v>
      </c>
      <c r="L2312" t="s">
        <v>20</v>
      </c>
      <c r="M2312" t="s">
        <v>60</v>
      </c>
      <c r="N2312">
        <v>3.41</v>
      </c>
      <c r="O2312">
        <v>2402</v>
      </c>
      <c r="P2312">
        <v>3.28</v>
      </c>
      <c r="Q2312">
        <v>65</v>
      </c>
      <c r="R2312">
        <v>330</v>
      </c>
    </row>
    <row r="2313" spans="1:18" x14ac:dyDescent="0.2">
      <c r="A2313">
        <v>5</v>
      </c>
      <c r="B2313" t="s">
        <v>55</v>
      </c>
      <c r="E2313" t="s">
        <v>29</v>
      </c>
      <c r="F2313">
        <v>892055</v>
      </c>
      <c r="G2313">
        <v>4</v>
      </c>
      <c r="H2313">
        <v>3</v>
      </c>
      <c r="I2313">
        <v>419</v>
      </c>
      <c r="J2313">
        <v>1990</v>
      </c>
      <c r="K2313" s="4">
        <v>44597</v>
      </c>
      <c r="L2313" t="s">
        <v>23</v>
      </c>
      <c r="M2313" t="s">
        <v>74</v>
      </c>
      <c r="N2313">
        <v>2.06</v>
      </c>
      <c r="O2313">
        <v>896</v>
      </c>
      <c r="P2313">
        <v>4.7699999999999996</v>
      </c>
      <c r="Q2313">
        <v>377</v>
      </c>
      <c r="R2313">
        <v>442</v>
      </c>
    </row>
    <row r="2314" spans="1:18" x14ac:dyDescent="0.2">
      <c r="A2314">
        <v>0</v>
      </c>
      <c r="B2314" t="s">
        <v>100</v>
      </c>
      <c r="E2314" t="s">
        <v>51</v>
      </c>
      <c r="F2314">
        <v>947390</v>
      </c>
      <c r="G2314">
        <v>5</v>
      </c>
      <c r="H2314">
        <v>3</v>
      </c>
      <c r="I2314">
        <v>66</v>
      </c>
      <c r="J2314">
        <v>2008</v>
      </c>
      <c r="K2314" s="4">
        <v>44969</v>
      </c>
      <c r="L2314" t="s">
        <v>23</v>
      </c>
      <c r="M2314" t="s">
        <v>37</v>
      </c>
      <c r="N2314">
        <v>3.24</v>
      </c>
      <c r="O2314">
        <v>1131</v>
      </c>
      <c r="P2314">
        <v>1.78</v>
      </c>
      <c r="Q2314">
        <v>295</v>
      </c>
      <c r="R2314">
        <v>636</v>
      </c>
    </row>
    <row r="2315" spans="1:18" x14ac:dyDescent="0.2">
      <c r="A2315">
        <v>4</v>
      </c>
      <c r="B2315" t="s">
        <v>67</v>
      </c>
      <c r="E2315" t="s">
        <v>51</v>
      </c>
      <c r="F2315">
        <v>2368582</v>
      </c>
      <c r="G2315">
        <v>2</v>
      </c>
      <c r="H2315">
        <v>1</v>
      </c>
      <c r="I2315">
        <v>233</v>
      </c>
      <c r="J2315">
        <v>2017</v>
      </c>
      <c r="K2315" s="4">
        <v>44080</v>
      </c>
      <c r="L2315" t="s">
        <v>20</v>
      </c>
      <c r="M2315" t="s">
        <v>31</v>
      </c>
      <c r="N2315">
        <v>2.3199999999999998</v>
      </c>
      <c r="O2315">
        <v>1992</v>
      </c>
      <c r="P2315">
        <v>3.65</v>
      </c>
      <c r="Q2315">
        <v>206</v>
      </c>
      <c r="R2315">
        <v>386</v>
      </c>
    </row>
    <row r="2316" spans="1:18" x14ac:dyDescent="0.2">
      <c r="A2316">
        <v>6</v>
      </c>
      <c r="B2316" t="s">
        <v>90</v>
      </c>
      <c r="E2316" t="s">
        <v>29</v>
      </c>
      <c r="F2316">
        <v>2504559</v>
      </c>
      <c r="G2316">
        <v>3</v>
      </c>
      <c r="H2316">
        <v>3</v>
      </c>
      <c r="I2316">
        <v>393</v>
      </c>
      <c r="J2316">
        <v>2005</v>
      </c>
      <c r="K2316" s="4">
        <v>44663</v>
      </c>
      <c r="L2316" t="s">
        <v>26</v>
      </c>
      <c r="M2316" t="s">
        <v>21</v>
      </c>
      <c r="N2316">
        <v>3.47</v>
      </c>
      <c r="O2316">
        <v>2301</v>
      </c>
      <c r="P2316">
        <v>4.87</v>
      </c>
      <c r="Q2316">
        <v>180</v>
      </c>
      <c r="R2316">
        <v>671</v>
      </c>
    </row>
    <row r="2317" spans="1:18" x14ac:dyDescent="0.2">
      <c r="A2317">
        <v>6</v>
      </c>
      <c r="B2317" t="s">
        <v>83</v>
      </c>
      <c r="E2317" t="s">
        <v>36</v>
      </c>
      <c r="F2317">
        <v>1241119</v>
      </c>
      <c r="G2317">
        <v>1</v>
      </c>
      <c r="H2317">
        <v>2</v>
      </c>
      <c r="I2317">
        <v>800</v>
      </c>
      <c r="J2317">
        <v>1961</v>
      </c>
      <c r="K2317" s="4">
        <v>45188</v>
      </c>
      <c r="L2317" t="s">
        <v>20</v>
      </c>
      <c r="M2317" t="s">
        <v>97</v>
      </c>
      <c r="N2317">
        <v>3.37</v>
      </c>
      <c r="O2317">
        <v>953</v>
      </c>
      <c r="P2317">
        <v>3.3</v>
      </c>
      <c r="Q2317">
        <v>123</v>
      </c>
      <c r="R2317">
        <v>598</v>
      </c>
    </row>
    <row r="2318" spans="1:18" x14ac:dyDescent="0.2">
      <c r="A2318">
        <v>9</v>
      </c>
      <c r="B2318" t="s">
        <v>48</v>
      </c>
      <c r="E2318" t="s">
        <v>51</v>
      </c>
      <c r="F2318">
        <v>2714287</v>
      </c>
      <c r="G2318">
        <v>2</v>
      </c>
      <c r="H2318">
        <v>2</v>
      </c>
      <c r="I2318">
        <v>222</v>
      </c>
      <c r="J2318">
        <v>2008</v>
      </c>
      <c r="K2318" s="4">
        <v>45518</v>
      </c>
      <c r="L2318" t="s">
        <v>26</v>
      </c>
      <c r="M2318" t="s">
        <v>24</v>
      </c>
      <c r="N2318">
        <v>2.48</v>
      </c>
      <c r="O2318">
        <v>1231</v>
      </c>
      <c r="P2318">
        <v>0.18</v>
      </c>
      <c r="Q2318">
        <v>119</v>
      </c>
      <c r="R2318">
        <v>666</v>
      </c>
    </row>
    <row r="2319" spans="1:18" x14ac:dyDescent="0.2">
      <c r="A2319">
        <v>8</v>
      </c>
      <c r="B2319" t="s">
        <v>98</v>
      </c>
      <c r="E2319" t="s">
        <v>29</v>
      </c>
      <c r="F2319">
        <v>1514992</v>
      </c>
      <c r="G2319">
        <v>3</v>
      </c>
      <c r="H2319">
        <v>3</v>
      </c>
      <c r="I2319">
        <v>890</v>
      </c>
      <c r="J2319">
        <v>1975</v>
      </c>
      <c r="K2319" s="4">
        <v>45320</v>
      </c>
      <c r="L2319" t="s">
        <v>20</v>
      </c>
      <c r="M2319" t="s">
        <v>74</v>
      </c>
      <c r="N2319">
        <v>2.2200000000000002</v>
      </c>
      <c r="O2319">
        <v>2395</v>
      </c>
      <c r="P2319">
        <v>3.21</v>
      </c>
      <c r="Q2319">
        <v>295</v>
      </c>
      <c r="R2319">
        <v>541</v>
      </c>
    </row>
    <row r="2320" spans="1:18" x14ac:dyDescent="0.2">
      <c r="A2320">
        <v>6</v>
      </c>
      <c r="B2320" t="s">
        <v>57</v>
      </c>
      <c r="E2320" t="s">
        <v>29</v>
      </c>
      <c r="F2320">
        <v>1993087</v>
      </c>
      <c r="G2320">
        <v>4</v>
      </c>
      <c r="H2320">
        <v>2</v>
      </c>
      <c r="I2320">
        <v>751</v>
      </c>
      <c r="J2320">
        <v>1973</v>
      </c>
      <c r="K2320" s="4">
        <v>45165</v>
      </c>
      <c r="L2320" t="s">
        <v>20</v>
      </c>
      <c r="M2320" t="s">
        <v>70</v>
      </c>
      <c r="N2320">
        <v>1.94</v>
      </c>
      <c r="O2320">
        <v>1061</v>
      </c>
      <c r="P2320">
        <v>1.78</v>
      </c>
      <c r="Q2320">
        <v>396</v>
      </c>
      <c r="R2320">
        <v>446</v>
      </c>
    </row>
    <row r="2321" spans="1:18" x14ac:dyDescent="0.2">
      <c r="A2321">
        <v>3</v>
      </c>
      <c r="B2321" t="s">
        <v>87</v>
      </c>
      <c r="E2321" t="s">
        <v>19</v>
      </c>
      <c r="F2321">
        <v>1393304</v>
      </c>
      <c r="G2321">
        <v>4</v>
      </c>
      <c r="H2321">
        <v>2</v>
      </c>
      <c r="I2321">
        <v>483</v>
      </c>
      <c r="J2321">
        <v>1994</v>
      </c>
      <c r="K2321" s="4">
        <v>44229</v>
      </c>
      <c r="L2321" t="s">
        <v>20</v>
      </c>
      <c r="M2321" t="s">
        <v>89</v>
      </c>
      <c r="N2321">
        <v>3.23</v>
      </c>
      <c r="O2321">
        <v>824</v>
      </c>
      <c r="P2321">
        <v>1.26</v>
      </c>
      <c r="Q2321">
        <v>177</v>
      </c>
      <c r="R2321">
        <v>527</v>
      </c>
    </row>
    <row r="2322" spans="1:18" x14ac:dyDescent="0.2">
      <c r="A2322">
        <v>3</v>
      </c>
      <c r="B2322" t="s">
        <v>95</v>
      </c>
      <c r="E2322" t="s">
        <v>19</v>
      </c>
      <c r="F2322">
        <v>2116361</v>
      </c>
      <c r="G2322">
        <v>2</v>
      </c>
      <c r="H2322">
        <v>3</v>
      </c>
      <c r="I2322">
        <v>91</v>
      </c>
      <c r="J2322">
        <v>1969</v>
      </c>
      <c r="K2322" s="4">
        <v>45807</v>
      </c>
      <c r="L2322" t="s">
        <v>23</v>
      </c>
      <c r="M2322" t="s">
        <v>35</v>
      </c>
      <c r="N2322">
        <v>3.47</v>
      </c>
      <c r="O2322">
        <v>2395</v>
      </c>
      <c r="P2322">
        <v>4.8899999999999997</v>
      </c>
      <c r="Q2322">
        <v>220</v>
      </c>
      <c r="R2322">
        <v>659</v>
      </c>
    </row>
    <row r="2323" spans="1:18" x14ac:dyDescent="0.2">
      <c r="A2323">
        <v>7</v>
      </c>
      <c r="B2323" t="s">
        <v>79</v>
      </c>
      <c r="E2323" t="s">
        <v>36</v>
      </c>
      <c r="F2323">
        <v>950724</v>
      </c>
      <c r="G2323">
        <v>2</v>
      </c>
      <c r="H2323">
        <v>2</v>
      </c>
      <c r="I2323">
        <v>695</v>
      </c>
      <c r="J2323">
        <v>1984</v>
      </c>
      <c r="K2323" s="4">
        <v>45493</v>
      </c>
      <c r="L2323" t="s">
        <v>30</v>
      </c>
      <c r="M2323" t="s">
        <v>60</v>
      </c>
      <c r="N2323">
        <v>2.0499999999999998</v>
      </c>
      <c r="O2323">
        <v>2418</v>
      </c>
      <c r="P2323">
        <v>3.65</v>
      </c>
      <c r="Q2323">
        <v>146</v>
      </c>
      <c r="R2323">
        <v>466</v>
      </c>
    </row>
    <row r="2324" spans="1:18" x14ac:dyDescent="0.2">
      <c r="A2324">
        <v>8</v>
      </c>
      <c r="B2324" t="s">
        <v>38</v>
      </c>
      <c r="E2324" t="s">
        <v>36</v>
      </c>
      <c r="F2324">
        <v>1382296</v>
      </c>
      <c r="G2324">
        <v>2</v>
      </c>
      <c r="H2324">
        <v>2</v>
      </c>
      <c r="I2324">
        <v>102</v>
      </c>
      <c r="J2324">
        <v>1954</v>
      </c>
      <c r="K2324" s="4">
        <v>45110</v>
      </c>
      <c r="L2324" t="s">
        <v>30</v>
      </c>
      <c r="M2324" t="s">
        <v>21</v>
      </c>
      <c r="N2324">
        <v>2.2400000000000002</v>
      </c>
      <c r="O2324">
        <v>1613</v>
      </c>
      <c r="P2324">
        <v>1.48</v>
      </c>
      <c r="Q2324">
        <v>103</v>
      </c>
      <c r="R2324">
        <v>678</v>
      </c>
    </row>
    <row r="2325" spans="1:18" x14ac:dyDescent="0.2">
      <c r="A2325">
        <v>6</v>
      </c>
      <c r="B2325" t="s">
        <v>34</v>
      </c>
      <c r="E2325" t="s">
        <v>36</v>
      </c>
      <c r="F2325">
        <v>1212545</v>
      </c>
      <c r="G2325">
        <v>4</v>
      </c>
      <c r="H2325">
        <v>2</v>
      </c>
      <c r="I2325">
        <v>150</v>
      </c>
      <c r="J2325">
        <v>1993</v>
      </c>
      <c r="K2325" s="4">
        <v>44289</v>
      </c>
      <c r="L2325" t="s">
        <v>20</v>
      </c>
      <c r="M2325" t="s">
        <v>82</v>
      </c>
      <c r="N2325">
        <v>2.92</v>
      </c>
      <c r="O2325">
        <v>803</v>
      </c>
      <c r="P2325">
        <v>4.04</v>
      </c>
      <c r="Q2325">
        <v>171</v>
      </c>
      <c r="R2325">
        <v>612</v>
      </c>
    </row>
    <row r="2326" spans="1:18" x14ac:dyDescent="0.2">
      <c r="A2326">
        <v>5</v>
      </c>
      <c r="B2326" t="s">
        <v>64</v>
      </c>
      <c r="E2326" t="s">
        <v>29</v>
      </c>
      <c r="F2326">
        <v>2041839</v>
      </c>
      <c r="G2326">
        <v>4</v>
      </c>
      <c r="H2326">
        <v>1</v>
      </c>
      <c r="I2326">
        <v>818</v>
      </c>
      <c r="J2326">
        <v>1950</v>
      </c>
      <c r="K2326" s="4">
        <v>44697</v>
      </c>
      <c r="L2326" t="s">
        <v>30</v>
      </c>
      <c r="M2326" t="s">
        <v>31</v>
      </c>
      <c r="N2326">
        <v>3.07</v>
      </c>
      <c r="O2326">
        <v>1001</v>
      </c>
      <c r="P2326">
        <v>2.84</v>
      </c>
      <c r="Q2326">
        <v>393</v>
      </c>
      <c r="R2326">
        <v>443</v>
      </c>
    </row>
    <row r="2327" spans="1:18" x14ac:dyDescent="0.2">
      <c r="A2327">
        <v>6</v>
      </c>
      <c r="B2327" t="s">
        <v>101</v>
      </c>
      <c r="E2327" t="s">
        <v>29</v>
      </c>
      <c r="F2327">
        <v>802429</v>
      </c>
      <c r="G2327">
        <v>0</v>
      </c>
      <c r="H2327">
        <v>2</v>
      </c>
      <c r="I2327">
        <v>951</v>
      </c>
      <c r="J2327">
        <v>1977</v>
      </c>
      <c r="K2327" s="4">
        <v>45839</v>
      </c>
      <c r="L2327" t="s">
        <v>20</v>
      </c>
      <c r="M2327" t="s">
        <v>97</v>
      </c>
      <c r="N2327">
        <v>1.91</v>
      </c>
      <c r="O2327">
        <v>1749</v>
      </c>
      <c r="P2327">
        <v>4.88</v>
      </c>
      <c r="Q2327">
        <v>66</v>
      </c>
      <c r="R2327">
        <v>341</v>
      </c>
    </row>
    <row r="2328" spans="1:18" x14ac:dyDescent="0.2">
      <c r="A2328">
        <v>9</v>
      </c>
      <c r="B2328" t="s">
        <v>100</v>
      </c>
      <c r="E2328" t="s">
        <v>29</v>
      </c>
      <c r="F2328">
        <v>1724581</v>
      </c>
      <c r="G2328">
        <v>0</v>
      </c>
      <c r="H2328">
        <v>3</v>
      </c>
      <c r="I2328">
        <v>517</v>
      </c>
      <c r="J2328">
        <v>1985</v>
      </c>
      <c r="K2328" s="4">
        <v>45194</v>
      </c>
      <c r="L2328" t="s">
        <v>30</v>
      </c>
      <c r="M2328" t="s">
        <v>35</v>
      </c>
      <c r="N2328">
        <v>1.89</v>
      </c>
      <c r="O2328">
        <v>1771</v>
      </c>
      <c r="P2328">
        <v>0.13</v>
      </c>
      <c r="Q2328">
        <v>47</v>
      </c>
      <c r="R2328">
        <v>436</v>
      </c>
    </row>
    <row r="2329" spans="1:18" x14ac:dyDescent="0.2">
      <c r="A2329">
        <v>2</v>
      </c>
      <c r="B2329" t="s">
        <v>48</v>
      </c>
      <c r="E2329" t="s">
        <v>36</v>
      </c>
      <c r="F2329">
        <v>2593546</v>
      </c>
      <c r="G2329">
        <v>3</v>
      </c>
      <c r="H2329">
        <v>3</v>
      </c>
      <c r="I2329">
        <v>801</v>
      </c>
      <c r="J2329">
        <v>2003</v>
      </c>
      <c r="K2329" s="4">
        <v>45806</v>
      </c>
      <c r="L2329" t="s">
        <v>30</v>
      </c>
      <c r="M2329" t="s">
        <v>74</v>
      </c>
      <c r="N2329">
        <v>3.19</v>
      </c>
      <c r="O2329">
        <v>989</v>
      </c>
      <c r="P2329">
        <v>4.3899999999999997</v>
      </c>
      <c r="Q2329">
        <v>305</v>
      </c>
      <c r="R2329">
        <v>307</v>
      </c>
    </row>
    <row r="2330" spans="1:18" x14ac:dyDescent="0.2">
      <c r="A2330">
        <v>2</v>
      </c>
      <c r="B2330" t="s">
        <v>100</v>
      </c>
      <c r="E2330" t="s">
        <v>19</v>
      </c>
      <c r="F2330">
        <v>2862613</v>
      </c>
      <c r="G2330">
        <v>2</v>
      </c>
      <c r="H2330">
        <v>3</v>
      </c>
      <c r="I2330">
        <v>129</v>
      </c>
      <c r="J2330">
        <v>1978</v>
      </c>
      <c r="K2330" s="4">
        <v>45807</v>
      </c>
      <c r="L2330" t="s">
        <v>20</v>
      </c>
      <c r="M2330" t="s">
        <v>63</v>
      </c>
      <c r="N2330">
        <v>2.17</v>
      </c>
      <c r="O2330">
        <v>1879</v>
      </c>
      <c r="P2330">
        <v>1.0900000000000001</v>
      </c>
      <c r="Q2330">
        <v>102</v>
      </c>
      <c r="R2330">
        <v>665</v>
      </c>
    </row>
    <row r="2331" spans="1:18" x14ac:dyDescent="0.2">
      <c r="A2331">
        <v>8</v>
      </c>
      <c r="B2331" t="s">
        <v>32</v>
      </c>
      <c r="E2331" t="s">
        <v>29</v>
      </c>
      <c r="F2331">
        <v>712589</v>
      </c>
      <c r="G2331">
        <v>1</v>
      </c>
      <c r="H2331">
        <v>3</v>
      </c>
      <c r="I2331">
        <v>452</v>
      </c>
      <c r="J2331">
        <v>1958</v>
      </c>
      <c r="K2331" s="4">
        <v>44437</v>
      </c>
      <c r="L2331" t="s">
        <v>30</v>
      </c>
      <c r="M2331" t="s">
        <v>24</v>
      </c>
      <c r="N2331">
        <v>2.79</v>
      </c>
      <c r="O2331">
        <v>1834</v>
      </c>
      <c r="P2331">
        <v>2.76</v>
      </c>
      <c r="Q2331">
        <v>60</v>
      </c>
      <c r="R2331">
        <v>349</v>
      </c>
    </row>
    <row r="2332" spans="1:18" x14ac:dyDescent="0.2">
      <c r="A2332">
        <v>7</v>
      </c>
      <c r="B2332" t="s">
        <v>48</v>
      </c>
      <c r="E2332" t="s">
        <v>51</v>
      </c>
      <c r="F2332">
        <v>627238</v>
      </c>
      <c r="G2332">
        <v>6</v>
      </c>
      <c r="H2332">
        <v>3</v>
      </c>
      <c r="I2332">
        <v>903</v>
      </c>
      <c r="J2332">
        <v>2007</v>
      </c>
      <c r="K2332" s="4">
        <v>45582</v>
      </c>
      <c r="L2332" t="s">
        <v>20</v>
      </c>
      <c r="M2332" t="s">
        <v>69</v>
      </c>
      <c r="N2332">
        <v>1.8</v>
      </c>
      <c r="O2332">
        <v>1440</v>
      </c>
      <c r="P2332">
        <v>0.55000000000000004</v>
      </c>
      <c r="Q2332">
        <v>329</v>
      </c>
      <c r="R2332">
        <v>397</v>
      </c>
    </row>
    <row r="2333" spans="1:18" x14ac:dyDescent="0.2">
      <c r="A2333">
        <v>5</v>
      </c>
      <c r="B2333" t="s">
        <v>88</v>
      </c>
      <c r="E2333" t="s">
        <v>51</v>
      </c>
      <c r="F2333">
        <v>2007181</v>
      </c>
      <c r="G2333">
        <v>6</v>
      </c>
      <c r="H2333">
        <v>2</v>
      </c>
      <c r="I2333">
        <v>361</v>
      </c>
      <c r="J2333">
        <v>1958</v>
      </c>
      <c r="K2333" s="4">
        <v>44409</v>
      </c>
      <c r="L2333" t="s">
        <v>30</v>
      </c>
      <c r="M2333" t="s">
        <v>52</v>
      </c>
      <c r="N2333">
        <v>2.2999999999999998</v>
      </c>
      <c r="O2333">
        <v>2320</v>
      </c>
      <c r="P2333">
        <v>0.1</v>
      </c>
      <c r="Q2333">
        <v>339</v>
      </c>
      <c r="R2333">
        <v>335</v>
      </c>
    </row>
    <row r="2334" spans="1:18" x14ac:dyDescent="0.2">
      <c r="A2334">
        <v>3</v>
      </c>
      <c r="B2334" t="s">
        <v>57</v>
      </c>
      <c r="E2334" t="s">
        <v>29</v>
      </c>
      <c r="F2334">
        <v>1560707</v>
      </c>
      <c r="G2334">
        <v>5</v>
      </c>
      <c r="H2334">
        <v>1</v>
      </c>
      <c r="I2334">
        <v>775</v>
      </c>
      <c r="J2334">
        <v>1985</v>
      </c>
      <c r="K2334" s="4">
        <v>44535</v>
      </c>
      <c r="L2334" t="s">
        <v>23</v>
      </c>
      <c r="M2334" t="s">
        <v>76</v>
      </c>
      <c r="N2334">
        <v>3</v>
      </c>
      <c r="O2334">
        <v>2294</v>
      </c>
      <c r="P2334">
        <v>0.56999999999999995</v>
      </c>
      <c r="Q2334">
        <v>321</v>
      </c>
      <c r="R2334">
        <v>580</v>
      </c>
    </row>
    <row r="2335" spans="1:18" x14ac:dyDescent="0.2">
      <c r="A2335">
        <v>8</v>
      </c>
      <c r="B2335" t="s">
        <v>32</v>
      </c>
      <c r="E2335" t="s">
        <v>36</v>
      </c>
      <c r="F2335">
        <v>2473004</v>
      </c>
      <c r="G2335">
        <v>3</v>
      </c>
      <c r="H2335">
        <v>2</v>
      </c>
      <c r="I2335">
        <v>203</v>
      </c>
      <c r="J2335">
        <v>1969</v>
      </c>
      <c r="K2335" s="4">
        <v>44476</v>
      </c>
      <c r="L2335" t="s">
        <v>26</v>
      </c>
      <c r="M2335" t="s">
        <v>63</v>
      </c>
      <c r="N2335">
        <v>2.83</v>
      </c>
      <c r="O2335">
        <v>2461</v>
      </c>
      <c r="P2335">
        <v>3.03</v>
      </c>
      <c r="Q2335">
        <v>216</v>
      </c>
      <c r="R2335">
        <v>547</v>
      </c>
    </row>
    <row r="2336" spans="1:18" x14ac:dyDescent="0.2">
      <c r="A2336">
        <v>4</v>
      </c>
      <c r="B2336" t="s">
        <v>41</v>
      </c>
      <c r="E2336" t="s">
        <v>29</v>
      </c>
      <c r="F2336">
        <v>2907146</v>
      </c>
      <c r="G2336">
        <v>1</v>
      </c>
      <c r="H2336">
        <v>3</v>
      </c>
      <c r="I2336">
        <v>688</v>
      </c>
      <c r="J2336">
        <v>1959</v>
      </c>
      <c r="K2336" s="4">
        <v>45071</v>
      </c>
      <c r="L2336" t="s">
        <v>30</v>
      </c>
      <c r="M2336" t="s">
        <v>63</v>
      </c>
      <c r="N2336">
        <v>1.8</v>
      </c>
      <c r="O2336">
        <v>2085</v>
      </c>
      <c r="P2336">
        <v>1.55</v>
      </c>
      <c r="Q2336">
        <v>50</v>
      </c>
      <c r="R2336">
        <v>443</v>
      </c>
    </row>
    <row r="2337" spans="1:18" x14ac:dyDescent="0.2">
      <c r="A2337">
        <v>1</v>
      </c>
      <c r="B2337" t="s">
        <v>39</v>
      </c>
      <c r="E2337" t="s">
        <v>36</v>
      </c>
      <c r="F2337">
        <v>2287737</v>
      </c>
      <c r="G2337">
        <v>1</v>
      </c>
      <c r="H2337">
        <v>3</v>
      </c>
      <c r="I2337">
        <v>445</v>
      </c>
      <c r="J2337">
        <v>1974</v>
      </c>
      <c r="K2337" s="4">
        <v>44785</v>
      </c>
      <c r="L2337" t="s">
        <v>20</v>
      </c>
      <c r="M2337" t="s">
        <v>42</v>
      </c>
      <c r="N2337">
        <v>1.54</v>
      </c>
      <c r="O2337">
        <v>1795</v>
      </c>
      <c r="P2337">
        <v>1.98</v>
      </c>
      <c r="Q2337">
        <v>89</v>
      </c>
      <c r="R2337">
        <v>638</v>
      </c>
    </row>
    <row r="2338" spans="1:18" x14ac:dyDescent="0.2">
      <c r="A2338">
        <v>8</v>
      </c>
      <c r="B2338" t="s">
        <v>25</v>
      </c>
      <c r="E2338" t="s">
        <v>19</v>
      </c>
      <c r="F2338">
        <v>436359</v>
      </c>
      <c r="G2338">
        <v>1</v>
      </c>
      <c r="H2338">
        <v>3</v>
      </c>
      <c r="I2338">
        <v>655</v>
      </c>
      <c r="J2338">
        <v>2007</v>
      </c>
      <c r="K2338" s="4">
        <v>45110</v>
      </c>
      <c r="L2338" t="s">
        <v>23</v>
      </c>
      <c r="M2338" t="s">
        <v>58</v>
      </c>
      <c r="N2338">
        <v>1.83</v>
      </c>
      <c r="O2338">
        <v>2233</v>
      </c>
      <c r="P2338">
        <v>2.27</v>
      </c>
      <c r="Q2338">
        <v>65</v>
      </c>
      <c r="R2338">
        <v>393</v>
      </c>
    </row>
    <row r="2339" spans="1:18" x14ac:dyDescent="0.2">
      <c r="A2339">
        <v>4</v>
      </c>
      <c r="B2339" t="s">
        <v>93</v>
      </c>
      <c r="E2339" t="s">
        <v>19</v>
      </c>
      <c r="F2339">
        <v>842964</v>
      </c>
      <c r="G2339">
        <v>3</v>
      </c>
      <c r="H2339">
        <v>1</v>
      </c>
      <c r="I2339">
        <v>593</v>
      </c>
      <c r="J2339">
        <v>1962</v>
      </c>
      <c r="K2339" s="4">
        <v>44813</v>
      </c>
      <c r="L2339" t="s">
        <v>30</v>
      </c>
      <c r="M2339" t="s">
        <v>78</v>
      </c>
      <c r="N2339">
        <v>2.0699999999999998</v>
      </c>
      <c r="O2339">
        <v>1466</v>
      </c>
      <c r="P2339">
        <v>0.95</v>
      </c>
      <c r="Q2339">
        <v>193</v>
      </c>
      <c r="R2339">
        <v>507</v>
      </c>
    </row>
    <row r="2340" spans="1:18" x14ac:dyDescent="0.2">
      <c r="A2340">
        <v>9</v>
      </c>
      <c r="B2340" t="s">
        <v>80</v>
      </c>
      <c r="E2340" t="s">
        <v>36</v>
      </c>
      <c r="F2340">
        <v>536688</v>
      </c>
      <c r="G2340">
        <v>4</v>
      </c>
      <c r="H2340">
        <v>1</v>
      </c>
      <c r="I2340">
        <v>700</v>
      </c>
      <c r="J2340">
        <v>1951</v>
      </c>
      <c r="K2340" s="4">
        <v>45833</v>
      </c>
      <c r="L2340" t="s">
        <v>20</v>
      </c>
      <c r="M2340" t="s">
        <v>45</v>
      </c>
      <c r="N2340">
        <v>3.38</v>
      </c>
      <c r="O2340">
        <v>1170</v>
      </c>
      <c r="P2340">
        <v>1.57</v>
      </c>
      <c r="Q2340">
        <v>272</v>
      </c>
      <c r="R2340">
        <v>300</v>
      </c>
    </row>
    <row r="2341" spans="1:18" x14ac:dyDescent="0.2">
      <c r="A2341">
        <v>9</v>
      </c>
      <c r="B2341" t="s">
        <v>72</v>
      </c>
      <c r="E2341" t="s">
        <v>29</v>
      </c>
      <c r="F2341">
        <v>1706092</v>
      </c>
      <c r="G2341">
        <v>4</v>
      </c>
      <c r="H2341">
        <v>1</v>
      </c>
      <c r="I2341">
        <v>412</v>
      </c>
      <c r="J2341">
        <v>1976</v>
      </c>
      <c r="K2341" s="4">
        <v>44700</v>
      </c>
      <c r="L2341" t="s">
        <v>23</v>
      </c>
      <c r="M2341" t="s">
        <v>77</v>
      </c>
      <c r="N2341">
        <v>1.87</v>
      </c>
      <c r="O2341">
        <v>1575</v>
      </c>
      <c r="P2341">
        <v>4.13</v>
      </c>
      <c r="Q2341">
        <v>285</v>
      </c>
      <c r="R2341">
        <v>387</v>
      </c>
    </row>
    <row r="2342" spans="1:18" x14ac:dyDescent="0.2">
      <c r="A2342">
        <v>0</v>
      </c>
      <c r="B2342" t="s">
        <v>98</v>
      </c>
      <c r="E2342" t="s">
        <v>51</v>
      </c>
      <c r="F2342">
        <v>2840792</v>
      </c>
      <c r="G2342">
        <v>3</v>
      </c>
      <c r="H2342">
        <v>1</v>
      </c>
      <c r="I2342">
        <v>592</v>
      </c>
      <c r="J2342">
        <v>1964</v>
      </c>
      <c r="K2342" s="4">
        <v>44769</v>
      </c>
      <c r="L2342" t="s">
        <v>30</v>
      </c>
      <c r="M2342" t="s">
        <v>35</v>
      </c>
      <c r="N2342">
        <v>2.52</v>
      </c>
      <c r="O2342">
        <v>889</v>
      </c>
      <c r="P2342">
        <v>2.99</v>
      </c>
      <c r="Q2342">
        <v>264</v>
      </c>
      <c r="R2342">
        <v>472</v>
      </c>
    </row>
    <row r="2343" spans="1:18" x14ac:dyDescent="0.2">
      <c r="A2343">
        <v>3</v>
      </c>
      <c r="B2343" t="s">
        <v>28</v>
      </c>
      <c r="E2343" t="s">
        <v>19</v>
      </c>
      <c r="F2343">
        <v>2137543</v>
      </c>
      <c r="G2343">
        <v>2</v>
      </c>
      <c r="H2343">
        <v>3</v>
      </c>
      <c r="I2343">
        <v>905</v>
      </c>
      <c r="J2343">
        <v>1950</v>
      </c>
      <c r="K2343" s="4">
        <v>45825</v>
      </c>
      <c r="L2343" t="s">
        <v>30</v>
      </c>
      <c r="M2343" t="s">
        <v>40</v>
      </c>
      <c r="N2343">
        <v>1.93</v>
      </c>
      <c r="O2343">
        <v>1400</v>
      </c>
      <c r="P2343">
        <v>1.1100000000000001</v>
      </c>
      <c r="Q2343">
        <v>179</v>
      </c>
      <c r="R2343">
        <v>651</v>
      </c>
    </row>
    <row r="2344" spans="1:18" x14ac:dyDescent="0.2">
      <c r="A2344">
        <v>9</v>
      </c>
      <c r="B2344" t="s">
        <v>88</v>
      </c>
      <c r="E2344" t="s">
        <v>29</v>
      </c>
      <c r="F2344">
        <v>1956199</v>
      </c>
      <c r="G2344">
        <v>5</v>
      </c>
      <c r="H2344">
        <v>1</v>
      </c>
      <c r="I2344">
        <v>401</v>
      </c>
      <c r="J2344">
        <v>1981</v>
      </c>
      <c r="K2344" s="4">
        <v>45595</v>
      </c>
      <c r="L2344" t="s">
        <v>26</v>
      </c>
      <c r="M2344" t="s">
        <v>27</v>
      </c>
      <c r="N2344">
        <v>3.42</v>
      </c>
      <c r="O2344">
        <v>2292</v>
      </c>
      <c r="P2344">
        <v>2.15</v>
      </c>
      <c r="Q2344">
        <v>311</v>
      </c>
      <c r="R2344">
        <v>446</v>
      </c>
    </row>
    <row r="2345" spans="1:18" x14ac:dyDescent="0.2">
      <c r="A2345">
        <v>1</v>
      </c>
      <c r="B2345" t="s">
        <v>28</v>
      </c>
      <c r="E2345" t="s">
        <v>36</v>
      </c>
      <c r="F2345">
        <v>1372914</v>
      </c>
      <c r="G2345">
        <v>4</v>
      </c>
      <c r="H2345">
        <v>1</v>
      </c>
      <c r="I2345">
        <v>808</v>
      </c>
      <c r="J2345">
        <v>1996</v>
      </c>
      <c r="K2345" s="4">
        <v>44481</v>
      </c>
      <c r="L2345" t="s">
        <v>30</v>
      </c>
      <c r="M2345" t="s">
        <v>35</v>
      </c>
      <c r="N2345">
        <v>2.0499999999999998</v>
      </c>
      <c r="O2345">
        <v>1973</v>
      </c>
      <c r="P2345">
        <v>1.81</v>
      </c>
      <c r="Q2345">
        <v>375</v>
      </c>
      <c r="R2345">
        <v>625</v>
      </c>
    </row>
    <row r="2346" spans="1:18" x14ac:dyDescent="0.2">
      <c r="A2346">
        <v>7</v>
      </c>
      <c r="B2346" t="s">
        <v>84</v>
      </c>
      <c r="E2346" t="s">
        <v>51</v>
      </c>
      <c r="F2346">
        <v>2841956</v>
      </c>
      <c r="G2346">
        <v>2</v>
      </c>
      <c r="H2346">
        <v>1</v>
      </c>
      <c r="I2346">
        <v>182</v>
      </c>
      <c r="J2346">
        <v>1973</v>
      </c>
      <c r="K2346" s="4">
        <v>45844</v>
      </c>
      <c r="L2346" t="s">
        <v>26</v>
      </c>
      <c r="M2346" t="s">
        <v>70</v>
      </c>
      <c r="N2346">
        <v>3.09</v>
      </c>
      <c r="O2346">
        <v>1539</v>
      </c>
      <c r="P2346">
        <v>1.58</v>
      </c>
      <c r="Q2346">
        <v>166</v>
      </c>
      <c r="R2346">
        <v>362</v>
      </c>
    </row>
    <row r="2347" spans="1:18" x14ac:dyDescent="0.2">
      <c r="A2347">
        <v>3</v>
      </c>
      <c r="B2347" t="s">
        <v>75</v>
      </c>
      <c r="E2347" t="s">
        <v>29</v>
      </c>
      <c r="F2347">
        <v>1026814</v>
      </c>
      <c r="G2347">
        <v>1</v>
      </c>
      <c r="H2347">
        <v>3</v>
      </c>
      <c r="I2347">
        <v>133</v>
      </c>
      <c r="J2347">
        <v>2013</v>
      </c>
      <c r="K2347" s="4">
        <v>45592</v>
      </c>
      <c r="L2347" t="s">
        <v>23</v>
      </c>
      <c r="M2347" t="s">
        <v>54</v>
      </c>
      <c r="N2347">
        <v>3.14</v>
      </c>
      <c r="O2347">
        <v>1448</v>
      </c>
      <c r="P2347">
        <v>2.89</v>
      </c>
      <c r="Q2347">
        <v>83</v>
      </c>
      <c r="R2347">
        <v>374</v>
      </c>
    </row>
    <row r="2348" spans="1:18" x14ac:dyDescent="0.2">
      <c r="A2348">
        <v>6</v>
      </c>
      <c r="B2348" t="s">
        <v>101</v>
      </c>
      <c r="E2348" t="s">
        <v>19</v>
      </c>
      <c r="F2348">
        <v>1914946</v>
      </c>
      <c r="G2348">
        <v>4</v>
      </c>
      <c r="H2348">
        <v>3</v>
      </c>
      <c r="I2348">
        <v>940</v>
      </c>
      <c r="J2348">
        <v>1953</v>
      </c>
      <c r="K2348" s="4">
        <v>45867</v>
      </c>
      <c r="L2348" t="s">
        <v>23</v>
      </c>
      <c r="M2348" t="s">
        <v>85</v>
      </c>
      <c r="N2348">
        <v>1.56</v>
      </c>
      <c r="O2348">
        <v>2278</v>
      </c>
      <c r="P2348">
        <v>1.08</v>
      </c>
      <c r="Q2348">
        <v>246</v>
      </c>
      <c r="R2348">
        <v>551</v>
      </c>
    </row>
    <row r="2349" spans="1:18" x14ac:dyDescent="0.2">
      <c r="A2349">
        <v>7</v>
      </c>
      <c r="B2349" t="s">
        <v>49</v>
      </c>
      <c r="E2349" t="s">
        <v>29</v>
      </c>
      <c r="F2349">
        <v>2030996</v>
      </c>
      <c r="G2349">
        <v>2</v>
      </c>
      <c r="H2349">
        <v>2</v>
      </c>
      <c r="I2349">
        <v>416</v>
      </c>
      <c r="J2349">
        <v>1950</v>
      </c>
      <c r="K2349" s="4">
        <v>45227</v>
      </c>
      <c r="L2349" t="s">
        <v>23</v>
      </c>
      <c r="M2349" t="s">
        <v>70</v>
      </c>
      <c r="N2349">
        <v>1.79</v>
      </c>
      <c r="O2349">
        <v>2465</v>
      </c>
      <c r="P2349">
        <v>2.42</v>
      </c>
      <c r="Q2349">
        <v>162</v>
      </c>
      <c r="R2349">
        <v>460</v>
      </c>
    </row>
    <row r="2350" spans="1:18" x14ac:dyDescent="0.2">
      <c r="A2350">
        <v>3</v>
      </c>
      <c r="B2350" t="s">
        <v>93</v>
      </c>
      <c r="E2350" t="s">
        <v>19</v>
      </c>
      <c r="F2350">
        <v>1779770</v>
      </c>
      <c r="G2350">
        <v>5</v>
      </c>
      <c r="H2350">
        <v>2</v>
      </c>
      <c r="I2350">
        <v>343</v>
      </c>
      <c r="J2350">
        <v>2007</v>
      </c>
      <c r="K2350" s="4">
        <v>44180</v>
      </c>
      <c r="L2350" t="s">
        <v>26</v>
      </c>
      <c r="M2350" t="s">
        <v>85</v>
      </c>
      <c r="N2350">
        <v>3.03</v>
      </c>
      <c r="O2350">
        <v>2104</v>
      </c>
      <c r="P2350">
        <v>1.18</v>
      </c>
      <c r="Q2350">
        <v>343</v>
      </c>
      <c r="R2350">
        <v>388</v>
      </c>
    </row>
    <row r="2351" spans="1:18" x14ac:dyDescent="0.2">
      <c r="A2351">
        <v>3</v>
      </c>
      <c r="B2351" t="s">
        <v>28</v>
      </c>
      <c r="E2351" t="s">
        <v>51</v>
      </c>
      <c r="F2351">
        <v>920879</v>
      </c>
      <c r="G2351">
        <v>2</v>
      </c>
      <c r="H2351">
        <v>3</v>
      </c>
      <c r="I2351">
        <v>905</v>
      </c>
      <c r="J2351">
        <v>1957</v>
      </c>
      <c r="K2351" s="4">
        <v>45369</v>
      </c>
      <c r="L2351" t="s">
        <v>26</v>
      </c>
      <c r="M2351" t="s">
        <v>70</v>
      </c>
      <c r="N2351">
        <v>3.34</v>
      </c>
      <c r="O2351">
        <v>2435</v>
      </c>
      <c r="P2351">
        <v>4.59</v>
      </c>
      <c r="Q2351">
        <v>235</v>
      </c>
      <c r="R2351">
        <v>642</v>
      </c>
    </row>
    <row r="2352" spans="1:18" x14ac:dyDescent="0.2">
      <c r="A2352">
        <v>0</v>
      </c>
      <c r="B2352" t="s">
        <v>96</v>
      </c>
      <c r="E2352" t="s">
        <v>36</v>
      </c>
      <c r="F2352">
        <v>1780566</v>
      </c>
      <c r="G2352">
        <v>3</v>
      </c>
      <c r="H2352">
        <v>1</v>
      </c>
      <c r="I2352">
        <v>446</v>
      </c>
      <c r="J2352">
        <v>1976</v>
      </c>
      <c r="K2352" s="4">
        <v>44383</v>
      </c>
      <c r="L2352" t="s">
        <v>20</v>
      </c>
      <c r="M2352" t="s">
        <v>31</v>
      </c>
      <c r="N2352">
        <v>2.9</v>
      </c>
      <c r="O2352">
        <v>2346</v>
      </c>
      <c r="P2352">
        <v>1.01</v>
      </c>
      <c r="Q2352">
        <v>288</v>
      </c>
      <c r="R2352">
        <v>568</v>
      </c>
    </row>
    <row r="2353" spans="1:18" x14ac:dyDescent="0.2">
      <c r="A2353">
        <v>9</v>
      </c>
      <c r="B2353" t="s">
        <v>43</v>
      </c>
      <c r="E2353" t="s">
        <v>29</v>
      </c>
      <c r="F2353">
        <v>783819</v>
      </c>
      <c r="G2353">
        <v>4</v>
      </c>
      <c r="H2353">
        <v>2</v>
      </c>
      <c r="I2353">
        <v>521</v>
      </c>
      <c r="J2353">
        <v>2014</v>
      </c>
      <c r="K2353" s="4">
        <v>45436</v>
      </c>
      <c r="L2353" t="s">
        <v>30</v>
      </c>
      <c r="M2353" t="s">
        <v>97</v>
      </c>
      <c r="N2353">
        <v>3.08</v>
      </c>
      <c r="O2353">
        <v>2250</v>
      </c>
      <c r="P2353">
        <v>0.88</v>
      </c>
      <c r="Q2353">
        <v>355</v>
      </c>
      <c r="R2353">
        <v>524</v>
      </c>
    </row>
    <row r="2354" spans="1:18" x14ac:dyDescent="0.2">
      <c r="A2354">
        <v>1</v>
      </c>
      <c r="B2354" t="s">
        <v>104</v>
      </c>
      <c r="E2354" t="s">
        <v>29</v>
      </c>
      <c r="F2354">
        <v>724793</v>
      </c>
      <c r="G2354">
        <v>1</v>
      </c>
      <c r="H2354">
        <v>1</v>
      </c>
      <c r="I2354">
        <v>540</v>
      </c>
      <c r="J2354">
        <v>1983</v>
      </c>
      <c r="K2354" s="4">
        <v>45189</v>
      </c>
      <c r="L2354" t="s">
        <v>23</v>
      </c>
      <c r="M2354" t="s">
        <v>97</v>
      </c>
      <c r="N2354">
        <v>1.52</v>
      </c>
      <c r="O2354">
        <v>1134</v>
      </c>
      <c r="P2354">
        <v>3.7</v>
      </c>
      <c r="Q2354">
        <v>149</v>
      </c>
      <c r="R2354">
        <v>638</v>
      </c>
    </row>
    <row r="2355" spans="1:18" x14ac:dyDescent="0.2">
      <c r="A2355">
        <v>8</v>
      </c>
      <c r="B2355" t="s">
        <v>101</v>
      </c>
      <c r="E2355" t="s">
        <v>19</v>
      </c>
      <c r="F2355">
        <v>2939794</v>
      </c>
      <c r="G2355">
        <v>2</v>
      </c>
      <c r="H2355">
        <v>1</v>
      </c>
      <c r="I2355">
        <v>510</v>
      </c>
      <c r="J2355">
        <v>1967</v>
      </c>
      <c r="K2355" s="4">
        <v>44751</v>
      </c>
      <c r="L2355" t="s">
        <v>23</v>
      </c>
      <c r="M2355" t="s">
        <v>70</v>
      </c>
      <c r="N2355">
        <v>2.11</v>
      </c>
      <c r="O2355">
        <v>1717</v>
      </c>
      <c r="P2355">
        <v>4.1100000000000003</v>
      </c>
      <c r="Q2355">
        <v>210</v>
      </c>
      <c r="R2355">
        <v>558</v>
      </c>
    </row>
    <row r="2356" spans="1:18" x14ac:dyDescent="0.2">
      <c r="A2356">
        <v>7</v>
      </c>
      <c r="B2356" t="s">
        <v>39</v>
      </c>
      <c r="E2356" t="s">
        <v>51</v>
      </c>
      <c r="F2356">
        <v>2377253</v>
      </c>
      <c r="G2356">
        <v>4</v>
      </c>
      <c r="H2356">
        <v>1</v>
      </c>
      <c r="I2356">
        <v>487</v>
      </c>
      <c r="J2356">
        <v>2015</v>
      </c>
      <c r="K2356" s="4">
        <v>45319</v>
      </c>
      <c r="L2356" t="s">
        <v>26</v>
      </c>
      <c r="M2356" t="s">
        <v>70</v>
      </c>
      <c r="N2356">
        <v>2.4500000000000002</v>
      </c>
      <c r="O2356">
        <v>1825</v>
      </c>
      <c r="P2356">
        <v>4.1500000000000004</v>
      </c>
      <c r="Q2356">
        <v>360</v>
      </c>
      <c r="R2356">
        <v>586</v>
      </c>
    </row>
    <row r="2357" spans="1:18" x14ac:dyDescent="0.2">
      <c r="A2357">
        <v>6</v>
      </c>
      <c r="B2357" t="s">
        <v>65</v>
      </c>
      <c r="E2357" t="s">
        <v>51</v>
      </c>
      <c r="F2357">
        <v>905298</v>
      </c>
      <c r="G2357">
        <v>5</v>
      </c>
      <c r="H2357">
        <v>1</v>
      </c>
      <c r="I2357">
        <v>826</v>
      </c>
      <c r="J2357">
        <v>1986</v>
      </c>
      <c r="K2357" s="4">
        <v>44102</v>
      </c>
      <c r="L2357" t="s">
        <v>30</v>
      </c>
      <c r="M2357" t="s">
        <v>58</v>
      </c>
      <c r="N2357">
        <v>2.44</v>
      </c>
      <c r="O2357">
        <v>1810</v>
      </c>
      <c r="P2357">
        <v>4.25</v>
      </c>
      <c r="Q2357">
        <v>374</v>
      </c>
      <c r="R2357">
        <v>537</v>
      </c>
    </row>
    <row r="2358" spans="1:18" x14ac:dyDescent="0.2">
      <c r="A2358">
        <v>0</v>
      </c>
      <c r="B2358" t="s">
        <v>28</v>
      </c>
      <c r="E2358" t="s">
        <v>29</v>
      </c>
      <c r="F2358">
        <v>2684950</v>
      </c>
      <c r="G2358">
        <v>2</v>
      </c>
      <c r="H2358">
        <v>1</v>
      </c>
      <c r="I2358">
        <v>719</v>
      </c>
      <c r="J2358">
        <v>1957</v>
      </c>
      <c r="K2358" s="4">
        <v>45837</v>
      </c>
      <c r="L2358" t="s">
        <v>20</v>
      </c>
      <c r="M2358" t="s">
        <v>69</v>
      </c>
      <c r="N2358">
        <v>2.1</v>
      </c>
      <c r="O2358">
        <v>2362</v>
      </c>
      <c r="P2358">
        <v>2.96</v>
      </c>
      <c r="Q2358">
        <v>74</v>
      </c>
      <c r="R2358">
        <v>317</v>
      </c>
    </row>
    <row r="2359" spans="1:18" x14ac:dyDescent="0.2">
      <c r="A2359">
        <v>4</v>
      </c>
      <c r="B2359" t="s">
        <v>104</v>
      </c>
      <c r="E2359" t="s">
        <v>51</v>
      </c>
      <c r="F2359">
        <v>2212877</v>
      </c>
      <c r="G2359">
        <v>4</v>
      </c>
      <c r="H2359">
        <v>2</v>
      </c>
      <c r="I2359">
        <v>909</v>
      </c>
      <c r="J2359">
        <v>2013</v>
      </c>
      <c r="K2359" s="4">
        <v>44984</v>
      </c>
      <c r="L2359" t="s">
        <v>20</v>
      </c>
      <c r="M2359" t="s">
        <v>31</v>
      </c>
      <c r="N2359">
        <v>1.89</v>
      </c>
      <c r="O2359">
        <v>1413</v>
      </c>
      <c r="P2359">
        <v>0.56999999999999995</v>
      </c>
      <c r="Q2359">
        <v>384</v>
      </c>
      <c r="R2359">
        <v>503</v>
      </c>
    </row>
    <row r="2360" spans="1:18" x14ac:dyDescent="0.2">
      <c r="A2360">
        <v>6</v>
      </c>
      <c r="B2360" t="s">
        <v>72</v>
      </c>
      <c r="E2360" t="s">
        <v>36</v>
      </c>
      <c r="F2360">
        <v>1341822</v>
      </c>
      <c r="G2360">
        <v>1</v>
      </c>
      <c r="H2360">
        <v>3</v>
      </c>
      <c r="I2360">
        <v>866</v>
      </c>
      <c r="J2360">
        <v>1952</v>
      </c>
      <c r="K2360" s="4">
        <v>45581</v>
      </c>
      <c r="L2360" t="s">
        <v>20</v>
      </c>
      <c r="M2360" t="s">
        <v>54</v>
      </c>
      <c r="N2360">
        <v>2.73</v>
      </c>
      <c r="O2360">
        <v>2291</v>
      </c>
      <c r="P2360">
        <v>1.43</v>
      </c>
      <c r="Q2360">
        <v>86</v>
      </c>
      <c r="R2360">
        <v>418</v>
      </c>
    </row>
    <row r="2361" spans="1:18" x14ac:dyDescent="0.2">
      <c r="A2361">
        <v>9</v>
      </c>
      <c r="B2361" t="s">
        <v>32</v>
      </c>
      <c r="E2361" t="s">
        <v>19</v>
      </c>
      <c r="F2361">
        <v>936158</v>
      </c>
      <c r="G2361">
        <v>2</v>
      </c>
      <c r="H2361">
        <v>3</v>
      </c>
      <c r="I2361">
        <v>748</v>
      </c>
      <c r="J2361">
        <v>1958</v>
      </c>
      <c r="K2361" s="4">
        <v>45738</v>
      </c>
      <c r="L2361" t="s">
        <v>20</v>
      </c>
      <c r="M2361" t="s">
        <v>45</v>
      </c>
      <c r="N2361">
        <v>2.2599999999999998</v>
      </c>
      <c r="O2361">
        <v>1051</v>
      </c>
      <c r="P2361">
        <v>0.5</v>
      </c>
      <c r="Q2361">
        <v>93</v>
      </c>
      <c r="R2361">
        <v>578</v>
      </c>
    </row>
    <row r="2362" spans="1:18" x14ac:dyDescent="0.2">
      <c r="A2362">
        <v>5</v>
      </c>
      <c r="B2362" t="s">
        <v>95</v>
      </c>
      <c r="E2362" t="s">
        <v>51</v>
      </c>
      <c r="F2362">
        <v>2582439</v>
      </c>
      <c r="G2362">
        <v>3</v>
      </c>
      <c r="H2362">
        <v>1</v>
      </c>
      <c r="I2362">
        <v>908</v>
      </c>
      <c r="J2362">
        <v>1954</v>
      </c>
      <c r="K2362" s="4">
        <v>45789</v>
      </c>
      <c r="L2362" t="s">
        <v>30</v>
      </c>
      <c r="M2362" t="s">
        <v>82</v>
      </c>
      <c r="N2362">
        <v>2.36</v>
      </c>
      <c r="O2362">
        <v>1869</v>
      </c>
      <c r="P2362">
        <v>2.41</v>
      </c>
      <c r="Q2362">
        <v>85</v>
      </c>
      <c r="R2362">
        <v>369</v>
      </c>
    </row>
    <row r="2363" spans="1:18" x14ac:dyDescent="0.2">
      <c r="A2363">
        <v>5</v>
      </c>
      <c r="B2363" t="s">
        <v>50</v>
      </c>
      <c r="E2363" t="s">
        <v>29</v>
      </c>
      <c r="F2363">
        <v>1934802</v>
      </c>
      <c r="G2363">
        <v>4</v>
      </c>
      <c r="H2363">
        <v>1</v>
      </c>
      <c r="I2363">
        <v>796</v>
      </c>
      <c r="J2363">
        <v>1958</v>
      </c>
      <c r="K2363" s="4">
        <v>45537</v>
      </c>
      <c r="L2363" t="s">
        <v>23</v>
      </c>
      <c r="M2363" t="s">
        <v>63</v>
      </c>
      <c r="N2363">
        <v>2.2400000000000002</v>
      </c>
      <c r="O2363">
        <v>2016</v>
      </c>
      <c r="P2363">
        <v>3.89</v>
      </c>
      <c r="Q2363">
        <v>265</v>
      </c>
      <c r="R2363">
        <v>406</v>
      </c>
    </row>
    <row r="2364" spans="1:18" x14ac:dyDescent="0.2">
      <c r="A2364">
        <v>4</v>
      </c>
      <c r="B2364" t="s">
        <v>105</v>
      </c>
      <c r="E2364" t="s">
        <v>36</v>
      </c>
      <c r="F2364">
        <v>2049160</v>
      </c>
      <c r="G2364">
        <v>6</v>
      </c>
      <c r="H2364">
        <v>2</v>
      </c>
      <c r="I2364">
        <v>655</v>
      </c>
      <c r="J2364">
        <v>1976</v>
      </c>
      <c r="K2364" s="4">
        <v>44160</v>
      </c>
      <c r="L2364" t="s">
        <v>20</v>
      </c>
      <c r="M2364" t="s">
        <v>33</v>
      </c>
      <c r="N2364">
        <v>1.97</v>
      </c>
      <c r="O2364">
        <v>1246</v>
      </c>
      <c r="P2364">
        <v>1.6</v>
      </c>
      <c r="Q2364">
        <v>386</v>
      </c>
      <c r="R2364">
        <v>532</v>
      </c>
    </row>
    <row r="2365" spans="1:18" x14ac:dyDescent="0.2">
      <c r="A2365">
        <v>3</v>
      </c>
      <c r="B2365" t="s">
        <v>53</v>
      </c>
      <c r="E2365" t="s">
        <v>51</v>
      </c>
      <c r="F2365">
        <v>1430677</v>
      </c>
      <c r="G2365">
        <v>2</v>
      </c>
      <c r="H2365">
        <v>2</v>
      </c>
      <c r="I2365">
        <v>143</v>
      </c>
      <c r="J2365">
        <v>1952</v>
      </c>
      <c r="K2365" s="4">
        <v>44387</v>
      </c>
      <c r="L2365" t="s">
        <v>20</v>
      </c>
      <c r="M2365" t="s">
        <v>33</v>
      </c>
      <c r="N2365">
        <v>2.61</v>
      </c>
      <c r="O2365">
        <v>830</v>
      </c>
      <c r="P2365">
        <v>0.96</v>
      </c>
      <c r="Q2365">
        <v>53</v>
      </c>
      <c r="R2365">
        <v>678</v>
      </c>
    </row>
    <row r="2366" spans="1:18" x14ac:dyDescent="0.2">
      <c r="A2366">
        <v>0</v>
      </c>
      <c r="B2366" t="s">
        <v>46</v>
      </c>
      <c r="E2366" t="s">
        <v>29</v>
      </c>
      <c r="F2366">
        <v>2745172</v>
      </c>
      <c r="G2366">
        <v>2</v>
      </c>
      <c r="H2366">
        <v>2</v>
      </c>
      <c r="I2366">
        <v>811</v>
      </c>
      <c r="J2366">
        <v>2019</v>
      </c>
      <c r="K2366" s="4">
        <v>44186</v>
      </c>
      <c r="L2366" t="s">
        <v>20</v>
      </c>
      <c r="M2366" t="s">
        <v>85</v>
      </c>
      <c r="N2366">
        <v>3</v>
      </c>
      <c r="O2366">
        <v>1101</v>
      </c>
      <c r="P2366">
        <v>0.63</v>
      </c>
      <c r="Q2366">
        <v>105</v>
      </c>
      <c r="R2366">
        <v>353</v>
      </c>
    </row>
    <row r="2367" spans="1:18" x14ac:dyDescent="0.2">
      <c r="A2367">
        <v>9</v>
      </c>
      <c r="B2367" t="s">
        <v>22</v>
      </c>
      <c r="E2367" t="s">
        <v>36</v>
      </c>
      <c r="F2367">
        <v>2883745</v>
      </c>
      <c r="G2367">
        <v>5</v>
      </c>
      <c r="H2367">
        <v>2</v>
      </c>
      <c r="I2367">
        <v>592</v>
      </c>
      <c r="J2367">
        <v>1988</v>
      </c>
      <c r="K2367" s="4">
        <v>44730</v>
      </c>
      <c r="L2367" t="s">
        <v>23</v>
      </c>
      <c r="M2367" t="s">
        <v>24</v>
      </c>
      <c r="N2367">
        <v>1.93</v>
      </c>
      <c r="O2367">
        <v>2493</v>
      </c>
      <c r="P2367">
        <v>3.08</v>
      </c>
      <c r="Q2367">
        <v>374</v>
      </c>
      <c r="R2367">
        <v>416</v>
      </c>
    </row>
    <row r="2368" spans="1:18" x14ac:dyDescent="0.2">
      <c r="A2368">
        <v>0</v>
      </c>
      <c r="B2368" t="s">
        <v>75</v>
      </c>
      <c r="E2368" t="s">
        <v>19</v>
      </c>
      <c r="F2368">
        <v>2792061</v>
      </c>
      <c r="G2368">
        <v>4</v>
      </c>
      <c r="H2368">
        <v>1</v>
      </c>
      <c r="I2368">
        <v>119</v>
      </c>
      <c r="J2368">
        <v>1965</v>
      </c>
      <c r="K2368" s="4">
        <v>44846</v>
      </c>
      <c r="L2368" t="s">
        <v>30</v>
      </c>
      <c r="M2368" t="s">
        <v>21</v>
      </c>
      <c r="N2368">
        <v>3.2</v>
      </c>
      <c r="O2368">
        <v>935</v>
      </c>
      <c r="P2368">
        <v>2.1</v>
      </c>
      <c r="Q2368">
        <v>283</v>
      </c>
      <c r="R2368">
        <v>607</v>
      </c>
    </row>
    <row r="2369" spans="1:18" x14ac:dyDescent="0.2">
      <c r="A2369">
        <v>1</v>
      </c>
      <c r="B2369" t="s">
        <v>53</v>
      </c>
      <c r="E2369" t="s">
        <v>29</v>
      </c>
      <c r="F2369">
        <v>2266316</v>
      </c>
      <c r="G2369">
        <v>6</v>
      </c>
      <c r="H2369">
        <v>1</v>
      </c>
      <c r="I2369">
        <v>611</v>
      </c>
      <c r="J2369">
        <v>1961</v>
      </c>
      <c r="K2369" s="4">
        <v>44223</v>
      </c>
      <c r="L2369" t="s">
        <v>23</v>
      </c>
      <c r="M2369" t="s">
        <v>27</v>
      </c>
      <c r="N2369">
        <v>3.05</v>
      </c>
      <c r="O2369">
        <v>1521</v>
      </c>
      <c r="P2369">
        <v>4.92</v>
      </c>
      <c r="Q2369">
        <v>331</v>
      </c>
      <c r="R2369">
        <v>371</v>
      </c>
    </row>
    <row r="2370" spans="1:18" x14ac:dyDescent="0.2">
      <c r="A2370">
        <v>9</v>
      </c>
      <c r="B2370" t="s">
        <v>83</v>
      </c>
      <c r="E2370" t="s">
        <v>29</v>
      </c>
      <c r="F2370">
        <v>1290348</v>
      </c>
      <c r="G2370">
        <v>2</v>
      </c>
      <c r="H2370">
        <v>1</v>
      </c>
      <c r="I2370">
        <v>221</v>
      </c>
      <c r="J2370">
        <v>2011</v>
      </c>
      <c r="K2370" s="4">
        <v>44214</v>
      </c>
      <c r="L2370" t="s">
        <v>26</v>
      </c>
      <c r="M2370" t="s">
        <v>58</v>
      </c>
      <c r="N2370">
        <v>2.84</v>
      </c>
      <c r="O2370">
        <v>1318</v>
      </c>
      <c r="P2370">
        <v>4.5</v>
      </c>
      <c r="Q2370">
        <v>107</v>
      </c>
      <c r="R2370">
        <v>599</v>
      </c>
    </row>
    <row r="2371" spans="1:18" x14ac:dyDescent="0.2">
      <c r="A2371">
        <v>4</v>
      </c>
      <c r="B2371" t="s">
        <v>57</v>
      </c>
      <c r="E2371" t="s">
        <v>36</v>
      </c>
      <c r="F2371">
        <v>1377757</v>
      </c>
      <c r="G2371">
        <v>5</v>
      </c>
      <c r="H2371">
        <v>3</v>
      </c>
      <c r="I2371">
        <v>769</v>
      </c>
      <c r="J2371">
        <v>1971</v>
      </c>
      <c r="K2371" s="4">
        <v>44496</v>
      </c>
      <c r="L2371" t="s">
        <v>30</v>
      </c>
      <c r="M2371" t="s">
        <v>60</v>
      </c>
      <c r="N2371">
        <v>3.09</v>
      </c>
      <c r="O2371">
        <v>1923</v>
      </c>
      <c r="P2371">
        <v>2.08</v>
      </c>
      <c r="Q2371">
        <v>354</v>
      </c>
      <c r="R2371">
        <v>483</v>
      </c>
    </row>
    <row r="2372" spans="1:18" x14ac:dyDescent="0.2">
      <c r="A2372">
        <v>4</v>
      </c>
      <c r="B2372" t="s">
        <v>98</v>
      </c>
      <c r="E2372" t="s">
        <v>51</v>
      </c>
      <c r="F2372">
        <v>1819638</v>
      </c>
      <c r="G2372">
        <v>0</v>
      </c>
      <c r="H2372">
        <v>3</v>
      </c>
      <c r="I2372">
        <v>116</v>
      </c>
      <c r="J2372">
        <v>1950</v>
      </c>
      <c r="K2372" s="4">
        <v>45057</v>
      </c>
      <c r="L2372" t="s">
        <v>26</v>
      </c>
      <c r="M2372" t="s">
        <v>74</v>
      </c>
      <c r="N2372">
        <v>3.49</v>
      </c>
      <c r="O2372">
        <v>1732</v>
      </c>
      <c r="P2372">
        <v>2.17</v>
      </c>
      <c r="Q2372">
        <v>48</v>
      </c>
      <c r="R2372">
        <v>438</v>
      </c>
    </row>
    <row r="2373" spans="1:18" x14ac:dyDescent="0.2">
      <c r="A2373">
        <v>0</v>
      </c>
      <c r="B2373" t="s">
        <v>96</v>
      </c>
      <c r="E2373" t="s">
        <v>36</v>
      </c>
      <c r="F2373">
        <v>848905</v>
      </c>
      <c r="G2373">
        <v>4</v>
      </c>
      <c r="H2373">
        <v>3</v>
      </c>
      <c r="I2373">
        <v>635</v>
      </c>
      <c r="J2373">
        <v>2007</v>
      </c>
      <c r="K2373" s="4">
        <v>44122</v>
      </c>
      <c r="L2373" t="s">
        <v>30</v>
      </c>
      <c r="M2373" t="s">
        <v>66</v>
      </c>
      <c r="N2373">
        <v>2.9</v>
      </c>
      <c r="O2373">
        <v>1761</v>
      </c>
      <c r="P2373">
        <v>2.96</v>
      </c>
      <c r="Q2373">
        <v>360</v>
      </c>
      <c r="R2373">
        <v>314</v>
      </c>
    </row>
    <row r="2374" spans="1:18" x14ac:dyDescent="0.2">
      <c r="A2374">
        <v>7</v>
      </c>
      <c r="B2374" t="s">
        <v>64</v>
      </c>
      <c r="E2374" t="s">
        <v>36</v>
      </c>
      <c r="F2374">
        <v>2669140</v>
      </c>
      <c r="G2374">
        <v>3</v>
      </c>
      <c r="H2374">
        <v>3</v>
      </c>
      <c r="I2374">
        <v>702</v>
      </c>
      <c r="J2374">
        <v>2012</v>
      </c>
      <c r="K2374" s="4">
        <v>45301</v>
      </c>
      <c r="L2374" t="s">
        <v>26</v>
      </c>
      <c r="M2374" t="s">
        <v>40</v>
      </c>
      <c r="N2374">
        <v>1.9</v>
      </c>
      <c r="O2374">
        <v>972</v>
      </c>
      <c r="P2374">
        <v>2.69</v>
      </c>
      <c r="Q2374">
        <v>244</v>
      </c>
      <c r="R2374">
        <v>484</v>
      </c>
    </row>
    <row r="2375" spans="1:18" x14ac:dyDescent="0.2">
      <c r="A2375">
        <v>7</v>
      </c>
      <c r="B2375" t="s">
        <v>104</v>
      </c>
      <c r="E2375" t="s">
        <v>36</v>
      </c>
      <c r="F2375">
        <v>1911649</v>
      </c>
      <c r="G2375">
        <v>5</v>
      </c>
      <c r="H2375">
        <v>2</v>
      </c>
      <c r="I2375">
        <v>438</v>
      </c>
      <c r="J2375">
        <v>1976</v>
      </c>
      <c r="K2375" s="4">
        <v>45028</v>
      </c>
      <c r="L2375" t="s">
        <v>26</v>
      </c>
      <c r="M2375" t="s">
        <v>77</v>
      </c>
      <c r="N2375">
        <v>2.68</v>
      </c>
      <c r="O2375">
        <v>2368</v>
      </c>
      <c r="P2375">
        <v>3.51</v>
      </c>
      <c r="Q2375">
        <v>358</v>
      </c>
      <c r="R2375">
        <v>597</v>
      </c>
    </row>
    <row r="2376" spans="1:18" x14ac:dyDescent="0.2">
      <c r="A2376">
        <v>3</v>
      </c>
      <c r="B2376" t="s">
        <v>73</v>
      </c>
      <c r="E2376" t="s">
        <v>51</v>
      </c>
      <c r="F2376">
        <v>1618501</v>
      </c>
      <c r="G2376">
        <v>2</v>
      </c>
      <c r="H2376">
        <v>1</v>
      </c>
      <c r="I2376">
        <v>852</v>
      </c>
      <c r="J2376">
        <v>1952</v>
      </c>
      <c r="K2376" s="4">
        <v>45183</v>
      </c>
      <c r="L2376" t="s">
        <v>23</v>
      </c>
      <c r="M2376" t="s">
        <v>63</v>
      </c>
      <c r="N2376">
        <v>2.99</v>
      </c>
      <c r="O2376">
        <v>826</v>
      </c>
      <c r="P2376">
        <v>1.48</v>
      </c>
      <c r="Q2376">
        <v>91</v>
      </c>
      <c r="R2376">
        <v>361</v>
      </c>
    </row>
    <row r="2377" spans="1:18" x14ac:dyDescent="0.2">
      <c r="A2377">
        <v>9</v>
      </c>
      <c r="B2377" t="s">
        <v>62</v>
      </c>
      <c r="E2377" t="s">
        <v>19</v>
      </c>
      <c r="F2377">
        <v>960679</v>
      </c>
      <c r="G2377">
        <v>3</v>
      </c>
      <c r="H2377">
        <v>2</v>
      </c>
      <c r="I2377">
        <v>895</v>
      </c>
      <c r="J2377">
        <v>2018</v>
      </c>
      <c r="K2377" s="4">
        <v>44379</v>
      </c>
      <c r="L2377" t="s">
        <v>20</v>
      </c>
      <c r="M2377" t="s">
        <v>42</v>
      </c>
      <c r="N2377">
        <v>1.98</v>
      </c>
      <c r="O2377">
        <v>1581</v>
      </c>
      <c r="P2377">
        <v>0.13</v>
      </c>
      <c r="Q2377">
        <v>298</v>
      </c>
      <c r="R2377">
        <v>429</v>
      </c>
    </row>
    <row r="2378" spans="1:18" x14ac:dyDescent="0.2">
      <c r="A2378">
        <v>1</v>
      </c>
      <c r="B2378" t="s">
        <v>34</v>
      </c>
      <c r="E2378" t="s">
        <v>36</v>
      </c>
      <c r="F2378">
        <v>2913044</v>
      </c>
      <c r="G2378">
        <v>5</v>
      </c>
      <c r="H2378">
        <v>1</v>
      </c>
      <c r="I2378">
        <v>529</v>
      </c>
      <c r="J2378">
        <v>2012</v>
      </c>
      <c r="K2378" s="4">
        <v>44127</v>
      </c>
      <c r="L2378" t="s">
        <v>30</v>
      </c>
      <c r="M2378" t="s">
        <v>69</v>
      </c>
      <c r="N2378">
        <v>2.02</v>
      </c>
      <c r="O2378">
        <v>1438</v>
      </c>
      <c r="P2378">
        <v>4.33</v>
      </c>
      <c r="Q2378">
        <v>266</v>
      </c>
      <c r="R2378">
        <v>393</v>
      </c>
    </row>
    <row r="2379" spans="1:18" x14ac:dyDescent="0.2">
      <c r="A2379">
        <v>8</v>
      </c>
      <c r="B2379" t="s">
        <v>67</v>
      </c>
      <c r="E2379" t="s">
        <v>19</v>
      </c>
      <c r="F2379">
        <v>2873122</v>
      </c>
      <c r="G2379">
        <v>2</v>
      </c>
      <c r="H2379">
        <v>2</v>
      </c>
      <c r="I2379">
        <v>612</v>
      </c>
      <c r="J2379">
        <v>1954</v>
      </c>
      <c r="K2379" s="4">
        <v>44523</v>
      </c>
      <c r="L2379" t="s">
        <v>23</v>
      </c>
      <c r="M2379" t="s">
        <v>68</v>
      </c>
      <c r="N2379">
        <v>3.13</v>
      </c>
      <c r="O2379">
        <v>1985</v>
      </c>
      <c r="P2379">
        <v>3.33</v>
      </c>
      <c r="Q2379">
        <v>176</v>
      </c>
      <c r="R2379">
        <v>313</v>
      </c>
    </row>
    <row r="2380" spans="1:18" x14ac:dyDescent="0.2">
      <c r="A2380">
        <v>1</v>
      </c>
      <c r="B2380" t="s">
        <v>101</v>
      </c>
      <c r="E2380" t="s">
        <v>19</v>
      </c>
      <c r="F2380">
        <v>688843</v>
      </c>
      <c r="G2380">
        <v>4</v>
      </c>
      <c r="H2380">
        <v>3</v>
      </c>
      <c r="I2380">
        <v>543</v>
      </c>
      <c r="J2380">
        <v>1985</v>
      </c>
      <c r="K2380" s="4">
        <v>44541</v>
      </c>
      <c r="L2380" t="s">
        <v>26</v>
      </c>
      <c r="M2380" t="s">
        <v>56</v>
      </c>
      <c r="N2380">
        <v>3.08</v>
      </c>
      <c r="O2380">
        <v>1908</v>
      </c>
      <c r="P2380">
        <v>4.3099999999999996</v>
      </c>
      <c r="Q2380">
        <v>188</v>
      </c>
      <c r="R2380">
        <v>306</v>
      </c>
    </row>
    <row r="2381" spans="1:18" x14ac:dyDescent="0.2">
      <c r="A2381">
        <v>4</v>
      </c>
      <c r="B2381" t="s">
        <v>32</v>
      </c>
      <c r="E2381" t="s">
        <v>29</v>
      </c>
      <c r="F2381">
        <v>1442359</v>
      </c>
      <c r="G2381">
        <v>3</v>
      </c>
      <c r="H2381">
        <v>1</v>
      </c>
      <c r="I2381">
        <v>444</v>
      </c>
      <c r="J2381">
        <v>1973</v>
      </c>
      <c r="K2381" s="4">
        <v>44682</v>
      </c>
      <c r="L2381" t="s">
        <v>20</v>
      </c>
      <c r="M2381" t="s">
        <v>33</v>
      </c>
      <c r="N2381">
        <v>3.43</v>
      </c>
      <c r="O2381">
        <v>1705</v>
      </c>
      <c r="P2381">
        <v>3.18</v>
      </c>
      <c r="Q2381">
        <v>155</v>
      </c>
      <c r="R2381">
        <v>634</v>
      </c>
    </row>
    <row r="2382" spans="1:18" x14ac:dyDescent="0.2">
      <c r="A2382">
        <v>8</v>
      </c>
      <c r="B2382" t="s">
        <v>22</v>
      </c>
      <c r="E2382" t="s">
        <v>29</v>
      </c>
      <c r="F2382">
        <v>1195927</v>
      </c>
      <c r="G2382">
        <v>0</v>
      </c>
      <c r="H2382">
        <v>3</v>
      </c>
      <c r="I2382">
        <v>274</v>
      </c>
      <c r="J2382">
        <v>1988</v>
      </c>
      <c r="K2382" s="4">
        <v>45743</v>
      </c>
      <c r="L2382" t="s">
        <v>20</v>
      </c>
      <c r="M2382" t="s">
        <v>74</v>
      </c>
      <c r="N2382">
        <v>3.16</v>
      </c>
      <c r="O2382">
        <v>1055</v>
      </c>
      <c r="P2382">
        <v>1.83</v>
      </c>
      <c r="Q2382">
        <v>54</v>
      </c>
      <c r="R2382">
        <v>400</v>
      </c>
    </row>
    <row r="2383" spans="1:18" x14ac:dyDescent="0.2">
      <c r="A2383">
        <v>7</v>
      </c>
      <c r="B2383" t="s">
        <v>102</v>
      </c>
      <c r="E2383" t="s">
        <v>29</v>
      </c>
      <c r="F2383">
        <v>2434744</v>
      </c>
      <c r="G2383">
        <v>3</v>
      </c>
      <c r="H2383">
        <v>3</v>
      </c>
      <c r="I2383">
        <v>877</v>
      </c>
      <c r="J2383">
        <v>1959</v>
      </c>
      <c r="K2383" s="4">
        <v>45277</v>
      </c>
      <c r="L2383" t="s">
        <v>30</v>
      </c>
      <c r="M2383" t="s">
        <v>42</v>
      </c>
      <c r="N2383">
        <v>3.34</v>
      </c>
      <c r="O2383">
        <v>2012</v>
      </c>
      <c r="P2383">
        <v>2.61</v>
      </c>
      <c r="Q2383">
        <v>274</v>
      </c>
      <c r="R2383">
        <v>636</v>
      </c>
    </row>
    <row r="2384" spans="1:18" x14ac:dyDescent="0.2">
      <c r="A2384">
        <v>1</v>
      </c>
      <c r="B2384" t="s">
        <v>62</v>
      </c>
      <c r="E2384" t="s">
        <v>51</v>
      </c>
      <c r="F2384">
        <v>2580345</v>
      </c>
      <c r="G2384">
        <v>4</v>
      </c>
      <c r="H2384">
        <v>3</v>
      </c>
      <c r="I2384">
        <v>619</v>
      </c>
      <c r="J2384">
        <v>1972</v>
      </c>
      <c r="K2384" s="4">
        <v>44841</v>
      </c>
      <c r="L2384" t="s">
        <v>26</v>
      </c>
      <c r="M2384" t="s">
        <v>60</v>
      </c>
      <c r="N2384">
        <v>1.62</v>
      </c>
      <c r="O2384">
        <v>1898</v>
      </c>
      <c r="P2384">
        <v>2.48</v>
      </c>
      <c r="Q2384">
        <v>301</v>
      </c>
      <c r="R2384">
        <v>301</v>
      </c>
    </row>
    <row r="2385" spans="1:18" x14ac:dyDescent="0.2">
      <c r="A2385">
        <v>6</v>
      </c>
      <c r="B2385" t="s">
        <v>55</v>
      </c>
      <c r="E2385" t="s">
        <v>19</v>
      </c>
      <c r="F2385">
        <v>955660</v>
      </c>
      <c r="G2385">
        <v>5</v>
      </c>
      <c r="H2385">
        <v>1</v>
      </c>
      <c r="I2385">
        <v>447</v>
      </c>
      <c r="J2385">
        <v>1991</v>
      </c>
      <c r="K2385" s="4">
        <v>45849</v>
      </c>
      <c r="L2385" t="s">
        <v>23</v>
      </c>
      <c r="M2385" t="s">
        <v>89</v>
      </c>
      <c r="N2385">
        <v>2.06</v>
      </c>
      <c r="O2385">
        <v>2198</v>
      </c>
      <c r="P2385">
        <v>2.96</v>
      </c>
      <c r="Q2385">
        <v>303</v>
      </c>
      <c r="R2385">
        <v>660</v>
      </c>
    </row>
    <row r="2386" spans="1:18" x14ac:dyDescent="0.2">
      <c r="A2386">
        <v>5</v>
      </c>
      <c r="B2386" t="s">
        <v>43</v>
      </c>
      <c r="E2386" t="s">
        <v>51</v>
      </c>
      <c r="F2386">
        <v>2704653</v>
      </c>
      <c r="G2386">
        <v>4</v>
      </c>
      <c r="H2386">
        <v>1</v>
      </c>
      <c r="I2386">
        <v>785</v>
      </c>
      <c r="J2386">
        <v>2015</v>
      </c>
      <c r="K2386" s="4">
        <v>44558</v>
      </c>
      <c r="L2386" t="s">
        <v>20</v>
      </c>
      <c r="M2386" t="s">
        <v>47</v>
      </c>
      <c r="N2386">
        <v>2.16</v>
      </c>
      <c r="O2386">
        <v>860</v>
      </c>
      <c r="P2386">
        <v>3.59</v>
      </c>
      <c r="Q2386">
        <v>196</v>
      </c>
      <c r="R2386">
        <v>612</v>
      </c>
    </row>
    <row r="2387" spans="1:18" x14ac:dyDescent="0.2">
      <c r="A2387">
        <v>1</v>
      </c>
      <c r="B2387" t="s">
        <v>67</v>
      </c>
      <c r="E2387" t="s">
        <v>29</v>
      </c>
      <c r="F2387">
        <v>2618044</v>
      </c>
      <c r="G2387">
        <v>3</v>
      </c>
      <c r="H2387">
        <v>1</v>
      </c>
      <c r="I2387">
        <v>280</v>
      </c>
      <c r="J2387">
        <v>1975</v>
      </c>
      <c r="K2387" s="4">
        <v>44510</v>
      </c>
      <c r="L2387" t="s">
        <v>30</v>
      </c>
      <c r="M2387" t="s">
        <v>33</v>
      </c>
      <c r="N2387">
        <v>2.2200000000000002</v>
      </c>
      <c r="O2387">
        <v>2303</v>
      </c>
      <c r="P2387">
        <v>0.33</v>
      </c>
      <c r="Q2387">
        <v>150</v>
      </c>
      <c r="R2387">
        <v>346</v>
      </c>
    </row>
    <row r="2388" spans="1:18" x14ac:dyDescent="0.2">
      <c r="A2388">
        <v>9</v>
      </c>
      <c r="B2388" t="s">
        <v>98</v>
      </c>
      <c r="E2388" t="s">
        <v>19</v>
      </c>
      <c r="F2388">
        <v>1999865</v>
      </c>
      <c r="G2388">
        <v>3</v>
      </c>
      <c r="H2388">
        <v>3</v>
      </c>
      <c r="I2388">
        <v>259</v>
      </c>
      <c r="J2388">
        <v>2000</v>
      </c>
      <c r="K2388" s="4">
        <v>45603</v>
      </c>
      <c r="L2388" t="s">
        <v>23</v>
      </c>
      <c r="M2388" t="s">
        <v>82</v>
      </c>
      <c r="N2388">
        <v>2.5299999999999998</v>
      </c>
      <c r="O2388">
        <v>2063</v>
      </c>
      <c r="P2388">
        <v>1.86</v>
      </c>
      <c r="Q2388">
        <v>111</v>
      </c>
      <c r="R2388">
        <v>457</v>
      </c>
    </row>
    <row r="2389" spans="1:18" x14ac:dyDescent="0.2">
      <c r="A2389">
        <v>6</v>
      </c>
      <c r="B2389" t="s">
        <v>75</v>
      </c>
      <c r="E2389" t="s">
        <v>51</v>
      </c>
      <c r="F2389">
        <v>585731</v>
      </c>
      <c r="G2389">
        <v>5</v>
      </c>
      <c r="H2389">
        <v>3</v>
      </c>
      <c r="I2389">
        <v>790</v>
      </c>
      <c r="J2389">
        <v>2020</v>
      </c>
      <c r="K2389" s="4">
        <v>45787</v>
      </c>
      <c r="L2389" t="s">
        <v>30</v>
      </c>
      <c r="M2389" t="s">
        <v>59</v>
      </c>
      <c r="N2389">
        <v>2.81</v>
      </c>
      <c r="O2389">
        <v>2149</v>
      </c>
      <c r="P2389">
        <v>3.5</v>
      </c>
      <c r="Q2389">
        <v>320</v>
      </c>
      <c r="R2389">
        <v>556</v>
      </c>
    </row>
    <row r="2390" spans="1:18" x14ac:dyDescent="0.2">
      <c r="A2390">
        <v>6</v>
      </c>
      <c r="B2390" t="s">
        <v>84</v>
      </c>
      <c r="E2390" t="s">
        <v>19</v>
      </c>
      <c r="F2390">
        <v>429081</v>
      </c>
      <c r="G2390">
        <v>3</v>
      </c>
      <c r="H2390">
        <v>3</v>
      </c>
      <c r="I2390">
        <v>98</v>
      </c>
      <c r="J2390">
        <v>1992</v>
      </c>
      <c r="K2390" s="4">
        <v>45207</v>
      </c>
      <c r="L2390" t="s">
        <v>23</v>
      </c>
      <c r="M2390" t="s">
        <v>78</v>
      </c>
      <c r="N2390">
        <v>2.37</v>
      </c>
      <c r="O2390">
        <v>1754</v>
      </c>
      <c r="P2390">
        <v>0.41</v>
      </c>
      <c r="Q2390">
        <v>189</v>
      </c>
      <c r="R2390">
        <v>560</v>
      </c>
    </row>
    <row r="2391" spans="1:18" x14ac:dyDescent="0.2">
      <c r="A2391">
        <v>9</v>
      </c>
      <c r="B2391" t="s">
        <v>73</v>
      </c>
      <c r="E2391" t="s">
        <v>29</v>
      </c>
      <c r="F2391">
        <v>2181667</v>
      </c>
      <c r="G2391">
        <v>4</v>
      </c>
      <c r="H2391">
        <v>3</v>
      </c>
      <c r="I2391">
        <v>467</v>
      </c>
      <c r="J2391">
        <v>1983</v>
      </c>
      <c r="K2391" s="4">
        <v>45273</v>
      </c>
      <c r="L2391" t="s">
        <v>30</v>
      </c>
      <c r="M2391" t="s">
        <v>63</v>
      </c>
      <c r="N2391">
        <v>3.18</v>
      </c>
      <c r="O2391">
        <v>1033</v>
      </c>
      <c r="P2391">
        <v>0.32</v>
      </c>
      <c r="Q2391">
        <v>318</v>
      </c>
      <c r="R2391">
        <v>450</v>
      </c>
    </row>
    <row r="2392" spans="1:18" x14ac:dyDescent="0.2">
      <c r="A2392">
        <v>7</v>
      </c>
      <c r="B2392" t="s">
        <v>81</v>
      </c>
      <c r="E2392" t="s">
        <v>36</v>
      </c>
      <c r="F2392">
        <v>2248560</v>
      </c>
      <c r="G2392">
        <v>6</v>
      </c>
      <c r="H2392">
        <v>1</v>
      </c>
      <c r="I2392">
        <v>863</v>
      </c>
      <c r="J2392">
        <v>1950</v>
      </c>
      <c r="K2392" s="4">
        <v>44918</v>
      </c>
      <c r="L2392" t="s">
        <v>20</v>
      </c>
      <c r="M2392" t="s">
        <v>82</v>
      </c>
      <c r="N2392">
        <v>1.91</v>
      </c>
      <c r="O2392">
        <v>1250</v>
      </c>
      <c r="P2392">
        <v>2.96</v>
      </c>
      <c r="Q2392">
        <v>390</v>
      </c>
      <c r="R2392">
        <v>301</v>
      </c>
    </row>
    <row r="2393" spans="1:18" x14ac:dyDescent="0.2">
      <c r="A2393">
        <v>6</v>
      </c>
      <c r="B2393" t="s">
        <v>71</v>
      </c>
      <c r="E2393" t="s">
        <v>51</v>
      </c>
      <c r="F2393">
        <v>2096273</v>
      </c>
      <c r="G2393">
        <v>1</v>
      </c>
      <c r="H2393">
        <v>1</v>
      </c>
      <c r="I2393">
        <v>874</v>
      </c>
      <c r="J2393">
        <v>1997</v>
      </c>
      <c r="K2393" s="4">
        <v>44555</v>
      </c>
      <c r="L2393" t="s">
        <v>30</v>
      </c>
      <c r="M2393" t="s">
        <v>63</v>
      </c>
      <c r="N2393">
        <v>1.67</v>
      </c>
      <c r="O2393">
        <v>1570</v>
      </c>
      <c r="P2393">
        <v>0.78</v>
      </c>
      <c r="Q2393">
        <v>79</v>
      </c>
      <c r="R2393">
        <v>340</v>
      </c>
    </row>
    <row r="2394" spans="1:18" x14ac:dyDescent="0.2">
      <c r="A2394">
        <v>7</v>
      </c>
      <c r="B2394" t="s">
        <v>83</v>
      </c>
      <c r="E2394" t="s">
        <v>36</v>
      </c>
      <c r="F2394">
        <v>1400348</v>
      </c>
      <c r="G2394">
        <v>3</v>
      </c>
      <c r="H2394">
        <v>1</v>
      </c>
      <c r="I2394">
        <v>383</v>
      </c>
      <c r="J2394">
        <v>1956</v>
      </c>
      <c r="K2394" s="4">
        <v>44842</v>
      </c>
      <c r="L2394" t="s">
        <v>26</v>
      </c>
      <c r="M2394" t="s">
        <v>89</v>
      </c>
      <c r="N2394">
        <v>3.15</v>
      </c>
      <c r="O2394">
        <v>2124</v>
      </c>
      <c r="P2394">
        <v>0.89</v>
      </c>
      <c r="Q2394">
        <v>155</v>
      </c>
      <c r="R2394">
        <v>551</v>
      </c>
    </row>
    <row r="2395" spans="1:18" x14ac:dyDescent="0.2">
      <c r="A2395">
        <v>8</v>
      </c>
      <c r="B2395" t="s">
        <v>25</v>
      </c>
      <c r="E2395" t="s">
        <v>29</v>
      </c>
      <c r="F2395">
        <v>2789766</v>
      </c>
      <c r="G2395">
        <v>3</v>
      </c>
      <c r="H2395">
        <v>1</v>
      </c>
      <c r="I2395">
        <v>386</v>
      </c>
      <c r="J2395">
        <v>1968</v>
      </c>
      <c r="K2395" s="4">
        <v>45425</v>
      </c>
      <c r="L2395" t="s">
        <v>23</v>
      </c>
      <c r="M2395" t="s">
        <v>66</v>
      </c>
      <c r="N2395">
        <v>2.6</v>
      </c>
      <c r="O2395">
        <v>2054</v>
      </c>
      <c r="P2395">
        <v>1.33</v>
      </c>
      <c r="Q2395">
        <v>302</v>
      </c>
      <c r="R2395">
        <v>486</v>
      </c>
    </row>
    <row r="2396" spans="1:18" x14ac:dyDescent="0.2">
      <c r="A2396">
        <v>2</v>
      </c>
      <c r="B2396" t="s">
        <v>46</v>
      </c>
      <c r="E2396" t="s">
        <v>29</v>
      </c>
      <c r="F2396">
        <v>2175210</v>
      </c>
      <c r="G2396">
        <v>3</v>
      </c>
      <c r="H2396">
        <v>2</v>
      </c>
      <c r="I2396">
        <v>579</v>
      </c>
      <c r="J2396">
        <v>1992</v>
      </c>
      <c r="K2396" s="4">
        <v>44486</v>
      </c>
      <c r="L2396" t="s">
        <v>23</v>
      </c>
      <c r="M2396" t="s">
        <v>68</v>
      </c>
      <c r="N2396">
        <v>2.98</v>
      </c>
      <c r="O2396">
        <v>1340</v>
      </c>
      <c r="P2396">
        <v>3.24</v>
      </c>
      <c r="Q2396">
        <v>279</v>
      </c>
      <c r="R2396">
        <v>416</v>
      </c>
    </row>
    <row r="2397" spans="1:18" x14ac:dyDescent="0.2">
      <c r="A2397">
        <v>2</v>
      </c>
      <c r="B2397" t="s">
        <v>83</v>
      </c>
      <c r="E2397" t="s">
        <v>36</v>
      </c>
      <c r="F2397">
        <v>1876437</v>
      </c>
      <c r="G2397">
        <v>3</v>
      </c>
      <c r="H2397">
        <v>1</v>
      </c>
      <c r="I2397">
        <v>261</v>
      </c>
      <c r="J2397">
        <v>2010</v>
      </c>
      <c r="K2397" s="4">
        <v>44647</v>
      </c>
      <c r="L2397" t="s">
        <v>26</v>
      </c>
      <c r="M2397" t="s">
        <v>74</v>
      </c>
      <c r="N2397">
        <v>1.98</v>
      </c>
      <c r="O2397">
        <v>1172</v>
      </c>
      <c r="P2397">
        <v>3.61</v>
      </c>
      <c r="Q2397">
        <v>299</v>
      </c>
      <c r="R2397">
        <v>622</v>
      </c>
    </row>
    <row r="2398" spans="1:18" x14ac:dyDescent="0.2">
      <c r="A2398">
        <v>6</v>
      </c>
      <c r="B2398" t="s">
        <v>80</v>
      </c>
      <c r="E2398" t="s">
        <v>29</v>
      </c>
      <c r="F2398">
        <v>2343439</v>
      </c>
      <c r="G2398">
        <v>3</v>
      </c>
      <c r="H2398">
        <v>1</v>
      </c>
      <c r="I2398">
        <v>998</v>
      </c>
      <c r="J2398">
        <v>1954</v>
      </c>
      <c r="K2398" s="4">
        <v>45482</v>
      </c>
      <c r="L2398" t="s">
        <v>23</v>
      </c>
      <c r="M2398" t="s">
        <v>21</v>
      </c>
      <c r="N2398">
        <v>2.15</v>
      </c>
      <c r="O2398">
        <v>1369</v>
      </c>
      <c r="P2398">
        <v>1.1399999999999999</v>
      </c>
      <c r="Q2398">
        <v>206</v>
      </c>
      <c r="R2398">
        <v>604</v>
      </c>
    </row>
    <row r="2399" spans="1:18" x14ac:dyDescent="0.2">
      <c r="A2399">
        <v>4</v>
      </c>
      <c r="B2399" t="s">
        <v>91</v>
      </c>
      <c r="E2399" t="s">
        <v>19</v>
      </c>
      <c r="F2399">
        <v>1884993</v>
      </c>
      <c r="G2399">
        <v>3</v>
      </c>
      <c r="H2399">
        <v>2</v>
      </c>
      <c r="I2399">
        <v>921</v>
      </c>
      <c r="J2399">
        <v>1971</v>
      </c>
      <c r="K2399" s="4">
        <v>45733</v>
      </c>
      <c r="L2399" t="s">
        <v>30</v>
      </c>
      <c r="M2399" t="s">
        <v>35</v>
      </c>
      <c r="N2399">
        <v>3.15</v>
      </c>
      <c r="O2399">
        <v>1713</v>
      </c>
      <c r="P2399">
        <v>2.17</v>
      </c>
      <c r="Q2399">
        <v>268</v>
      </c>
      <c r="R2399">
        <v>414</v>
      </c>
    </row>
    <row r="2400" spans="1:18" x14ac:dyDescent="0.2">
      <c r="A2400">
        <v>1</v>
      </c>
      <c r="B2400" t="s">
        <v>95</v>
      </c>
      <c r="E2400" t="s">
        <v>29</v>
      </c>
      <c r="F2400">
        <v>1760952</v>
      </c>
      <c r="G2400">
        <v>4</v>
      </c>
      <c r="H2400">
        <v>1</v>
      </c>
      <c r="I2400">
        <v>463</v>
      </c>
      <c r="J2400">
        <v>1970</v>
      </c>
      <c r="K2400" s="4">
        <v>45414</v>
      </c>
      <c r="L2400" t="s">
        <v>26</v>
      </c>
      <c r="M2400" t="s">
        <v>35</v>
      </c>
      <c r="N2400">
        <v>1.57</v>
      </c>
      <c r="O2400">
        <v>1957</v>
      </c>
      <c r="P2400">
        <v>2.69</v>
      </c>
      <c r="Q2400">
        <v>374</v>
      </c>
      <c r="R2400">
        <v>580</v>
      </c>
    </row>
    <row r="2401" spans="1:18" x14ac:dyDescent="0.2">
      <c r="A2401">
        <v>0</v>
      </c>
      <c r="B2401" t="s">
        <v>65</v>
      </c>
      <c r="E2401" t="s">
        <v>19</v>
      </c>
      <c r="F2401">
        <v>1572132</v>
      </c>
      <c r="G2401">
        <v>2</v>
      </c>
      <c r="H2401">
        <v>3</v>
      </c>
      <c r="I2401">
        <v>707</v>
      </c>
      <c r="J2401">
        <v>2018</v>
      </c>
      <c r="K2401" s="4">
        <v>44092</v>
      </c>
      <c r="L2401" t="s">
        <v>30</v>
      </c>
      <c r="M2401" t="s">
        <v>56</v>
      </c>
      <c r="N2401">
        <v>2.11</v>
      </c>
      <c r="O2401">
        <v>2296</v>
      </c>
      <c r="P2401">
        <v>0.26</v>
      </c>
      <c r="Q2401">
        <v>53</v>
      </c>
      <c r="R2401">
        <v>660</v>
      </c>
    </row>
    <row r="2402" spans="1:18" x14ac:dyDescent="0.2">
      <c r="A2402">
        <v>1</v>
      </c>
      <c r="B2402" t="s">
        <v>48</v>
      </c>
      <c r="E2402" t="s">
        <v>51</v>
      </c>
      <c r="F2402">
        <v>2398219</v>
      </c>
      <c r="G2402">
        <v>4</v>
      </c>
      <c r="H2402">
        <v>1</v>
      </c>
      <c r="I2402">
        <v>855</v>
      </c>
      <c r="J2402">
        <v>2003</v>
      </c>
      <c r="K2402" s="4">
        <v>44312</v>
      </c>
      <c r="L2402" t="s">
        <v>26</v>
      </c>
      <c r="M2402" t="s">
        <v>24</v>
      </c>
      <c r="N2402">
        <v>2.68</v>
      </c>
      <c r="O2402">
        <v>1470</v>
      </c>
      <c r="P2402">
        <v>4.2</v>
      </c>
      <c r="Q2402">
        <v>317</v>
      </c>
      <c r="R2402">
        <v>603</v>
      </c>
    </row>
    <row r="2403" spans="1:18" x14ac:dyDescent="0.2">
      <c r="A2403">
        <v>9</v>
      </c>
      <c r="B2403" t="s">
        <v>72</v>
      </c>
      <c r="E2403" t="s">
        <v>36</v>
      </c>
      <c r="F2403">
        <v>1849483</v>
      </c>
      <c r="G2403">
        <v>2</v>
      </c>
      <c r="H2403">
        <v>1</v>
      </c>
      <c r="I2403">
        <v>401</v>
      </c>
      <c r="J2403">
        <v>2006</v>
      </c>
      <c r="K2403" s="4">
        <v>44960</v>
      </c>
      <c r="L2403" t="s">
        <v>30</v>
      </c>
      <c r="M2403" t="s">
        <v>78</v>
      </c>
      <c r="N2403">
        <v>3</v>
      </c>
      <c r="O2403">
        <v>910</v>
      </c>
      <c r="P2403">
        <v>4.2699999999999996</v>
      </c>
      <c r="Q2403">
        <v>157</v>
      </c>
      <c r="R2403">
        <v>394</v>
      </c>
    </row>
    <row r="2404" spans="1:18" x14ac:dyDescent="0.2">
      <c r="A2404">
        <v>0</v>
      </c>
      <c r="B2404" t="s">
        <v>86</v>
      </c>
      <c r="E2404" t="s">
        <v>36</v>
      </c>
      <c r="F2404">
        <v>598469</v>
      </c>
      <c r="G2404">
        <v>4</v>
      </c>
      <c r="H2404">
        <v>3</v>
      </c>
      <c r="I2404">
        <v>198</v>
      </c>
      <c r="J2404">
        <v>1964</v>
      </c>
      <c r="K2404" s="4">
        <v>45837</v>
      </c>
      <c r="L2404" t="s">
        <v>20</v>
      </c>
      <c r="M2404" t="s">
        <v>45</v>
      </c>
      <c r="N2404">
        <v>2.0699999999999998</v>
      </c>
      <c r="O2404">
        <v>2144</v>
      </c>
      <c r="P2404">
        <v>0.73</v>
      </c>
      <c r="Q2404">
        <v>305</v>
      </c>
      <c r="R2404">
        <v>582</v>
      </c>
    </row>
    <row r="2405" spans="1:18" x14ac:dyDescent="0.2">
      <c r="A2405">
        <v>5</v>
      </c>
      <c r="B2405" t="s">
        <v>32</v>
      </c>
      <c r="E2405" t="s">
        <v>29</v>
      </c>
      <c r="F2405">
        <v>1054682</v>
      </c>
      <c r="G2405">
        <v>3</v>
      </c>
      <c r="H2405">
        <v>2</v>
      </c>
      <c r="I2405">
        <v>53</v>
      </c>
      <c r="J2405">
        <v>2001</v>
      </c>
      <c r="K2405" s="4">
        <v>44661</v>
      </c>
      <c r="L2405" t="s">
        <v>23</v>
      </c>
      <c r="M2405" t="s">
        <v>21</v>
      </c>
      <c r="N2405">
        <v>1.89</v>
      </c>
      <c r="O2405">
        <v>1503</v>
      </c>
      <c r="P2405">
        <v>1.92</v>
      </c>
      <c r="Q2405">
        <v>238</v>
      </c>
      <c r="R2405">
        <v>541</v>
      </c>
    </row>
    <row r="2406" spans="1:18" x14ac:dyDescent="0.2">
      <c r="A2406">
        <v>2</v>
      </c>
      <c r="B2406" t="s">
        <v>38</v>
      </c>
      <c r="E2406" t="s">
        <v>19</v>
      </c>
      <c r="F2406">
        <v>956258</v>
      </c>
      <c r="G2406">
        <v>4</v>
      </c>
      <c r="H2406">
        <v>2</v>
      </c>
      <c r="I2406">
        <v>759</v>
      </c>
      <c r="J2406">
        <v>1953</v>
      </c>
      <c r="K2406" s="4">
        <v>44713</v>
      </c>
      <c r="L2406" t="s">
        <v>20</v>
      </c>
      <c r="M2406" t="s">
        <v>47</v>
      </c>
      <c r="N2406">
        <v>3.48</v>
      </c>
      <c r="O2406">
        <v>1033</v>
      </c>
      <c r="P2406">
        <v>2.21</v>
      </c>
      <c r="Q2406">
        <v>199</v>
      </c>
      <c r="R2406">
        <v>633</v>
      </c>
    </row>
    <row r="2407" spans="1:18" x14ac:dyDescent="0.2">
      <c r="A2407">
        <v>4</v>
      </c>
      <c r="B2407" t="s">
        <v>50</v>
      </c>
      <c r="E2407" t="s">
        <v>51</v>
      </c>
      <c r="F2407">
        <v>2875015</v>
      </c>
      <c r="G2407">
        <v>3</v>
      </c>
      <c r="H2407">
        <v>2</v>
      </c>
      <c r="I2407">
        <v>840</v>
      </c>
      <c r="J2407">
        <v>1983</v>
      </c>
      <c r="K2407" s="4">
        <v>45608</v>
      </c>
      <c r="L2407" t="s">
        <v>26</v>
      </c>
      <c r="M2407" t="s">
        <v>69</v>
      </c>
      <c r="N2407">
        <v>3.39</v>
      </c>
      <c r="O2407">
        <v>1084</v>
      </c>
      <c r="P2407">
        <v>3.04</v>
      </c>
      <c r="Q2407">
        <v>123</v>
      </c>
      <c r="R2407">
        <v>605</v>
      </c>
    </row>
    <row r="2408" spans="1:18" x14ac:dyDescent="0.2">
      <c r="A2408">
        <v>6</v>
      </c>
      <c r="B2408" t="s">
        <v>106</v>
      </c>
      <c r="E2408" t="s">
        <v>51</v>
      </c>
      <c r="F2408">
        <v>1631285</v>
      </c>
      <c r="G2408">
        <v>1</v>
      </c>
      <c r="H2408">
        <v>3</v>
      </c>
      <c r="I2408">
        <v>952</v>
      </c>
      <c r="J2408">
        <v>2004</v>
      </c>
      <c r="K2408" s="4">
        <v>44930</v>
      </c>
      <c r="L2408" t="s">
        <v>26</v>
      </c>
      <c r="M2408" t="s">
        <v>76</v>
      </c>
      <c r="N2408">
        <v>2.29</v>
      </c>
      <c r="O2408">
        <v>2283</v>
      </c>
      <c r="P2408">
        <v>1.1299999999999999</v>
      </c>
      <c r="Q2408">
        <v>40</v>
      </c>
      <c r="R2408">
        <v>414</v>
      </c>
    </row>
    <row r="2409" spans="1:18" x14ac:dyDescent="0.2">
      <c r="A2409">
        <v>2</v>
      </c>
      <c r="B2409" t="s">
        <v>100</v>
      </c>
      <c r="E2409" t="s">
        <v>51</v>
      </c>
      <c r="F2409">
        <v>2723198</v>
      </c>
      <c r="G2409">
        <v>1</v>
      </c>
      <c r="H2409">
        <v>2</v>
      </c>
      <c r="I2409">
        <v>135</v>
      </c>
      <c r="J2409">
        <v>2002</v>
      </c>
      <c r="K2409" s="4">
        <v>45030</v>
      </c>
      <c r="L2409" t="s">
        <v>26</v>
      </c>
      <c r="M2409" t="s">
        <v>54</v>
      </c>
      <c r="N2409">
        <v>1.77</v>
      </c>
      <c r="O2409">
        <v>1792</v>
      </c>
      <c r="P2409">
        <v>4.6900000000000004</v>
      </c>
      <c r="Q2409">
        <v>138</v>
      </c>
      <c r="R2409">
        <v>585</v>
      </c>
    </row>
    <row r="2410" spans="1:18" x14ac:dyDescent="0.2">
      <c r="A2410">
        <v>2</v>
      </c>
      <c r="B2410" t="s">
        <v>102</v>
      </c>
      <c r="E2410" t="s">
        <v>29</v>
      </c>
      <c r="F2410">
        <v>1952318</v>
      </c>
      <c r="G2410">
        <v>1</v>
      </c>
      <c r="H2410">
        <v>3</v>
      </c>
      <c r="I2410">
        <v>131</v>
      </c>
      <c r="J2410">
        <v>1982</v>
      </c>
      <c r="K2410" s="4">
        <v>45350</v>
      </c>
      <c r="L2410" t="s">
        <v>20</v>
      </c>
      <c r="M2410" t="s">
        <v>24</v>
      </c>
      <c r="N2410">
        <v>2.56</v>
      </c>
      <c r="O2410">
        <v>1356</v>
      </c>
      <c r="P2410">
        <v>0.69</v>
      </c>
      <c r="Q2410">
        <v>63</v>
      </c>
      <c r="R2410">
        <v>471</v>
      </c>
    </row>
    <row r="2411" spans="1:18" x14ac:dyDescent="0.2">
      <c r="A2411">
        <v>1</v>
      </c>
      <c r="B2411" t="s">
        <v>83</v>
      </c>
      <c r="E2411" t="s">
        <v>29</v>
      </c>
      <c r="F2411">
        <v>2299425</v>
      </c>
      <c r="G2411">
        <v>4</v>
      </c>
      <c r="H2411">
        <v>2</v>
      </c>
      <c r="I2411">
        <v>272</v>
      </c>
      <c r="J2411">
        <v>1976</v>
      </c>
      <c r="K2411" s="4">
        <v>45777</v>
      </c>
      <c r="L2411" t="s">
        <v>30</v>
      </c>
      <c r="M2411" t="s">
        <v>82</v>
      </c>
      <c r="N2411">
        <v>3.23</v>
      </c>
      <c r="O2411">
        <v>1759</v>
      </c>
      <c r="P2411">
        <v>4.59</v>
      </c>
      <c r="Q2411">
        <v>217</v>
      </c>
      <c r="R2411">
        <v>497</v>
      </c>
    </row>
    <row r="2412" spans="1:18" x14ac:dyDescent="0.2">
      <c r="A2412">
        <v>9</v>
      </c>
      <c r="B2412" t="s">
        <v>44</v>
      </c>
      <c r="E2412" t="s">
        <v>29</v>
      </c>
      <c r="F2412">
        <v>2974000</v>
      </c>
      <c r="G2412">
        <v>3</v>
      </c>
      <c r="H2412">
        <v>1</v>
      </c>
      <c r="I2412">
        <v>832</v>
      </c>
      <c r="J2412">
        <v>1984</v>
      </c>
      <c r="K2412" s="4">
        <v>44161</v>
      </c>
      <c r="L2412" t="s">
        <v>26</v>
      </c>
      <c r="M2412" t="s">
        <v>56</v>
      </c>
      <c r="N2412">
        <v>2.7</v>
      </c>
      <c r="O2412">
        <v>1495</v>
      </c>
      <c r="P2412">
        <v>1.06</v>
      </c>
      <c r="Q2412">
        <v>91</v>
      </c>
      <c r="R2412">
        <v>622</v>
      </c>
    </row>
    <row r="2413" spans="1:18" x14ac:dyDescent="0.2">
      <c r="A2413">
        <v>8</v>
      </c>
      <c r="B2413" t="s">
        <v>55</v>
      </c>
      <c r="E2413" t="s">
        <v>19</v>
      </c>
      <c r="F2413">
        <v>2928592</v>
      </c>
      <c r="G2413">
        <v>4</v>
      </c>
      <c r="H2413">
        <v>2</v>
      </c>
      <c r="I2413">
        <v>173</v>
      </c>
      <c r="J2413">
        <v>1998</v>
      </c>
      <c r="K2413" s="4">
        <v>45305</v>
      </c>
      <c r="L2413" t="s">
        <v>23</v>
      </c>
      <c r="M2413" t="s">
        <v>21</v>
      </c>
      <c r="N2413">
        <v>1.73</v>
      </c>
      <c r="O2413">
        <v>887</v>
      </c>
      <c r="P2413">
        <v>3.55</v>
      </c>
      <c r="Q2413">
        <v>318</v>
      </c>
      <c r="R2413">
        <v>417</v>
      </c>
    </row>
    <row r="2414" spans="1:18" x14ac:dyDescent="0.2">
      <c r="A2414">
        <v>9</v>
      </c>
      <c r="B2414" t="s">
        <v>39</v>
      </c>
      <c r="E2414" t="s">
        <v>29</v>
      </c>
      <c r="F2414">
        <v>1717705</v>
      </c>
      <c r="G2414">
        <v>4</v>
      </c>
      <c r="H2414">
        <v>3</v>
      </c>
      <c r="I2414">
        <v>837</v>
      </c>
      <c r="J2414">
        <v>1969</v>
      </c>
      <c r="K2414" s="4">
        <v>44685</v>
      </c>
      <c r="L2414" t="s">
        <v>26</v>
      </c>
      <c r="M2414" t="s">
        <v>97</v>
      </c>
      <c r="N2414">
        <v>3.47</v>
      </c>
      <c r="O2414">
        <v>806</v>
      </c>
      <c r="P2414">
        <v>2.1</v>
      </c>
      <c r="Q2414">
        <v>373</v>
      </c>
      <c r="R2414">
        <v>536</v>
      </c>
    </row>
    <row r="2415" spans="1:18" x14ac:dyDescent="0.2">
      <c r="A2415">
        <v>5</v>
      </c>
      <c r="B2415" t="s">
        <v>71</v>
      </c>
      <c r="E2415" t="s">
        <v>36</v>
      </c>
      <c r="F2415">
        <v>2175514</v>
      </c>
      <c r="G2415">
        <v>6</v>
      </c>
      <c r="H2415">
        <v>3</v>
      </c>
      <c r="I2415">
        <v>211</v>
      </c>
      <c r="J2415">
        <v>1969</v>
      </c>
      <c r="K2415" s="4">
        <v>45067</v>
      </c>
      <c r="L2415" t="s">
        <v>20</v>
      </c>
      <c r="M2415" t="s">
        <v>27</v>
      </c>
      <c r="N2415">
        <v>2.92</v>
      </c>
      <c r="O2415">
        <v>1367</v>
      </c>
      <c r="P2415">
        <v>2.76</v>
      </c>
      <c r="Q2415">
        <v>389</v>
      </c>
      <c r="R2415">
        <v>389</v>
      </c>
    </row>
    <row r="2416" spans="1:18" x14ac:dyDescent="0.2">
      <c r="A2416">
        <v>4</v>
      </c>
      <c r="B2416" t="s">
        <v>101</v>
      </c>
      <c r="E2416" t="s">
        <v>29</v>
      </c>
      <c r="F2416">
        <v>768361</v>
      </c>
      <c r="G2416">
        <v>2</v>
      </c>
      <c r="H2416">
        <v>3</v>
      </c>
      <c r="I2416">
        <v>210</v>
      </c>
      <c r="J2416">
        <v>1975</v>
      </c>
      <c r="K2416" s="4">
        <v>45642</v>
      </c>
      <c r="L2416" t="s">
        <v>20</v>
      </c>
      <c r="M2416" t="s">
        <v>31</v>
      </c>
      <c r="N2416">
        <v>1.93</v>
      </c>
      <c r="O2416">
        <v>1669</v>
      </c>
      <c r="P2416">
        <v>0.7</v>
      </c>
      <c r="Q2416">
        <v>224</v>
      </c>
      <c r="R2416">
        <v>678</v>
      </c>
    </row>
    <row r="2417" spans="1:18" x14ac:dyDescent="0.2">
      <c r="A2417">
        <v>1</v>
      </c>
      <c r="B2417" t="s">
        <v>61</v>
      </c>
      <c r="E2417" t="s">
        <v>29</v>
      </c>
      <c r="F2417">
        <v>731624</v>
      </c>
      <c r="G2417">
        <v>5</v>
      </c>
      <c r="H2417">
        <v>3</v>
      </c>
      <c r="I2417">
        <v>233</v>
      </c>
      <c r="J2417">
        <v>2003</v>
      </c>
      <c r="K2417" s="4">
        <v>45369</v>
      </c>
      <c r="L2417" t="s">
        <v>20</v>
      </c>
      <c r="M2417" t="s">
        <v>82</v>
      </c>
      <c r="N2417">
        <v>2.33</v>
      </c>
      <c r="O2417">
        <v>1703</v>
      </c>
      <c r="P2417">
        <v>1.78</v>
      </c>
      <c r="Q2417">
        <v>318</v>
      </c>
      <c r="R2417">
        <v>329</v>
      </c>
    </row>
    <row r="2418" spans="1:18" x14ac:dyDescent="0.2">
      <c r="A2418">
        <v>1</v>
      </c>
      <c r="B2418" t="s">
        <v>96</v>
      </c>
      <c r="E2418" t="s">
        <v>51</v>
      </c>
      <c r="F2418">
        <v>2967062</v>
      </c>
      <c r="G2418">
        <v>3</v>
      </c>
      <c r="H2418">
        <v>3</v>
      </c>
      <c r="I2418">
        <v>229</v>
      </c>
      <c r="J2418">
        <v>1989</v>
      </c>
      <c r="K2418" s="4">
        <v>44552</v>
      </c>
      <c r="L2418" t="s">
        <v>26</v>
      </c>
      <c r="M2418" t="s">
        <v>68</v>
      </c>
      <c r="N2418">
        <v>1.63</v>
      </c>
      <c r="O2418">
        <v>1041</v>
      </c>
      <c r="P2418">
        <v>4.8600000000000003</v>
      </c>
      <c r="Q2418">
        <v>288</v>
      </c>
      <c r="R2418">
        <v>615</v>
      </c>
    </row>
    <row r="2419" spans="1:18" x14ac:dyDescent="0.2">
      <c r="A2419">
        <v>9</v>
      </c>
      <c r="B2419" t="s">
        <v>92</v>
      </c>
      <c r="E2419" t="s">
        <v>36</v>
      </c>
      <c r="F2419">
        <v>2176624</v>
      </c>
      <c r="G2419">
        <v>4</v>
      </c>
      <c r="H2419">
        <v>1</v>
      </c>
      <c r="I2419">
        <v>917</v>
      </c>
      <c r="J2419">
        <v>1959</v>
      </c>
      <c r="K2419" s="4">
        <v>45294</v>
      </c>
      <c r="L2419" t="s">
        <v>20</v>
      </c>
      <c r="M2419" t="s">
        <v>47</v>
      </c>
      <c r="N2419">
        <v>2.11</v>
      </c>
      <c r="O2419">
        <v>2087</v>
      </c>
      <c r="P2419">
        <v>3.95</v>
      </c>
      <c r="Q2419">
        <v>184</v>
      </c>
      <c r="R2419">
        <v>334</v>
      </c>
    </row>
    <row r="2420" spans="1:18" x14ac:dyDescent="0.2">
      <c r="A2420">
        <v>3</v>
      </c>
      <c r="B2420" t="s">
        <v>65</v>
      </c>
      <c r="E2420" t="s">
        <v>19</v>
      </c>
      <c r="F2420">
        <v>545134</v>
      </c>
      <c r="G2420">
        <v>3</v>
      </c>
      <c r="H2420">
        <v>1</v>
      </c>
      <c r="I2420">
        <v>628</v>
      </c>
      <c r="J2420">
        <v>2000</v>
      </c>
      <c r="K2420" s="4">
        <v>44616</v>
      </c>
      <c r="L2420" t="s">
        <v>26</v>
      </c>
      <c r="M2420" t="s">
        <v>52</v>
      </c>
      <c r="N2420">
        <v>2.79</v>
      </c>
      <c r="O2420">
        <v>1167</v>
      </c>
      <c r="P2420">
        <v>0.91</v>
      </c>
      <c r="Q2420">
        <v>104</v>
      </c>
      <c r="R2420">
        <v>451</v>
      </c>
    </row>
    <row r="2421" spans="1:18" x14ac:dyDescent="0.2">
      <c r="A2421">
        <v>1</v>
      </c>
      <c r="B2421" t="s">
        <v>106</v>
      </c>
      <c r="E2421" t="s">
        <v>29</v>
      </c>
      <c r="F2421">
        <v>673623</v>
      </c>
      <c r="G2421">
        <v>2</v>
      </c>
      <c r="H2421">
        <v>1</v>
      </c>
      <c r="I2421">
        <v>317</v>
      </c>
      <c r="J2421">
        <v>1958</v>
      </c>
      <c r="K2421" s="4">
        <v>45686</v>
      </c>
      <c r="L2421" t="s">
        <v>30</v>
      </c>
      <c r="M2421" t="s">
        <v>70</v>
      </c>
      <c r="N2421">
        <v>3.18</v>
      </c>
      <c r="O2421">
        <v>986</v>
      </c>
      <c r="P2421">
        <v>0.33</v>
      </c>
      <c r="Q2421">
        <v>205</v>
      </c>
      <c r="R2421">
        <v>417</v>
      </c>
    </row>
    <row r="2422" spans="1:18" x14ac:dyDescent="0.2">
      <c r="A2422">
        <v>3</v>
      </c>
      <c r="B2422" t="s">
        <v>18</v>
      </c>
      <c r="E2422" t="s">
        <v>36</v>
      </c>
      <c r="F2422">
        <v>2629769</v>
      </c>
      <c r="G2422">
        <v>3</v>
      </c>
      <c r="H2422">
        <v>1</v>
      </c>
      <c r="I2422">
        <v>885</v>
      </c>
      <c r="J2422">
        <v>1973</v>
      </c>
      <c r="K2422" s="4">
        <v>45128</v>
      </c>
      <c r="L2422" t="s">
        <v>20</v>
      </c>
      <c r="M2422" t="s">
        <v>52</v>
      </c>
      <c r="N2422">
        <v>1.78</v>
      </c>
      <c r="O2422">
        <v>1935</v>
      </c>
      <c r="P2422">
        <v>3.33</v>
      </c>
      <c r="Q2422">
        <v>85</v>
      </c>
      <c r="R2422">
        <v>684</v>
      </c>
    </row>
    <row r="2423" spans="1:18" x14ac:dyDescent="0.2">
      <c r="A2423">
        <v>3</v>
      </c>
      <c r="B2423" t="s">
        <v>62</v>
      </c>
      <c r="E2423" t="s">
        <v>19</v>
      </c>
      <c r="F2423">
        <v>819051</v>
      </c>
      <c r="G2423">
        <v>3</v>
      </c>
      <c r="H2423">
        <v>3</v>
      </c>
      <c r="I2423">
        <v>601</v>
      </c>
      <c r="J2423">
        <v>1996</v>
      </c>
      <c r="K2423" s="4">
        <v>45517</v>
      </c>
      <c r="L2423" t="s">
        <v>20</v>
      </c>
      <c r="M2423" t="s">
        <v>85</v>
      </c>
      <c r="N2423">
        <v>3.06</v>
      </c>
      <c r="O2423">
        <v>1858</v>
      </c>
      <c r="P2423">
        <v>3.95</v>
      </c>
      <c r="Q2423">
        <v>180</v>
      </c>
      <c r="R2423">
        <v>384</v>
      </c>
    </row>
    <row r="2424" spans="1:18" x14ac:dyDescent="0.2">
      <c r="A2424">
        <v>3</v>
      </c>
      <c r="B2424" t="s">
        <v>75</v>
      </c>
      <c r="E2424" t="s">
        <v>29</v>
      </c>
      <c r="F2424">
        <v>2361679</v>
      </c>
      <c r="G2424">
        <v>0</v>
      </c>
      <c r="H2424">
        <v>2</v>
      </c>
      <c r="I2424">
        <v>0</v>
      </c>
      <c r="J2424">
        <v>1976</v>
      </c>
      <c r="K2424" s="4">
        <v>45086</v>
      </c>
      <c r="L2424" t="s">
        <v>20</v>
      </c>
      <c r="M2424" t="s">
        <v>66</v>
      </c>
      <c r="N2424">
        <v>1.61</v>
      </c>
      <c r="O2424">
        <v>1054</v>
      </c>
      <c r="P2424">
        <v>3.48</v>
      </c>
      <c r="Q2424">
        <v>225</v>
      </c>
      <c r="R2424">
        <v>677</v>
      </c>
    </row>
    <row r="2425" spans="1:18" x14ac:dyDescent="0.2">
      <c r="A2425">
        <v>6</v>
      </c>
      <c r="B2425" t="s">
        <v>91</v>
      </c>
      <c r="E2425" t="s">
        <v>19</v>
      </c>
      <c r="F2425">
        <v>2176130</v>
      </c>
      <c r="G2425">
        <v>4</v>
      </c>
      <c r="H2425">
        <v>2</v>
      </c>
      <c r="I2425">
        <v>864</v>
      </c>
      <c r="J2425">
        <v>1963</v>
      </c>
      <c r="K2425" s="4">
        <v>45129</v>
      </c>
      <c r="L2425" t="s">
        <v>30</v>
      </c>
      <c r="M2425" t="s">
        <v>69</v>
      </c>
      <c r="N2425">
        <v>3.46</v>
      </c>
      <c r="O2425">
        <v>1623</v>
      </c>
      <c r="P2425">
        <v>2.16</v>
      </c>
      <c r="Q2425">
        <v>171</v>
      </c>
      <c r="R2425">
        <v>542</v>
      </c>
    </row>
    <row r="2426" spans="1:18" x14ac:dyDescent="0.2">
      <c r="A2426">
        <v>9</v>
      </c>
      <c r="B2426" t="s">
        <v>100</v>
      </c>
      <c r="E2426" t="s">
        <v>36</v>
      </c>
      <c r="F2426">
        <v>473579</v>
      </c>
      <c r="G2426">
        <v>4</v>
      </c>
      <c r="H2426">
        <v>1</v>
      </c>
      <c r="I2426">
        <v>264</v>
      </c>
      <c r="J2426">
        <v>2011</v>
      </c>
      <c r="K2426" s="4">
        <v>45383</v>
      </c>
      <c r="L2426" t="s">
        <v>30</v>
      </c>
      <c r="M2426" t="s">
        <v>37</v>
      </c>
      <c r="N2426">
        <v>3.33</v>
      </c>
      <c r="O2426">
        <v>1716</v>
      </c>
      <c r="P2426">
        <v>4.68</v>
      </c>
      <c r="Q2426">
        <v>169</v>
      </c>
      <c r="R2426">
        <v>468</v>
      </c>
    </row>
    <row r="2427" spans="1:18" x14ac:dyDescent="0.2">
      <c r="A2427">
        <v>6</v>
      </c>
      <c r="B2427" t="s">
        <v>50</v>
      </c>
      <c r="E2427" t="s">
        <v>29</v>
      </c>
      <c r="F2427">
        <v>971032</v>
      </c>
      <c r="G2427">
        <v>2</v>
      </c>
      <c r="H2427">
        <v>1</v>
      </c>
      <c r="I2427">
        <v>338</v>
      </c>
      <c r="J2427">
        <v>1970</v>
      </c>
      <c r="K2427" s="4">
        <v>45326</v>
      </c>
      <c r="L2427" t="s">
        <v>30</v>
      </c>
      <c r="M2427" t="s">
        <v>31</v>
      </c>
      <c r="N2427">
        <v>3.26</v>
      </c>
      <c r="O2427">
        <v>2154</v>
      </c>
      <c r="P2427">
        <v>1.74</v>
      </c>
      <c r="Q2427">
        <v>229</v>
      </c>
      <c r="R2427">
        <v>525</v>
      </c>
    </row>
    <row r="2428" spans="1:18" x14ac:dyDescent="0.2">
      <c r="A2428">
        <v>8</v>
      </c>
      <c r="B2428" t="s">
        <v>98</v>
      </c>
      <c r="E2428" t="s">
        <v>19</v>
      </c>
      <c r="F2428">
        <v>2941339</v>
      </c>
      <c r="G2428">
        <v>5</v>
      </c>
      <c r="H2428">
        <v>3</v>
      </c>
      <c r="I2428">
        <v>427</v>
      </c>
      <c r="J2428">
        <v>2010</v>
      </c>
      <c r="K2428" s="4">
        <v>44490</v>
      </c>
      <c r="L2428" t="s">
        <v>23</v>
      </c>
      <c r="M2428" t="s">
        <v>24</v>
      </c>
      <c r="N2428">
        <v>3.33</v>
      </c>
      <c r="O2428">
        <v>1771</v>
      </c>
      <c r="P2428">
        <v>2.25</v>
      </c>
      <c r="Q2428">
        <v>338</v>
      </c>
      <c r="R2428">
        <v>314</v>
      </c>
    </row>
    <row r="2429" spans="1:18" x14ac:dyDescent="0.2">
      <c r="A2429">
        <v>6</v>
      </c>
      <c r="B2429" t="s">
        <v>80</v>
      </c>
      <c r="E2429" t="s">
        <v>29</v>
      </c>
      <c r="F2429">
        <v>2215587</v>
      </c>
      <c r="G2429">
        <v>4</v>
      </c>
      <c r="H2429">
        <v>3</v>
      </c>
      <c r="I2429">
        <v>297</v>
      </c>
      <c r="J2429">
        <v>1994</v>
      </c>
      <c r="K2429" s="4">
        <v>44266</v>
      </c>
      <c r="L2429" t="s">
        <v>26</v>
      </c>
      <c r="M2429" t="s">
        <v>47</v>
      </c>
      <c r="N2429">
        <v>2.2400000000000002</v>
      </c>
      <c r="O2429">
        <v>1263</v>
      </c>
      <c r="P2429">
        <v>0.77</v>
      </c>
      <c r="Q2429">
        <v>190</v>
      </c>
      <c r="R2429">
        <v>310</v>
      </c>
    </row>
    <row r="2430" spans="1:18" x14ac:dyDescent="0.2">
      <c r="A2430">
        <v>2</v>
      </c>
      <c r="B2430" t="s">
        <v>98</v>
      </c>
      <c r="E2430" t="s">
        <v>36</v>
      </c>
      <c r="F2430">
        <v>878025</v>
      </c>
      <c r="G2430">
        <v>2</v>
      </c>
      <c r="H2430">
        <v>3</v>
      </c>
      <c r="I2430">
        <v>708</v>
      </c>
      <c r="J2430">
        <v>1957</v>
      </c>
      <c r="K2430" s="4">
        <v>44152</v>
      </c>
      <c r="L2430" t="s">
        <v>30</v>
      </c>
      <c r="M2430" t="s">
        <v>74</v>
      </c>
      <c r="N2430">
        <v>1.56</v>
      </c>
      <c r="O2430">
        <v>1560</v>
      </c>
      <c r="P2430">
        <v>4.42</v>
      </c>
      <c r="Q2430">
        <v>219</v>
      </c>
      <c r="R2430">
        <v>566</v>
      </c>
    </row>
    <row r="2431" spans="1:18" x14ac:dyDescent="0.2">
      <c r="A2431">
        <v>8</v>
      </c>
      <c r="B2431" t="s">
        <v>72</v>
      </c>
      <c r="E2431" t="s">
        <v>19</v>
      </c>
      <c r="F2431">
        <v>1502429</v>
      </c>
      <c r="G2431">
        <v>1</v>
      </c>
      <c r="H2431">
        <v>1</v>
      </c>
      <c r="I2431">
        <v>654</v>
      </c>
      <c r="J2431">
        <v>2012</v>
      </c>
      <c r="K2431" s="4">
        <v>44606</v>
      </c>
      <c r="L2431" t="s">
        <v>20</v>
      </c>
      <c r="M2431" t="s">
        <v>42</v>
      </c>
      <c r="N2431">
        <v>3.31</v>
      </c>
      <c r="O2431">
        <v>1785</v>
      </c>
      <c r="P2431">
        <v>4.43</v>
      </c>
      <c r="Q2431">
        <v>108</v>
      </c>
      <c r="R2431">
        <v>362</v>
      </c>
    </row>
    <row r="2432" spans="1:18" x14ac:dyDescent="0.2">
      <c r="A2432">
        <v>8</v>
      </c>
      <c r="B2432" t="s">
        <v>81</v>
      </c>
      <c r="E2432" t="s">
        <v>51</v>
      </c>
      <c r="F2432">
        <v>1000995</v>
      </c>
      <c r="G2432">
        <v>4</v>
      </c>
      <c r="H2432">
        <v>2</v>
      </c>
      <c r="I2432">
        <v>610</v>
      </c>
      <c r="J2432">
        <v>1982</v>
      </c>
      <c r="K2432" s="4">
        <v>44089</v>
      </c>
      <c r="L2432" t="s">
        <v>30</v>
      </c>
      <c r="M2432" t="s">
        <v>58</v>
      </c>
      <c r="N2432">
        <v>2.75</v>
      </c>
      <c r="O2432">
        <v>2070</v>
      </c>
      <c r="P2432">
        <v>2.5299999999999998</v>
      </c>
      <c r="Q2432">
        <v>280</v>
      </c>
      <c r="R2432">
        <v>471</v>
      </c>
    </row>
    <row r="2433" spans="1:18" x14ac:dyDescent="0.2">
      <c r="A2433">
        <v>1</v>
      </c>
      <c r="B2433" t="s">
        <v>106</v>
      </c>
      <c r="E2433" t="s">
        <v>36</v>
      </c>
      <c r="F2433">
        <v>1753806</v>
      </c>
      <c r="G2433">
        <v>2</v>
      </c>
      <c r="H2433">
        <v>1</v>
      </c>
      <c r="I2433">
        <v>93</v>
      </c>
      <c r="J2433">
        <v>2021</v>
      </c>
      <c r="K2433" s="4">
        <v>45680</v>
      </c>
      <c r="L2433" t="s">
        <v>26</v>
      </c>
      <c r="M2433" t="s">
        <v>40</v>
      </c>
      <c r="N2433">
        <v>3.04</v>
      </c>
      <c r="O2433">
        <v>1987</v>
      </c>
      <c r="P2433">
        <v>3.28</v>
      </c>
      <c r="Q2433">
        <v>197</v>
      </c>
      <c r="R2433">
        <v>431</v>
      </c>
    </row>
    <row r="2434" spans="1:18" x14ac:dyDescent="0.2">
      <c r="A2434">
        <v>1</v>
      </c>
      <c r="B2434" t="s">
        <v>104</v>
      </c>
      <c r="E2434" t="s">
        <v>29</v>
      </c>
      <c r="F2434">
        <v>2034961</v>
      </c>
      <c r="G2434">
        <v>5</v>
      </c>
      <c r="H2434">
        <v>3</v>
      </c>
      <c r="I2434">
        <v>1000</v>
      </c>
      <c r="J2434">
        <v>1953</v>
      </c>
      <c r="K2434" s="4">
        <v>44100</v>
      </c>
      <c r="L2434" t="s">
        <v>30</v>
      </c>
      <c r="M2434" t="s">
        <v>27</v>
      </c>
      <c r="N2434">
        <v>3.31</v>
      </c>
      <c r="O2434">
        <v>1605</v>
      </c>
      <c r="P2434">
        <v>2.75</v>
      </c>
      <c r="Q2434">
        <v>279</v>
      </c>
      <c r="R2434">
        <v>327</v>
      </c>
    </row>
    <row r="2435" spans="1:18" x14ac:dyDescent="0.2">
      <c r="A2435">
        <v>0</v>
      </c>
      <c r="B2435" t="s">
        <v>61</v>
      </c>
      <c r="E2435" t="s">
        <v>29</v>
      </c>
      <c r="F2435">
        <v>689840</v>
      </c>
      <c r="G2435">
        <v>6</v>
      </c>
      <c r="H2435">
        <v>3</v>
      </c>
      <c r="I2435">
        <v>460</v>
      </c>
      <c r="J2435">
        <v>2004</v>
      </c>
      <c r="K2435" s="4">
        <v>45276</v>
      </c>
      <c r="L2435" t="s">
        <v>26</v>
      </c>
      <c r="M2435" t="s">
        <v>52</v>
      </c>
      <c r="N2435">
        <v>2.84</v>
      </c>
      <c r="O2435">
        <v>851</v>
      </c>
      <c r="P2435">
        <v>4.2300000000000004</v>
      </c>
      <c r="Q2435">
        <v>347</v>
      </c>
      <c r="R2435">
        <v>534</v>
      </c>
    </row>
    <row r="2436" spans="1:18" x14ac:dyDescent="0.2">
      <c r="A2436">
        <v>7</v>
      </c>
      <c r="B2436" t="s">
        <v>44</v>
      </c>
      <c r="E2436" t="s">
        <v>51</v>
      </c>
      <c r="F2436">
        <v>893150</v>
      </c>
      <c r="G2436">
        <v>3</v>
      </c>
      <c r="H2436">
        <v>3</v>
      </c>
      <c r="I2436">
        <v>592</v>
      </c>
      <c r="J2436">
        <v>1966</v>
      </c>
      <c r="K2436" s="4">
        <v>45811</v>
      </c>
      <c r="L2436" t="s">
        <v>30</v>
      </c>
      <c r="M2436" t="s">
        <v>77</v>
      </c>
      <c r="N2436">
        <v>2.8</v>
      </c>
      <c r="O2436">
        <v>1323</v>
      </c>
      <c r="P2436">
        <v>2.76</v>
      </c>
      <c r="Q2436">
        <v>225</v>
      </c>
      <c r="R2436">
        <v>391</v>
      </c>
    </row>
    <row r="2437" spans="1:18" x14ac:dyDescent="0.2">
      <c r="A2437">
        <v>8</v>
      </c>
      <c r="B2437" t="s">
        <v>99</v>
      </c>
      <c r="E2437" t="s">
        <v>51</v>
      </c>
      <c r="F2437">
        <v>2762218</v>
      </c>
      <c r="G2437">
        <v>5</v>
      </c>
      <c r="H2437">
        <v>3</v>
      </c>
      <c r="I2437">
        <v>134</v>
      </c>
      <c r="J2437">
        <v>1970</v>
      </c>
      <c r="K2437" s="4">
        <v>45131</v>
      </c>
      <c r="L2437" t="s">
        <v>23</v>
      </c>
      <c r="M2437" t="s">
        <v>82</v>
      </c>
      <c r="N2437">
        <v>2</v>
      </c>
      <c r="O2437">
        <v>1883</v>
      </c>
      <c r="P2437">
        <v>4.84</v>
      </c>
      <c r="Q2437">
        <v>245</v>
      </c>
      <c r="R2437">
        <v>668</v>
      </c>
    </row>
    <row r="2438" spans="1:18" x14ac:dyDescent="0.2">
      <c r="A2438">
        <v>2</v>
      </c>
      <c r="B2438" t="s">
        <v>87</v>
      </c>
      <c r="E2438" t="s">
        <v>36</v>
      </c>
      <c r="F2438">
        <v>853587</v>
      </c>
      <c r="G2438">
        <v>1</v>
      </c>
      <c r="H2438">
        <v>2</v>
      </c>
      <c r="I2438">
        <v>664</v>
      </c>
      <c r="J2438">
        <v>1998</v>
      </c>
      <c r="K2438" s="4">
        <v>45430</v>
      </c>
      <c r="L2438" t="s">
        <v>20</v>
      </c>
      <c r="M2438" t="s">
        <v>85</v>
      </c>
      <c r="N2438">
        <v>3.17</v>
      </c>
      <c r="O2438">
        <v>2483</v>
      </c>
      <c r="P2438">
        <v>3.42</v>
      </c>
      <c r="Q2438">
        <v>63</v>
      </c>
      <c r="R2438">
        <v>501</v>
      </c>
    </row>
    <row r="2439" spans="1:18" x14ac:dyDescent="0.2">
      <c r="A2439">
        <v>1</v>
      </c>
      <c r="B2439" t="s">
        <v>101</v>
      </c>
      <c r="E2439" t="s">
        <v>29</v>
      </c>
      <c r="F2439">
        <v>1152467</v>
      </c>
      <c r="G2439">
        <v>4</v>
      </c>
      <c r="H2439">
        <v>3</v>
      </c>
      <c r="I2439">
        <v>118</v>
      </c>
      <c r="J2439">
        <v>1962</v>
      </c>
      <c r="K2439" s="4">
        <v>45791</v>
      </c>
      <c r="L2439" t="s">
        <v>26</v>
      </c>
      <c r="M2439" t="s">
        <v>74</v>
      </c>
      <c r="N2439">
        <v>2.3199999999999998</v>
      </c>
      <c r="O2439">
        <v>1374</v>
      </c>
      <c r="P2439">
        <v>4.05</v>
      </c>
      <c r="Q2439">
        <v>379</v>
      </c>
      <c r="R2439">
        <v>524</v>
      </c>
    </row>
    <row r="2440" spans="1:18" x14ac:dyDescent="0.2">
      <c r="A2440">
        <v>5</v>
      </c>
      <c r="B2440" t="s">
        <v>79</v>
      </c>
      <c r="E2440" t="s">
        <v>29</v>
      </c>
      <c r="F2440">
        <v>843779</v>
      </c>
      <c r="G2440">
        <v>3</v>
      </c>
      <c r="H2440">
        <v>3</v>
      </c>
      <c r="I2440">
        <v>278</v>
      </c>
      <c r="J2440">
        <v>1996</v>
      </c>
      <c r="K2440" s="4">
        <v>44933</v>
      </c>
      <c r="L2440" t="s">
        <v>23</v>
      </c>
      <c r="M2440" t="s">
        <v>60</v>
      </c>
      <c r="N2440">
        <v>2.63</v>
      </c>
      <c r="O2440">
        <v>1155</v>
      </c>
      <c r="P2440">
        <v>2.0299999999999998</v>
      </c>
      <c r="Q2440">
        <v>176</v>
      </c>
      <c r="R2440">
        <v>615</v>
      </c>
    </row>
    <row r="2441" spans="1:18" x14ac:dyDescent="0.2">
      <c r="A2441">
        <v>7</v>
      </c>
      <c r="B2441" t="s">
        <v>57</v>
      </c>
      <c r="E2441" t="s">
        <v>29</v>
      </c>
      <c r="F2441">
        <v>2495879</v>
      </c>
      <c r="G2441">
        <v>1</v>
      </c>
      <c r="H2441">
        <v>1</v>
      </c>
      <c r="I2441">
        <v>219</v>
      </c>
      <c r="J2441">
        <v>1952</v>
      </c>
      <c r="K2441" s="4">
        <v>45314</v>
      </c>
      <c r="L2441" t="s">
        <v>26</v>
      </c>
      <c r="M2441" t="s">
        <v>21</v>
      </c>
      <c r="N2441">
        <v>1.57</v>
      </c>
      <c r="O2441">
        <v>1874</v>
      </c>
      <c r="P2441">
        <v>4.03</v>
      </c>
      <c r="Q2441">
        <v>40</v>
      </c>
      <c r="R2441">
        <v>609</v>
      </c>
    </row>
    <row r="2442" spans="1:18" x14ac:dyDescent="0.2">
      <c r="A2442">
        <v>1</v>
      </c>
      <c r="B2442" t="s">
        <v>44</v>
      </c>
      <c r="E2442" t="s">
        <v>51</v>
      </c>
      <c r="F2442">
        <v>2711576</v>
      </c>
      <c r="G2442">
        <v>4</v>
      </c>
      <c r="H2442">
        <v>3</v>
      </c>
      <c r="I2442">
        <v>79</v>
      </c>
      <c r="J2442">
        <v>1995</v>
      </c>
      <c r="K2442" s="4">
        <v>45187</v>
      </c>
      <c r="L2442" t="s">
        <v>20</v>
      </c>
      <c r="M2442" t="s">
        <v>33</v>
      </c>
      <c r="N2442">
        <v>1.96</v>
      </c>
      <c r="O2442">
        <v>900</v>
      </c>
      <c r="P2442">
        <v>2.61</v>
      </c>
      <c r="Q2442">
        <v>219</v>
      </c>
      <c r="R2442">
        <v>625</v>
      </c>
    </row>
    <row r="2443" spans="1:18" x14ac:dyDescent="0.2">
      <c r="A2443">
        <v>9</v>
      </c>
      <c r="B2443" t="s">
        <v>96</v>
      </c>
      <c r="E2443" t="s">
        <v>36</v>
      </c>
      <c r="F2443">
        <v>1392798</v>
      </c>
      <c r="G2443">
        <v>2</v>
      </c>
      <c r="H2443">
        <v>3</v>
      </c>
      <c r="I2443">
        <v>281</v>
      </c>
      <c r="J2443">
        <v>1975</v>
      </c>
      <c r="K2443" s="4">
        <v>45553</v>
      </c>
      <c r="L2443" t="s">
        <v>26</v>
      </c>
      <c r="M2443" t="s">
        <v>60</v>
      </c>
      <c r="N2443">
        <v>2.38</v>
      </c>
      <c r="O2443">
        <v>1738</v>
      </c>
      <c r="P2443">
        <v>2.31</v>
      </c>
      <c r="Q2443">
        <v>104</v>
      </c>
      <c r="R2443">
        <v>398</v>
      </c>
    </row>
    <row r="2444" spans="1:18" x14ac:dyDescent="0.2">
      <c r="A2444">
        <v>5</v>
      </c>
      <c r="B2444" t="s">
        <v>102</v>
      </c>
      <c r="E2444" t="s">
        <v>29</v>
      </c>
      <c r="F2444">
        <v>2800021</v>
      </c>
      <c r="G2444">
        <v>4</v>
      </c>
      <c r="H2444">
        <v>3</v>
      </c>
      <c r="I2444">
        <v>258</v>
      </c>
      <c r="J2444">
        <v>2006</v>
      </c>
      <c r="K2444" s="4">
        <v>44160</v>
      </c>
      <c r="L2444" t="s">
        <v>20</v>
      </c>
      <c r="M2444" t="s">
        <v>59</v>
      </c>
      <c r="N2444">
        <v>2.2999999999999998</v>
      </c>
      <c r="O2444">
        <v>1383</v>
      </c>
      <c r="P2444">
        <v>1.86</v>
      </c>
      <c r="Q2444">
        <v>226</v>
      </c>
      <c r="R2444">
        <v>629</v>
      </c>
    </row>
    <row r="2445" spans="1:18" x14ac:dyDescent="0.2">
      <c r="A2445">
        <v>2</v>
      </c>
      <c r="B2445" t="s">
        <v>72</v>
      </c>
      <c r="E2445" t="s">
        <v>29</v>
      </c>
      <c r="F2445">
        <v>2614373</v>
      </c>
      <c r="G2445">
        <v>4</v>
      </c>
      <c r="H2445">
        <v>2</v>
      </c>
      <c r="I2445">
        <v>571</v>
      </c>
      <c r="J2445">
        <v>1987</v>
      </c>
      <c r="K2445" s="4">
        <v>44858</v>
      </c>
      <c r="L2445" t="s">
        <v>20</v>
      </c>
      <c r="M2445" t="s">
        <v>59</v>
      </c>
      <c r="N2445">
        <v>2.61</v>
      </c>
      <c r="O2445">
        <v>2015</v>
      </c>
      <c r="P2445">
        <v>2.02</v>
      </c>
      <c r="Q2445">
        <v>209</v>
      </c>
      <c r="R2445">
        <v>520</v>
      </c>
    </row>
    <row r="2446" spans="1:18" x14ac:dyDescent="0.2">
      <c r="A2446">
        <v>8</v>
      </c>
      <c r="B2446" t="s">
        <v>72</v>
      </c>
      <c r="E2446" t="s">
        <v>29</v>
      </c>
      <c r="F2446">
        <v>1737745</v>
      </c>
      <c r="G2446">
        <v>6</v>
      </c>
      <c r="H2446">
        <v>3</v>
      </c>
      <c r="I2446">
        <v>751</v>
      </c>
      <c r="J2446">
        <v>1955</v>
      </c>
      <c r="K2446" s="4">
        <v>45226</v>
      </c>
      <c r="L2446" t="s">
        <v>20</v>
      </c>
      <c r="M2446" t="s">
        <v>82</v>
      </c>
      <c r="N2446">
        <v>2</v>
      </c>
      <c r="O2446">
        <v>2414</v>
      </c>
      <c r="P2446">
        <v>0.68</v>
      </c>
      <c r="Q2446">
        <v>334</v>
      </c>
      <c r="R2446">
        <v>543</v>
      </c>
    </row>
    <row r="2447" spans="1:18" x14ac:dyDescent="0.2">
      <c r="A2447">
        <v>7</v>
      </c>
      <c r="B2447" t="s">
        <v>79</v>
      </c>
      <c r="E2447" t="s">
        <v>29</v>
      </c>
      <c r="F2447">
        <v>943104</v>
      </c>
      <c r="G2447">
        <v>3</v>
      </c>
      <c r="H2447">
        <v>1</v>
      </c>
      <c r="I2447">
        <v>81</v>
      </c>
      <c r="J2447">
        <v>1960</v>
      </c>
      <c r="K2447" s="4">
        <v>45577</v>
      </c>
      <c r="L2447" t="s">
        <v>26</v>
      </c>
      <c r="M2447" t="s">
        <v>69</v>
      </c>
      <c r="N2447">
        <v>2.17</v>
      </c>
      <c r="O2447">
        <v>1071</v>
      </c>
      <c r="P2447">
        <v>0.41</v>
      </c>
      <c r="Q2447">
        <v>143</v>
      </c>
      <c r="R2447">
        <v>562</v>
      </c>
    </row>
    <row r="2448" spans="1:18" x14ac:dyDescent="0.2">
      <c r="A2448">
        <v>4</v>
      </c>
      <c r="B2448" t="s">
        <v>67</v>
      </c>
      <c r="E2448" t="s">
        <v>36</v>
      </c>
      <c r="F2448">
        <v>1890390</v>
      </c>
      <c r="G2448">
        <v>3</v>
      </c>
      <c r="H2448">
        <v>1</v>
      </c>
      <c r="I2448">
        <v>921</v>
      </c>
      <c r="J2448">
        <v>1976</v>
      </c>
      <c r="K2448" s="4">
        <v>45380</v>
      </c>
      <c r="L2448" t="s">
        <v>30</v>
      </c>
      <c r="M2448" t="s">
        <v>33</v>
      </c>
      <c r="N2448">
        <v>3.01</v>
      </c>
      <c r="O2448">
        <v>1168</v>
      </c>
      <c r="P2448">
        <v>1.35</v>
      </c>
      <c r="Q2448">
        <v>107</v>
      </c>
      <c r="R2448">
        <v>586</v>
      </c>
    </row>
    <row r="2449" spans="1:18" x14ac:dyDescent="0.2">
      <c r="A2449">
        <v>1</v>
      </c>
      <c r="B2449" t="s">
        <v>73</v>
      </c>
      <c r="E2449" t="s">
        <v>29</v>
      </c>
      <c r="F2449">
        <v>1896889</v>
      </c>
      <c r="G2449">
        <v>1</v>
      </c>
      <c r="H2449">
        <v>3</v>
      </c>
      <c r="I2449">
        <v>573</v>
      </c>
      <c r="J2449">
        <v>1986</v>
      </c>
      <c r="K2449" s="4">
        <v>44835</v>
      </c>
      <c r="L2449" t="s">
        <v>20</v>
      </c>
      <c r="M2449" t="s">
        <v>31</v>
      </c>
      <c r="N2449">
        <v>2.71</v>
      </c>
      <c r="O2449">
        <v>951</v>
      </c>
      <c r="P2449">
        <v>3.42</v>
      </c>
      <c r="Q2449">
        <v>159</v>
      </c>
      <c r="R2449">
        <v>541</v>
      </c>
    </row>
    <row r="2450" spans="1:18" x14ac:dyDescent="0.2">
      <c r="A2450">
        <v>7</v>
      </c>
      <c r="B2450" t="s">
        <v>46</v>
      </c>
      <c r="E2450" t="s">
        <v>19</v>
      </c>
      <c r="F2450">
        <v>1946720</v>
      </c>
      <c r="G2450">
        <v>5</v>
      </c>
      <c r="H2450">
        <v>2</v>
      </c>
      <c r="I2450">
        <v>126</v>
      </c>
      <c r="J2450">
        <v>2013</v>
      </c>
      <c r="K2450" s="4">
        <v>44133</v>
      </c>
      <c r="L2450" t="s">
        <v>30</v>
      </c>
      <c r="M2450" t="s">
        <v>52</v>
      </c>
      <c r="N2450">
        <v>2.0299999999999998</v>
      </c>
      <c r="O2450">
        <v>1016</v>
      </c>
      <c r="P2450">
        <v>1.02</v>
      </c>
      <c r="Q2450">
        <v>304</v>
      </c>
      <c r="R2450">
        <v>455</v>
      </c>
    </row>
    <row r="2451" spans="1:18" x14ac:dyDescent="0.2">
      <c r="A2451">
        <v>8</v>
      </c>
      <c r="B2451" t="s">
        <v>64</v>
      </c>
      <c r="E2451" t="s">
        <v>51</v>
      </c>
      <c r="F2451">
        <v>2958640</v>
      </c>
      <c r="G2451">
        <v>4</v>
      </c>
      <c r="H2451">
        <v>3</v>
      </c>
      <c r="I2451">
        <v>560</v>
      </c>
      <c r="J2451">
        <v>1995</v>
      </c>
      <c r="K2451" s="4">
        <v>45402</v>
      </c>
      <c r="L2451" t="s">
        <v>23</v>
      </c>
      <c r="M2451" t="s">
        <v>47</v>
      </c>
      <c r="N2451">
        <v>2.71</v>
      </c>
      <c r="O2451">
        <v>1532</v>
      </c>
      <c r="P2451">
        <v>2.59</v>
      </c>
      <c r="Q2451">
        <v>228</v>
      </c>
      <c r="R2451">
        <v>467</v>
      </c>
    </row>
    <row r="2452" spans="1:18" x14ac:dyDescent="0.2">
      <c r="A2452">
        <v>7</v>
      </c>
      <c r="B2452" t="s">
        <v>101</v>
      </c>
      <c r="E2452" t="s">
        <v>19</v>
      </c>
      <c r="F2452">
        <v>2398488</v>
      </c>
      <c r="G2452">
        <v>2</v>
      </c>
      <c r="H2452">
        <v>1</v>
      </c>
      <c r="I2452">
        <v>447</v>
      </c>
      <c r="J2452">
        <v>1965</v>
      </c>
      <c r="K2452" s="4">
        <v>44770</v>
      </c>
      <c r="L2452" t="s">
        <v>30</v>
      </c>
      <c r="M2452" t="s">
        <v>76</v>
      </c>
      <c r="N2452">
        <v>2.15</v>
      </c>
      <c r="O2452">
        <v>2411</v>
      </c>
      <c r="P2452">
        <v>3.18</v>
      </c>
      <c r="Q2452">
        <v>129</v>
      </c>
      <c r="R2452">
        <v>603</v>
      </c>
    </row>
    <row r="2453" spans="1:18" x14ac:dyDescent="0.2">
      <c r="A2453">
        <v>1</v>
      </c>
      <c r="B2453" t="s">
        <v>71</v>
      </c>
      <c r="E2453" t="s">
        <v>36</v>
      </c>
      <c r="F2453">
        <v>2474906</v>
      </c>
      <c r="G2453">
        <v>2</v>
      </c>
      <c r="H2453">
        <v>1</v>
      </c>
      <c r="I2453">
        <v>580</v>
      </c>
      <c r="J2453">
        <v>2001</v>
      </c>
      <c r="K2453" s="4">
        <v>45244</v>
      </c>
      <c r="L2453" t="s">
        <v>26</v>
      </c>
      <c r="M2453" t="s">
        <v>31</v>
      </c>
      <c r="N2453">
        <v>1.65</v>
      </c>
      <c r="O2453">
        <v>1267</v>
      </c>
      <c r="P2453">
        <v>2.4900000000000002</v>
      </c>
      <c r="Q2453">
        <v>161</v>
      </c>
      <c r="R2453">
        <v>441</v>
      </c>
    </row>
    <row r="2454" spans="1:18" x14ac:dyDescent="0.2">
      <c r="A2454">
        <v>5</v>
      </c>
      <c r="B2454" t="s">
        <v>34</v>
      </c>
      <c r="E2454" t="s">
        <v>36</v>
      </c>
      <c r="F2454">
        <v>2315228</v>
      </c>
      <c r="G2454">
        <v>4</v>
      </c>
      <c r="H2454">
        <v>2</v>
      </c>
      <c r="I2454">
        <v>921</v>
      </c>
      <c r="J2454">
        <v>1998</v>
      </c>
      <c r="K2454" s="4">
        <v>45158</v>
      </c>
      <c r="L2454" t="s">
        <v>26</v>
      </c>
      <c r="M2454" t="s">
        <v>42</v>
      </c>
      <c r="N2454">
        <v>2.52</v>
      </c>
      <c r="O2454">
        <v>2320</v>
      </c>
      <c r="P2454">
        <v>0.34</v>
      </c>
      <c r="Q2454">
        <v>323</v>
      </c>
      <c r="R2454">
        <v>645</v>
      </c>
    </row>
    <row r="2455" spans="1:18" x14ac:dyDescent="0.2">
      <c r="A2455">
        <v>1</v>
      </c>
      <c r="B2455" t="s">
        <v>48</v>
      </c>
      <c r="E2455" t="s">
        <v>19</v>
      </c>
      <c r="F2455">
        <v>1265526</v>
      </c>
      <c r="G2455">
        <v>3</v>
      </c>
      <c r="H2455">
        <v>2</v>
      </c>
      <c r="I2455">
        <v>466</v>
      </c>
      <c r="J2455">
        <v>1962</v>
      </c>
      <c r="K2455" s="4">
        <v>45475</v>
      </c>
      <c r="L2455" t="s">
        <v>23</v>
      </c>
      <c r="M2455" t="s">
        <v>37</v>
      </c>
      <c r="N2455">
        <v>1.52</v>
      </c>
      <c r="O2455">
        <v>1034</v>
      </c>
      <c r="P2455">
        <v>1.19</v>
      </c>
      <c r="Q2455">
        <v>117</v>
      </c>
      <c r="R2455">
        <v>678</v>
      </c>
    </row>
    <row r="2456" spans="1:18" x14ac:dyDescent="0.2">
      <c r="A2456">
        <v>3</v>
      </c>
      <c r="B2456" t="s">
        <v>61</v>
      </c>
      <c r="E2456" t="s">
        <v>19</v>
      </c>
      <c r="F2456">
        <v>1748741</v>
      </c>
      <c r="G2456">
        <v>1</v>
      </c>
      <c r="H2456">
        <v>1</v>
      </c>
      <c r="I2456">
        <v>783</v>
      </c>
      <c r="J2456">
        <v>1993</v>
      </c>
      <c r="K2456" s="4">
        <v>45804</v>
      </c>
      <c r="L2456" t="s">
        <v>30</v>
      </c>
      <c r="M2456" t="s">
        <v>31</v>
      </c>
      <c r="N2456">
        <v>3.12</v>
      </c>
      <c r="O2456">
        <v>2183</v>
      </c>
      <c r="P2456">
        <v>2.86</v>
      </c>
      <c r="Q2456">
        <v>117</v>
      </c>
      <c r="R2456">
        <v>465</v>
      </c>
    </row>
    <row r="2457" spans="1:18" x14ac:dyDescent="0.2">
      <c r="A2457">
        <v>7</v>
      </c>
      <c r="B2457" t="s">
        <v>72</v>
      </c>
      <c r="E2457" t="s">
        <v>29</v>
      </c>
      <c r="F2457">
        <v>2263076</v>
      </c>
      <c r="G2457">
        <v>5</v>
      </c>
      <c r="H2457">
        <v>3</v>
      </c>
      <c r="I2457">
        <v>67</v>
      </c>
      <c r="J2457">
        <v>1967</v>
      </c>
      <c r="K2457" s="4">
        <v>44402</v>
      </c>
      <c r="L2457" t="s">
        <v>26</v>
      </c>
      <c r="M2457" t="s">
        <v>70</v>
      </c>
      <c r="N2457">
        <v>1.52</v>
      </c>
      <c r="O2457">
        <v>1921</v>
      </c>
      <c r="P2457">
        <v>4.97</v>
      </c>
      <c r="Q2457">
        <v>334</v>
      </c>
      <c r="R2457">
        <v>604</v>
      </c>
    </row>
    <row r="2458" spans="1:18" x14ac:dyDescent="0.2">
      <c r="A2458">
        <v>5</v>
      </c>
      <c r="B2458" t="s">
        <v>39</v>
      </c>
      <c r="E2458" t="s">
        <v>19</v>
      </c>
      <c r="F2458">
        <v>449327</v>
      </c>
      <c r="G2458">
        <v>4</v>
      </c>
      <c r="H2458">
        <v>2</v>
      </c>
      <c r="I2458">
        <v>415</v>
      </c>
      <c r="J2458">
        <v>2009</v>
      </c>
      <c r="K2458" s="4">
        <v>44938</v>
      </c>
      <c r="L2458" t="s">
        <v>26</v>
      </c>
      <c r="M2458" t="s">
        <v>77</v>
      </c>
      <c r="N2458">
        <v>2.2400000000000002</v>
      </c>
      <c r="O2458">
        <v>1938</v>
      </c>
      <c r="P2458">
        <v>1.4</v>
      </c>
      <c r="Q2458">
        <v>264</v>
      </c>
      <c r="R2458">
        <v>582</v>
      </c>
    </row>
    <row r="2459" spans="1:18" x14ac:dyDescent="0.2">
      <c r="A2459">
        <v>7</v>
      </c>
      <c r="B2459" t="s">
        <v>62</v>
      </c>
      <c r="E2459" t="s">
        <v>36</v>
      </c>
      <c r="F2459">
        <v>2327049</v>
      </c>
      <c r="G2459">
        <v>2</v>
      </c>
      <c r="H2459">
        <v>1</v>
      </c>
      <c r="I2459">
        <v>340</v>
      </c>
      <c r="J2459">
        <v>1971</v>
      </c>
      <c r="K2459" s="4">
        <v>44950</v>
      </c>
      <c r="L2459" t="s">
        <v>26</v>
      </c>
      <c r="M2459" t="s">
        <v>78</v>
      </c>
      <c r="N2459">
        <v>3.08</v>
      </c>
      <c r="O2459">
        <v>2027</v>
      </c>
      <c r="P2459">
        <v>2.72</v>
      </c>
      <c r="Q2459">
        <v>149</v>
      </c>
      <c r="R2459">
        <v>555</v>
      </c>
    </row>
    <row r="2460" spans="1:18" x14ac:dyDescent="0.2">
      <c r="A2460">
        <v>4</v>
      </c>
      <c r="B2460" t="s">
        <v>65</v>
      </c>
      <c r="E2460" t="s">
        <v>36</v>
      </c>
      <c r="F2460">
        <v>2671216</v>
      </c>
      <c r="G2460">
        <v>6</v>
      </c>
      <c r="H2460">
        <v>3</v>
      </c>
      <c r="I2460">
        <v>184</v>
      </c>
      <c r="J2460">
        <v>1971</v>
      </c>
      <c r="K2460" s="4">
        <v>45734</v>
      </c>
      <c r="L2460" t="s">
        <v>26</v>
      </c>
      <c r="M2460" t="s">
        <v>33</v>
      </c>
      <c r="N2460">
        <v>2.2999999999999998</v>
      </c>
      <c r="O2460">
        <v>1264</v>
      </c>
      <c r="P2460">
        <v>2.36</v>
      </c>
      <c r="Q2460">
        <v>331</v>
      </c>
      <c r="R2460">
        <v>553</v>
      </c>
    </row>
    <row r="2461" spans="1:18" x14ac:dyDescent="0.2">
      <c r="A2461">
        <v>8</v>
      </c>
      <c r="B2461" t="s">
        <v>81</v>
      </c>
      <c r="E2461" t="s">
        <v>51</v>
      </c>
      <c r="F2461">
        <v>2103217</v>
      </c>
      <c r="G2461">
        <v>0</v>
      </c>
      <c r="H2461">
        <v>3</v>
      </c>
      <c r="I2461">
        <v>308</v>
      </c>
      <c r="J2461">
        <v>2001</v>
      </c>
      <c r="K2461" s="4">
        <v>45741</v>
      </c>
      <c r="L2461" t="s">
        <v>20</v>
      </c>
      <c r="M2461" t="s">
        <v>70</v>
      </c>
      <c r="N2461">
        <v>2.71</v>
      </c>
      <c r="O2461">
        <v>1826</v>
      </c>
      <c r="P2461">
        <v>4.97</v>
      </c>
      <c r="Q2461">
        <v>42</v>
      </c>
      <c r="R2461">
        <v>511</v>
      </c>
    </row>
    <row r="2462" spans="1:18" x14ac:dyDescent="0.2">
      <c r="A2462">
        <v>2</v>
      </c>
      <c r="B2462" t="s">
        <v>57</v>
      </c>
      <c r="E2462" t="s">
        <v>19</v>
      </c>
      <c r="F2462">
        <v>509229</v>
      </c>
      <c r="G2462">
        <v>5</v>
      </c>
      <c r="H2462">
        <v>2</v>
      </c>
      <c r="I2462">
        <v>250</v>
      </c>
      <c r="J2462">
        <v>2017</v>
      </c>
      <c r="K2462" s="4">
        <v>45879</v>
      </c>
      <c r="L2462" t="s">
        <v>20</v>
      </c>
      <c r="M2462" t="s">
        <v>89</v>
      </c>
      <c r="N2462">
        <v>2.92</v>
      </c>
      <c r="O2462">
        <v>1708</v>
      </c>
      <c r="P2462">
        <v>2.29</v>
      </c>
      <c r="Q2462">
        <v>256</v>
      </c>
      <c r="R2462">
        <v>373</v>
      </c>
    </row>
    <row r="2463" spans="1:18" x14ac:dyDescent="0.2">
      <c r="A2463">
        <v>1</v>
      </c>
      <c r="B2463" t="s">
        <v>46</v>
      </c>
      <c r="E2463" t="s">
        <v>51</v>
      </c>
      <c r="F2463">
        <v>1114773</v>
      </c>
      <c r="G2463">
        <v>4</v>
      </c>
      <c r="H2463">
        <v>2</v>
      </c>
      <c r="I2463">
        <v>622</v>
      </c>
      <c r="J2463">
        <v>1990</v>
      </c>
      <c r="K2463" s="4">
        <v>44738</v>
      </c>
      <c r="L2463" t="s">
        <v>26</v>
      </c>
      <c r="M2463" t="s">
        <v>24</v>
      </c>
      <c r="N2463">
        <v>3.28</v>
      </c>
      <c r="O2463">
        <v>1106</v>
      </c>
      <c r="P2463">
        <v>3.55</v>
      </c>
      <c r="Q2463">
        <v>252</v>
      </c>
      <c r="R2463">
        <v>313</v>
      </c>
    </row>
    <row r="2464" spans="1:18" x14ac:dyDescent="0.2">
      <c r="A2464">
        <v>1</v>
      </c>
      <c r="B2464" t="s">
        <v>92</v>
      </c>
      <c r="E2464" t="s">
        <v>29</v>
      </c>
      <c r="F2464">
        <v>2357674</v>
      </c>
      <c r="G2464">
        <v>4</v>
      </c>
      <c r="H2464">
        <v>1</v>
      </c>
      <c r="I2464">
        <v>785</v>
      </c>
      <c r="J2464">
        <v>1951</v>
      </c>
      <c r="K2464" s="4">
        <v>45828</v>
      </c>
      <c r="L2464" t="s">
        <v>20</v>
      </c>
      <c r="M2464" t="s">
        <v>89</v>
      </c>
      <c r="N2464">
        <v>2.23</v>
      </c>
      <c r="O2464">
        <v>2493</v>
      </c>
      <c r="P2464">
        <v>1.21</v>
      </c>
      <c r="Q2464">
        <v>227</v>
      </c>
      <c r="R2464">
        <v>397</v>
      </c>
    </row>
    <row r="2465" spans="1:18" x14ac:dyDescent="0.2">
      <c r="A2465">
        <v>6</v>
      </c>
      <c r="B2465" t="s">
        <v>81</v>
      </c>
      <c r="E2465" t="s">
        <v>19</v>
      </c>
      <c r="F2465">
        <v>1780287</v>
      </c>
      <c r="G2465">
        <v>2</v>
      </c>
      <c r="H2465">
        <v>1</v>
      </c>
      <c r="I2465">
        <v>459</v>
      </c>
      <c r="J2465">
        <v>1992</v>
      </c>
      <c r="K2465" s="4">
        <v>45096</v>
      </c>
      <c r="L2465" t="s">
        <v>20</v>
      </c>
      <c r="M2465" t="s">
        <v>45</v>
      </c>
      <c r="N2465">
        <v>3.46</v>
      </c>
      <c r="O2465">
        <v>2255</v>
      </c>
      <c r="P2465">
        <v>4.46</v>
      </c>
      <c r="Q2465">
        <v>159</v>
      </c>
      <c r="R2465">
        <v>477</v>
      </c>
    </row>
    <row r="2466" spans="1:18" x14ac:dyDescent="0.2">
      <c r="A2466">
        <v>2</v>
      </c>
      <c r="B2466" t="s">
        <v>88</v>
      </c>
      <c r="E2466" t="s">
        <v>19</v>
      </c>
      <c r="F2466">
        <v>1530730</v>
      </c>
      <c r="G2466">
        <v>3</v>
      </c>
      <c r="H2466">
        <v>1</v>
      </c>
      <c r="I2466">
        <v>305</v>
      </c>
      <c r="J2466">
        <v>2022</v>
      </c>
      <c r="K2466" s="4">
        <v>45422</v>
      </c>
      <c r="L2466" t="s">
        <v>20</v>
      </c>
      <c r="M2466" t="s">
        <v>97</v>
      </c>
      <c r="N2466">
        <v>3.28</v>
      </c>
      <c r="O2466">
        <v>2335</v>
      </c>
      <c r="P2466">
        <v>4.2699999999999996</v>
      </c>
      <c r="Q2466">
        <v>290</v>
      </c>
      <c r="R2466">
        <v>387</v>
      </c>
    </row>
    <row r="2467" spans="1:18" x14ac:dyDescent="0.2">
      <c r="A2467">
        <v>8</v>
      </c>
      <c r="B2467" t="s">
        <v>32</v>
      </c>
      <c r="E2467" t="s">
        <v>19</v>
      </c>
      <c r="F2467">
        <v>1024036</v>
      </c>
      <c r="G2467">
        <v>6</v>
      </c>
      <c r="H2467">
        <v>2</v>
      </c>
      <c r="I2467">
        <v>403</v>
      </c>
      <c r="J2467">
        <v>1977</v>
      </c>
      <c r="K2467" s="4">
        <v>44116</v>
      </c>
      <c r="L2467" t="s">
        <v>30</v>
      </c>
      <c r="M2467" t="s">
        <v>33</v>
      </c>
      <c r="N2467">
        <v>1.76</v>
      </c>
      <c r="O2467">
        <v>1380</v>
      </c>
      <c r="P2467">
        <v>1.54</v>
      </c>
      <c r="Q2467">
        <v>355</v>
      </c>
      <c r="R2467">
        <v>462</v>
      </c>
    </row>
    <row r="2468" spans="1:18" x14ac:dyDescent="0.2">
      <c r="A2468">
        <v>1</v>
      </c>
      <c r="B2468" t="s">
        <v>81</v>
      </c>
      <c r="E2468" t="s">
        <v>19</v>
      </c>
      <c r="F2468">
        <v>2132660</v>
      </c>
      <c r="G2468">
        <v>4</v>
      </c>
      <c r="H2468">
        <v>1</v>
      </c>
      <c r="I2468">
        <v>587</v>
      </c>
      <c r="J2468">
        <v>1951</v>
      </c>
      <c r="K2468" s="4">
        <v>44439</v>
      </c>
      <c r="L2468" t="s">
        <v>23</v>
      </c>
      <c r="M2468" t="s">
        <v>69</v>
      </c>
      <c r="N2468">
        <v>3.2</v>
      </c>
      <c r="O2468">
        <v>1999</v>
      </c>
      <c r="P2468">
        <v>1.3</v>
      </c>
      <c r="Q2468">
        <v>218</v>
      </c>
      <c r="R2468">
        <v>680</v>
      </c>
    </row>
    <row r="2469" spans="1:18" x14ac:dyDescent="0.2">
      <c r="A2469">
        <v>9</v>
      </c>
      <c r="B2469" t="s">
        <v>79</v>
      </c>
      <c r="E2469" t="s">
        <v>29</v>
      </c>
      <c r="F2469">
        <v>616641</v>
      </c>
      <c r="G2469">
        <v>2</v>
      </c>
      <c r="H2469">
        <v>2</v>
      </c>
      <c r="I2469">
        <v>355</v>
      </c>
      <c r="J2469">
        <v>1995</v>
      </c>
      <c r="K2469" s="4">
        <v>44695</v>
      </c>
      <c r="L2469" t="s">
        <v>26</v>
      </c>
      <c r="M2469" t="s">
        <v>85</v>
      </c>
      <c r="N2469">
        <v>1.58</v>
      </c>
      <c r="O2469">
        <v>2054</v>
      </c>
      <c r="P2469">
        <v>3.36</v>
      </c>
      <c r="Q2469">
        <v>84</v>
      </c>
      <c r="R2469">
        <v>613</v>
      </c>
    </row>
    <row r="2470" spans="1:18" x14ac:dyDescent="0.2">
      <c r="A2470">
        <v>0</v>
      </c>
      <c r="B2470" t="s">
        <v>106</v>
      </c>
      <c r="E2470" t="s">
        <v>36</v>
      </c>
      <c r="F2470">
        <v>2991050</v>
      </c>
      <c r="G2470">
        <v>5</v>
      </c>
      <c r="H2470">
        <v>2</v>
      </c>
      <c r="I2470">
        <v>118</v>
      </c>
      <c r="J2470">
        <v>1976</v>
      </c>
      <c r="K2470" s="4">
        <v>45235</v>
      </c>
      <c r="L2470" t="s">
        <v>20</v>
      </c>
      <c r="M2470" t="s">
        <v>59</v>
      </c>
      <c r="N2470">
        <v>3.21</v>
      </c>
      <c r="O2470">
        <v>1791</v>
      </c>
      <c r="P2470">
        <v>3.12</v>
      </c>
      <c r="Q2470">
        <v>245</v>
      </c>
      <c r="R2470">
        <v>406</v>
      </c>
    </row>
    <row r="2471" spans="1:18" x14ac:dyDescent="0.2">
      <c r="A2471">
        <v>0</v>
      </c>
      <c r="B2471" t="s">
        <v>100</v>
      </c>
      <c r="E2471" t="s">
        <v>51</v>
      </c>
      <c r="F2471">
        <v>898067</v>
      </c>
      <c r="G2471">
        <v>1</v>
      </c>
      <c r="H2471">
        <v>1</v>
      </c>
      <c r="I2471">
        <v>490</v>
      </c>
      <c r="J2471">
        <v>1991</v>
      </c>
      <c r="K2471" s="4">
        <v>44577</v>
      </c>
      <c r="L2471" t="s">
        <v>20</v>
      </c>
      <c r="M2471" t="s">
        <v>74</v>
      </c>
      <c r="N2471">
        <v>1.87</v>
      </c>
      <c r="O2471">
        <v>1054</v>
      </c>
      <c r="P2471">
        <v>3.73</v>
      </c>
      <c r="Q2471">
        <v>132</v>
      </c>
      <c r="R2471">
        <v>494</v>
      </c>
    </row>
    <row r="2472" spans="1:18" x14ac:dyDescent="0.2">
      <c r="A2472">
        <v>4</v>
      </c>
      <c r="B2472" t="s">
        <v>50</v>
      </c>
      <c r="E2472" t="s">
        <v>51</v>
      </c>
      <c r="F2472">
        <v>2727520</v>
      </c>
      <c r="G2472">
        <v>3</v>
      </c>
      <c r="H2472">
        <v>2</v>
      </c>
      <c r="I2472">
        <v>701</v>
      </c>
      <c r="J2472">
        <v>1961</v>
      </c>
      <c r="K2472" s="4">
        <v>44707</v>
      </c>
      <c r="L2472" t="s">
        <v>23</v>
      </c>
      <c r="M2472" t="s">
        <v>24</v>
      </c>
      <c r="N2472">
        <v>2.67</v>
      </c>
      <c r="O2472">
        <v>1717</v>
      </c>
      <c r="P2472">
        <v>4.42</v>
      </c>
      <c r="Q2472">
        <v>181</v>
      </c>
      <c r="R2472">
        <v>424</v>
      </c>
    </row>
    <row r="2473" spans="1:18" x14ac:dyDescent="0.2">
      <c r="A2473">
        <v>1</v>
      </c>
      <c r="B2473" t="s">
        <v>80</v>
      </c>
      <c r="E2473" t="s">
        <v>19</v>
      </c>
      <c r="F2473">
        <v>421760</v>
      </c>
      <c r="G2473">
        <v>3</v>
      </c>
      <c r="H2473">
        <v>1</v>
      </c>
      <c r="I2473">
        <v>705</v>
      </c>
      <c r="J2473">
        <v>1995</v>
      </c>
      <c r="K2473" s="4">
        <v>45863</v>
      </c>
      <c r="L2473" t="s">
        <v>23</v>
      </c>
      <c r="M2473" t="s">
        <v>40</v>
      </c>
      <c r="N2473">
        <v>3.35</v>
      </c>
      <c r="O2473">
        <v>2488</v>
      </c>
      <c r="P2473">
        <v>3.74</v>
      </c>
      <c r="Q2473">
        <v>273</v>
      </c>
      <c r="R2473">
        <v>478</v>
      </c>
    </row>
    <row r="2474" spans="1:18" x14ac:dyDescent="0.2">
      <c r="A2474">
        <v>3</v>
      </c>
      <c r="B2474" t="s">
        <v>55</v>
      </c>
      <c r="E2474" t="s">
        <v>36</v>
      </c>
      <c r="F2474">
        <v>2239532</v>
      </c>
      <c r="G2474">
        <v>0</v>
      </c>
      <c r="H2474">
        <v>2</v>
      </c>
      <c r="I2474">
        <v>719</v>
      </c>
      <c r="J2474">
        <v>1961</v>
      </c>
      <c r="K2474" s="4">
        <v>44881</v>
      </c>
      <c r="L2474" t="s">
        <v>30</v>
      </c>
      <c r="M2474" t="s">
        <v>42</v>
      </c>
      <c r="N2474">
        <v>2.65</v>
      </c>
      <c r="O2474">
        <v>1379</v>
      </c>
      <c r="P2474">
        <v>2.33</v>
      </c>
      <c r="Q2474">
        <v>49</v>
      </c>
      <c r="R2474">
        <v>441</v>
      </c>
    </row>
    <row r="2475" spans="1:18" x14ac:dyDescent="0.2">
      <c r="A2475">
        <v>2</v>
      </c>
      <c r="B2475" t="s">
        <v>104</v>
      </c>
      <c r="E2475" t="s">
        <v>36</v>
      </c>
      <c r="F2475">
        <v>2870947</v>
      </c>
      <c r="G2475">
        <v>3</v>
      </c>
      <c r="H2475">
        <v>3</v>
      </c>
      <c r="I2475">
        <v>404</v>
      </c>
      <c r="J2475">
        <v>2016</v>
      </c>
      <c r="K2475" s="4">
        <v>44673</v>
      </c>
      <c r="L2475" t="s">
        <v>26</v>
      </c>
      <c r="M2475" t="s">
        <v>31</v>
      </c>
      <c r="N2475">
        <v>3.33</v>
      </c>
      <c r="O2475">
        <v>2086</v>
      </c>
      <c r="P2475">
        <v>0.99</v>
      </c>
      <c r="Q2475">
        <v>312</v>
      </c>
      <c r="R2475">
        <v>501</v>
      </c>
    </row>
    <row r="2476" spans="1:18" x14ac:dyDescent="0.2">
      <c r="A2476">
        <v>5</v>
      </c>
      <c r="B2476" t="s">
        <v>98</v>
      </c>
      <c r="E2476" t="s">
        <v>29</v>
      </c>
      <c r="F2476">
        <v>2247801</v>
      </c>
      <c r="G2476">
        <v>2</v>
      </c>
      <c r="H2476">
        <v>2</v>
      </c>
      <c r="I2476">
        <v>434</v>
      </c>
      <c r="J2476">
        <v>1974</v>
      </c>
      <c r="K2476" s="4">
        <v>44830</v>
      </c>
      <c r="L2476" t="s">
        <v>26</v>
      </c>
      <c r="M2476" t="s">
        <v>60</v>
      </c>
      <c r="N2476">
        <v>2.5099999999999998</v>
      </c>
      <c r="O2476">
        <v>2236</v>
      </c>
      <c r="P2476">
        <v>0.74</v>
      </c>
      <c r="Q2476">
        <v>92</v>
      </c>
      <c r="R2476">
        <v>532</v>
      </c>
    </row>
    <row r="2477" spans="1:18" x14ac:dyDescent="0.2">
      <c r="A2477">
        <v>2</v>
      </c>
      <c r="B2477" t="s">
        <v>22</v>
      </c>
      <c r="E2477" t="s">
        <v>29</v>
      </c>
      <c r="F2477">
        <v>2116939</v>
      </c>
      <c r="G2477">
        <v>4</v>
      </c>
      <c r="H2477">
        <v>3</v>
      </c>
      <c r="I2477">
        <v>729</v>
      </c>
      <c r="J2477">
        <v>2000</v>
      </c>
      <c r="K2477" s="4">
        <v>44101</v>
      </c>
      <c r="L2477" t="s">
        <v>20</v>
      </c>
      <c r="M2477" t="s">
        <v>21</v>
      </c>
      <c r="N2477">
        <v>3.27</v>
      </c>
      <c r="O2477">
        <v>2422</v>
      </c>
      <c r="P2477">
        <v>4.05</v>
      </c>
      <c r="Q2477">
        <v>264</v>
      </c>
      <c r="R2477">
        <v>349</v>
      </c>
    </row>
    <row r="2478" spans="1:18" x14ac:dyDescent="0.2">
      <c r="A2478">
        <v>6</v>
      </c>
      <c r="B2478" t="s">
        <v>94</v>
      </c>
      <c r="E2478" t="s">
        <v>29</v>
      </c>
      <c r="F2478">
        <v>1204037</v>
      </c>
      <c r="G2478">
        <v>4</v>
      </c>
      <c r="H2478">
        <v>2</v>
      </c>
      <c r="I2478">
        <v>498</v>
      </c>
      <c r="J2478">
        <v>1952</v>
      </c>
      <c r="K2478" s="4">
        <v>44672</v>
      </c>
      <c r="L2478" t="s">
        <v>30</v>
      </c>
      <c r="M2478" t="s">
        <v>42</v>
      </c>
      <c r="N2478">
        <v>2.94</v>
      </c>
      <c r="O2478">
        <v>2463</v>
      </c>
      <c r="P2478">
        <v>3.15</v>
      </c>
      <c r="Q2478">
        <v>367</v>
      </c>
      <c r="R2478">
        <v>355</v>
      </c>
    </row>
    <row r="2479" spans="1:18" x14ac:dyDescent="0.2">
      <c r="A2479">
        <v>4</v>
      </c>
      <c r="B2479" t="s">
        <v>84</v>
      </c>
      <c r="E2479" t="s">
        <v>51</v>
      </c>
      <c r="F2479">
        <v>2668528</v>
      </c>
      <c r="G2479">
        <v>4</v>
      </c>
      <c r="H2479">
        <v>3</v>
      </c>
      <c r="I2479">
        <v>797</v>
      </c>
      <c r="J2479">
        <v>1952</v>
      </c>
      <c r="K2479" s="4">
        <v>45424</v>
      </c>
      <c r="L2479" t="s">
        <v>23</v>
      </c>
      <c r="M2479" t="s">
        <v>89</v>
      </c>
      <c r="N2479">
        <v>1.81</v>
      </c>
      <c r="O2479">
        <v>1018</v>
      </c>
      <c r="P2479">
        <v>4.17</v>
      </c>
      <c r="Q2479">
        <v>237</v>
      </c>
      <c r="R2479">
        <v>695</v>
      </c>
    </row>
    <row r="2480" spans="1:18" x14ac:dyDescent="0.2">
      <c r="A2480">
        <v>1</v>
      </c>
      <c r="B2480" t="s">
        <v>87</v>
      </c>
      <c r="E2480" t="s">
        <v>51</v>
      </c>
      <c r="F2480">
        <v>493723</v>
      </c>
      <c r="G2480">
        <v>4</v>
      </c>
      <c r="H2480">
        <v>3</v>
      </c>
      <c r="I2480">
        <v>908</v>
      </c>
      <c r="J2480">
        <v>1962</v>
      </c>
      <c r="K2480" s="4">
        <v>44483</v>
      </c>
      <c r="L2480" t="s">
        <v>23</v>
      </c>
      <c r="M2480" t="s">
        <v>78</v>
      </c>
      <c r="N2480">
        <v>2.59</v>
      </c>
      <c r="O2480">
        <v>1470</v>
      </c>
      <c r="P2480">
        <v>0.47</v>
      </c>
      <c r="Q2480">
        <v>273</v>
      </c>
      <c r="R2480">
        <v>384</v>
      </c>
    </row>
    <row r="2481" spans="1:18" x14ac:dyDescent="0.2">
      <c r="A2481">
        <v>3</v>
      </c>
      <c r="B2481" t="s">
        <v>87</v>
      </c>
      <c r="E2481" t="s">
        <v>36</v>
      </c>
      <c r="F2481">
        <v>470777</v>
      </c>
      <c r="G2481">
        <v>4</v>
      </c>
      <c r="H2481">
        <v>3</v>
      </c>
      <c r="I2481">
        <v>622</v>
      </c>
      <c r="J2481">
        <v>1983</v>
      </c>
      <c r="K2481" s="4">
        <v>45209</v>
      </c>
      <c r="L2481" t="s">
        <v>20</v>
      </c>
      <c r="M2481" t="s">
        <v>42</v>
      </c>
      <c r="N2481">
        <v>2.97</v>
      </c>
      <c r="O2481">
        <v>2357</v>
      </c>
      <c r="P2481">
        <v>5</v>
      </c>
      <c r="Q2481">
        <v>363</v>
      </c>
      <c r="R2481">
        <v>388</v>
      </c>
    </row>
    <row r="2482" spans="1:18" x14ac:dyDescent="0.2">
      <c r="A2482">
        <v>5</v>
      </c>
      <c r="B2482" t="s">
        <v>50</v>
      </c>
      <c r="E2482" t="s">
        <v>36</v>
      </c>
      <c r="F2482">
        <v>469050</v>
      </c>
      <c r="G2482">
        <v>5</v>
      </c>
      <c r="H2482">
        <v>1</v>
      </c>
      <c r="I2482">
        <v>854</v>
      </c>
      <c r="J2482">
        <v>1999</v>
      </c>
      <c r="K2482" s="4">
        <v>44413</v>
      </c>
      <c r="L2482" t="s">
        <v>23</v>
      </c>
      <c r="M2482" t="s">
        <v>59</v>
      </c>
      <c r="N2482">
        <v>1.51</v>
      </c>
      <c r="O2482">
        <v>2422</v>
      </c>
      <c r="P2482">
        <v>1.34</v>
      </c>
      <c r="Q2482">
        <v>252</v>
      </c>
      <c r="R2482">
        <v>389</v>
      </c>
    </row>
    <row r="2483" spans="1:18" x14ac:dyDescent="0.2">
      <c r="A2483">
        <v>4</v>
      </c>
      <c r="B2483" t="s">
        <v>67</v>
      </c>
      <c r="E2483" t="s">
        <v>19</v>
      </c>
      <c r="F2483">
        <v>2111676</v>
      </c>
      <c r="G2483">
        <v>3</v>
      </c>
      <c r="H2483">
        <v>2</v>
      </c>
      <c r="I2483">
        <v>509</v>
      </c>
      <c r="J2483">
        <v>1999</v>
      </c>
      <c r="K2483" s="4">
        <v>44390</v>
      </c>
      <c r="L2483" t="s">
        <v>20</v>
      </c>
      <c r="M2483" t="s">
        <v>24</v>
      </c>
      <c r="N2483">
        <v>1.63</v>
      </c>
      <c r="O2483">
        <v>1972</v>
      </c>
      <c r="P2483">
        <v>2.81</v>
      </c>
      <c r="Q2483">
        <v>182</v>
      </c>
      <c r="R2483">
        <v>498</v>
      </c>
    </row>
    <row r="2484" spans="1:18" x14ac:dyDescent="0.2">
      <c r="A2484">
        <v>3</v>
      </c>
      <c r="B2484" t="s">
        <v>49</v>
      </c>
      <c r="E2484" t="s">
        <v>19</v>
      </c>
      <c r="F2484">
        <v>631711</v>
      </c>
      <c r="G2484">
        <v>1</v>
      </c>
      <c r="H2484">
        <v>2</v>
      </c>
      <c r="I2484">
        <v>727</v>
      </c>
      <c r="J2484">
        <v>1950</v>
      </c>
      <c r="K2484" s="4">
        <v>45840</v>
      </c>
      <c r="L2484" t="s">
        <v>26</v>
      </c>
      <c r="M2484" t="s">
        <v>54</v>
      </c>
      <c r="N2484">
        <v>2.68</v>
      </c>
      <c r="O2484">
        <v>1260</v>
      </c>
      <c r="P2484">
        <v>0.14000000000000001</v>
      </c>
      <c r="Q2484">
        <v>82</v>
      </c>
      <c r="R2484">
        <v>600</v>
      </c>
    </row>
    <row r="2485" spans="1:18" x14ac:dyDescent="0.2">
      <c r="A2485">
        <v>2</v>
      </c>
      <c r="B2485" t="s">
        <v>57</v>
      </c>
      <c r="E2485" t="s">
        <v>19</v>
      </c>
      <c r="F2485">
        <v>1298788</v>
      </c>
      <c r="G2485">
        <v>3</v>
      </c>
      <c r="H2485">
        <v>1</v>
      </c>
      <c r="I2485">
        <v>325</v>
      </c>
      <c r="J2485">
        <v>1952</v>
      </c>
      <c r="K2485" s="4">
        <v>45215</v>
      </c>
      <c r="L2485" t="s">
        <v>20</v>
      </c>
      <c r="M2485" t="s">
        <v>58</v>
      </c>
      <c r="N2485">
        <v>1.68</v>
      </c>
      <c r="O2485">
        <v>2106</v>
      </c>
      <c r="P2485">
        <v>4.28</v>
      </c>
      <c r="Q2485">
        <v>235</v>
      </c>
      <c r="R2485">
        <v>463</v>
      </c>
    </row>
    <row r="2486" spans="1:18" x14ac:dyDescent="0.2">
      <c r="A2486">
        <v>7</v>
      </c>
      <c r="B2486" t="s">
        <v>88</v>
      </c>
      <c r="E2486" t="s">
        <v>51</v>
      </c>
      <c r="F2486">
        <v>799365</v>
      </c>
      <c r="G2486">
        <v>4</v>
      </c>
      <c r="H2486">
        <v>3</v>
      </c>
      <c r="I2486">
        <v>404</v>
      </c>
      <c r="J2486">
        <v>1995</v>
      </c>
      <c r="K2486" s="4">
        <v>45097</v>
      </c>
      <c r="L2486" t="s">
        <v>30</v>
      </c>
      <c r="M2486" t="s">
        <v>60</v>
      </c>
      <c r="N2486">
        <v>3.45</v>
      </c>
      <c r="O2486">
        <v>1828</v>
      </c>
      <c r="P2486">
        <v>3.74</v>
      </c>
      <c r="Q2486">
        <v>292</v>
      </c>
      <c r="R2486">
        <v>367</v>
      </c>
    </row>
    <row r="2487" spans="1:18" x14ac:dyDescent="0.2">
      <c r="A2487">
        <v>6</v>
      </c>
      <c r="B2487" t="s">
        <v>46</v>
      </c>
      <c r="E2487" t="s">
        <v>19</v>
      </c>
      <c r="F2487">
        <v>1590941</v>
      </c>
      <c r="G2487">
        <v>5</v>
      </c>
      <c r="H2487">
        <v>1</v>
      </c>
      <c r="I2487">
        <v>812</v>
      </c>
      <c r="J2487">
        <v>1996</v>
      </c>
      <c r="K2487" s="4">
        <v>44657</v>
      </c>
      <c r="L2487" t="s">
        <v>30</v>
      </c>
      <c r="M2487" t="s">
        <v>89</v>
      </c>
      <c r="N2487">
        <v>1.96</v>
      </c>
      <c r="O2487">
        <v>807</v>
      </c>
      <c r="P2487">
        <v>1.98</v>
      </c>
      <c r="Q2487">
        <v>262</v>
      </c>
      <c r="R2487">
        <v>642</v>
      </c>
    </row>
    <row r="2488" spans="1:18" x14ac:dyDescent="0.2">
      <c r="A2488">
        <v>6</v>
      </c>
      <c r="B2488" t="s">
        <v>38</v>
      </c>
      <c r="E2488" t="s">
        <v>36</v>
      </c>
      <c r="F2488">
        <v>798231</v>
      </c>
      <c r="G2488">
        <v>4</v>
      </c>
      <c r="H2488">
        <v>1</v>
      </c>
      <c r="I2488">
        <v>573</v>
      </c>
      <c r="J2488">
        <v>1979</v>
      </c>
      <c r="K2488" s="4">
        <v>45765</v>
      </c>
      <c r="L2488" t="s">
        <v>23</v>
      </c>
      <c r="M2488" t="s">
        <v>35</v>
      </c>
      <c r="N2488">
        <v>2.5499999999999998</v>
      </c>
      <c r="O2488">
        <v>1004</v>
      </c>
      <c r="P2488">
        <v>2.33</v>
      </c>
      <c r="Q2488">
        <v>387</v>
      </c>
      <c r="R2488">
        <v>594</v>
      </c>
    </row>
    <row r="2489" spans="1:18" x14ac:dyDescent="0.2">
      <c r="A2489">
        <v>4</v>
      </c>
      <c r="B2489" t="s">
        <v>22</v>
      </c>
      <c r="E2489" t="s">
        <v>51</v>
      </c>
      <c r="F2489">
        <v>1715273</v>
      </c>
      <c r="G2489">
        <v>5</v>
      </c>
      <c r="H2489">
        <v>1</v>
      </c>
      <c r="I2489">
        <v>146</v>
      </c>
      <c r="J2489">
        <v>2018</v>
      </c>
      <c r="K2489" s="4">
        <v>45235</v>
      </c>
      <c r="L2489" t="s">
        <v>26</v>
      </c>
      <c r="M2489" t="s">
        <v>89</v>
      </c>
      <c r="N2489">
        <v>3.49</v>
      </c>
      <c r="O2489">
        <v>1850</v>
      </c>
      <c r="P2489">
        <v>3.1</v>
      </c>
      <c r="Q2489">
        <v>315</v>
      </c>
      <c r="R2489">
        <v>370</v>
      </c>
    </row>
    <row r="2490" spans="1:18" x14ac:dyDescent="0.2">
      <c r="A2490">
        <v>6</v>
      </c>
      <c r="B2490" t="s">
        <v>61</v>
      </c>
      <c r="E2490" t="s">
        <v>29</v>
      </c>
      <c r="F2490">
        <v>1145018</v>
      </c>
      <c r="G2490">
        <v>4</v>
      </c>
      <c r="H2490">
        <v>2</v>
      </c>
      <c r="I2490">
        <v>327</v>
      </c>
      <c r="J2490">
        <v>2003</v>
      </c>
      <c r="K2490" s="4">
        <v>44174</v>
      </c>
      <c r="L2490" t="s">
        <v>30</v>
      </c>
      <c r="M2490" t="s">
        <v>58</v>
      </c>
      <c r="N2490">
        <v>2.5499999999999998</v>
      </c>
      <c r="O2490">
        <v>2226</v>
      </c>
      <c r="P2490">
        <v>0.57999999999999996</v>
      </c>
      <c r="Q2490">
        <v>301</v>
      </c>
      <c r="R2490">
        <v>531</v>
      </c>
    </row>
    <row r="2491" spans="1:18" x14ac:dyDescent="0.2">
      <c r="A2491">
        <v>6</v>
      </c>
      <c r="B2491" t="s">
        <v>84</v>
      </c>
      <c r="E2491" t="s">
        <v>36</v>
      </c>
      <c r="F2491">
        <v>805601</v>
      </c>
      <c r="G2491">
        <v>3</v>
      </c>
      <c r="H2491">
        <v>1</v>
      </c>
      <c r="I2491">
        <v>616</v>
      </c>
      <c r="J2491">
        <v>2004</v>
      </c>
      <c r="K2491" s="4">
        <v>44123</v>
      </c>
      <c r="L2491" t="s">
        <v>23</v>
      </c>
      <c r="M2491" t="s">
        <v>76</v>
      </c>
      <c r="N2491">
        <v>3.04</v>
      </c>
      <c r="O2491">
        <v>1375</v>
      </c>
      <c r="P2491">
        <v>0.52</v>
      </c>
      <c r="Q2491">
        <v>206</v>
      </c>
      <c r="R2491">
        <v>691</v>
      </c>
    </row>
    <row r="2492" spans="1:18" x14ac:dyDescent="0.2">
      <c r="A2492">
        <v>1</v>
      </c>
      <c r="B2492" t="s">
        <v>91</v>
      </c>
      <c r="E2492" t="s">
        <v>51</v>
      </c>
      <c r="F2492">
        <v>2266288</v>
      </c>
      <c r="G2492">
        <v>5</v>
      </c>
      <c r="H2492">
        <v>1</v>
      </c>
      <c r="I2492">
        <v>486</v>
      </c>
      <c r="J2492">
        <v>1965</v>
      </c>
      <c r="K2492" s="4">
        <v>44691</v>
      </c>
      <c r="L2492" t="s">
        <v>30</v>
      </c>
      <c r="M2492" t="s">
        <v>78</v>
      </c>
      <c r="N2492">
        <v>1.72</v>
      </c>
      <c r="O2492">
        <v>1714</v>
      </c>
      <c r="P2492">
        <v>3.11</v>
      </c>
      <c r="Q2492">
        <v>388</v>
      </c>
      <c r="R2492">
        <v>558</v>
      </c>
    </row>
    <row r="2493" spans="1:18" x14ac:dyDescent="0.2">
      <c r="A2493">
        <v>7</v>
      </c>
      <c r="B2493" t="s">
        <v>105</v>
      </c>
      <c r="E2493" t="s">
        <v>19</v>
      </c>
      <c r="F2493">
        <v>2279142</v>
      </c>
      <c r="G2493">
        <v>1</v>
      </c>
      <c r="H2493">
        <v>3</v>
      </c>
      <c r="I2493">
        <v>853</v>
      </c>
      <c r="J2493">
        <v>1965</v>
      </c>
      <c r="K2493" s="4">
        <v>45208</v>
      </c>
      <c r="L2493" t="s">
        <v>23</v>
      </c>
      <c r="M2493" t="s">
        <v>54</v>
      </c>
      <c r="N2493">
        <v>3.25</v>
      </c>
      <c r="O2493">
        <v>2497</v>
      </c>
      <c r="P2493">
        <v>1</v>
      </c>
      <c r="Q2493">
        <v>125</v>
      </c>
      <c r="R2493">
        <v>598</v>
      </c>
    </row>
    <row r="2494" spans="1:18" x14ac:dyDescent="0.2">
      <c r="A2494">
        <v>6</v>
      </c>
      <c r="B2494" t="s">
        <v>48</v>
      </c>
      <c r="E2494" t="s">
        <v>36</v>
      </c>
      <c r="F2494">
        <v>2291749</v>
      </c>
      <c r="G2494">
        <v>1</v>
      </c>
      <c r="H2494">
        <v>2</v>
      </c>
      <c r="I2494">
        <v>164</v>
      </c>
      <c r="J2494">
        <v>2019</v>
      </c>
      <c r="K2494" s="4">
        <v>45466</v>
      </c>
      <c r="L2494" t="s">
        <v>30</v>
      </c>
      <c r="M2494" t="s">
        <v>70</v>
      </c>
      <c r="N2494">
        <v>3.08</v>
      </c>
      <c r="O2494">
        <v>2083</v>
      </c>
      <c r="P2494">
        <v>2.56</v>
      </c>
      <c r="Q2494">
        <v>141</v>
      </c>
      <c r="R2494">
        <v>388</v>
      </c>
    </row>
    <row r="2495" spans="1:18" x14ac:dyDescent="0.2">
      <c r="A2495">
        <v>3</v>
      </c>
      <c r="B2495" t="s">
        <v>38</v>
      </c>
      <c r="E2495" t="s">
        <v>36</v>
      </c>
      <c r="F2495">
        <v>514449</v>
      </c>
      <c r="G2495">
        <v>1</v>
      </c>
      <c r="H2495">
        <v>1</v>
      </c>
      <c r="I2495">
        <v>950</v>
      </c>
      <c r="J2495">
        <v>2022</v>
      </c>
      <c r="K2495" s="4">
        <v>45464</v>
      </c>
      <c r="L2495" t="s">
        <v>30</v>
      </c>
      <c r="M2495" t="s">
        <v>74</v>
      </c>
      <c r="N2495">
        <v>2.57</v>
      </c>
      <c r="O2495">
        <v>2202</v>
      </c>
      <c r="P2495">
        <v>1.4</v>
      </c>
      <c r="Q2495">
        <v>99</v>
      </c>
      <c r="R2495">
        <v>677</v>
      </c>
    </row>
    <row r="2496" spans="1:18" x14ac:dyDescent="0.2">
      <c r="A2496">
        <v>4</v>
      </c>
      <c r="B2496" t="s">
        <v>43</v>
      </c>
      <c r="E2496" t="s">
        <v>51</v>
      </c>
      <c r="F2496">
        <v>1260965</v>
      </c>
      <c r="G2496">
        <v>4</v>
      </c>
      <c r="H2496">
        <v>2</v>
      </c>
      <c r="I2496">
        <v>442</v>
      </c>
      <c r="J2496">
        <v>1959</v>
      </c>
      <c r="K2496" s="4">
        <v>44403</v>
      </c>
      <c r="L2496" t="s">
        <v>23</v>
      </c>
      <c r="M2496" t="s">
        <v>63</v>
      </c>
      <c r="N2496">
        <v>3.22</v>
      </c>
      <c r="O2496">
        <v>1612</v>
      </c>
      <c r="P2496">
        <v>2.8</v>
      </c>
      <c r="Q2496">
        <v>283</v>
      </c>
      <c r="R2496">
        <v>634</v>
      </c>
    </row>
    <row r="2497" spans="1:18" x14ac:dyDescent="0.2">
      <c r="A2497">
        <v>7</v>
      </c>
      <c r="B2497" t="s">
        <v>25</v>
      </c>
      <c r="E2497" t="s">
        <v>51</v>
      </c>
      <c r="F2497">
        <v>403091</v>
      </c>
      <c r="G2497">
        <v>2</v>
      </c>
      <c r="H2497">
        <v>2</v>
      </c>
      <c r="I2497">
        <v>528</v>
      </c>
      <c r="J2497">
        <v>1971</v>
      </c>
      <c r="K2497" s="4">
        <v>45270</v>
      </c>
      <c r="L2497" t="s">
        <v>20</v>
      </c>
      <c r="M2497" t="s">
        <v>59</v>
      </c>
      <c r="N2497">
        <v>2.3199999999999998</v>
      </c>
      <c r="O2497">
        <v>1853</v>
      </c>
      <c r="P2497">
        <v>2</v>
      </c>
      <c r="Q2497">
        <v>45</v>
      </c>
      <c r="R2497">
        <v>436</v>
      </c>
    </row>
    <row r="2498" spans="1:18" x14ac:dyDescent="0.2">
      <c r="A2498">
        <v>8</v>
      </c>
      <c r="B2498" t="s">
        <v>43</v>
      </c>
      <c r="E2498" t="s">
        <v>19</v>
      </c>
      <c r="F2498">
        <v>1186652</v>
      </c>
      <c r="G2498">
        <v>2</v>
      </c>
      <c r="H2498">
        <v>1</v>
      </c>
      <c r="I2498">
        <v>568</v>
      </c>
      <c r="J2498">
        <v>1977</v>
      </c>
      <c r="K2498" s="4">
        <v>45448</v>
      </c>
      <c r="L2498" t="s">
        <v>30</v>
      </c>
      <c r="M2498" t="s">
        <v>31</v>
      </c>
      <c r="N2498">
        <v>1.97</v>
      </c>
      <c r="O2498">
        <v>1196</v>
      </c>
      <c r="P2498">
        <v>3.52</v>
      </c>
      <c r="Q2498">
        <v>168</v>
      </c>
      <c r="R2498">
        <v>579</v>
      </c>
    </row>
    <row r="2499" spans="1:18" x14ac:dyDescent="0.2">
      <c r="A2499">
        <v>5</v>
      </c>
      <c r="B2499" t="s">
        <v>81</v>
      </c>
      <c r="E2499" t="s">
        <v>19</v>
      </c>
      <c r="F2499">
        <v>974720</v>
      </c>
      <c r="G2499">
        <v>4</v>
      </c>
      <c r="H2499">
        <v>3</v>
      </c>
      <c r="I2499">
        <v>399</v>
      </c>
      <c r="J2499">
        <v>2012</v>
      </c>
      <c r="K2499" s="4">
        <v>45570</v>
      </c>
      <c r="L2499" t="s">
        <v>23</v>
      </c>
      <c r="M2499" t="s">
        <v>68</v>
      </c>
      <c r="N2499">
        <v>3.18</v>
      </c>
      <c r="O2499">
        <v>2001</v>
      </c>
      <c r="P2499">
        <v>4.09</v>
      </c>
      <c r="Q2499">
        <v>346</v>
      </c>
      <c r="R2499">
        <v>485</v>
      </c>
    </row>
    <row r="2500" spans="1:18" x14ac:dyDescent="0.2">
      <c r="A2500">
        <v>5</v>
      </c>
      <c r="B2500" t="s">
        <v>55</v>
      </c>
      <c r="E2500" t="s">
        <v>29</v>
      </c>
      <c r="F2500">
        <v>1034948</v>
      </c>
      <c r="G2500">
        <v>4</v>
      </c>
      <c r="H2500">
        <v>2</v>
      </c>
      <c r="I2500">
        <v>115</v>
      </c>
      <c r="J2500">
        <v>1969</v>
      </c>
      <c r="K2500" s="4">
        <v>44728</v>
      </c>
      <c r="L2500" t="s">
        <v>20</v>
      </c>
      <c r="M2500" t="s">
        <v>35</v>
      </c>
      <c r="N2500">
        <v>1.96</v>
      </c>
      <c r="O2500">
        <v>1027</v>
      </c>
      <c r="P2500">
        <v>3.34</v>
      </c>
      <c r="Q2500">
        <v>337</v>
      </c>
      <c r="R2500">
        <v>637</v>
      </c>
    </row>
    <row r="2501" spans="1:18" x14ac:dyDescent="0.2">
      <c r="A2501">
        <v>8</v>
      </c>
      <c r="B2501" t="s">
        <v>100</v>
      </c>
      <c r="E2501" t="s">
        <v>36</v>
      </c>
      <c r="F2501">
        <v>2141381</v>
      </c>
      <c r="G2501">
        <v>3</v>
      </c>
      <c r="H2501">
        <v>1</v>
      </c>
      <c r="I2501">
        <v>118</v>
      </c>
      <c r="J2501">
        <v>1977</v>
      </c>
      <c r="K2501" s="4">
        <v>44837</v>
      </c>
      <c r="L2501" t="s">
        <v>23</v>
      </c>
      <c r="M2501" t="s">
        <v>33</v>
      </c>
      <c r="N2501">
        <v>2.15</v>
      </c>
      <c r="O2501">
        <v>2331</v>
      </c>
      <c r="P2501">
        <v>2.87</v>
      </c>
      <c r="Q2501">
        <v>95</v>
      </c>
      <c r="R2501">
        <v>575</v>
      </c>
    </row>
    <row r="2502" spans="1:18" x14ac:dyDescent="0.2">
      <c r="A2502">
        <v>4</v>
      </c>
      <c r="B2502" t="s">
        <v>46</v>
      </c>
      <c r="E2502" t="s">
        <v>36</v>
      </c>
      <c r="F2502">
        <v>882784</v>
      </c>
      <c r="G2502">
        <v>4</v>
      </c>
      <c r="H2502">
        <v>2</v>
      </c>
      <c r="I2502">
        <v>875</v>
      </c>
      <c r="J2502">
        <v>1953</v>
      </c>
      <c r="K2502" s="4">
        <v>45253</v>
      </c>
      <c r="L2502" t="s">
        <v>23</v>
      </c>
      <c r="M2502" t="s">
        <v>42</v>
      </c>
      <c r="N2502">
        <v>2.99</v>
      </c>
      <c r="O2502">
        <v>1296</v>
      </c>
      <c r="P2502">
        <v>1.1000000000000001</v>
      </c>
      <c r="Q2502">
        <v>336</v>
      </c>
      <c r="R2502">
        <v>594</v>
      </c>
    </row>
    <row r="2503" spans="1:18" x14ac:dyDescent="0.2">
      <c r="A2503">
        <v>5</v>
      </c>
      <c r="B2503" t="s">
        <v>94</v>
      </c>
      <c r="E2503" t="s">
        <v>29</v>
      </c>
      <c r="F2503">
        <v>601911</v>
      </c>
      <c r="G2503">
        <v>3</v>
      </c>
      <c r="H2503">
        <v>2</v>
      </c>
      <c r="I2503">
        <v>58</v>
      </c>
      <c r="J2503">
        <v>2003</v>
      </c>
      <c r="K2503" s="4">
        <v>45263</v>
      </c>
      <c r="L2503" t="s">
        <v>20</v>
      </c>
      <c r="M2503" t="s">
        <v>59</v>
      </c>
      <c r="N2503">
        <v>2.13</v>
      </c>
      <c r="O2503">
        <v>934</v>
      </c>
      <c r="P2503">
        <v>1.04</v>
      </c>
      <c r="Q2503">
        <v>101</v>
      </c>
      <c r="R2503">
        <v>489</v>
      </c>
    </row>
    <row r="2504" spans="1:18" x14ac:dyDescent="0.2">
      <c r="A2504">
        <v>4</v>
      </c>
      <c r="B2504" t="s">
        <v>18</v>
      </c>
      <c r="E2504" t="s">
        <v>19</v>
      </c>
      <c r="F2504">
        <v>849172</v>
      </c>
      <c r="G2504">
        <v>2</v>
      </c>
      <c r="H2504">
        <v>1</v>
      </c>
      <c r="I2504">
        <v>470</v>
      </c>
      <c r="J2504">
        <v>2006</v>
      </c>
      <c r="K2504" s="4">
        <v>44747</v>
      </c>
      <c r="L2504" t="s">
        <v>26</v>
      </c>
      <c r="M2504" t="s">
        <v>66</v>
      </c>
      <c r="N2504">
        <v>1.52</v>
      </c>
      <c r="O2504">
        <v>2091</v>
      </c>
      <c r="P2504">
        <v>0.36</v>
      </c>
      <c r="Q2504">
        <v>236</v>
      </c>
      <c r="R2504">
        <v>456</v>
      </c>
    </row>
    <row r="2505" spans="1:18" x14ac:dyDescent="0.2">
      <c r="A2505">
        <v>0</v>
      </c>
      <c r="B2505" t="s">
        <v>90</v>
      </c>
      <c r="E2505" t="s">
        <v>29</v>
      </c>
      <c r="F2505">
        <v>2505190</v>
      </c>
      <c r="G2505">
        <v>5</v>
      </c>
      <c r="H2505">
        <v>2</v>
      </c>
      <c r="I2505">
        <v>254</v>
      </c>
      <c r="J2505">
        <v>1989</v>
      </c>
      <c r="K2505" s="4">
        <v>45601</v>
      </c>
      <c r="L2505" t="s">
        <v>30</v>
      </c>
      <c r="M2505" t="s">
        <v>37</v>
      </c>
      <c r="N2505">
        <v>3.44</v>
      </c>
      <c r="O2505">
        <v>919</v>
      </c>
      <c r="P2505">
        <v>2.37</v>
      </c>
      <c r="Q2505">
        <v>287</v>
      </c>
      <c r="R2505">
        <v>433</v>
      </c>
    </row>
    <row r="2506" spans="1:18" x14ac:dyDescent="0.2">
      <c r="A2506">
        <v>0</v>
      </c>
      <c r="B2506" t="s">
        <v>62</v>
      </c>
      <c r="E2506" t="s">
        <v>51</v>
      </c>
      <c r="F2506">
        <v>1557611</v>
      </c>
      <c r="G2506">
        <v>5</v>
      </c>
      <c r="H2506">
        <v>3</v>
      </c>
      <c r="I2506">
        <v>599</v>
      </c>
      <c r="J2506">
        <v>2007</v>
      </c>
      <c r="K2506" s="4">
        <v>45793</v>
      </c>
      <c r="L2506" t="s">
        <v>23</v>
      </c>
      <c r="M2506" t="s">
        <v>76</v>
      </c>
      <c r="N2506">
        <v>1.54</v>
      </c>
      <c r="O2506">
        <v>957</v>
      </c>
      <c r="P2506">
        <v>0.8</v>
      </c>
      <c r="Q2506">
        <v>375</v>
      </c>
      <c r="R2506">
        <v>483</v>
      </c>
    </row>
    <row r="2507" spans="1:18" x14ac:dyDescent="0.2">
      <c r="A2507">
        <v>3</v>
      </c>
      <c r="B2507" t="s">
        <v>18</v>
      </c>
      <c r="E2507" t="s">
        <v>51</v>
      </c>
      <c r="F2507">
        <v>2860642</v>
      </c>
      <c r="G2507">
        <v>4</v>
      </c>
      <c r="H2507">
        <v>1</v>
      </c>
      <c r="I2507">
        <v>449</v>
      </c>
      <c r="J2507">
        <v>1967</v>
      </c>
      <c r="K2507" s="4">
        <v>45456</v>
      </c>
      <c r="L2507" t="s">
        <v>20</v>
      </c>
      <c r="M2507" t="s">
        <v>66</v>
      </c>
      <c r="N2507">
        <v>2.82</v>
      </c>
      <c r="O2507">
        <v>817</v>
      </c>
      <c r="P2507">
        <v>0.75</v>
      </c>
      <c r="Q2507">
        <v>368</v>
      </c>
      <c r="R2507">
        <v>310</v>
      </c>
    </row>
    <row r="2508" spans="1:18" x14ac:dyDescent="0.2">
      <c r="A2508">
        <v>0</v>
      </c>
      <c r="B2508" t="s">
        <v>38</v>
      </c>
      <c r="E2508" t="s">
        <v>29</v>
      </c>
      <c r="F2508">
        <v>2376579</v>
      </c>
      <c r="G2508">
        <v>1</v>
      </c>
      <c r="H2508">
        <v>2</v>
      </c>
      <c r="I2508">
        <v>845</v>
      </c>
      <c r="J2508">
        <v>1987</v>
      </c>
      <c r="K2508" s="4">
        <v>44784</v>
      </c>
      <c r="L2508" t="s">
        <v>23</v>
      </c>
      <c r="M2508" t="s">
        <v>76</v>
      </c>
      <c r="N2508">
        <v>3.19</v>
      </c>
      <c r="O2508">
        <v>1519</v>
      </c>
      <c r="P2508">
        <v>0.33</v>
      </c>
      <c r="Q2508">
        <v>47</v>
      </c>
      <c r="R2508">
        <v>509</v>
      </c>
    </row>
    <row r="2509" spans="1:18" x14ac:dyDescent="0.2">
      <c r="A2509">
        <v>1</v>
      </c>
      <c r="B2509" t="s">
        <v>93</v>
      </c>
      <c r="E2509" t="s">
        <v>19</v>
      </c>
      <c r="F2509">
        <v>810810</v>
      </c>
      <c r="G2509">
        <v>4</v>
      </c>
      <c r="H2509">
        <v>2</v>
      </c>
      <c r="I2509">
        <v>73</v>
      </c>
      <c r="J2509">
        <v>2004</v>
      </c>
      <c r="K2509" s="4">
        <v>44314</v>
      </c>
      <c r="L2509" t="s">
        <v>30</v>
      </c>
      <c r="M2509" t="s">
        <v>54</v>
      </c>
      <c r="N2509">
        <v>3.37</v>
      </c>
      <c r="O2509">
        <v>2056</v>
      </c>
      <c r="P2509">
        <v>3.72</v>
      </c>
      <c r="Q2509">
        <v>367</v>
      </c>
      <c r="R2509">
        <v>344</v>
      </c>
    </row>
    <row r="2510" spans="1:18" x14ac:dyDescent="0.2">
      <c r="A2510">
        <v>6</v>
      </c>
      <c r="B2510" t="s">
        <v>38</v>
      </c>
      <c r="E2510" t="s">
        <v>36</v>
      </c>
      <c r="F2510">
        <v>2464204</v>
      </c>
      <c r="G2510">
        <v>4</v>
      </c>
      <c r="H2510">
        <v>3</v>
      </c>
      <c r="I2510">
        <v>120</v>
      </c>
      <c r="J2510">
        <v>1950</v>
      </c>
      <c r="K2510" s="4">
        <v>44541</v>
      </c>
      <c r="L2510" t="s">
        <v>23</v>
      </c>
      <c r="M2510" t="s">
        <v>54</v>
      </c>
      <c r="N2510">
        <v>2.34</v>
      </c>
      <c r="O2510">
        <v>970</v>
      </c>
      <c r="P2510">
        <v>2.1</v>
      </c>
      <c r="Q2510">
        <v>370</v>
      </c>
      <c r="R2510">
        <v>436</v>
      </c>
    </row>
    <row r="2511" spans="1:18" x14ac:dyDescent="0.2">
      <c r="A2511">
        <v>9</v>
      </c>
      <c r="B2511" t="s">
        <v>71</v>
      </c>
      <c r="E2511" t="s">
        <v>29</v>
      </c>
      <c r="F2511">
        <v>2832234</v>
      </c>
      <c r="G2511">
        <v>5</v>
      </c>
      <c r="H2511">
        <v>3</v>
      </c>
      <c r="I2511">
        <v>635</v>
      </c>
      <c r="J2511">
        <v>1977</v>
      </c>
      <c r="K2511" s="4">
        <v>45056</v>
      </c>
      <c r="L2511" t="s">
        <v>30</v>
      </c>
      <c r="M2511" t="s">
        <v>52</v>
      </c>
      <c r="N2511">
        <v>3.33</v>
      </c>
      <c r="O2511">
        <v>1115</v>
      </c>
      <c r="P2511">
        <v>3.74</v>
      </c>
      <c r="Q2511">
        <v>280</v>
      </c>
      <c r="R2511">
        <v>521</v>
      </c>
    </row>
    <row r="2512" spans="1:18" x14ac:dyDescent="0.2">
      <c r="A2512">
        <v>1</v>
      </c>
      <c r="B2512" t="s">
        <v>49</v>
      </c>
      <c r="E2512" t="s">
        <v>51</v>
      </c>
      <c r="F2512">
        <v>2373637</v>
      </c>
      <c r="G2512">
        <v>3</v>
      </c>
      <c r="H2512">
        <v>3</v>
      </c>
      <c r="I2512">
        <v>667</v>
      </c>
      <c r="J2512">
        <v>1996</v>
      </c>
      <c r="K2512" s="4">
        <v>44557</v>
      </c>
      <c r="L2512" t="s">
        <v>30</v>
      </c>
      <c r="M2512" t="s">
        <v>37</v>
      </c>
      <c r="N2512">
        <v>2.8</v>
      </c>
      <c r="O2512">
        <v>1614</v>
      </c>
      <c r="P2512">
        <v>4.2</v>
      </c>
      <c r="Q2512">
        <v>151</v>
      </c>
      <c r="R2512">
        <v>315</v>
      </c>
    </row>
    <row r="2513" spans="1:18" x14ac:dyDescent="0.2">
      <c r="A2513">
        <v>0</v>
      </c>
      <c r="B2513" t="s">
        <v>44</v>
      </c>
      <c r="E2513" t="s">
        <v>19</v>
      </c>
      <c r="F2513">
        <v>2106114</v>
      </c>
      <c r="G2513">
        <v>4</v>
      </c>
      <c r="H2513">
        <v>2</v>
      </c>
      <c r="I2513">
        <v>353</v>
      </c>
      <c r="J2513">
        <v>2002</v>
      </c>
      <c r="K2513" s="4">
        <v>44456</v>
      </c>
      <c r="L2513" t="s">
        <v>26</v>
      </c>
      <c r="M2513" t="s">
        <v>78</v>
      </c>
      <c r="N2513">
        <v>3.43</v>
      </c>
      <c r="O2513">
        <v>1856</v>
      </c>
      <c r="P2513">
        <v>0.53</v>
      </c>
      <c r="Q2513">
        <v>254</v>
      </c>
      <c r="R2513">
        <v>535</v>
      </c>
    </row>
    <row r="2514" spans="1:18" x14ac:dyDescent="0.2">
      <c r="A2514">
        <v>9</v>
      </c>
      <c r="B2514" t="s">
        <v>88</v>
      </c>
      <c r="E2514" t="s">
        <v>29</v>
      </c>
      <c r="F2514">
        <v>1959125</v>
      </c>
      <c r="G2514">
        <v>2</v>
      </c>
      <c r="H2514">
        <v>3</v>
      </c>
      <c r="I2514">
        <v>586</v>
      </c>
      <c r="J2514">
        <v>1969</v>
      </c>
      <c r="K2514" s="4">
        <v>45764</v>
      </c>
      <c r="L2514" t="s">
        <v>30</v>
      </c>
      <c r="M2514" t="s">
        <v>42</v>
      </c>
      <c r="N2514">
        <v>2.2999999999999998</v>
      </c>
      <c r="O2514">
        <v>2123</v>
      </c>
      <c r="P2514">
        <v>2.14</v>
      </c>
      <c r="Q2514">
        <v>195</v>
      </c>
      <c r="R2514">
        <v>673</v>
      </c>
    </row>
    <row r="2515" spans="1:18" x14ac:dyDescent="0.2">
      <c r="A2515">
        <v>0</v>
      </c>
      <c r="B2515" t="s">
        <v>46</v>
      </c>
      <c r="E2515" t="s">
        <v>19</v>
      </c>
      <c r="F2515">
        <v>2231360</v>
      </c>
      <c r="G2515">
        <v>4</v>
      </c>
      <c r="H2515">
        <v>2</v>
      </c>
      <c r="I2515">
        <v>408</v>
      </c>
      <c r="J2515">
        <v>1993</v>
      </c>
      <c r="K2515" s="4">
        <v>45680</v>
      </c>
      <c r="L2515" t="s">
        <v>20</v>
      </c>
      <c r="M2515" t="s">
        <v>35</v>
      </c>
      <c r="N2515">
        <v>3.38</v>
      </c>
      <c r="O2515">
        <v>2251</v>
      </c>
      <c r="P2515">
        <v>2.06</v>
      </c>
      <c r="Q2515">
        <v>370</v>
      </c>
      <c r="R2515">
        <v>359</v>
      </c>
    </row>
    <row r="2516" spans="1:18" x14ac:dyDescent="0.2">
      <c r="A2516">
        <v>8</v>
      </c>
      <c r="B2516" t="s">
        <v>105</v>
      </c>
      <c r="E2516" t="s">
        <v>36</v>
      </c>
      <c r="F2516">
        <v>2360731</v>
      </c>
      <c r="G2516">
        <v>6</v>
      </c>
      <c r="H2516">
        <v>2</v>
      </c>
      <c r="I2516">
        <v>669</v>
      </c>
      <c r="J2516">
        <v>2005</v>
      </c>
      <c r="K2516" s="4">
        <v>44657</v>
      </c>
      <c r="L2516" t="s">
        <v>20</v>
      </c>
      <c r="M2516" t="s">
        <v>56</v>
      </c>
      <c r="N2516">
        <v>2.5099999999999998</v>
      </c>
      <c r="O2516">
        <v>1224</v>
      </c>
      <c r="P2516">
        <v>3.66</v>
      </c>
      <c r="Q2516">
        <v>371</v>
      </c>
      <c r="R2516">
        <v>587</v>
      </c>
    </row>
    <row r="2517" spans="1:18" x14ac:dyDescent="0.2">
      <c r="A2517">
        <v>5</v>
      </c>
      <c r="B2517" t="s">
        <v>22</v>
      </c>
      <c r="E2517" t="s">
        <v>19</v>
      </c>
      <c r="F2517">
        <v>827357</v>
      </c>
      <c r="G2517">
        <v>5</v>
      </c>
      <c r="H2517">
        <v>2</v>
      </c>
      <c r="I2517">
        <v>552</v>
      </c>
      <c r="J2517">
        <v>1997</v>
      </c>
      <c r="K2517" s="4">
        <v>45876</v>
      </c>
      <c r="L2517" t="s">
        <v>20</v>
      </c>
      <c r="M2517" t="s">
        <v>82</v>
      </c>
      <c r="N2517">
        <v>1.74</v>
      </c>
      <c r="O2517">
        <v>1899</v>
      </c>
      <c r="P2517">
        <v>3.99</v>
      </c>
      <c r="Q2517">
        <v>251</v>
      </c>
      <c r="R2517">
        <v>512</v>
      </c>
    </row>
    <row r="2518" spans="1:18" x14ac:dyDescent="0.2">
      <c r="A2518">
        <v>7</v>
      </c>
      <c r="B2518" t="s">
        <v>43</v>
      </c>
      <c r="E2518" t="s">
        <v>19</v>
      </c>
      <c r="F2518">
        <v>1453950</v>
      </c>
      <c r="G2518">
        <v>3</v>
      </c>
      <c r="H2518">
        <v>1</v>
      </c>
      <c r="I2518">
        <v>50</v>
      </c>
      <c r="J2518">
        <v>2006</v>
      </c>
      <c r="K2518" s="4">
        <v>44795</v>
      </c>
      <c r="L2518" t="s">
        <v>20</v>
      </c>
      <c r="M2518" t="s">
        <v>24</v>
      </c>
      <c r="N2518">
        <v>2.73</v>
      </c>
      <c r="O2518">
        <v>1759</v>
      </c>
      <c r="P2518">
        <v>3.13</v>
      </c>
      <c r="Q2518">
        <v>195</v>
      </c>
      <c r="R2518">
        <v>695</v>
      </c>
    </row>
    <row r="2519" spans="1:18" x14ac:dyDescent="0.2">
      <c r="A2519">
        <v>1</v>
      </c>
      <c r="B2519" t="s">
        <v>46</v>
      </c>
      <c r="E2519" t="s">
        <v>51</v>
      </c>
      <c r="F2519">
        <v>1604980</v>
      </c>
      <c r="G2519">
        <v>5</v>
      </c>
      <c r="H2519">
        <v>2</v>
      </c>
      <c r="I2519">
        <v>382</v>
      </c>
      <c r="J2519">
        <v>1993</v>
      </c>
      <c r="K2519" s="4">
        <v>45692</v>
      </c>
      <c r="L2519" t="s">
        <v>30</v>
      </c>
      <c r="M2519" t="s">
        <v>89</v>
      </c>
      <c r="N2519">
        <v>1.67</v>
      </c>
      <c r="O2519">
        <v>2140</v>
      </c>
      <c r="P2519">
        <v>4.95</v>
      </c>
      <c r="Q2519">
        <v>319</v>
      </c>
      <c r="R2519">
        <v>577</v>
      </c>
    </row>
    <row r="2520" spans="1:18" x14ac:dyDescent="0.2">
      <c r="A2520">
        <v>5</v>
      </c>
      <c r="B2520" t="s">
        <v>72</v>
      </c>
      <c r="E2520" t="s">
        <v>36</v>
      </c>
      <c r="F2520">
        <v>569723</v>
      </c>
      <c r="G2520">
        <v>5</v>
      </c>
      <c r="H2520">
        <v>2</v>
      </c>
      <c r="I2520">
        <v>362</v>
      </c>
      <c r="J2520">
        <v>1971</v>
      </c>
      <c r="K2520" s="4">
        <v>44139</v>
      </c>
      <c r="L2520" t="s">
        <v>23</v>
      </c>
      <c r="M2520" t="s">
        <v>89</v>
      </c>
      <c r="N2520">
        <v>1.68</v>
      </c>
      <c r="O2520">
        <v>1485</v>
      </c>
      <c r="P2520">
        <v>4.5199999999999996</v>
      </c>
      <c r="Q2520">
        <v>308</v>
      </c>
      <c r="R2520">
        <v>375</v>
      </c>
    </row>
    <row r="2521" spans="1:18" x14ac:dyDescent="0.2">
      <c r="A2521">
        <v>9</v>
      </c>
      <c r="B2521" t="s">
        <v>34</v>
      </c>
      <c r="E2521" t="s">
        <v>36</v>
      </c>
      <c r="F2521">
        <v>2538863</v>
      </c>
      <c r="G2521">
        <v>4</v>
      </c>
      <c r="H2521">
        <v>1</v>
      </c>
      <c r="I2521">
        <v>529</v>
      </c>
      <c r="J2521">
        <v>2003</v>
      </c>
      <c r="K2521" s="4">
        <v>45845</v>
      </c>
      <c r="L2521" t="s">
        <v>23</v>
      </c>
      <c r="M2521" t="s">
        <v>35</v>
      </c>
      <c r="N2521">
        <v>2.98</v>
      </c>
      <c r="O2521">
        <v>1583</v>
      </c>
      <c r="P2521">
        <v>4.5</v>
      </c>
      <c r="Q2521">
        <v>330</v>
      </c>
      <c r="R2521">
        <v>344</v>
      </c>
    </row>
    <row r="2522" spans="1:18" x14ac:dyDescent="0.2">
      <c r="A2522">
        <v>1</v>
      </c>
      <c r="B2522" t="s">
        <v>102</v>
      </c>
      <c r="E2522" t="s">
        <v>29</v>
      </c>
      <c r="F2522">
        <v>1710729</v>
      </c>
      <c r="G2522">
        <v>4</v>
      </c>
      <c r="H2522">
        <v>1</v>
      </c>
      <c r="I2522">
        <v>934</v>
      </c>
      <c r="J2522">
        <v>1953</v>
      </c>
      <c r="K2522" s="4">
        <v>44781</v>
      </c>
      <c r="L2522" t="s">
        <v>23</v>
      </c>
      <c r="M2522" t="s">
        <v>68</v>
      </c>
      <c r="N2522">
        <v>2.85</v>
      </c>
      <c r="O2522">
        <v>1828</v>
      </c>
      <c r="P2522">
        <v>1.62</v>
      </c>
      <c r="Q2522">
        <v>324</v>
      </c>
      <c r="R2522">
        <v>610</v>
      </c>
    </row>
    <row r="2523" spans="1:18" x14ac:dyDescent="0.2">
      <c r="A2523">
        <v>7</v>
      </c>
      <c r="B2523" t="s">
        <v>65</v>
      </c>
      <c r="E2523" t="s">
        <v>29</v>
      </c>
      <c r="F2523">
        <v>2133369</v>
      </c>
      <c r="G2523">
        <v>3</v>
      </c>
      <c r="H2523">
        <v>2</v>
      </c>
      <c r="I2523">
        <v>917</v>
      </c>
      <c r="J2523">
        <v>2019</v>
      </c>
      <c r="K2523" s="4">
        <v>45140</v>
      </c>
      <c r="L2523" t="s">
        <v>20</v>
      </c>
      <c r="M2523" t="s">
        <v>47</v>
      </c>
      <c r="N2523">
        <v>2.88</v>
      </c>
      <c r="O2523">
        <v>1024</v>
      </c>
      <c r="P2523">
        <v>2.84</v>
      </c>
      <c r="Q2523">
        <v>137</v>
      </c>
      <c r="R2523">
        <v>469</v>
      </c>
    </row>
    <row r="2524" spans="1:18" x14ac:dyDescent="0.2">
      <c r="A2524">
        <v>1</v>
      </c>
      <c r="B2524" t="s">
        <v>101</v>
      </c>
      <c r="E2524" t="s">
        <v>19</v>
      </c>
      <c r="F2524">
        <v>2322792</v>
      </c>
      <c r="G2524">
        <v>2</v>
      </c>
      <c r="H2524">
        <v>2</v>
      </c>
      <c r="I2524">
        <v>988</v>
      </c>
      <c r="J2524">
        <v>2010</v>
      </c>
      <c r="K2524" s="4">
        <v>45266</v>
      </c>
      <c r="L2524" t="s">
        <v>26</v>
      </c>
      <c r="M2524" t="s">
        <v>59</v>
      </c>
      <c r="N2524">
        <v>2.17</v>
      </c>
      <c r="O2524">
        <v>2089</v>
      </c>
      <c r="P2524">
        <v>0.97</v>
      </c>
      <c r="Q2524">
        <v>49</v>
      </c>
      <c r="R2524">
        <v>571</v>
      </c>
    </row>
    <row r="2525" spans="1:18" x14ac:dyDescent="0.2">
      <c r="A2525">
        <v>3</v>
      </c>
      <c r="B2525" t="s">
        <v>22</v>
      </c>
      <c r="E2525" t="s">
        <v>19</v>
      </c>
      <c r="F2525">
        <v>1338055</v>
      </c>
      <c r="G2525">
        <v>1</v>
      </c>
      <c r="H2525">
        <v>2</v>
      </c>
      <c r="I2525">
        <v>721</v>
      </c>
      <c r="J2525">
        <v>1975</v>
      </c>
      <c r="K2525" s="4">
        <v>44274</v>
      </c>
      <c r="L2525" t="s">
        <v>23</v>
      </c>
      <c r="M2525" t="s">
        <v>68</v>
      </c>
      <c r="N2525">
        <v>2.56</v>
      </c>
      <c r="O2525">
        <v>2293</v>
      </c>
      <c r="P2525">
        <v>4.05</v>
      </c>
      <c r="Q2525">
        <v>138</v>
      </c>
      <c r="R2525">
        <v>665</v>
      </c>
    </row>
    <row r="2526" spans="1:18" x14ac:dyDescent="0.2">
      <c r="A2526">
        <v>4</v>
      </c>
      <c r="B2526" t="s">
        <v>46</v>
      </c>
      <c r="E2526" t="s">
        <v>29</v>
      </c>
      <c r="F2526">
        <v>875135</v>
      </c>
      <c r="G2526">
        <v>3</v>
      </c>
      <c r="H2526">
        <v>2</v>
      </c>
      <c r="I2526">
        <v>54</v>
      </c>
      <c r="J2526">
        <v>1963</v>
      </c>
      <c r="K2526" s="4">
        <v>44812</v>
      </c>
      <c r="L2526" t="s">
        <v>20</v>
      </c>
      <c r="M2526" t="s">
        <v>40</v>
      </c>
      <c r="N2526">
        <v>1.7</v>
      </c>
      <c r="O2526">
        <v>1986</v>
      </c>
      <c r="P2526">
        <v>2.4500000000000002</v>
      </c>
      <c r="Q2526">
        <v>283</v>
      </c>
      <c r="R2526">
        <v>568</v>
      </c>
    </row>
    <row r="2527" spans="1:18" x14ac:dyDescent="0.2">
      <c r="A2527">
        <v>4</v>
      </c>
      <c r="B2527" t="s">
        <v>87</v>
      </c>
      <c r="E2527" t="s">
        <v>36</v>
      </c>
      <c r="F2527">
        <v>1442847</v>
      </c>
      <c r="G2527">
        <v>3</v>
      </c>
      <c r="H2527">
        <v>3</v>
      </c>
      <c r="I2527">
        <v>145</v>
      </c>
      <c r="J2527">
        <v>1950</v>
      </c>
      <c r="K2527" s="4">
        <v>44499</v>
      </c>
      <c r="L2527" t="s">
        <v>20</v>
      </c>
      <c r="M2527" t="s">
        <v>78</v>
      </c>
      <c r="N2527">
        <v>2.9</v>
      </c>
      <c r="O2527">
        <v>838</v>
      </c>
      <c r="P2527">
        <v>3.42</v>
      </c>
      <c r="Q2527">
        <v>209</v>
      </c>
      <c r="R2527">
        <v>430</v>
      </c>
    </row>
    <row r="2528" spans="1:18" x14ac:dyDescent="0.2">
      <c r="A2528">
        <v>5</v>
      </c>
      <c r="B2528" t="s">
        <v>43</v>
      </c>
      <c r="E2528" t="s">
        <v>29</v>
      </c>
      <c r="F2528">
        <v>2347606</v>
      </c>
      <c r="G2528">
        <v>3</v>
      </c>
      <c r="H2528">
        <v>3</v>
      </c>
      <c r="I2528">
        <v>809</v>
      </c>
      <c r="J2528">
        <v>1991</v>
      </c>
      <c r="K2528" s="4">
        <v>44573</v>
      </c>
      <c r="L2528" t="s">
        <v>26</v>
      </c>
      <c r="M2528" t="s">
        <v>60</v>
      </c>
      <c r="N2528">
        <v>2.54</v>
      </c>
      <c r="O2528">
        <v>2388</v>
      </c>
      <c r="P2528">
        <v>2.2799999999999998</v>
      </c>
      <c r="Q2528">
        <v>212</v>
      </c>
      <c r="R2528">
        <v>301</v>
      </c>
    </row>
    <row r="2529" spans="1:18" x14ac:dyDescent="0.2">
      <c r="A2529">
        <v>9</v>
      </c>
      <c r="B2529" t="s">
        <v>57</v>
      </c>
      <c r="E2529" t="s">
        <v>19</v>
      </c>
      <c r="F2529">
        <v>1779064</v>
      </c>
      <c r="G2529">
        <v>4</v>
      </c>
      <c r="H2529">
        <v>3</v>
      </c>
      <c r="I2529">
        <v>120</v>
      </c>
      <c r="J2529">
        <v>2012</v>
      </c>
      <c r="K2529" s="4">
        <v>44266</v>
      </c>
      <c r="L2529" t="s">
        <v>30</v>
      </c>
      <c r="M2529" t="s">
        <v>52</v>
      </c>
      <c r="N2529">
        <v>2.67</v>
      </c>
      <c r="O2529">
        <v>908</v>
      </c>
      <c r="P2529">
        <v>0.87</v>
      </c>
      <c r="Q2529">
        <v>209</v>
      </c>
      <c r="R2529">
        <v>651</v>
      </c>
    </row>
    <row r="2530" spans="1:18" x14ac:dyDescent="0.2">
      <c r="A2530">
        <v>7</v>
      </c>
      <c r="B2530" t="s">
        <v>43</v>
      </c>
      <c r="E2530" t="s">
        <v>36</v>
      </c>
      <c r="F2530">
        <v>509649</v>
      </c>
      <c r="G2530">
        <v>3</v>
      </c>
      <c r="H2530">
        <v>2</v>
      </c>
      <c r="I2530">
        <v>404</v>
      </c>
      <c r="J2530">
        <v>1959</v>
      </c>
      <c r="K2530" s="4">
        <v>45826</v>
      </c>
      <c r="L2530" t="s">
        <v>23</v>
      </c>
      <c r="M2530" t="s">
        <v>33</v>
      </c>
      <c r="N2530">
        <v>3.48</v>
      </c>
      <c r="O2530">
        <v>1067</v>
      </c>
      <c r="P2530">
        <v>3.19</v>
      </c>
      <c r="Q2530">
        <v>160</v>
      </c>
      <c r="R2530">
        <v>505</v>
      </c>
    </row>
    <row r="2531" spans="1:18" x14ac:dyDescent="0.2">
      <c r="A2531">
        <v>3</v>
      </c>
      <c r="B2531" t="s">
        <v>61</v>
      </c>
      <c r="E2531" t="s">
        <v>19</v>
      </c>
      <c r="F2531">
        <v>1671280</v>
      </c>
      <c r="G2531">
        <v>4</v>
      </c>
      <c r="H2531">
        <v>1</v>
      </c>
      <c r="I2531">
        <v>659</v>
      </c>
      <c r="J2531">
        <v>1953</v>
      </c>
      <c r="K2531" s="4">
        <v>44515</v>
      </c>
      <c r="L2531" t="s">
        <v>26</v>
      </c>
      <c r="M2531" t="s">
        <v>45</v>
      </c>
      <c r="N2531">
        <v>2.0099999999999998</v>
      </c>
      <c r="O2531">
        <v>1913</v>
      </c>
      <c r="P2531">
        <v>2.79</v>
      </c>
      <c r="Q2531">
        <v>299</v>
      </c>
      <c r="R2531">
        <v>408</v>
      </c>
    </row>
    <row r="2532" spans="1:18" x14ac:dyDescent="0.2">
      <c r="A2532">
        <v>1</v>
      </c>
      <c r="B2532" t="s">
        <v>75</v>
      </c>
      <c r="E2532" t="s">
        <v>19</v>
      </c>
      <c r="F2532">
        <v>1436863</v>
      </c>
      <c r="G2532">
        <v>2</v>
      </c>
      <c r="H2532">
        <v>2</v>
      </c>
      <c r="I2532">
        <v>841</v>
      </c>
      <c r="J2532">
        <v>2019</v>
      </c>
      <c r="K2532" s="4">
        <v>45121</v>
      </c>
      <c r="L2532" t="s">
        <v>23</v>
      </c>
      <c r="M2532" t="s">
        <v>54</v>
      </c>
      <c r="N2532">
        <v>2.2599999999999998</v>
      </c>
      <c r="O2532">
        <v>1837</v>
      </c>
      <c r="P2532">
        <v>4.84</v>
      </c>
      <c r="Q2532">
        <v>204</v>
      </c>
      <c r="R2532">
        <v>462</v>
      </c>
    </row>
    <row r="2533" spans="1:18" x14ac:dyDescent="0.2">
      <c r="A2533">
        <v>6</v>
      </c>
      <c r="B2533" t="s">
        <v>79</v>
      </c>
      <c r="E2533" t="s">
        <v>51</v>
      </c>
      <c r="F2533">
        <v>1008142</v>
      </c>
      <c r="G2533">
        <v>4</v>
      </c>
      <c r="H2533">
        <v>1</v>
      </c>
      <c r="I2533">
        <v>83</v>
      </c>
      <c r="J2533">
        <v>1980</v>
      </c>
      <c r="K2533" s="4">
        <v>45557</v>
      </c>
      <c r="L2533" t="s">
        <v>23</v>
      </c>
      <c r="M2533" t="s">
        <v>89</v>
      </c>
      <c r="N2533">
        <v>2.66</v>
      </c>
      <c r="O2533">
        <v>1319</v>
      </c>
      <c r="P2533">
        <v>1.41</v>
      </c>
      <c r="Q2533">
        <v>173</v>
      </c>
      <c r="R2533">
        <v>307</v>
      </c>
    </row>
    <row r="2534" spans="1:18" x14ac:dyDescent="0.2">
      <c r="A2534">
        <v>8</v>
      </c>
      <c r="B2534" t="s">
        <v>86</v>
      </c>
      <c r="E2534" t="s">
        <v>19</v>
      </c>
      <c r="F2534">
        <v>1067485</v>
      </c>
      <c r="G2534">
        <v>1</v>
      </c>
      <c r="H2534">
        <v>3</v>
      </c>
      <c r="I2534">
        <v>453</v>
      </c>
      <c r="J2534">
        <v>1984</v>
      </c>
      <c r="K2534" s="4">
        <v>45128</v>
      </c>
      <c r="L2534" t="s">
        <v>30</v>
      </c>
      <c r="M2534" t="s">
        <v>60</v>
      </c>
      <c r="N2534">
        <v>1.71</v>
      </c>
      <c r="O2534">
        <v>1036</v>
      </c>
      <c r="P2534">
        <v>3.28</v>
      </c>
      <c r="Q2534">
        <v>80</v>
      </c>
      <c r="R2534">
        <v>592</v>
      </c>
    </row>
    <row r="2535" spans="1:18" x14ac:dyDescent="0.2">
      <c r="A2535">
        <v>1</v>
      </c>
      <c r="B2535" t="s">
        <v>105</v>
      </c>
      <c r="E2535" t="s">
        <v>36</v>
      </c>
      <c r="F2535">
        <v>919216</v>
      </c>
      <c r="G2535">
        <v>4</v>
      </c>
      <c r="H2535">
        <v>2</v>
      </c>
      <c r="I2535">
        <v>473</v>
      </c>
      <c r="J2535">
        <v>2005</v>
      </c>
      <c r="K2535" s="4">
        <v>45707</v>
      </c>
      <c r="L2535" t="s">
        <v>23</v>
      </c>
      <c r="M2535" t="s">
        <v>45</v>
      </c>
      <c r="N2535">
        <v>2.89</v>
      </c>
      <c r="O2535">
        <v>1393</v>
      </c>
      <c r="P2535">
        <v>1.17</v>
      </c>
      <c r="Q2535">
        <v>282</v>
      </c>
      <c r="R2535">
        <v>586</v>
      </c>
    </row>
    <row r="2536" spans="1:18" x14ac:dyDescent="0.2">
      <c r="A2536">
        <v>7</v>
      </c>
      <c r="B2536" t="s">
        <v>72</v>
      </c>
      <c r="E2536" t="s">
        <v>19</v>
      </c>
      <c r="F2536">
        <v>985665</v>
      </c>
      <c r="G2536">
        <v>3</v>
      </c>
      <c r="H2536">
        <v>2</v>
      </c>
      <c r="I2536">
        <v>105</v>
      </c>
      <c r="J2536">
        <v>2001</v>
      </c>
      <c r="K2536" s="4">
        <v>45350</v>
      </c>
      <c r="L2536" t="s">
        <v>23</v>
      </c>
      <c r="M2536" t="s">
        <v>97</v>
      </c>
      <c r="N2536">
        <v>2.85</v>
      </c>
      <c r="O2536">
        <v>1338</v>
      </c>
      <c r="P2536">
        <v>0.96</v>
      </c>
      <c r="Q2536">
        <v>242</v>
      </c>
      <c r="R2536">
        <v>394</v>
      </c>
    </row>
    <row r="2537" spans="1:18" x14ac:dyDescent="0.2">
      <c r="A2537">
        <v>8</v>
      </c>
      <c r="B2537" t="s">
        <v>90</v>
      </c>
      <c r="E2537" t="s">
        <v>51</v>
      </c>
      <c r="F2537">
        <v>969289</v>
      </c>
      <c r="G2537">
        <v>6</v>
      </c>
      <c r="H2537">
        <v>1</v>
      </c>
      <c r="I2537">
        <v>53</v>
      </c>
      <c r="J2537">
        <v>1997</v>
      </c>
      <c r="K2537" s="4">
        <v>45292</v>
      </c>
      <c r="L2537" t="s">
        <v>20</v>
      </c>
      <c r="M2537" t="s">
        <v>59</v>
      </c>
      <c r="N2537">
        <v>2.5299999999999998</v>
      </c>
      <c r="O2537">
        <v>2280</v>
      </c>
      <c r="P2537">
        <v>4.26</v>
      </c>
      <c r="Q2537">
        <v>385</v>
      </c>
      <c r="R2537">
        <v>665</v>
      </c>
    </row>
    <row r="2538" spans="1:18" x14ac:dyDescent="0.2">
      <c r="A2538">
        <v>9</v>
      </c>
      <c r="B2538" t="s">
        <v>49</v>
      </c>
      <c r="E2538" t="s">
        <v>51</v>
      </c>
      <c r="F2538">
        <v>2584453</v>
      </c>
      <c r="G2538">
        <v>3</v>
      </c>
      <c r="H2538">
        <v>3</v>
      </c>
      <c r="I2538">
        <v>522</v>
      </c>
      <c r="J2538">
        <v>1953</v>
      </c>
      <c r="K2538" s="4">
        <v>44640</v>
      </c>
      <c r="L2538" t="s">
        <v>30</v>
      </c>
      <c r="M2538" t="s">
        <v>27</v>
      </c>
      <c r="N2538">
        <v>3.42</v>
      </c>
      <c r="O2538">
        <v>913</v>
      </c>
      <c r="P2538">
        <v>1.07</v>
      </c>
      <c r="Q2538">
        <v>148</v>
      </c>
      <c r="R2538">
        <v>388</v>
      </c>
    </row>
    <row r="2539" spans="1:18" x14ac:dyDescent="0.2">
      <c r="A2539">
        <v>5</v>
      </c>
      <c r="B2539" t="s">
        <v>79</v>
      </c>
      <c r="E2539" t="s">
        <v>19</v>
      </c>
      <c r="F2539">
        <v>1846507</v>
      </c>
      <c r="G2539">
        <v>3</v>
      </c>
      <c r="H2539">
        <v>3</v>
      </c>
      <c r="I2539">
        <v>357</v>
      </c>
      <c r="J2539">
        <v>1995</v>
      </c>
      <c r="K2539" s="4">
        <v>44279</v>
      </c>
      <c r="L2539" t="s">
        <v>20</v>
      </c>
      <c r="M2539" t="s">
        <v>45</v>
      </c>
      <c r="N2539">
        <v>1.78</v>
      </c>
      <c r="O2539">
        <v>2060</v>
      </c>
      <c r="P2539">
        <v>2.0699999999999998</v>
      </c>
      <c r="Q2539">
        <v>199</v>
      </c>
      <c r="R2539">
        <v>463</v>
      </c>
    </row>
    <row r="2540" spans="1:18" x14ac:dyDescent="0.2">
      <c r="A2540">
        <v>3</v>
      </c>
      <c r="B2540" t="s">
        <v>53</v>
      </c>
      <c r="E2540" t="s">
        <v>19</v>
      </c>
      <c r="F2540">
        <v>2808981</v>
      </c>
      <c r="G2540">
        <v>5</v>
      </c>
      <c r="H2540">
        <v>1</v>
      </c>
      <c r="I2540">
        <v>210</v>
      </c>
      <c r="J2540">
        <v>2013</v>
      </c>
      <c r="K2540" s="4">
        <v>44710</v>
      </c>
      <c r="L2540" t="s">
        <v>20</v>
      </c>
      <c r="M2540" t="s">
        <v>69</v>
      </c>
      <c r="N2540">
        <v>2.2799999999999998</v>
      </c>
      <c r="O2540">
        <v>1456</v>
      </c>
      <c r="P2540">
        <v>4.8499999999999996</v>
      </c>
      <c r="Q2540">
        <v>265</v>
      </c>
      <c r="R2540">
        <v>540</v>
      </c>
    </row>
    <row r="2541" spans="1:18" x14ac:dyDescent="0.2">
      <c r="A2541">
        <v>4</v>
      </c>
      <c r="B2541" t="s">
        <v>28</v>
      </c>
      <c r="E2541" t="s">
        <v>29</v>
      </c>
      <c r="F2541">
        <v>608185</v>
      </c>
      <c r="G2541">
        <v>3</v>
      </c>
      <c r="H2541">
        <v>1</v>
      </c>
      <c r="I2541">
        <v>255</v>
      </c>
      <c r="J2541">
        <v>1966</v>
      </c>
      <c r="K2541" s="4">
        <v>44440</v>
      </c>
      <c r="L2541" t="s">
        <v>26</v>
      </c>
      <c r="M2541" t="s">
        <v>66</v>
      </c>
      <c r="N2541">
        <v>1.6</v>
      </c>
      <c r="O2541">
        <v>1154</v>
      </c>
      <c r="P2541">
        <v>4.3600000000000003</v>
      </c>
      <c r="Q2541">
        <v>256</v>
      </c>
      <c r="R2541">
        <v>553</v>
      </c>
    </row>
    <row r="2542" spans="1:18" x14ac:dyDescent="0.2">
      <c r="A2542">
        <v>2</v>
      </c>
      <c r="B2542" t="s">
        <v>18</v>
      </c>
      <c r="E2542" t="s">
        <v>19</v>
      </c>
      <c r="F2542">
        <v>561100</v>
      </c>
      <c r="G2542">
        <v>5</v>
      </c>
      <c r="H2542">
        <v>1</v>
      </c>
      <c r="I2542">
        <v>296</v>
      </c>
      <c r="J2542">
        <v>1996</v>
      </c>
      <c r="K2542" s="4">
        <v>45758</v>
      </c>
      <c r="L2542" t="s">
        <v>20</v>
      </c>
      <c r="M2542" t="s">
        <v>89</v>
      </c>
      <c r="N2542">
        <v>2.2200000000000002</v>
      </c>
      <c r="O2542">
        <v>1220</v>
      </c>
      <c r="P2542">
        <v>1.66</v>
      </c>
      <c r="Q2542">
        <v>302</v>
      </c>
      <c r="R2542">
        <v>368</v>
      </c>
    </row>
    <row r="2543" spans="1:18" x14ac:dyDescent="0.2">
      <c r="A2543">
        <v>2</v>
      </c>
      <c r="B2543" t="s">
        <v>93</v>
      </c>
      <c r="E2543" t="s">
        <v>36</v>
      </c>
      <c r="F2543">
        <v>1676343</v>
      </c>
      <c r="G2543">
        <v>3</v>
      </c>
      <c r="H2543">
        <v>2</v>
      </c>
      <c r="I2543">
        <v>577</v>
      </c>
      <c r="J2543">
        <v>2016</v>
      </c>
      <c r="K2543" s="4">
        <v>44569</v>
      </c>
      <c r="L2543" t="s">
        <v>30</v>
      </c>
      <c r="M2543" t="s">
        <v>70</v>
      </c>
      <c r="N2543">
        <v>3.24</v>
      </c>
      <c r="O2543">
        <v>2110</v>
      </c>
      <c r="P2543">
        <v>3.68</v>
      </c>
      <c r="Q2543">
        <v>194</v>
      </c>
      <c r="R2543">
        <v>343</v>
      </c>
    </row>
    <row r="2544" spans="1:18" x14ac:dyDescent="0.2">
      <c r="A2544">
        <v>1</v>
      </c>
      <c r="B2544" t="s">
        <v>104</v>
      </c>
      <c r="E2544" t="s">
        <v>51</v>
      </c>
      <c r="F2544">
        <v>889399</v>
      </c>
      <c r="G2544">
        <v>4</v>
      </c>
      <c r="H2544">
        <v>3</v>
      </c>
      <c r="I2544">
        <v>530</v>
      </c>
      <c r="J2544">
        <v>1990</v>
      </c>
      <c r="K2544" s="4">
        <v>44324</v>
      </c>
      <c r="L2544" t="s">
        <v>20</v>
      </c>
      <c r="M2544" t="s">
        <v>69</v>
      </c>
      <c r="N2544">
        <v>3.2</v>
      </c>
      <c r="O2544">
        <v>1590</v>
      </c>
      <c r="P2544">
        <v>0.52</v>
      </c>
      <c r="Q2544">
        <v>183</v>
      </c>
      <c r="R2544">
        <v>375</v>
      </c>
    </row>
    <row r="2545" spans="1:18" x14ac:dyDescent="0.2">
      <c r="A2545">
        <v>0</v>
      </c>
      <c r="B2545" t="s">
        <v>57</v>
      </c>
      <c r="E2545" t="s">
        <v>29</v>
      </c>
      <c r="F2545">
        <v>1685421</v>
      </c>
      <c r="G2545">
        <v>5</v>
      </c>
      <c r="H2545">
        <v>3</v>
      </c>
      <c r="I2545">
        <v>523</v>
      </c>
      <c r="J2545">
        <v>2004</v>
      </c>
      <c r="K2545" s="4">
        <v>44276</v>
      </c>
      <c r="L2545" t="s">
        <v>30</v>
      </c>
      <c r="M2545" t="s">
        <v>27</v>
      </c>
      <c r="N2545">
        <v>2.69</v>
      </c>
      <c r="O2545">
        <v>1584</v>
      </c>
      <c r="P2545">
        <v>4.47</v>
      </c>
      <c r="Q2545">
        <v>295</v>
      </c>
      <c r="R2545">
        <v>617</v>
      </c>
    </row>
    <row r="2546" spans="1:18" x14ac:dyDescent="0.2">
      <c r="A2546">
        <v>6</v>
      </c>
      <c r="B2546" t="s">
        <v>44</v>
      </c>
      <c r="E2546" t="s">
        <v>19</v>
      </c>
      <c r="F2546">
        <v>1689414</v>
      </c>
      <c r="G2546">
        <v>2</v>
      </c>
      <c r="H2546">
        <v>2</v>
      </c>
      <c r="I2546">
        <v>737</v>
      </c>
      <c r="J2546">
        <v>1964</v>
      </c>
      <c r="K2546" s="4">
        <v>44366</v>
      </c>
      <c r="L2546" t="s">
        <v>26</v>
      </c>
      <c r="M2546" t="s">
        <v>74</v>
      </c>
      <c r="N2546">
        <v>2.5299999999999998</v>
      </c>
      <c r="O2546">
        <v>1565</v>
      </c>
      <c r="P2546">
        <v>0.13</v>
      </c>
      <c r="Q2546">
        <v>236</v>
      </c>
      <c r="R2546">
        <v>619</v>
      </c>
    </row>
    <row r="2547" spans="1:18" x14ac:dyDescent="0.2">
      <c r="A2547">
        <v>6</v>
      </c>
      <c r="B2547" t="s">
        <v>73</v>
      </c>
      <c r="E2547" t="s">
        <v>51</v>
      </c>
      <c r="F2547">
        <v>2590167</v>
      </c>
      <c r="G2547">
        <v>4</v>
      </c>
      <c r="H2547">
        <v>3</v>
      </c>
      <c r="I2547">
        <v>526</v>
      </c>
      <c r="J2547">
        <v>1996</v>
      </c>
      <c r="K2547" s="4">
        <v>45387</v>
      </c>
      <c r="L2547" t="s">
        <v>23</v>
      </c>
      <c r="M2547" t="s">
        <v>68</v>
      </c>
      <c r="N2547">
        <v>3.06</v>
      </c>
      <c r="O2547">
        <v>893</v>
      </c>
      <c r="P2547">
        <v>2.4</v>
      </c>
      <c r="Q2547">
        <v>364</v>
      </c>
      <c r="R2547">
        <v>674</v>
      </c>
    </row>
    <row r="2548" spans="1:18" x14ac:dyDescent="0.2">
      <c r="A2548">
        <v>7</v>
      </c>
      <c r="B2548" t="s">
        <v>53</v>
      </c>
      <c r="E2548" t="s">
        <v>51</v>
      </c>
      <c r="F2548">
        <v>1854716</v>
      </c>
      <c r="G2548">
        <v>5</v>
      </c>
      <c r="H2548">
        <v>1</v>
      </c>
      <c r="I2548">
        <v>952</v>
      </c>
      <c r="J2548">
        <v>2021</v>
      </c>
      <c r="K2548" s="4">
        <v>45772</v>
      </c>
      <c r="L2548" t="s">
        <v>23</v>
      </c>
      <c r="M2548" t="s">
        <v>60</v>
      </c>
      <c r="N2548">
        <v>2.89</v>
      </c>
      <c r="O2548">
        <v>1656</v>
      </c>
      <c r="P2548">
        <v>3.12</v>
      </c>
      <c r="Q2548">
        <v>350</v>
      </c>
      <c r="R2548">
        <v>474</v>
      </c>
    </row>
    <row r="2549" spans="1:18" x14ac:dyDescent="0.2">
      <c r="A2549">
        <v>5</v>
      </c>
      <c r="B2549" t="s">
        <v>90</v>
      </c>
      <c r="E2549" t="s">
        <v>36</v>
      </c>
      <c r="F2549">
        <v>2511019</v>
      </c>
      <c r="G2549">
        <v>4</v>
      </c>
      <c r="H2549">
        <v>1</v>
      </c>
      <c r="I2549">
        <v>245</v>
      </c>
      <c r="J2549">
        <v>1987</v>
      </c>
      <c r="K2549" s="4">
        <v>45522</v>
      </c>
      <c r="L2549" t="s">
        <v>20</v>
      </c>
      <c r="M2549" t="s">
        <v>40</v>
      </c>
      <c r="N2549">
        <v>2.2799999999999998</v>
      </c>
      <c r="O2549">
        <v>1671</v>
      </c>
      <c r="P2549">
        <v>0.41</v>
      </c>
      <c r="Q2549">
        <v>385</v>
      </c>
      <c r="R2549">
        <v>546</v>
      </c>
    </row>
    <row r="2550" spans="1:18" x14ac:dyDescent="0.2">
      <c r="A2550">
        <v>7</v>
      </c>
      <c r="B2550" t="s">
        <v>90</v>
      </c>
      <c r="E2550" t="s">
        <v>51</v>
      </c>
      <c r="F2550">
        <v>473502</v>
      </c>
      <c r="G2550">
        <v>3</v>
      </c>
      <c r="H2550">
        <v>3</v>
      </c>
      <c r="I2550">
        <v>860</v>
      </c>
      <c r="J2550">
        <v>2002</v>
      </c>
      <c r="K2550" s="4">
        <v>45063</v>
      </c>
      <c r="L2550" t="s">
        <v>30</v>
      </c>
      <c r="M2550" t="s">
        <v>54</v>
      </c>
      <c r="N2550">
        <v>2.41</v>
      </c>
      <c r="O2550">
        <v>1949</v>
      </c>
      <c r="P2550">
        <v>2.83</v>
      </c>
      <c r="Q2550">
        <v>288</v>
      </c>
      <c r="R2550">
        <v>430</v>
      </c>
    </row>
    <row r="2551" spans="1:18" x14ac:dyDescent="0.2">
      <c r="A2551">
        <v>2</v>
      </c>
      <c r="B2551" t="s">
        <v>95</v>
      </c>
      <c r="E2551" t="s">
        <v>36</v>
      </c>
      <c r="F2551">
        <v>574262</v>
      </c>
      <c r="G2551">
        <v>2</v>
      </c>
      <c r="H2551">
        <v>2</v>
      </c>
      <c r="I2551">
        <v>480</v>
      </c>
      <c r="J2551">
        <v>2014</v>
      </c>
      <c r="K2551" s="4">
        <v>44359</v>
      </c>
      <c r="L2551" t="s">
        <v>23</v>
      </c>
      <c r="M2551" t="s">
        <v>21</v>
      </c>
      <c r="N2551">
        <v>1.81</v>
      </c>
      <c r="O2551">
        <v>1154</v>
      </c>
      <c r="P2551">
        <v>0.14000000000000001</v>
      </c>
      <c r="Q2551">
        <v>95</v>
      </c>
      <c r="R2551">
        <v>581</v>
      </c>
    </row>
    <row r="2552" spans="1:18" x14ac:dyDescent="0.2">
      <c r="A2552">
        <v>3</v>
      </c>
      <c r="B2552" t="s">
        <v>104</v>
      </c>
      <c r="E2552" t="s">
        <v>51</v>
      </c>
      <c r="F2552">
        <v>2516459</v>
      </c>
      <c r="G2552">
        <v>3</v>
      </c>
      <c r="H2552">
        <v>1</v>
      </c>
      <c r="I2552">
        <v>560</v>
      </c>
      <c r="J2552">
        <v>2022</v>
      </c>
      <c r="K2552" s="4">
        <v>45547</v>
      </c>
      <c r="L2552" t="s">
        <v>26</v>
      </c>
      <c r="M2552" t="s">
        <v>58</v>
      </c>
      <c r="N2552">
        <v>1.61</v>
      </c>
      <c r="O2552">
        <v>1255</v>
      </c>
      <c r="P2552">
        <v>2.48</v>
      </c>
      <c r="Q2552">
        <v>208</v>
      </c>
      <c r="R2552">
        <v>700</v>
      </c>
    </row>
    <row r="2553" spans="1:18" x14ac:dyDescent="0.2">
      <c r="A2553">
        <v>7</v>
      </c>
      <c r="B2553" t="s">
        <v>75</v>
      </c>
      <c r="E2553" t="s">
        <v>51</v>
      </c>
      <c r="F2553">
        <v>553574</v>
      </c>
      <c r="G2553">
        <v>-2</v>
      </c>
      <c r="H2553">
        <v>2</v>
      </c>
      <c r="I2553">
        <v>265</v>
      </c>
      <c r="J2553">
        <v>1996</v>
      </c>
      <c r="K2553" s="4">
        <v>44867</v>
      </c>
      <c r="L2553" t="s">
        <v>26</v>
      </c>
      <c r="M2553" t="s">
        <v>63</v>
      </c>
      <c r="N2553">
        <v>3.31</v>
      </c>
      <c r="O2553">
        <v>811</v>
      </c>
      <c r="P2553">
        <v>0.67</v>
      </c>
      <c r="Q2553">
        <v>395</v>
      </c>
      <c r="R2553">
        <v>621</v>
      </c>
    </row>
    <row r="2554" spans="1:18" x14ac:dyDescent="0.2">
      <c r="A2554">
        <v>9</v>
      </c>
      <c r="B2554" t="s">
        <v>53</v>
      </c>
      <c r="E2554" t="s">
        <v>19</v>
      </c>
      <c r="F2554">
        <v>729968</v>
      </c>
      <c r="G2554">
        <v>4</v>
      </c>
      <c r="H2554">
        <v>2</v>
      </c>
      <c r="I2554">
        <v>572</v>
      </c>
      <c r="J2554">
        <v>1979</v>
      </c>
      <c r="K2554" s="4">
        <v>45622</v>
      </c>
      <c r="L2554" t="s">
        <v>20</v>
      </c>
      <c r="M2554" t="s">
        <v>69</v>
      </c>
      <c r="N2554">
        <v>1.64</v>
      </c>
      <c r="O2554">
        <v>2072</v>
      </c>
      <c r="P2554">
        <v>4.6900000000000004</v>
      </c>
      <c r="Q2554">
        <v>169</v>
      </c>
      <c r="R2554">
        <v>483</v>
      </c>
    </row>
    <row r="2555" spans="1:18" x14ac:dyDescent="0.2">
      <c r="A2555">
        <v>5</v>
      </c>
      <c r="B2555" t="s">
        <v>100</v>
      </c>
      <c r="E2555" t="s">
        <v>51</v>
      </c>
      <c r="F2555">
        <v>2663063</v>
      </c>
      <c r="G2555">
        <v>4</v>
      </c>
      <c r="H2555">
        <v>3</v>
      </c>
      <c r="I2555">
        <v>212</v>
      </c>
      <c r="J2555">
        <v>1951</v>
      </c>
      <c r="K2555" s="4">
        <v>45831</v>
      </c>
      <c r="L2555" t="s">
        <v>20</v>
      </c>
      <c r="M2555" t="s">
        <v>89</v>
      </c>
      <c r="N2555">
        <v>1.63</v>
      </c>
      <c r="O2555">
        <v>1915</v>
      </c>
      <c r="P2555">
        <v>1.0900000000000001</v>
      </c>
      <c r="Q2555">
        <v>229</v>
      </c>
      <c r="R2555">
        <v>676</v>
      </c>
    </row>
    <row r="2556" spans="1:18" x14ac:dyDescent="0.2">
      <c r="A2556">
        <v>4</v>
      </c>
      <c r="B2556" t="s">
        <v>81</v>
      </c>
      <c r="E2556" t="s">
        <v>51</v>
      </c>
      <c r="F2556">
        <v>1217642</v>
      </c>
      <c r="G2556">
        <v>3</v>
      </c>
      <c r="H2556">
        <v>1</v>
      </c>
      <c r="I2556">
        <v>156</v>
      </c>
      <c r="J2556">
        <v>1988</v>
      </c>
      <c r="K2556" s="4">
        <v>44843</v>
      </c>
      <c r="L2556" t="s">
        <v>26</v>
      </c>
      <c r="M2556" t="s">
        <v>97</v>
      </c>
      <c r="N2556">
        <v>3.4</v>
      </c>
      <c r="O2556">
        <v>2251</v>
      </c>
      <c r="P2556">
        <v>2.1</v>
      </c>
      <c r="Q2556">
        <v>279</v>
      </c>
      <c r="R2556">
        <v>524</v>
      </c>
    </row>
    <row r="2557" spans="1:18" x14ac:dyDescent="0.2">
      <c r="A2557">
        <v>2</v>
      </c>
      <c r="B2557" t="s">
        <v>84</v>
      </c>
      <c r="E2557" t="s">
        <v>19</v>
      </c>
      <c r="F2557">
        <v>2229086</v>
      </c>
      <c r="G2557">
        <v>5</v>
      </c>
      <c r="H2557">
        <v>3</v>
      </c>
      <c r="I2557">
        <v>531</v>
      </c>
      <c r="J2557">
        <v>2022</v>
      </c>
      <c r="K2557" s="4">
        <v>44700</v>
      </c>
      <c r="L2557" t="s">
        <v>26</v>
      </c>
      <c r="M2557" t="s">
        <v>82</v>
      </c>
      <c r="N2557">
        <v>2.57</v>
      </c>
      <c r="O2557">
        <v>1445</v>
      </c>
      <c r="P2557">
        <v>4.53</v>
      </c>
      <c r="Q2557">
        <v>245</v>
      </c>
      <c r="R2557">
        <v>502</v>
      </c>
    </row>
    <row r="2558" spans="1:18" x14ac:dyDescent="0.2">
      <c r="A2558">
        <v>4</v>
      </c>
      <c r="B2558" t="s">
        <v>48</v>
      </c>
      <c r="E2558" t="s">
        <v>36</v>
      </c>
      <c r="F2558">
        <v>2005200</v>
      </c>
      <c r="G2558">
        <v>4</v>
      </c>
      <c r="H2558">
        <v>2</v>
      </c>
      <c r="I2558">
        <v>273</v>
      </c>
      <c r="J2558">
        <v>2001</v>
      </c>
      <c r="K2558" s="4">
        <v>44754</v>
      </c>
      <c r="L2558" t="s">
        <v>26</v>
      </c>
      <c r="M2558" t="s">
        <v>77</v>
      </c>
      <c r="N2558">
        <v>3.46</v>
      </c>
      <c r="O2558">
        <v>2032</v>
      </c>
      <c r="P2558">
        <v>2.33</v>
      </c>
      <c r="Q2558">
        <v>243</v>
      </c>
      <c r="R2558">
        <v>448</v>
      </c>
    </row>
    <row r="2559" spans="1:18" x14ac:dyDescent="0.2">
      <c r="A2559">
        <v>9</v>
      </c>
      <c r="B2559" t="s">
        <v>93</v>
      </c>
      <c r="E2559" t="s">
        <v>51</v>
      </c>
      <c r="F2559">
        <v>2371278</v>
      </c>
      <c r="G2559">
        <v>2</v>
      </c>
      <c r="H2559">
        <v>1</v>
      </c>
      <c r="I2559">
        <v>963</v>
      </c>
      <c r="J2559">
        <v>2003</v>
      </c>
      <c r="K2559" s="4">
        <v>44085</v>
      </c>
      <c r="L2559" t="s">
        <v>26</v>
      </c>
      <c r="M2559" t="s">
        <v>74</v>
      </c>
      <c r="N2559">
        <v>1.83</v>
      </c>
      <c r="O2559">
        <v>2463</v>
      </c>
      <c r="P2559">
        <v>3.5</v>
      </c>
      <c r="Q2559">
        <v>202</v>
      </c>
      <c r="R2559">
        <v>443</v>
      </c>
    </row>
    <row r="2560" spans="1:18" x14ac:dyDescent="0.2">
      <c r="A2560">
        <v>6</v>
      </c>
      <c r="B2560" t="s">
        <v>86</v>
      </c>
      <c r="E2560" t="s">
        <v>19</v>
      </c>
      <c r="F2560">
        <v>2268634</v>
      </c>
      <c r="G2560">
        <v>3</v>
      </c>
      <c r="H2560">
        <v>2</v>
      </c>
      <c r="I2560">
        <v>306</v>
      </c>
      <c r="J2560">
        <v>1952</v>
      </c>
      <c r="K2560" s="4">
        <v>44223</v>
      </c>
      <c r="L2560" t="s">
        <v>20</v>
      </c>
      <c r="M2560" t="s">
        <v>52</v>
      </c>
      <c r="N2560">
        <v>1.6</v>
      </c>
      <c r="O2560">
        <v>2500</v>
      </c>
      <c r="P2560">
        <v>0.36</v>
      </c>
      <c r="Q2560">
        <v>119</v>
      </c>
      <c r="R2560">
        <v>444</v>
      </c>
    </row>
    <row r="2561" spans="1:18" x14ac:dyDescent="0.2">
      <c r="A2561">
        <v>9</v>
      </c>
      <c r="B2561" t="s">
        <v>57</v>
      </c>
      <c r="E2561" t="s">
        <v>36</v>
      </c>
      <c r="F2561">
        <v>2587065</v>
      </c>
      <c r="G2561">
        <v>6</v>
      </c>
      <c r="H2561">
        <v>1</v>
      </c>
      <c r="I2561">
        <v>825</v>
      </c>
      <c r="J2561">
        <v>1958</v>
      </c>
      <c r="K2561" s="4">
        <v>44901</v>
      </c>
      <c r="L2561" t="s">
        <v>30</v>
      </c>
      <c r="M2561" t="s">
        <v>47</v>
      </c>
      <c r="N2561">
        <v>3.05</v>
      </c>
      <c r="O2561">
        <v>2147</v>
      </c>
      <c r="P2561">
        <v>1.3</v>
      </c>
      <c r="Q2561">
        <v>336</v>
      </c>
      <c r="R2561">
        <v>353</v>
      </c>
    </row>
    <row r="2562" spans="1:18" x14ac:dyDescent="0.2">
      <c r="A2562">
        <v>2</v>
      </c>
      <c r="B2562" t="s">
        <v>101</v>
      </c>
      <c r="E2562" t="s">
        <v>29</v>
      </c>
      <c r="F2562">
        <v>2146380</v>
      </c>
      <c r="G2562">
        <v>3</v>
      </c>
      <c r="H2562">
        <v>3</v>
      </c>
      <c r="I2562">
        <v>649</v>
      </c>
      <c r="J2562">
        <v>2005</v>
      </c>
      <c r="K2562" s="4">
        <v>45382</v>
      </c>
      <c r="L2562" t="s">
        <v>20</v>
      </c>
      <c r="M2562" t="s">
        <v>40</v>
      </c>
      <c r="N2562">
        <v>2.85</v>
      </c>
      <c r="O2562">
        <v>2396</v>
      </c>
      <c r="P2562">
        <v>2.38</v>
      </c>
      <c r="Q2562">
        <v>256</v>
      </c>
      <c r="R2562">
        <v>512</v>
      </c>
    </row>
    <row r="2563" spans="1:18" x14ac:dyDescent="0.2">
      <c r="A2563">
        <v>1</v>
      </c>
      <c r="B2563" t="s">
        <v>88</v>
      </c>
      <c r="E2563" t="s">
        <v>51</v>
      </c>
      <c r="F2563">
        <v>1694970</v>
      </c>
      <c r="G2563">
        <v>4</v>
      </c>
      <c r="H2563">
        <v>1</v>
      </c>
      <c r="I2563">
        <v>403</v>
      </c>
      <c r="J2563">
        <v>1967</v>
      </c>
      <c r="K2563" s="4">
        <v>45803</v>
      </c>
      <c r="L2563" t="s">
        <v>20</v>
      </c>
      <c r="M2563" t="s">
        <v>89</v>
      </c>
      <c r="N2563">
        <v>3</v>
      </c>
      <c r="O2563">
        <v>1843</v>
      </c>
      <c r="P2563">
        <v>0.42</v>
      </c>
      <c r="Q2563">
        <v>226</v>
      </c>
      <c r="R2563">
        <v>349</v>
      </c>
    </row>
    <row r="2564" spans="1:18" x14ac:dyDescent="0.2">
      <c r="A2564">
        <v>2</v>
      </c>
      <c r="B2564" t="s">
        <v>43</v>
      </c>
      <c r="E2564" t="s">
        <v>19</v>
      </c>
      <c r="F2564">
        <v>2854304</v>
      </c>
      <c r="G2564">
        <v>5</v>
      </c>
      <c r="H2564">
        <v>2</v>
      </c>
      <c r="I2564">
        <v>60</v>
      </c>
      <c r="J2564">
        <v>1999</v>
      </c>
      <c r="K2564" s="4">
        <v>45758</v>
      </c>
      <c r="L2564" t="s">
        <v>23</v>
      </c>
      <c r="M2564" t="s">
        <v>63</v>
      </c>
      <c r="N2564">
        <v>2.74</v>
      </c>
      <c r="O2564">
        <v>1712</v>
      </c>
      <c r="P2564">
        <v>3.05</v>
      </c>
      <c r="Q2564">
        <v>393</v>
      </c>
      <c r="R2564">
        <v>631</v>
      </c>
    </row>
    <row r="2565" spans="1:18" x14ac:dyDescent="0.2">
      <c r="A2565">
        <v>0</v>
      </c>
      <c r="B2565" t="s">
        <v>96</v>
      </c>
      <c r="E2565" t="s">
        <v>36</v>
      </c>
      <c r="F2565">
        <v>515785</v>
      </c>
      <c r="G2565">
        <v>3</v>
      </c>
      <c r="H2565">
        <v>1</v>
      </c>
      <c r="I2565">
        <v>169</v>
      </c>
      <c r="J2565">
        <v>2014</v>
      </c>
      <c r="K2565" s="4">
        <v>45547</v>
      </c>
      <c r="L2565" t="s">
        <v>23</v>
      </c>
      <c r="M2565" t="s">
        <v>21</v>
      </c>
      <c r="N2565">
        <v>1.86</v>
      </c>
      <c r="O2565">
        <v>2376</v>
      </c>
      <c r="P2565">
        <v>3.24</v>
      </c>
      <c r="Q2565">
        <v>228</v>
      </c>
      <c r="R2565">
        <v>647</v>
      </c>
    </row>
    <row r="2566" spans="1:18" x14ac:dyDescent="0.2">
      <c r="A2566">
        <v>0</v>
      </c>
      <c r="B2566" t="s">
        <v>73</v>
      </c>
      <c r="E2566" t="s">
        <v>103</v>
      </c>
      <c r="F2566">
        <v>1943781</v>
      </c>
      <c r="G2566">
        <v>4</v>
      </c>
      <c r="H2566">
        <v>3</v>
      </c>
      <c r="I2566">
        <v>578</v>
      </c>
      <c r="J2566">
        <v>2000</v>
      </c>
      <c r="K2566" s="4">
        <v>44635</v>
      </c>
      <c r="L2566" t="s">
        <v>26</v>
      </c>
      <c r="M2566" t="s">
        <v>59</v>
      </c>
      <c r="N2566">
        <v>2.84</v>
      </c>
      <c r="O2566">
        <v>1688</v>
      </c>
      <c r="P2566">
        <v>1.46</v>
      </c>
      <c r="Q2566">
        <v>214</v>
      </c>
      <c r="R2566">
        <v>407</v>
      </c>
    </row>
    <row r="2567" spans="1:18" x14ac:dyDescent="0.2">
      <c r="A2567">
        <v>1</v>
      </c>
      <c r="B2567" t="s">
        <v>48</v>
      </c>
      <c r="E2567" t="s">
        <v>19</v>
      </c>
      <c r="F2567">
        <v>2235330</v>
      </c>
      <c r="G2567">
        <v>1</v>
      </c>
      <c r="H2567">
        <v>3</v>
      </c>
      <c r="I2567">
        <v>968</v>
      </c>
      <c r="J2567">
        <v>1983</v>
      </c>
      <c r="K2567" s="4">
        <v>44475</v>
      </c>
      <c r="L2567" t="s">
        <v>30</v>
      </c>
      <c r="M2567" t="s">
        <v>68</v>
      </c>
      <c r="N2567">
        <v>2.5299999999999998</v>
      </c>
      <c r="O2567">
        <v>1263</v>
      </c>
      <c r="P2567">
        <v>2.94</v>
      </c>
      <c r="Q2567">
        <v>94</v>
      </c>
      <c r="R2567">
        <v>484</v>
      </c>
    </row>
    <row r="2568" spans="1:18" x14ac:dyDescent="0.2">
      <c r="A2568">
        <v>0</v>
      </c>
      <c r="B2568" t="s">
        <v>41</v>
      </c>
      <c r="E2568" t="s">
        <v>36</v>
      </c>
      <c r="F2568">
        <v>1849031</v>
      </c>
      <c r="G2568">
        <v>2</v>
      </c>
      <c r="H2568">
        <v>3</v>
      </c>
      <c r="I2568">
        <v>954</v>
      </c>
      <c r="J2568">
        <v>1964</v>
      </c>
      <c r="K2568" s="4">
        <v>45403</v>
      </c>
      <c r="L2568" t="s">
        <v>20</v>
      </c>
      <c r="M2568" t="s">
        <v>42</v>
      </c>
      <c r="N2568">
        <v>3.28</v>
      </c>
      <c r="O2568">
        <v>1869</v>
      </c>
      <c r="P2568">
        <v>3.12</v>
      </c>
      <c r="Q2568">
        <v>213</v>
      </c>
      <c r="R2568">
        <v>528</v>
      </c>
    </row>
    <row r="2569" spans="1:18" x14ac:dyDescent="0.2">
      <c r="A2569">
        <v>8</v>
      </c>
      <c r="B2569" t="s">
        <v>25</v>
      </c>
      <c r="E2569" t="s">
        <v>29</v>
      </c>
      <c r="F2569">
        <v>900847</v>
      </c>
      <c r="G2569">
        <v>2</v>
      </c>
      <c r="H2569">
        <v>3</v>
      </c>
      <c r="I2569">
        <v>961</v>
      </c>
      <c r="J2569">
        <v>1974</v>
      </c>
      <c r="K2569" s="4">
        <v>44305</v>
      </c>
      <c r="L2569" t="s">
        <v>23</v>
      </c>
      <c r="M2569" t="s">
        <v>76</v>
      </c>
      <c r="N2569">
        <v>1.69</v>
      </c>
      <c r="O2569">
        <v>2474</v>
      </c>
      <c r="P2569">
        <v>2.17</v>
      </c>
      <c r="Q2569">
        <v>131</v>
      </c>
      <c r="R2569">
        <v>641</v>
      </c>
    </row>
    <row r="2570" spans="1:18" x14ac:dyDescent="0.2">
      <c r="A2570">
        <v>4</v>
      </c>
      <c r="B2570" t="s">
        <v>81</v>
      </c>
      <c r="E2570" t="s">
        <v>51</v>
      </c>
      <c r="F2570">
        <v>2240498</v>
      </c>
      <c r="G2570">
        <v>4</v>
      </c>
      <c r="H2570">
        <v>1</v>
      </c>
      <c r="I2570">
        <v>394</v>
      </c>
      <c r="J2570">
        <v>1994</v>
      </c>
      <c r="K2570" s="4">
        <v>44418</v>
      </c>
      <c r="L2570" t="s">
        <v>30</v>
      </c>
      <c r="M2570" t="s">
        <v>40</v>
      </c>
      <c r="N2570">
        <v>3.03</v>
      </c>
      <c r="O2570">
        <v>1615</v>
      </c>
      <c r="P2570">
        <v>4.79</v>
      </c>
      <c r="Q2570">
        <v>395</v>
      </c>
      <c r="R2570">
        <v>538</v>
      </c>
    </row>
    <row r="2571" spans="1:18" x14ac:dyDescent="0.2">
      <c r="A2571">
        <v>5</v>
      </c>
      <c r="B2571" t="s">
        <v>91</v>
      </c>
      <c r="E2571" t="s">
        <v>36</v>
      </c>
      <c r="F2571">
        <v>880114</v>
      </c>
      <c r="G2571">
        <v>1</v>
      </c>
      <c r="H2571">
        <v>1</v>
      </c>
      <c r="I2571">
        <v>464</v>
      </c>
      <c r="J2571">
        <v>1999</v>
      </c>
      <c r="K2571" s="4">
        <v>44531</v>
      </c>
      <c r="L2571" t="s">
        <v>26</v>
      </c>
      <c r="M2571" t="s">
        <v>60</v>
      </c>
      <c r="N2571">
        <v>2.5499999999999998</v>
      </c>
      <c r="O2571">
        <v>1902</v>
      </c>
      <c r="P2571">
        <v>4.29</v>
      </c>
      <c r="Q2571">
        <v>66</v>
      </c>
      <c r="R2571">
        <v>688</v>
      </c>
    </row>
    <row r="2572" spans="1:18" x14ac:dyDescent="0.2">
      <c r="A2572">
        <v>8</v>
      </c>
      <c r="B2572" t="s">
        <v>96</v>
      </c>
      <c r="E2572" t="s">
        <v>19</v>
      </c>
      <c r="F2572">
        <v>1423367</v>
      </c>
      <c r="G2572">
        <v>2</v>
      </c>
      <c r="H2572">
        <v>1</v>
      </c>
      <c r="I2572">
        <v>896</v>
      </c>
      <c r="J2572">
        <v>1970</v>
      </c>
      <c r="K2572" s="4">
        <v>44891</v>
      </c>
      <c r="L2572" t="s">
        <v>20</v>
      </c>
      <c r="M2572" t="s">
        <v>47</v>
      </c>
      <c r="N2572">
        <v>2.11</v>
      </c>
      <c r="O2572">
        <v>2092</v>
      </c>
      <c r="P2572">
        <v>2.1</v>
      </c>
      <c r="Q2572">
        <v>61</v>
      </c>
      <c r="R2572">
        <v>377</v>
      </c>
    </row>
    <row r="2573" spans="1:18" x14ac:dyDescent="0.2">
      <c r="A2573">
        <v>1</v>
      </c>
      <c r="B2573" t="s">
        <v>46</v>
      </c>
      <c r="E2573" t="s">
        <v>51</v>
      </c>
      <c r="F2573">
        <v>2036170</v>
      </c>
      <c r="G2573">
        <v>2</v>
      </c>
      <c r="H2573">
        <v>2</v>
      </c>
      <c r="I2573">
        <v>254</v>
      </c>
      <c r="J2573">
        <v>1994</v>
      </c>
      <c r="K2573" s="4">
        <v>45279</v>
      </c>
      <c r="L2573" t="s">
        <v>20</v>
      </c>
      <c r="M2573" t="s">
        <v>60</v>
      </c>
      <c r="N2573">
        <v>1.52</v>
      </c>
      <c r="O2573">
        <v>1716</v>
      </c>
      <c r="P2573">
        <v>2.72</v>
      </c>
      <c r="Q2573">
        <v>117</v>
      </c>
      <c r="R2573">
        <v>536</v>
      </c>
    </row>
    <row r="2574" spans="1:18" x14ac:dyDescent="0.2">
      <c r="A2574">
        <v>8</v>
      </c>
      <c r="B2574" t="s">
        <v>79</v>
      </c>
      <c r="E2574" t="s">
        <v>29</v>
      </c>
      <c r="F2574">
        <v>1291854</v>
      </c>
      <c r="G2574">
        <v>0</v>
      </c>
      <c r="H2574">
        <v>2</v>
      </c>
      <c r="I2574">
        <v>304</v>
      </c>
      <c r="J2574">
        <v>2022</v>
      </c>
      <c r="K2574" s="4">
        <v>45297</v>
      </c>
      <c r="L2574" t="s">
        <v>26</v>
      </c>
      <c r="M2574" t="s">
        <v>74</v>
      </c>
      <c r="N2574">
        <v>2.81</v>
      </c>
      <c r="O2574">
        <v>1005</v>
      </c>
      <c r="P2574">
        <v>0.81</v>
      </c>
      <c r="Q2574">
        <v>49</v>
      </c>
      <c r="R2574">
        <v>529</v>
      </c>
    </row>
    <row r="2575" spans="1:18" x14ac:dyDescent="0.2">
      <c r="A2575">
        <v>4</v>
      </c>
      <c r="B2575" t="s">
        <v>102</v>
      </c>
      <c r="E2575" t="s">
        <v>19</v>
      </c>
      <c r="F2575">
        <v>1530693</v>
      </c>
      <c r="G2575">
        <v>2</v>
      </c>
      <c r="H2575">
        <v>3</v>
      </c>
      <c r="I2575">
        <v>716</v>
      </c>
      <c r="J2575">
        <v>1972</v>
      </c>
      <c r="K2575" s="4">
        <v>45092</v>
      </c>
      <c r="L2575" t="s">
        <v>20</v>
      </c>
      <c r="M2575" t="s">
        <v>66</v>
      </c>
      <c r="N2575">
        <v>2.99</v>
      </c>
      <c r="O2575">
        <v>1465</v>
      </c>
      <c r="P2575">
        <v>3.95</v>
      </c>
      <c r="Q2575">
        <v>216</v>
      </c>
      <c r="R2575">
        <v>389</v>
      </c>
    </row>
    <row r="2576" spans="1:18" x14ac:dyDescent="0.2">
      <c r="A2576">
        <v>6</v>
      </c>
      <c r="B2576" t="s">
        <v>41</v>
      </c>
      <c r="E2576" t="s">
        <v>29</v>
      </c>
      <c r="F2576">
        <v>2681613</v>
      </c>
      <c r="G2576">
        <v>0</v>
      </c>
      <c r="H2576">
        <v>3</v>
      </c>
      <c r="I2576">
        <v>759</v>
      </c>
      <c r="J2576">
        <v>1999</v>
      </c>
      <c r="K2576" s="4">
        <v>44206</v>
      </c>
      <c r="L2576" t="s">
        <v>30</v>
      </c>
      <c r="M2576" t="s">
        <v>40</v>
      </c>
      <c r="N2576">
        <v>2.57</v>
      </c>
      <c r="O2576">
        <v>1086</v>
      </c>
      <c r="P2576">
        <v>1.56</v>
      </c>
      <c r="Q2576">
        <v>65</v>
      </c>
      <c r="R2576">
        <v>445</v>
      </c>
    </row>
    <row r="2577" spans="1:18" x14ac:dyDescent="0.2">
      <c r="A2577">
        <v>5</v>
      </c>
      <c r="B2577" t="s">
        <v>22</v>
      </c>
      <c r="E2577" t="s">
        <v>51</v>
      </c>
      <c r="F2577">
        <v>1310238</v>
      </c>
      <c r="G2577">
        <v>3</v>
      </c>
      <c r="H2577">
        <v>3</v>
      </c>
      <c r="I2577">
        <v>850</v>
      </c>
      <c r="J2577">
        <v>1991</v>
      </c>
      <c r="K2577" s="4">
        <v>45125</v>
      </c>
      <c r="L2577" t="s">
        <v>23</v>
      </c>
      <c r="M2577" t="s">
        <v>56</v>
      </c>
      <c r="N2577">
        <v>1.85</v>
      </c>
      <c r="O2577">
        <v>1678</v>
      </c>
      <c r="P2577">
        <v>3.28</v>
      </c>
      <c r="Q2577">
        <v>112</v>
      </c>
      <c r="R2577">
        <v>528</v>
      </c>
    </row>
    <row r="2578" spans="1:18" x14ac:dyDescent="0.2">
      <c r="A2578">
        <v>5</v>
      </c>
      <c r="B2578" t="s">
        <v>84</v>
      </c>
      <c r="E2578" t="s">
        <v>19</v>
      </c>
      <c r="F2578">
        <v>1818389</v>
      </c>
      <c r="G2578">
        <v>6</v>
      </c>
      <c r="H2578">
        <v>3</v>
      </c>
      <c r="I2578">
        <v>873</v>
      </c>
      <c r="J2578">
        <v>1978</v>
      </c>
      <c r="K2578" s="4">
        <v>44589</v>
      </c>
      <c r="L2578" t="s">
        <v>30</v>
      </c>
      <c r="M2578" t="s">
        <v>82</v>
      </c>
      <c r="N2578">
        <v>2.88</v>
      </c>
      <c r="O2578">
        <v>1622</v>
      </c>
      <c r="P2578">
        <v>3.27</v>
      </c>
      <c r="Q2578">
        <v>363</v>
      </c>
      <c r="R2578">
        <v>352</v>
      </c>
    </row>
    <row r="2579" spans="1:18" x14ac:dyDescent="0.2">
      <c r="A2579">
        <v>4</v>
      </c>
      <c r="B2579" t="s">
        <v>43</v>
      </c>
      <c r="E2579" t="s">
        <v>29</v>
      </c>
      <c r="F2579">
        <v>2018470</v>
      </c>
      <c r="G2579">
        <v>4</v>
      </c>
      <c r="H2579">
        <v>3</v>
      </c>
      <c r="I2579">
        <v>451</v>
      </c>
      <c r="J2579">
        <v>1964</v>
      </c>
      <c r="K2579" s="4">
        <v>45316</v>
      </c>
      <c r="L2579" t="s">
        <v>23</v>
      </c>
      <c r="M2579" t="s">
        <v>59</v>
      </c>
      <c r="N2579">
        <v>1.9</v>
      </c>
      <c r="O2579">
        <v>1356</v>
      </c>
      <c r="P2579">
        <v>4</v>
      </c>
      <c r="Q2579">
        <v>183</v>
      </c>
      <c r="R2579">
        <v>369</v>
      </c>
    </row>
    <row r="2580" spans="1:18" x14ac:dyDescent="0.2">
      <c r="A2580">
        <v>3</v>
      </c>
      <c r="B2580" t="s">
        <v>105</v>
      </c>
      <c r="E2580" t="s">
        <v>36</v>
      </c>
      <c r="F2580">
        <v>1516935</v>
      </c>
      <c r="G2580">
        <v>5</v>
      </c>
      <c r="H2580">
        <v>1</v>
      </c>
      <c r="I2580">
        <v>457</v>
      </c>
      <c r="J2580">
        <v>1958</v>
      </c>
      <c r="K2580" s="4">
        <v>44786</v>
      </c>
      <c r="L2580" t="s">
        <v>30</v>
      </c>
      <c r="M2580" t="s">
        <v>56</v>
      </c>
      <c r="N2580">
        <v>3.19</v>
      </c>
      <c r="O2580">
        <v>1621</v>
      </c>
      <c r="P2580">
        <v>4.34</v>
      </c>
      <c r="Q2580">
        <v>299</v>
      </c>
      <c r="R2580">
        <v>668</v>
      </c>
    </row>
    <row r="2581" spans="1:18" x14ac:dyDescent="0.2">
      <c r="A2581">
        <v>4</v>
      </c>
      <c r="B2581" t="s">
        <v>34</v>
      </c>
      <c r="E2581" t="s">
        <v>36</v>
      </c>
      <c r="F2581">
        <v>1349433</v>
      </c>
      <c r="G2581">
        <v>5</v>
      </c>
      <c r="H2581">
        <v>2</v>
      </c>
      <c r="I2581">
        <v>716</v>
      </c>
      <c r="J2581">
        <v>2011</v>
      </c>
      <c r="K2581" s="4">
        <v>45406</v>
      </c>
      <c r="L2581" t="s">
        <v>23</v>
      </c>
      <c r="M2581" t="s">
        <v>21</v>
      </c>
      <c r="N2581">
        <v>2.6</v>
      </c>
      <c r="O2581">
        <v>2328</v>
      </c>
      <c r="P2581">
        <v>2.97</v>
      </c>
      <c r="Q2581">
        <v>383</v>
      </c>
      <c r="R2581">
        <v>691</v>
      </c>
    </row>
    <row r="2582" spans="1:18" x14ac:dyDescent="0.2">
      <c r="A2582">
        <v>0</v>
      </c>
      <c r="B2582" t="s">
        <v>25</v>
      </c>
      <c r="E2582" t="s">
        <v>19</v>
      </c>
      <c r="F2582">
        <v>730932</v>
      </c>
      <c r="G2582">
        <v>3</v>
      </c>
      <c r="H2582">
        <v>3</v>
      </c>
      <c r="I2582">
        <v>986</v>
      </c>
      <c r="J2582">
        <v>2022</v>
      </c>
      <c r="K2582" s="4">
        <v>44865</v>
      </c>
      <c r="L2582" t="s">
        <v>26</v>
      </c>
      <c r="M2582" t="s">
        <v>27</v>
      </c>
      <c r="N2582">
        <v>3.13</v>
      </c>
      <c r="O2582">
        <v>909</v>
      </c>
      <c r="P2582">
        <v>4.82</v>
      </c>
      <c r="Q2582">
        <v>104</v>
      </c>
      <c r="R2582">
        <v>681</v>
      </c>
    </row>
    <row r="2583" spans="1:18" x14ac:dyDescent="0.2">
      <c r="A2583">
        <v>5</v>
      </c>
      <c r="B2583" t="s">
        <v>39</v>
      </c>
      <c r="E2583" t="s">
        <v>51</v>
      </c>
      <c r="F2583">
        <v>1843381</v>
      </c>
      <c r="G2583">
        <v>3</v>
      </c>
      <c r="H2583">
        <v>3</v>
      </c>
      <c r="I2583">
        <v>770</v>
      </c>
      <c r="J2583">
        <v>2009</v>
      </c>
      <c r="K2583" s="4">
        <v>45221</v>
      </c>
      <c r="L2583" t="s">
        <v>23</v>
      </c>
      <c r="M2583" t="s">
        <v>54</v>
      </c>
      <c r="N2583">
        <v>2.33</v>
      </c>
      <c r="O2583">
        <v>2208</v>
      </c>
      <c r="P2583">
        <v>1.23</v>
      </c>
      <c r="Q2583">
        <v>300</v>
      </c>
      <c r="R2583">
        <v>452</v>
      </c>
    </row>
    <row r="2584" spans="1:18" x14ac:dyDescent="0.2">
      <c r="A2584">
        <v>1</v>
      </c>
      <c r="B2584" t="s">
        <v>18</v>
      </c>
      <c r="E2584" t="s">
        <v>29</v>
      </c>
      <c r="F2584">
        <v>1455678</v>
      </c>
      <c r="G2584">
        <v>0</v>
      </c>
      <c r="H2584">
        <v>2</v>
      </c>
      <c r="I2584">
        <v>806</v>
      </c>
      <c r="J2584">
        <v>1980</v>
      </c>
      <c r="K2584" s="4">
        <v>45138</v>
      </c>
      <c r="L2584" t="s">
        <v>23</v>
      </c>
      <c r="M2584" t="s">
        <v>35</v>
      </c>
      <c r="N2584">
        <v>2.86</v>
      </c>
      <c r="O2584">
        <v>2068</v>
      </c>
      <c r="P2584">
        <v>2.59</v>
      </c>
      <c r="Q2584">
        <v>51</v>
      </c>
      <c r="R2584">
        <v>346</v>
      </c>
    </row>
    <row r="2585" spans="1:18" x14ac:dyDescent="0.2">
      <c r="A2585">
        <v>3</v>
      </c>
      <c r="B2585" t="s">
        <v>39</v>
      </c>
      <c r="E2585" t="s">
        <v>29</v>
      </c>
      <c r="F2585">
        <v>831956</v>
      </c>
      <c r="G2585">
        <v>5</v>
      </c>
      <c r="H2585">
        <v>1</v>
      </c>
      <c r="I2585">
        <v>768</v>
      </c>
      <c r="J2585">
        <v>1997</v>
      </c>
      <c r="K2585" s="4">
        <v>45063</v>
      </c>
      <c r="L2585" t="s">
        <v>20</v>
      </c>
      <c r="M2585" t="s">
        <v>56</v>
      </c>
      <c r="N2585">
        <v>2.98</v>
      </c>
      <c r="O2585">
        <v>1672</v>
      </c>
      <c r="P2585">
        <v>4.4400000000000004</v>
      </c>
      <c r="Q2585">
        <v>307</v>
      </c>
      <c r="R2585">
        <v>597</v>
      </c>
    </row>
    <row r="2586" spans="1:18" x14ac:dyDescent="0.2">
      <c r="A2586">
        <v>8</v>
      </c>
      <c r="B2586" t="s">
        <v>102</v>
      </c>
      <c r="E2586" t="s">
        <v>29</v>
      </c>
      <c r="F2586">
        <v>2695910</v>
      </c>
      <c r="G2586">
        <v>3</v>
      </c>
      <c r="H2586">
        <v>2</v>
      </c>
      <c r="I2586">
        <v>882</v>
      </c>
      <c r="J2586">
        <v>2017</v>
      </c>
      <c r="K2586" s="4">
        <v>44318</v>
      </c>
      <c r="L2586" t="s">
        <v>26</v>
      </c>
      <c r="M2586" t="s">
        <v>89</v>
      </c>
      <c r="N2586">
        <v>2.14</v>
      </c>
      <c r="O2586">
        <v>1122</v>
      </c>
      <c r="P2586">
        <v>4.74</v>
      </c>
      <c r="Q2586">
        <v>107</v>
      </c>
      <c r="R2586">
        <v>582</v>
      </c>
    </row>
    <row r="2587" spans="1:18" x14ac:dyDescent="0.2">
      <c r="A2587">
        <v>5</v>
      </c>
      <c r="B2587" t="s">
        <v>32</v>
      </c>
      <c r="E2587" t="s">
        <v>36</v>
      </c>
      <c r="F2587">
        <v>756208</v>
      </c>
      <c r="G2587">
        <v>5</v>
      </c>
      <c r="H2587">
        <v>2</v>
      </c>
      <c r="I2587">
        <v>882</v>
      </c>
      <c r="J2587">
        <v>2020</v>
      </c>
      <c r="K2587" s="4">
        <v>45343</v>
      </c>
      <c r="L2587" t="s">
        <v>20</v>
      </c>
      <c r="M2587" t="s">
        <v>63</v>
      </c>
      <c r="N2587">
        <v>2.57</v>
      </c>
      <c r="O2587">
        <v>2134</v>
      </c>
      <c r="P2587">
        <v>0.52</v>
      </c>
      <c r="Q2587">
        <v>398</v>
      </c>
      <c r="R2587">
        <v>488</v>
      </c>
    </row>
    <row r="2588" spans="1:18" x14ac:dyDescent="0.2">
      <c r="A2588">
        <v>5</v>
      </c>
      <c r="B2588" t="s">
        <v>65</v>
      </c>
      <c r="E2588" t="s">
        <v>29</v>
      </c>
      <c r="F2588">
        <v>2601244</v>
      </c>
      <c r="G2588">
        <v>6</v>
      </c>
      <c r="H2588">
        <v>3</v>
      </c>
      <c r="I2588">
        <v>390</v>
      </c>
      <c r="J2588">
        <v>2020</v>
      </c>
      <c r="K2588" s="4">
        <v>44236</v>
      </c>
      <c r="L2588" t="s">
        <v>23</v>
      </c>
      <c r="M2588" t="s">
        <v>37</v>
      </c>
      <c r="N2588">
        <v>3.19</v>
      </c>
      <c r="O2588">
        <v>1026</v>
      </c>
      <c r="P2588">
        <v>4.29</v>
      </c>
      <c r="Q2588">
        <v>362</v>
      </c>
      <c r="R2588">
        <v>354</v>
      </c>
    </row>
    <row r="2589" spans="1:18" x14ac:dyDescent="0.2">
      <c r="A2589">
        <v>0</v>
      </c>
      <c r="B2589" t="s">
        <v>44</v>
      </c>
      <c r="E2589" t="s">
        <v>51</v>
      </c>
      <c r="F2589">
        <v>2515638</v>
      </c>
      <c r="G2589">
        <v>5</v>
      </c>
      <c r="H2589">
        <v>2</v>
      </c>
      <c r="I2589">
        <v>261</v>
      </c>
      <c r="J2589">
        <v>1991</v>
      </c>
      <c r="K2589" s="4">
        <v>45723</v>
      </c>
      <c r="L2589" t="s">
        <v>20</v>
      </c>
      <c r="M2589" t="s">
        <v>47</v>
      </c>
      <c r="N2589">
        <v>2.29</v>
      </c>
      <c r="O2589">
        <v>1664</v>
      </c>
      <c r="P2589">
        <v>1.04</v>
      </c>
      <c r="Q2589">
        <v>242</v>
      </c>
      <c r="R2589">
        <v>645</v>
      </c>
    </row>
    <row r="2590" spans="1:18" x14ac:dyDescent="0.2">
      <c r="A2590">
        <v>8</v>
      </c>
      <c r="B2590" t="s">
        <v>61</v>
      </c>
      <c r="E2590" t="s">
        <v>51</v>
      </c>
      <c r="F2590">
        <v>738005</v>
      </c>
      <c r="G2590">
        <v>1</v>
      </c>
      <c r="H2590">
        <v>2</v>
      </c>
      <c r="I2590">
        <v>482</v>
      </c>
      <c r="J2590">
        <v>1994</v>
      </c>
      <c r="K2590" s="4">
        <v>44859</v>
      </c>
      <c r="L2590" t="s">
        <v>30</v>
      </c>
      <c r="M2590" t="s">
        <v>42</v>
      </c>
      <c r="N2590">
        <v>1.55</v>
      </c>
      <c r="O2590">
        <v>2235</v>
      </c>
      <c r="P2590">
        <v>4.63</v>
      </c>
      <c r="Q2590">
        <v>119</v>
      </c>
      <c r="R2590">
        <v>618</v>
      </c>
    </row>
    <row r="2591" spans="1:18" x14ac:dyDescent="0.2">
      <c r="A2591">
        <v>8</v>
      </c>
      <c r="B2591" t="s">
        <v>64</v>
      </c>
      <c r="E2591" t="s">
        <v>36</v>
      </c>
      <c r="F2591">
        <v>2740393</v>
      </c>
      <c r="G2591">
        <v>4</v>
      </c>
      <c r="H2591">
        <v>2</v>
      </c>
      <c r="I2591">
        <v>783</v>
      </c>
      <c r="J2591">
        <v>2013</v>
      </c>
      <c r="K2591" s="4">
        <v>44686</v>
      </c>
      <c r="L2591" t="s">
        <v>23</v>
      </c>
      <c r="M2591" t="s">
        <v>60</v>
      </c>
      <c r="N2591">
        <v>2.72</v>
      </c>
      <c r="O2591">
        <v>1460</v>
      </c>
      <c r="P2591">
        <v>2.0699999999999998</v>
      </c>
      <c r="Q2591">
        <v>291</v>
      </c>
      <c r="R2591">
        <v>524</v>
      </c>
    </row>
    <row r="2592" spans="1:18" x14ac:dyDescent="0.2">
      <c r="A2592">
        <v>6</v>
      </c>
      <c r="B2592" t="s">
        <v>41</v>
      </c>
      <c r="E2592" t="s">
        <v>19</v>
      </c>
      <c r="F2592">
        <v>1201847</v>
      </c>
      <c r="G2592">
        <v>5</v>
      </c>
      <c r="H2592">
        <v>3</v>
      </c>
      <c r="I2592">
        <v>834</v>
      </c>
      <c r="J2592">
        <v>2021</v>
      </c>
      <c r="K2592" s="4">
        <v>45636</v>
      </c>
      <c r="L2592" t="s">
        <v>20</v>
      </c>
      <c r="M2592" t="s">
        <v>52</v>
      </c>
      <c r="N2592">
        <v>3.44</v>
      </c>
      <c r="O2592">
        <v>1283</v>
      </c>
      <c r="P2592">
        <v>2.29</v>
      </c>
      <c r="Q2592">
        <v>314</v>
      </c>
      <c r="R2592">
        <v>379</v>
      </c>
    </row>
    <row r="2593" spans="1:18" x14ac:dyDescent="0.2">
      <c r="A2593">
        <v>3</v>
      </c>
      <c r="B2593" t="s">
        <v>55</v>
      </c>
      <c r="E2593" t="s">
        <v>29</v>
      </c>
      <c r="F2593">
        <v>1177433</v>
      </c>
      <c r="G2593">
        <v>3</v>
      </c>
      <c r="H2593">
        <v>1</v>
      </c>
      <c r="I2593">
        <v>398</v>
      </c>
      <c r="J2593">
        <v>1958</v>
      </c>
      <c r="K2593" s="4">
        <v>44813</v>
      </c>
      <c r="L2593" t="s">
        <v>20</v>
      </c>
      <c r="M2593" t="s">
        <v>27</v>
      </c>
      <c r="N2593">
        <v>1.91</v>
      </c>
      <c r="O2593">
        <v>1128</v>
      </c>
      <c r="P2593">
        <v>1.97</v>
      </c>
      <c r="Q2593">
        <v>134</v>
      </c>
      <c r="R2593">
        <v>508</v>
      </c>
    </row>
    <row r="2594" spans="1:18" x14ac:dyDescent="0.2">
      <c r="A2594">
        <v>8</v>
      </c>
      <c r="B2594" t="s">
        <v>48</v>
      </c>
      <c r="E2594" t="s">
        <v>29</v>
      </c>
      <c r="F2594">
        <v>1196532</v>
      </c>
      <c r="G2594">
        <v>6</v>
      </c>
      <c r="H2594">
        <v>3</v>
      </c>
      <c r="I2594">
        <v>263</v>
      </c>
      <c r="J2594">
        <v>1991</v>
      </c>
      <c r="K2594" s="4">
        <v>44888</v>
      </c>
      <c r="L2594" t="s">
        <v>23</v>
      </c>
      <c r="M2594" t="s">
        <v>59</v>
      </c>
      <c r="N2594">
        <v>3.18</v>
      </c>
      <c r="O2594">
        <v>1760</v>
      </c>
      <c r="P2594">
        <v>1.24</v>
      </c>
      <c r="Q2594">
        <v>399</v>
      </c>
      <c r="R2594">
        <v>332</v>
      </c>
    </row>
    <row r="2595" spans="1:18" x14ac:dyDescent="0.2">
      <c r="A2595">
        <v>0</v>
      </c>
      <c r="B2595" t="s">
        <v>96</v>
      </c>
      <c r="E2595" t="s">
        <v>19</v>
      </c>
      <c r="F2595">
        <v>1209663</v>
      </c>
      <c r="G2595">
        <v>3</v>
      </c>
      <c r="H2595">
        <v>1</v>
      </c>
      <c r="I2595">
        <v>600</v>
      </c>
      <c r="J2595">
        <v>1986</v>
      </c>
      <c r="K2595" s="4">
        <v>45371</v>
      </c>
      <c r="L2595" t="s">
        <v>30</v>
      </c>
      <c r="M2595" t="s">
        <v>77</v>
      </c>
      <c r="N2595">
        <v>3.43</v>
      </c>
      <c r="O2595">
        <v>1005</v>
      </c>
      <c r="P2595">
        <v>4.59</v>
      </c>
      <c r="Q2595">
        <v>240</v>
      </c>
      <c r="R2595">
        <v>556</v>
      </c>
    </row>
    <row r="2596" spans="1:18" x14ac:dyDescent="0.2">
      <c r="A2596">
        <v>3</v>
      </c>
      <c r="B2596" t="s">
        <v>53</v>
      </c>
      <c r="E2596" t="s">
        <v>51</v>
      </c>
      <c r="F2596">
        <v>2493706</v>
      </c>
      <c r="G2596">
        <v>4</v>
      </c>
      <c r="H2596">
        <v>3</v>
      </c>
      <c r="I2596">
        <v>431</v>
      </c>
      <c r="J2596">
        <v>2022</v>
      </c>
      <c r="K2596" s="4">
        <v>44096</v>
      </c>
      <c r="L2596" t="s">
        <v>30</v>
      </c>
      <c r="M2596" t="s">
        <v>97</v>
      </c>
      <c r="N2596">
        <v>2.75</v>
      </c>
      <c r="O2596">
        <v>1820</v>
      </c>
      <c r="P2596">
        <v>5</v>
      </c>
      <c r="Q2596">
        <v>385</v>
      </c>
      <c r="R2596">
        <v>397</v>
      </c>
    </row>
    <row r="2597" spans="1:18" x14ac:dyDescent="0.2">
      <c r="A2597">
        <v>5</v>
      </c>
      <c r="B2597" t="s">
        <v>55</v>
      </c>
      <c r="E2597" t="s">
        <v>29</v>
      </c>
      <c r="F2597">
        <v>1293587</v>
      </c>
      <c r="G2597">
        <v>2</v>
      </c>
      <c r="H2597">
        <v>1</v>
      </c>
      <c r="I2597">
        <v>810</v>
      </c>
      <c r="J2597">
        <v>1957</v>
      </c>
      <c r="K2597" s="4">
        <v>45160</v>
      </c>
      <c r="L2597" t="s">
        <v>26</v>
      </c>
      <c r="M2597" t="s">
        <v>31</v>
      </c>
      <c r="N2597">
        <v>2.12</v>
      </c>
      <c r="O2597">
        <v>2332</v>
      </c>
      <c r="P2597">
        <v>1.8</v>
      </c>
      <c r="Q2597">
        <v>239</v>
      </c>
      <c r="R2597">
        <v>531</v>
      </c>
    </row>
    <row r="2598" spans="1:18" x14ac:dyDescent="0.2">
      <c r="A2598">
        <v>7</v>
      </c>
      <c r="B2598" t="s">
        <v>57</v>
      </c>
      <c r="E2598" t="s">
        <v>51</v>
      </c>
      <c r="F2598">
        <v>2357887</v>
      </c>
      <c r="G2598">
        <v>4</v>
      </c>
      <c r="H2598">
        <v>1</v>
      </c>
      <c r="I2598">
        <v>69</v>
      </c>
      <c r="J2598">
        <v>1990</v>
      </c>
      <c r="K2598" s="4">
        <v>44931</v>
      </c>
      <c r="L2598" t="s">
        <v>20</v>
      </c>
      <c r="M2598" t="s">
        <v>47</v>
      </c>
      <c r="N2598">
        <v>2.9</v>
      </c>
      <c r="O2598">
        <v>2064</v>
      </c>
      <c r="P2598">
        <v>2.06</v>
      </c>
      <c r="Q2598">
        <v>165</v>
      </c>
      <c r="R2598">
        <v>327</v>
      </c>
    </row>
    <row r="2599" spans="1:18" x14ac:dyDescent="0.2">
      <c r="A2599">
        <v>0</v>
      </c>
      <c r="B2599" t="s">
        <v>96</v>
      </c>
      <c r="E2599" t="s">
        <v>29</v>
      </c>
      <c r="F2599">
        <v>525713</v>
      </c>
      <c r="G2599">
        <v>1</v>
      </c>
      <c r="H2599">
        <v>2</v>
      </c>
      <c r="I2599">
        <v>714</v>
      </c>
      <c r="J2599">
        <v>2003</v>
      </c>
      <c r="K2599" s="4">
        <v>44926</v>
      </c>
      <c r="L2599" t="s">
        <v>23</v>
      </c>
      <c r="M2599" t="s">
        <v>97</v>
      </c>
      <c r="N2599">
        <v>2.2999999999999998</v>
      </c>
      <c r="O2599">
        <v>1133</v>
      </c>
      <c r="P2599">
        <v>4.22</v>
      </c>
      <c r="Q2599">
        <v>110</v>
      </c>
      <c r="R2599">
        <v>472</v>
      </c>
    </row>
    <row r="2600" spans="1:18" x14ac:dyDescent="0.2">
      <c r="A2600">
        <v>4</v>
      </c>
      <c r="B2600" t="s">
        <v>73</v>
      </c>
      <c r="E2600" t="s">
        <v>51</v>
      </c>
      <c r="F2600">
        <v>1967698</v>
      </c>
      <c r="G2600">
        <v>3</v>
      </c>
      <c r="H2600">
        <v>2</v>
      </c>
      <c r="I2600">
        <v>407</v>
      </c>
      <c r="J2600">
        <v>2017</v>
      </c>
      <c r="K2600" s="4">
        <v>44284</v>
      </c>
      <c r="L2600" t="s">
        <v>30</v>
      </c>
      <c r="M2600" t="s">
        <v>47</v>
      </c>
      <c r="N2600">
        <v>2.91</v>
      </c>
      <c r="O2600">
        <v>1559</v>
      </c>
      <c r="P2600">
        <v>2.4700000000000002</v>
      </c>
      <c r="Q2600">
        <v>106</v>
      </c>
      <c r="R2600">
        <v>340</v>
      </c>
    </row>
    <row r="2601" spans="1:18" x14ac:dyDescent="0.2">
      <c r="A2601">
        <v>9</v>
      </c>
      <c r="B2601" t="s">
        <v>106</v>
      </c>
      <c r="E2601" t="s">
        <v>29</v>
      </c>
      <c r="F2601">
        <v>1415769</v>
      </c>
      <c r="G2601">
        <v>1</v>
      </c>
      <c r="H2601">
        <v>1</v>
      </c>
      <c r="I2601">
        <v>690</v>
      </c>
      <c r="J2601">
        <v>1999</v>
      </c>
      <c r="K2601" s="4">
        <v>44983</v>
      </c>
      <c r="L2601" t="s">
        <v>30</v>
      </c>
      <c r="M2601" t="s">
        <v>35</v>
      </c>
      <c r="N2601">
        <v>1.91</v>
      </c>
      <c r="O2601">
        <v>2396</v>
      </c>
      <c r="P2601">
        <v>1.6</v>
      </c>
      <c r="Q2601">
        <v>157</v>
      </c>
      <c r="R2601">
        <v>468</v>
      </c>
    </row>
    <row r="2602" spans="1:18" x14ac:dyDescent="0.2">
      <c r="A2602">
        <v>6</v>
      </c>
      <c r="B2602" t="s">
        <v>90</v>
      </c>
      <c r="E2602" t="s">
        <v>51</v>
      </c>
      <c r="F2602">
        <v>2366195</v>
      </c>
      <c r="G2602">
        <v>3</v>
      </c>
      <c r="H2602">
        <v>3</v>
      </c>
      <c r="I2602">
        <v>627</v>
      </c>
      <c r="J2602">
        <v>2018</v>
      </c>
      <c r="K2602" s="4">
        <v>45345</v>
      </c>
      <c r="L2602" t="s">
        <v>20</v>
      </c>
      <c r="M2602" t="s">
        <v>42</v>
      </c>
      <c r="N2602">
        <v>3.29</v>
      </c>
      <c r="O2602">
        <v>956</v>
      </c>
      <c r="P2602">
        <v>1.1000000000000001</v>
      </c>
      <c r="Q2602">
        <v>313</v>
      </c>
      <c r="R2602">
        <v>469</v>
      </c>
    </row>
    <row r="2603" spans="1:18" x14ac:dyDescent="0.2">
      <c r="A2603">
        <v>7</v>
      </c>
      <c r="B2603" t="s">
        <v>98</v>
      </c>
      <c r="E2603" t="s">
        <v>36</v>
      </c>
      <c r="F2603">
        <v>789939</v>
      </c>
      <c r="G2603">
        <v>0</v>
      </c>
      <c r="H2603">
        <v>2</v>
      </c>
      <c r="I2603">
        <v>914</v>
      </c>
      <c r="J2603">
        <v>1977</v>
      </c>
      <c r="K2603" s="4">
        <v>44691</v>
      </c>
      <c r="L2603" t="s">
        <v>23</v>
      </c>
      <c r="M2603" t="s">
        <v>54</v>
      </c>
      <c r="N2603">
        <v>3.09</v>
      </c>
      <c r="O2603">
        <v>2282</v>
      </c>
      <c r="P2603">
        <v>3.53</v>
      </c>
      <c r="Q2603">
        <v>44</v>
      </c>
      <c r="R2603">
        <v>364</v>
      </c>
    </row>
    <row r="2604" spans="1:18" x14ac:dyDescent="0.2">
      <c r="A2604">
        <v>9</v>
      </c>
      <c r="B2604" t="s">
        <v>91</v>
      </c>
      <c r="E2604" t="s">
        <v>36</v>
      </c>
      <c r="F2604">
        <v>1706669</v>
      </c>
      <c r="G2604">
        <v>3</v>
      </c>
      <c r="H2604">
        <v>2</v>
      </c>
      <c r="I2604">
        <v>792</v>
      </c>
      <c r="J2604">
        <v>2002</v>
      </c>
      <c r="K2604" s="4">
        <v>44808</v>
      </c>
      <c r="L2604" t="s">
        <v>23</v>
      </c>
      <c r="M2604" t="s">
        <v>85</v>
      </c>
      <c r="N2604">
        <v>2.89</v>
      </c>
      <c r="O2604">
        <v>2324</v>
      </c>
      <c r="P2604">
        <v>2.94</v>
      </c>
      <c r="Q2604">
        <v>234</v>
      </c>
      <c r="R2604">
        <v>448</v>
      </c>
    </row>
    <row r="2605" spans="1:18" x14ac:dyDescent="0.2">
      <c r="A2605">
        <v>8</v>
      </c>
      <c r="B2605" t="s">
        <v>38</v>
      </c>
      <c r="E2605" t="s">
        <v>51</v>
      </c>
      <c r="F2605">
        <v>1293665</v>
      </c>
      <c r="G2605">
        <v>4</v>
      </c>
      <c r="H2605">
        <v>1</v>
      </c>
      <c r="I2605">
        <v>699</v>
      </c>
      <c r="J2605">
        <v>1993</v>
      </c>
      <c r="K2605" s="4">
        <v>44411</v>
      </c>
      <c r="L2605" t="s">
        <v>20</v>
      </c>
      <c r="M2605" t="s">
        <v>47</v>
      </c>
      <c r="N2605">
        <v>1.91</v>
      </c>
      <c r="O2605">
        <v>939</v>
      </c>
      <c r="P2605">
        <v>2.91</v>
      </c>
      <c r="Q2605">
        <v>183</v>
      </c>
      <c r="R2605">
        <v>522</v>
      </c>
    </row>
    <row r="2606" spans="1:18" x14ac:dyDescent="0.2">
      <c r="A2606">
        <v>6</v>
      </c>
      <c r="B2606" t="s">
        <v>53</v>
      </c>
      <c r="E2606" t="s">
        <v>19</v>
      </c>
      <c r="F2606">
        <v>2365846</v>
      </c>
      <c r="G2606">
        <v>2</v>
      </c>
      <c r="H2606">
        <v>2</v>
      </c>
      <c r="I2606">
        <v>670</v>
      </c>
      <c r="J2606">
        <v>2003</v>
      </c>
      <c r="K2606" s="4">
        <v>45521</v>
      </c>
      <c r="L2606" t="s">
        <v>26</v>
      </c>
      <c r="M2606" t="s">
        <v>35</v>
      </c>
      <c r="N2606">
        <v>3.23</v>
      </c>
      <c r="O2606">
        <v>1174</v>
      </c>
      <c r="P2606">
        <v>2.27</v>
      </c>
      <c r="Q2606">
        <v>191</v>
      </c>
      <c r="R2606">
        <v>501</v>
      </c>
    </row>
    <row r="2607" spans="1:18" x14ac:dyDescent="0.2">
      <c r="A2607">
        <v>0</v>
      </c>
      <c r="B2607" t="s">
        <v>44</v>
      </c>
      <c r="E2607" t="s">
        <v>19</v>
      </c>
      <c r="F2607">
        <v>2080640</v>
      </c>
      <c r="G2607">
        <v>1</v>
      </c>
      <c r="H2607">
        <v>3</v>
      </c>
      <c r="I2607">
        <v>949</v>
      </c>
      <c r="J2607">
        <v>1950</v>
      </c>
      <c r="K2607" s="4">
        <v>45027</v>
      </c>
      <c r="L2607" t="s">
        <v>30</v>
      </c>
      <c r="M2607" t="s">
        <v>40</v>
      </c>
      <c r="N2607">
        <v>2.99</v>
      </c>
      <c r="O2607">
        <v>2081</v>
      </c>
      <c r="P2607">
        <v>1.06</v>
      </c>
      <c r="Q2607">
        <v>105</v>
      </c>
      <c r="R2607">
        <v>676</v>
      </c>
    </row>
    <row r="2608" spans="1:18" x14ac:dyDescent="0.2">
      <c r="A2608">
        <v>3</v>
      </c>
      <c r="B2608" t="s">
        <v>83</v>
      </c>
      <c r="E2608" t="s">
        <v>51</v>
      </c>
      <c r="F2608">
        <v>2190824</v>
      </c>
      <c r="G2608">
        <v>3</v>
      </c>
      <c r="H2608">
        <v>3</v>
      </c>
      <c r="I2608">
        <v>174</v>
      </c>
      <c r="J2608">
        <v>1987</v>
      </c>
      <c r="K2608" s="4">
        <v>44592</v>
      </c>
      <c r="L2608" t="s">
        <v>20</v>
      </c>
      <c r="M2608" t="s">
        <v>45</v>
      </c>
      <c r="N2608">
        <v>2.82</v>
      </c>
      <c r="O2608">
        <v>2076</v>
      </c>
      <c r="P2608">
        <v>3.42</v>
      </c>
      <c r="Q2608">
        <v>239</v>
      </c>
      <c r="R2608">
        <v>403</v>
      </c>
    </row>
    <row r="2609" spans="1:18" x14ac:dyDescent="0.2">
      <c r="A2609">
        <v>4</v>
      </c>
      <c r="B2609" t="s">
        <v>32</v>
      </c>
      <c r="E2609" t="s">
        <v>29</v>
      </c>
      <c r="F2609">
        <v>2574181</v>
      </c>
      <c r="G2609">
        <v>4</v>
      </c>
      <c r="H2609">
        <v>3</v>
      </c>
      <c r="I2609">
        <v>206</v>
      </c>
      <c r="J2609">
        <v>1969</v>
      </c>
      <c r="K2609" s="4">
        <v>45120</v>
      </c>
      <c r="L2609" t="s">
        <v>26</v>
      </c>
      <c r="M2609" t="s">
        <v>31</v>
      </c>
      <c r="N2609">
        <v>2.95</v>
      </c>
      <c r="O2609">
        <v>1238</v>
      </c>
      <c r="P2609">
        <v>3.05</v>
      </c>
      <c r="Q2609">
        <v>386</v>
      </c>
      <c r="R2609">
        <v>505</v>
      </c>
    </row>
    <row r="2610" spans="1:18" x14ac:dyDescent="0.2">
      <c r="A2610">
        <v>3</v>
      </c>
      <c r="B2610" t="s">
        <v>81</v>
      </c>
      <c r="E2610" t="s">
        <v>51</v>
      </c>
      <c r="F2610">
        <v>1879241</v>
      </c>
      <c r="G2610">
        <v>5</v>
      </c>
      <c r="H2610">
        <v>3</v>
      </c>
      <c r="I2610">
        <v>106</v>
      </c>
      <c r="J2610">
        <v>1980</v>
      </c>
      <c r="K2610" s="4">
        <v>45564</v>
      </c>
      <c r="L2610" t="s">
        <v>26</v>
      </c>
      <c r="M2610" t="s">
        <v>69</v>
      </c>
      <c r="N2610">
        <v>2.66</v>
      </c>
      <c r="O2610">
        <v>1775</v>
      </c>
      <c r="P2610">
        <v>4.17</v>
      </c>
      <c r="Q2610">
        <v>274</v>
      </c>
      <c r="R2610">
        <v>314</v>
      </c>
    </row>
    <row r="2611" spans="1:18" x14ac:dyDescent="0.2">
      <c r="A2611">
        <v>3</v>
      </c>
      <c r="B2611" t="s">
        <v>61</v>
      </c>
      <c r="E2611" t="s">
        <v>51</v>
      </c>
      <c r="F2611">
        <v>2723790</v>
      </c>
      <c r="G2611">
        <v>6</v>
      </c>
      <c r="H2611">
        <v>2</v>
      </c>
      <c r="I2611">
        <v>421</v>
      </c>
      <c r="J2611">
        <v>1987</v>
      </c>
      <c r="K2611" s="4">
        <v>44714</v>
      </c>
      <c r="L2611" t="s">
        <v>20</v>
      </c>
      <c r="M2611" t="s">
        <v>59</v>
      </c>
      <c r="N2611">
        <v>3.39</v>
      </c>
      <c r="O2611">
        <v>1314</v>
      </c>
      <c r="P2611">
        <v>0.38</v>
      </c>
      <c r="Q2611">
        <v>344</v>
      </c>
      <c r="R2611">
        <v>519</v>
      </c>
    </row>
    <row r="2612" spans="1:18" x14ac:dyDescent="0.2">
      <c r="A2612">
        <v>5</v>
      </c>
      <c r="B2612" t="s">
        <v>83</v>
      </c>
      <c r="E2612" t="s">
        <v>19</v>
      </c>
      <c r="F2612">
        <v>2925863</v>
      </c>
      <c r="G2612">
        <v>4</v>
      </c>
      <c r="H2612">
        <v>3</v>
      </c>
      <c r="I2612">
        <v>951</v>
      </c>
      <c r="J2612">
        <v>1975</v>
      </c>
      <c r="K2612" s="4">
        <v>44728</v>
      </c>
      <c r="L2612" t="s">
        <v>26</v>
      </c>
      <c r="M2612" t="s">
        <v>69</v>
      </c>
      <c r="N2612">
        <v>3.01</v>
      </c>
      <c r="O2612">
        <v>1358</v>
      </c>
      <c r="P2612">
        <v>1.88</v>
      </c>
      <c r="Q2612">
        <v>216</v>
      </c>
      <c r="R2612">
        <v>529</v>
      </c>
    </row>
    <row r="2613" spans="1:18" x14ac:dyDescent="0.2">
      <c r="A2613">
        <v>1</v>
      </c>
      <c r="B2613" t="s">
        <v>50</v>
      </c>
      <c r="E2613" t="s">
        <v>29</v>
      </c>
      <c r="F2613">
        <v>1840826</v>
      </c>
      <c r="G2613">
        <v>3</v>
      </c>
      <c r="H2613">
        <v>3</v>
      </c>
      <c r="I2613">
        <v>59</v>
      </c>
      <c r="J2613">
        <v>1989</v>
      </c>
      <c r="K2613" s="4">
        <v>44682</v>
      </c>
      <c r="L2613" t="s">
        <v>26</v>
      </c>
      <c r="M2613" t="s">
        <v>56</v>
      </c>
      <c r="N2613">
        <v>1.91</v>
      </c>
      <c r="O2613">
        <v>1990</v>
      </c>
      <c r="P2613">
        <v>2.58</v>
      </c>
      <c r="Q2613">
        <v>138</v>
      </c>
      <c r="R2613">
        <v>300</v>
      </c>
    </row>
    <row r="2614" spans="1:18" x14ac:dyDescent="0.2">
      <c r="A2614">
        <v>3</v>
      </c>
      <c r="B2614" t="s">
        <v>106</v>
      </c>
      <c r="E2614" t="s">
        <v>36</v>
      </c>
      <c r="F2614">
        <v>644636</v>
      </c>
      <c r="G2614">
        <v>4</v>
      </c>
      <c r="H2614">
        <v>1</v>
      </c>
      <c r="I2614">
        <v>433</v>
      </c>
      <c r="J2614">
        <v>1955</v>
      </c>
      <c r="K2614" s="4">
        <v>45291</v>
      </c>
      <c r="L2614" t="s">
        <v>26</v>
      </c>
      <c r="M2614" t="s">
        <v>31</v>
      </c>
      <c r="N2614">
        <v>1.81</v>
      </c>
      <c r="O2614">
        <v>2359</v>
      </c>
      <c r="P2614">
        <v>2.35</v>
      </c>
      <c r="Q2614">
        <v>324</v>
      </c>
      <c r="R2614">
        <v>598</v>
      </c>
    </row>
    <row r="2615" spans="1:18" x14ac:dyDescent="0.2">
      <c r="A2615">
        <v>2</v>
      </c>
      <c r="B2615" t="s">
        <v>101</v>
      </c>
      <c r="E2615" t="s">
        <v>19</v>
      </c>
      <c r="F2615">
        <v>2082242</v>
      </c>
      <c r="G2615">
        <v>5</v>
      </c>
      <c r="H2615">
        <v>2</v>
      </c>
      <c r="I2615">
        <v>438</v>
      </c>
      <c r="J2615">
        <v>1957</v>
      </c>
      <c r="K2615" s="4">
        <v>45400</v>
      </c>
      <c r="L2615" t="s">
        <v>20</v>
      </c>
      <c r="M2615" t="s">
        <v>52</v>
      </c>
      <c r="N2615">
        <v>1.88</v>
      </c>
      <c r="O2615">
        <v>1398</v>
      </c>
      <c r="P2615">
        <v>3.46</v>
      </c>
      <c r="Q2615">
        <v>279</v>
      </c>
      <c r="R2615">
        <v>507</v>
      </c>
    </row>
    <row r="2616" spans="1:18" x14ac:dyDescent="0.2">
      <c r="A2616">
        <v>5</v>
      </c>
      <c r="B2616" t="s">
        <v>18</v>
      </c>
      <c r="E2616" t="s">
        <v>51</v>
      </c>
      <c r="F2616">
        <v>1367243</v>
      </c>
      <c r="G2616">
        <v>4</v>
      </c>
      <c r="H2616">
        <v>2</v>
      </c>
      <c r="I2616">
        <v>674</v>
      </c>
      <c r="J2616">
        <v>1961</v>
      </c>
      <c r="K2616" s="4">
        <v>44569</v>
      </c>
      <c r="L2616" t="s">
        <v>30</v>
      </c>
      <c r="M2616" t="s">
        <v>77</v>
      </c>
      <c r="N2616">
        <v>2.71</v>
      </c>
      <c r="O2616">
        <v>878</v>
      </c>
      <c r="P2616">
        <v>2.39</v>
      </c>
      <c r="Q2616">
        <v>278</v>
      </c>
      <c r="R2616">
        <v>410</v>
      </c>
    </row>
    <row r="2617" spans="1:18" x14ac:dyDescent="0.2">
      <c r="A2617">
        <v>6</v>
      </c>
      <c r="B2617" t="s">
        <v>71</v>
      </c>
      <c r="E2617" t="s">
        <v>36</v>
      </c>
      <c r="F2617">
        <v>1885498</v>
      </c>
      <c r="G2617">
        <v>4</v>
      </c>
      <c r="H2617">
        <v>1</v>
      </c>
      <c r="I2617">
        <v>913</v>
      </c>
      <c r="J2617">
        <v>2019</v>
      </c>
      <c r="K2617" s="4">
        <v>44327</v>
      </c>
      <c r="L2617" t="s">
        <v>20</v>
      </c>
      <c r="M2617" t="s">
        <v>66</v>
      </c>
      <c r="N2617">
        <v>1.8</v>
      </c>
      <c r="O2617">
        <v>1390</v>
      </c>
      <c r="P2617">
        <v>3.36</v>
      </c>
      <c r="Q2617">
        <v>374</v>
      </c>
      <c r="R2617">
        <v>444</v>
      </c>
    </row>
    <row r="2618" spans="1:18" x14ac:dyDescent="0.2">
      <c r="A2618">
        <v>7</v>
      </c>
      <c r="B2618" t="s">
        <v>101</v>
      </c>
      <c r="E2618" t="s">
        <v>29</v>
      </c>
      <c r="F2618">
        <v>2618093</v>
      </c>
      <c r="G2618">
        <v>4</v>
      </c>
      <c r="H2618">
        <v>1</v>
      </c>
      <c r="I2618">
        <v>628</v>
      </c>
      <c r="J2618">
        <v>2003</v>
      </c>
      <c r="K2618" s="4">
        <v>45042</v>
      </c>
      <c r="L2618" t="s">
        <v>20</v>
      </c>
      <c r="M2618" t="s">
        <v>45</v>
      </c>
      <c r="N2618">
        <v>3.37</v>
      </c>
      <c r="O2618">
        <v>1430</v>
      </c>
      <c r="P2618">
        <v>0.33</v>
      </c>
      <c r="Q2618">
        <v>250</v>
      </c>
      <c r="R2618">
        <v>497</v>
      </c>
    </row>
    <row r="2619" spans="1:18" x14ac:dyDescent="0.2">
      <c r="A2619">
        <v>8</v>
      </c>
      <c r="B2619" t="s">
        <v>43</v>
      </c>
      <c r="E2619" t="s">
        <v>29</v>
      </c>
      <c r="F2619">
        <v>2992802</v>
      </c>
      <c r="G2619">
        <v>3</v>
      </c>
      <c r="H2619">
        <v>2</v>
      </c>
      <c r="I2619">
        <v>519</v>
      </c>
      <c r="J2619">
        <v>1954</v>
      </c>
      <c r="K2619" s="4">
        <v>45578</v>
      </c>
      <c r="L2619" t="s">
        <v>30</v>
      </c>
      <c r="M2619" t="s">
        <v>27</v>
      </c>
      <c r="N2619">
        <v>1.56</v>
      </c>
      <c r="O2619">
        <v>1445</v>
      </c>
      <c r="P2619">
        <v>4.46</v>
      </c>
      <c r="Q2619">
        <v>98</v>
      </c>
      <c r="R2619">
        <v>300</v>
      </c>
    </row>
    <row r="2620" spans="1:18" x14ac:dyDescent="0.2">
      <c r="A2620">
        <v>6</v>
      </c>
      <c r="B2620" t="s">
        <v>34</v>
      </c>
      <c r="E2620" t="s">
        <v>29</v>
      </c>
      <c r="F2620">
        <v>2164197</v>
      </c>
      <c r="G2620">
        <v>4</v>
      </c>
      <c r="H2620">
        <v>1</v>
      </c>
      <c r="I2620">
        <v>632</v>
      </c>
      <c r="J2620">
        <v>2006</v>
      </c>
      <c r="K2620" s="4">
        <v>44390</v>
      </c>
      <c r="L2620" t="s">
        <v>23</v>
      </c>
      <c r="M2620" t="s">
        <v>58</v>
      </c>
      <c r="N2620">
        <v>2.2000000000000002</v>
      </c>
      <c r="O2620">
        <v>2303</v>
      </c>
      <c r="P2620">
        <v>2.21</v>
      </c>
      <c r="Q2620">
        <v>295</v>
      </c>
      <c r="R2620">
        <v>643</v>
      </c>
    </row>
    <row r="2621" spans="1:18" x14ac:dyDescent="0.2">
      <c r="A2621">
        <v>5</v>
      </c>
      <c r="B2621" t="s">
        <v>28</v>
      </c>
      <c r="E2621" t="s">
        <v>29</v>
      </c>
      <c r="F2621">
        <v>1663152</v>
      </c>
      <c r="G2621">
        <v>6</v>
      </c>
      <c r="H2621">
        <v>3</v>
      </c>
      <c r="I2621">
        <v>652</v>
      </c>
      <c r="J2621">
        <v>1976</v>
      </c>
      <c r="K2621" s="4">
        <v>44841</v>
      </c>
      <c r="L2621" t="s">
        <v>30</v>
      </c>
      <c r="M2621" t="s">
        <v>89</v>
      </c>
      <c r="N2621">
        <v>1.58</v>
      </c>
      <c r="O2621">
        <v>1508</v>
      </c>
      <c r="P2621">
        <v>3.88</v>
      </c>
      <c r="Q2621">
        <v>380</v>
      </c>
      <c r="R2621">
        <v>588</v>
      </c>
    </row>
    <row r="2622" spans="1:18" x14ac:dyDescent="0.2">
      <c r="A2622">
        <v>8</v>
      </c>
      <c r="B2622" t="s">
        <v>39</v>
      </c>
      <c r="E2622" t="s">
        <v>51</v>
      </c>
      <c r="F2622">
        <v>1218717</v>
      </c>
      <c r="G2622">
        <v>3</v>
      </c>
      <c r="H2622">
        <v>2</v>
      </c>
      <c r="I2622">
        <v>975</v>
      </c>
      <c r="J2622">
        <v>2005</v>
      </c>
      <c r="K2622" s="4">
        <v>44455</v>
      </c>
      <c r="L2622" t="s">
        <v>30</v>
      </c>
      <c r="M2622" t="s">
        <v>56</v>
      </c>
      <c r="N2622">
        <v>3.22</v>
      </c>
      <c r="O2622">
        <v>916</v>
      </c>
      <c r="P2622">
        <v>4.83</v>
      </c>
      <c r="Q2622">
        <v>139</v>
      </c>
      <c r="R2622">
        <v>692</v>
      </c>
    </row>
    <row r="2623" spans="1:18" x14ac:dyDescent="0.2">
      <c r="A2623">
        <v>3</v>
      </c>
      <c r="B2623" t="s">
        <v>105</v>
      </c>
      <c r="E2623" t="s">
        <v>29</v>
      </c>
      <c r="F2623">
        <v>1171503</v>
      </c>
      <c r="G2623">
        <v>3</v>
      </c>
      <c r="H2623">
        <v>2</v>
      </c>
      <c r="I2623">
        <v>853</v>
      </c>
      <c r="J2623">
        <v>2000</v>
      </c>
      <c r="K2623" s="4">
        <v>45615</v>
      </c>
      <c r="L2623" t="s">
        <v>20</v>
      </c>
      <c r="M2623" t="s">
        <v>97</v>
      </c>
      <c r="N2623">
        <v>1.8</v>
      </c>
      <c r="O2623">
        <v>1311</v>
      </c>
      <c r="P2623">
        <v>4.79</v>
      </c>
      <c r="Q2623">
        <v>314</v>
      </c>
      <c r="R2623">
        <v>674</v>
      </c>
    </row>
    <row r="2624" spans="1:18" x14ac:dyDescent="0.2">
      <c r="A2624">
        <v>3</v>
      </c>
      <c r="B2624" t="s">
        <v>49</v>
      </c>
      <c r="E2624" t="s">
        <v>29</v>
      </c>
      <c r="F2624">
        <v>2192276</v>
      </c>
      <c r="G2624">
        <v>1</v>
      </c>
      <c r="H2624">
        <v>3</v>
      </c>
      <c r="I2624">
        <v>129</v>
      </c>
      <c r="J2624">
        <v>1953</v>
      </c>
      <c r="K2624" s="4">
        <v>44128</v>
      </c>
      <c r="L2624" t="s">
        <v>20</v>
      </c>
      <c r="M2624" t="s">
        <v>42</v>
      </c>
      <c r="N2624">
        <v>2.97</v>
      </c>
      <c r="O2624">
        <v>2025</v>
      </c>
      <c r="P2624">
        <v>2.67</v>
      </c>
      <c r="Q2624">
        <v>125</v>
      </c>
      <c r="R2624">
        <v>372</v>
      </c>
    </row>
    <row r="2625" spans="1:18" x14ac:dyDescent="0.2">
      <c r="A2625">
        <v>7</v>
      </c>
      <c r="B2625" t="s">
        <v>61</v>
      </c>
      <c r="E2625" t="s">
        <v>51</v>
      </c>
      <c r="F2625">
        <v>1123713</v>
      </c>
      <c r="G2625">
        <v>3</v>
      </c>
      <c r="H2625">
        <v>3</v>
      </c>
      <c r="I2625">
        <v>502</v>
      </c>
      <c r="J2625">
        <v>2019</v>
      </c>
      <c r="K2625" s="4">
        <v>44772</v>
      </c>
      <c r="L2625" t="s">
        <v>20</v>
      </c>
      <c r="M2625" t="s">
        <v>69</v>
      </c>
      <c r="N2625">
        <v>3.08</v>
      </c>
      <c r="O2625">
        <v>2067</v>
      </c>
      <c r="P2625">
        <v>3.11</v>
      </c>
      <c r="Q2625">
        <v>115</v>
      </c>
      <c r="R2625">
        <v>330</v>
      </c>
    </row>
    <row r="2626" spans="1:18" x14ac:dyDescent="0.2">
      <c r="A2626">
        <v>6</v>
      </c>
      <c r="B2626" t="s">
        <v>73</v>
      </c>
      <c r="E2626" t="s">
        <v>51</v>
      </c>
      <c r="F2626">
        <v>1549090</v>
      </c>
      <c r="G2626">
        <v>5</v>
      </c>
      <c r="H2626">
        <v>3</v>
      </c>
      <c r="I2626">
        <v>166</v>
      </c>
      <c r="J2626">
        <v>1951</v>
      </c>
      <c r="K2626" s="4">
        <v>44698</v>
      </c>
      <c r="L2626" t="s">
        <v>20</v>
      </c>
      <c r="M2626" t="s">
        <v>59</v>
      </c>
      <c r="N2626">
        <v>2.19</v>
      </c>
      <c r="O2626">
        <v>2174</v>
      </c>
      <c r="P2626">
        <v>4.75</v>
      </c>
      <c r="Q2626">
        <v>246</v>
      </c>
      <c r="R2626">
        <v>364</v>
      </c>
    </row>
    <row r="2627" spans="1:18" x14ac:dyDescent="0.2">
      <c r="A2627">
        <v>9</v>
      </c>
      <c r="B2627" t="s">
        <v>62</v>
      </c>
      <c r="E2627" t="s">
        <v>36</v>
      </c>
      <c r="F2627">
        <v>864215</v>
      </c>
      <c r="G2627">
        <v>2</v>
      </c>
      <c r="H2627">
        <v>3</v>
      </c>
      <c r="I2627">
        <v>989</v>
      </c>
      <c r="J2627">
        <v>2015</v>
      </c>
      <c r="K2627" s="4">
        <v>44722</v>
      </c>
      <c r="L2627" t="s">
        <v>30</v>
      </c>
      <c r="M2627" t="s">
        <v>78</v>
      </c>
      <c r="N2627">
        <v>2.0699999999999998</v>
      </c>
      <c r="O2627">
        <v>1427</v>
      </c>
      <c r="P2627">
        <v>2.56</v>
      </c>
      <c r="Q2627">
        <v>103</v>
      </c>
      <c r="R2627">
        <v>561</v>
      </c>
    </row>
    <row r="2628" spans="1:18" x14ac:dyDescent="0.2">
      <c r="A2628">
        <v>7</v>
      </c>
      <c r="B2628" t="s">
        <v>38</v>
      </c>
      <c r="E2628" t="s">
        <v>51</v>
      </c>
      <c r="F2628">
        <v>1028485</v>
      </c>
      <c r="G2628">
        <v>4</v>
      </c>
      <c r="H2628">
        <v>2</v>
      </c>
      <c r="I2628">
        <v>487</v>
      </c>
      <c r="J2628">
        <v>1952</v>
      </c>
      <c r="K2628" s="4">
        <v>44562</v>
      </c>
      <c r="L2628" t="s">
        <v>26</v>
      </c>
      <c r="M2628" t="s">
        <v>35</v>
      </c>
      <c r="N2628">
        <v>3.3</v>
      </c>
      <c r="O2628">
        <v>1958</v>
      </c>
      <c r="P2628">
        <v>3.83</v>
      </c>
      <c r="Q2628">
        <v>372</v>
      </c>
      <c r="R2628">
        <v>579</v>
      </c>
    </row>
    <row r="2629" spans="1:18" x14ac:dyDescent="0.2">
      <c r="A2629">
        <v>8</v>
      </c>
      <c r="B2629" t="s">
        <v>18</v>
      </c>
      <c r="E2629" t="s">
        <v>29</v>
      </c>
      <c r="F2629">
        <v>964196</v>
      </c>
      <c r="G2629">
        <v>2</v>
      </c>
      <c r="H2629">
        <v>1</v>
      </c>
      <c r="I2629">
        <v>810</v>
      </c>
      <c r="J2629">
        <v>1988</v>
      </c>
      <c r="K2629" s="4">
        <v>45744</v>
      </c>
      <c r="L2629" t="s">
        <v>20</v>
      </c>
      <c r="M2629" t="s">
        <v>54</v>
      </c>
      <c r="N2629">
        <v>2.4700000000000002</v>
      </c>
      <c r="O2629">
        <v>1571</v>
      </c>
      <c r="P2629">
        <v>0.79</v>
      </c>
      <c r="Q2629">
        <v>210</v>
      </c>
      <c r="R2629">
        <v>694</v>
      </c>
    </row>
    <row r="2630" spans="1:18" x14ac:dyDescent="0.2">
      <c r="A2630">
        <v>7</v>
      </c>
      <c r="B2630" t="s">
        <v>57</v>
      </c>
      <c r="E2630" t="s">
        <v>51</v>
      </c>
      <c r="F2630">
        <v>669403</v>
      </c>
      <c r="G2630">
        <v>3</v>
      </c>
      <c r="H2630">
        <v>1</v>
      </c>
      <c r="I2630">
        <v>667</v>
      </c>
      <c r="J2630">
        <v>1968</v>
      </c>
      <c r="K2630" s="4">
        <v>45393</v>
      </c>
      <c r="L2630" t="s">
        <v>26</v>
      </c>
      <c r="M2630" t="s">
        <v>60</v>
      </c>
      <c r="N2630">
        <v>1.7</v>
      </c>
      <c r="O2630">
        <v>2334</v>
      </c>
      <c r="P2630">
        <v>4.55</v>
      </c>
      <c r="Q2630">
        <v>167</v>
      </c>
      <c r="R2630">
        <v>503</v>
      </c>
    </row>
    <row r="2631" spans="1:18" x14ac:dyDescent="0.2">
      <c r="A2631">
        <v>6</v>
      </c>
      <c r="B2631" t="s">
        <v>50</v>
      </c>
      <c r="E2631" t="s">
        <v>36</v>
      </c>
      <c r="F2631">
        <v>1175810</v>
      </c>
      <c r="G2631">
        <v>6</v>
      </c>
      <c r="H2631">
        <v>1</v>
      </c>
      <c r="I2631">
        <v>922</v>
      </c>
      <c r="J2631">
        <v>2005</v>
      </c>
      <c r="K2631" s="4">
        <v>45108</v>
      </c>
      <c r="L2631" t="s">
        <v>23</v>
      </c>
      <c r="M2631" t="s">
        <v>52</v>
      </c>
      <c r="N2631">
        <v>2.85</v>
      </c>
      <c r="O2631">
        <v>1919</v>
      </c>
      <c r="P2631">
        <v>3.74</v>
      </c>
      <c r="Q2631">
        <v>358</v>
      </c>
      <c r="R2631">
        <v>647</v>
      </c>
    </row>
    <row r="2632" spans="1:18" x14ac:dyDescent="0.2">
      <c r="A2632">
        <v>6</v>
      </c>
      <c r="B2632" t="s">
        <v>38</v>
      </c>
      <c r="E2632" t="s">
        <v>19</v>
      </c>
      <c r="F2632">
        <v>2326768</v>
      </c>
      <c r="G2632">
        <v>4</v>
      </c>
      <c r="H2632">
        <v>3</v>
      </c>
      <c r="I2632">
        <v>308</v>
      </c>
      <c r="J2632">
        <v>1987</v>
      </c>
      <c r="K2632" s="4">
        <v>45537</v>
      </c>
      <c r="L2632" t="s">
        <v>20</v>
      </c>
      <c r="M2632" t="s">
        <v>45</v>
      </c>
      <c r="N2632">
        <v>2.35</v>
      </c>
      <c r="O2632">
        <v>2093</v>
      </c>
      <c r="P2632">
        <v>4.83</v>
      </c>
      <c r="Q2632">
        <v>247</v>
      </c>
      <c r="R2632">
        <v>527</v>
      </c>
    </row>
    <row r="2633" spans="1:18" x14ac:dyDescent="0.2">
      <c r="A2633">
        <v>6</v>
      </c>
      <c r="B2633" t="s">
        <v>84</v>
      </c>
      <c r="E2633" t="s">
        <v>51</v>
      </c>
      <c r="F2633">
        <v>2715778</v>
      </c>
      <c r="G2633">
        <v>3</v>
      </c>
      <c r="H2633">
        <v>3</v>
      </c>
      <c r="I2633">
        <v>528</v>
      </c>
      <c r="J2633">
        <v>1969</v>
      </c>
      <c r="K2633" s="4">
        <v>45207</v>
      </c>
      <c r="L2633" t="s">
        <v>23</v>
      </c>
      <c r="M2633" t="s">
        <v>76</v>
      </c>
      <c r="N2633">
        <v>2.57</v>
      </c>
      <c r="O2633">
        <v>1115</v>
      </c>
      <c r="P2633">
        <v>2.9</v>
      </c>
      <c r="Q2633">
        <v>174</v>
      </c>
      <c r="R2633">
        <v>570</v>
      </c>
    </row>
    <row r="2634" spans="1:18" x14ac:dyDescent="0.2">
      <c r="A2634">
        <v>5</v>
      </c>
      <c r="B2634" t="s">
        <v>39</v>
      </c>
      <c r="E2634" t="s">
        <v>19</v>
      </c>
      <c r="F2634">
        <v>2274952</v>
      </c>
      <c r="G2634">
        <v>2</v>
      </c>
      <c r="H2634">
        <v>3</v>
      </c>
      <c r="I2634">
        <v>671</v>
      </c>
      <c r="J2634">
        <v>1970</v>
      </c>
      <c r="K2634" s="4">
        <v>44275</v>
      </c>
      <c r="L2634" t="s">
        <v>23</v>
      </c>
      <c r="M2634" t="s">
        <v>31</v>
      </c>
      <c r="N2634">
        <v>1.72</v>
      </c>
      <c r="O2634">
        <v>1677</v>
      </c>
      <c r="P2634">
        <v>4.07</v>
      </c>
      <c r="Q2634">
        <v>183</v>
      </c>
      <c r="R2634">
        <v>454</v>
      </c>
    </row>
    <row r="2635" spans="1:18" x14ac:dyDescent="0.2">
      <c r="A2635">
        <v>8</v>
      </c>
      <c r="B2635" t="s">
        <v>28</v>
      </c>
      <c r="E2635" t="s">
        <v>19</v>
      </c>
      <c r="F2635">
        <v>753320</v>
      </c>
      <c r="G2635">
        <v>2</v>
      </c>
      <c r="H2635">
        <v>1</v>
      </c>
      <c r="I2635">
        <v>327</v>
      </c>
      <c r="J2635">
        <v>1966</v>
      </c>
      <c r="K2635" s="4">
        <v>45592</v>
      </c>
      <c r="L2635" t="s">
        <v>20</v>
      </c>
      <c r="M2635" t="s">
        <v>21</v>
      </c>
      <c r="N2635">
        <v>1.74</v>
      </c>
      <c r="O2635">
        <v>1538</v>
      </c>
      <c r="P2635">
        <v>4.3600000000000003</v>
      </c>
      <c r="Q2635">
        <v>81</v>
      </c>
      <c r="R2635">
        <v>444</v>
      </c>
    </row>
    <row r="2636" spans="1:18" x14ac:dyDescent="0.2">
      <c r="A2636">
        <v>9</v>
      </c>
      <c r="B2636" t="s">
        <v>81</v>
      </c>
      <c r="E2636" t="s">
        <v>51</v>
      </c>
      <c r="F2636">
        <v>1804400</v>
      </c>
      <c r="G2636">
        <v>4</v>
      </c>
      <c r="H2636">
        <v>1</v>
      </c>
      <c r="I2636">
        <v>560</v>
      </c>
      <c r="J2636">
        <v>1998</v>
      </c>
      <c r="K2636" s="4">
        <v>44084</v>
      </c>
      <c r="L2636" t="s">
        <v>26</v>
      </c>
      <c r="M2636" t="s">
        <v>69</v>
      </c>
      <c r="N2636">
        <v>2.3199999999999998</v>
      </c>
      <c r="O2636">
        <v>2182</v>
      </c>
      <c r="P2636">
        <v>3.17</v>
      </c>
      <c r="Q2636">
        <v>165</v>
      </c>
      <c r="R2636">
        <v>635</v>
      </c>
    </row>
    <row r="2637" spans="1:18" x14ac:dyDescent="0.2">
      <c r="A2637">
        <v>8</v>
      </c>
      <c r="B2637" t="s">
        <v>94</v>
      </c>
      <c r="E2637" t="s">
        <v>29</v>
      </c>
      <c r="F2637">
        <v>1457235</v>
      </c>
      <c r="G2637">
        <v>5</v>
      </c>
      <c r="H2637">
        <v>2</v>
      </c>
      <c r="I2637">
        <v>702</v>
      </c>
      <c r="J2637">
        <v>1969</v>
      </c>
      <c r="K2637" s="4">
        <v>45719</v>
      </c>
      <c r="L2637" t="s">
        <v>30</v>
      </c>
      <c r="M2637" t="s">
        <v>47</v>
      </c>
      <c r="N2637">
        <v>2.29</v>
      </c>
      <c r="O2637">
        <v>1540</v>
      </c>
      <c r="P2637">
        <v>2.14</v>
      </c>
      <c r="Q2637">
        <v>246</v>
      </c>
      <c r="R2637">
        <v>374</v>
      </c>
    </row>
    <row r="2638" spans="1:18" x14ac:dyDescent="0.2">
      <c r="A2638">
        <v>5</v>
      </c>
      <c r="B2638" t="s">
        <v>46</v>
      </c>
      <c r="E2638" t="s">
        <v>36</v>
      </c>
      <c r="F2638">
        <v>2384869</v>
      </c>
      <c r="G2638">
        <v>2</v>
      </c>
      <c r="H2638">
        <v>3</v>
      </c>
      <c r="I2638">
        <v>132</v>
      </c>
      <c r="J2638">
        <v>1997</v>
      </c>
      <c r="K2638" s="4">
        <v>45691</v>
      </c>
      <c r="L2638" t="s">
        <v>23</v>
      </c>
      <c r="M2638" t="s">
        <v>59</v>
      </c>
      <c r="N2638">
        <v>3.45</v>
      </c>
      <c r="O2638">
        <v>1634</v>
      </c>
      <c r="P2638">
        <v>2.95</v>
      </c>
      <c r="Q2638">
        <v>49</v>
      </c>
      <c r="R2638">
        <v>471</v>
      </c>
    </row>
    <row r="2639" spans="1:18" x14ac:dyDescent="0.2">
      <c r="A2639">
        <v>9</v>
      </c>
      <c r="B2639" t="s">
        <v>61</v>
      </c>
      <c r="E2639" t="s">
        <v>36</v>
      </c>
      <c r="F2639">
        <v>1962854</v>
      </c>
      <c r="G2639">
        <v>5</v>
      </c>
      <c r="H2639">
        <v>1</v>
      </c>
      <c r="I2639">
        <v>557</v>
      </c>
      <c r="J2639">
        <v>2003</v>
      </c>
      <c r="K2639" s="4">
        <v>45032</v>
      </c>
      <c r="L2639" t="s">
        <v>26</v>
      </c>
      <c r="M2639" t="s">
        <v>60</v>
      </c>
      <c r="N2639">
        <v>1.76</v>
      </c>
      <c r="O2639">
        <v>1050</v>
      </c>
      <c r="P2639">
        <v>4.41</v>
      </c>
      <c r="Q2639">
        <v>387</v>
      </c>
      <c r="R2639">
        <v>657</v>
      </c>
    </row>
    <row r="2640" spans="1:18" x14ac:dyDescent="0.2">
      <c r="A2640">
        <v>2</v>
      </c>
      <c r="B2640" t="s">
        <v>93</v>
      </c>
      <c r="E2640" t="s">
        <v>103</v>
      </c>
      <c r="F2640">
        <v>2481530</v>
      </c>
      <c r="G2640">
        <v>5</v>
      </c>
      <c r="H2640">
        <v>1</v>
      </c>
      <c r="I2640">
        <v>337</v>
      </c>
      <c r="J2640">
        <v>1971</v>
      </c>
      <c r="K2640" s="4">
        <v>44847</v>
      </c>
      <c r="L2640" t="s">
        <v>23</v>
      </c>
      <c r="M2640" t="s">
        <v>69</v>
      </c>
      <c r="N2640">
        <v>1.96</v>
      </c>
      <c r="O2640">
        <v>2245</v>
      </c>
      <c r="P2640">
        <v>0.84</v>
      </c>
      <c r="Q2640">
        <v>256</v>
      </c>
      <c r="R2640">
        <v>480</v>
      </c>
    </row>
    <row r="2641" spans="1:18" x14ac:dyDescent="0.2">
      <c r="A2641">
        <v>9</v>
      </c>
      <c r="B2641" t="s">
        <v>53</v>
      </c>
      <c r="E2641" t="s">
        <v>51</v>
      </c>
      <c r="F2641">
        <v>2378762</v>
      </c>
      <c r="G2641">
        <v>2</v>
      </c>
      <c r="H2641">
        <v>2</v>
      </c>
      <c r="I2641">
        <v>472</v>
      </c>
      <c r="J2641">
        <v>1971</v>
      </c>
      <c r="K2641" s="4">
        <v>45335</v>
      </c>
      <c r="L2641" t="s">
        <v>20</v>
      </c>
      <c r="M2641" t="s">
        <v>63</v>
      </c>
      <c r="N2641">
        <v>2.33</v>
      </c>
      <c r="O2641">
        <v>895</v>
      </c>
      <c r="P2641">
        <v>4.3600000000000003</v>
      </c>
      <c r="Q2641">
        <v>98</v>
      </c>
      <c r="R2641">
        <v>342</v>
      </c>
    </row>
    <row r="2642" spans="1:18" x14ac:dyDescent="0.2">
      <c r="A2642">
        <v>9</v>
      </c>
      <c r="B2642" t="s">
        <v>90</v>
      </c>
      <c r="E2642" t="s">
        <v>29</v>
      </c>
      <c r="F2642">
        <v>1484717</v>
      </c>
      <c r="G2642">
        <v>5</v>
      </c>
      <c r="H2642">
        <v>3</v>
      </c>
      <c r="I2642">
        <v>613</v>
      </c>
      <c r="J2642">
        <v>1953</v>
      </c>
      <c r="K2642" s="4">
        <v>45865</v>
      </c>
      <c r="L2642" t="s">
        <v>26</v>
      </c>
      <c r="M2642" t="s">
        <v>47</v>
      </c>
      <c r="N2642">
        <v>1.54</v>
      </c>
      <c r="O2642">
        <v>992</v>
      </c>
      <c r="P2642">
        <v>2.16</v>
      </c>
      <c r="Q2642">
        <v>304</v>
      </c>
      <c r="R2642">
        <v>338</v>
      </c>
    </row>
    <row r="2643" spans="1:18" x14ac:dyDescent="0.2">
      <c r="A2643">
        <v>4</v>
      </c>
      <c r="B2643" t="s">
        <v>84</v>
      </c>
      <c r="E2643" t="s">
        <v>36</v>
      </c>
      <c r="F2643">
        <v>2468207</v>
      </c>
      <c r="G2643">
        <v>6</v>
      </c>
      <c r="H2643">
        <v>3</v>
      </c>
      <c r="I2643">
        <v>376</v>
      </c>
      <c r="J2643">
        <v>1976</v>
      </c>
      <c r="K2643" s="4">
        <v>45122</v>
      </c>
      <c r="L2643" t="s">
        <v>23</v>
      </c>
      <c r="M2643" t="s">
        <v>27</v>
      </c>
      <c r="N2643">
        <v>2.2799999999999998</v>
      </c>
      <c r="O2643">
        <v>2042</v>
      </c>
      <c r="P2643">
        <v>0.12</v>
      </c>
      <c r="Q2643">
        <v>388</v>
      </c>
      <c r="R2643">
        <v>301</v>
      </c>
    </row>
    <row r="2644" spans="1:18" x14ac:dyDescent="0.2">
      <c r="A2644">
        <v>4</v>
      </c>
      <c r="B2644" t="s">
        <v>96</v>
      </c>
      <c r="E2644" t="s">
        <v>36</v>
      </c>
      <c r="F2644">
        <v>1122535</v>
      </c>
      <c r="G2644">
        <v>3</v>
      </c>
      <c r="H2644">
        <v>3</v>
      </c>
      <c r="I2644">
        <v>898</v>
      </c>
      <c r="J2644">
        <v>2014</v>
      </c>
      <c r="K2644" s="4">
        <v>45548</v>
      </c>
      <c r="L2644" t="s">
        <v>20</v>
      </c>
      <c r="M2644" t="s">
        <v>35</v>
      </c>
      <c r="N2644">
        <v>2.97</v>
      </c>
      <c r="O2644">
        <v>1792</v>
      </c>
      <c r="P2644">
        <v>2.2400000000000002</v>
      </c>
      <c r="Q2644">
        <v>248</v>
      </c>
      <c r="R2644">
        <v>557</v>
      </c>
    </row>
    <row r="2645" spans="1:18" x14ac:dyDescent="0.2">
      <c r="A2645">
        <v>7</v>
      </c>
      <c r="B2645" t="s">
        <v>50</v>
      </c>
      <c r="E2645" t="s">
        <v>19</v>
      </c>
      <c r="F2645">
        <v>2292445</v>
      </c>
      <c r="G2645">
        <v>4</v>
      </c>
      <c r="H2645">
        <v>2</v>
      </c>
      <c r="I2645">
        <v>432</v>
      </c>
      <c r="J2645">
        <v>1996</v>
      </c>
      <c r="K2645" s="4">
        <v>44694</v>
      </c>
      <c r="L2645" t="s">
        <v>30</v>
      </c>
      <c r="M2645" t="s">
        <v>40</v>
      </c>
      <c r="N2645">
        <v>1.68</v>
      </c>
      <c r="O2645">
        <v>1843</v>
      </c>
      <c r="P2645">
        <v>3.24</v>
      </c>
      <c r="Q2645">
        <v>388</v>
      </c>
      <c r="R2645">
        <v>563</v>
      </c>
    </row>
    <row r="2646" spans="1:18" x14ac:dyDescent="0.2">
      <c r="A2646">
        <v>4</v>
      </c>
      <c r="B2646" t="s">
        <v>49</v>
      </c>
      <c r="E2646" t="s">
        <v>29</v>
      </c>
      <c r="F2646">
        <v>1290841</v>
      </c>
      <c r="G2646">
        <v>3</v>
      </c>
      <c r="H2646">
        <v>1</v>
      </c>
      <c r="I2646">
        <v>542</v>
      </c>
      <c r="J2646">
        <v>1954</v>
      </c>
      <c r="K2646" s="4">
        <v>45213</v>
      </c>
      <c r="L2646" t="s">
        <v>26</v>
      </c>
      <c r="M2646" t="s">
        <v>52</v>
      </c>
      <c r="N2646">
        <v>3.42</v>
      </c>
      <c r="O2646">
        <v>2168</v>
      </c>
      <c r="P2646">
        <v>3.7</v>
      </c>
      <c r="Q2646">
        <v>103</v>
      </c>
      <c r="R2646">
        <v>454</v>
      </c>
    </row>
    <row r="2647" spans="1:18" x14ac:dyDescent="0.2">
      <c r="A2647">
        <v>0</v>
      </c>
      <c r="B2647" t="s">
        <v>38</v>
      </c>
      <c r="E2647" t="s">
        <v>36</v>
      </c>
      <c r="F2647">
        <v>2332530</v>
      </c>
      <c r="G2647">
        <v>4</v>
      </c>
      <c r="H2647">
        <v>3</v>
      </c>
      <c r="I2647">
        <v>0</v>
      </c>
      <c r="J2647">
        <v>1994</v>
      </c>
      <c r="K2647" s="4">
        <v>45206</v>
      </c>
      <c r="L2647" t="s">
        <v>30</v>
      </c>
      <c r="M2647" t="s">
        <v>78</v>
      </c>
      <c r="N2647">
        <v>2.65</v>
      </c>
      <c r="O2647">
        <v>980</v>
      </c>
      <c r="P2647">
        <v>2.0099999999999998</v>
      </c>
      <c r="Q2647">
        <v>300</v>
      </c>
      <c r="R2647">
        <v>469</v>
      </c>
    </row>
    <row r="2648" spans="1:18" x14ac:dyDescent="0.2">
      <c r="A2648">
        <v>8</v>
      </c>
      <c r="B2648" t="s">
        <v>100</v>
      </c>
      <c r="E2648" t="s">
        <v>36</v>
      </c>
      <c r="F2648">
        <v>406534</v>
      </c>
      <c r="G2648">
        <v>0</v>
      </c>
      <c r="H2648">
        <v>2</v>
      </c>
      <c r="I2648">
        <v>740</v>
      </c>
      <c r="J2648">
        <v>1959</v>
      </c>
      <c r="K2648" s="4">
        <v>44238</v>
      </c>
      <c r="L2648" t="s">
        <v>23</v>
      </c>
      <c r="M2648" t="s">
        <v>66</v>
      </c>
      <c r="N2648">
        <v>3.3</v>
      </c>
      <c r="O2648">
        <v>2432</v>
      </c>
      <c r="P2648">
        <v>3.92</v>
      </c>
      <c r="Q2648">
        <v>71</v>
      </c>
      <c r="R2648">
        <v>484</v>
      </c>
    </row>
    <row r="2649" spans="1:18" x14ac:dyDescent="0.2">
      <c r="A2649">
        <v>7</v>
      </c>
      <c r="B2649" t="s">
        <v>49</v>
      </c>
      <c r="E2649" t="s">
        <v>29</v>
      </c>
      <c r="F2649">
        <v>1120878</v>
      </c>
      <c r="G2649">
        <v>2</v>
      </c>
      <c r="H2649">
        <v>2</v>
      </c>
      <c r="I2649">
        <v>182</v>
      </c>
      <c r="J2649">
        <v>2016</v>
      </c>
      <c r="K2649" s="4">
        <v>45768</v>
      </c>
      <c r="L2649" t="s">
        <v>20</v>
      </c>
      <c r="M2649" t="s">
        <v>77</v>
      </c>
      <c r="N2649">
        <v>3.49</v>
      </c>
      <c r="O2649">
        <v>836</v>
      </c>
      <c r="P2649">
        <v>0.45</v>
      </c>
      <c r="Q2649">
        <v>116</v>
      </c>
      <c r="R2649">
        <v>606</v>
      </c>
    </row>
    <row r="2650" spans="1:18" x14ac:dyDescent="0.2">
      <c r="A2650">
        <v>4</v>
      </c>
      <c r="B2650" t="s">
        <v>94</v>
      </c>
      <c r="E2650" t="s">
        <v>29</v>
      </c>
      <c r="F2650">
        <v>1344926</v>
      </c>
      <c r="G2650">
        <v>5</v>
      </c>
      <c r="H2650">
        <v>2</v>
      </c>
      <c r="I2650">
        <v>918</v>
      </c>
      <c r="J2650">
        <v>1983</v>
      </c>
      <c r="K2650" s="4">
        <v>44485</v>
      </c>
      <c r="L2650" t="s">
        <v>23</v>
      </c>
      <c r="M2650" t="s">
        <v>89</v>
      </c>
      <c r="N2650">
        <v>2.68</v>
      </c>
      <c r="O2650">
        <v>2480</v>
      </c>
      <c r="P2650">
        <v>2.57</v>
      </c>
      <c r="Q2650">
        <v>260</v>
      </c>
      <c r="R2650">
        <v>442</v>
      </c>
    </row>
    <row r="2651" spans="1:18" x14ac:dyDescent="0.2">
      <c r="A2651">
        <v>2</v>
      </c>
      <c r="B2651" t="s">
        <v>106</v>
      </c>
      <c r="E2651" t="s">
        <v>51</v>
      </c>
      <c r="F2651">
        <v>1180971</v>
      </c>
      <c r="G2651">
        <v>3</v>
      </c>
      <c r="H2651">
        <v>3</v>
      </c>
      <c r="I2651">
        <v>855</v>
      </c>
      <c r="J2651">
        <v>1990</v>
      </c>
      <c r="K2651" s="4">
        <v>44476</v>
      </c>
      <c r="L2651" t="s">
        <v>23</v>
      </c>
      <c r="M2651" t="s">
        <v>21</v>
      </c>
      <c r="N2651">
        <v>2.2999999999999998</v>
      </c>
      <c r="O2651">
        <v>1992</v>
      </c>
      <c r="P2651">
        <v>1.78</v>
      </c>
      <c r="Q2651">
        <v>211</v>
      </c>
      <c r="R2651">
        <v>360</v>
      </c>
    </row>
    <row r="2652" spans="1:18" x14ac:dyDescent="0.2">
      <c r="A2652">
        <v>3</v>
      </c>
      <c r="B2652" t="s">
        <v>88</v>
      </c>
      <c r="E2652" t="s">
        <v>36</v>
      </c>
      <c r="F2652">
        <v>1162189</v>
      </c>
      <c r="G2652">
        <v>2</v>
      </c>
      <c r="H2652">
        <v>2</v>
      </c>
      <c r="I2652">
        <v>547</v>
      </c>
      <c r="J2652">
        <v>1963</v>
      </c>
      <c r="K2652" s="4">
        <v>44784</v>
      </c>
      <c r="L2652" t="s">
        <v>20</v>
      </c>
      <c r="M2652" t="s">
        <v>42</v>
      </c>
      <c r="N2652">
        <v>2.35</v>
      </c>
      <c r="O2652">
        <v>2208</v>
      </c>
      <c r="P2652">
        <v>4.04</v>
      </c>
      <c r="Q2652">
        <v>233</v>
      </c>
      <c r="R2652">
        <v>464</v>
      </c>
    </row>
    <row r="2653" spans="1:18" x14ac:dyDescent="0.2">
      <c r="A2653">
        <v>2</v>
      </c>
      <c r="B2653" t="s">
        <v>84</v>
      </c>
      <c r="E2653" t="s">
        <v>19</v>
      </c>
      <c r="F2653">
        <v>2493291</v>
      </c>
      <c r="G2653">
        <v>1</v>
      </c>
      <c r="H2653">
        <v>1</v>
      </c>
      <c r="I2653">
        <v>72</v>
      </c>
      <c r="J2653">
        <v>1965</v>
      </c>
      <c r="K2653" s="4">
        <v>44885</v>
      </c>
      <c r="L2653" t="s">
        <v>30</v>
      </c>
      <c r="M2653" t="s">
        <v>97</v>
      </c>
      <c r="N2653">
        <v>2.67</v>
      </c>
      <c r="O2653">
        <v>1611</v>
      </c>
      <c r="P2653">
        <v>4.57</v>
      </c>
      <c r="Q2653">
        <v>109</v>
      </c>
      <c r="R2653">
        <v>354</v>
      </c>
    </row>
    <row r="2654" spans="1:18" x14ac:dyDescent="0.2">
      <c r="A2654">
        <v>6</v>
      </c>
      <c r="B2654" t="s">
        <v>18</v>
      </c>
      <c r="E2654" t="s">
        <v>51</v>
      </c>
      <c r="F2654">
        <v>1657327</v>
      </c>
      <c r="G2654">
        <v>4</v>
      </c>
      <c r="H2654">
        <v>3</v>
      </c>
      <c r="I2654">
        <v>58</v>
      </c>
      <c r="J2654">
        <v>1960</v>
      </c>
      <c r="K2654" s="4">
        <v>45513</v>
      </c>
      <c r="L2654" t="s">
        <v>26</v>
      </c>
      <c r="M2654" t="s">
        <v>58</v>
      </c>
      <c r="N2654">
        <v>2.2200000000000002</v>
      </c>
      <c r="O2654">
        <v>1152</v>
      </c>
      <c r="P2654">
        <v>3.9</v>
      </c>
      <c r="Q2654">
        <v>283</v>
      </c>
      <c r="R2654">
        <v>649</v>
      </c>
    </row>
    <row r="2655" spans="1:18" x14ac:dyDescent="0.2">
      <c r="A2655">
        <v>8</v>
      </c>
      <c r="B2655" t="s">
        <v>91</v>
      </c>
      <c r="E2655" t="s">
        <v>51</v>
      </c>
      <c r="F2655">
        <v>1810657</v>
      </c>
      <c r="G2655">
        <v>0</v>
      </c>
      <c r="H2655">
        <v>3</v>
      </c>
      <c r="I2655">
        <v>180</v>
      </c>
      <c r="J2655">
        <v>2005</v>
      </c>
      <c r="K2655" s="4">
        <v>45006</v>
      </c>
      <c r="L2655" t="s">
        <v>30</v>
      </c>
      <c r="M2655" t="s">
        <v>31</v>
      </c>
      <c r="N2655">
        <v>2.02</v>
      </c>
      <c r="O2655">
        <v>2063</v>
      </c>
      <c r="P2655">
        <v>4.4400000000000004</v>
      </c>
      <c r="Q2655">
        <v>58</v>
      </c>
      <c r="R2655">
        <v>365</v>
      </c>
    </row>
    <row r="2656" spans="1:18" x14ac:dyDescent="0.2">
      <c r="A2656">
        <v>0</v>
      </c>
      <c r="B2656" t="s">
        <v>48</v>
      </c>
      <c r="E2656" t="s">
        <v>36</v>
      </c>
      <c r="F2656">
        <v>1603068</v>
      </c>
      <c r="G2656">
        <v>2</v>
      </c>
      <c r="H2656">
        <v>2</v>
      </c>
      <c r="I2656">
        <v>412</v>
      </c>
      <c r="J2656">
        <v>1956</v>
      </c>
      <c r="K2656" s="4">
        <v>45540</v>
      </c>
      <c r="L2656" t="s">
        <v>20</v>
      </c>
      <c r="M2656" t="s">
        <v>58</v>
      </c>
      <c r="N2656">
        <v>3.02</v>
      </c>
      <c r="O2656">
        <v>972</v>
      </c>
      <c r="P2656">
        <v>3.1</v>
      </c>
      <c r="Q2656">
        <v>114</v>
      </c>
      <c r="R2656">
        <v>480</v>
      </c>
    </row>
    <row r="2657" spans="1:18" x14ac:dyDescent="0.2">
      <c r="A2657">
        <v>6</v>
      </c>
      <c r="B2657" t="s">
        <v>18</v>
      </c>
      <c r="E2657" t="s">
        <v>36</v>
      </c>
      <c r="F2657">
        <v>2134965</v>
      </c>
      <c r="G2657">
        <v>4</v>
      </c>
      <c r="H2657">
        <v>1</v>
      </c>
      <c r="I2657">
        <v>457</v>
      </c>
      <c r="J2657">
        <v>1993</v>
      </c>
      <c r="K2657" s="4">
        <v>44168</v>
      </c>
      <c r="L2657" t="s">
        <v>20</v>
      </c>
      <c r="M2657" t="s">
        <v>54</v>
      </c>
      <c r="N2657">
        <v>1.57</v>
      </c>
      <c r="O2657">
        <v>2099</v>
      </c>
      <c r="P2657">
        <v>1.59</v>
      </c>
      <c r="Q2657">
        <v>356</v>
      </c>
      <c r="R2657">
        <v>625</v>
      </c>
    </row>
    <row r="2658" spans="1:18" x14ac:dyDescent="0.2">
      <c r="A2658">
        <v>1</v>
      </c>
      <c r="B2658" t="s">
        <v>81</v>
      </c>
      <c r="E2658" t="s">
        <v>51</v>
      </c>
      <c r="F2658">
        <v>2352949</v>
      </c>
      <c r="G2658">
        <v>3</v>
      </c>
      <c r="H2658">
        <v>1</v>
      </c>
      <c r="I2658">
        <v>299</v>
      </c>
      <c r="J2658">
        <v>1991</v>
      </c>
      <c r="K2658" s="4">
        <v>44914</v>
      </c>
      <c r="L2658" t="s">
        <v>20</v>
      </c>
      <c r="M2658" t="s">
        <v>74</v>
      </c>
      <c r="N2658">
        <v>2.17</v>
      </c>
      <c r="O2658">
        <v>2011</v>
      </c>
      <c r="P2658">
        <v>0.84</v>
      </c>
      <c r="Q2658">
        <v>308</v>
      </c>
      <c r="R2658">
        <v>516</v>
      </c>
    </row>
    <row r="2659" spans="1:18" x14ac:dyDescent="0.2">
      <c r="A2659">
        <v>5</v>
      </c>
      <c r="B2659" t="s">
        <v>84</v>
      </c>
      <c r="E2659" t="s">
        <v>51</v>
      </c>
      <c r="F2659">
        <v>1252052</v>
      </c>
      <c r="G2659">
        <v>0</v>
      </c>
      <c r="H2659">
        <v>1</v>
      </c>
      <c r="I2659">
        <v>597</v>
      </c>
      <c r="J2659">
        <v>1990</v>
      </c>
      <c r="K2659" s="4">
        <v>45628</v>
      </c>
      <c r="L2659" t="s">
        <v>26</v>
      </c>
      <c r="M2659" t="s">
        <v>68</v>
      </c>
      <c r="N2659">
        <v>2.99</v>
      </c>
      <c r="O2659">
        <v>2090</v>
      </c>
      <c r="P2659">
        <v>0.7</v>
      </c>
      <c r="Q2659">
        <v>69</v>
      </c>
      <c r="R2659">
        <v>391</v>
      </c>
    </row>
    <row r="2660" spans="1:18" x14ac:dyDescent="0.2">
      <c r="A2660">
        <v>7</v>
      </c>
      <c r="B2660" t="s">
        <v>41</v>
      </c>
      <c r="E2660" t="s">
        <v>36</v>
      </c>
      <c r="F2660">
        <v>2762591</v>
      </c>
      <c r="G2660">
        <v>6</v>
      </c>
      <c r="H2660">
        <v>1</v>
      </c>
      <c r="I2660">
        <v>277</v>
      </c>
      <c r="J2660">
        <v>1951</v>
      </c>
      <c r="K2660" s="4">
        <v>44225</v>
      </c>
      <c r="L2660" t="s">
        <v>26</v>
      </c>
      <c r="M2660" t="s">
        <v>33</v>
      </c>
      <c r="N2660">
        <v>3</v>
      </c>
      <c r="O2660">
        <v>2014</v>
      </c>
      <c r="P2660">
        <v>4.4800000000000004</v>
      </c>
      <c r="Q2660">
        <v>391</v>
      </c>
      <c r="R2660">
        <v>595</v>
      </c>
    </row>
    <row r="2661" spans="1:18" x14ac:dyDescent="0.2">
      <c r="A2661">
        <v>9</v>
      </c>
      <c r="B2661" t="s">
        <v>84</v>
      </c>
      <c r="E2661" t="s">
        <v>29</v>
      </c>
      <c r="F2661">
        <v>2290108</v>
      </c>
      <c r="G2661">
        <v>4</v>
      </c>
      <c r="H2661">
        <v>1</v>
      </c>
      <c r="I2661">
        <v>935</v>
      </c>
      <c r="J2661">
        <v>2010</v>
      </c>
      <c r="K2661" s="4">
        <v>45680</v>
      </c>
      <c r="L2661" t="s">
        <v>26</v>
      </c>
      <c r="M2661" t="s">
        <v>77</v>
      </c>
      <c r="N2661">
        <v>1.86</v>
      </c>
      <c r="O2661">
        <v>888</v>
      </c>
      <c r="P2661">
        <v>3.21</v>
      </c>
      <c r="Q2661">
        <v>287</v>
      </c>
      <c r="R2661">
        <v>372</v>
      </c>
    </row>
    <row r="2662" spans="1:18" x14ac:dyDescent="0.2">
      <c r="A2662">
        <v>0</v>
      </c>
      <c r="B2662" t="s">
        <v>39</v>
      </c>
      <c r="E2662" t="s">
        <v>36</v>
      </c>
      <c r="F2662">
        <v>1020510</v>
      </c>
      <c r="G2662">
        <v>3</v>
      </c>
      <c r="H2662">
        <v>2</v>
      </c>
      <c r="I2662">
        <v>670</v>
      </c>
      <c r="J2662">
        <v>2017</v>
      </c>
      <c r="K2662" s="4">
        <v>44964</v>
      </c>
      <c r="L2662" t="s">
        <v>23</v>
      </c>
      <c r="M2662" t="s">
        <v>54</v>
      </c>
      <c r="N2662">
        <v>2.74</v>
      </c>
      <c r="O2662">
        <v>2344</v>
      </c>
      <c r="P2662">
        <v>2.46</v>
      </c>
      <c r="Q2662">
        <v>285</v>
      </c>
      <c r="R2662">
        <v>314</v>
      </c>
    </row>
    <row r="2663" spans="1:18" x14ac:dyDescent="0.2">
      <c r="A2663">
        <v>3</v>
      </c>
      <c r="B2663" t="s">
        <v>83</v>
      </c>
      <c r="E2663" t="s">
        <v>29</v>
      </c>
      <c r="F2663">
        <v>591663</v>
      </c>
      <c r="G2663">
        <v>3</v>
      </c>
      <c r="H2663">
        <v>1</v>
      </c>
      <c r="I2663">
        <v>319</v>
      </c>
      <c r="J2663">
        <v>1994</v>
      </c>
      <c r="K2663" s="4">
        <v>44240</v>
      </c>
      <c r="L2663" t="s">
        <v>30</v>
      </c>
      <c r="M2663" t="s">
        <v>56</v>
      </c>
      <c r="N2663">
        <v>2.04</v>
      </c>
      <c r="O2663">
        <v>2039</v>
      </c>
      <c r="P2663">
        <v>2.96</v>
      </c>
      <c r="Q2663">
        <v>112</v>
      </c>
      <c r="R2663">
        <v>517</v>
      </c>
    </row>
    <row r="2664" spans="1:18" x14ac:dyDescent="0.2">
      <c r="A2664">
        <v>3</v>
      </c>
      <c r="B2664" t="s">
        <v>65</v>
      </c>
      <c r="E2664" t="s">
        <v>19</v>
      </c>
      <c r="F2664">
        <v>2225739</v>
      </c>
      <c r="G2664">
        <v>5</v>
      </c>
      <c r="H2664">
        <v>2</v>
      </c>
      <c r="I2664">
        <v>100</v>
      </c>
      <c r="J2664">
        <v>1986</v>
      </c>
      <c r="K2664" s="4">
        <v>44170</v>
      </c>
      <c r="L2664" t="s">
        <v>30</v>
      </c>
      <c r="M2664" t="s">
        <v>82</v>
      </c>
      <c r="N2664">
        <v>2.1</v>
      </c>
      <c r="O2664">
        <v>1841</v>
      </c>
      <c r="P2664">
        <v>4.67</v>
      </c>
      <c r="Q2664">
        <v>301</v>
      </c>
      <c r="R2664">
        <v>338</v>
      </c>
    </row>
    <row r="2665" spans="1:18" x14ac:dyDescent="0.2">
      <c r="A2665">
        <v>5</v>
      </c>
      <c r="B2665" t="s">
        <v>96</v>
      </c>
      <c r="E2665" t="s">
        <v>51</v>
      </c>
      <c r="F2665">
        <v>2825556</v>
      </c>
      <c r="G2665">
        <v>4</v>
      </c>
      <c r="H2665">
        <v>1</v>
      </c>
      <c r="I2665">
        <v>589</v>
      </c>
      <c r="J2665">
        <v>1960</v>
      </c>
      <c r="K2665" s="4">
        <v>44954</v>
      </c>
      <c r="L2665" t="s">
        <v>30</v>
      </c>
      <c r="M2665" t="s">
        <v>63</v>
      </c>
      <c r="N2665">
        <v>2.99</v>
      </c>
      <c r="O2665">
        <v>1088</v>
      </c>
      <c r="P2665">
        <v>0.48</v>
      </c>
      <c r="Q2665">
        <v>299</v>
      </c>
      <c r="R2665">
        <v>542</v>
      </c>
    </row>
    <row r="2666" spans="1:18" x14ac:dyDescent="0.2">
      <c r="A2666">
        <v>3</v>
      </c>
      <c r="B2666" t="s">
        <v>93</v>
      </c>
      <c r="E2666" t="s">
        <v>29</v>
      </c>
      <c r="F2666">
        <v>505039</v>
      </c>
      <c r="G2666">
        <v>4</v>
      </c>
      <c r="H2666">
        <v>3</v>
      </c>
      <c r="I2666">
        <v>125</v>
      </c>
      <c r="J2666">
        <v>1975</v>
      </c>
      <c r="K2666" s="4">
        <v>44775</v>
      </c>
      <c r="L2666" t="s">
        <v>30</v>
      </c>
      <c r="M2666" t="s">
        <v>35</v>
      </c>
      <c r="N2666">
        <v>2.78</v>
      </c>
      <c r="O2666">
        <v>2093</v>
      </c>
      <c r="P2666">
        <v>0.67</v>
      </c>
      <c r="Q2666">
        <v>384</v>
      </c>
      <c r="R2666">
        <v>427</v>
      </c>
    </row>
    <row r="2667" spans="1:18" x14ac:dyDescent="0.2">
      <c r="A2667">
        <v>8</v>
      </c>
      <c r="B2667" t="s">
        <v>75</v>
      </c>
      <c r="E2667" t="s">
        <v>19</v>
      </c>
      <c r="F2667">
        <v>1625109</v>
      </c>
      <c r="G2667">
        <v>2</v>
      </c>
      <c r="H2667">
        <v>1</v>
      </c>
      <c r="I2667">
        <v>991</v>
      </c>
      <c r="J2667">
        <v>1954</v>
      </c>
      <c r="K2667" s="4">
        <v>45883</v>
      </c>
      <c r="L2667" t="s">
        <v>23</v>
      </c>
      <c r="M2667" t="s">
        <v>60</v>
      </c>
      <c r="N2667">
        <v>2.89</v>
      </c>
      <c r="O2667">
        <v>1236</v>
      </c>
      <c r="P2667">
        <v>4.0599999999999996</v>
      </c>
      <c r="Q2667">
        <v>85</v>
      </c>
      <c r="R2667">
        <v>314</v>
      </c>
    </row>
    <row r="2668" spans="1:18" x14ac:dyDescent="0.2">
      <c r="A2668">
        <v>6</v>
      </c>
      <c r="B2668" t="s">
        <v>101</v>
      </c>
      <c r="E2668" t="s">
        <v>51</v>
      </c>
      <c r="F2668">
        <v>2270451</v>
      </c>
      <c r="G2668">
        <v>4</v>
      </c>
      <c r="H2668">
        <v>3</v>
      </c>
      <c r="I2668">
        <v>934</v>
      </c>
      <c r="J2668">
        <v>2019</v>
      </c>
      <c r="K2668" s="4">
        <v>45611</v>
      </c>
      <c r="L2668" t="s">
        <v>30</v>
      </c>
      <c r="M2668" t="s">
        <v>33</v>
      </c>
      <c r="N2668">
        <v>2.96</v>
      </c>
      <c r="O2668">
        <v>1428</v>
      </c>
      <c r="P2668">
        <v>3.37</v>
      </c>
      <c r="Q2668">
        <v>181</v>
      </c>
      <c r="R2668">
        <v>335</v>
      </c>
    </row>
    <row r="2669" spans="1:18" x14ac:dyDescent="0.2">
      <c r="A2669">
        <v>3</v>
      </c>
      <c r="B2669" t="s">
        <v>102</v>
      </c>
      <c r="E2669" t="s">
        <v>19</v>
      </c>
      <c r="F2669">
        <v>1110810</v>
      </c>
      <c r="G2669">
        <v>3</v>
      </c>
      <c r="H2669">
        <v>1</v>
      </c>
      <c r="I2669">
        <v>201</v>
      </c>
      <c r="J2669">
        <v>1974</v>
      </c>
      <c r="K2669" s="4">
        <v>44831</v>
      </c>
      <c r="L2669" t="s">
        <v>23</v>
      </c>
      <c r="M2669" t="s">
        <v>52</v>
      </c>
      <c r="N2669">
        <v>2.2999999999999998</v>
      </c>
      <c r="O2669">
        <v>1823</v>
      </c>
      <c r="P2669">
        <v>4.17</v>
      </c>
      <c r="Q2669">
        <v>104</v>
      </c>
      <c r="R2669">
        <v>476</v>
      </c>
    </row>
    <row r="2670" spans="1:18" x14ac:dyDescent="0.2">
      <c r="A2670">
        <v>6</v>
      </c>
      <c r="B2670" t="s">
        <v>18</v>
      </c>
      <c r="E2670" t="s">
        <v>19</v>
      </c>
      <c r="F2670">
        <v>2174464</v>
      </c>
      <c r="G2670">
        <v>3</v>
      </c>
      <c r="H2670">
        <v>1</v>
      </c>
      <c r="I2670">
        <v>153</v>
      </c>
      <c r="J2670">
        <v>1991</v>
      </c>
      <c r="K2670" s="4">
        <v>44773</v>
      </c>
      <c r="L2670" t="s">
        <v>23</v>
      </c>
      <c r="M2670" t="s">
        <v>52</v>
      </c>
      <c r="N2670">
        <v>3.32</v>
      </c>
      <c r="O2670">
        <v>2317</v>
      </c>
      <c r="P2670">
        <v>4.97</v>
      </c>
      <c r="Q2670">
        <v>132</v>
      </c>
      <c r="R2670">
        <v>459</v>
      </c>
    </row>
    <row r="2671" spans="1:18" x14ac:dyDescent="0.2">
      <c r="A2671">
        <v>0</v>
      </c>
      <c r="B2671" t="s">
        <v>61</v>
      </c>
      <c r="E2671" t="s">
        <v>51</v>
      </c>
      <c r="F2671">
        <v>2553557</v>
      </c>
      <c r="G2671">
        <v>6</v>
      </c>
      <c r="H2671">
        <v>1</v>
      </c>
      <c r="I2671">
        <v>738</v>
      </c>
      <c r="J2671">
        <v>1956</v>
      </c>
      <c r="K2671" s="4">
        <v>44910</v>
      </c>
      <c r="L2671" t="s">
        <v>23</v>
      </c>
      <c r="M2671" t="s">
        <v>89</v>
      </c>
      <c r="N2671">
        <v>2.4900000000000002</v>
      </c>
      <c r="O2671">
        <v>2373</v>
      </c>
      <c r="P2671">
        <v>3.94</v>
      </c>
      <c r="Q2671">
        <v>383</v>
      </c>
      <c r="R2671">
        <v>538</v>
      </c>
    </row>
    <row r="2672" spans="1:18" x14ac:dyDescent="0.2">
      <c r="A2672">
        <v>4</v>
      </c>
      <c r="B2672" t="s">
        <v>102</v>
      </c>
      <c r="E2672" t="s">
        <v>103</v>
      </c>
      <c r="F2672">
        <v>2793954</v>
      </c>
      <c r="G2672">
        <v>6</v>
      </c>
      <c r="H2672">
        <v>2</v>
      </c>
      <c r="I2672">
        <v>356</v>
      </c>
      <c r="J2672">
        <v>1974</v>
      </c>
      <c r="K2672" s="4">
        <v>45866</v>
      </c>
      <c r="L2672" t="s">
        <v>23</v>
      </c>
      <c r="M2672" t="s">
        <v>33</v>
      </c>
      <c r="N2672">
        <v>3.27</v>
      </c>
      <c r="O2672">
        <v>2209</v>
      </c>
      <c r="P2672">
        <v>0.56000000000000005</v>
      </c>
      <c r="Q2672">
        <v>353</v>
      </c>
      <c r="R2672">
        <v>622</v>
      </c>
    </row>
    <row r="2673" spans="1:18" x14ac:dyDescent="0.2">
      <c r="A2673">
        <v>5</v>
      </c>
      <c r="B2673" t="s">
        <v>18</v>
      </c>
      <c r="E2673" t="s">
        <v>36</v>
      </c>
      <c r="F2673">
        <v>2413627</v>
      </c>
      <c r="G2673">
        <v>2</v>
      </c>
      <c r="H2673">
        <v>3</v>
      </c>
      <c r="I2673">
        <v>380</v>
      </c>
      <c r="J2673">
        <v>1985</v>
      </c>
      <c r="K2673" s="4">
        <v>44359</v>
      </c>
      <c r="L2673" t="s">
        <v>20</v>
      </c>
      <c r="M2673" t="s">
        <v>24</v>
      </c>
      <c r="N2673">
        <v>3.24</v>
      </c>
      <c r="O2673">
        <v>1844</v>
      </c>
      <c r="P2673">
        <v>2.81</v>
      </c>
      <c r="Q2673">
        <v>124</v>
      </c>
      <c r="R2673">
        <v>562</v>
      </c>
    </row>
    <row r="2674" spans="1:18" x14ac:dyDescent="0.2">
      <c r="A2674">
        <v>9</v>
      </c>
      <c r="B2674" t="s">
        <v>94</v>
      </c>
      <c r="E2674" t="s">
        <v>36</v>
      </c>
      <c r="F2674">
        <v>904736</v>
      </c>
      <c r="G2674">
        <v>5</v>
      </c>
      <c r="H2674">
        <v>3</v>
      </c>
      <c r="I2674">
        <v>407</v>
      </c>
      <c r="J2674">
        <v>1971</v>
      </c>
      <c r="K2674" s="4">
        <v>45815</v>
      </c>
      <c r="L2674" t="s">
        <v>30</v>
      </c>
      <c r="M2674" t="s">
        <v>59</v>
      </c>
      <c r="N2674">
        <v>1.68</v>
      </c>
      <c r="O2674">
        <v>1720</v>
      </c>
      <c r="P2674">
        <v>2.93</v>
      </c>
      <c r="Q2674">
        <v>294</v>
      </c>
      <c r="R2674">
        <v>313</v>
      </c>
    </row>
    <row r="2675" spans="1:18" x14ac:dyDescent="0.2">
      <c r="A2675">
        <v>4</v>
      </c>
      <c r="B2675" t="s">
        <v>55</v>
      </c>
      <c r="E2675" t="s">
        <v>36</v>
      </c>
      <c r="F2675">
        <v>1134231</v>
      </c>
      <c r="G2675">
        <v>4</v>
      </c>
      <c r="H2675">
        <v>2</v>
      </c>
      <c r="I2675">
        <v>871</v>
      </c>
      <c r="J2675">
        <v>1989</v>
      </c>
      <c r="K2675" s="4">
        <v>45237</v>
      </c>
      <c r="L2675" t="s">
        <v>23</v>
      </c>
      <c r="M2675" t="s">
        <v>76</v>
      </c>
      <c r="N2675">
        <v>3.12</v>
      </c>
      <c r="O2675">
        <v>1155</v>
      </c>
      <c r="P2675">
        <v>1.97</v>
      </c>
      <c r="Q2675">
        <v>277</v>
      </c>
      <c r="R2675">
        <v>398</v>
      </c>
    </row>
    <row r="2676" spans="1:18" x14ac:dyDescent="0.2">
      <c r="A2676">
        <v>6</v>
      </c>
      <c r="B2676" t="s">
        <v>84</v>
      </c>
      <c r="E2676" t="s">
        <v>36</v>
      </c>
      <c r="F2676">
        <v>2988429</v>
      </c>
      <c r="G2676">
        <v>4</v>
      </c>
      <c r="H2676">
        <v>1</v>
      </c>
      <c r="I2676">
        <v>133</v>
      </c>
      <c r="J2676">
        <v>1980</v>
      </c>
      <c r="K2676" s="4">
        <v>45663</v>
      </c>
      <c r="L2676" t="s">
        <v>20</v>
      </c>
      <c r="M2676" t="s">
        <v>68</v>
      </c>
      <c r="N2676">
        <v>1.72</v>
      </c>
      <c r="O2676">
        <v>1713</v>
      </c>
      <c r="P2676">
        <v>4.71</v>
      </c>
      <c r="Q2676">
        <v>352</v>
      </c>
      <c r="R2676">
        <v>677</v>
      </c>
    </row>
    <row r="2677" spans="1:18" x14ac:dyDescent="0.2">
      <c r="A2677">
        <v>7</v>
      </c>
      <c r="B2677" t="s">
        <v>55</v>
      </c>
      <c r="E2677" t="s">
        <v>29</v>
      </c>
      <c r="F2677">
        <v>2660717</v>
      </c>
      <c r="G2677">
        <v>3</v>
      </c>
      <c r="H2677">
        <v>2</v>
      </c>
      <c r="I2677">
        <v>267</v>
      </c>
      <c r="J2677">
        <v>1972</v>
      </c>
      <c r="K2677" s="4">
        <v>45436</v>
      </c>
      <c r="L2677" t="s">
        <v>20</v>
      </c>
      <c r="M2677" t="s">
        <v>45</v>
      </c>
      <c r="N2677">
        <v>2.2599999999999998</v>
      </c>
      <c r="O2677">
        <v>2077</v>
      </c>
      <c r="P2677">
        <v>2.25</v>
      </c>
      <c r="Q2677">
        <v>201</v>
      </c>
      <c r="R2677">
        <v>383</v>
      </c>
    </row>
    <row r="2678" spans="1:18" x14ac:dyDescent="0.2">
      <c r="A2678">
        <v>4</v>
      </c>
      <c r="B2678" t="s">
        <v>81</v>
      </c>
      <c r="E2678" t="s">
        <v>51</v>
      </c>
      <c r="F2678">
        <v>2882158</v>
      </c>
      <c r="G2678">
        <v>3</v>
      </c>
      <c r="H2678">
        <v>3</v>
      </c>
      <c r="I2678">
        <v>656</v>
      </c>
      <c r="J2678">
        <v>1985</v>
      </c>
      <c r="K2678" s="4">
        <v>44132</v>
      </c>
      <c r="L2678" t="s">
        <v>23</v>
      </c>
      <c r="M2678" t="s">
        <v>70</v>
      </c>
      <c r="N2678">
        <v>1.58</v>
      </c>
      <c r="O2678">
        <v>1280</v>
      </c>
      <c r="P2678">
        <v>3.66</v>
      </c>
      <c r="Q2678">
        <v>212</v>
      </c>
      <c r="R2678">
        <v>507</v>
      </c>
    </row>
    <row r="2679" spans="1:18" x14ac:dyDescent="0.2">
      <c r="A2679">
        <v>8</v>
      </c>
      <c r="B2679" t="s">
        <v>50</v>
      </c>
      <c r="E2679" t="s">
        <v>51</v>
      </c>
      <c r="F2679">
        <v>1153631</v>
      </c>
      <c r="G2679">
        <v>5</v>
      </c>
      <c r="H2679">
        <v>3</v>
      </c>
      <c r="I2679">
        <v>397</v>
      </c>
      <c r="J2679">
        <v>2019</v>
      </c>
      <c r="K2679" s="4">
        <v>44160</v>
      </c>
      <c r="L2679" t="s">
        <v>23</v>
      </c>
      <c r="M2679" t="s">
        <v>78</v>
      </c>
      <c r="N2679">
        <v>2.48</v>
      </c>
      <c r="O2679">
        <v>1514</v>
      </c>
      <c r="P2679">
        <v>0.72</v>
      </c>
      <c r="Q2679">
        <v>343</v>
      </c>
      <c r="R2679">
        <v>388</v>
      </c>
    </row>
    <row r="2680" spans="1:18" x14ac:dyDescent="0.2">
      <c r="A2680">
        <v>0</v>
      </c>
      <c r="B2680" t="s">
        <v>53</v>
      </c>
      <c r="E2680" t="s">
        <v>19</v>
      </c>
      <c r="F2680">
        <v>1920639</v>
      </c>
      <c r="G2680">
        <v>5</v>
      </c>
      <c r="H2680">
        <v>3</v>
      </c>
      <c r="I2680">
        <v>488</v>
      </c>
      <c r="J2680">
        <v>2009</v>
      </c>
      <c r="K2680" s="4">
        <v>44698</v>
      </c>
      <c r="L2680" t="s">
        <v>23</v>
      </c>
      <c r="M2680" t="s">
        <v>21</v>
      </c>
      <c r="N2680">
        <v>3.23</v>
      </c>
      <c r="O2680">
        <v>1412</v>
      </c>
      <c r="P2680">
        <v>1.03</v>
      </c>
      <c r="Q2680">
        <v>367</v>
      </c>
      <c r="R2680">
        <v>334</v>
      </c>
    </row>
    <row r="2681" spans="1:18" x14ac:dyDescent="0.2">
      <c r="A2681">
        <v>1</v>
      </c>
      <c r="B2681" t="s">
        <v>98</v>
      </c>
      <c r="E2681" t="s">
        <v>36</v>
      </c>
      <c r="F2681">
        <v>1749430</v>
      </c>
      <c r="G2681">
        <v>6</v>
      </c>
      <c r="H2681">
        <v>1</v>
      </c>
      <c r="I2681">
        <v>100</v>
      </c>
      <c r="J2681">
        <v>1955</v>
      </c>
      <c r="K2681" s="4">
        <v>45247</v>
      </c>
      <c r="L2681" t="s">
        <v>26</v>
      </c>
      <c r="M2681" t="s">
        <v>47</v>
      </c>
      <c r="N2681">
        <v>2.21</v>
      </c>
      <c r="O2681">
        <v>2308</v>
      </c>
      <c r="P2681">
        <v>0.71</v>
      </c>
      <c r="Q2681">
        <v>398</v>
      </c>
      <c r="R2681">
        <v>506</v>
      </c>
    </row>
    <row r="2682" spans="1:18" x14ac:dyDescent="0.2">
      <c r="A2682">
        <v>2</v>
      </c>
      <c r="B2682" t="s">
        <v>61</v>
      </c>
      <c r="E2682" t="s">
        <v>19</v>
      </c>
      <c r="F2682">
        <v>1325717</v>
      </c>
      <c r="G2682">
        <v>3</v>
      </c>
      <c r="H2682">
        <v>2</v>
      </c>
      <c r="I2682">
        <v>462</v>
      </c>
      <c r="J2682">
        <v>2020</v>
      </c>
      <c r="K2682" s="4">
        <v>44797</v>
      </c>
      <c r="L2682" t="s">
        <v>30</v>
      </c>
      <c r="M2682" t="s">
        <v>60</v>
      </c>
      <c r="N2682">
        <v>2.08</v>
      </c>
      <c r="O2682">
        <v>1847</v>
      </c>
      <c r="P2682">
        <v>2.69</v>
      </c>
      <c r="Q2682">
        <v>198</v>
      </c>
      <c r="R2682">
        <v>537</v>
      </c>
    </row>
    <row r="2683" spans="1:18" x14ac:dyDescent="0.2">
      <c r="A2683">
        <v>5</v>
      </c>
      <c r="B2683" t="s">
        <v>96</v>
      </c>
      <c r="E2683" t="s">
        <v>51</v>
      </c>
      <c r="F2683">
        <v>1586058</v>
      </c>
      <c r="G2683">
        <v>2</v>
      </c>
      <c r="H2683">
        <v>3</v>
      </c>
      <c r="I2683">
        <v>594</v>
      </c>
      <c r="J2683">
        <v>2014</v>
      </c>
      <c r="K2683" s="4">
        <v>45816</v>
      </c>
      <c r="L2683" t="s">
        <v>20</v>
      </c>
      <c r="M2683" t="s">
        <v>42</v>
      </c>
      <c r="N2683">
        <v>1.95</v>
      </c>
      <c r="O2683">
        <v>1414</v>
      </c>
      <c r="P2683">
        <v>4.8</v>
      </c>
      <c r="Q2683">
        <v>192</v>
      </c>
      <c r="R2683">
        <v>505</v>
      </c>
    </row>
    <row r="2684" spans="1:18" x14ac:dyDescent="0.2">
      <c r="A2684">
        <v>2</v>
      </c>
      <c r="B2684" t="s">
        <v>44</v>
      </c>
      <c r="E2684" t="s">
        <v>51</v>
      </c>
      <c r="F2684">
        <v>2675139</v>
      </c>
      <c r="G2684">
        <v>2</v>
      </c>
      <c r="H2684">
        <v>3</v>
      </c>
      <c r="I2684">
        <v>715</v>
      </c>
      <c r="J2684">
        <v>1980</v>
      </c>
      <c r="K2684" s="4">
        <v>44893</v>
      </c>
      <c r="L2684" t="s">
        <v>26</v>
      </c>
      <c r="M2684" t="s">
        <v>68</v>
      </c>
      <c r="N2684">
        <v>3.17</v>
      </c>
      <c r="O2684">
        <v>1451</v>
      </c>
      <c r="P2684">
        <v>2.02</v>
      </c>
      <c r="Q2684">
        <v>230</v>
      </c>
      <c r="R2684">
        <v>499</v>
      </c>
    </row>
    <row r="2685" spans="1:18" x14ac:dyDescent="0.2">
      <c r="A2685">
        <v>9</v>
      </c>
      <c r="B2685" t="s">
        <v>80</v>
      </c>
      <c r="E2685" t="s">
        <v>36</v>
      </c>
      <c r="F2685">
        <v>1244890</v>
      </c>
      <c r="G2685">
        <v>4</v>
      </c>
      <c r="H2685">
        <v>1</v>
      </c>
      <c r="I2685">
        <v>458</v>
      </c>
      <c r="J2685">
        <v>1971</v>
      </c>
      <c r="K2685" s="4">
        <v>45477</v>
      </c>
      <c r="L2685" t="s">
        <v>23</v>
      </c>
      <c r="M2685" t="s">
        <v>52</v>
      </c>
      <c r="N2685">
        <v>1.93</v>
      </c>
      <c r="O2685">
        <v>1445</v>
      </c>
      <c r="P2685">
        <v>4.1100000000000003</v>
      </c>
      <c r="Q2685">
        <v>168</v>
      </c>
      <c r="R2685">
        <v>603</v>
      </c>
    </row>
    <row r="2686" spans="1:18" x14ac:dyDescent="0.2">
      <c r="A2686">
        <v>3</v>
      </c>
      <c r="B2686" t="s">
        <v>80</v>
      </c>
      <c r="E2686" t="s">
        <v>36</v>
      </c>
      <c r="F2686">
        <v>804230</v>
      </c>
      <c r="G2686">
        <v>4</v>
      </c>
      <c r="H2686">
        <v>1</v>
      </c>
      <c r="I2686">
        <v>792</v>
      </c>
      <c r="J2686">
        <v>1974</v>
      </c>
      <c r="K2686" s="4">
        <v>45667</v>
      </c>
      <c r="L2686" t="s">
        <v>30</v>
      </c>
      <c r="M2686" t="s">
        <v>35</v>
      </c>
      <c r="N2686">
        <v>3.22</v>
      </c>
      <c r="O2686">
        <v>1011</v>
      </c>
      <c r="P2686">
        <v>0.51</v>
      </c>
      <c r="Q2686">
        <v>365</v>
      </c>
      <c r="R2686">
        <v>512</v>
      </c>
    </row>
    <row r="2687" spans="1:18" x14ac:dyDescent="0.2">
      <c r="A2687">
        <v>7</v>
      </c>
      <c r="B2687" t="s">
        <v>93</v>
      </c>
      <c r="E2687" t="s">
        <v>36</v>
      </c>
      <c r="F2687">
        <v>427978</v>
      </c>
      <c r="G2687">
        <v>5</v>
      </c>
      <c r="H2687">
        <v>2</v>
      </c>
      <c r="I2687">
        <v>897</v>
      </c>
      <c r="J2687">
        <v>1958</v>
      </c>
      <c r="K2687" s="4">
        <v>45629</v>
      </c>
      <c r="L2687" t="s">
        <v>20</v>
      </c>
      <c r="M2687" t="s">
        <v>37</v>
      </c>
      <c r="N2687">
        <v>2.21</v>
      </c>
      <c r="O2687">
        <v>1273</v>
      </c>
      <c r="P2687">
        <v>3.78</v>
      </c>
      <c r="Q2687">
        <v>241</v>
      </c>
      <c r="R2687">
        <v>300</v>
      </c>
    </row>
    <row r="2688" spans="1:18" x14ac:dyDescent="0.2">
      <c r="A2688">
        <v>7</v>
      </c>
      <c r="B2688" t="s">
        <v>32</v>
      </c>
      <c r="E2688" t="s">
        <v>51</v>
      </c>
      <c r="F2688">
        <v>629435</v>
      </c>
      <c r="G2688">
        <v>3</v>
      </c>
      <c r="H2688">
        <v>2</v>
      </c>
      <c r="I2688">
        <v>483</v>
      </c>
      <c r="J2688">
        <v>2011</v>
      </c>
      <c r="K2688" s="4">
        <v>44474</v>
      </c>
      <c r="L2688" t="s">
        <v>30</v>
      </c>
      <c r="M2688" t="s">
        <v>47</v>
      </c>
      <c r="N2688">
        <v>2.0099999999999998</v>
      </c>
      <c r="O2688">
        <v>1019</v>
      </c>
      <c r="P2688">
        <v>1.5</v>
      </c>
      <c r="Q2688">
        <v>134</v>
      </c>
      <c r="R2688">
        <v>442</v>
      </c>
    </row>
    <row r="2689" spans="1:18" x14ac:dyDescent="0.2">
      <c r="A2689">
        <v>7</v>
      </c>
      <c r="B2689" t="s">
        <v>25</v>
      </c>
      <c r="E2689" t="s">
        <v>29</v>
      </c>
      <c r="F2689">
        <v>2447144</v>
      </c>
      <c r="G2689">
        <v>3</v>
      </c>
      <c r="H2689">
        <v>1</v>
      </c>
      <c r="I2689">
        <v>472</v>
      </c>
      <c r="J2689">
        <v>1970</v>
      </c>
      <c r="K2689" s="4">
        <v>45181</v>
      </c>
      <c r="L2689" t="s">
        <v>30</v>
      </c>
      <c r="M2689" t="s">
        <v>45</v>
      </c>
      <c r="N2689">
        <v>2.19</v>
      </c>
      <c r="O2689">
        <v>1197</v>
      </c>
      <c r="P2689">
        <v>1.74</v>
      </c>
      <c r="Q2689">
        <v>227</v>
      </c>
      <c r="R2689">
        <v>437</v>
      </c>
    </row>
    <row r="2690" spans="1:18" x14ac:dyDescent="0.2">
      <c r="A2690">
        <v>2</v>
      </c>
      <c r="B2690" t="s">
        <v>50</v>
      </c>
      <c r="E2690" t="s">
        <v>19</v>
      </c>
      <c r="F2690">
        <v>1802878</v>
      </c>
      <c r="G2690">
        <v>4</v>
      </c>
      <c r="H2690">
        <v>2</v>
      </c>
      <c r="I2690">
        <v>205</v>
      </c>
      <c r="J2690">
        <v>2020</v>
      </c>
      <c r="K2690" s="4">
        <v>45484</v>
      </c>
      <c r="L2690" t="s">
        <v>30</v>
      </c>
      <c r="M2690" t="s">
        <v>60</v>
      </c>
      <c r="N2690">
        <v>1.9</v>
      </c>
      <c r="O2690">
        <v>2178</v>
      </c>
      <c r="P2690">
        <v>4.79</v>
      </c>
      <c r="Q2690">
        <v>282</v>
      </c>
      <c r="R2690">
        <v>352</v>
      </c>
    </row>
    <row r="2691" spans="1:18" x14ac:dyDescent="0.2">
      <c r="A2691">
        <v>2</v>
      </c>
      <c r="B2691" t="s">
        <v>73</v>
      </c>
      <c r="E2691" t="s">
        <v>29</v>
      </c>
      <c r="F2691">
        <v>2944453</v>
      </c>
      <c r="G2691">
        <v>4</v>
      </c>
      <c r="H2691">
        <v>1</v>
      </c>
      <c r="I2691">
        <v>588</v>
      </c>
      <c r="J2691">
        <v>1964</v>
      </c>
      <c r="K2691" s="4">
        <v>44133</v>
      </c>
      <c r="L2691" t="s">
        <v>30</v>
      </c>
      <c r="M2691" t="s">
        <v>52</v>
      </c>
      <c r="N2691">
        <v>1.95</v>
      </c>
      <c r="O2691">
        <v>1177</v>
      </c>
      <c r="P2691">
        <v>3.94</v>
      </c>
      <c r="Q2691">
        <v>211</v>
      </c>
      <c r="R2691">
        <v>305</v>
      </c>
    </row>
    <row r="2692" spans="1:18" x14ac:dyDescent="0.2">
      <c r="A2692">
        <v>5</v>
      </c>
      <c r="B2692" t="s">
        <v>48</v>
      </c>
      <c r="E2692" t="s">
        <v>36</v>
      </c>
      <c r="F2692">
        <v>1284181</v>
      </c>
      <c r="G2692">
        <v>2</v>
      </c>
      <c r="H2692">
        <v>2</v>
      </c>
      <c r="I2692">
        <v>266</v>
      </c>
      <c r="J2692">
        <v>1966</v>
      </c>
      <c r="K2692" s="4">
        <v>45824</v>
      </c>
      <c r="L2692" t="s">
        <v>20</v>
      </c>
      <c r="M2692" t="s">
        <v>52</v>
      </c>
      <c r="N2692">
        <v>1.56</v>
      </c>
      <c r="O2692">
        <v>2011</v>
      </c>
      <c r="P2692">
        <v>1.34</v>
      </c>
      <c r="Q2692">
        <v>42</v>
      </c>
      <c r="R2692">
        <v>384</v>
      </c>
    </row>
    <row r="2693" spans="1:18" x14ac:dyDescent="0.2">
      <c r="A2693">
        <v>8</v>
      </c>
      <c r="B2693" t="s">
        <v>90</v>
      </c>
      <c r="E2693" t="s">
        <v>51</v>
      </c>
      <c r="F2693">
        <v>2542351</v>
      </c>
      <c r="G2693">
        <v>0</v>
      </c>
      <c r="H2693">
        <v>3</v>
      </c>
      <c r="I2693">
        <v>483</v>
      </c>
      <c r="J2693">
        <v>1987</v>
      </c>
      <c r="K2693" s="4">
        <v>45792</v>
      </c>
      <c r="L2693" t="s">
        <v>20</v>
      </c>
      <c r="M2693" t="s">
        <v>70</v>
      </c>
      <c r="N2693">
        <v>2.8</v>
      </c>
      <c r="O2693">
        <v>974</v>
      </c>
      <c r="P2693">
        <v>2.14</v>
      </c>
      <c r="Q2693">
        <v>59</v>
      </c>
      <c r="R2693">
        <v>693</v>
      </c>
    </row>
    <row r="2694" spans="1:18" x14ac:dyDescent="0.2">
      <c r="A2694">
        <v>9</v>
      </c>
      <c r="B2694" t="s">
        <v>73</v>
      </c>
      <c r="E2694" t="s">
        <v>19</v>
      </c>
      <c r="F2694">
        <v>2466271</v>
      </c>
      <c r="G2694">
        <v>5</v>
      </c>
      <c r="H2694">
        <v>2</v>
      </c>
      <c r="I2694">
        <v>110</v>
      </c>
      <c r="J2694">
        <v>1967</v>
      </c>
      <c r="K2694" s="4">
        <v>44547</v>
      </c>
      <c r="L2694" t="s">
        <v>23</v>
      </c>
      <c r="M2694" t="s">
        <v>76</v>
      </c>
      <c r="N2694">
        <v>3.17</v>
      </c>
      <c r="O2694">
        <v>1780</v>
      </c>
      <c r="P2694">
        <v>4.46</v>
      </c>
      <c r="Q2694">
        <v>325</v>
      </c>
      <c r="R2694">
        <v>621</v>
      </c>
    </row>
    <row r="2695" spans="1:18" x14ac:dyDescent="0.2">
      <c r="A2695">
        <v>5</v>
      </c>
      <c r="B2695" t="s">
        <v>38</v>
      </c>
      <c r="E2695" t="s">
        <v>19</v>
      </c>
      <c r="F2695">
        <v>1013641</v>
      </c>
      <c r="G2695">
        <v>6</v>
      </c>
      <c r="H2695">
        <v>3</v>
      </c>
      <c r="I2695">
        <v>759</v>
      </c>
      <c r="J2695">
        <v>1964</v>
      </c>
      <c r="K2695" s="4">
        <v>45639</v>
      </c>
      <c r="L2695" t="s">
        <v>23</v>
      </c>
      <c r="M2695" t="s">
        <v>33</v>
      </c>
      <c r="N2695">
        <v>2.14</v>
      </c>
      <c r="O2695">
        <v>2397</v>
      </c>
      <c r="P2695">
        <v>1.18</v>
      </c>
      <c r="Q2695">
        <v>360</v>
      </c>
      <c r="R2695">
        <v>576</v>
      </c>
    </row>
    <row r="2696" spans="1:18" x14ac:dyDescent="0.2">
      <c r="A2696">
        <v>9</v>
      </c>
      <c r="B2696" t="s">
        <v>61</v>
      </c>
      <c r="E2696" t="s">
        <v>19</v>
      </c>
      <c r="F2696">
        <v>963972</v>
      </c>
      <c r="G2696">
        <v>6</v>
      </c>
      <c r="H2696">
        <v>2</v>
      </c>
      <c r="I2696">
        <v>157</v>
      </c>
      <c r="J2696">
        <v>1984</v>
      </c>
      <c r="K2696" s="4">
        <v>45832</v>
      </c>
      <c r="L2696" t="s">
        <v>30</v>
      </c>
      <c r="M2696" t="s">
        <v>33</v>
      </c>
      <c r="N2696">
        <v>2.76</v>
      </c>
      <c r="O2696">
        <v>2224</v>
      </c>
      <c r="P2696">
        <v>1.98</v>
      </c>
      <c r="Q2696">
        <v>324</v>
      </c>
      <c r="R2696">
        <v>628</v>
      </c>
    </row>
    <row r="2697" spans="1:18" x14ac:dyDescent="0.2">
      <c r="A2697">
        <v>1</v>
      </c>
      <c r="B2697" t="s">
        <v>32</v>
      </c>
      <c r="E2697" t="s">
        <v>36</v>
      </c>
      <c r="F2697">
        <v>2097595</v>
      </c>
      <c r="G2697">
        <v>-2</v>
      </c>
      <c r="H2697">
        <v>1</v>
      </c>
      <c r="I2697">
        <v>643</v>
      </c>
      <c r="J2697">
        <v>2001</v>
      </c>
      <c r="K2697" s="4">
        <v>45179</v>
      </c>
      <c r="L2697" t="s">
        <v>20</v>
      </c>
      <c r="M2697" t="s">
        <v>27</v>
      </c>
      <c r="N2697">
        <v>3.24</v>
      </c>
      <c r="O2697">
        <v>2188</v>
      </c>
      <c r="P2697">
        <v>1.51</v>
      </c>
      <c r="Q2697">
        <v>310</v>
      </c>
      <c r="R2697">
        <v>427</v>
      </c>
    </row>
    <row r="2698" spans="1:18" x14ac:dyDescent="0.2">
      <c r="A2698">
        <v>6</v>
      </c>
      <c r="B2698" t="s">
        <v>72</v>
      </c>
      <c r="E2698" t="s">
        <v>51</v>
      </c>
      <c r="F2698">
        <v>810723</v>
      </c>
      <c r="G2698">
        <v>2</v>
      </c>
      <c r="H2698">
        <v>2</v>
      </c>
      <c r="I2698">
        <v>898</v>
      </c>
      <c r="J2698">
        <v>1963</v>
      </c>
      <c r="K2698" s="4">
        <v>44540</v>
      </c>
      <c r="L2698" t="s">
        <v>23</v>
      </c>
      <c r="M2698" t="s">
        <v>69</v>
      </c>
      <c r="N2698">
        <v>1.93</v>
      </c>
      <c r="O2698">
        <v>1142</v>
      </c>
      <c r="P2698">
        <v>1.73</v>
      </c>
      <c r="Q2698">
        <v>48</v>
      </c>
      <c r="R2698">
        <v>619</v>
      </c>
    </row>
    <row r="2699" spans="1:18" x14ac:dyDescent="0.2">
      <c r="A2699">
        <v>2</v>
      </c>
      <c r="B2699" t="s">
        <v>72</v>
      </c>
      <c r="E2699" t="s">
        <v>51</v>
      </c>
      <c r="F2699">
        <v>1991359</v>
      </c>
      <c r="G2699">
        <v>4</v>
      </c>
      <c r="H2699">
        <v>3</v>
      </c>
      <c r="I2699">
        <v>641</v>
      </c>
      <c r="J2699">
        <v>2008</v>
      </c>
      <c r="K2699" s="4">
        <v>44092</v>
      </c>
      <c r="L2699" t="s">
        <v>30</v>
      </c>
      <c r="M2699" t="s">
        <v>37</v>
      </c>
      <c r="N2699">
        <v>1.5</v>
      </c>
      <c r="O2699">
        <v>1701</v>
      </c>
      <c r="P2699">
        <v>4.3899999999999997</v>
      </c>
      <c r="Q2699">
        <v>192</v>
      </c>
      <c r="R2699">
        <v>463</v>
      </c>
    </row>
    <row r="2700" spans="1:18" x14ac:dyDescent="0.2">
      <c r="A2700">
        <v>9</v>
      </c>
      <c r="B2700" t="s">
        <v>87</v>
      </c>
      <c r="E2700" t="s">
        <v>19</v>
      </c>
      <c r="F2700">
        <v>1612203</v>
      </c>
      <c r="G2700">
        <v>3</v>
      </c>
      <c r="H2700">
        <v>3</v>
      </c>
      <c r="I2700">
        <v>330</v>
      </c>
      <c r="J2700">
        <v>1973</v>
      </c>
      <c r="K2700" s="4">
        <v>44755</v>
      </c>
      <c r="L2700" t="s">
        <v>23</v>
      </c>
      <c r="M2700" t="s">
        <v>97</v>
      </c>
      <c r="N2700">
        <v>1.99</v>
      </c>
      <c r="O2700">
        <v>1540</v>
      </c>
      <c r="P2700">
        <v>2.23</v>
      </c>
      <c r="Q2700">
        <v>289</v>
      </c>
      <c r="R2700">
        <v>337</v>
      </c>
    </row>
    <row r="2701" spans="1:18" x14ac:dyDescent="0.2">
      <c r="A2701">
        <v>4</v>
      </c>
      <c r="B2701" t="s">
        <v>50</v>
      </c>
      <c r="E2701" t="s">
        <v>29</v>
      </c>
      <c r="F2701">
        <v>1346872</v>
      </c>
      <c r="G2701">
        <v>2</v>
      </c>
      <c r="H2701">
        <v>1</v>
      </c>
      <c r="I2701">
        <v>258</v>
      </c>
      <c r="J2701">
        <v>1990</v>
      </c>
      <c r="K2701" s="4">
        <v>44300</v>
      </c>
      <c r="L2701" t="s">
        <v>26</v>
      </c>
      <c r="M2701" t="s">
        <v>40</v>
      </c>
      <c r="N2701">
        <v>2.98</v>
      </c>
      <c r="O2701">
        <v>1511</v>
      </c>
      <c r="P2701">
        <v>3.02</v>
      </c>
      <c r="Q2701">
        <v>166</v>
      </c>
      <c r="R2701">
        <v>604</v>
      </c>
    </row>
    <row r="2702" spans="1:18" x14ac:dyDescent="0.2">
      <c r="A2702">
        <v>3</v>
      </c>
      <c r="B2702" t="s">
        <v>73</v>
      </c>
      <c r="E2702" t="s">
        <v>29</v>
      </c>
      <c r="F2702">
        <v>925502</v>
      </c>
      <c r="G2702">
        <v>4</v>
      </c>
      <c r="H2702">
        <v>3</v>
      </c>
      <c r="I2702">
        <v>608</v>
      </c>
      <c r="J2702">
        <v>1972</v>
      </c>
      <c r="K2702" s="4">
        <v>45457</v>
      </c>
      <c r="L2702" t="s">
        <v>23</v>
      </c>
      <c r="M2702" t="s">
        <v>52</v>
      </c>
      <c r="N2702">
        <v>2.21</v>
      </c>
      <c r="O2702">
        <v>1447</v>
      </c>
      <c r="P2702">
        <v>2.84</v>
      </c>
      <c r="Q2702">
        <v>175</v>
      </c>
      <c r="R2702">
        <v>437</v>
      </c>
    </row>
    <row r="2703" spans="1:18" x14ac:dyDescent="0.2">
      <c r="A2703">
        <v>6</v>
      </c>
      <c r="B2703" t="s">
        <v>105</v>
      </c>
      <c r="E2703" t="s">
        <v>36</v>
      </c>
      <c r="F2703">
        <v>479782</v>
      </c>
      <c r="G2703">
        <v>3</v>
      </c>
      <c r="H2703">
        <v>2</v>
      </c>
      <c r="I2703">
        <v>119</v>
      </c>
      <c r="J2703">
        <v>1987</v>
      </c>
      <c r="K2703" s="4">
        <v>45096</v>
      </c>
      <c r="L2703" t="s">
        <v>23</v>
      </c>
      <c r="M2703" t="s">
        <v>76</v>
      </c>
      <c r="N2703">
        <v>3.44</v>
      </c>
      <c r="O2703">
        <v>916</v>
      </c>
      <c r="P2703">
        <v>2.73</v>
      </c>
      <c r="Q2703">
        <v>207</v>
      </c>
      <c r="R2703">
        <v>666</v>
      </c>
    </row>
    <row r="2704" spans="1:18" x14ac:dyDescent="0.2">
      <c r="A2704">
        <v>1</v>
      </c>
      <c r="B2704" t="s">
        <v>93</v>
      </c>
      <c r="E2704" t="s">
        <v>51</v>
      </c>
      <c r="F2704">
        <v>1866493</v>
      </c>
      <c r="G2704">
        <v>1</v>
      </c>
      <c r="H2704">
        <v>2</v>
      </c>
      <c r="I2704">
        <v>538</v>
      </c>
      <c r="J2704">
        <v>1973</v>
      </c>
      <c r="K2704" s="4">
        <v>45838</v>
      </c>
      <c r="L2704" t="s">
        <v>23</v>
      </c>
      <c r="M2704" t="s">
        <v>70</v>
      </c>
      <c r="N2704">
        <v>1.84</v>
      </c>
      <c r="O2704">
        <v>863</v>
      </c>
      <c r="P2704">
        <v>4.78</v>
      </c>
      <c r="Q2704">
        <v>117</v>
      </c>
      <c r="R2704">
        <v>359</v>
      </c>
    </row>
    <row r="2705" spans="1:18" x14ac:dyDescent="0.2">
      <c r="A2705">
        <v>8</v>
      </c>
      <c r="B2705" t="s">
        <v>44</v>
      </c>
      <c r="E2705" t="s">
        <v>36</v>
      </c>
      <c r="F2705">
        <v>419669</v>
      </c>
      <c r="G2705">
        <v>3</v>
      </c>
      <c r="H2705">
        <v>1</v>
      </c>
      <c r="I2705">
        <v>690</v>
      </c>
      <c r="J2705">
        <v>1975</v>
      </c>
      <c r="K2705" s="4">
        <v>45082</v>
      </c>
      <c r="L2705" t="s">
        <v>30</v>
      </c>
      <c r="M2705" t="s">
        <v>45</v>
      </c>
      <c r="N2705">
        <v>1.67</v>
      </c>
      <c r="O2705">
        <v>2299</v>
      </c>
      <c r="P2705">
        <v>2.71</v>
      </c>
      <c r="Q2705">
        <v>161</v>
      </c>
      <c r="R2705">
        <v>662</v>
      </c>
    </row>
    <row r="2706" spans="1:18" x14ac:dyDescent="0.2">
      <c r="A2706">
        <v>7</v>
      </c>
      <c r="B2706" t="s">
        <v>84</v>
      </c>
      <c r="E2706" t="s">
        <v>29</v>
      </c>
      <c r="F2706">
        <v>2321015</v>
      </c>
      <c r="G2706">
        <v>4</v>
      </c>
      <c r="H2706">
        <v>1</v>
      </c>
      <c r="I2706">
        <v>185</v>
      </c>
      <c r="J2706">
        <v>1994</v>
      </c>
      <c r="K2706" s="4">
        <v>45698</v>
      </c>
      <c r="L2706" t="s">
        <v>23</v>
      </c>
      <c r="M2706" t="s">
        <v>47</v>
      </c>
      <c r="N2706">
        <v>3.4</v>
      </c>
      <c r="O2706">
        <v>1669</v>
      </c>
      <c r="P2706">
        <v>0.54</v>
      </c>
      <c r="Q2706">
        <v>207</v>
      </c>
      <c r="R2706">
        <v>526</v>
      </c>
    </row>
    <row r="2707" spans="1:18" x14ac:dyDescent="0.2">
      <c r="A2707">
        <v>2</v>
      </c>
      <c r="B2707" t="s">
        <v>53</v>
      </c>
      <c r="E2707" t="s">
        <v>19</v>
      </c>
      <c r="F2707">
        <v>1745158</v>
      </c>
      <c r="G2707">
        <v>2</v>
      </c>
      <c r="H2707">
        <v>3</v>
      </c>
      <c r="I2707">
        <v>84</v>
      </c>
      <c r="J2707">
        <v>2008</v>
      </c>
      <c r="K2707" s="4">
        <v>44621</v>
      </c>
      <c r="L2707" t="s">
        <v>26</v>
      </c>
      <c r="M2707" t="s">
        <v>97</v>
      </c>
      <c r="N2707">
        <v>3.02</v>
      </c>
      <c r="O2707">
        <v>1766</v>
      </c>
      <c r="P2707">
        <v>3.49</v>
      </c>
      <c r="Q2707">
        <v>189</v>
      </c>
      <c r="R2707">
        <v>419</v>
      </c>
    </row>
    <row r="2708" spans="1:18" x14ac:dyDescent="0.2">
      <c r="A2708">
        <v>8</v>
      </c>
      <c r="B2708" t="s">
        <v>95</v>
      </c>
      <c r="E2708" t="s">
        <v>36</v>
      </c>
      <c r="F2708">
        <v>1112507</v>
      </c>
      <c r="G2708">
        <v>4</v>
      </c>
      <c r="H2708">
        <v>3</v>
      </c>
      <c r="I2708">
        <v>345</v>
      </c>
      <c r="J2708">
        <v>1986</v>
      </c>
      <c r="K2708" s="4">
        <v>44353</v>
      </c>
      <c r="L2708" t="s">
        <v>30</v>
      </c>
      <c r="M2708" t="s">
        <v>85</v>
      </c>
      <c r="N2708">
        <v>3.26</v>
      </c>
      <c r="O2708">
        <v>1870</v>
      </c>
      <c r="P2708">
        <v>1.77</v>
      </c>
      <c r="Q2708">
        <v>312</v>
      </c>
      <c r="R2708">
        <v>532</v>
      </c>
    </row>
    <row r="2709" spans="1:18" x14ac:dyDescent="0.2">
      <c r="A2709">
        <v>9</v>
      </c>
      <c r="B2709" t="s">
        <v>18</v>
      </c>
      <c r="E2709" t="s">
        <v>36</v>
      </c>
      <c r="F2709">
        <v>2561102</v>
      </c>
      <c r="G2709">
        <v>6</v>
      </c>
      <c r="H2709">
        <v>3</v>
      </c>
      <c r="I2709">
        <v>958</v>
      </c>
      <c r="J2709">
        <v>2001</v>
      </c>
      <c r="K2709" s="4">
        <v>45791</v>
      </c>
      <c r="L2709" t="s">
        <v>23</v>
      </c>
      <c r="M2709" t="s">
        <v>69</v>
      </c>
      <c r="N2709">
        <v>2.73</v>
      </c>
      <c r="O2709">
        <v>2318</v>
      </c>
      <c r="P2709">
        <v>3.6</v>
      </c>
      <c r="Q2709">
        <v>393</v>
      </c>
      <c r="R2709">
        <v>575</v>
      </c>
    </row>
    <row r="2710" spans="1:18" x14ac:dyDescent="0.2">
      <c r="A2710">
        <v>1</v>
      </c>
      <c r="B2710" t="s">
        <v>94</v>
      </c>
      <c r="E2710" t="s">
        <v>36</v>
      </c>
      <c r="F2710">
        <v>2512595</v>
      </c>
      <c r="G2710">
        <v>2</v>
      </c>
      <c r="H2710">
        <v>3</v>
      </c>
      <c r="I2710">
        <v>217</v>
      </c>
      <c r="J2710">
        <v>1998</v>
      </c>
      <c r="K2710" s="4">
        <v>45280</v>
      </c>
      <c r="L2710" t="s">
        <v>30</v>
      </c>
      <c r="M2710" t="s">
        <v>74</v>
      </c>
      <c r="N2710">
        <v>2.2999999999999998</v>
      </c>
      <c r="O2710">
        <v>1748</v>
      </c>
      <c r="P2710">
        <v>1.26</v>
      </c>
      <c r="Q2710">
        <v>219</v>
      </c>
      <c r="R2710">
        <v>490</v>
      </c>
    </row>
    <row r="2711" spans="1:18" x14ac:dyDescent="0.2">
      <c r="A2711">
        <v>6</v>
      </c>
      <c r="B2711" t="s">
        <v>86</v>
      </c>
      <c r="E2711" t="s">
        <v>36</v>
      </c>
      <c r="F2711">
        <v>1732569</v>
      </c>
      <c r="G2711">
        <v>5</v>
      </c>
      <c r="H2711">
        <v>3</v>
      </c>
      <c r="I2711">
        <v>255</v>
      </c>
      <c r="J2711">
        <v>2014</v>
      </c>
      <c r="K2711" s="4">
        <v>44714</v>
      </c>
      <c r="L2711" t="s">
        <v>26</v>
      </c>
      <c r="M2711" t="s">
        <v>45</v>
      </c>
      <c r="N2711">
        <v>2.81</v>
      </c>
      <c r="O2711">
        <v>1119</v>
      </c>
      <c r="P2711">
        <v>4.53</v>
      </c>
      <c r="Q2711">
        <v>364</v>
      </c>
      <c r="R2711">
        <v>506</v>
      </c>
    </row>
    <row r="2712" spans="1:18" x14ac:dyDescent="0.2">
      <c r="A2712">
        <v>3</v>
      </c>
      <c r="B2712" t="s">
        <v>48</v>
      </c>
      <c r="E2712" t="s">
        <v>29</v>
      </c>
      <c r="F2712">
        <v>2921005</v>
      </c>
      <c r="G2712">
        <v>2</v>
      </c>
      <c r="H2712">
        <v>3</v>
      </c>
      <c r="I2712">
        <v>127</v>
      </c>
      <c r="J2712">
        <v>2016</v>
      </c>
      <c r="K2712" s="4">
        <v>45195</v>
      </c>
      <c r="L2712" t="s">
        <v>20</v>
      </c>
      <c r="M2712" t="s">
        <v>77</v>
      </c>
      <c r="N2712">
        <v>1.52</v>
      </c>
      <c r="O2712">
        <v>1716</v>
      </c>
      <c r="P2712">
        <v>2.96</v>
      </c>
      <c r="Q2712">
        <v>134</v>
      </c>
      <c r="R2712">
        <v>607</v>
      </c>
    </row>
    <row r="2713" spans="1:18" x14ac:dyDescent="0.2">
      <c r="A2713">
        <v>3</v>
      </c>
      <c r="B2713" t="s">
        <v>100</v>
      </c>
      <c r="E2713" t="s">
        <v>29</v>
      </c>
      <c r="F2713">
        <v>1882220</v>
      </c>
      <c r="G2713">
        <v>1</v>
      </c>
      <c r="H2713">
        <v>1</v>
      </c>
      <c r="I2713">
        <v>280</v>
      </c>
      <c r="J2713">
        <v>2019</v>
      </c>
      <c r="K2713" s="4">
        <v>44946</v>
      </c>
      <c r="L2713" t="s">
        <v>20</v>
      </c>
      <c r="M2713" t="s">
        <v>85</v>
      </c>
      <c r="N2713">
        <v>3.01</v>
      </c>
      <c r="O2713">
        <v>2466</v>
      </c>
      <c r="P2713">
        <v>3.64</v>
      </c>
      <c r="Q2713">
        <v>44</v>
      </c>
      <c r="R2713">
        <v>673</v>
      </c>
    </row>
    <row r="2714" spans="1:18" x14ac:dyDescent="0.2">
      <c r="A2714">
        <v>7</v>
      </c>
      <c r="B2714" t="s">
        <v>106</v>
      </c>
      <c r="E2714" t="s">
        <v>29</v>
      </c>
      <c r="F2714">
        <v>1899552</v>
      </c>
      <c r="G2714">
        <v>6</v>
      </c>
      <c r="H2714">
        <v>1</v>
      </c>
      <c r="I2714">
        <v>145</v>
      </c>
      <c r="J2714">
        <v>1953</v>
      </c>
      <c r="K2714" s="4">
        <v>45036</v>
      </c>
      <c r="L2714" t="s">
        <v>26</v>
      </c>
      <c r="M2714" t="s">
        <v>82</v>
      </c>
      <c r="N2714">
        <v>1.64</v>
      </c>
      <c r="O2714">
        <v>1230</v>
      </c>
      <c r="P2714">
        <v>1.53</v>
      </c>
      <c r="Q2714">
        <v>381</v>
      </c>
      <c r="R2714">
        <v>450</v>
      </c>
    </row>
    <row r="2715" spans="1:18" x14ac:dyDescent="0.2">
      <c r="A2715">
        <v>1</v>
      </c>
      <c r="B2715" t="s">
        <v>87</v>
      </c>
      <c r="E2715" t="s">
        <v>51</v>
      </c>
      <c r="F2715">
        <v>2591752</v>
      </c>
      <c r="G2715">
        <v>3</v>
      </c>
      <c r="H2715">
        <v>1</v>
      </c>
      <c r="I2715">
        <v>212</v>
      </c>
      <c r="J2715">
        <v>1963</v>
      </c>
      <c r="K2715" s="4">
        <v>44298</v>
      </c>
      <c r="L2715" t="s">
        <v>20</v>
      </c>
      <c r="M2715" t="s">
        <v>40</v>
      </c>
      <c r="N2715">
        <v>1.88</v>
      </c>
      <c r="O2715">
        <v>1402</v>
      </c>
      <c r="P2715">
        <v>2</v>
      </c>
      <c r="Q2715">
        <v>280</v>
      </c>
      <c r="R2715">
        <v>524</v>
      </c>
    </row>
    <row r="2716" spans="1:18" x14ac:dyDescent="0.2">
      <c r="A2716">
        <v>9</v>
      </c>
      <c r="B2716" t="s">
        <v>62</v>
      </c>
      <c r="E2716" t="s">
        <v>29</v>
      </c>
      <c r="F2716">
        <v>1546932</v>
      </c>
      <c r="G2716">
        <v>3</v>
      </c>
      <c r="H2716">
        <v>3</v>
      </c>
      <c r="I2716">
        <v>511</v>
      </c>
      <c r="J2716">
        <v>1953</v>
      </c>
      <c r="K2716" s="4">
        <v>45271</v>
      </c>
      <c r="L2716" t="s">
        <v>20</v>
      </c>
      <c r="M2716" t="s">
        <v>31</v>
      </c>
      <c r="N2716">
        <v>3.38</v>
      </c>
      <c r="O2716">
        <v>1695</v>
      </c>
      <c r="P2716">
        <v>0.11</v>
      </c>
      <c r="Q2716">
        <v>305</v>
      </c>
      <c r="R2716">
        <v>607</v>
      </c>
    </row>
    <row r="2717" spans="1:18" x14ac:dyDescent="0.2">
      <c r="A2717">
        <v>8</v>
      </c>
      <c r="B2717" t="s">
        <v>38</v>
      </c>
      <c r="E2717" t="s">
        <v>29</v>
      </c>
      <c r="F2717">
        <v>2068093</v>
      </c>
      <c r="G2717">
        <v>2</v>
      </c>
      <c r="H2717">
        <v>1</v>
      </c>
      <c r="I2717">
        <v>374</v>
      </c>
      <c r="J2717">
        <v>1977</v>
      </c>
      <c r="K2717" s="4">
        <v>45051</v>
      </c>
      <c r="L2717" t="s">
        <v>20</v>
      </c>
      <c r="M2717" t="s">
        <v>68</v>
      </c>
      <c r="N2717">
        <v>2.88</v>
      </c>
      <c r="O2717">
        <v>1352</v>
      </c>
      <c r="P2717">
        <v>3.92</v>
      </c>
      <c r="Q2717">
        <v>201</v>
      </c>
      <c r="R2717">
        <v>615</v>
      </c>
    </row>
    <row r="2718" spans="1:18" x14ac:dyDescent="0.2">
      <c r="A2718">
        <v>8</v>
      </c>
      <c r="B2718" t="s">
        <v>81</v>
      </c>
      <c r="E2718" t="s">
        <v>51</v>
      </c>
      <c r="F2718">
        <v>1924012</v>
      </c>
      <c r="G2718">
        <v>2</v>
      </c>
      <c r="H2718">
        <v>1</v>
      </c>
      <c r="I2718">
        <v>542</v>
      </c>
      <c r="J2718">
        <v>1988</v>
      </c>
      <c r="K2718" s="4">
        <v>45125</v>
      </c>
      <c r="L2718" t="s">
        <v>20</v>
      </c>
      <c r="M2718" t="s">
        <v>35</v>
      </c>
      <c r="N2718">
        <v>2.85</v>
      </c>
      <c r="O2718">
        <v>2464</v>
      </c>
      <c r="P2718">
        <v>1.9</v>
      </c>
      <c r="Q2718">
        <v>227</v>
      </c>
      <c r="R2718">
        <v>662</v>
      </c>
    </row>
    <row r="2719" spans="1:18" x14ac:dyDescent="0.2">
      <c r="A2719">
        <v>3</v>
      </c>
      <c r="B2719" t="s">
        <v>50</v>
      </c>
      <c r="E2719" t="s">
        <v>36</v>
      </c>
      <c r="F2719">
        <v>933900</v>
      </c>
      <c r="G2719">
        <v>4</v>
      </c>
      <c r="H2719">
        <v>3</v>
      </c>
      <c r="I2719">
        <v>868</v>
      </c>
      <c r="J2719">
        <v>1966</v>
      </c>
      <c r="K2719" s="4">
        <v>44618</v>
      </c>
      <c r="L2719" t="s">
        <v>20</v>
      </c>
      <c r="M2719" t="s">
        <v>33</v>
      </c>
      <c r="N2719">
        <v>1.75</v>
      </c>
      <c r="O2719">
        <v>1891</v>
      </c>
      <c r="P2719">
        <v>4.8600000000000003</v>
      </c>
      <c r="Q2719">
        <v>161</v>
      </c>
      <c r="R2719">
        <v>619</v>
      </c>
    </row>
    <row r="2720" spans="1:18" x14ac:dyDescent="0.2">
      <c r="A2720">
        <v>1</v>
      </c>
      <c r="B2720" t="s">
        <v>80</v>
      </c>
      <c r="E2720" t="s">
        <v>36</v>
      </c>
      <c r="F2720">
        <v>1701183</v>
      </c>
      <c r="G2720">
        <v>3</v>
      </c>
      <c r="H2720">
        <v>3</v>
      </c>
      <c r="I2720">
        <v>792</v>
      </c>
      <c r="J2720">
        <v>2016</v>
      </c>
      <c r="K2720" s="4">
        <v>44143</v>
      </c>
      <c r="L2720" t="s">
        <v>30</v>
      </c>
      <c r="M2720" t="s">
        <v>76</v>
      </c>
      <c r="N2720">
        <v>2.6</v>
      </c>
      <c r="O2720">
        <v>1757</v>
      </c>
      <c r="P2720">
        <v>1.3</v>
      </c>
      <c r="Q2720">
        <v>189</v>
      </c>
      <c r="R2720">
        <v>317</v>
      </c>
    </row>
    <row r="2721" spans="1:18" x14ac:dyDescent="0.2">
      <c r="A2721">
        <v>0</v>
      </c>
      <c r="B2721" t="s">
        <v>22</v>
      </c>
      <c r="E2721" t="s">
        <v>51</v>
      </c>
      <c r="F2721">
        <v>831959</v>
      </c>
      <c r="G2721">
        <v>3</v>
      </c>
      <c r="H2721">
        <v>1</v>
      </c>
      <c r="I2721">
        <v>272</v>
      </c>
      <c r="J2721">
        <v>2015</v>
      </c>
      <c r="K2721" s="4">
        <v>44340</v>
      </c>
      <c r="L2721" t="s">
        <v>23</v>
      </c>
      <c r="M2721" t="s">
        <v>77</v>
      </c>
      <c r="N2721">
        <v>3.17</v>
      </c>
      <c r="O2721">
        <v>924</v>
      </c>
      <c r="P2721">
        <v>2.83</v>
      </c>
      <c r="Q2721">
        <v>178</v>
      </c>
      <c r="R2721">
        <v>588</v>
      </c>
    </row>
    <row r="2722" spans="1:18" x14ac:dyDescent="0.2">
      <c r="A2722">
        <v>9</v>
      </c>
      <c r="B2722" t="s">
        <v>48</v>
      </c>
      <c r="E2722" t="s">
        <v>51</v>
      </c>
      <c r="F2722">
        <v>1758022</v>
      </c>
      <c r="G2722">
        <v>2</v>
      </c>
      <c r="H2722">
        <v>1</v>
      </c>
      <c r="I2722">
        <v>246</v>
      </c>
      <c r="J2722">
        <v>2000</v>
      </c>
      <c r="K2722" s="4">
        <v>45435</v>
      </c>
      <c r="L2722" t="s">
        <v>30</v>
      </c>
      <c r="M2722" t="s">
        <v>76</v>
      </c>
      <c r="N2722">
        <v>2.2400000000000002</v>
      </c>
      <c r="O2722">
        <v>1498</v>
      </c>
      <c r="P2722">
        <v>2.4300000000000002</v>
      </c>
      <c r="Q2722">
        <v>148</v>
      </c>
      <c r="R2722">
        <v>577</v>
      </c>
    </row>
    <row r="2723" spans="1:18" x14ac:dyDescent="0.2">
      <c r="A2723">
        <v>7</v>
      </c>
      <c r="B2723" t="s">
        <v>102</v>
      </c>
      <c r="E2723" t="s">
        <v>51</v>
      </c>
      <c r="F2723">
        <v>2697719</v>
      </c>
      <c r="G2723">
        <v>2</v>
      </c>
      <c r="H2723">
        <v>3</v>
      </c>
      <c r="I2723">
        <v>54</v>
      </c>
      <c r="J2723">
        <v>2018</v>
      </c>
      <c r="K2723" s="4">
        <v>45865</v>
      </c>
      <c r="L2723" t="s">
        <v>26</v>
      </c>
      <c r="M2723" t="s">
        <v>66</v>
      </c>
      <c r="N2723">
        <v>2.38</v>
      </c>
      <c r="O2723">
        <v>2044</v>
      </c>
      <c r="P2723">
        <v>1.19</v>
      </c>
      <c r="Q2723">
        <v>206</v>
      </c>
      <c r="R2723">
        <v>370</v>
      </c>
    </row>
    <row r="2724" spans="1:18" x14ac:dyDescent="0.2">
      <c r="A2724">
        <v>7</v>
      </c>
      <c r="B2724" t="s">
        <v>57</v>
      </c>
      <c r="E2724" t="s">
        <v>36</v>
      </c>
      <c r="F2724">
        <v>963945</v>
      </c>
      <c r="G2724">
        <v>5</v>
      </c>
      <c r="H2724">
        <v>1</v>
      </c>
      <c r="I2724">
        <v>114</v>
      </c>
      <c r="J2724">
        <v>1953</v>
      </c>
      <c r="K2724" s="4">
        <v>44528</v>
      </c>
      <c r="L2724" t="s">
        <v>26</v>
      </c>
      <c r="M2724" t="s">
        <v>21</v>
      </c>
      <c r="N2724">
        <v>1.91</v>
      </c>
      <c r="O2724">
        <v>2169</v>
      </c>
      <c r="P2724">
        <v>3.86</v>
      </c>
      <c r="Q2724">
        <v>380</v>
      </c>
      <c r="R2724">
        <v>649</v>
      </c>
    </row>
    <row r="2725" spans="1:18" x14ac:dyDescent="0.2">
      <c r="A2725">
        <v>2</v>
      </c>
      <c r="B2725" t="s">
        <v>71</v>
      </c>
      <c r="E2725" t="s">
        <v>36</v>
      </c>
      <c r="F2725">
        <v>2126653</v>
      </c>
      <c r="G2725">
        <v>2</v>
      </c>
      <c r="H2725">
        <v>2</v>
      </c>
      <c r="I2725">
        <v>615</v>
      </c>
      <c r="J2725">
        <v>1951</v>
      </c>
      <c r="K2725" s="4">
        <v>44399</v>
      </c>
      <c r="L2725" t="s">
        <v>23</v>
      </c>
      <c r="M2725" t="s">
        <v>77</v>
      </c>
      <c r="N2725">
        <v>1.61</v>
      </c>
      <c r="O2725">
        <v>2154</v>
      </c>
      <c r="P2725">
        <v>0.28000000000000003</v>
      </c>
      <c r="Q2725">
        <v>89</v>
      </c>
      <c r="R2725">
        <v>537</v>
      </c>
    </row>
    <row r="2726" spans="1:18" x14ac:dyDescent="0.2">
      <c r="A2726">
        <v>3</v>
      </c>
      <c r="B2726" t="s">
        <v>55</v>
      </c>
      <c r="E2726" t="s">
        <v>36</v>
      </c>
      <c r="F2726">
        <v>1374196</v>
      </c>
      <c r="G2726">
        <v>2</v>
      </c>
      <c r="H2726">
        <v>2</v>
      </c>
      <c r="I2726">
        <v>221</v>
      </c>
      <c r="J2726">
        <v>2000</v>
      </c>
      <c r="K2726" s="4">
        <v>44851</v>
      </c>
      <c r="L2726" t="s">
        <v>20</v>
      </c>
      <c r="M2726" t="s">
        <v>52</v>
      </c>
      <c r="N2726">
        <v>1.72</v>
      </c>
      <c r="O2726">
        <v>2294</v>
      </c>
      <c r="P2726">
        <v>2.17</v>
      </c>
      <c r="Q2726">
        <v>48</v>
      </c>
      <c r="R2726">
        <v>391</v>
      </c>
    </row>
    <row r="2727" spans="1:18" x14ac:dyDescent="0.2">
      <c r="A2727">
        <v>8</v>
      </c>
      <c r="B2727" t="s">
        <v>100</v>
      </c>
      <c r="E2727" t="s">
        <v>51</v>
      </c>
      <c r="F2727">
        <v>1652030</v>
      </c>
      <c r="G2727">
        <v>3</v>
      </c>
      <c r="H2727">
        <v>3</v>
      </c>
      <c r="I2727">
        <v>306</v>
      </c>
      <c r="J2727">
        <v>1996</v>
      </c>
      <c r="K2727" s="4">
        <v>45598</v>
      </c>
      <c r="L2727" t="s">
        <v>26</v>
      </c>
      <c r="M2727" t="s">
        <v>56</v>
      </c>
      <c r="N2727">
        <v>3.45</v>
      </c>
      <c r="O2727">
        <v>1843</v>
      </c>
      <c r="P2727">
        <v>4.47</v>
      </c>
      <c r="Q2727">
        <v>200</v>
      </c>
      <c r="R2727">
        <v>451</v>
      </c>
    </row>
    <row r="2728" spans="1:18" x14ac:dyDescent="0.2">
      <c r="A2728">
        <v>8</v>
      </c>
      <c r="B2728" t="s">
        <v>84</v>
      </c>
      <c r="E2728" t="s">
        <v>36</v>
      </c>
      <c r="F2728">
        <v>2142229</v>
      </c>
      <c r="G2728">
        <v>1</v>
      </c>
      <c r="H2728">
        <v>2</v>
      </c>
      <c r="I2728">
        <v>123</v>
      </c>
      <c r="J2728">
        <v>2008</v>
      </c>
      <c r="K2728" s="4">
        <v>44141</v>
      </c>
      <c r="L2728" t="s">
        <v>26</v>
      </c>
      <c r="M2728" t="s">
        <v>63</v>
      </c>
      <c r="N2728">
        <v>3.07</v>
      </c>
      <c r="O2728">
        <v>1170</v>
      </c>
      <c r="P2728">
        <v>3.91</v>
      </c>
      <c r="Q2728">
        <v>60</v>
      </c>
      <c r="R2728">
        <v>345</v>
      </c>
    </row>
    <row r="2729" spans="1:18" x14ac:dyDescent="0.2">
      <c r="A2729">
        <v>1</v>
      </c>
      <c r="B2729" t="s">
        <v>67</v>
      </c>
      <c r="E2729" t="s">
        <v>19</v>
      </c>
      <c r="F2729">
        <v>1673198</v>
      </c>
      <c r="G2729">
        <v>4</v>
      </c>
      <c r="H2729">
        <v>2</v>
      </c>
      <c r="I2729">
        <v>668</v>
      </c>
      <c r="J2729">
        <v>1954</v>
      </c>
      <c r="K2729" s="4">
        <v>44241</v>
      </c>
      <c r="L2729" t="s">
        <v>23</v>
      </c>
      <c r="M2729" t="s">
        <v>89</v>
      </c>
      <c r="N2729">
        <v>2.82</v>
      </c>
      <c r="O2729">
        <v>2272</v>
      </c>
      <c r="P2729">
        <v>4.63</v>
      </c>
      <c r="Q2729">
        <v>238</v>
      </c>
      <c r="R2729">
        <v>611</v>
      </c>
    </row>
    <row r="2730" spans="1:18" x14ac:dyDescent="0.2">
      <c r="A2730">
        <v>7</v>
      </c>
      <c r="B2730" t="s">
        <v>34</v>
      </c>
      <c r="E2730" t="s">
        <v>51</v>
      </c>
      <c r="F2730">
        <v>1415763</v>
      </c>
      <c r="G2730">
        <v>0</v>
      </c>
      <c r="H2730">
        <v>1</v>
      </c>
      <c r="I2730">
        <v>839</v>
      </c>
      <c r="J2730">
        <v>1965</v>
      </c>
      <c r="K2730" s="4">
        <v>44973</v>
      </c>
      <c r="L2730" t="s">
        <v>20</v>
      </c>
      <c r="M2730" t="s">
        <v>70</v>
      </c>
      <c r="N2730">
        <v>2.5299999999999998</v>
      </c>
      <c r="O2730">
        <v>1786</v>
      </c>
      <c r="P2730">
        <v>3.32</v>
      </c>
      <c r="Q2730">
        <v>65</v>
      </c>
      <c r="R2730">
        <v>345</v>
      </c>
    </row>
    <row r="2731" spans="1:18" x14ac:dyDescent="0.2">
      <c r="A2731">
        <v>1</v>
      </c>
      <c r="B2731" t="s">
        <v>106</v>
      </c>
      <c r="E2731" t="s">
        <v>19</v>
      </c>
      <c r="F2731">
        <v>2569840</v>
      </c>
      <c r="G2731">
        <v>4</v>
      </c>
      <c r="H2731">
        <v>3</v>
      </c>
      <c r="I2731">
        <v>564</v>
      </c>
      <c r="J2731">
        <v>2004</v>
      </c>
      <c r="K2731" s="4">
        <v>44172</v>
      </c>
      <c r="L2731" t="s">
        <v>26</v>
      </c>
      <c r="M2731" t="s">
        <v>82</v>
      </c>
      <c r="N2731">
        <v>3.03</v>
      </c>
      <c r="O2731">
        <v>1589</v>
      </c>
      <c r="P2731">
        <v>3.89</v>
      </c>
      <c r="Q2731">
        <v>234</v>
      </c>
      <c r="R2731">
        <v>508</v>
      </c>
    </row>
    <row r="2732" spans="1:18" x14ac:dyDescent="0.2">
      <c r="A2732">
        <v>1</v>
      </c>
      <c r="B2732" t="s">
        <v>50</v>
      </c>
      <c r="E2732" t="s">
        <v>36</v>
      </c>
      <c r="F2732">
        <v>2363906</v>
      </c>
      <c r="G2732">
        <v>6</v>
      </c>
      <c r="H2732">
        <v>2</v>
      </c>
      <c r="I2732">
        <v>183</v>
      </c>
      <c r="J2732">
        <v>2008</v>
      </c>
      <c r="K2732" s="4">
        <v>45532</v>
      </c>
      <c r="L2732" t="s">
        <v>30</v>
      </c>
      <c r="M2732" t="s">
        <v>59</v>
      </c>
      <c r="N2732">
        <v>2.62</v>
      </c>
      <c r="O2732">
        <v>849</v>
      </c>
      <c r="P2732">
        <v>2.85</v>
      </c>
      <c r="Q2732">
        <v>331</v>
      </c>
      <c r="R2732">
        <v>454</v>
      </c>
    </row>
    <row r="2733" spans="1:18" x14ac:dyDescent="0.2">
      <c r="A2733">
        <v>9</v>
      </c>
      <c r="B2733" t="s">
        <v>28</v>
      </c>
      <c r="E2733" t="s">
        <v>19</v>
      </c>
      <c r="F2733">
        <v>1623629</v>
      </c>
      <c r="G2733">
        <v>3</v>
      </c>
      <c r="H2733">
        <v>3</v>
      </c>
      <c r="I2733">
        <v>59</v>
      </c>
      <c r="J2733">
        <v>2018</v>
      </c>
      <c r="K2733" s="4">
        <v>45232</v>
      </c>
      <c r="L2733" t="s">
        <v>30</v>
      </c>
      <c r="M2733" t="s">
        <v>52</v>
      </c>
      <c r="N2733">
        <v>1.7</v>
      </c>
      <c r="O2733">
        <v>813</v>
      </c>
      <c r="P2733">
        <v>2.39</v>
      </c>
      <c r="Q2733">
        <v>94</v>
      </c>
      <c r="R2733">
        <v>599</v>
      </c>
    </row>
    <row r="2734" spans="1:18" x14ac:dyDescent="0.2">
      <c r="A2734">
        <v>8</v>
      </c>
      <c r="B2734" t="s">
        <v>81</v>
      </c>
      <c r="E2734" t="s">
        <v>19</v>
      </c>
      <c r="F2734">
        <v>1674285</v>
      </c>
      <c r="G2734">
        <v>4</v>
      </c>
      <c r="H2734">
        <v>3</v>
      </c>
      <c r="I2734">
        <v>386</v>
      </c>
      <c r="J2734">
        <v>1965</v>
      </c>
      <c r="K2734" s="4">
        <v>44069</v>
      </c>
      <c r="L2734" t="s">
        <v>20</v>
      </c>
      <c r="M2734" t="s">
        <v>60</v>
      </c>
      <c r="N2734">
        <v>1.99</v>
      </c>
      <c r="O2734">
        <v>1932</v>
      </c>
      <c r="P2734">
        <v>2.87</v>
      </c>
      <c r="Q2734">
        <v>241</v>
      </c>
      <c r="R2734">
        <v>686</v>
      </c>
    </row>
    <row r="2735" spans="1:18" x14ac:dyDescent="0.2">
      <c r="A2735">
        <v>7</v>
      </c>
      <c r="B2735" t="s">
        <v>86</v>
      </c>
      <c r="E2735" t="s">
        <v>36</v>
      </c>
      <c r="F2735">
        <v>2317790</v>
      </c>
      <c r="G2735">
        <v>2</v>
      </c>
      <c r="H2735">
        <v>3</v>
      </c>
      <c r="I2735">
        <v>395</v>
      </c>
      <c r="J2735">
        <v>1995</v>
      </c>
      <c r="K2735" s="4">
        <v>44274</v>
      </c>
      <c r="L2735" t="s">
        <v>23</v>
      </c>
      <c r="M2735" t="s">
        <v>76</v>
      </c>
      <c r="N2735">
        <v>2.93</v>
      </c>
      <c r="O2735">
        <v>2358</v>
      </c>
      <c r="P2735">
        <v>1.35</v>
      </c>
      <c r="Q2735">
        <v>146</v>
      </c>
      <c r="R2735">
        <v>304</v>
      </c>
    </row>
    <row r="2736" spans="1:18" x14ac:dyDescent="0.2">
      <c r="A2736">
        <v>0</v>
      </c>
      <c r="B2736" t="s">
        <v>73</v>
      </c>
      <c r="E2736" t="s">
        <v>19</v>
      </c>
      <c r="F2736">
        <v>2134129</v>
      </c>
      <c r="G2736">
        <v>2</v>
      </c>
      <c r="H2736">
        <v>2</v>
      </c>
      <c r="I2736">
        <v>474</v>
      </c>
      <c r="J2736">
        <v>1952</v>
      </c>
      <c r="K2736" s="4">
        <v>44495</v>
      </c>
      <c r="L2736" t="s">
        <v>23</v>
      </c>
      <c r="M2736" t="s">
        <v>63</v>
      </c>
      <c r="N2736">
        <v>2.08</v>
      </c>
      <c r="O2736">
        <v>1607</v>
      </c>
      <c r="P2736">
        <v>4.42</v>
      </c>
      <c r="Q2736">
        <v>107</v>
      </c>
      <c r="R2736">
        <v>672</v>
      </c>
    </row>
    <row r="2737" spans="1:18" x14ac:dyDescent="0.2">
      <c r="A2737">
        <v>8</v>
      </c>
      <c r="B2737" t="s">
        <v>94</v>
      </c>
      <c r="E2737" t="s">
        <v>36</v>
      </c>
      <c r="F2737">
        <v>2055041</v>
      </c>
      <c r="G2737">
        <v>5</v>
      </c>
      <c r="H2737">
        <v>2</v>
      </c>
      <c r="I2737">
        <v>986</v>
      </c>
      <c r="J2737">
        <v>2009</v>
      </c>
      <c r="K2737" s="4">
        <v>44619</v>
      </c>
      <c r="L2737" t="s">
        <v>20</v>
      </c>
      <c r="M2737" t="s">
        <v>56</v>
      </c>
      <c r="N2737">
        <v>2.09</v>
      </c>
      <c r="O2737">
        <v>2384</v>
      </c>
      <c r="P2737">
        <v>2.79</v>
      </c>
      <c r="Q2737">
        <v>286</v>
      </c>
      <c r="R2737">
        <v>467</v>
      </c>
    </row>
    <row r="2738" spans="1:18" x14ac:dyDescent="0.2">
      <c r="A2738">
        <v>4</v>
      </c>
      <c r="B2738" t="s">
        <v>81</v>
      </c>
      <c r="E2738" t="s">
        <v>51</v>
      </c>
      <c r="F2738">
        <v>2661042</v>
      </c>
      <c r="G2738">
        <v>6</v>
      </c>
      <c r="H2738">
        <v>3</v>
      </c>
      <c r="I2738">
        <v>479</v>
      </c>
      <c r="J2738">
        <v>1964</v>
      </c>
      <c r="K2738" s="4">
        <v>45420</v>
      </c>
      <c r="L2738" t="s">
        <v>23</v>
      </c>
      <c r="M2738" t="s">
        <v>47</v>
      </c>
      <c r="N2738">
        <v>2.67</v>
      </c>
      <c r="O2738">
        <v>1949</v>
      </c>
      <c r="P2738">
        <v>0.23</v>
      </c>
      <c r="Q2738">
        <v>398</v>
      </c>
      <c r="R2738">
        <v>337</v>
      </c>
    </row>
    <row r="2739" spans="1:18" x14ac:dyDescent="0.2">
      <c r="A2739">
        <v>9</v>
      </c>
      <c r="B2739" t="s">
        <v>94</v>
      </c>
      <c r="E2739" t="s">
        <v>51</v>
      </c>
      <c r="F2739">
        <v>1585119</v>
      </c>
      <c r="G2739">
        <v>4</v>
      </c>
      <c r="H2739">
        <v>3</v>
      </c>
      <c r="I2739">
        <v>121</v>
      </c>
      <c r="J2739">
        <v>2002</v>
      </c>
      <c r="K2739" s="4">
        <v>44627</v>
      </c>
      <c r="L2739" t="s">
        <v>20</v>
      </c>
      <c r="M2739" t="s">
        <v>70</v>
      </c>
      <c r="N2739">
        <v>2.74</v>
      </c>
      <c r="O2739">
        <v>2415</v>
      </c>
      <c r="P2739">
        <v>0.53</v>
      </c>
      <c r="Q2739">
        <v>381</v>
      </c>
      <c r="R2739">
        <v>691</v>
      </c>
    </row>
    <row r="2740" spans="1:18" x14ac:dyDescent="0.2">
      <c r="A2740">
        <v>5</v>
      </c>
      <c r="B2740" t="s">
        <v>95</v>
      </c>
      <c r="E2740" t="s">
        <v>51</v>
      </c>
      <c r="F2740">
        <v>2292138</v>
      </c>
      <c r="G2740">
        <v>3</v>
      </c>
      <c r="H2740">
        <v>2</v>
      </c>
      <c r="I2740">
        <v>70</v>
      </c>
      <c r="J2740">
        <v>2011</v>
      </c>
      <c r="K2740" s="4">
        <v>45427</v>
      </c>
      <c r="L2740" t="s">
        <v>26</v>
      </c>
      <c r="M2740" t="s">
        <v>76</v>
      </c>
      <c r="N2740">
        <v>2.48</v>
      </c>
      <c r="O2740">
        <v>951</v>
      </c>
      <c r="P2740">
        <v>2.5499999999999998</v>
      </c>
      <c r="Q2740">
        <v>170</v>
      </c>
      <c r="R2740">
        <v>339</v>
      </c>
    </row>
    <row r="2741" spans="1:18" x14ac:dyDescent="0.2">
      <c r="A2741">
        <v>0</v>
      </c>
      <c r="B2741" t="s">
        <v>41</v>
      </c>
      <c r="E2741" t="s">
        <v>51</v>
      </c>
      <c r="F2741">
        <v>778443</v>
      </c>
      <c r="G2741">
        <v>5</v>
      </c>
      <c r="H2741">
        <v>3</v>
      </c>
      <c r="I2741">
        <v>216</v>
      </c>
      <c r="J2741">
        <v>2021</v>
      </c>
      <c r="K2741" s="4">
        <v>45500</v>
      </c>
      <c r="L2741" t="s">
        <v>23</v>
      </c>
      <c r="M2741" t="s">
        <v>37</v>
      </c>
      <c r="N2741">
        <v>1.58</v>
      </c>
      <c r="O2741">
        <v>2281</v>
      </c>
      <c r="P2741">
        <v>4.42</v>
      </c>
      <c r="Q2741">
        <v>305</v>
      </c>
      <c r="R2741">
        <v>409</v>
      </c>
    </row>
    <row r="2742" spans="1:18" x14ac:dyDescent="0.2">
      <c r="A2742">
        <v>7</v>
      </c>
      <c r="B2742" t="s">
        <v>50</v>
      </c>
      <c r="E2742" t="s">
        <v>29</v>
      </c>
      <c r="F2742">
        <v>500713</v>
      </c>
      <c r="G2742">
        <v>2</v>
      </c>
      <c r="H2742">
        <v>3</v>
      </c>
      <c r="I2742">
        <v>110</v>
      </c>
      <c r="J2742">
        <v>1990</v>
      </c>
      <c r="K2742" s="4">
        <v>44890</v>
      </c>
      <c r="L2742" t="s">
        <v>20</v>
      </c>
      <c r="M2742" t="s">
        <v>82</v>
      </c>
      <c r="N2742">
        <v>2.64</v>
      </c>
      <c r="O2742">
        <v>2090</v>
      </c>
      <c r="P2742">
        <v>3.29</v>
      </c>
      <c r="Q2742">
        <v>62</v>
      </c>
      <c r="R2742">
        <v>385</v>
      </c>
    </row>
    <row r="2743" spans="1:18" x14ac:dyDescent="0.2">
      <c r="A2743">
        <v>9</v>
      </c>
      <c r="B2743" t="s">
        <v>90</v>
      </c>
      <c r="E2743" t="s">
        <v>19</v>
      </c>
      <c r="F2743">
        <v>962396</v>
      </c>
      <c r="G2743">
        <v>3</v>
      </c>
      <c r="H2743">
        <v>2</v>
      </c>
      <c r="I2743">
        <v>911</v>
      </c>
      <c r="J2743">
        <v>1981</v>
      </c>
      <c r="K2743" s="4">
        <v>45787</v>
      </c>
      <c r="L2743" t="s">
        <v>26</v>
      </c>
      <c r="M2743" t="s">
        <v>47</v>
      </c>
      <c r="N2743">
        <v>3.33</v>
      </c>
      <c r="O2743">
        <v>2116</v>
      </c>
      <c r="P2743">
        <v>2.56</v>
      </c>
      <c r="Q2743">
        <v>143</v>
      </c>
      <c r="R2743">
        <v>657</v>
      </c>
    </row>
    <row r="2744" spans="1:18" x14ac:dyDescent="0.2">
      <c r="A2744">
        <v>2</v>
      </c>
      <c r="B2744" t="s">
        <v>94</v>
      </c>
      <c r="E2744" t="s">
        <v>36</v>
      </c>
      <c r="F2744">
        <v>1595999</v>
      </c>
      <c r="G2744">
        <v>4</v>
      </c>
      <c r="H2744">
        <v>2</v>
      </c>
      <c r="I2744">
        <v>584</v>
      </c>
      <c r="J2744">
        <v>2004</v>
      </c>
      <c r="K2744" s="4">
        <v>44153</v>
      </c>
      <c r="L2744" t="s">
        <v>26</v>
      </c>
      <c r="M2744" t="s">
        <v>66</v>
      </c>
      <c r="N2744">
        <v>1.55</v>
      </c>
      <c r="O2744">
        <v>2270</v>
      </c>
      <c r="P2744">
        <v>4.55</v>
      </c>
      <c r="Q2744">
        <v>367</v>
      </c>
      <c r="R2744">
        <v>465</v>
      </c>
    </row>
    <row r="2745" spans="1:18" x14ac:dyDescent="0.2">
      <c r="A2745">
        <v>3</v>
      </c>
      <c r="B2745" t="s">
        <v>43</v>
      </c>
      <c r="E2745" t="s">
        <v>29</v>
      </c>
      <c r="F2745">
        <v>1592903</v>
      </c>
      <c r="G2745">
        <v>1</v>
      </c>
      <c r="H2745">
        <v>2</v>
      </c>
      <c r="I2745">
        <v>207</v>
      </c>
      <c r="J2745">
        <v>1958</v>
      </c>
      <c r="K2745" s="4">
        <v>44434</v>
      </c>
      <c r="L2745" t="s">
        <v>30</v>
      </c>
      <c r="M2745" t="s">
        <v>85</v>
      </c>
      <c r="N2745">
        <v>1.89</v>
      </c>
      <c r="O2745">
        <v>1819</v>
      </c>
      <c r="P2745">
        <v>0.79</v>
      </c>
      <c r="Q2745">
        <v>54</v>
      </c>
      <c r="R2745">
        <v>685</v>
      </c>
    </row>
    <row r="2746" spans="1:18" x14ac:dyDescent="0.2">
      <c r="A2746">
        <v>0</v>
      </c>
      <c r="B2746" t="s">
        <v>34</v>
      </c>
      <c r="E2746" t="s">
        <v>51</v>
      </c>
      <c r="F2746">
        <v>1819243</v>
      </c>
      <c r="G2746">
        <v>1</v>
      </c>
      <c r="H2746">
        <v>2</v>
      </c>
      <c r="I2746">
        <v>451</v>
      </c>
      <c r="J2746">
        <v>1973</v>
      </c>
      <c r="K2746" s="4">
        <v>44160</v>
      </c>
      <c r="L2746" t="s">
        <v>26</v>
      </c>
      <c r="M2746" t="s">
        <v>76</v>
      </c>
      <c r="N2746">
        <v>2.63</v>
      </c>
      <c r="O2746">
        <v>1596</v>
      </c>
      <c r="P2746">
        <v>4.91</v>
      </c>
      <c r="Q2746">
        <v>80</v>
      </c>
      <c r="R2746">
        <v>431</v>
      </c>
    </row>
    <row r="2747" spans="1:18" x14ac:dyDescent="0.2">
      <c r="A2747">
        <v>0</v>
      </c>
      <c r="B2747" t="s">
        <v>80</v>
      </c>
      <c r="E2747" t="s">
        <v>51</v>
      </c>
      <c r="F2747">
        <v>1702305</v>
      </c>
      <c r="G2747">
        <v>5</v>
      </c>
      <c r="H2747">
        <v>2</v>
      </c>
      <c r="I2747">
        <v>427</v>
      </c>
      <c r="J2747">
        <v>1974</v>
      </c>
      <c r="K2747" s="4">
        <v>45122</v>
      </c>
      <c r="L2747" t="s">
        <v>26</v>
      </c>
      <c r="M2747" t="s">
        <v>52</v>
      </c>
      <c r="N2747">
        <v>2.93</v>
      </c>
      <c r="O2747">
        <v>1768</v>
      </c>
      <c r="P2747">
        <v>3.73</v>
      </c>
      <c r="Q2747">
        <v>246</v>
      </c>
      <c r="R2747">
        <v>681</v>
      </c>
    </row>
    <row r="2748" spans="1:18" x14ac:dyDescent="0.2">
      <c r="A2748">
        <v>0</v>
      </c>
      <c r="B2748" t="s">
        <v>71</v>
      </c>
      <c r="E2748" t="s">
        <v>51</v>
      </c>
      <c r="F2748">
        <v>773146</v>
      </c>
      <c r="G2748">
        <v>1</v>
      </c>
      <c r="H2748">
        <v>3</v>
      </c>
      <c r="I2748">
        <v>64</v>
      </c>
      <c r="J2748">
        <v>1965</v>
      </c>
      <c r="K2748" s="4">
        <v>44484</v>
      </c>
      <c r="L2748" t="s">
        <v>30</v>
      </c>
      <c r="M2748" t="s">
        <v>40</v>
      </c>
      <c r="N2748">
        <v>3.43</v>
      </c>
      <c r="O2748">
        <v>2033</v>
      </c>
      <c r="P2748">
        <v>1.49</v>
      </c>
      <c r="Q2748">
        <v>105</v>
      </c>
      <c r="R2748">
        <v>339</v>
      </c>
    </row>
    <row r="2749" spans="1:18" x14ac:dyDescent="0.2">
      <c r="A2749">
        <v>8</v>
      </c>
      <c r="B2749" t="s">
        <v>98</v>
      </c>
      <c r="E2749" t="s">
        <v>51</v>
      </c>
      <c r="F2749">
        <v>2282680</v>
      </c>
      <c r="G2749">
        <v>2</v>
      </c>
      <c r="H2749">
        <v>1</v>
      </c>
      <c r="I2749">
        <v>996</v>
      </c>
      <c r="J2749">
        <v>1972</v>
      </c>
      <c r="K2749" s="4">
        <v>45875</v>
      </c>
      <c r="L2749" t="s">
        <v>30</v>
      </c>
      <c r="M2749" t="s">
        <v>89</v>
      </c>
      <c r="N2749">
        <v>1.54</v>
      </c>
      <c r="O2749">
        <v>2193</v>
      </c>
      <c r="P2749">
        <v>3.73</v>
      </c>
      <c r="Q2749">
        <v>47</v>
      </c>
      <c r="R2749">
        <v>555</v>
      </c>
    </row>
    <row r="2750" spans="1:18" x14ac:dyDescent="0.2">
      <c r="A2750">
        <v>5</v>
      </c>
      <c r="B2750" t="s">
        <v>104</v>
      </c>
      <c r="E2750" t="s">
        <v>29</v>
      </c>
      <c r="F2750">
        <v>1915372</v>
      </c>
      <c r="G2750">
        <v>2</v>
      </c>
      <c r="H2750">
        <v>2</v>
      </c>
      <c r="I2750">
        <v>508</v>
      </c>
      <c r="J2750">
        <v>1960</v>
      </c>
      <c r="K2750" s="4">
        <v>45041</v>
      </c>
      <c r="L2750" t="s">
        <v>23</v>
      </c>
      <c r="M2750" t="s">
        <v>35</v>
      </c>
      <c r="N2750">
        <v>3.17</v>
      </c>
      <c r="O2750">
        <v>1858</v>
      </c>
      <c r="P2750">
        <v>1.71</v>
      </c>
      <c r="Q2750">
        <v>201</v>
      </c>
      <c r="R2750">
        <v>356</v>
      </c>
    </row>
    <row r="2751" spans="1:18" x14ac:dyDescent="0.2">
      <c r="A2751">
        <v>1</v>
      </c>
      <c r="B2751" t="s">
        <v>96</v>
      </c>
      <c r="E2751" t="s">
        <v>36</v>
      </c>
      <c r="F2751">
        <v>1072700</v>
      </c>
      <c r="G2751">
        <v>3</v>
      </c>
      <c r="H2751">
        <v>3</v>
      </c>
      <c r="I2751">
        <v>512</v>
      </c>
      <c r="J2751">
        <v>2006</v>
      </c>
      <c r="K2751" s="4">
        <v>45020</v>
      </c>
      <c r="L2751" t="s">
        <v>26</v>
      </c>
      <c r="M2751" t="s">
        <v>31</v>
      </c>
      <c r="N2751">
        <v>1.72</v>
      </c>
      <c r="O2751">
        <v>2386</v>
      </c>
      <c r="P2751">
        <v>0.28000000000000003</v>
      </c>
      <c r="Q2751">
        <v>301</v>
      </c>
      <c r="R2751">
        <v>663</v>
      </c>
    </row>
    <row r="2752" spans="1:18" x14ac:dyDescent="0.2">
      <c r="A2752">
        <v>6</v>
      </c>
      <c r="B2752" t="s">
        <v>91</v>
      </c>
      <c r="E2752" t="s">
        <v>29</v>
      </c>
      <c r="F2752">
        <v>1259084</v>
      </c>
      <c r="G2752">
        <v>6</v>
      </c>
      <c r="H2752">
        <v>2</v>
      </c>
      <c r="I2752">
        <v>199</v>
      </c>
      <c r="J2752">
        <v>2020</v>
      </c>
      <c r="K2752" s="4">
        <v>44369</v>
      </c>
      <c r="L2752" t="s">
        <v>23</v>
      </c>
      <c r="M2752" t="s">
        <v>27</v>
      </c>
      <c r="N2752">
        <v>2.14</v>
      </c>
      <c r="O2752">
        <v>1271</v>
      </c>
      <c r="P2752">
        <v>1.43</v>
      </c>
      <c r="Q2752">
        <v>362</v>
      </c>
      <c r="R2752">
        <v>612</v>
      </c>
    </row>
    <row r="2753" spans="1:18" x14ac:dyDescent="0.2">
      <c r="A2753">
        <v>7</v>
      </c>
      <c r="B2753" t="s">
        <v>87</v>
      </c>
      <c r="E2753" t="s">
        <v>29</v>
      </c>
      <c r="F2753">
        <v>597964</v>
      </c>
      <c r="G2753">
        <v>1</v>
      </c>
      <c r="H2753">
        <v>3</v>
      </c>
      <c r="I2753">
        <v>880</v>
      </c>
      <c r="J2753">
        <v>1990</v>
      </c>
      <c r="K2753" s="4">
        <v>45467</v>
      </c>
      <c r="L2753" t="s">
        <v>26</v>
      </c>
      <c r="M2753" t="s">
        <v>35</v>
      </c>
      <c r="N2753">
        <v>3.28</v>
      </c>
      <c r="O2753">
        <v>1463</v>
      </c>
      <c r="P2753">
        <v>2.5499999999999998</v>
      </c>
      <c r="Q2753">
        <v>99</v>
      </c>
      <c r="R2753">
        <v>636</v>
      </c>
    </row>
    <row r="2754" spans="1:18" x14ac:dyDescent="0.2">
      <c r="A2754">
        <v>2</v>
      </c>
      <c r="B2754" t="s">
        <v>94</v>
      </c>
      <c r="E2754" t="s">
        <v>51</v>
      </c>
      <c r="F2754">
        <v>1057121</v>
      </c>
      <c r="G2754">
        <v>5</v>
      </c>
      <c r="H2754">
        <v>3</v>
      </c>
      <c r="I2754">
        <v>168</v>
      </c>
      <c r="J2754">
        <v>1976</v>
      </c>
      <c r="K2754" s="4">
        <v>45409</v>
      </c>
      <c r="L2754" t="s">
        <v>30</v>
      </c>
      <c r="M2754" t="s">
        <v>56</v>
      </c>
      <c r="N2754">
        <v>2.76</v>
      </c>
      <c r="O2754">
        <v>2219</v>
      </c>
      <c r="P2754">
        <v>0.51</v>
      </c>
      <c r="Q2754">
        <v>266</v>
      </c>
      <c r="R2754">
        <v>642</v>
      </c>
    </row>
    <row r="2755" spans="1:18" x14ac:dyDescent="0.2">
      <c r="A2755">
        <v>9</v>
      </c>
      <c r="B2755" t="s">
        <v>101</v>
      </c>
      <c r="E2755" t="s">
        <v>36</v>
      </c>
      <c r="F2755">
        <v>1077132</v>
      </c>
      <c r="G2755">
        <v>3</v>
      </c>
      <c r="H2755">
        <v>3</v>
      </c>
      <c r="I2755">
        <v>962</v>
      </c>
      <c r="J2755">
        <v>1964</v>
      </c>
      <c r="K2755" s="4">
        <v>45604</v>
      </c>
      <c r="L2755" t="s">
        <v>20</v>
      </c>
      <c r="M2755" t="s">
        <v>82</v>
      </c>
      <c r="N2755">
        <v>2.23</v>
      </c>
      <c r="O2755">
        <v>969</v>
      </c>
      <c r="P2755">
        <v>0.44</v>
      </c>
      <c r="Q2755">
        <v>147</v>
      </c>
      <c r="R2755">
        <v>526</v>
      </c>
    </row>
    <row r="2756" spans="1:18" x14ac:dyDescent="0.2">
      <c r="A2756">
        <v>3</v>
      </c>
      <c r="B2756" t="s">
        <v>44</v>
      </c>
      <c r="E2756" t="s">
        <v>19</v>
      </c>
      <c r="F2756">
        <v>2867526</v>
      </c>
      <c r="G2756">
        <v>2</v>
      </c>
      <c r="H2756">
        <v>3</v>
      </c>
      <c r="I2756">
        <v>62</v>
      </c>
      <c r="J2756">
        <v>1982</v>
      </c>
      <c r="K2756" s="4">
        <v>44118</v>
      </c>
      <c r="L2756" t="s">
        <v>30</v>
      </c>
      <c r="M2756" t="s">
        <v>76</v>
      </c>
      <c r="N2756">
        <v>3.33</v>
      </c>
      <c r="O2756">
        <v>1653</v>
      </c>
      <c r="P2756">
        <v>3.7</v>
      </c>
      <c r="Q2756">
        <v>137</v>
      </c>
      <c r="R2756">
        <v>328</v>
      </c>
    </row>
    <row r="2757" spans="1:18" x14ac:dyDescent="0.2">
      <c r="A2757">
        <v>0</v>
      </c>
      <c r="B2757" t="s">
        <v>57</v>
      </c>
      <c r="E2757" t="s">
        <v>29</v>
      </c>
      <c r="F2757">
        <v>2285690</v>
      </c>
      <c r="G2757">
        <v>3</v>
      </c>
      <c r="H2757">
        <v>3</v>
      </c>
      <c r="I2757">
        <v>465</v>
      </c>
      <c r="J2757">
        <v>1983</v>
      </c>
      <c r="K2757" s="4">
        <v>44482</v>
      </c>
      <c r="L2757" t="s">
        <v>20</v>
      </c>
      <c r="M2757" t="s">
        <v>82</v>
      </c>
      <c r="N2757">
        <v>3.4</v>
      </c>
      <c r="O2757">
        <v>816</v>
      </c>
      <c r="P2757">
        <v>3.1</v>
      </c>
      <c r="Q2757">
        <v>146</v>
      </c>
      <c r="R2757">
        <v>367</v>
      </c>
    </row>
    <row r="2758" spans="1:18" x14ac:dyDescent="0.2">
      <c r="A2758">
        <v>5</v>
      </c>
      <c r="B2758" t="s">
        <v>75</v>
      </c>
      <c r="E2758" t="s">
        <v>29</v>
      </c>
      <c r="F2758">
        <v>466451</v>
      </c>
      <c r="G2758">
        <v>3</v>
      </c>
      <c r="H2758">
        <v>3</v>
      </c>
      <c r="I2758">
        <v>776</v>
      </c>
      <c r="J2758">
        <v>1967</v>
      </c>
      <c r="K2758" s="4">
        <v>45016</v>
      </c>
      <c r="L2758" t="s">
        <v>30</v>
      </c>
      <c r="M2758" t="s">
        <v>69</v>
      </c>
      <c r="N2758">
        <v>3.26</v>
      </c>
      <c r="O2758">
        <v>2090</v>
      </c>
      <c r="P2758">
        <v>4.83</v>
      </c>
      <c r="Q2758">
        <v>131</v>
      </c>
      <c r="R2758">
        <v>570</v>
      </c>
    </row>
    <row r="2759" spans="1:18" x14ac:dyDescent="0.2">
      <c r="A2759">
        <v>4</v>
      </c>
      <c r="B2759" t="s">
        <v>90</v>
      </c>
      <c r="E2759" t="s">
        <v>51</v>
      </c>
      <c r="F2759">
        <v>1921113</v>
      </c>
      <c r="G2759">
        <v>2</v>
      </c>
      <c r="H2759">
        <v>1</v>
      </c>
      <c r="I2759">
        <v>302</v>
      </c>
      <c r="J2759">
        <v>1975</v>
      </c>
      <c r="K2759" s="4">
        <v>44451</v>
      </c>
      <c r="L2759" t="s">
        <v>30</v>
      </c>
      <c r="M2759" t="s">
        <v>21</v>
      </c>
      <c r="N2759">
        <v>2.16</v>
      </c>
      <c r="O2759">
        <v>2365</v>
      </c>
      <c r="P2759">
        <v>3.81</v>
      </c>
      <c r="Q2759">
        <v>124</v>
      </c>
      <c r="R2759">
        <v>649</v>
      </c>
    </row>
    <row r="2760" spans="1:18" x14ac:dyDescent="0.2">
      <c r="A2760">
        <v>3</v>
      </c>
      <c r="B2760" t="s">
        <v>91</v>
      </c>
      <c r="E2760" t="s">
        <v>51</v>
      </c>
      <c r="F2760">
        <v>563569</v>
      </c>
      <c r="G2760">
        <v>3</v>
      </c>
      <c r="H2760">
        <v>1</v>
      </c>
      <c r="I2760">
        <v>822</v>
      </c>
      <c r="J2760">
        <v>1979</v>
      </c>
      <c r="K2760" s="4">
        <v>44792</v>
      </c>
      <c r="L2760" t="s">
        <v>23</v>
      </c>
      <c r="M2760" t="s">
        <v>70</v>
      </c>
      <c r="N2760">
        <v>3.3</v>
      </c>
      <c r="O2760">
        <v>1568</v>
      </c>
      <c r="P2760">
        <v>1.65</v>
      </c>
      <c r="Q2760">
        <v>255</v>
      </c>
      <c r="R2760">
        <v>589</v>
      </c>
    </row>
    <row r="2761" spans="1:18" x14ac:dyDescent="0.2">
      <c r="A2761">
        <v>6</v>
      </c>
      <c r="B2761" t="s">
        <v>62</v>
      </c>
      <c r="E2761" t="s">
        <v>29</v>
      </c>
      <c r="F2761">
        <v>542354</v>
      </c>
      <c r="G2761">
        <v>4</v>
      </c>
      <c r="H2761">
        <v>1</v>
      </c>
      <c r="I2761">
        <v>824</v>
      </c>
      <c r="J2761">
        <v>1979</v>
      </c>
      <c r="K2761" s="4">
        <v>45507</v>
      </c>
      <c r="L2761" t="s">
        <v>26</v>
      </c>
      <c r="M2761" t="s">
        <v>97</v>
      </c>
      <c r="N2761">
        <v>1.89</v>
      </c>
      <c r="O2761">
        <v>2316</v>
      </c>
      <c r="P2761">
        <v>0.52</v>
      </c>
      <c r="Q2761">
        <v>381</v>
      </c>
      <c r="R2761">
        <v>513</v>
      </c>
    </row>
    <row r="2762" spans="1:18" x14ac:dyDescent="0.2">
      <c r="A2762">
        <v>3</v>
      </c>
      <c r="B2762" t="s">
        <v>44</v>
      </c>
      <c r="E2762" t="s">
        <v>29</v>
      </c>
      <c r="F2762">
        <v>1135501</v>
      </c>
      <c r="G2762">
        <v>2</v>
      </c>
      <c r="H2762">
        <v>1</v>
      </c>
      <c r="I2762">
        <v>403</v>
      </c>
      <c r="J2762">
        <v>1967</v>
      </c>
      <c r="K2762" s="4">
        <v>45679</v>
      </c>
      <c r="L2762" t="s">
        <v>26</v>
      </c>
      <c r="M2762" t="s">
        <v>97</v>
      </c>
      <c r="N2762">
        <v>2.29</v>
      </c>
      <c r="O2762">
        <v>2326</v>
      </c>
      <c r="P2762">
        <v>4.83</v>
      </c>
      <c r="Q2762">
        <v>169</v>
      </c>
      <c r="R2762">
        <v>566</v>
      </c>
    </row>
    <row r="2763" spans="1:18" x14ac:dyDescent="0.2">
      <c r="A2763">
        <v>7</v>
      </c>
      <c r="B2763" t="s">
        <v>80</v>
      </c>
      <c r="E2763" t="s">
        <v>36</v>
      </c>
      <c r="F2763">
        <v>2550358</v>
      </c>
      <c r="G2763">
        <v>3</v>
      </c>
      <c r="H2763">
        <v>1</v>
      </c>
      <c r="I2763">
        <v>861</v>
      </c>
      <c r="J2763">
        <v>1976</v>
      </c>
      <c r="K2763" s="4">
        <v>45695</v>
      </c>
      <c r="L2763" t="s">
        <v>30</v>
      </c>
      <c r="M2763" t="s">
        <v>89</v>
      </c>
      <c r="N2763">
        <v>3.47</v>
      </c>
      <c r="O2763">
        <v>2338</v>
      </c>
      <c r="P2763">
        <v>3.22</v>
      </c>
      <c r="Q2763">
        <v>125</v>
      </c>
      <c r="R2763">
        <v>585</v>
      </c>
    </row>
    <row r="2764" spans="1:18" x14ac:dyDescent="0.2">
      <c r="A2764">
        <v>8</v>
      </c>
      <c r="B2764" t="s">
        <v>87</v>
      </c>
      <c r="E2764" t="s">
        <v>29</v>
      </c>
      <c r="F2764">
        <v>1681441</v>
      </c>
      <c r="G2764">
        <v>1</v>
      </c>
      <c r="H2764">
        <v>1</v>
      </c>
      <c r="I2764">
        <v>939</v>
      </c>
      <c r="J2764">
        <v>1999</v>
      </c>
      <c r="K2764" s="4">
        <v>45152</v>
      </c>
      <c r="L2764" t="s">
        <v>20</v>
      </c>
      <c r="M2764" t="s">
        <v>21</v>
      </c>
      <c r="N2764">
        <v>2.81</v>
      </c>
      <c r="O2764">
        <v>1154</v>
      </c>
      <c r="P2764">
        <v>0.46</v>
      </c>
      <c r="Q2764">
        <v>61</v>
      </c>
      <c r="R2764">
        <v>416</v>
      </c>
    </row>
    <row r="2765" spans="1:18" x14ac:dyDescent="0.2">
      <c r="A2765">
        <v>3</v>
      </c>
      <c r="B2765" t="s">
        <v>81</v>
      </c>
      <c r="E2765" t="s">
        <v>51</v>
      </c>
      <c r="F2765">
        <v>1203761</v>
      </c>
      <c r="G2765">
        <v>2</v>
      </c>
      <c r="H2765">
        <v>2</v>
      </c>
      <c r="I2765">
        <v>607</v>
      </c>
      <c r="J2765">
        <v>1969</v>
      </c>
      <c r="K2765" s="4">
        <v>45432</v>
      </c>
      <c r="L2765" t="s">
        <v>26</v>
      </c>
      <c r="M2765" t="s">
        <v>69</v>
      </c>
      <c r="N2765">
        <v>2.59</v>
      </c>
      <c r="O2765">
        <v>1481</v>
      </c>
      <c r="P2765">
        <v>4.33</v>
      </c>
      <c r="Q2765">
        <v>53</v>
      </c>
      <c r="R2765">
        <v>670</v>
      </c>
    </row>
    <row r="2766" spans="1:18" x14ac:dyDescent="0.2">
      <c r="A2766">
        <v>6</v>
      </c>
      <c r="B2766" t="s">
        <v>104</v>
      </c>
      <c r="E2766" t="s">
        <v>29</v>
      </c>
      <c r="F2766">
        <v>1233514</v>
      </c>
      <c r="G2766">
        <v>4</v>
      </c>
      <c r="H2766">
        <v>2</v>
      </c>
      <c r="I2766">
        <v>874</v>
      </c>
      <c r="J2766">
        <v>1986</v>
      </c>
      <c r="K2766" s="4">
        <v>45318</v>
      </c>
      <c r="L2766" t="s">
        <v>23</v>
      </c>
      <c r="M2766" t="s">
        <v>60</v>
      </c>
      <c r="N2766">
        <v>1.98</v>
      </c>
      <c r="O2766">
        <v>918</v>
      </c>
      <c r="P2766">
        <v>0.87</v>
      </c>
      <c r="Q2766">
        <v>318</v>
      </c>
      <c r="R2766">
        <v>579</v>
      </c>
    </row>
    <row r="2767" spans="1:18" x14ac:dyDescent="0.2">
      <c r="A2767">
        <v>6</v>
      </c>
      <c r="B2767" t="s">
        <v>22</v>
      </c>
      <c r="E2767" t="s">
        <v>36</v>
      </c>
      <c r="F2767">
        <v>1424476</v>
      </c>
      <c r="G2767">
        <v>3</v>
      </c>
      <c r="H2767">
        <v>3</v>
      </c>
      <c r="I2767">
        <v>780</v>
      </c>
      <c r="J2767">
        <v>1990</v>
      </c>
      <c r="K2767" s="4">
        <v>45057</v>
      </c>
      <c r="L2767" t="s">
        <v>20</v>
      </c>
      <c r="M2767" t="s">
        <v>33</v>
      </c>
      <c r="N2767">
        <v>2.1</v>
      </c>
      <c r="O2767">
        <v>2366</v>
      </c>
      <c r="P2767">
        <v>1.52</v>
      </c>
      <c r="Q2767">
        <v>159</v>
      </c>
      <c r="R2767">
        <v>487</v>
      </c>
    </row>
    <row r="2768" spans="1:18" x14ac:dyDescent="0.2">
      <c r="A2768">
        <v>3</v>
      </c>
      <c r="B2768" t="s">
        <v>91</v>
      </c>
      <c r="E2768" t="s">
        <v>29</v>
      </c>
      <c r="F2768">
        <v>2130965</v>
      </c>
      <c r="G2768">
        <v>3</v>
      </c>
      <c r="H2768">
        <v>2</v>
      </c>
      <c r="I2768">
        <v>432</v>
      </c>
      <c r="J2768">
        <v>1995</v>
      </c>
      <c r="K2768" s="4">
        <v>45160</v>
      </c>
      <c r="L2768" t="s">
        <v>26</v>
      </c>
      <c r="M2768" t="s">
        <v>21</v>
      </c>
      <c r="N2768">
        <v>3.44</v>
      </c>
      <c r="O2768">
        <v>1839</v>
      </c>
      <c r="P2768">
        <v>3.09</v>
      </c>
      <c r="Q2768">
        <v>184</v>
      </c>
      <c r="R2768">
        <v>355</v>
      </c>
    </row>
    <row r="2769" spans="1:18" x14ac:dyDescent="0.2">
      <c r="A2769">
        <v>8</v>
      </c>
      <c r="B2769" t="s">
        <v>75</v>
      </c>
      <c r="E2769" t="s">
        <v>51</v>
      </c>
      <c r="F2769">
        <v>2967698</v>
      </c>
      <c r="G2769">
        <v>3</v>
      </c>
      <c r="H2769">
        <v>1</v>
      </c>
      <c r="I2769">
        <v>294</v>
      </c>
      <c r="J2769">
        <v>2002</v>
      </c>
      <c r="K2769" s="4">
        <v>44815</v>
      </c>
      <c r="L2769" t="s">
        <v>23</v>
      </c>
      <c r="M2769" t="s">
        <v>85</v>
      </c>
      <c r="N2769">
        <v>2.5</v>
      </c>
      <c r="O2769">
        <v>838</v>
      </c>
      <c r="P2769">
        <v>2.63</v>
      </c>
      <c r="Q2769">
        <v>171</v>
      </c>
      <c r="R2769">
        <v>456</v>
      </c>
    </row>
    <row r="2770" spans="1:18" x14ac:dyDescent="0.2">
      <c r="A2770">
        <v>6</v>
      </c>
      <c r="B2770" t="s">
        <v>83</v>
      </c>
      <c r="E2770" t="s">
        <v>19</v>
      </c>
      <c r="F2770">
        <v>1631301</v>
      </c>
      <c r="G2770">
        <v>1</v>
      </c>
      <c r="H2770">
        <v>2</v>
      </c>
      <c r="I2770">
        <v>742</v>
      </c>
      <c r="J2770">
        <v>1970</v>
      </c>
      <c r="K2770" s="4">
        <v>45012</v>
      </c>
      <c r="L2770" t="s">
        <v>26</v>
      </c>
      <c r="M2770" t="s">
        <v>85</v>
      </c>
      <c r="N2770">
        <v>2.09</v>
      </c>
      <c r="O2770">
        <v>1221</v>
      </c>
      <c r="P2770">
        <v>3.07</v>
      </c>
      <c r="Q2770">
        <v>51</v>
      </c>
      <c r="R2770">
        <v>397</v>
      </c>
    </row>
    <row r="2771" spans="1:18" x14ac:dyDescent="0.2">
      <c r="A2771">
        <v>5</v>
      </c>
      <c r="B2771" t="s">
        <v>99</v>
      </c>
      <c r="E2771" t="s">
        <v>36</v>
      </c>
      <c r="F2771">
        <v>2937797</v>
      </c>
      <c r="G2771">
        <v>4</v>
      </c>
      <c r="H2771">
        <v>3</v>
      </c>
      <c r="I2771">
        <v>381</v>
      </c>
      <c r="J2771">
        <v>2003</v>
      </c>
      <c r="K2771" s="4">
        <v>45545</v>
      </c>
      <c r="L2771" t="s">
        <v>23</v>
      </c>
      <c r="M2771" t="s">
        <v>21</v>
      </c>
      <c r="N2771">
        <v>2.44</v>
      </c>
      <c r="O2771">
        <v>1618</v>
      </c>
      <c r="P2771">
        <v>2.31</v>
      </c>
      <c r="Q2771">
        <v>259</v>
      </c>
      <c r="R2771">
        <v>436</v>
      </c>
    </row>
    <row r="2772" spans="1:18" x14ac:dyDescent="0.2">
      <c r="A2772">
        <v>9</v>
      </c>
      <c r="B2772" t="s">
        <v>75</v>
      </c>
      <c r="E2772" t="s">
        <v>19</v>
      </c>
      <c r="F2772">
        <v>1923701</v>
      </c>
      <c r="G2772">
        <v>3</v>
      </c>
      <c r="H2772">
        <v>1</v>
      </c>
      <c r="I2772">
        <v>104</v>
      </c>
      <c r="J2772">
        <v>2009</v>
      </c>
      <c r="K2772" s="4">
        <v>44540</v>
      </c>
      <c r="L2772" t="s">
        <v>30</v>
      </c>
      <c r="M2772" t="s">
        <v>58</v>
      </c>
      <c r="N2772">
        <v>1.91</v>
      </c>
      <c r="O2772">
        <v>2402</v>
      </c>
      <c r="P2772">
        <v>3.36</v>
      </c>
      <c r="Q2772">
        <v>234</v>
      </c>
      <c r="R2772">
        <v>458</v>
      </c>
    </row>
    <row r="2773" spans="1:18" x14ac:dyDescent="0.2">
      <c r="A2773">
        <v>8</v>
      </c>
      <c r="B2773" t="s">
        <v>80</v>
      </c>
      <c r="E2773" t="s">
        <v>29</v>
      </c>
      <c r="F2773">
        <v>2239962</v>
      </c>
      <c r="G2773">
        <v>2</v>
      </c>
      <c r="H2773">
        <v>1</v>
      </c>
      <c r="I2773">
        <v>684</v>
      </c>
      <c r="J2773">
        <v>2017</v>
      </c>
      <c r="K2773" s="4">
        <v>45033</v>
      </c>
      <c r="L2773" t="s">
        <v>26</v>
      </c>
      <c r="M2773" t="s">
        <v>70</v>
      </c>
      <c r="N2773">
        <v>1.97</v>
      </c>
      <c r="O2773">
        <v>2390</v>
      </c>
      <c r="P2773">
        <v>0.97</v>
      </c>
      <c r="Q2773">
        <v>235</v>
      </c>
      <c r="R2773">
        <v>564</v>
      </c>
    </row>
    <row r="2774" spans="1:18" x14ac:dyDescent="0.2">
      <c r="A2774">
        <v>7</v>
      </c>
      <c r="B2774" t="s">
        <v>44</v>
      </c>
      <c r="E2774" t="s">
        <v>29</v>
      </c>
      <c r="F2774">
        <v>2625829</v>
      </c>
      <c r="G2774">
        <v>3</v>
      </c>
      <c r="H2774">
        <v>3</v>
      </c>
      <c r="I2774">
        <v>465</v>
      </c>
      <c r="J2774">
        <v>1965</v>
      </c>
      <c r="K2774" s="4">
        <v>45356</v>
      </c>
      <c r="L2774" t="s">
        <v>20</v>
      </c>
      <c r="M2774" t="s">
        <v>45</v>
      </c>
      <c r="N2774">
        <v>2.5099999999999998</v>
      </c>
      <c r="O2774">
        <v>2059</v>
      </c>
      <c r="P2774">
        <v>0.15</v>
      </c>
      <c r="Q2774">
        <v>220</v>
      </c>
      <c r="R2774">
        <v>620</v>
      </c>
    </row>
    <row r="2775" spans="1:18" x14ac:dyDescent="0.2">
      <c r="A2775">
        <v>3</v>
      </c>
      <c r="B2775" t="s">
        <v>80</v>
      </c>
      <c r="E2775" t="s">
        <v>29</v>
      </c>
      <c r="F2775">
        <v>2715695</v>
      </c>
      <c r="G2775">
        <v>1</v>
      </c>
      <c r="H2775">
        <v>1</v>
      </c>
      <c r="I2775">
        <v>454</v>
      </c>
      <c r="J2775">
        <v>1998</v>
      </c>
      <c r="K2775" s="4">
        <v>45137</v>
      </c>
      <c r="L2775" t="s">
        <v>20</v>
      </c>
      <c r="M2775" t="s">
        <v>66</v>
      </c>
      <c r="N2775">
        <v>3.2</v>
      </c>
      <c r="O2775">
        <v>1016</v>
      </c>
      <c r="P2775">
        <v>4.8099999999999996</v>
      </c>
      <c r="Q2775">
        <v>112</v>
      </c>
      <c r="R2775">
        <v>691</v>
      </c>
    </row>
    <row r="2776" spans="1:18" x14ac:dyDescent="0.2">
      <c r="A2776">
        <v>4</v>
      </c>
      <c r="B2776" t="s">
        <v>71</v>
      </c>
      <c r="E2776" t="s">
        <v>19</v>
      </c>
      <c r="F2776">
        <v>735260</v>
      </c>
      <c r="G2776">
        <v>4</v>
      </c>
      <c r="H2776">
        <v>2</v>
      </c>
      <c r="I2776">
        <v>496</v>
      </c>
      <c r="J2776">
        <v>1993</v>
      </c>
      <c r="K2776" s="4">
        <v>45300</v>
      </c>
      <c r="L2776" t="s">
        <v>26</v>
      </c>
      <c r="M2776" t="s">
        <v>59</v>
      </c>
      <c r="N2776">
        <v>3.35</v>
      </c>
      <c r="O2776">
        <v>1184</v>
      </c>
      <c r="P2776">
        <v>0.99</v>
      </c>
      <c r="Q2776">
        <v>214</v>
      </c>
      <c r="R2776">
        <v>313</v>
      </c>
    </row>
    <row r="2777" spans="1:18" x14ac:dyDescent="0.2">
      <c r="A2777">
        <v>8</v>
      </c>
      <c r="B2777" t="s">
        <v>46</v>
      </c>
      <c r="E2777" t="s">
        <v>29</v>
      </c>
      <c r="F2777">
        <v>1326513</v>
      </c>
      <c r="G2777">
        <v>3</v>
      </c>
      <c r="H2777">
        <v>2</v>
      </c>
      <c r="I2777">
        <v>728</v>
      </c>
      <c r="J2777">
        <v>1969</v>
      </c>
      <c r="K2777" s="4">
        <v>45557</v>
      </c>
      <c r="L2777" t="s">
        <v>26</v>
      </c>
      <c r="M2777" t="s">
        <v>37</v>
      </c>
      <c r="N2777">
        <v>2.13</v>
      </c>
      <c r="O2777">
        <v>1281</v>
      </c>
      <c r="P2777">
        <v>4.58</v>
      </c>
      <c r="Q2777">
        <v>114</v>
      </c>
      <c r="R2777">
        <v>392</v>
      </c>
    </row>
    <row r="2778" spans="1:18" x14ac:dyDescent="0.2">
      <c r="A2778">
        <v>6</v>
      </c>
      <c r="B2778" t="s">
        <v>105</v>
      </c>
      <c r="E2778" t="s">
        <v>19</v>
      </c>
      <c r="F2778">
        <v>2796033</v>
      </c>
      <c r="G2778">
        <v>3</v>
      </c>
      <c r="H2778">
        <v>3</v>
      </c>
      <c r="I2778">
        <v>826</v>
      </c>
      <c r="J2778">
        <v>1981</v>
      </c>
      <c r="K2778" s="4">
        <v>44516</v>
      </c>
      <c r="L2778" t="s">
        <v>26</v>
      </c>
      <c r="M2778" t="s">
        <v>60</v>
      </c>
      <c r="N2778">
        <v>1.57</v>
      </c>
      <c r="O2778">
        <v>1093</v>
      </c>
      <c r="P2778">
        <v>4.8</v>
      </c>
      <c r="Q2778">
        <v>168</v>
      </c>
      <c r="R2778">
        <v>651</v>
      </c>
    </row>
    <row r="2779" spans="1:18" x14ac:dyDescent="0.2">
      <c r="A2779">
        <v>2</v>
      </c>
      <c r="B2779" t="s">
        <v>102</v>
      </c>
      <c r="E2779" t="s">
        <v>29</v>
      </c>
      <c r="F2779">
        <v>2902173</v>
      </c>
      <c r="G2779">
        <v>2</v>
      </c>
      <c r="H2779">
        <v>3</v>
      </c>
      <c r="I2779">
        <v>240</v>
      </c>
      <c r="J2779">
        <v>1986</v>
      </c>
      <c r="K2779" s="4">
        <v>44078</v>
      </c>
      <c r="L2779" t="s">
        <v>26</v>
      </c>
      <c r="M2779" t="s">
        <v>40</v>
      </c>
      <c r="N2779">
        <v>2.2200000000000002</v>
      </c>
      <c r="O2779">
        <v>1203</v>
      </c>
      <c r="P2779">
        <v>3.12</v>
      </c>
      <c r="Q2779">
        <v>227</v>
      </c>
      <c r="R2779">
        <v>668</v>
      </c>
    </row>
    <row r="2780" spans="1:18" x14ac:dyDescent="0.2">
      <c r="A2780">
        <v>2</v>
      </c>
      <c r="B2780" t="s">
        <v>100</v>
      </c>
      <c r="E2780" t="s">
        <v>36</v>
      </c>
      <c r="F2780">
        <v>1581704</v>
      </c>
      <c r="G2780">
        <v>6</v>
      </c>
      <c r="H2780">
        <v>2</v>
      </c>
      <c r="I2780">
        <v>105</v>
      </c>
      <c r="J2780">
        <v>1958</v>
      </c>
      <c r="K2780" s="4">
        <v>44382</v>
      </c>
      <c r="L2780" t="s">
        <v>30</v>
      </c>
      <c r="M2780" t="s">
        <v>52</v>
      </c>
      <c r="N2780">
        <v>3.1</v>
      </c>
      <c r="O2780">
        <v>1007</v>
      </c>
      <c r="P2780">
        <v>2.48</v>
      </c>
      <c r="Q2780">
        <v>344</v>
      </c>
      <c r="R2780">
        <v>478</v>
      </c>
    </row>
    <row r="2781" spans="1:18" x14ac:dyDescent="0.2">
      <c r="A2781">
        <v>7</v>
      </c>
      <c r="B2781" t="s">
        <v>72</v>
      </c>
      <c r="E2781" t="s">
        <v>36</v>
      </c>
      <c r="F2781">
        <v>1812560</v>
      </c>
      <c r="G2781">
        <v>3</v>
      </c>
      <c r="H2781">
        <v>1</v>
      </c>
      <c r="I2781">
        <v>644</v>
      </c>
      <c r="J2781">
        <v>1980</v>
      </c>
      <c r="K2781" s="4">
        <v>44417</v>
      </c>
      <c r="L2781" t="s">
        <v>23</v>
      </c>
      <c r="M2781" t="s">
        <v>52</v>
      </c>
      <c r="N2781">
        <v>2.4500000000000002</v>
      </c>
      <c r="O2781">
        <v>1803</v>
      </c>
      <c r="P2781">
        <v>2.52</v>
      </c>
      <c r="Q2781">
        <v>88</v>
      </c>
      <c r="R2781">
        <v>671</v>
      </c>
    </row>
    <row r="2782" spans="1:18" x14ac:dyDescent="0.2">
      <c r="A2782">
        <v>8</v>
      </c>
      <c r="B2782" t="s">
        <v>99</v>
      </c>
      <c r="E2782" t="s">
        <v>51</v>
      </c>
      <c r="F2782">
        <v>1727663</v>
      </c>
      <c r="G2782">
        <v>3</v>
      </c>
      <c r="H2782">
        <v>1</v>
      </c>
      <c r="I2782">
        <v>175</v>
      </c>
      <c r="J2782">
        <v>2015</v>
      </c>
      <c r="K2782" s="4">
        <v>44743</v>
      </c>
      <c r="L2782" t="s">
        <v>23</v>
      </c>
      <c r="M2782" t="s">
        <v>21</v>
      </c>
      <c r="N2782">
        <v>2.17</v>
      </c>
      <c r="O2782">
        <v>2159</v>
      </c>
      <c r="P2782">
        <v>1.04</v>
      </c>
      <c r="Q2782">
        <v>205</v>
      </c>
      <c r="R2782">
        <v>561</v>
      </c>
    </row>
    <row r="2783" spans="1:18" x14ac:dyDescent="0.2">
      <c r="A2783">
        <v>5</v>
      </c>
      <c r="B2783" t="s">
        <v>67</v>
      </c>
      <c r="E2783" t="s">
        <v>51</v>
      </c>
      <c r="F2783">
        <v>1896275</v>
      </c>
      <c r="G2783">
        <v>-2</v>
      </c>
      <c r="H2783">
        <v>2</v>
      </c>
      <c r="I2783">
        <v>692</v>
      </c>
      <c r="J2783">
        <v>1959</v>
      </c>
      <c r="K2783" s="4">
        <v>44210</v>
      </c>
      <c r="L2783" t="s">
        <v>20</v>
      </c>
      <c r="M2783" t="s">
        <v>40</v>
      </c>
      <c r="N2783">
        <v>3.01</v>
      </c>
      <c r="O2783">
        <v>2333</v>
      </c>
      <c r="P2783">
        <v>4.55</v>
      </c>
      <c r="Q2783">
        <v>229</v>
      </c>
      <c r="R2783">
        <v>668</v>
      </c>
    </row>
    <row r="2784" spans="1:18" x14ac:dyDescent="0.2">
      <c r="A2784">
        <v>9</v>
      </c>
      <c r="B2784" t="s">
        <v>99</v>
      </c>
      <c r="E2784" t="s">
        <v>19</v>
      </c>
      <c r="F2784">
        <v>1324849</v>
      </c>
      <c r="G2784">
        <v>5</v>
      </c>
      <c r="H2784">
        <v>2</v>
      </c>
      <c r="I2784">
        <v>321</v>
      </c>
      <c r="J2784">
        <v>2016</v>
      </c>
      <c r="K2784" s="4">
        <v>45768</v>
      </c>
      <c r="L2784" t="s">
        <v>23</v>
      </c>
      <c r="M2784" t="s">
        <v>52</v>
      </c>
      <c r="N2784">
        <v>3.27</v>
      </c>
      <c r="O2784">
        <v>1406</v>
      </c>
      <c r="P2784">
        <v>2.87</v>
      </c>
      <c r="Q2784">
        <v>310</v>
      </c>
      <c r="R2784">
        <v>661</v>
      </c>
    </row>
    <row r="2785" spans="1:18" x14ac:dyDescent="0.2">
      <c r="A2785">
        <v>8</v>
      </c>
      <c r="B2785" t="s">
        <v>73</v>
      </c>
      <c r="E2785" t="s">
        <v>19</v>
      </c>
      <c r="F2785">
        <v>954316</v>
      </c>
      <c r="G2785">
        <v>2</v>
      </c>
      <c r="H2785">
        <v>2</v>
      </c>
      <c r="I2785">
        <v>491</v>
      </c>
      <c r="J2785">
        <v>1955</v>
      </c>
      <c r="K2785" s="4">
        <v>45726</v>
      </c>
      <c r="L2785" t="s">
        <v>26</v>
      </c>
      <c r="M2785" t="s">
        <v>76</v>
      </c>
      <c r="N2785">
        <v>1.84</v>
      </c>
      <c r="O2785">
        <v>1746</v>
      </c>
      <c r="P2785">
        <v>1.46</v>
      </c>
      <c r="Q2785">
        <v>107</v>
      </c>
      <c r="R2785">
        <v>487</v>
      </c>
    </row>
    <row r="2786" spans="1:18" x14ac:dyDescent="0.2">
      <c r="A2786">
        <v>7</v>
      </c>
      <c r="B2786" t="s">
        <v>55</v>
      </c>
      <c r="E2786" t="s">
        <v>51</v>
      </c>
      <c r="F2786">
        <v>2207449</v>
      </c>
      <c r="G2786">
        <v>3</v>
      </c>
      <c r="H2786">
        <v>2</v>
      </c>
      <c r="I2786">
        <v>96</v>
      </c>
      <c r="J2786">
        <v>2012</v>
      </c>
      <c r="K2786" s="4">
        <v>44520</v>
      </c>
      <c r="L2786" t="s">
        <v>26</v>
      </c>
      <c r="M2786" t="s">
        <v>45</v>
      </c>
      <c r="N2786">
        <v>3.17</v>
      </c>
      <c r="O2786">
        <v>921</v>
      </c>
      <c r="P2786">
        <v>4.0999999999999996</v>
      </c>
      <c r="Q2786">
        <v>232</v>
      </c>
      <c r="R2786">
        <v>317</v>
      </c>
    </row>
    <row r="2787" spans="1:18" x14ac:dyDescent="0.2">
      <c r="A2787">
        <v>9</v>
      </c>
      <c r="B2787" t="s">
        <v>46</v>
      </c>
      <c r="E2787" t="s">
        <v>36</v>
      </c>
      <c r="F2787">
        <v>2196772</v>
      </c>
      <c r="G2787">
        <v>0</v>
      </c>
      <c r="H2787">
        <v>1</v>
      </c>
      <c r="I2787">
        <v>532</v>
      </c>
      <c r="J2787">
        <v>1974</v>
      </c>
      <c r="K2787" s="4">
        <v>44350</v>
      </c>
      <c r="L2787" t="s">
        <v>26</v>
      </c>
      <c r="M2787" t="s">
        <v>40</v>
      </c>
      <c r="N2787">
        <v>3.36</v>
      </c>
      <c r="O2787">
        <v>954</v>
      </c>
      <c r="P2787">
        <v>2.19</v>
      </c>
      <c r="Q2787">
        <v>68</v>
      </c>
      <c r="R2787">
        <v>375</v>
      </c>
    </row>
    <row r="2788" spans="1:18" x14ac:dyDescent="0.2">
      <c r="A2788">
        <v>1</v>
      </c>
      <c r="B2788" t="s">
        <v>87</v>
      </c>
      <c r="E2788" t="s">
        <v>36</v>
      </c>
      <c r="F2788">
        <v>2631830</v>
      </c>
      <c r="G2788">
        <v>3</v>
      </c>
      <c r="H2788">
        <v>2</v>
      </c>
      <c r="I2788">
        <v>427</v>
      </c>
      <c r="J2788">
        <v>1979</v>
      </c>
      <c r="K2788" s="4">
        <v>45491</v>
      </c>
      <c r="L2788" t="s">
        <v>30</v>
      </c>
      <c r="M2788" t="s">
        <v>40</v>
      </c>
      <c r="N2788">
        <v>2.57</v>
      </c>
      <c r="O2788">
        <v>2488</v>
      </c>
      <c r="P2788">
        <v>0.9</v>
      </c>
      <c r="Q2788">
        <v>287</v>
      </c>
      <c r="R2788">
        <v>551</v>
      </c>
    </row>
    <row r="2789" spans="1:18" x14ac:dyDescent="0.2">
      <c r="A2789">
        <v>4</v>
      </c>
      <c r="B2789" t="s">
        <v>101</v>
      </c>
      <c r="E2789" t="s">
        <v>51</v>
      </c>
      <c r="F2789">
        <v>1935326</v>
      </c>
      <c r="G2789">
        <v>5</v>
      </c>
      <c r="H2789">
        <v>1</v>
      </c>
      <c r="I2789">
        <v>201</v>
      </c>
      <c r="J2789">
        <v>1990</v>
      </c>
      <c r="K2789" s="4">
        <v>44866</v>
      </c>
      <c r="L2789" t="s">
        <v>26</v>
      </c>
      <c r="M2789" t="s">
        <v>78</v>
      </c>
      <c r="N2789">
        <v>3.13</v>
      </c>
      <c r="O2789">
        <v>2128</v>
      </c>
      <c r="P2789">
        <v>1.38</v>
      </c>
      <c r="Q2789">
        <v>330</v>
      </c>
      <c r="R2789">
        <v>562</v>
      </c>
    </row>
    <row r="2790" spans="1:18" x14ac:dyDescent="0.2">
      <c r="A2790">
        <v>2</v>
      </c>
      <c r="B2790" t="s">
        <v>39</v>
      </c>
      <c r="E2790" t="s">
        <v>51</v>
      </c>
      <c r="F2790">
        <v>1560498</v>
      </c>
      <c r="G2790">
        <v>1</v>
      </c>
      <c r="H2790">
        <v>2</v>
      </c>
      <c r="I2790">
        <v>546</v>
      </c>
      <c r="J2790">
        <v>2012</v>
      </c>
      <c r="K2790" s="4">
        <v>44427</v>
      </c>
      <c r="L2790" t="s">
        <v>20</v>
      </c>
      <c r="M2790" t="s">
        <v>31</v>
      </c>
      <c r="N2790">
        <v>1.92</v>
      </c>
      <c r="O2790">
        <v>1712</v>
      </c>
      <c r="P2790">
        <v>0.25</v>
      </c>
      <c r="Q2790">
        <v>108</v>
      </c>
      <c r="R2790">
        <v>312</v>
      </c>
    </row>
    <row r="2791" spans="1:18" x14ac:dyDescent="0.2">
      <c r="A2791">
        <v>5</v>
      </c>
      <c r="B2791" t="s">
        <v>88</v>
      </c>
      <c r="E2791" t="s">
        <v>29</v>
      </c>
      <c r="F2791">
        <v>563206</v>
      </c>
      <c r="G2791">
        <v>5</v>
      </c>
      <c r="H2791">
        <v>3</v>
      </c>
      <c r="I2791">
        <v>216</v>
      </c>
      <c r="J2791">
        <v>1978</v>
      </c>
      <c r="K2791" s="4">
        <v>45621</v>
      </c>
      <c r="L2791" t="s">
        <v>30</v>
      </c>
      <c r="M2791" t="s">
        <v>21</v>
      </c>
      <c r="N2791">
        <v>2.54</v>
      </c>
      <c r="O2791">
        <v>1126</v>
      </c>
      <c r="P2791">
        <v>0.61</v>
      </c>
      <c r="Q2791">
        <v>368</v>
      </c>
      <c r="R2791">
        <v>516</v>
      </c>
    </row>
    <row r="2792" spans="1:18" x14ac:dyDescent="0.2">
      <c r="A2792">
        <v>1</v>
      </c>
      <c r="B2792" t="s">
        <v>90</v>
      </c>
      <c r="E2792" t="s">
        <v>19</v>
      </c>
      <c r="F2792">
        <v>1337557</v>
      </c>
      <c r="G2792">
        <v>4</v>
      </c>
      <c r="H2792">
        <v>1</v>
      </c>
      <c r="I2792">
        <v>271</v>
      </c>
      <c r="J2792">
        <v>1971</v>
      </c>
      <c r="K2792" s="4">
        <v>45615</v>
      </c>
      <c r="L2792" t="s">
        <v>20</v>
      </c>
      <c r="M2792" t="s">
        <v>59</v>
      </c>
      <c r="N2792">
        <v>3.46</v>
      </c>
      <c r="O2792">
        <v>1483</v>
      </c>
      <c r="P2792">
        <v>3.37</v>
      </c>
      <c r="Q2792">
        <v>213</v>
      </c>
      <c r="R2792">
        <v>621</v>
      </c>
    </row>
    <row r="2793" spans="1:18" x14ac:dyDescent="0.2">
      <c r="A2793">
        <v>4</v>
      </c>
      <c r="B2793" t="s">
        <v>88</v>
      </c>
      <c r="E2793" t="s">
        <v>29</v>
      </c>
      <c r="F2793">
        <v>590515</v>
      </c>
      <c r="G2793">
        <v>2</v>
      </c>
      <c r="H2793">
        <v>3</v>
      </c>
      <c r="I2793">
        <v>721</v>
      </c>
      <c r="J2793">
        <v>1977</v>
      </c>
      <c r="K2793" s="4">
        <v>45317</v>
      </c>
      <c r="L2793" t="s">
        <v>26</v>
      </c>
      <c r="M2793" t="s">
        <v>42</v>
      </c>
      <c r="N2793">
        <v>2.76</v>
      </c>
      <c r="O2793">
        <v>2050</v>
      </c>
      <c r="P2793">
        <v>4.5</v>
      </c>
      <c r="Q2793">
        <v>198</v>
      </c>
      <c r="R2793">
        <v>511</v>
      </c>
    </row>
    <row r="2794" spans="1:18" x14ac:dyDescent="0.2">
      <c r="A2794">
        <v>0</v>
      </c>
      <c r="B2794" t="s">
        <v>55</v>
      </c>
      <c r="E2794" t="s">
        <v>29</v>
      </c>
      <c r="F2794">
        <v>2169868</v>
      </c>
      <c r="G2794">
        <v>3</v>
      </c>
      <c r="H2794">
        <v>1</v>
      </c>
      <c r="I2794">
        <v>928</v>
      </c>
      <c r="J2794">
        <v>1990</v>
      </c>
      <c r="K2794" s="4">
        <v>44140</v>
      </c>
      <c r="L2794" t="s">
        <v>20</v>
      </c>
      <c r="M2794" t="s">
        <v>21</v>
      </c>
      <c r="N2794">
        <v>3.43</v>
      </c>
      <c r="O2794">
        <v>1896</v>
      </c>
      <c r="P2794">
        <v>2.23</v>
      </c>
      <c r="Q2794">
        <v>203</v>
      </c>
      <c r="R2794">
        <v>471</v>
      </c>
    </row>
    <row r="2795" spans="1:18" x14ac:dyDescent="0.2">
      <c r="A2795">
        <v>3</v>
      </c>
      <c r="B2795" t="s">
        <v>102</v>
      </c>
      <c r="E2795" t="s">
        <v>29</v>
      </c>
      <c r="F2795">
        <v>1638113</v>
      </c>
      <c r="G2795">
        <v>4</v>
      </c>
      <c r="H2795">
        <v>1</v>
      </c>
      <c r="I2795">
        <v>254</v>
      </c>
      <c r="J2795">
        <v>1967</v>
      </c>
      <c r="K2795" s="4">
        <v>45199</v>
      </c>
      <c r="L2795" t="s">
        <v>30</v>
      </c>
      <c r="M2795" t="s">
        <v>31</v>
      </c>
      <c r="N2795">
        <v>1.54</v>
      </c>
      <c r="O2795">
        <v>1294</v>
      </c>
      <c r="P2795">
        <v>2.87</v>
      </c>
      <c r="Q2795">
        <v>386</v>
      </c>
      <c r="R2795">
        <v>639</v>
      </c>
    </row>
    <row r="2796" spans="1:18" x14ac:dyDescent="0.2">
      <c r="A2796">
        <v>2</v>
      </c>
      <c r="B2796" t="s">
        <v>57</v>
      </c>
      <c r="E2796" t="s">
        <v>29</v>
      </c>
      <c r="F2796">
        <v>1423327</v>
      </c>
      <c r="G2796">
        <v>3</v>
      </c>
      <c r="H2796">
        <v>2</v>
      </c>
      <c r="I2796">
        <v>739</v>
      </c>
      <c r="J2796">
        <v>1964</v>
      </c>
      <c r="K2796" s="4">
        <v>44215</v>
      </c>
      <c r="L2796" t="s">
        <v>30</v>
      </c>
      <c r="M2796" t="s">
        <v>40</v>
      </c>
      <c r="N2796">
        <v>3.12</v>
      </c>
      <c r="O2796">
        <v>1240</v>
      </c>
      <c r="P2796">
        <v>4.13</v>
      </c>
      <c r="Q2796">
        <v>312</v>
      </c>
      <c r="R2796">
        <v>505</v>
      </c>
    </row>
    <row r="2797" spans="1:18" x14ac:dyDescent="0.2">
      <c r="A2797">
        <v>9</v>
      </c>
      <c r="B2797" t="s">
        <v>32</v>
      </c>
      <c r="E2797" t="s">
        <v>36</v>
      </c>
      <c r="F2797">
        <v>1371649</v>
      </c>
      <c r="G2797">
        <v>2</v>
      </c>
      <c r="H2797">
        <v>3</v>
      </c>
      <c r="I2797">
        <v>615</v>
      </c>
      <c r="J2797">
        <v>2016</v>
      </c>
      <c r="K2797" s="4">
        <v>45398</v>
      </c>
      <c r="L2797" t="s">
        <v>26</v>
      </c>
      <c r="M2797" t="s">
        <v>76</v>
      </c>
      <c r="N2797">
        <v>1.94</v>
      </c>
      <c r="O2797">
        <v>1547</v>
      </c>
      <c r="P2797">
        <v>0.85</v>
      </c>
      <c r="Q2797">
        <v>135</v>
      </c>
      <c r="R2797">
        <v>386</v>
      </c>
    </row>
    <row r="2798" spans="1:18" x14ac:dyDescent="0.2">
      <c r="A2798">
        <v>3</v>
      </c>
      <c r="B2798" t="s">
        <v>73</v>
      </c>
      <c r="E2798" t="s">
        <v>19</v>
      </c>
      <c r="F2798">
        <v>2321145</v>
      </c>
      <c r="G2798">
        <v>0</v>
      </c>
      <c r="H2798">
        <v>3</v>
      </c>
      <c r="I2798">
        <v>564</v>
      </c>
      <c r="J2798">
        <v>1961</v>
      </c>
      <c r="K2798" s="4">
        <v>44536</v>
      </c>
      <c r="L2798" t="s">
        <v>20</v>
      </c>
      <c r="M2798" t="s">
        <v>42</v>
      </c>
      <c r="N2798">
        <v>1.55</v>
      </c>
      <c r="O2798">
        <v>2309</v>
      </c>
      <c r="P2798">
        <v>2.41</v>
      </c>
      <c r="Q2798">
        <v>40</v>
      </c>
      <c r="R2798">
        <v>586</v>
      </c>
    </row>
    <row r="2799" spans="1:18" x14ac:dyDescent="0.2">
      <c r="A2799">
        <v>1</v>
      </c>
      <c r="B2799" t="s">
        <v>88</v>
      </c>
      <c r="E2799" t="s">
        <v>36</v>
      </c>
      <c r="F2799">
        <v>2721543</v>
      </c>
      <c r="G2799">
        <v>4</v>
      </c>
      <c r="H2799">
        <v>3</v>
      </c>
      <c r="I2799">
        <v>605</v>
      </c>
      <c r="J2799">
        <v>1972</v>
      </c>
      <c r="K2799" s="4">
        <v>44087</v>
      </c>
      <c r="L2799" t="s">
        <v>26</v>
      </c>
      <c r="M2799" t="s">
        <v>31</v>
      </c>
      <c r="N2799">
        <v>2.67</v>
      </c>
      <c r="O2799">
        <v>1073</v>
      </c>
      <c r="P2799">
        <v>2.74</v>
      </c>
      <c r="Q2799">
        <v>394</v>
      </c>
      <c r="R2799">
        <v>368</v>
      </c>
    </row>
    <row r="2800" spans="1:18" x14ac:dyDescent="0.2">
      <c r="A2800">
        <v>5</v>
      </c>
      <c r="B2800" t="s">
        <v>104</v>
      </c>
      <c r="E2800" t="s">
        <v>19</v>
      </c>
      <c r="F2800">
        <v>400816</v>
      </c>
      <c r="G2800">
        <v>3</v>
      </c>
      <c r="H2800">
        <v>3</v>
      </c>
      <c r="I2800">
        <v>967</v>
      </c>
      <c r="J2800">
        <v>1960</v>
      </c>
      <c r="K2800" s="4">
        <v>45872</v>
      </c>
      <c r="L2800" t="s">
        <v>26</v>
      </c>
      <c r="M2800" t="s">
        <v>97</v>
      </c>
      <c r="N2800">
        <v>3.26</v>
      </c>
      <c r="O2800">
        <v>2297</v>
      </c>
      <c r="P2800">
        <v>2.42</v>
      </c>
      <c r="Q2800">
        <v>309</v>
      </c>
      <c r="R2800">
        <v>323</v>
      </c>
    </row>
    <row r="2801" spans="1:18" x14ac:dyDescent="0.2">
      <c r="A2801">
        <v>0</v>
      </c>
      <c r="B2801" t="s">
        <v>61</v>
      </c>
      <c r="E2801" t="s">
        <v>29</v>
      </c>
      <c r="F2801">
        <v>1328680</v>
      </c>
      <c r="G2801">
        <v>6</v>
      </c>
      <c r="H2801">
        <v>3</v>
      </c>
      <c r="I2801">
        <v>867</v>
      </c>
      <c r="J2801">
        <v>2006</v>
      </c>
      <c r="K2801" s="4">
        <v>45177</v>
      </c>
      <c r="L2801" t="s">
        <v>20</v>
      </c>
      <c r="M2801" t="s">
        <v>47</v>
      </c>
      <c r="N2801">
        <v>2.84</v>
      </c>
      <c r="O2801">
        <v>836</v>
      </c>
      <c r="P2801">
        <v>3.51</v>
      </c>
      <c r="Q2801">
        <v>361</v>
      </c>
      <c r="R2801">
        <v>481</v>
      </c>
    </row>
    <row r="2802" spans="1:18" x14ac:dyDescent="0.2">
      <c r="A2802">
        <v>7</v>
      </c>
      <c r="B2802" t="s">
        <v>83</v>
      </c>
      <c r="E2802" t="s">
        <v>51</v>
      </c>
      <c r="F2802">
        <v>2236528</v>
      </c>
      <c r="G2802">
        <v>3</v>
      </c>
      <c r="H2802">
        <v>1</v>
      </c>
      <c r="I2802">
        <v>976</v>
      </c>
      <c r="J2802">
        <v>1982</v>
      </c>
      <c r="K2802" s="4">
        <v>44438</v>
      </c>
      <c r="L2802" t="s">
        <v>26</v>
      </c>
      <c r="M2802" t="s">
        <v>68</v>
      </c>
      <c r="N2802">
        <v>2.8</v>
      </c>
      <c r="O2802">
        <v>2132</v>
      </c>
      <c r="P2802">
        <v>4.29</v>
      </c>
      <c r="Q2802">
        <v>307</v>
      </c>
      <c r="R2802">
        <v>377</v>
      </c>
    </row>
    <row r="2803" spans="1:18" x14ac:dyDescent="0.2">
      <c r="A2803">
        <v>8</v>
      </c>
      <c r="B2803" t="s">
        <v>50</v>
      </c>
      <c r="E2803" t="s">
        <v>29</v>
      </c>
      <c r="F2803">
        <v>2072596</v>
      </c>
      <c r="G2803">
        <v>5</v>
      </c>
      <c r="H2803">
        <v>1</v>
      </c>
      <c r="I2803">
        <v>0</v>
      </c>
      <c r="J2803">
        <v>2012</v>
      </c>
      <c r="K2803" s="4">
        <v>44674</v>
      </c>
      <c r="L2803" t="s">
        <v>23</v>
      </c>
      <c r="M2803" t="s">
        <v>82</v>
      </c>
      <c r="N2803">
        <v>3.15</v>
      </c>
      <c r="O2803">
        <v>1693</v>
      </c>
      <c r="P2803">
        <v>0.39</v>
      </c>
      <c r="Q2803">
        <v>396</v>
      </c>
      <c r="R2803">
        <v>577</v>
      </c>
    </row>
    <row r="2804" spans="1:18" x14ac:dyDescent="0.2">
      <c r="A2804">
        <v>2</v>
      </c>
      <c r="B2804" t="s">
        <v>25</v>
      </c>
      <c r="E2804" t="s">
        <v>36</v>
      </c>
      <c r="F2804">
        <v>2805979</v>
      </c>
      <c r="G2804">
        <v>3</v>
      </c>
      <c r="H2804">
        <v>2</v>
      </c>
      <c r="I2804">
        <v>761</v>
      </c>
      <c r="J2804">
        <v>1976</v>
      </c>
      <c r="K2804" s="4">
        <v>45820</v>
      </c>
      <c r="L2804" t="s">
        <v>23</v>
      </c>
      <c r="M2804" t="s">
        <v>69</v>
      </c>
      <c r="N2804">
        <v>1.74</v>
      </c>
      <c r="O2804">
        <v>1115</v>
      </c>
      <c r="P2804">
        <v>1.96</v>
      </c>
      <c r="Q2804">
        <v>141</v>
      </c>
      <c r="R2804">
        <v>365</v>
      </c>
    </row>
    <row r="2805" spans="1:18" x14ac:dyDescent="0.2">
      <c r="A2805">
        <v>5</v>
      </c>
      <c r="B2805" t="s">
        <v>87</v>
      </c>
      <c r="E2805" t="s">
        <v>51</v>
      </c>
      <c r="F2805">
        <v>1481574</v>
      </c>
      <c r="G2805">
        <v>2</v>
      </c>
      <c r="H2805">
        <v>1</v>
      </c>
      <c r="I2805">
        <v>51</v>
      </c>
      <c r="J2805">
        <v>2005</v>
      </c>
      <c r="K2805" s="4">
        <v>45239</v>
      </c>
      <c r="L2805" t="s">
        <v>30</v>
      </c>
      <c r="M2805" t="s">
        <v>58</v>
      </c>
      <c r="N2805">
        <v>3.5</v>
      </c>
      <c r="O2805">
        <v>1715</v>
      </c>
      <c r="P2805">
        <v>2.4300000000000002</v>
      </c>
      <c r="Q2805">
        <v>90</v>
      </c>
      <c r="R2805">
        <v>516</v>
      </c>
    </row>
    <row r="2806" spans="1:18" x14ac:dyDescent="0.2">
      <c r="A2806">
        <v>7</v>
      </c>
      <c r="B2806" t="s">
        <v>49</v>
      </c>
      <c r="E2806" t="s">
        <v>51</v>
      </c>
      <c r="F2806">
        <v>2651584</v>
      </c>
      <c r="G2806">
        <v>0</v>
      </c>
      <c r="H2806">
        <v>2</v>
      </c>
      <c r="I2806">
        <v>146</v>
      </c>
      <c r="J2806">
        <v>1999</v>
      </c>
      <c r="K2806" s="4">
        <v>45636</v>
      </c>
      <c r="L2806" t="s">
        <v>23</v>
      </c>
      <c r="M2806" t="s">
        <v>97</v>
      </c>
      <c r="N2806">
        <v>3.32</v>
      </c>
      <c r="O2806">
        <v>1455</v>
      </c>
      <c r="P2806">
        <v>2.74</v>
      </c>
      <c r="Q2806">
        <v>57</v>
      </c>
      <c r="R2806">
        <v>308</v>
      </c>
    </row>
    <row r="2807" spans="1:18" x14ac:dyDescent="0.2">
      <c r="A2807">
        <v>1</v>
      </c>
      <c r="B2807" t="s">
        <v>38</v>
      </c>
      <c r="E2807" t="s">
        <v>19</v>
      </c>
      <c r="F2807">
        <v>1615213</v>
      </c>
      <c r="G2807">
        <v>0</v>
      </c>
      <c r="H2807">
        <v>3</v>
      </c>
      <c r="I2807">
        <v>391</v>
      </c>
      <c r="J2807">
        <v>2018</v>
      </c>
      <c r="K2807" s="4">
        <v>45579</v>
      </c>
      <c r="L2807" t="s">
        <v>20</v>
      </c>
      <c r="M2807" t="s">
        <v>66</v>
      </c>
      <c r="N2807">
        <v>2.5</v>
      </c>
      <c r="O2807">
        <v>1571</v>
      </c>
      <c r="P2807">
        <v>2.4500000000000002</v>
      </c>
      <c r="Q2807">
        <v>80</v>
      </c>
      <c r="R2807">
        <v>316</v>
      </c>
    </row>
    <row r="2808" spans="1:18" x14ac:dyDescent="0.2">
      <c r="A2808">
        <v>0</v>
      </c>
      <c r="B2808" t="s">
        <v>57</v>
      </c>
      <c r="E2808" t="s">
        <v>19</v>
      </c>
      <c r="F2808">
        <v>877309</v>
      </c>
      <c r="G2808">
        <v>3</v>
      </c>
      <c r="H2808">
        <v>3</v>
      </c>
      <c r="I2808">
        <v>861</v>
      </c>
      <c r="J2808">
        <v>2002</v>
      </c>
      <c r="K2808" s="4">
        <v>45364</v>
      </c>
      <c r="L2808" t="s">
        <v>26</v>
      </c>
      <c r="M2808" t="s">
        <v>31</v>
      </c>
      <c r="N2808">
        <v>2.8</v>
      </c>
      <c r="O2808">
        <v>2457</v>
      </c>
      <c r="P2808">
        <v>3.79</v>
      </c>
      <c r="Q2808">
        <v>264</v>
      </c>
      <c r="R2808">
        <v>503</v>
      </c>
    </row>
    <row r="2809" spans="1:18" x14ac:dyDescent="0.2">
      <c r="A2809">
        <v>7</v>
      </c>
      <c r="B2809" t="s">
        <v>105</v>
      </c>
      <c r="E2809" t="s">
        <v>29</v>
      </c>
      <c r="F2809">
        <v>2713571</v>
      </c>
      <c r="G2809">
        <v>3</v>
      </c>
      <c r="H2809">
        <v>1</v>
      </c>
      <c r="I2809">
        <v>551</v>
      </c>
      <c r="J2809">
        <v>2007</v>
      </c>
      <c r="K2809" s="4">
        <v>44736</v>
      </c>
      <c r="L2809" t="s">
        <v>30</v>
      </c>
      <c r="M2809" t="s">
        <v>97</v>
      </c>
      <c r="N2809">
        <v>1.74</v>
      </c>
      <c r="O2809">
        <v>2364</v>
      </c>
      <c r="P2809">
        <v>3.52</v>
      </c>
      <c r="Q2809">
        <v>285</v>
      </c>
      <c r="R2809">
        <v>499</v>
      </c>
    </row>
    <row r="2810" spans="1:18" x14ac:dyDescent="0.2">
      <c r="A2810">
        <v>3</v>
      </c>
      <c r="B2810" t="s">
        <v>99</v>
      </c>
      <c r="E2810" t="s">
        <v>29</v>
      </c>
      <c r="F2810">
        <v>2952659</v>
      </c>
      <c r="G2810">
        <v>1</v>
      </c>
      <c r="H2810">
        <v>1</v>
      </c>
      <c r="I2810">
        <v>129</v>
      </c>
      <c r="J2810">
        <v>1977</v>
      </c>
      <c r="K2810" s="4">
        <v>45012</v>
      </c>
      <c r="L2810" t="s">
        <v>26</v>
      </c>
      <c r="M2810" t="s">
        <v>42</v>
      </c>
      <c r="N2810">
        <v>1.94</v>
      </c>
      <c r="O2810">
        <v>887</v>
      </c>
      <c r="P2810">
        <v>2.83</v>
      </c>
      <c r="Q2810">
        <v>159</v>
      </c>
      <c r="R2810">
        <v>443</v>
      </c>
    </row>
    <row r="2811" spans="1:18" x14ac:dyDescent="0.2">
      <c r="A2811">
        <v>3</v>
      </c>
      <c r="B2811" t="s">
        <v>95</v>
      </c>
      <c r="E2811" t="s">
        <v>51</v>
      </c>
      <c r="F2811">
        <v>617728</v>
      </c>
      <c r="G2811">
        <v>5</v>
      </c>
      <c r="H2811">
        <v>1</v>
      </c>
      <c r="I2811">
        <v>473</v>
      </c>
      <c r="J2811">
        <v>1959</v>
      </c>
      <c r="K2811" s="4">
        <v>44582</v>
      </c>
      <c r="L2811" t="s">
        <v>30</v>
      </c>
      <c r="M2811" t="s">
        <v>52</v>
      </c>
      <c r="N2811">
        <v>1.67</v>
      </c>
      <c r="O2811">
        <v>2306</v>
      </c>
      <c r="P2811">
        <v>3.57</v>
      </c>
      <c r="Q2811">
        <v>297</v>
      </c>
      <c r="R2811">
        <v>487</v>
      </c>
    </row>
    <row r="2812" spans="1:18" x14ac:dyDescent="0.2">
      <c r="A2812">
        <v>9</v>
      </c>
      <c r="B2812" t="s">
        <v>86</v>
      </c>
      <c r="E2812" t="s">
        <v>29</v>
      </c>
      <c r="F2812">
        <v>933132</v>
      </c>
      <c r="G2812">
        <v>3</v>
      </c>
      <c r="H2812">
        <v>3</v>
      </c>
      <c r="I2812">
        <v>612</v>
      </c>
      <c r="J2812">
        <v>1956</v>
      </c>
      <c r="K2812" s="4">
        <v>45010</v>
      </c>
      <c r="L2812" t="s">
        <v>26</v>
      </c>
      <c r="M2812" t="s">
        <v>35</v>
      </c>
      <c r="N2812">
        <v>1.82</v>
      </c>
      <c r="O2812">
        <v>2323</v>
      </c>
      <c r="P2812">
        <v>0.18</v>
      </c>
      <c r="Q2812">
        <v>275</v>
      </c>
      <c r="R2812">
        <v>646</v>
      </c>
    </row>
    <row r="2813" spans="1:18" x14ac:dyDescent="0.2">
      <c r="A2813">
        <v>0</v>
      </c>
      <c r="B2813" t="s">
        <v>64</v>
      </c>
      <c r="E2813" t="s">
        <v>19</v>
      </c>
      <c r="F2813">
        <v>680876</v>
      </c>
      <c r="G2813">
        <v>3</v>
      </c>
      <c r="H2813">
        <v>1</v>
      </c>
      <c r="I2813">
        <v>144</v>
      </c>
      <c r="J2813">
        <v>1988</v>
      </c>
      <c r="K2813" s="4">
        <v>44459</v>
      </c>
      <c r="L2813" t="s">
        <v>20</v>
      </c>
      <c r="M2813" t="s">
        <v>31</v>
      </c>
      <c r="N2813">
        <v>1.79</v>
      </c>
      <c r="O2813">
        <v>2063</v>
      </c>
      <c r="P2813">
        <v>0.76</v>
      </c>
      <c r="Q2813">
        <v>280</v>
      </c>
      <c r="R2813">
        <v>459</v>
      </c>
    </row>
    <row r="2814" spans="1:18" x14ac:dyDescent="0.2">
      <c r="A2814">
        <v>0</v>
      </c>
      <c r="B2814" t="s">
        <v>46</v>
      </c>
      <c r="E2814" t="s">
        <v>36</v>
      </c>
      <c r="F2814">
        <v>1930768</v>
      </c>
      <c r="G2814">
        <v>1</v>
      </c>
      <c r="H2814">
        <v>2</v>
      </c>
      <c r="I2814">
        <v>288</v>
      </c>
      <c r="J2814">
        <v>1995</v>
      </c>
      <c r="K2814" s="4">
        <v>44409</v>
      </c>
      <c r="L2814" t="s">
        <v>30</v>
      </c>
      <c r="M2814" t="s">
        <v>21</v>
      </c>
      <c r="N2814">
        <v>2.66</v>
      </c>
      <c r="O2814">
        <v>1421</v>
      </c>
      <c r="P2814">
        <v>4.32</v>
      </c>
      <c r="Q2814">
        <v>58</v>
      </c>
      <c r="R2814">
        <v>587</v>
      </c>
    </row>
    <row r="2815" spans="1:18" x14ac:dyDescent="0.2">
      <c r="A2815">
        <v>7</v>
      </c>
      <c r="B2815" t="s">
        <v>106</v>
      </c>
      <c r="E2815" t="s">
        <v>36</v>
      </c>
      <c r="F2815">
        <v>2924841</v>
      </c>
      <c r="G2815">
        <v>2</v>
      </c>
      <c r="H2815">
        <v>1</v>
      </c>
      <c r="I2815">
        <v>758</v>
      </c>
      <c r="J2815">
        <v>1957</v>
      </c>
      <c r="K2815" s="4">
        <v>44531</v>
      </c>
      <c r="L2815" t="s">
        <v>20</v>
      </c>
      <c r="M2815" t="s">
        <v>69</v>
      </c>
      <c r="N2815">
        <v>3.12</v>
      </c>
      <c r="O2815">
        <v>1136</v>
      </c>
      <c r="P2815">
        <v>4.75</v>
      </c>
      <c r="Q2815">
        <v>42</v>
      </c>
      <c r="R2815">
        <v>389</v>
      </c>
    </row>
    <row r="2816" spans="1:18" x14ac:dyDescent="0.2">
      <c r="A2816">
        <v>3</v>
      </c>
      <c r="B2816" t="s">
        <v>105</v>
      </c>
      <c r="E2816" t="s">
        <v>51</v>
      </c>
      <c r="F2816">
        <v>2434890</v>
      </c>
      <c r="G2816">
        <v>4</v>
      </c>
      <c r="H2816">
        <v>3</v>
      </c>
      <c r="I2816">
        <v>94</v>
      </c>
      <c r="J2816">
        <v>1963</v>
      </c>
      <c r="K2816" s="4">
        <v>45607</v>
      </c>
      <c r="L2816" t="s">
        <v>26</v>
      </c>
      <c r="M2816" t="s">
        <v>76</v>
      </c>
      <c r="N2816">
        <v>3.12</v>
      </c>
      <c r="O2816">
        <v>2377</v>
      </c>
      <c r="P2816">
        <v>2.37</v>
      </c>
      <c r="Q2816">
        <v>283</v>
      </c>
      <c r="R2816">
        <v>301</v>
      </c>
    </row>
    <row r="2817" spans="1:18" x14ac:dyDescent="0.2">
      <c r="A2817">
        <v>2</v>
      </c>
      <c r="B2817" t="s">
        <v>102</v>
      </c>
      <c r="E2817" t="s">
        <v>36</v>
      </c>
      <c r="F2817">
        <v>1183330</v>
      </c>
      <c r="G2817">
        <v>3</v>
      </c>
      <c r="H2817">
        <v>1</v>
      </c>
      <c r="I2817">
        <v>894</v>
      </c>
      <c r="J2817">
        <v>2008</v>
      </c>
      <c r="K2817" s="4">
        <v>45309</v>
      </c>
      <c r="L2817" t="s">
        <v>30</v>
      </c>
      <c r="M2817" t="s">
        <v>31</v>
      </c>
      <c r="N2817">
        <v>3.44</v>
      </c>
      <c r="O2817">
        <v>1713</v>
      </c>
      <c r="P2817">
        <v>1.1200000000000001</v>
      </c>
      <c r="Q2817">
        <v>306</v>
      </c>
      <c r="R2817">
        <v>318</v>
      </c>
    </row>
    <row r="2818" spans="1:18" x14ac:dyDescent="0.2">
      <c r="A2818">
        <v>3</v>
      </c>
      <c r="B2818" t="s">
        <v>99</v>
      </c>
      <c r="E2818" t="s">
        <v>51</v>
      </c>
      <c r="F2818">
        <v>655352</v>
      </c>
      <c r="G2818">
        <v>3</v>
      </c>
      <c r="H2818">
        <v>1</v>
      </c>
      <c r="I2818">
        <v>500</v>
      </c>
      <c r="J2818">
        <v>1956</v>
      </c>
      <c r="K2818" s="4">
        <v>45083</v>
      </c>
      <c r="L2818" t="s">
        <v>26</v>
      </c>
      <c r="M2818" t="s">
        <v>97</v>
      </c>
      <c r="N2818">
        <v>2.87</v>
      </c>
      <c r="O2818">
        <v>2382</v>
      </c>
      <c r="P2818">
        <v>4.72</v>
      </c>
      <c r="Q2818">
        <v>273</v>
      </c>
      <c r="R2818">
        <v>583</v>
      </c>
    </row>
    <row r="2819" spans="1:18" x14ac:dyDescent="0.2">
      <c r="A2819">
        <v>6</v>
      </c>
      <c r="B2819" t="s">
        <v>91</v>
      </c>
      <c r="E2819" t="s">
        <v>19</v>
      </c>
      <c r="F2819">
        <v>2971911</v>
      </c>
      <c r="G2819">
        <v>2</v>
      </c>
      <c r="H2819">
        <v>1</v>
      </c>
      <c r="I2819">
        <v>217</v>
      </c>
      <c r="J2819">
        <v>2021</v>
      </c>
      <c r="K2819" s="4">
        <v>45797</v>
      </c>
      <c r="L2819" t="s">
        <v>30</v>
      </c>
      <c r="M2819" t="s">
        <v>54</v>
      </c>
      <c r="N2819">
        <v>2.2200000000000002</v>
      </c>
      <c r="O2819">
        <v>2307</v>
      </c>
      <c r="P2819">
        <v>2.15</v>
      </c>
      <c r="Q2819">
        <v>200</v>
      </c>
      <c r="R2819">
        <v>312</v>
      </c>
    </row>
    <row r="2820" spans="1:18" x14ac:dyDescent="0.2">
      <c r="A2820">
        <v>9</v>
      </c>
      <c r="B2820" t="s">
        <v>55</v>
      </c>
      <c r="E2820" t="s">
        <v>19</v>
      </c>
      <c r="F2820">
        <v>518131</v>
      </c>
      <c r="G2820">
        <v>2</v>
      </c>
      <c r="H2820">
        <v>2</v>
      </c>
      <c r="I2820">
        <v>257</v>
      </c>
      <c r="J2820">
        <v>1974</v>
      </c>
      <c r="K2820" s="4">
        <v>44110</v>
      </c>
      <c r="L2820" t="s">
        <v>30</v>
      </c>
      <c r="M2820" t="s">
        <v>70</v>
      </c>
      <c r="N2820">
        <v>2.2599999999999998</v>
      </c>
      <c r="O2820">
        <v>1055</v>
      </c>
      <c r="P2820">
        <v>3.62</v>
      </c>
      <c r="Q2820">
        <v>101</v>
      </c>
      <c r="R2820">
        <v>593</v>
      </c>
    </row>
    <row r="2821" spans="1:18" x14ac:dyDescent="0.2">
      <c r="A2821">
        <v>7</v>
      </c>
      <c r="B2821" t="s">
        <v>105</v>
      </c>
      <c r="E2821" t="s">
        <v>29</v>
      </c>
      <c r="F2821">
        <v>2316869</v>
      </c>
      <c r="G2821">
        <v>6</v>
      </c>
      <c r="H2821">
        <v>1</v>
      </c>
      <c r="I2821">
        <v>488</v>
      </c>
      <c r="J2821">
        <v>1964</v>
      </c>
      <c r="K2821" s="4">
        <v>44134</v>
      </c>
      <c r="L2821" t="s">
        <v>26</v>
      </c>
      <c r="M2821" t="s">
        <v>56</v>
      </c>
      <c r="N2821">
        <v>1.94</v>
      </c>
      <c r="O2821">
        <v>2245</v>
      </c>
      <c r="P2821">
        <v>4.1500000000000004</v>
      </c>
      <c r="Q2821">
        <v>343</v>
      </c>
      <c r="R2821">
        <v>387</v>
      </c>
    </row>
    <row r="2822" spans="1:18" x14ac:dyDescent="0.2">
      <c r="A2822">
        <v>4</v>
      </c>
      <c r="B2822" t="s">
        <v>34</v>
      </c>
      <c r="E2822" t="s">
        <v>51</v>
      </c>
      <c r="F2822">
        <v>2709668</v>
      </c>
      <c r="G2822">
        <v>1</v>
      </c>
      <c r="H2822">
        <v>3</v>
      </c>
      <c r="I2822">
        <v>265</v>
      </c>
      <c r="J2822">
        <v>2009</v>
      </c>
      <c r="K2822" s="4">
        <v>44146</v>
      </c>
      <c r="L2822" t="s">
        <v>26</v>
      </c>
      <c r="M2822" t="s">
        <v>54</v>
      </c>
      <c r="N2822">
        <v>1.94</v>
      </c>
      <c r="O2822">
        <v>1103</v>
      </c>
      <c r="P2822">
        <v>4.25</v>
      </c>
      <c r="Q2822">
        <v>101</v>
      </c>
      <c r="R2822">
        <v>601</v>
      </c>
    </row>
    <row r="2823" spans="1:18" x14ac:dyDescent="0.2">
      <c r="A2823">
        <v>2</v>
      </c>
      <c r="B2823" t="s">
        <v>72</v>
      </c>
      <c r="E2823" t="s">
        <v>51</v>
      </c>
      <c r="F2823">
        <v>2982635</v>
      </c>
      <c r="G2823">
        <v>3</v>
      </c>
      <c r="H2823">
        <v>2</v>
      </c>
      <c r="I2823">
        <v>829</v>
      </c>
      <c r="J2823">
        <v>1970</v>
      </c>
      <c r="K2823" s="4">
        <v>45682</v>
      </c>
      <c r="L2823" t="s">
        <v>20</v>
      </c>
      <c r="M2823" t="s">
        <v>33</v>
      </c>
      <c r="N2823">
        <v>2.34</v>
      </c>
      <c r="O2823">
        <v>876</v>
      </c>
      <c r="P2823">
        <v>4.8099999999999996</v>
      </c>
      <c r="Q2823">
        <v>82</v>
      </c>
      <c r="R2823">
        <v>326</v>
      </c>
    </row>
    <row r="2824" spans="1:18" x14ac:dyDescent="0.2">
      <c r="A2824">
        <v>7</v>
      </c>
      <c r="B2824" t="s">
        <v>34</v>
      </c>
      <c r="E2824" t="s">
        <v>19</v>
      </c>
      <c r="F2824">
        <v>461196</v>
      </c>
      <c r="G2824">
        <v>3</v>
      </c>
      <c r="H2824">
        <v>1</v>
      </c>
      <c r="I2824">
        <v>730</v>
      </c>
      <c r="J2824">
        <v>2005</v>
      </c>
      <c r="K2824" s="4">
        <v>44699</v>
      </c>
      <c r="L2824" t="s">
        <v>23</v>
      </c>
      <c r="M2824" t="s">
        <v>52</v>
      </c>
      <c r="N2824">
        <v>1.9</v>
      </c>
      <c r="O2824">
        <v>1667</v>
      </c>
      <c r="P2824">
        <v>3.84</v>
      </c>
      <c r="Q2824">
        <v>97</v>
      </c>
      <c r="R2824">
        <v>653</v>
      </c>
    </row>
    <row r="2825" spans="1:18" x14ac:dyDescent="0.2">
      <c r="A2825">
        <v>1</v>
      </c>
      <c r="B2825" t="s">
        <v>22</v>
      </c>
      <c r="E2825" t="s">
        <v>19</v>
      </c>
      <c r="F2825">
        <v>2821958</v>
      </c>
      <c r="G2825">
        <v>5</v>
      </c>
      <c r="H2825">
        <v>2</v>
      </c>
      <c r="I2825">
        <v>532</v>
      </c>
      <c r="J2825">
        <v>1951</v>
      </c>
      <c r="K2825" s="4">
        <v>44819</v>
      </c>
      <c r="L2825" t="s">
        <v>20</v>
      </c>
      <c r="M2825" t="s">
        <v>58</v>
      </c>
      <c r="N2825">
        <v>3.35</v>
      </c>
      <c r="O2825">
        <v>1034</v>
      </c>
      <c r="P2825">
        <v>2.17</v>
      </c>
      <c r="Q2825">
        <v>393</v>
      </c>
      <c r="R2825">
        <v>310</v>
      </c>
    </row>
    <row r="2826" spans="1:18" x14ac:dyDescent="0.2">
      <c r="A2826">
        <v>1</v>
      </c>
      <c r="B2826" t="s">
        <v>104</v>
      </c>
      <c r="E2826" t="s">
        <v>29</v>
      </c>
      <c r="F2826">
        <v>1240882</v>
      </c>
      <c r="G2826">
        <v>6</v>
      </c>
      <c r="H2826">
        <v>3</v>
      </c>
      <c r="I2826">
        <v>667</v>
      </c>
      <c r="J2826">
        <v>1962</v>
      </c>
      <c r="K2826" s="4">
        <v>44725</v>
      </c>
      <c r="L2826" t="s">
        <v>26</v>
      </c>
      <c r="M2826" t="s">
        <v>52</v>
      </c>
      <c r="N2826">
        <v>2.61</v>
      </c>
      <c r="O2826">
        <v>1682</v>
      </c>
      <c r="P2826">
        <v>3.09</v>
      </c>
      <c r="Q2826">
        <v>325</v>
      </c>
      <c r="R2826">
        <v>447</v>
      </c>
    </row>
    <row r="2827" spans="1:18" x14ac:dyDescent="0.2">
      <c r="A2827">
        <v>7</v>
      </c>
      <c r="B2827" t="s">
        <v>44</v>
      </c>
      <c r="E2827" t="s">
        <v>36</v>
      </c>
      <c r="F2827">
        <v>2929692</v>
      </c>
      <c r="G2827">
        <v>6</v>
      </c>
      <c r="H2827">
        <v>3</v>
      </c>
      <c r="I2827">
        <v>946</v>
      </c>
      <c r="J2827">
        <v>1995</v>
      </c>
      <c r="K2827" s="4">
        <v>44814</v>
      </c>
      <c r="L2827" t="s">
        <v>30</v>
      </c>
      <c r="M2827" t="s">
        <v>27</v>
      </c>
      <c r="N2827">
        <v>2.06</v>
      </c>
      <c r="O2827">
        <v>1579</v>
      </c>
      <c r="P2827">
        <v>4.28</v>
      </c>
      <c r="Q2827">
        <v>354</v>
      </c>
      <c r="R2827">
        <v>304</v>
      </c>
    </row>
    <row r="2828" spans="1:18" x14ac:dyDescent="0.2">
      <c r="A2828">
        <v>0</v>
      </c>
      <c r="B2828" t="s">
        <v>25</v>
      </c>
      <c r="E2828" t="s">
        <v>36</v>
      </c>
      <c r="F2828">
        <v>782077</v>
      </c>
      <c r="G2828">
        <v>4</v>
      </c>
      <c r="H2828">
        <v>2</v>
      </c>
      <c r="I2828">
        <v>293</v>
      </c>
      <c r="J2828">
        <v>2009</v>
      </c>
      <c r="K2828" s="4">
        <v>45214</v>
      </c>
      <c r="L2828" t="s">
        <v>30</v>
      </c>
      <c r="M2828" t="s">
        <v>74</v>
      </c>
      <c r="N2828">
        <v>2.84</v>
      </c>
      <c r="O2828">
        <v>847</v>
      </c>
      <c r="P2828">
        <v>1.96</v>
      </c>
      <c r="Q2828">
        <v>400</v>
      </c>
      <c r="R2828">
        <v>400</v>
      </c>
    </row>
    <row r="2829" spans="1:18" x14ac:dyDescent="0.2">
      <c r="A2829">
        <v>1</v>
      </c>
      <c r="B2829" t="s">
        <v>18</v>
      </c>
      <c r="E2829" t="s">
        <v>19</v>
      </c>
      <c r="F2829">
        <v>2723526</v>
      </c>
      <c r="G2829">
        <v>5</v>
      </c>
      <c r="H2829">
        <v>2</v>
      </c>
      <c r="I2829">
        <v>635</v>
      </c>
      <c r="J2829">
        <v>1995</v>
      </c>
      <c r="K2829" s="4">
        <v>44222</v>
      </c>
      <c r="L2829" t="s">
        <v>26</v>
      </c>
      <c r="M2829" t="s">
        <v>52</v>
      </c>
      <c r="N2829">
        <v>1.59</v>
      </c>
      <c r="O2829">
        <v>2096</v>
      </c>
      <c r="P2829">
        <v>2.11</v>
      </c>
      <c r="Q2829">
        <v>244</v>
      </c>
      <c r="R2829">
        <v>653</v>
      </c>
    </row>
    <row r="2830" spans="1:18" x14ac:dyDescent="0.2">
      <c r="A2830">
        <v>3</v>
      </c>
      <c r="B2830" t="s">
        <v>57</v>
      </c>
      <c r="E2830" t="s">
        <v>19</v>
      </c>
      <c r="F2830">
        <v>1052294</v>
      </c>
      <c r="G2830">
        <v>3</v>
      </c>
      <c r="H2830">
        <v>2</v>
      </c>
      <c r="I2830">
        <v>769</v>
      </c>
      <c r="J2830">
        <v>1991</v>
      </c>
      <c r="K2830" s="4">
        <v>45372</v>
      </c>
      <c r="L2830" t="s">
        <v>30</v>
      </c>
      <c r="M2830" t="s">
        <v>47</v>
      </c>
      <c r="N2830">
        <v>2.4500000000000002</v>
      </c>
      <c r="O2830">
        <v>2473</v>
      </c>
      <c r="P2830">
        <v>2</v>
      </c>
      <c r="Q2830">
        <v>120</v>
      </c>
      <c r="R2830">
        <v>637</v>
      </c>
    </row>
    <row r="2831" spans="1:18" x14ac:dyDescent="0.2">
      <c r="A2831">
        <v>4</v>
      </c>
      <c r="B2831" t="s">
        <v>75</v>
      </c>
      <c r="E2831" t="s">
        <v>29</v>
      </c>
      <c r="F2831">
        <v>2607259</v>
      </c>
      <c r="G2831">
        <v>0</v>
      </c>
      <c r="H2831">
        <v>3</v>
      </c>
      <c r="I2831">
        <v>378</v>
      </c>
      <c r="J2831">
        <v>2017</v>
      </c>
      <c r="K2831" s="4">
        <v>44438</v>
      </c>
      <c r="L2831" t="s">
        <v>20</v>
      </c>
      <c r="M2831" t="s">
        <v>42</v>
      </c>
      <c r="N2831">
        <v>1.75</v>
      </c>
      <c r="O2831">
        <v>1347</v>
      </c>
      <c r="P2831">
        <v>2.2999999999999998</v>
      </c>
      <c r="Q2831">
        <v>74</v>
      </c>
      <c r="R2831">
        <v>318</v>
      </c>
    </row>
    <row r="2832" spans="1:18" x14ac:dyDescent="0.2">
      <c r="A2832">
        <v>4</v>
      </c>
      <c r="B2832" t="s">
        <v>106</v>
      </c>
      <c r="E2832" t="s">
        <v>51</v>
      </c>
      <c r="F2832">
        <v>2462554</v>
      </c>
      <c r="G2832">
        <v>3</v>
      </c>
      <c r="H2832">
        <v>3</v>
      </c>
      <c r="I2832">
        <v>601</v>
      </c>
      <c r="J2832">
        <v>1990</v>
      </c>
      <c r="K2832" s="4">
        <v>44140</v>
      </c>
      <c r="L2832" t="s">
        <v>30</v>
      </c>
      <c r="M2832" t="s">
        <v>70</v>
      </c>
      <c r="N2832">
        <v>1.8</v>
      </c>
      <c r="O2832">
        <v>1520</v>
      </c>
      <c r="P2832">
        <v>1.35</v>
      </c>
      <c r="Q2832">
        <v>231</v>
      </c>
      <c r="R2832">
        <v>594</v>
      </c>
    </row>
    <row r="2833" spans="1:18" x14ac:dyDescent="0.2">
      <c r="A2833">
        <v>1</v>
      </c>
      <c r="B2833" t="s">
        <v>41</v>
      </c>
      <c r="E2833" t="s">
        <v>51</v>
      </c>
      <c r="F2833">
        <v>1416318</v>
      </c>
      <c r="G2833">
        <v>4</v>
      </c>
      <c r="H2833">
        <v>3</v>
      </c>
      <c r="I2833">
        <v>971</v>
      </c>
      <c r="J2833">
        <v>1961</v>
      </c>
      <c r="K2833" s="4">
        <v>45188</v>
      </c>
      <c r="L2833" t="s">
        <v>30</v>
      </c>
      <c r="M2833" t="s">
        <v>54</v>
      </c>
      <c r="N2833">
        <v>2.2000000000000002</v>
      </c>
      <c r="O2833">
        <v>2443</v>
      </c>
      <c r="P2833">
        <v>4.8499999999999996</v>
      </c>
      <c r="Q2833">
        <v>340</v>
      </c>
      <c r="R2833">
        <v>494</v>
      </c>
    </row>
    <row r="2834" spans="1:18" x14ac:dyDescent="0.2">
      <c r="A2834">
        <v>3</v>
      </c>
      <c r="B2834" t="s">
        <v>55</v>
      </c>
      <c r="E2834" t="s">
        <v>19</v>
      </c>
      <c r="F2834">
        <v>2117842</v>
      </c>
      <c r="G2834">
        <v>2</v>
      </c>
      <c r="H2834">
        <v>3</v>
      </c>
      <c r="I2834">
        <v>245</v>
      </c>
      <c r="J2834">
        <v>2002</v>
      </c>
      <c r="K2834" s="4">
        <v>45088</v>
      </c>
      <c r="L2834" t="s">
        <v>30</v>
      </c>
      <c r="M2834" t="s">
        <v>68</v>
      </c>
      <c r="N2834">
        <v>1.75</v>
      </c>
      <c r="O2834">
        <v>1037</v>
      </c>
      <c r="P2834">
        <v>2.74</v>
      </c>
      <c r="Q2834">
        <v>228</v>
      </c>
      <c r="R2834">
        <v>355</v>
      </c>
    </row>
    <row r="2835" spans="1:18" x14ac:dyDescent="0.2">
      <c r="A2835">
        <v>7</v>
      </c>
      <c r="B2835" t="s">
        <v>101</v>
      </c>
      <c r="E2835" t="s">
        <v>51</v>
      </c>
      <c r="F2835">
        <v>601541</v>
      </c>
      <c r="G2835">
        <v>1</v>
      </c>
      <c r="H2835">
        <v>1</v>
      </c>
      <c r="I2835">
        <v>843</v>
      </c>
      <c r="J2835">
        <v>2022</v>
      </c>
      <c r="K2835" s="4">
        <v>45301</v>
      </c>
      <c r="L2835" t="s">
        <v>26</v>
      </c>
      <c r="M2835" t="s">
        <v>42</v>
      </c>
      <c r="N2835">
        <v>2.88</v>
      </c>
      <c r="O2835">
        <v>2375</v>
      </c>
      <c r="P2835">
        <v>0.22</v>
      </c>
      <c r="Q2835">
        <v>144</v>
      </c>
      <c r="R2835">
        <v>612</v>
      </c>
    </row>
    <row r="2836" spans="1:18" x14ac:dyDescent="0.2">
      <c r="A2836">
        <v>4</v>
      </c>
      <c r="B2836" t="s">
        <v>84</v>
      </c>
      <c r="E2836" t="s">
        <v>36</v>
      </c>
      <c r="F2836">
        <v>1192305</v>
      </c>
      <c r="G2836">
        <v>4</v>
      </c>
      <c r="H2836">
        <v>1</v>
      </c>
      <c r="I2836">
        <v>864</v>
      </c>
      <c r="J2836">
        <v>2006</v>
      </c>
      <c r="K2836" s="4">
        <v>44098</v>
      </c>
      <c r="L2836" t="s">
        <v>30</v>
      </c>
      <c r="M2836" t="s">
        <v>58</v>
      </c>
      <c r="N2836">
        <v>1.87</v>
      </c>
      <c r="O2836">
        <v>1427</v>
      </c>
      <c r="P2836">
        <v>0.64</v>
      </c>
      <c r="Q2836">
        <v>316</v>
      </c>
      <c r="R2836">
        <v>356</v>
      </c>
    </row>
    <row r="2837" spans="1:18" x14ac:dyDescent="0.2">
      <c r="A2837">
        <v>4</v>
      </c>
      <c r="B2837" t="s">
        <v>99</v>
      </c>
      <c r="E2837" t="s">
        <v>19</v>
      </c>
      <c r="F2837">
        <v>647748</v>
      </c>
      <c r="G2837">
        <v>1</v>
      </c>
      <c r="H2837">
        <v>1</v>
      </c>
      <c r="I2837">
        <v>187</v>
      </c>
      <c r="J2837">
        <v>1952</v>
      </c>
      <c r="K2837" s="4">
        <v>44973</v>
      </c>
      <c r="L2837" t="s">
        <v>23</v>
      </c>
      <c r="M2837" t="s">
        <v>63</v>
      </c>
      <c r="N2837">
        <v>3.25</v>
      </c>
      <c r="O2837">
        <v>2031</v>
      </c>
      <c r="P2837">
        <v>4.16</v>
      </c>
      <c r="Q2837">
        <v>69</v>
      </c>
      <c r="R2837">
        <v>427</v>
      </c>
    </row>
    <row r="2838" spans="1:18" x14ac:dyDescent="0.2">
      <c r="A2838">
        <v>0</v>
      </c>
      <c r="B2838" t="s">
        <v>46</v>
      </c>
      <c r="E2838" t="s">
        <v>36</v>
      </c>
      <c r="F2838">
        <v>2504468</v>
      </c>
      <c r="G2838">
        <v>2</v>
      </c>
      <c r="H2838">
        <v>2</v>
      </c>
      <c r="I2838">
        <v>784</v>
      </c>
      <c r="J2838">
        <v>1985</v>
      </c>
      <c r="K2838" s="4">
        <v>45623</v>
      </c>
      <c r="L2838" t="s">
        <v>26</v>
      </c>
      <c r="M2838" t="s">
        <v>54</v>
      </c>
      <c r="N2838">
        <v>3.36</v>
      </c>
      <c r="O2838">
        <v>1493</v>
      </c>
      <c r="P2838">
        <v>1.89</v>
      </c>
      <c r="Q2838">
        <v>229</v>
      </c>
      <c r="R2838">
        <v>512</v>
      </c>
    </row>
    <row r="2839" spans="1:18" x14ac:dyDescent="0.2">
      <c r="A2839">
        <v>1</v>
      </c>
      <c r="B2839" t="s">
        <v>101</v>
      </c>
      <c r="E2839" t="s">
        <v>36</v>
      </c>
      <c r="F2839">
        <v>2287169</v>
      </c>
      <c r="G2839">
        <v>3</v>
      </c>
      <c r="H2839">
        <v>3</v>
      </c>
      <c r="I2839">
        <v>374</v>
      </c>
      <c r="J2839">
        <v>2008</v>
      </c>
      <c r="K2839" s="4">
        <v>45576</v>
      </c>
      <c r="L2839" t="s">
        <v>30</v>
      </c>
      <c r="M2839" t="s">
        <v>85</v>
      </c>
      <c r="N2839">
        <v>2.21</v>
      </c>
      <c r="O2839">
        <v>2108</v>
      </c>
      <c r="P2839">
        <v>3.09</v>
      </c>
      <c r="Q2839">
        <v>219</v>
      </c>
      <c r="R2839">
        <v>497</v>
      </c>
    </row>
    <row r="2840" spans="1:18" x14ac:dyDescent="0.2">
      <c r="A2840">
        <v>6</v>
      </c>
      <c r="B2840" t="s">
        <v>87</v>
      </c>
      <c r="E2840" t="s">
        <v>29</v>
      </c>
      <c r="F2840">
        <v>2945099</v>
      </c>
      <c r="G2840">
        <v>1</v>
      </c>
      <c r="H2840">
        <v>3</v>
      </c>
      <c r="I2840">
        <v>651</v>
      </c>
      <c r="J2840">
        <v>1967</v>
      </c>
      <c r="K2840" s="4">
        <v>44549</v>
      </c>
      <c r="L2840" t="s">
        <v>23</v>
      </c>
      <c r="M2840" t="s">
        <v>58</v>
      </c>
      <c r="N2840">
        <v>2.56</v>
      </c>
      <c r="O2840">
        <v>917</v>
      </c>
      <c r="P2840">
        <v>0.91</v>
      </c>
      <c r="Q2840">
        <v>63</v>
      </c>
      <c r="R2840">
        <v>646</v>
      </c>
    </row>
    <row r="2841" spans="1:18" x14ac:dyDescent="0.2">
      <c r="A2841">
        <v>5</v>
      </c>
      <c r="B2841" t="s">
        <v>83</v>
      </c>
      <c r="E2841" t="s">
        <v>36</v>
      </c>
      <c r="F2841">
        <v>420424</v>
      </c>
      <c r="G2841">
        <v>5</v>
      </c>
      <c r="H2841">
        <v>1</v>
      </c>
      <c r="I2841">
        <v>704</v>
      </c>
      <c r="J2841">
        <v>1996</v>
      </c>
      <c r="K2841" s="4">
        <v>45353</v>
      </c>
      <c r="L2841" t="s">
        <v>23</v>
      </c>
      <c r="M2841" t="s">
        <v>82</v>
      </c>
      <c r="N2841">
        <v>3.1</v>
      </c>
      <c r="O2841">
        <v>1926</v>
      </c>
      <c r="P2841">
        <v>4.17</v>
      </c>
      <c r="Q2841">
        <v>292</v>
      </c>
      <c r="R2841">
        <v>511</v>
      </c>
    </row>
    <row r="2842" spans="1:18" x14ac:dyDescent="0.2">
      <c r="A2842">
        <v>8</v>
      </c>
      <c r="B2842" t="s">
        <v>61</v>
      </c>
      <c r="E2842" t="s">
        <v>51</v>
      </c>
      <c r="F2842">
        <v>837794</v>
      </c>
      <c r="G2842">
        <v>3</v>
      </c>
      <c r="H2842">
        <v>2</v>
      </c>
      <c r="I2842">
        <v>500</v>
      </c>
      <c r="J2842">
        <v>1970</v>
      </c>
      <c r="K2842" s="4">
        <v>45603</v>
      </c>
      <c r="L2842" t="s">
        <v>26</v>
      </c>
      <c r="M2842" t="s">
        <v>24</v>
      </c>
      <c r="N2842">
        <v>2.42</v>
      </c>
      <c r="O2842">
        <v>1709</v>
      </c>
      <c r="P2842">
        <v>3.39</v>
      </c>
      <c r="Q2842">
        <v>220</v>
      </c>
      <c r="R2842">
        <v>641</v>
      </c>
    </row>
    <row r="2843" spans="1:18" x14ac:dyDescent="0.2">
      <c r="A2843">
        <v>9</v>
      </c>
      <c r="B2843" t="s">
        <v>65</v>
      </c>
      <c r="E2843" t="s">
        <v>51</v>
      </c>
      <c r="F2843">
        <v>2496282</v>
      </c>
      <c r="G2843">
        <v>4</v>
      </c>
      <c r="H2843">
        <v>1</v>
      </c>
      <c r="I2843">
        <v>979</v>
      </c>
      <c r="J2843">
        <v>1980</v>
      </c>
      <c r="K2843" s="4">
        <v>45569</v>
      </c>
      <c r="L2843" t="s">
        <v>26</v>
      </c>
      <c r="M2843" t="s">
        <v>21</v>
      </c>
      <c r="N2843">
        <v>1.59</v>
      </c>
      <c r="O2843">
        <v>2436</v>
      </c>
      <c r="P2843">
        <v>4.22</v>
      </c>
      <c r="Q2843">
        <v>268</v>
      </c>
      <c r="R2843">
        <v>585</v>
      </c>
    </row>
    <row r="2844" spans="1:18" x14ac:dyDescent="0.2">
      <c r="A2844">
        <v>0</v>
      </c>
      <c r="B2844" t="s">
        <v>106</v>
      </c>
      <c r="E2844" t="s">
        <v>51</v>
      </c>
      <c r="F2844">
        <v>2277771</v>
      </c>
      <c r="G2844">
        <v>3</v>
      </c>
      <c r="H2844">
        <v>2</v>
      </c>
      <c r="I2844">
        <v>322</v>
      </c>
      <c r="J2844">
        <v>1981</v>
      </c>
      <c r="K2844" s="4">
        <v>44408</v>
      </c>
      <c r="L2844" t="s">
        <v>23</v>
      </c>
      <c r="M2844" t="s">
        <v>63</v>
      </c>
      <c r="N2844">
        <v>2.58</v>
      </c>
      <c r="O2844">
        <v>2171</v>
      </c>
      <c r="P2844">
        <v>2.62</v>
      </c>
      <c r="Q2844">
        <v>227</v>
      </c>
      <c r="R2844">
        <v>465</v>
      </c>
    </row>
    <row r="2845" spans="1:18" x14ac:dyDescent="0.2">
      <c r="A2845">
        <v>9</v>
      </c>
      <c r="B2845" t="s">
        <v>94</v>
      </c>
      <c r="E2845" t="s">
        <v>29</v>
      </c>
      <c r="F2845">
        <v>2813692</v>
      </c>
      <c r="G2845">
        <v>6</v>
      </c>
      <c r="H2845">
        <v>3</v>
      </c>
      <c r="I2845">
        <v>618</v>
      </c>
      <c r="J2845">
        <v>1994</v>
      </c>
      <c r="K2845" s="4">
        <v>44899</v>
      </c>
      <c r="L2845" t="s">
        <v>23</v>
      </c>
      <c r="M2845" t="s">
        <v>37</v>
      </c>
      <c r="N2845">
        <v>1.69</v>
      </c>
      <c r="O2845">
        <v>1642</v>
      </c>
      <c r="P2845">
        <v>0.38</v>
      </c>
      <c r="Q2845">
        <v>345</v>
      </c>
      <c r="R2845">
        <v>390</v>
      </c>
    </row>
    <row r="2846" spans="1:18" x14ac:dyDescent="0.2">
      <c r="A2846">
        <v>9</v>
      </c>
      <c r="B2846" t="s">
        <v>43</v>
      </c>
      <c r="E2846" t="s">
        <v>29</v>
      </c>
      <c r="F2846">
        <v>718872</v>
      </c>
      <c r="G2846">
        <v>5</v>
      </c>
      <c r="H2846">
        <v>2</v>
      </c>
      <c r="I2846">
        <v>689</v>
      </c>
      <c r="J2846">
        <v>1950</v>
      </c>
      <c r="K2846" s="4">
        <v>45697</v>
      </c>
      <c r="L2846" t="s">
        <v>23</v>
      </c>
      <c r="M2846" t="s">
        <v>85</v>
      </c>
      <c r="N2846">
        <v>2.34</v>
      </c>
      <c r="O2846">
        <v>1131</v>
      </c>
      <c r="P2846">
        <v>4.54</v>
      </c>
      <c r="Q2846">
        <v>382</v>
      </c>
      <c r="R2846">
        <v>652</v>
      </c>
    </row>
    <row r="2847" spans="1:18" x14ac:dyDescent="0.2">
      <c r="A2847">
        <v>1</v>
      </c>
      <c r="B2847" t="s">
        <v>44</v>
      </c>
      <c r="E2847" t="s">
        <v>51</v>
      </c>
      <c r="F2847">
        <v>510168</v>
      </c>
      <c r="G2847">
        <v>4</v>
      </c>
      <c r="H2847">
        <v>1</v>
      </c>
      <c r="I2847">
        <v>777</v>
      </c>
      <c r="J2847">
        <v>1950</v>
      </c>
      <c r="K2847" s="4">
        <v>44585</v>
      </c>
      <c r="L2847" t="s">
        <v>23</v>
      </c>
      <c r="M2847" t="s">
        <v>54</v>
      </c>
      <c r="N2847">
        <v>2.29</v>
      </c>
      <c r="O2847">
        <v>1754</v>
      </c>
      <c r="P2847">
        <v>0.7</v>
      </c>
      <c r="Q2847">
        <v>340</v>
      </c>
      <c r="R2847">
        <v>615</v>
      </c>
    </row>
    <row r="2848" spans="1:18" x14ac:dyDescent="0.2">
      <c r="A2848">
        <v>4</v>
      </c>
      <c r="B2848" t="s">
        <v>95</v>
      </c>
      <c r="E2848" t="s">
        <v>29</v>
      </c>
      <c r="F2848">
        <v>2501801</v>
      </c>
      <c r="G2848">
        <v>5</v>
      </c>
      <c r="H2848">
        <v>2</v>
      </c>
      <c r="I2848">
        <v>413</v>
      </c>
      <c r="J2848">
        <v>1986</v>
      </c>
      <c r="K2848" s="4">
        <v>44943</v>
      </c>
      <c r="L2848" t="s">
        <v>23</v>
      </c>
      <c r="M2848" t="s">
        <v>63</v>
      </c>
      <c r="N2848">
        <v>1.93</v>
      </c>
      <c r="O2848">
        <v>2499</v>
      </c>
      <c r="P2848">
        <v>0.22</v>
      </c>
      <c r="Q2848">
        <v>321</v>
      </c>
      <c r="R2848">
        <v>625</v>
      </c>
    </row>
    <row r="2849" spans="1:18" x14ac:dyDescent="0.2">
      <c r="A2849">
        <v>9</v>
      </c>
      <c r="B2849" t="s">
        <v>46</v>
      </c>
      <c r="E2849" t="s">
        <v>36</v>
      </c>
      <c r="F2849">
        <v>2860927</v>
      </c>
      <c r="G2849">
        <v>4</v>
      </c>
      <c r="H2849">
        <v>1</v>
      </c>
      <c r="I2849">
        <v>783</v>
      </c>
      <c r="J2849">
        <v>1991</v>
      </c>
      <c r="K2849" s="4">
        <v>44270</v>
      </c>
      <c r="L2849" t="s">
        <v>30</v>
      </c>
      <c r="M2849" t="s">
        <v>31</v>
      </c>
      <c r="N2849">
        <v>1.53</v>
      </c>
      <c r="O2849">
        <v>2053</v>
      </c>
      <c r="P2849">
        <v>1.42</v>
      </c>
      <c r="Q2849">
        <v>337</v>
      </c>
      <c r="R2849">
        <v>553</v>
      </c>
    </row>
    <row r="2850" spans="1:18" x14ac:dyDescent="0.2">
      <c r="A2850">
        <v>0</v>
      </c>
      <c r="B2850" t="s">
        <v>61</v>
      </c>
      <c r="E2850" t="s">
        <v>36</v>
      </c>
      <c r="F2850">
        <v>558833</v>
      </c>
      <c r="G2850">
        <v>0</v>
      </c>
      <c r="H2850">
        <v>2</v>
      </c>
      <c r="I2850">
        <v>178</v>
      </c>
      <c r="J2850">
        <v>1996</v>
      </c>
      <c r="K2850" s="4">
        <v>45373</v>
      </c>
      <c r="L2850" t="s">
        <v>20</v>
      </c>
      <c r="M2850" t="s">
        <v>31</v>
      </c>
      <c r="N2850">
        <v>2.0499999999999998</v>
      </c>
      <c r="O2850">
        <v>1596</v>
      </c>
      <c r="P2850">
        <v>1.43</v>
      </c>
      <c r="Q2850">
        <v>80</v>
      </c>
      <c r="R2850">
        <v>325</v>
      </c>
    </row>
    <row r="2851" spans="1:18" x14ac:dyDescent="0.2">
      <c r="A2851">
        <v>2</v>
      </c>
      <c r="B2851" t="s">
        <v>50</v>
      </c>
      <c r="E2851" t="s">
        <v>29</v>
      </c>
      <c r="F2851">
        <v>2153027</v>
      </c>
      <c r="G2851">
        <v>0</v>
      </c>
      <c r="H2851">
        <v>3</v>
      </c>
      <c r="I2851">
        <v>714</v>
      </c>
      <c r="J2851">
        <v>2008</v>
      </c>
      <c r="K2851" s="4">
        <v>44112</v>
      </c>
      <c r="L2851" t="s">
        <v>20</v>
      </c>
      <c r="M2851" t="s">
        <v>68</v>
      </c>
      <c r="N2851">
        <v>3.16</v>
      </c>
      <c r="O2851">
        <v>1045</v>
      </c>
      <c r="P2851">
        <v>3.74</v>
      </c>
      <c r="Q2851">
        <v>45</v>
      </c>
      <c r="R2851">
        <v>387</v>
      </c>
    </row>
    <row r="2852" spans="1:18" x14ac:dyDescent="0.2">
      <c r="A2852">
        <v>2</v>
      </c>
      <c r="B2852" t="s">
        <v>57</v>
      </c>
      <c r="E2852" t="s">
        <v>19</v>
      </c>
      <c r="F2852">
        <v>1979595</v>
      </c>
      <c r="G2852">
        <v>2</v>
      </c>
      <c r="H2852">
        <v>3</v>
      </c>
      <c r="I2852">
        <v>230</v>
      </c>
      <c r="J2852">
        <v>1985</v>
      </c>
      <c r="K2852" s="4">
        <v>45255</v>
      </c>
      <c r="L2852" t="s">
        <v>30</v>
      </c>
      <c r="M2852" t="s">
        <v>40</v>
      </c>
      <c r="N2852">
        <v>2.86</v>
      </c>
      <c r="O2852">
        <v>897</v>
      </c>
      <c r="P2852">
        <v>1.6</v>
      </c>
      <c r="Q2852">
        <v>239</v>
      </c>
      <c r="R2852">
        <v>582</v>
      </c>
    </row>
    <row r="2853" spans="1:18" x14ac:dyDescent="0.2">
      <c r="A2853">
        <v>1</v>
      </c>
      <c r="B2853" t="s">
        <v>28</v>
      </c>
      <c r="E2853" t="s">
        <v>51</v>
      </c>
      <c r="F2853">
        <v>2059125</v>
      </c>
      <c r="G2853">
        <v>2</v>
      </c>
      <c r="H2853">
        <v>3</v>
      </c>
      <c r="I2853">
        <v>849</v>
      </c>
      <c r="J2853">
        <v>1969</v>
      </c>
      <c r="K2853" s="4">
        <v>45384</v>
      </c>
      <c r="L2853" t="s">
        <v>23</v>
      </c>
      <c r="M2853" t="s">
        <v>21</v>
      </c>
      <c r="N2853">
        <v>2.61</v>
      </c>
      <c r="O2853">
        <v>1593</v>
      </c>
      <c r="P2853">
        <v>1.35</v>
      </c>
      <c r="Q2853">
        <v>127</v>
      </c>
      <c r="R2853">
        <v>506</v>
      </c>
    </row>
    <row r="2854" spans="1:18" x14ac:dyDescent="0.2">
      <c r="A2854">
        <v>0</v>
      </c>
      <c r="B2854" t="s">
        <v>88</v>
      </c>
      <c r="E2854" t="s">
        <v>51</v>
      </c>
      <c r="F2854">
        <v>1963858</v>
      </c>
      <c r="G2854">
        <v>2</v>
      </c>
      <c r="H2854">
        <v>3</v>
      </c>
      <c r="I2854">
        <v>153</v>
      </c>
      <c r="J2854">
        <v>1954</v>
      </c>
      <c r="K2854" s="4">
        <v>45614</v>
      </c>
      <c r="L2854" t="s">
        <v>20</v>
      </c>
      <c r="M2854" t="s">
        <v>42</v>
      </c>
      <c r="N2854">
        <v>1.89</v>
      </c>
      <c r="O2854">
        <v>1137</v>
      </c>
      <c r="P2854">
        <v>0.32</v>
      </c>
      <c r="Q2854">
        <v>229</v>
      </c>
      <c r="R2854">
        <v>436</v>
      </c>
    </row>
    <row r="2855" spans="1:18" x14ac:dyDescent="0.2">
      <c r="A2855">
        <v>9</v>
      </c>
      <c r="B2855" t="s">
        <v>83</v>
      </c>
      <c r="E2855" t="s">
        <v>51</v>
      </c>
      <c r="F2855">
        <v>623353</v>
      </c>
      <c r="G2855">
        <v>1</v>
      </c>
      <c r="H2855">
        <v>3</v>
      </c>
      <c r="I2855">
        <v>253</v>
      </c>
      <c r="J2855">
        <v>1972</v>
      </c>
      <c r="K2855" s="4">
        <v>45634</v>
      </c>
      <c r="L2855" t="s">
        <v>20</v>
      </c>
      <c r="M2855" t="s">
        <v>68</v>
      </c>
      <c r="N2855">
        <v>1.75</v>
      </c>
      <c r="O2855">
        <v>1061</v>
      </c>
      <c r="P2855">
        <v>0.24</v>
      </c>
      <c r="Q2855">
        <v>150</v>
      </c>
      <c r="R2855">
        <v>329</v>
      </c>
    </row>
    <row r="2856" spans="1:18" x14ac:dyDescent="0.2">
      <c r="A2856">
        <v>9</v>
      </c>
      <c r="B2856" t="s">
        <v>104</v>
      </c>
      <c r="E2856" t="s">
        <v>29</v>
      </c>
      <c r="F2856">
        <v>1931016</v>
      </c>
      <c r="G2856">
        <v>4</v>
      </c>
      <c r="H2856">
        <v>2</v>
      </c>
      <c r="I2856">
        <v>755</v>
      </c>
      <c r="J2856">
        <v>2020</v>
      </c>
      <c r="K2856" s="4">
        <v>45095</v>
      </c>
      <c r="L2856" t="s">
        <v>26</v>
      </c>
      <c r="M2856" t="s">
        <v>78</v>
      </c>
      <c r="N2856">
        <v>2.41</v>
      </c>
      <c r="O2856">
        <v>1777</v>
      </c>
      <c r="P2856">
        <v>4.91</v>
      </c>
      <c r="Q2856">
        <v>316</v>
      </c>
      <c r="R2856">
        <v>635</v>
      </c>
    </row>
    <row r="2857" spans="1:18" x14ac:dyDescent="0.2">
      <c r="A2857">
        <v>9</v>
      </c>
      <c r="B2857" t="s">
        <v>96</v>
      </c>
      <c r="E2857" t="s">
        <v>29</v>
      </c>
      <c r="F2857">
        <v>2069836</v>
      </c>
      <c r="G2857">
        <v>4</v>
      </c>
      <c r="H2857">
        <v>1</v>
      </c>
      <c r="I2857">
        <v>602</v>
      </c>
      <c r="J2857">
        <v>2020</v>
      </c>
      <c r="K2857" s="4">
        <v>44753</v>
      </c>
      <c r="L2857" t="s">
        <v>26</v>
      </c>
      <c r="M2857" t="s">
        <v>27</v>
      </c>
      <c r="N2857">
        <v>2.2000000000000002</v>
      </c>
      <c r="O2857">
        <v>1555</v>
      </c>
      <c r="P2857">
        <v>0.87</v>
      </c>
      <c r="Q2857">
        <v>234</v>
      </c>
      <c r="R2857">
        <v>358</v>
      </c>
    </row>
    <row r="2858" spans="1:18" x14ac:dyDescent="0.2">
      <c r="A2858">
        <v>2</v>
      </c>
      <c r="B2858" t="s">
        <v>73</v>
      </c>
      <c r="E2858" t="s">
        <v>29</v>
      </c>
      <c r="F2858">
        <v>2090236</v>
      </c>
      <c r="G2858">
        <v>5</v>
      </c>
      <c r="H2858">
        <v>3</v>
      </c>
      <c r="I2858">
        <v>359</v>
      </c>
      <c r="J2858">
        <v>1998</v>
      </c>
      <c r="K2858" s="4">
        <v>44267</v>
      </c>
      <c r="L2858" t="s">
        <v>20</v>
      </c>
      <c r="M2858" t="s">
        <v>60</v>
      </c>
      <c r="N2858">
        <v>2.41</v>
      </c>
      <c r="O2858">
        <v>2126</v>
      </c>
      <c r="P2858">
        <v>1.87</v>
      </c>
      <c r="Q2858">
        <v>385</v>
      </c>
      <c r="R2858">
        <v>388</v>
      </c>
    </row>
    <row r="2859" spans="1:18" x14ac:dyDescent="0.2">
      <c r="A2859">
        <v>0</v>
      </c>
      <c r="B2859" t="s">
        <v>62</v>
      </c>
      <c r="E2859" t="s">
        <v>36</v>
      </c>
      <c r="F2859">
        <v>2070090</v>
      </c>
      <c r="G2859">
        <v>1</v>
      </c>
      <c r="H2859">
        <v>3</v>
      </c>
      <c r="I2859">
        <v>73</v>
      </c>
      <c r="J2859">
        <v>2009</v>
      </c>
      <c r="K2859" s="4">
        <v>45216</v>
      </c>
      <c r="L2859" t="s">
        <v>26</v>
      </c>
      <c r="M2859" t="s">
        <v>40</v>
      </c>
      <c r="N2859">
        <v>1.94</v>
      </c>
      <c r="O2859">
        <v>834</v>
      </c>
      <c r="P2859">
        <v>3.07</v>
      </c>
      <c r="Q2859">
        <v>95</v>
      </c>
      <c r="R2859">
        <v>390</v>
      </c>
    </row>
    <row r="2860" spans="1:18" x14ac:dyDescent="0.2">
      <c r="A2860">
        <v>6</v>
      </c>
      <c r="B2860" t="s">
        <v>84</v>
      </c>
      <c r="E2860" t="s">
        <v>36</v>
      </c>
      <c r="F2860">
        <v>2878917</v>
      </c>
      <c r="G2860">
        <v>5</v>
      </c>
      <c r="H2860">
        <v>1</v>
      </c>
      <c r="I2860">
        <v>768</v>
      </c>
      <c r="J2860">
        <v>2021</v>
      </c>
      <c r="K2860" s="4">
        <v>45634</v>
      </c>
      <c r="L2860" t="s">
        <v>30</v>
      </c>
      <c r="M2860" t="s">
        <v>78</v>
      </c>
      <c r="N2860">
        <v>2.02</v>
      </c>
      <c r="O2860">
        <v>1634</v>
      </c>
      <c r="P2860">
        <v>0.96</v>
      </c>
      <c r="Q2860">
        <v>393</v>
      </c>
      <c r="R2860">
        <v>680</v>
      </c>
    </row>
    <row r="2861" spans="1:18" x14ac:dyDescent="0.2">
      <c r="A2861">
        <v>3</v>
      </c>
      <c r="B2861" t="s">
        <v>80</v>
      </c>
      <c r="E2861" t="s">
        <v>19</v>
      </c>
      <c r="F2861">
        <v>686076</v>
      </c>
      <c r="G2861">
        <v>3</v>
      </c>
      <c r="H2861">
        <v>1</v>
      </c>
      <c r="I2861">
        <v>126</v>
      </c>
      <c r="J2861">
        <v>1992</v>
      </c>
      <c r="K2861" s="4">
        <v>44116</v>
      </c>
      <c r="L2861" t="s">
        <v>30</v>
      </c>
      <c r="M2861" t="s">
        <v>33</v>
      </c>
      <c r="N2861">
        <v>2.85</v>
      </c>
      <c r="O2861">
        <v>1704</v>
      </c>
      <c r="P2861">
        <v>4.93</v>
      </c>
      <c r="Q2861">
        <v>120</v>
      </c>
      <c r="R2861">
        <v>495</v>
      </c>
    </row>
    <row r="2862" spans="1:18" x14ac:dyDescent="0.2">
      <c r="A2862">
        <v>8</v>
      </c>
      <c r="B2862" t="s">
        <v>18</v>
      </c>
      <c r="E2862" t="s">
        <v>29</v>
      </c>
      <c r="F2862">
        <v>2477857</v>
      </c>
      <c r="G2862">
        <v>4</v>
      </c>
      <c r="H2862">
        <v>3</v>
      </c>
      <c r="I2862">
        <v>598</v>
      </c>
      <c r="J2862">
        <v>2015</v>
      </c>
      <c r="K2862" s="4">
        <v>45616</v>
      </c>
      <c r="L2862" t="s">
        <v>26</v>
      </c>
      <c r="M2862" t="s">
        <v>47</v>
      </c>
      <c r="N2862">
        <v>2.68</v>
      </c>
      <c r="O2862">
        <v>2448</v>
      </c>
      <c r="P2862">
        <v>4.4400000000000004</v>
      </c>
      <c r="Q2862">
        <v>171</v>
      </c>
      <c r="R2862">
        <v>430</v>
      </c>
    </row>
    <row r="2863" spans="1:18" x14ac:dyDescent="0.2">
      <c r="A2863">
        <v>1</v>
      </c>
      <c r="B2863" t="s">
        <v>93</v>
      </c>
      <c r="E2863" t="s">
        <v>29</v>
      </c>
      <c r="F2863">
        <v>2314958</v>
      </c>
      <c r="G2863">
        <v>3</v>
      </c>
      <c r="H2863">
        <v>3</v>
      </c>
      <c r="I2863">
        <v>816</v>
      </c>
      <c r="J2863">
        <v>1950</v>
      </c>
      <c r="K2863" s="4">
        <v>44460</v>
      </c>
      <c r="L2863" t="s">
        <v>23</v>
      </c>
      <c r="M2863" t="s">
        <v>82</v>
      </c>
      <c r="N2863">
        <v>3.26</v>
      </c>
      <c r="O2863">
        <v>1775</v>
      </c>
      <c r="P2863">
        <v>3.74</v>
      </c>
      <c r="Q2863">
        <v>142</v>
      </c>
      <c r="R2863">
        <v>520</v>
      </c>
    </row>
    <row r="2864" spans="1:18" x14ac:dyDescent="0.2">
      <c r="A2864">
        <v>2</v>
      </c>
      <c r="B2864" t="s">
        <v>106</v>
      </c>
      <c r="E2864" t="s">
        <v>29</v>
      </c>
      <c r="F2864">
        <v>2689869</v>
      </c>
      <c r="G2864">
        <v>3</v>
      </c>
      <c r="H2864">
        <v>2</v>
      </c>
      <c r="I2864">
        <v>590</v>
      </c>
      <c r="J2864">
        <v>2010</v>
      </c>
      <c r="K2864" s="4">
        <v>45485</v>
      </c>
      <c r="L2864" t="s">
        <v>20</v>
      </c>
      <c r="M2864" t="s">
        <v>27</v>
      </c>
      <c r="N2864">
        <v>3.45</v>
      </c>
      <c r="O2864">
        <v>1665</v>
      </c>
      <c r="P2864">
        <v>3.59</v>
      </c>
      <c r="Q2864">
        <v>113</v>
      </c>
      <c r="R2864">
        <v>523</v>
      </c>
    </row>
    <row r="2865" spans="1:18" x14ac:dyDescent="0.2">
      <c r="A2865">
        <v>3</v>
      </c>
      <c r="B2865" t="s">
        <v>106</v>
      </c>
      <c r="E2865" t="s">
        <v>51</v>
      </c>
      <c r="F2865">
        <v>1254254</v>
      </c>
      <c r="G2865">
        <v>5</v>
      </c>
      <c r="H2865">
        <v>1</v>
      </c>
      <c r="I2865">
        <v>635</v>
      </c>
      <c r="J2865">
        <v>1986</v>
      </c>
      <c r="K2865" s="4">
        <v>45564</v>
      </c>
      <c r="L2865" t="s">
        <v>20</v>
      </c>
      <c r="M2865" t="s">
        <v>85</v>
      </c>
      <c r="N2865">
        <v>3.43</v>
      </c>
      <c r="O2865">
        <v>1780</v>
      </c>
      <c r="P2865">
        <v>3.12</v>
      </c>
      <c r="Q2865">
        <v>329</v>
      </c>
      <c r="R2865">
        <v>467</v>
      </c>
    </row>
    <row r="2866" spans="1:18" x14ac:dyDescent="0.2">
      <c r="A2866">
        <v>4</v>
      </c>
      <c r="B2866" t="s">
        <v>34</v>
      </c>
      <c r="E2866" t="s">
        <v>29</v>
      </c>
      <c r="F2866">
        <v>2765761</v>
      </c>
      <c r="G2866">
        <v>4</v>
      </c>
      <c r="H2866">
        <v>1</v>
      </c>
      <c r="I2866">
        <v>210</v>
      </c>
      <c r="J2866">
        <v>1978</v>
      </c>
      <c r="K2866" s="4">
        <v>45318</v>
      </c>
      <c r="L2866" t="s">
        <v>30</v>
      </c>
      <c r="M2866" t="s">
        <v>56</v>
      </c>
      <c r="N2866">
        <v>2.41</v>
      </c>
      <c r="O2866">
        <v>1312</v>
      </c>
      <c r="P2866">
        <v>3.98</v>
      </c>
      <c r="Q2866">
        <v>164</v>
      </c>
      <c r="R2866">
        <v>537</v>
      </c>
    </row>
    <row r="2867" spans="1:18" x14ac:dyDescent="0.2">
      <c r="A2867">
        <v>9</v>
      </c>
      <c r="B2867" t="s">
        <v>102</v>
      </c>
      <c r="E2867" t="s">
        <v>29</v>
      </c>
      <c r="F2867">
        <v>488593</v>
      </c>
      <c r="G2867">
        <v>4</v>
      </c>
      <c r="H2867">
        <v>2</v>
      </c>
      <c r="I2867">
        <v>325</v>
      </c>
      <c r="J2867">
        <v>1991</v>
      </c>
      <c r="K2867" s="4">
        <v>44980</v>
      </c>
      <c r="L2867" t="s">
        <v>30</v>
      </c>
      <c r="M2867" t="s">
        <v>60</v>
      </c>
      <c r="N2867">
        <v>1.84</v>
      </c>
      <c r="O2867">
        <v>2278</v>
      </c>
      <c r="P2867">
        <v>4.7</v>
      </c>
      <c r="Q2867">
        <v>282</v>
      </c>
      <c r="R2867">
        <v>636</v>
      </c>
    </row>
    <row r="2868" spans="1:18" x14ac:dyDescent="0.2">
      <c r="A2868">
        <v>0</v>
      </c>
      <c r="B2868" t="s">
        <v>32</v>
      </c>
      <c r="E2868" t="s">
        <v>29</v>
      </c>
      <c r="F2868">
        <v>2218512</v>
      </c>
      <c r="G2868">
        <v>3</v>
      </c>
      <c r="H2868">
        <v>3</v>
      </c>
      <c r="I2868">
        <v>762</v>
      </c>
      <c r="J2868">
        <v>1998</v>
      </c>
      <c r="K2868" s="4">
        <v>45001</v>
      </c>
      <c r="L2868" t="s">
        <v>30</v>
      </c>
      <c r="M2868" t="s">
        <v>89</v>
      </c>
      <c r="N2868">
        <v>1.76</v>
      </c>
      <c r="O2868">
        <v>1934</v>
      </c>
      <c r="P2868">
        <v>1.54</v>
      </c>
      <c r="Q2868">
        <v>89</v>
      </c>
      <c r="R2868">
        <v>700</v>
      </c>
    </row>
    <row r="2869" spans="1:18" x14ac:dyDescent="0.2">
      <c r="A2869">
        <v>7</v>
      </c>
      <c r="B2869" t="s">
        <v>34</v>
      </c>
      <c r="E2869" t="s">
        <v>51</v>
      </c>
      <c r="F2869">
        <v>708450</v>
      </c>
      <c r="G2869">
        <v>1</v>
      </c>
      <c r="H2869">
        <v>3</v>
      </c>
      <c r="I2869">
        <v>399</v>
      </c>
      <c r="J2869">
        <v>2002</v>
      </c>
      <c r="K2869" s="4">
        <v>45806</v>
      </c>
      <c r="L2869" t="s">
        <v>20</v>
      </c>
      <c r="M2869" t="s">
        <v>40</v>
      </c>
      <c r="N2869">
        <v>2.15</v>
      </c>
      <c r="O2869">
        <v>1504</v>
      </c>
      <c r="P2869">
        <v>2.85</v>
      </c>
      <c r="Q2869">
        <v>118</v>
      </c>
      <c r="R2869">
        <v>439</v>
      </c>
    </row>
    <row r="2870" spans="1:18" x14ac:dyDescent="0.2">
      <c r="A2870">
        <v>2</v>
      </c>
      <c r="B2870" t="s">
        <v>101</v>
      </c>
      <c r="E2870" t="s">
        <v>36</v>
      </c>
      <c r="F2870">
        <v>2545226</v>
      </c>
      <c r="G2870">
        <v>1</v>
      </c>
      <c r="H2870">
        <v>1</v>
      </c>
      <c r="I2870">
        <v>677</v>
      </c>
      <c r="J2870">
        <v>2021</v>
      </c>
      <c r="K2870" s="4">
        <v>44389</v>
      </c>
      <c r="L2870" t="s">
        <v>30</v>
      </c>
      <c r="M2870" t="s">
        <v>66</v>
      </c>
      <c r="N2870">
        <v>1.83</v>
      </c>
      <c r="O2870">
        <v>1643</v>
      </c>
      <c r="P2870">
        <v>4.68</v>
      </c>
      <c r="Q2870">
        <v>133</v>
      </c>
      <c r="R2870">
        <v>603</v>
      </c>
    </row>
    <row r="2871" spans="1:18" x14ac:dyDescent="0.2">
      <c r="A2871">
        <v>6</v>
      </c>
      <c r="B2871" t="s">
        <v>50</v>
      </c>
      <c r="E2871" t="s">
        <v>36</v>
      </c>
      <c r="F2871">
        <v>990435</v>
      </c>
      <c r="G2871">
        <v>1</v>
      </c>
      <c r="H2871">
        <v>1</v>
      </c>
      <c r="I2871">
        <v>71</v>
      </c>
      <c r="J2871">
        <v>1955</v>
      </c>
      <c r="K2871" s="4">
        <v>44874</v>
      </c>
      <c r="L2871" t="s">
        <v>30</v>
      </c>
      <c r="M2871" t="s">
        <v>40</v>
      </c>
      <c r="N2871">
        <v>1.81</v>
      </c>
      <c r="O2871">
        <v>1418</v>
      </c>
      <c r="P2871">
        <v>0.7</v>
      </c>
      <c r="Q2871">
        <v>158</v>
      </c>
      <c r="R2871">
        <v>338</v>
      </c>
    </row>
    <row r="2872" spans="1:18" x14ac:dyDescent="0.2">
      <c r="A2872">
        <v>8</v>
      </c>
      <c r="B2872" t="s">
        <v>92</v>
      </c>
      <c r="E2872" t="s">
        <v>51</v>
      </c>
      <c r="F2872">
        <v>1776972</v>
      </c>
      <c r="G2872">
        <v>5</v>
      </c>
      <c r="H2872">
        <v>2</v>
      </c>
      <c r="I2872">
        <v>330</v>
      </c>
      <c r="J2872">
        <v>2004</v>
      </c>
      <c r="K2872" s="4">
        <v>44977</v>
      </c>
      <c r="L2872" t="s">
        <v>20</v>
      </c>
      <c r="M2872" t="s">
        <v>33</v>
      </c>
      <c r="N2872">
        <v>2.4900000000000002</v>
      </c>
      <c r="O2872">
        <v>1140</v>
      </c>
      <c r="P2872">
        <v>0.31</v>
      </c>
      <c r="Q2872">
        <v>271</v>
      </c>
      <c r="R2872">
        <v>457</v>
      </c>
    </row>
    <row r="2873" spans="1:18" x14ac:dyDescent="0.2">
      <c r="A2873">
        <v>1</v>
      </c>
      <c r="B2873" t="s">
        <v>18</v>
      </c>
      <c r="E2873" t="s">
        <v>36</v>
      </c>
      <c r="F2873">
        <v>1767202</v>
      </c>
      <c r="G2873">
        <v>3</v>
      </c>
      <c r="H2873">
        <v>3</v>
      </c>
      <c r="I2873">
        <v>903</v>
      </c>
      <c r="J2873">
        <v>1974</v>
      </c>
      <c r="K2873" s="4">
        <v>45810</v>
      </c>
      <c r="L2873" t="s">
        <v>23</v>
      </c>
      <c r="M2873" t="s">
        <v>21</v>
      </c>
      <c r="N2873">
        <v>3.33</v>
      </c>
      <c r="O2873">
        <v>1936</v>
      </c>
      <c r="P2873">
        <v>4.1900000000000004</v>
      </c>
      <c r="Q2873">
        <v>161</v>
      </c>
      <c r="R2873">
        <v>672</v>
      </c>
    </row>
    <row r="2874" spans="1:18" x14ac:dyDescent="0.2">
      <c r="A2874">
        <v>4</v>
      </c>
      <c r="B2874" t="s">
        <v>48</v>
      </c>
      <c r="E2874" t="s">
        <v>51</v>
      </c>
      <c r="F2874">
        <v>1142059</v>
      </c>
      <c r="G2874">
        <v>2</v>
      </c>
      <c r="H2874">
        <v>2</v>
      </c>
      <c r="I2874">
        <v>922</v>
      </c>
      <c r="J2874">
        <v>2003</v>
      </c>
      <c r="K2874" s="4">
        <v>45460</v>
      </c>
      <c r="L2874" t="s">
        <v>30</v>
      </c>
      <c r="M2874" t="s">
        <v>68</v>
      </c>
      <c r="N2874">
        <v>2.0099999999999998</v>
      </c>
      <c r="O2874">
        <v>1754</v>
      </c>
      <c r="P2874">
        <v>3.64</v>
      </c>
      <c r="Q2874">
        <v>206</v>
      </c>
      <c r="R2874">
        <v>478</v>
      </c>
    </row>
    <row r="2875" spans="1:18" x14ac:dyDescent="0.2">
      <c r="A2875">
        <v>2</v>
      </c>
      <c r="B2875" t="s">
        <v>25</v>
      </c>
      <c r="E2875" t="s">
        <v>29</v>
      </c>
      <c r="F2875">
        <v>1422580</v>
      </c>
      <c r="G2875">
        <v>6</v>
      </c>
      <c r="H2875">
        <v>3</v>
      </c>
      <c r="I2875">
        <v>370</v>
      </c>
      <c r="J2875">
        <v>1975</v>
      </c>
      <c r="K2875" s="4">
        <v>44516</v>
      </c>
      <c r="L2875" t="s">
        <v>20</v>
      </c>
      <c r="M2875" t="s">
        <v>82</v>
      </c>
      <c r="N2875">
        <v>2.89</v>
      </c>
      <c r="O2875">
        <v>2265</v>
      </c>
      <c r="P2875">
        <v>3.71</v>
      </c>
      <c r="Q2875">
        <v>380</v>
      </c>
      <c r="R2875">
        <v>560</v>
      </c>
    </row>
    <row r="2876" spans="1:18" x14ac:dyDescent="0.2">
      <c r="A2876">
        <v>4</v>
      </c>
      <c r="B2876" t="s">
        <v>71</v>
      </c>
      <c r="E2876" t="s">
        <v>51</v>
      </c>
      <c r="F2876">
        <v>2372467</v>
      </c>
      <c r="G2876">
        <v>3</v>
      </c>
      <c r="H2876">
        <v>2</v>
      </c>
      <c r="I2876">
        <v>183</v>
      </c>
      <c r="J2876">
        <v>1987</v>
      </c>
      <c r="K2876" s="4">
        <v>44264</v>
      </c>
      <c r="L2876" t="s">
        <v>30</v>
      </c>
      <c r="M2876" t="s">
        <v>59</v>
      </c>
      <c r="N2876">
        <v>2.4</v>
      </c>
      <c r="O2876">
        <v>2332</v>
      </c>
      <c r="P2876">
        <v>3.88</v>
      </c>
      <c r="Q2876">
        <v>140</v>
      </c>
      <c r="R2876">
        <v>360</v>
      </c>
    </row>
    <row r="2877" spans="1:18" x14ac:dyDescent="0.2">
      <c r="A2877">
        <v>7</v>
      </c>
      <c r="B2877" t="s">
        <v>61</v>
      </c>
      <c r="E2877" t="s">
        <v>19</v>
      </c>
      <c r="F2877">
        <v>460033</v>
      </c>
      <c r="G2877">
        <v>2</v>
      </c>
      <c r="H2877">
        <v>1</v>
      </c>
      <c r="I2877">
        <v>820</v>
      </c>
      <c r="J2877">
        <v>1981</v>
      </c>
      <c r="K2877" s="4">
        <v>45406</v>
      </c>
      <c r="L2877" t="s">
        <v>20</v>
      </c>
      <c r="M2877" t="s">
        <v>24</v>
      </c>
      <c r="N2877">
        <v>1.97</v>
      </c>
      <c r="O2877">
        <v>2282</v>
      </c>
      <c r="P2877">
        <v>1.44</v>
      </c>
      <c r="Q2877">
        <v>112</v>
      </c>
      <c r="R2877">
        <v>525</v>
      </c>
    </row>
    <row r="2878" spans="1:18" x14ac:dyDescent="0.2">
      <c r="A2878">
        <v>0</v>
      </c>
      <c r="B2878" t="s">
        <v>72</v>
      </c>
      <c r="E2878" t="s">
        <v>19</v>
      </c>
      <c r="F2878">
        <v>2421779</v>
      </c>
      <c r="G2878">
        <v>3</v>
      </c>
      <c r="H2878">
        <v>1</v>
      </c>
      <c r="I2878">
        <v>870</v>
      </c>
      <c r="J2878">
        <v>2015</v>
      </c>
      <c r="K2878" s="4">
        <v>45450</v>
      </c>
      <c r="L2878" t="s">
        <v>20</v>
      </c>
      <c r="M2878" t="s">
        <v>63</v>
      </c>
      <c r="N2878">
        <v>3.04</v>
      </c>
      <c r="O2878">
        <v>2181</v>
      </c>
      <c r="P2878">
        <v>1.02</v>
      </c>
      <c r="Q2878">
        <v>174</v>
      </c>
      <c r="R2878">
        <v>525</v>
      </c>
    </row>
    <row r="2879" spans="1:18" x14ac:dyDescent="0.2">
      <c r="A2879">
        <v>3</v>
      </c>
      <c r="B2879" t="s">
        <v>94</v>
      </c>
      <c r="E2879" t="s">
        <v>51</v>
      </c>
      <c r="F2879">
        <v>624801</v>
      </c>
      <c r="G2879">
        <v>4</v>
      </c>
      <c r="H2879">
        <v>2</v>
      </c>
      <c r="I2879">
        <v>915</v>
      </c>
      <c r="J2879">
        <v>1959</v>
      </c>
      <c r="K2879" s="4">
        <v>44260</v>
      </c>
      <c r="L2879" t="s">
        <v>30</v>
      </c>
      <c r="M2879" t="s">
        <v>70</v>
      </c>
      <c r="N2879">
        <v>3.06</v>
      </c>
      <c r="O2879">
        <v>989</v>
      </c>
      <c r="P2879">
        <v>2.04</v>
      </c>
      <c r="Q2879">
        <v>257</v>
      </c>
      <c r="R2879">
        <v>610</v>
      </c>
    </row>
    <row r="2880" spans="1:18" x14ac:dyDescent="0.2">
      <c r="A2880">
        <v>2</v>
      </c>
      <c r="B2880" t="s">
        <v>49</v>
      </c>
      <c r="E2880" t="s">
        <v>19</v>
      </c>
      <c r="F2880">
        <v>2112673</v>
      </c>
      <c r="G2880">
        <v>5</v>
      </c>
      <c r="H2880">
        <v>1</v>
      </c>
      <c r="I2880">
        <v>602</v>
      </c>
      <c r="J2880">
        <v>2012</v>
      </c>
      <c r="K2880" s="4">
        <v>45883</v>
      </c>
      <c r="L2880" t="s">
        <v>20</v>
      </c>
      <c r="M2880" t="s">
        <v>59</v>
      </c>
      <c r="N2880">
        <v>2.0699999999999998</v>
      </c>
      <c r="O2880">
        <v>1282</v>
      </c>
      <c r="P2880">
        <v>4.59</v>
      </c>
      <c r="Q2880">
        <v>266</v>
      </c>
      <c r="R2880">
        <v>328</v>
      </c>
    </row>
    <row r="2881" spans="1:18" x14ac:dyDescent="0.2">
      <c r="A2881">
        <v>0</v>
      </c>
      <c r="B2881" t="s">
        <v>64</v>
      </c>
      <c r="E2881" t="s">
        <v>51</v>
      </c>
      <c r="F2881">
        <v>1290349</v>
      </c>
      <c r="G2881">
        <v>1</v>
      </c>
      <c r="H2881">
        <v>2</v>
      </c>
      <c r="I2881">
        <v>492</v>
      </c>
      <c r="J2881">
        <v>2022</v>
      </c>
      <c r="K2881" s="4">
        <v>44716</v>
      </c>
      <c r="L2881" t="s">
        <v>20</v>
      </c>
      <c r="M2881" t="s">
        <v>45</v>
      </c>
      <c r="N2881">
        <v>2.54</v>
      </c>
      <c r="O2881">
        <v>902</v>
      </c>
      <c r="P2881">
        <v>4.17</v>
      </c>
      <c r="Q2881">
        <v>60</v>
      </c>
      <c r="R2881">
        <v>436</v>
      </c>
    </row>
    <row r="2882" spans="1:18" x14ac:dyDescent="0.2">
      <c r="A2882">
        <v>1</v>
      </c>
      <c r="B2882" t="s">
        <v>49</v>
      </c>
      <c r="E2882" t="s">
        <v>19</v>
      </c>
      <c r="F2882">
        <v>2047793</v>
      </c>
      <c r="G2882">
        <v>1</v>
      </c>
      <c r="H2882">
        <v>2</v>
      </c>
      <c r="I2882">
        <v>853</v>
      </c>
      <c r="J2882">
        <v>2019</v>
      </c>
      <c r="K2882" s="4">
        <v>45864</v>
      </c>
      <c r="L2882" t="s">
        <v>26</v>
      </c>
      <c r="M2882" t="s">
        <v>68</v>
      </c>
      <c r="N2882">
        <v>2.3199999999999998</v>
      </c>
      <c r="O2882">
        <v>1425</v>
      </c>
      <c r="P2882">
        <v>3.83</v>
      </c>
      <c r="Q2882">
        <v>111</v>
      </c>
      <c r="R2882">
        <v>490</v>
      </c>
    </row>
    <row r="2883" spans="1:18" x14ac:dyDescent="0.2">
      <c r="A2883">
        <v>1</v>
      </c>
      <c r="B2883" t="s">
        <v>106</v>
      </c>
      <c r="E2883" t="s">
        <v>36</v>
      </c>
      <c r="F2883">
        <v>2161412</v>
      </c>
      <c r="G2883">
        <v>1</v>
      </c>
      <c r="H2883">
        <v>2</v>
      </c>
      <c r="I2883">
        <v>399</v>
      </c>
      <c r="J2883">
        <v>1971</v>
      </c>
      <c r="K2883" s="4">
        <v>44716</v>
      </c>
      <c r="L2883" t="s">
        <v>20</v>
      </c>
      <c r="M2883" t="s">
        <v>31</v>
      </c>
      <c r="N2883">
        <v>2.82</v>
      </c>
      <c r="O2883">
        <v>1452</v>
      </c>
      <c r="P2883">
        <v>2.41</v>
      </c>
      <c r="Q2883">
        <v>81</v>
      </c>
      <c r="R2883">
        <v>473</v>
      </c>
    </row>
    <row r="2884" spans="1:18" x14ac:dyDescent="0.2">
      <c r="A2884">
        <v>3</v>
      </c>
      <c r="B2884" t="s">
        <v>71</v>
      </c>
      <c r="E2884" t="s">
        <v>19</v>
      </c>
      <c r="F2884">
        <v>1728168</v>
      </c>
      <c r="G2884">
        <v>5</v>
      </c>
      <c r="H2884">
        <v>2</v>
      </c>
      <c r="I2884">
        <v>308</v>
      </c>
      <c r="J2884">
        <v>1951</v>
      </c>
      <c r="K2884" s="4">
        <v>44903</v>
      </c>
      <c r="L2884" t="s">
        <v>26</v>
      </c>
      <c r="M2884" t="s">
        <v>45</v>
      </c>
      <c r="N2884">
        <v>1.97</v>
      </c>
      <c r="O2884">
        <v>1574</v>
      </c>
      <c r="P2884">
        <v>3.77</v>
      </c>
      <c r="Q2884">
        <v>396</v>
      </c>
      <c r="R2884">
        <v>686</v>
      </c>
    </row>
    <row r="2885" spans="1:18" x14ac:dyDescent="0.2">
      <c r="A2885">
        <v>6</v>
      </c>
      <c r="B2885" t="s">
        <v>80</v>
      </c>
      <c r="E2885" t="s">
        <v>29</v>
      </c>
      <c r="F2885">
        <v>1962936</v>
      </c>
      <c r="G2885">
        <v>2</v>
      </c>
      <c r="H2885">
        <v>3</v>
      </c>
      <c r="I2885">
        <v>494</v>
      </c>
      <c r="J2885">
        <v>1984</v>
      </c>
      <c r="K2885" s="4">
        <v>45428</v>
      </c>
      <c r="L2885" t="s">
        <v>26</v>
      </c>
      <c r="M2885" t="s">
        <v>68</v>
      </c>
      <c r="N2885">
        <v>3.46</v>
      </c>
      <c r="O2885">
        <v>2177</v>
      </c>
      <c r="P2885">
        <v>3.88</v>
      </c>
      <c r="Q2885">
        <v>165</v>
      </c>
      <c r="R2885">
        <v>437</v>
      </c>
    </row>
    <row r="2886" spans="1:18" x14ac:dyDescent="0.2">
      <c r="A2886">
        <v>1</v>
      </c>
      <c r="B2886" t="s">
        <v>105</v>
      </c>
      <c r="E2886" t="s">
        <v>51</v>
      </c>
      <c r="F2886">
        <v>2137600</v>
      </c>
      <c r="G2886">
        <v>1</v>
      </c>
      <c r="H2886">
        <v>3</v>
      </c>
      <c r="I2886">
        <v>953</v>
      </c>
      <c r="J2886">
        <v>1954</v>
      </c>
      <c r="K2886" s="4">
        <v>45031</v>
      </c>
      <c r="L2886" t="s">
        <v>30</v>
      </c>
      <c r="M2886" t="s">
        <v>31</v>
      </c>
      <c r="N2886">
        <v>1.78</v>
      </c>
      <c r="O2886">
        <v>919</v>
      </c>
      <c r="P2886">
        <v>0.15</v>
      </c>
      <c r="Q2886">
        <v>116</v>
      </c>
      <c r="R2886">
        <v>496</v>
      </c>
    </row>
    <row r="2887" spans="1:18" x14ac:dyDescent="0.2">
      <c r="A2887">
        <v>9</v>
      </c>
      <c r="B2887" t="s">
        <v>48</v>
      </c>
      <c r="E2887" t="s">
        <v>51</v>
      </c>
      <c r="F2887">
        <v>1438676</v>
      </c>
      <c r="G2887">
        <v>5</v>
      </c>
      <c r="H2887">
        <v>2</v>
      </c>
      <c r="I2887">
        <v>977</v>
      </c>
      <c r="J2887">
        <v>1976</v>
      </c>
      <c r="K2887" s="4">
        <v>44547</v>
      </c>
      <c r="L2887" t="s">
        <v>20</v>
      </c>
      <c r="M2887" t="s">
        <v>89</v>
      </c>
      <c r="N2887">
        <v>1.83</v>
      </c>
      <c r="O2887">
        <v>2075</v>
      </c>
      <c r="P2887">
        <v>3.24</v>
      </c>
      <c r="Q2887">
        <v>251</v>
      </c>
      <c r="R2887">
        <v>348</v>
      </c>
    </row>
    <row r="2888" spans="1:18" x14ac:dyDescent="0.2">
      <c r="A2888">
        <v>1</v>
      </c>
      <c r="B2888" t="s">
        <v>101</v>
      </c>
      <c r="E2888" t="s">
        <v>51</v>
      </c>
      <c r="F2888">
        <v>2966667</v>
      </c>
      <c r="G2888">
        <v>3</v>
      </c>
      <c r="H2888">
        <v>2</v>
      </c>
      <c r="I2888">
        <v>190</v>
      </c>
      <c r="J2888">
        <v>1951</v>
      </c>
      <c r="K2888" s="4">
        <v>44669</v>
      </c>
      <c r="L2888" t="s">
        <v>26</v>
      </c>
      <c r="M2888" t="s">
        <v>85</v>
      </c>
      <c r="N2888">
        <v>3.14</v>
      </c>
      <c r="O2888">
        <v>2275</v>
      </c>
      <c r="P2888">
        <v>4.55</v>
      </c>
      <c r="Q2888">
        <v>176</v>
      </c>
      <c r="R2888">
        <v>540</v>
      </c>
    </row>
    <row r="2889" spans="1:18" x14ac:dyDescent="0.2">
      <c r="A2889">
        <v>3</v>
      </c>
      <c r="B2889" t="s">
        <v>34</v>
      </c>
      <c r="E2889" t="s">
        <v>29</v>
      </c>
      <c r="F2889">
        <v>2760302</v>
      </c>
      <c r="G2889">
        <v>3</v>
      </c>
      <c r="H2889">
        <v>1</v>
      </c>
      <c r="I2889">
        <v>433</v>
      </c>
      <c r="J2889">
        <v>1960</v>
      </c>
      <c r="K2889" s="4">
        <v>44912</v>
      </c>
      <c r="L2889" t="s">
        <v>23</v>
      </c>
      <c r="M2889" t="s">
        <v>76</v>
      </c>
      <c r="N2889">
        <v>1.91</v>
      </c>
      <c r="O2889">
        <v>1536</v>
      </c>
      <c r="P2889">
        <v>2.0299999999999998</v>
      </c>
      <c r="Q2889">
        <v>195</v>
      </c>
      <c r="R2889">
        <v>362</v>
      </c>
    </row>
    <row r="2890" spans="1:18" x14ac:dyDescent="0.2">
      <c r="A2890">
        <v>7</v>
      </c>
      <c r="B2890" t="s">
        <v>92</v>
      </c>
      <c r="E2890" t="s">
        <v>19</v>
      </c>
      <c r="F2890">
        <v>2829562</v>
      </c>
      <c r="G2890">
        <v>6</v>
      </c>
      <c r="H2890">
        <v>1</v>
      </c>
      <c r="I2890">
        <v>782</v>
      </c>
      <c r="J2890">
        <v>1985</v>
      </c>
      <c r="K2890" s="4">
        <v>45367</v>
      </c>
      <c r="L2890" t="s">
        <v>20</v>
      </c>
      <c r="M2890" t="s">
        <v>37</v>
      </c>
      <c r="N2890">
        <v>2.08</v>
      </c>
      <c r="O2890">
        <v>1053</v>
      </c>
      <c r="P2890">
        <v>2.06</v>
      </c>
      <c r="Q2890">
        <v>347</v>
      </c>
      <c r="R2890">
        <v>535</v>
      </c>
    </row>
    <row r="2891" spans="1:18" x14ac:dyDescent="0.2">
      <c r="A2891">
        <v>3</v>
      </c>
      <c r="B2891" t="s">
        <v>25</v>
      </c>
      <c r="E2891" t="s">
        <v>29</v>
      </c>
      <c r="F2891">
        <v>456263</v>
      </c>
      <c r="G2891">
        <v>3</v>
      </c>
      <c r="H2891">
        <v>1</v>
      </c>
      <c r="I2891">
        <v>933</v>
      </c>
      <c r="J2891">
        <v>1986</v>
      </c>
      <c r="K2891" s="4">
        <v>44117</v>
      </c>
      <c r="L2891" t="s">
        <v>23</v>
      </c>
      <c r="M2891" t="s">
        <v>89</v>
      </c>
      <c r="N2891">
        <v>2.85</v>
      </c>
      <c r="O2891">
        <v>2109</v>
      </c>
      <c r="P2891">
        <v>3.54</v>
      </c>
      <c r="Q2891">
        <v>95</v>
      </c>
      <c r="R2891">
        <v>585</v>
      </c>
    </row>
    <row r="2892" spans="1:18" x14ac:dyDescent="0.2">
      <c r="A2892">
        <v>9</v>
      </c>
      <c r="B2892" t="s">
        <v>65</v>
      </c>
      <c r="E2892" t="s">
        <v>29</v>
      </c>
      <c r="F2892">
        <v>995515</v>
      </c>
      <c r="G2892">
        <v>4</v>
      </c>
      <c r="H2892">
        <v>2</v>
      </c>
      <c r="I2892">
        <v>747</v>
      </c>
      <c r="J2892">
        <v>1951</v>
      </c>
      <c r="K2892" s="4">
        <v>44242</v>
      </c>
      <c r="L2892" t="s">
        <v>20</v>
      </c>
      <c r="M2892" t="s">
        <v>69</v>
      </c>
      <c r="N2892">
        <v>3</v>
      </c>
      <c r="O2892">
        <v>1220</v>
      </c>
      <c r="P2892">
        <v>2.39</v>
      </c>
      <c r="Q2892">
        <v>225</v>
      </c>
      <c r="R2892">
        <v>490</v>
      </c>
    </row>
    <row r="2893" spans="1:18" x14ac:dyDescent="0.2">
      <c r="A2893">
        <v>4</v>
      </c>
      <c r="B2893" t="s">
        <v>22</v>
      </c>
      <c r="E2893" t="s">
        <v>29</v>
      </c>
      <c r="F2893">
        <v>920560</v>
      </c>
      <c r="G2893">
        <v>2</v>
      </c>
      <c r="H2893">
        <v>1</v>
      </c>
      <c r="I2893">
        <v>115</v>
      </c>
      <c r="J2893">
        <v>2014</v>
      </c>
      <c r="K2893" s="4">
        <v>45544</v>
      </c>
      <c r="L2893" t="s">
        <v>20</v>
      </c>
      <c r="M2893" t="s">
        <v>35</v>
      </c>
      <c r="N2893">
        <v>2.14</v>
      </c>
      <c r="O2893">
        <v>1573</v>
      </c>
      <c r="P2893">
        <v>0.21</v>
      </c>
      <c r="Q2893">
        <v>229</v>
      </c>
      <c r="R2893">
        <v>531</v>
      </c>
    </row>
    <row r="2894" spans="1:18" x14ac:dyDescent="0.2">
      <c r="A2894">
        <v>5</v>
      </c>
      <c r="B2894" t="s">
        <v>34</v>
      </c>
      <c r="E2894" t="s">
        <v>36</v>
      </c>
      <c r="F2894">
        <v>606222</v>
      </c>
      <c r="G2894">
        <v>3</v>
      </c>
      <c r="H2894">
        <v>2</v>
      </c>
      <c r="I2894">
        <v>291</v>
      </c>
      <c r="J2894">
        <v>2011</v>
      </c>
      <c r="K2894" s="4">
        <v>44541</v>
      </c>
      <c r="L2894" t="s">
        <v>23</v>
      </c>
      <c r="M2894" t="s">
        <v>40</v>
      </c>
      <c r="N2894">
        <v>1.72</v>
      </c>
      <c r="O2894">
        <v>1264</v>
      </c>
      <c r="P2894">
        <v>2.19</v>
      </c>
      <c r="Q2894">
        <v>263</v>
      </c>
      <c r="R2894">
        <v>564</v>
      </c>
    </row>
    <row r="2895" spans="1:18" x14ac:dyDescent="0.2">
      <c r="A2895">
        <v>0</v>
      </c>
      <c r="B2895" t="s">
        <v>61</v>
      </c>
      <c r="E2895" t="s">
        <v>36</v>
      </c>
      <c r="F2895">
        <v>1703076</v>
      </c>
      <c r="G2895">
        <v>5</v>
      </c>
      <c r="H2895">
        <v>1</v>
      </c>
      <c r="I2895">
        <v>899</v>
      </c>
      <c r="J2895">
        <v>1955</v>
      </c>
      <c r="K2895" s="4">
        <v>45283</v>
      </c>
      <c r="L2895" t="s">
        <v>20</v>
      </c>
      <c r="M2895" t="s">
        <v>24</v>
      </c>
      <c r="N2895">
        <v>2.89</v>
      </c>
      <c r="O2895">
        <v>1835</v>
      </c>
      <c r="P2895">
        <v>4</v>
      </c>
      <c r="Q2895">
        <v>334</v>
      </c>
      <c r="R2895">
        <v>384</v>
      </c>
    </row>
    <row r="2896" spans="1:18" x14ac:dyDescent="0.2">
      <c r="A2896">
        <v>7</v>
      </c>
      <c r="B2896" t="s">
        <v>73</v>
      </c>
      <c r="E2896" t="s">
        <v>51</v>
      </c>
      <c r="F2896">
        <v>2916923</v>
      </c>
      <c r="G2896">
        <v>3</v>
      </c>
      <c r="H2896">
        <v>3</v>
      </c>
      <c r="I2896">
        <v>1000</v>
      </c>
      <c r="J2896">
        <v>1982</v>
      </c>
      <c r="K2896" s="4">
        <v>44161</v>
      </c>
      <c r="L2896" t="s">
        <v>20</v>
      </c>
      <c r="M2896" t="s">
        <v>69</v>
      </c>
      <c r="N2896">
        <v>2.39</v>
      </c>
      <c r="O2896">
        <v>1861</v>
      </c>
      <c r="P2896">
        <v>1.99</v>
      </c>
      <c r="Q2896">
        <v>144</v>
      </c>
      <c r="R2896">
        <v>367</v>
      </c>
    </row>
    <row r="2897" spans="1:18" x14ac:dyDescent="0.2">
      <c r="A2897">
        <v>7</v>
      </c>
      <c r="B2897" t="s">
        <v>53</v>
      </c>
      <c r="E2897" t="s">
        <v>29</v>
      </c>
      <c r="F2897">
        <v>2517879</v>
      </c>
      <c r="G2897">
        <v>4</v>
      </c>
      <c r="H2897">
        <v>2</v>
      </c>
      <c r="I2897">
        <v>738</v>
      </c>
      <c r="J2897">
        <v>1985</v>
      </c>
      <c r="K2897" s="4">
        <v>44510</v>
      </c>
      <c r="L2897" t="s">
        <v>26</v>
      </c>
      <c r="M2897" t="s">
        <v>42</v>
      </c>
      <c r="N2897">
        <v>3.33</v>
      </c>
      <c r="O2897">
        <v>1184</v>
      </c>
      <c r="P2897">
        <v>3.7</v>
      </c>
      <c r="Q2897">
        <v>386</v>
      </c>
      <c r="R2897">
        <v>626</v>
      </c>
    </row>
    <row r="2898" spans="1:18" x14ac:dyDescent="0.2">
      <c r="A2898">
        <v>4</v>
      </c>
      <c r="B2898" t="s">
        <v>94</v>
      </c>
      <c r="E2898" t="s">
        <v>51</v>
      </c>
      <c r="F2898">
        <v>574719</v>
      </c>
      <c r="G2898">
        <v>5</v>
      </c>
      <c r="H2898">
        <v>2</v>
      </c>
      <c r="I2898">
        <v>709</v>
      </c>
      <c r="J2898">
        <v>2004</v>
      </c>
      <c r="K2898" s="4">
        <v>44814</v>
      </c>
      <c r="L2898" t="s">
        <v>30</v>
      </c>
      <c r="M2898" t="s">
        <v>89</v>
      </c>
      <c r="N2898">
        <v>3</v>
      </c>
      <c r="O2898">
        <v>2092</v>
      </c>
      <c r="P2898">
        <v>1.64</v>
      </c>
      <c r="Q2898">
        <v>320</v>
      </c>
      <c r="R2898">
        <v>443</v>
      </c>
    </row>
    <row r="2899" spans="1:18" x14ac:dyDescent="0.2">
      <c r="A2899">
        <v>0</v>
      </c>
      <c r="B2899" t="s">
        <v>41</v>
      </c>
      <c r="E2899" t="s">
        <v>36</v>
      </c>
      <c r="F2899">
        <v>1993593</v>
      </c>
      <c r="G2899">
        <v>4</v>
      </c>
      <c r="H2899">
        <v>3</v>
      </c>
      <c r="I2899">
        <v>579</v>
      </c>
      <c r="J2899">
        <v>2015</v>
      </c>
      <c r="K2899" s="4">
        <v>45860</v>
      </c>
      <c r="L2899" t="s">
        <v>23</v>
      </c>
      <c r="M2899" t="s">
        <v>76</v>
      </c>
      <c r="N2899">
        <v>2.1</v>
      </c>
      <c r="O2899">
        <v>1243</v>
      </c>
      <c r="P2899">
        <v>1.91</v>
      </c>
      <c r="Q2899">
        <v>304</v>
      </c>
      <c r="R2899">
        <v>658</v>
      </c>
    </row>
    <row r="2900" spans="1:18" x14ac:dyDescent="0.2">
      <c r="A2900">
        <v>9</v>
      </c>
      <c r="B2900" t="s">
        <v>43</v>
      </c>
      <c r="E2900" t="s">
        <v>29</v>
      </c>
      <c r="F2900">
        <v>1846078</v>
      </c>
      <c r="G2900">
        <v>4</v>
      </c>
      <c r="H2900">
        <v>1</v>
      </c>
      <c r="I2900">
        <v>709</v>
      </c>
      <c r="J2900">
        <v>1993</v>
      </c>
      <c r="K2900" s="4">
        <v>45277</v>
      </c>
      <c r="L2900" t="s">
        <v>30</v>
      </c>
      <c r="M2900" t="s">
        <v>31</v>
      </c>
      <c r="N2900">
        <v>2.0699999999999998</v>
      </c>
      <c r="O2900">
        <v>1520</v>
      </c>
      <c r="P2900">
        <v>4.13</v>
      </c>
      <c r="Q2900">
        <v>326</v>
      </c>
      <c r="R2900">
        <v>582</v>
      </c>
    </row>
    <row r="2901" spans="1:18" x14ac:dyDescent="0.2">
      <c r="A2901">
        <v>1</v>
      </c>
      <c r="B2901" t="s">
        <v>65</v>
      </c>
      <c r="E2901" t="s">
        <v>51</v>
      </c>
      <c r="F2901">
        <v>2665041</v>
      </c>
      <c r="G2901">
        <v>5</v>
      </c>
      <c r="H2901">
        <v>2</v>
      </c>
      <c r="I2901">
        <v>74</v>
      </c>
      <c r="J2901">
        <v>1994</v>
      </c>
      <c r="K2901" s="4">
        <v>44258</v>
      </c>
      <c r="L2901" t="s">
        <v>26</v>
      </c>
      <c r="M2901" t="s">
        <v>78</v>
      </c>
      <c r="N2901">
        <v>3.29</v>
      </c>
      <c r="O2901">
        <v>1178</v>
      </c>
      <c r="P2901">
        <v>0.99</v>
      </c>
      <c r="Q2901">
        <v>327</v>
      </c>
      <c r="R2901">
        <v>359</v>
      </c>
    </row>
    <row r="2902" spans="1:18" x14ac:dyDescent="0.2">
      <c r="A2902">
        <v>2</v>
      </c>
      <c r="B2902" t="s">
        <v>39</v>
      </c>
      <c r="E2902" t="s">
        <v>19</v>
      </c>
      <c r="F2902">
        <v>817900</v>
      </c>
      <c r="G2902">
        <v>6</v>
      </c>
      <c r="H2902">
        <v>1</v>
      </c>
      <c r="I2902">
        <v>292</v>
      </c>
      <c r="J2902">
        <v>2021</v>
      </c>
      <c r="K2902" s="4">
        <v>45435</v>
      </c>
      <c r="L2902" t="s">
        <v>23</v>
      </c>
      <c r="M2902" t="s">
        <v>69</v>
      </c>
      <c r="N2902">
        <v>2.2799999999999998</v>
      </c>
      <c r="O2902">
        <v>1457</v>
      </c>
      <c r="P2902">
        <v>2.4500000000000002</v>
      </c>
      <c r="Q2902">
        <v>328</v>
      </c>
      <c r="R2902">
        <v>560</v>
      </c>
    </row>
    <row r="2903" spans="1:18" x14ac:dyDescent="0.2">
      <c r="A2903">
        <v>4</v>
      </c>
      <c r="B2903" t="s">
        <v>49</v>
      </c>
      <c r="E2903" t="s">
        <v>51</v>
      </c>
      <c r="F2903">
        <v>1283473</v>
      </c>
      <c r="G2903">
        <v>4</v>
      </c>
      <c r="H2903">
        <v>2</v>
      </c>
      <c r="I2903">
        <v>77</v>
      </c>
      <c r="J2903">
        <v>1964</v>
      </c>
      <c r="K2903" s="4">
        <v>44474</v>
      </c>
      <c r="L2903" t="s">
        <v>26</v>
      </c>
      <c r="M2903" t="s">
        <v>52</v>
      </c>
      <c r="N2903">
        <v>1.65</v>
      </c>
      <c r="O2903">
        <v>1763</v>
      </c>
      <c r="P2903">
        <v>4.49</v>
      </c>
      <c r="Q2903">
        <v>202</v>
      </c>
      <c r="R2903">
        <v>647</v>
      </c>
    </row>
    <row r="2904" spans="1:18" x14ac:dyDescent="0.2">
      <c r="A2904">
        <v>8</v>
      </c>
      <c r="B2904" t="s">
        <v>98</v>
      </c>
      <c r="E2904" t="s">
        <v>29</v>
      </c>
      <c r="F2904">
        <v>2179934</v>
      </c>
      <c r="G2904">
        <v>2</v>
      </c>
      <c r="H2904">
        <v>2</v>
      </c>
      <c r="I2904">
        <v>667</v>
      </c>
      <c r="J2904">
        <v>1994</v>
      </c>
      <c r="K2904" s="4">
        <v>44739</v>
      </c>
      <c r="L2904" t="s">
        <v>30</v>
      </c>
      <c r="M2904" t="s">
        <v>69</v>
      </c>
      <c r="N2904">
        <v>1.9</v>
      </c>
      <c r="O2904">
        <v>2476</v>
      </c>
      <c r="P2904">
        <v>0.65</v>
      </c>
      <c r="Q2904">
        <v>51</v>
      </c>
      <c r="R2904">
        <v>499</v>
      </c>
    </row>
    <row r="2905" spans="1:18" x14ac:dyDescent="0.2">
      <c r="A2905">
        <v>2</v>
      </c>
      <c r="B2905" t="s">
        <v>72</v>
      </c>
      <c r="E2905" t="s">
        <v>19</v>
      </c>
      <c r="F2905">
        <v>1892118</v>
      </c>
      <c r="G2905">
        <v>3</v>
      </c>
      <c r="H2905">
        <v>2</v>
      </c>
      <c r="I2905">
        <v>370</v>
      </c>
      <c r="J2905">
        <v>2013</v>
      </c>
      <c r="K2905" s="4">
        <v>45082</v>
      </c>
      <c r="L2905" t="s">
        <v>30</v>
      </c>
      <c r="M2905" t="s">
        <v>97</v>
      </c>
      <c r="N2905">
        <v>1.76</v>
      </c>
      <c r="O2905">
        <v>1448</v>
      </c>
      <c r="P2905">
        <v>1.94</v>
      </c>
      <c r="Q2905">
        <v>304</v>
      </c>
      <c r="R2905">
        <v>420</v>
      </c>
    </row>
    <row r="2906" spans="1:18" x14ac:dyDescent="0.2">
      <c r="A2906">
        <v>8</v>
      </c>
      <c r="B2906" t="s">
        <v>61</v>
      </c>
      <c r="E2906" t="s">
        <v>51</v>
      </c>
      <c r="F2906">
        <v>2442992</v>
      </c>
      <c r="G2906">
        <v>1</v>
      </c>
      <c r="H2906">
        <v>3</v>
      </c>
      <c r="I2906">
        <v>770</v>
      </c>
      <c r="J2906">
        <v>2017</v>
      </c>
      <c r="K2906" s="4">
        <v>44500</v>
      </c>
      <c r="L2906" t="s">
        <v>30</v>
      </c>
      <c r="M2906" t="s">
        <v>35</v>
      </c>
      <c r="N2906">
        <v>1.84</v>
      </c>
      <c r="O2906">
        <v>2019</v>
      </c>
      <c r="P2906">
        <v>1.21</v>
      </c>
      <c r="Q2906">
        <v>83</v>
      </c>
      <c r="R2906">
        <v>454</v>
      </c>
    </row>
    <row r="2907" spans="1:18" x14ac:dyDescent="0.2">
      <c r="A2907">
        <v>4</v>
      </c>
      <c r="B2907" t="s">
        <v>96</v>
      </c>
      <c r="E2907" t="s">
        <v>29</v>
      </c>
      <c r="F2907">
        <v>1579520</v>
      </c>
      <c r="G2907">
        <v>4</v>
      </c>
      <c r="H2907">
        <v>3</v>
      </c>
      <c r="I2907">
        <v>785</v>
      </c>
      <c r="J2907">
        <v>2013</v>
      </c>
      <c r="K2907" s="4">
        <v>45135</v>
      </c>
      <c r="L2907" t="s">
        <v>23</v>
      </c>
      <c r="M2907" t="s">
        <v>68</v>
      </c>
      <c r="N2907">
        <v>3.34</v>
      </c>
      <c r="O2907">
        <v>1147</v>
      </c>
      <c r="P2907">
        <v>3.57</v>
      </c>
      <c r="Q2907">
        <v>325</v>
      </c>
      <c r="R2907">
        <v>313</v>
      </c>
    </row>
    <row r="2908" spans="1:18" x14ac:dyDescent="0.2">
      <c r="A2908">
        <v>6</v>
      </c>
      <c r="B2908" t="s">
        <v>84</v>
      </c>
      <c r="E2908" t="s">
        <v>29</v>
      </c>
      <c r="F2908">
        <v>2549534</v>
      </c>
      <c r="G2908">
        <v>4</v>
      </c>
      <c r="H2908">
        <v>2</v>
      </c>
      <c r="I2908">
        <v>495</v>
      </c>
      <c r="J2908">
        <v>2001</v>
      </c>
      <c r="K2908" s="4">
        <v>44117</v>
      </c>
      <c r="L2908" t="s">
        <v>26</v>
      </c>
      <c r="M2908" t="s">
        <v>70</v>
      </c>
      <c r="N2908">
        <v>2.82</v>
      </c>
      <c r="O2908">
        <v>973</v>
      </c>
      <c r="P2908">
        <v>3.15</v>
      </c>
      <c r="Q2908">
        <v>303</v>
      </c>
      <c r="R2908">
        <v>653</v>
      </c>
    </row>
    <row r="2909" spans="1:18" x14ac:dyDescent="0.2">
      <c r="A2909">
        <v>4</v>
      </c>
      <c r="B2909" t="s">
        <v>80</v>
      </c>
      <c r="E2909" t="s">
        <v>36</v>
      </c>
      <c r="F2909">
        <v>629146</v>
      </c>
      <c r="G2909">
        <v>4</v>
      </c>
      <c r="H2909">
        <v>2</v>
      </c>
      <c r="I2909">
        <v>326</v>
      </c>
      <c r="J2909">
        <v>1987</v>
      </c>
      <c r="K2909" s="4">
        <v>44522</v>
      </c>
      <c r="L2909" t="s">
        <v>26</v>
      </c>
      <c r="M2909" t="s">
        <v>78</v>
      </c>
      <c r="N2909">
        <v>2.5299999999999998</v>
      </c>
      <c r="O2909">
        <v>944</v>
      </c>
      <c r="P2909">
        <v>1.26</v>
      </c>
      <c r="Q2909">
        <v>296</v>
      </c>
      <c r="R2909">
        <v>311</v>
      </c>
    </row>
    <row r="2910" spans="1:18" x14ac:dyDescent="0.2">
      <c r="A2910">
        <v>4</v>
      </c>
      <c r="B2910" t="s">
        <v>34</v>
      </c>
      <c r="E2910" t="s">
        <v>51</v>
      </c>
      <c r="F2910">
        <v>968888</v>
      </c>
      <c r="G2910">
        <v>3</v>
      </c>
      <c r="H2910">
        <v>2</v>
      </c>
      <c r="I2910">
        <v>633</v>
      </c>
      <c r="J2910">
        <v>1953</v>
      </c>
      <c r="K2910" s="4">
        <v>45660</v>
      </c>
      <c r="L2910" t="s">
        <v>26</v>
      </c>
      <c r="M2910" t="s">
        <v>52</v>
      </c>
      <c r="N2910">
        <v>2.0099999999999998</v>
      </c>
      <c r="O2910">
        <v>1051</v>
      </c>
      <c r="P2910">
        <v>1.36</v>
      </c>
      <c r="Q2910">
        <v>100</v>
      </c>
      <c r="R2910">
        <v>506</v>
      </c>
    </row>
    <row r="2911" spans="1:18" x14ac:dyDescent="0.2">
      <c r="A2911">
        <v>8</v>
      </c>
      <c r="B2911" t="s">
        <v>49</v>
      </c>
      <c r="E2911" t="s">
        <v>29</v>
      </c>
      <c r="F2911">
        <v>436659</v>
      </c>
      <c r="G2911">
        <v>3</v>
      </c>
      <c r="H2911">
        <v>2</v>
      </c>
      <c r="I2911">
        <v>834</v>
      </c>
      <c r="J2911">
        <v>1954</v>
      </c>
      <c r="K2911" s="4">
        <v>44999</v>
      </c>
      <c r="L2911" t="s">
        <v>23</v>
      </c>
      <c r="M2911" t="s">
        <v>27</v>
      </c>
      <c r="N2911">
        <v>2.42</v>
      </c>
      <c r="O2911">
        <v>2322</v>
      </c>
      <c r="P2911">
        <v>2.81</v>
      </c>
      <c r="Q2911">
        <v>140</v>
      </c>
      <c r="R2911">
        <v>391</v>
      </c>
    </row>
    <row r="2912" spans="1:18" x14ac:dyDescent="0.2">
      <c r="A2912">
        <v>5</v>
      </c>
      <c r="B2912" t="s">
        <v>98</v>
      </c>
      <c r="E2912" t="s">
        <v>51</v>
      </c>
      <c r="F2912">
        <v>1586670</v>
      </c>
      <c r="G2912">
        <v>4</v>
      </c>
      <c r="H2912">
        <v>3</v>
      </c>
      <c r="I2912">
        <v>792</v>
      </c>
      <c r="J2912">
        <v>2007</v>
      </c>
      <c r="K2912" s="4">
        <v>44915</v>
      </c>
      <c r="L2912" t="s">
        <v>20</v>
      </c>
      <c r="M2912" t="s">
        <v>63</v>
      </c>
      <c r="N2912">
        <v>1.8</v>
      </c>
      <c r="O2912">
        <v>1738</v>
      </c>
      <c r="P2912">
        <v>2.75</v>
      </c>
      <c r="Q2912">
        <v>263</v>
      </c>
      <c r="R2912">
        <v>307</v>
      </c>
    </row>
    <row r="2913" spans="1:18" x14ac:dyDescent="0.2">
      <c r="A2913">
        <v>7</v>
      </c>
      <c r="B2913" t="s">
        <v>18</v>
      </c>
      <c r="E2913" t="s">
        <v>29</v>
      </c>
      <c r="F2913">
        <v>1828954</v>
      </c>
      <c r="G2913">
        <v>5</v>
      </c>
      <c r="H2913">
        <v>3</v>
      </c>
      <c r="I2913">
        <v>107</v>
      </c>
      <c r="J2913">
        <v>1951</v>
      </c>
      <c r="K2913" s="4">
        <v>44129</v>
      </c>
      <c r="L2913" t="s">
        <v>26</v>
      </c>
      <c r="M2913" t="s">
        <v>85</v>
      </c>
      <c r="N2913">
        <v>1.94</v>
      </c>
      <c r="O2913">
        <v>2410</v>
      </c>
      <c r="P2913">
        <v>1.74</v>
      </c>
      <c r="Q2913">
        <v>398</v>
      </c>
      <c r="R2913">
        <v>467</v>
      </c>
    </row>
    <row r="2914" spans="1:18" x14ac:dyDescent="0.2">
      <c r="A2914">
        <v>4</v>
      </c>
      <c r="B2914" t="s">
        <v>91</v>
      </c>
      <c r="E2914" t="s">
        <v>29</v>
      </c>
      <c r="F2914">
        <v>2134388</v>
      </c>
      <c r="G2914">
        <v>6</v>
      </c>
      <c r="H2914">
        <v>3</v>
      </c>
      <c r="I2914">
        <v>69</v>
      </c>
      <c r="J2914">
        <v>2011</v>
      </c>
      <c r="K2914" s="4">
        <v>44227</v>
      </c>
      <c r="L2914" t="s">
        <v>26</v>
      </c>
      <c r="M2914" t="s">
        <v>59</v>
      </c>
      <c r="N2914">
        <v>2.29</v>
      </c>
      <c r="O2914">
        <v>1594</v>
      </c>
      <c r="P2914">
        <v>1.89</v>
      </c>
      <c r="Q2914">
        <v>341</v>
      </c>
      <c r="R2914">
        <v>625</v>
      </c>
    </row>
    <row r="2915" spans="1:18" x14ac:dyDescent="0.2">
      <c r="A2915">
        <v>9</v>
      </c>
      <c r="B2915" t="s">
        <v>91</v>
      </c>
      <c r="E2915" t="s">
        <v>51</v>
      </c>
      <c r="F2915">
        <v>1904697</v>
      </c>
      <c r="G2915">
        <v>4</v>
      </c>
      <c r="H2915">
        <v>3</v>
      </c>
      <c r="I2915">
        <v>667</v>
      </c>
      <c r="J2915">
        <v>1967</v>
      </c>
      <c r="K2915" s="4">
        <v>45339</v>
      </c>
      <c r="L2915" t="s">
        <v>20</v>
      </c>
      <c r="M2915" t="s">
        <v>68</v>
      </c>
      <c r="N2915">
        <v>2.11</v>
      </c>
      <c r="O2915">
        <v>1346</v>
      </c>
      <c r="P2915">
        <v>0.34</v>
      </c>
      <c r="Q2915">
        <v>342</v>
      </c>
      <c r="R2915">
        <v>332</v>
      </c>
    </row>
    <row r="2916" spans="1:18" x14ac:dyDescent="0.2">
      <c r="A2916">
        <v>4</v>
      </c>
      <c r="B2916" t="s">
        <v>55</v>
      </c>
      <c r="E2916" t="s">
        <v>19</v>
      </c>
      <c r="F2916">
        <v>853985</v>
      </c>
      <c r="G2916">
        <v>5</v>
      </c>
      <c r="H2916">
        <v>2</v>
      </c>
      <c r="I2916">
        <v>467</v>
      </c>
      <c r="J2916">
        <v>1970</v>
      </c>
      <c r="K2916" s="4">
        <v>45770</v>
      </c>
      <c r="L2916" t="s">
        <v>26</v>
      </c>
      <c r="M2916" t="s">
        <v>21</v>
      </c>
      <c r="N2916">
        <v>3.06</v>
      </c>
      <c r="O2916">
        <v>945</v>
      </c>
      <c r="P2916">
        <v>4.34</v>
      </c>
      <c r="Q2916">
        <v>389</v>
      </c>
      <c r="R2916">
        <v>562</v>
      </c>
    </row>
    <row r="2917" spans="1:18" x14ac:dyDescent="0.2">
      <c r="A2917">
        <v>4</v>
      </c>
      <c r="B2917" t="s">
        <v>90</v>
      </c>
      <c r="E2917" t="s">
        <v>29</v>
      </c>
      <c r="F2917">
        <v>642107</v>
      </c>
      <c r="G2917">
        <v>5</v>
      </c>
      <c r="H2917">
        <v>3</v>
      </c>
      <c r="I2917">
        <v>291</v>
      </c>
      <c r="J2917">
        <v>1983</v>
      </c>
      <c r="K2917" s="4">
        <v>44507</v>
      </c>
      <c r="L2917" t="s">
        <v>26</v>
      </c>
      <c r="M2917" t="s">
        <v>76</v>
      </c>
      <c r="N2917">
        <v>2.46</v>
      </c>
      <c r="O2917">
        <v>915</v>
      </c>
      <c r="P2917">
        <v>3.32</v>
      </c>
      <c r="Q2917">
        <v>353</v>
      </c>
      <c r="R2917">
        <v>483</v>
      </c>
    </row>
    <row r="2918" spans="1:18" x14ac:dyDescent="0.2">
      <c r="A2918">
        <v>2</v>
      </c>
      <c r="B2918" t="s">
        <v>98</v>
      </c>
      <c r="E2918" t="s">
        <v>19</v>
      </c>
      <c r="F2918">
        <v>2126676</v>
      </c>
      <c r="G2918">
        <v>2</v>
      </c>
      <c r="H2918">
        <v>3</v>
      </c>
      <c r="I2918">
        <v>314</v>
      </c>
      <c r="J2918">
        <v>1968</v>
      </c>
      <c r="K2918" s="4">
        <v>45442</v>
      </c>
      <c r="L2918" t="s">
        <v>26</v>
      </c>
      <c r="M2918" t="s">
        <v>70</v>
      </c>
      <c r="N2918">
        <v>3.06</v>
      </c>
      <c r="O2918">
        <v>1883</v>
      </c>
      <c r="P2918">
        <v>2.2000000000000002</v>
      </c>
      <c r="Q2918">
        <v>191</v>
      </c>
      <c r="R2918">
        <v>361</v>
      </c>
    </row>
    <row r="2919" spans="1:18" x14ac:dyDescent="0.2">
      <c r="A2919">
        <v>6</v>
      </c>
      <c r="B2919" t="s">
        <v>99</v>
      </c>
      <c r="E2919" t="s">
        <v>51</v>
      </c>
      <c r="F2919">
        <v>1218526</v>
      </c>
      <c r="G2919">
        <v>3</v>
      </c>
      <c r="H2919">
        <v>2</v>
      </c>
      <c r="I2919">
        <v>211</v>
      </c>
      <c r="J2919">
        <v>2000</v>
      </c>
      <c r="K2919" s="4">
        <v>45086</v>
      </c>
      <c r="L2919" t="s">
        <v>20</v>
      </c>
      <c r="M2919" t="s">
        <v>40</v>
      </c>
      <c r="N2919">
        <v>2.77</v>
      </c>
      <c r="O2919">
        <v>1586</v>
      </c>
      <c r="P2919">
        <v>0.52</v>
      </c>
      <c r="Q2919">
        <v>253</v>
      </c>
      <c r="R2919">
        <v>373</v>
      </c>
    </row>
    <row r="2920" spans="1:18" x14ac:dyDescent="0.2">
      <c r="A2920">
        <v>5</v>
      </c>
      <c r="B2920" t="s">
        <v>79</v>
      </c>
      <c r="E2920" t="s">
        <v>29</v>
      </c>
      <c r="F2920">
        <v>417792</v>
      </c>
      <c r="G2920">
        <v>3</v>
      </c>
      <c r="H2920">
        <v>1</v>
      </c>
      <c r="I2920">
        <v>278</v>
      </c>
      <c r="J2920">
        <v>2020</v>
      </c>
      <c r="K2920" s="4">
        <v>45253</v>
      </c>
      <c r="L2920" t="s">
        <v>30</v>
      </c>
      <c r="M2920" t="s">
        <v>52</v>
      </c>
      <c r="N2920">
        <v>3</v>
      </c>
      <c r="O2920">
        <v>1225</v>
      </c>
      <c r="P2920">
        <v>3.42</v>
      </c>
      <c r="Q2920">
        <v>134</v>
      </c>
      <c r="R2920">
        <v>487</v>
      </c>
    </row>
    <row r="2921" spans="1:18" x14ac:dyDescent="0.2">
      <c r="A2921">
        <v>9</v>
      </c>
      <c r="B2921" t="s">
        <v>61</v>
      </c>
      <c r="E2921" t="s">
        <v>29</v>
      </c>
      <c r="F2921">
        <v>2145859</v>
      </c>
      <c r="G2921">
        <v>1</v>
      </c>
      <c r="H2921">
        <v>1</v>
      </c>
      <c r="I2921">
        <v>204</v>
      </c>
      <c r="J2921">
        <v>1999</v>
      </c>
      <c r="K2921" s="4">
        <v>44088</v>
      </c>
      <c r="L2921" t="s">
        <v>23</v>
      </c>
      <c r="M2921" t="s">
        <v>77</v>
      </c>
      <c r="N2921">
        <v>1.98</v>
      </c>
      <c r="O2921">
        <v>1230</v>
      </c>
      <c r="P2921">
        <v>1.95</v>
      </c>
      <c r="Q2921">
        <v>41</v>
      </c>
      <c r="R2921">
        <v>441</v>
      </c>
    </row>
    <row r="2922" spans="1:18" x14ac:dyDescent="0.2">
      <c r="A2922">
        <v>8</v>
      </c>
      <c r="B2922" t="s">
        <v>49</v>
      </c>
      <c r="E2922" t="s">
        <v>19</v>
      </c>
      <c r="F2922">
        <v>2578474</v>
      </c>
      <c r="G2922">
        <v>2</v>
      </c>
      <c r="H2922">
        <v>2</v>
      </c>
      <c r="I2922">
        <v>613</v>
      </c>
      <c r="J2922">
        <v>1963</v>
      </c>
      <c r="K2922" s="4">
        <v>45375</v>
      </c>
      <c r="L2922" t="s">
        <v>26</v>
      </c>
      <c r="M2922" t="s">
        <v>85</v>
      </c>
      <c r="N2922">
        <v>2.61</v>
      </c>
      <c r="O2922">
        <v>1375</v>
      </c>
      <c r="P2922">
        <v>0.88</v>
      </c>
      <c r="Q2922">
        <v>108</v>
      </c>
      <c r="R2922">
        <v>598</v>
      </c>
    </row>
    <row r="2923" spans="1:18" x14ac:dyDescent="0.2">
      <c r="A2923">
        <v>4</v>
      </c>
      <c r="B2923" t="s">
        <v>79</v>
      </c>
      <c r="E2923" t="s">
        <v>51</v>
      </c>
      <c r="F2923">
        <v>1241391</v>
      </c>
      <c r="G2923">
        <v>5</v>
      </c>
      <c r="H2923">
        <v>2</v>
      </c>
      <c r="I2923">
        <v>745</v>
      </c>
      <c r="J2923">
        <v>2003</v>
      </c>
      <c r="K2923" s="4">
        <v>45305</v>
      </c>
      <c r="L2923" t="s">
        <v>20</v>
      </c>
      <c r="M2923" t="s">
        <v>63</v>
      </c>
      <c r="N2923">
        <v>2.84</v>
      </c>
      <c r="O2923">
        <v>829</v>
      </c>
      <c r="P2923">
        <v>1.75</v>
      </c>
      <c r="Q2923">
        <v>368</v>
      </c>
      <c r="R2923">
        <v>690</v>
      </c>
    </row>
    <row r="2924" spans="1:18" x14ac:dyDescent="0.2">
      <c r="A2924">
        <v>5</v>
      </c>
      <c r="B2924" t="s">
        <v>84</v>
      </c>
      <c r="E2924" t="s">
        <v>19</v>
      </c>
      <c r="F2924">
        <v>1839618</v>
      </c>
      <c r="G2924">
        <v>6</v>
      </c>
      <c r="H2924">
        <v>3</v>
      </c>
      <c r="I2924">
        <v>331</v>
      </c>
      <c r="J2924">
        <v>2019</v>
      </c>
      <c r="K2924" s="4">
        <v>44245</v>
      </c>
      <c r="L2924" t="s">
        <v>23</v>
      </c>
      <c r="M2924" t="s">
        <v>89</v>
      </c>
      <c r="N2924">
        <v>1.53</v>
      </c>
      <c r="O2924">
        <v>987</v>
      </c>
      <c r="P2924">
        <v>2.37</v>
      </c>
      <c r="Q2924">
        <v>358</v>
      </c>
      <c r="R2924">
        <v>597</v>
      </c>
    </row>
    <row r="2925" spans="1:18" x14ac:dyDescent="0.2">
      <c r="A2925">
        <v>9</v>
      </c>
      <c r="B2925" t="s">
        <v>22</v>
      </c>
      <c r="E2925" t="s">
        <v>36</v>
      </c>
      <c r="F2925">
        <v>2436319</v>
      </c>
      <c r="G2925">
        <v>2</v>
      </c>
      <c r="H2925">
        <v>3</v>
      </c>
      <c r="I2925">
        <v>0</v>
      </c>
      <c r="J2925">
        <v>1965</v>
      </c>
      <c r="K2925" s="4">
        <v>45737</v>
      </c>
      <c r="L2925" t="s">
        <v>30</v>
      </c>
      <c r="M2925" t="s">
        <v>37</v>
      </c>
      <c r="N2925">
        <v>2.36</v>
      </c>
      <c r="O2925">
        <v>984</v>
      </c>
      <c r="P2925">
        <v>0.37</v>
      </c>
      <c r="Q2925">
        <v>195</v>
      </c>
      <c r="R2925">
        <v>534</v>
      </c>
    </row>
    <row r="2926" spans="1:18" x14ac:dyDescent="0.2">
      <c r="A2926">
        <v>3</v>
      </c>
      <c r="B2926" t="s">
        <v>34</v>
      </c>
      <c r="E2926" t="s">
        <v>36</v>
      </c>
      <c r="F2926">
        <v>2521777</v>
      </c>
      <c r="G2926">
        <v>3</v>
      </c>
      <c r="H2926">
        <v>3</v>
      </c>
      <c r="I2926">
        <v>933</v>
      </c>
      <c r="J2926">
        <v>1974</v>
      </c>
      <c r="K2926" s="4">
        <v>45058</v>
      </c>
      <c r="L2926" t="s">
        <v>23</v>
      </c>
      <c r="M2926" t="s">
        <v>56</v>
      </c>
      <c r="N2926">
        <v>2.57</v>
      </c>
      <c r="O2926">
        <v>1225</v>
      </c>
      <c r="P2926">
        <v>4.1100000000000003</v>
      </c>
      <c r="Q2926">
        <v>152</v>
      </c>
      <c r="R2926">
        <v>357</v>
      </c>
    </row>
    <row r="2927" spans="1:18" x14ac:dyDescent="0.2">
      <c r="A2927">
        <v>2</v>
      </c>
      <c r="B2927" t="s">
        <v>64</v>
      </c>
      <c r="E2927" t="s">
        <v>19</v>
      </c>
      <c r="F2927">
        <v>1023055</v>
      </c>
      <c r="G2927">
        <v>6</v>
      </c>
      <c r="H2927">
        <v>2</v>
      </c>
      <c r="I2927">
        <v>998</v>
      </c>
      <c r="J2927">
        <v>2013</v>
      </c>
      <c r="K2927" s="4">
        <v>45682</v>
      </c>
      <c r="L2927" t="s">
        <v>23</v>
      </c>
      <c r="M2927" t="s">
        <v>47</v>
      </c>
      <c r="N2927">
        <v>3.49</v>
      </c>
      <c r="O2927">
        <v>2460</v>
      </c>
      <c r="P2927">
        <v>3.5</v>
      </c>
      <c r="Q2927">
        <v>359</v>
      </c>
      <c r="R2927">
        <v>329</v>
      </c>
    </row>
    <row r="2928" spans="1:18" x14ac:dyDescent="0.2">
      <c r="A2928">
        <v>4</v>
      </c>
      <c r="B2928" t="s">
        <v>104</v>
      </c>
      <c r="E2928" t="s">
        <v>51</v>
      </c>
      <c r="F2928">
        <v>2718744</v>
      </c>
      <c r="G2928">
        <v>2</v>
      </c>
      <c r="H2928">
        <v>3</v>
      </c>
      <c r="I2928">
        <v>580</v>
      </c>
      <c r="J2928">
        <v>1973</v>
      </c>
      <c r="K2928" s="4">
        <v>44066</v>
      </c>
      <c r="L2928" t="s">
        <v>30</v>
      </c>
      <c r="M2928" t="s">
        <v>58</v>
      </c>
      <c r="N2928">
        <v>2.73</v>
      </c>
      <c r="O2928">
        <v>1520</v>
      </c>
      <c r="P2928">
        <v>1.93</v>
      </c>
      <c r="Q2928">
        <v>156</v>
      </c>
      <c r="R2928">
        <v>686</v>
      </c>
    </row>
    <row r="2929" spans="1:18" x14ac:dyDescent="0.2">
      <c r="A2929">
        <v>0</v>
      </c>
      <c r="B2929" t="s">
        <v>90</v>
      </c>
      <c r="E2929" t="s">
        <v>29</v>
      </c>
      <c r="F2929">
        <v>1007715</v>
      </c>
      <c r="G2929">
        <v>1</v>
      </c>
      <c r="H2929">
        <v>2</v>
      </c>
      <c r="I2929">
        <v>664</v>
      </c>
      <c r="J2929">
        <v>2009</v>
      </c>
      <c r="K2929" s="4">
        <v>44876</v>
      </c>
      <c r="L2929" t="s">
        <v>20</v>
      </c>
      <c r="M2929" t="s">
        <v>35</v>
      </c>
      <c r="N2929">
        <v>1.95</v>
      </c>
      <c r="O2929">
        <v>1674</v>
      </c>
      <c r="P2929">
        <v>4.08</v>
      </c>
      <c r="Q2929">
        <v>151</v>
      </c>
      <c r="R2929">
        <v>631</v>
      </c>
    </row>
    <row r="2930" spans="1:18" x14ac:dyDescent="0.2">
      <c r="A2930">
        <v>4</v>
      </c>
      <c r="B2930" t="s">
        <v>62</v>
      </c>
      <c r="E2930" t="s">
        <v>29</v>
      </c>
      <c r="F2930">
        <v>1327723</v>
      </c>
      <c r="G2930">
        <v>1</v>
      </c>
      <c r="H2930">
        <v>3</v>
      </c>
      <c r="I2930">
        <v>777</v>
      </c>
      <c r="J2930">
        <v>1975</v>
      </c>
      <c r="K2930" s="4">
        <v>45254</v>
      </c>
      <c r="L2930" t="s">
        <v>26</v>
      </c>
      <c r="M2930" t="s">
        <v>70</v>
      </c>
      <c r="N2930">
        <v>2.6</v>
      </c>
      <c r="O2930">
        <v>1118</v>
      </c>
      <c r="P2930">
        <v>4.6900000000000004</v>
      </c>
      <c r="Q2930">
        <v>95</v>
      </c>
      <c r="R2930">
        <v>481</v>
      </c>
    </row>
    <row r="2931" spans="1:18" x14ac:dyDescent="0.2">
      <c r="A2931">
        <v>2</v>
      </c>
      <c r="B2931" t="s">
        <v>50</v>
      </c>
      <c r="E2931" t="s">
        <v>51</v>
      </c>
      <c r="F2931">
        <v>2805809</v>
      </c>
      <c r="G2931">
        <v>2</v>
      </c>
      <c r="H2931">
        <v>3</v>
      </c>
      <c r="I2931">
        <v>563</v>
      </c>
      <c r="J2931">
        <v>2021</v>
      </c>
      <c r="K2931" s="4">
        <v>45849</v>
      </c>
      <c r="L2931" t="s">
        <v>20</v>
      </c>
      <c r="M2931" t="s">
        <v>40</v>
      </c>
      <c r="N2931">
        <v>2.91</v>
      </c>
      <c r="O2931">
        <v>2214</v>
      </c>
      <c r="P2931">
        <v>0.16</v>
      </c>
      <c r="Q2931">
        <v>210</v>
      </c>
      <c r="R2931">
        <v>359</v>
      </c>
    </row>
    <row r="2932" spans="1:18" x14ac:dyDescent="0.2">
      <c r="A2932">
        <v>9</v>
      </c>
      <c r="B2932" t="s">
        <v>64</v>
      </c>
      <c r="E2932" t="s">
        <v>19</v>
      </c>
      <c r="F2932">
        <v>2377951</v>
      </c>
      <c r="G2932">
        <v>1</v>
      </c>
      <c r="H2932">
        <v>2</v>
      </c>
      <c r="I2932">
        <v>133</v>
      </c>
      <c r="J2932">
        <v>1979</v>
      </c>
      <c r="K2932" s="4">
        <v>44101</v>
      </c>
      <c r="L2932" t="s">
        <v>20</v>
      </c>
      <c r="M2932" t="s">
        <v>70</v>
      </c>
      <c r="N2932">
        <v>2.66</v>
      </c>
      <c r="O2932">
        <v>1996</v>
      </c>
      <c r="P2932">
        <v>4.22</v>
      </c>
      <c r="Q2932">
        <v>71</v>
      </c>
      <c r="R2932">
        <v>453</v>
      </c>
    </row>
    <row r="2933" spans="1:18" x14ac:dyDescent="0.2">
      <c r="A2933">
        <v>7</v>
      </c>
      <c r="B2933" t="s">
        <v>48</v>
      </c>
      <c r="E2933" t="s">
        <v>36</v>
      </c>
      <c r="F2933">
        <v>1242533</v>
      </c>
      <c r="G2933">
        <v>5</v>
      </c>
      <c r="H2933">
        <v>1</v>
      </c>
      <c r="I2933">
        <v>270</v>
      </c>
      <c r="J2933">
        <v>2021</v>
      </c>
      <c r="K2933" s="4">
        <v>45382</v>
      </c>
      <c r="L2933" t="s">
        <v>20</v>
      </c>
      <c r="M2933" t="s">
        <v>27</v>
      </c>
      <c r="N2933">
        <v>3.39</v>
      </c>
      <c r="O2933">
        <v>1034</v>
      </c>
      <c r="P2933">
        <v>4.88</v>
      </c>
      <c r="Q2933">
        <v>248</v>
      </c>
      <c r="R2933">
        <v>535</v>
      </c>
    </row>
    <row r="2934" spans="1:18" x14ac:dyDescent="0.2">
      <c r="A2934">
        <v>0</v>
      </c>
      <c r="B2934" t="s">
        <v>92</v>
      </c>
      <c r="E2934" t="s">
        <v>19</v>
      </c>
      <c r="F2934">
        <v>1070285</v>
      </c>
      <c r="G2934">
        <v>3</v>
      </c>
      <c r="H2934">
        <v>3</v>
      </c>
      <c r="I2934">
        <v>764</v>
      </c>
      <c r="J2934">
        <v>1977</v>
      </c>
      <c r="K2934" s="4">
        <v>44382</v>
      </c>
      <c r="L2934" t="s">
        <v>23</v>
      </c>
      <c r="M2934" t="s">
        <v>59</v>
      </c>
      <c r="N2934">
        <v>3.37</v>
      </c>
      <c r="O2934">
        <v>1143</v>
      </c>
      <c r="P2934">
        <v>4.4000000000000004</v>
      </c>
      <c r="Q2934">
        <v>136</v>
      </c>
      <c r="R2934">
        <v>331</v>
      </c>
    </row>
    <row r="2935" spans="1:18" x14ac:dyDescent="0.2">
      <c r="A2935">
        <v>7</v>
      </c>
      <c r="B2935" t="s">
        <v>100</v>
      </c>
      <c r="E2935" t="s">
        <v>36</v>
      </c>
      <c r="F2935">
        <v>538167</v>
      </c>
      <c r="G2935">
        <v>6</v>
      </c>
      <c r="H2935">
        <v>2</v>
      </c>
      <c r="I2935">
        <v>177</v>
      </c>
      <c r="J2935">
        <v>1970</v>
      </c>
      <c r="K2935" s="4">
        <v>44465</v>
      </c>
      <c r="L2935" t="s">
        <v>20</v>
      </c>
      <c r="M2935" t="s">
        <v>47</v>
      </c>
      <c r="N2935">
        <v>3.02</v>
      </c>
      <c r="O2935">
        <v>2006</v>
      </c>
      <c r="P2935">
        <v>0.61</v>
      </c>
      <c r="Q2935">
        <v>388</v>
      </c>
      <c r="R2935">
        <v>654</v>
      </c>
    </row>
    <row r="2936" spans="1:18" x14ac:dyDescent="0.2">
      <c r="A2936">
        <v>6</v>
      </c>
      <c r="B2936" t="s">
        <v>104</v>
      </c>
      <c r="E2936" t="s">
        <v>19</v>
      </c>
      <c r="F2936">
        <v>2904862</v>
      </c>
      <c r="G2936">
        <v>4</v>
      </c>
      <c r="H2936">
        <v>1</v>
      </c>
      <c r="I2936">
        <v>958</v>
      </c>
      <c r="J2936">
        <v>1984</v>
      </c>
      <c r="K2936" s="4">
        <v>44299</v>
      </c>
      <c r="L2936" t="s">
        <v>23</v>
      </c>
      <c r="M2936" t="s">
        <v>27</v>
      </c>
      <c r="N2936">
        <v>1.8</v>
      </c>
      <c r="O2936">
        <v>1642</v>
      </c>
      <c r="P2936">
        <v>1.77</v>
      </c>
      <c r="Q2936">
        <v>184</v>
      </c>
      <c r="R2936">
        <v>462</v>
      </c>
    </row>
    <row r="2937" spans="1:18" x14ac:dyDescent="0.2">
      <c r="A2937">
        <v>5</v>
      </c>
      <c r="B2937" t="s">
        <v>105</v>
      </c>
      <c r="E2937" t="s">
        <v>51</v>
      </c>
      <c r="F2937">
        <v>2161793</v>
      </c>
      <c r="G2937">
        <v>4</v>
      </c>
      <c r="H2937">
        <v>1</v>
      </c>
      <c r="I2937">
        <v>312</v>
      </c>
      <c r="J2937">
        <v>1961</v>
      </c>
      <c r="K2937" s="4">
        <v>44108</v>
      </c>
      <c r="L2937" t="s">
        <v>26</v>
      </c>
      <c r="M2937" t="s">
        <v>63</v>
      </c>
      <c r="N2937">
        <v>2.4500000000000002</v>
      </c>
      <c r="O2937">
        <v>1462</v>
      </c>
      <c r="P2937">
        <v>2.79</v>
      </c>
      <c r="Q2937">
        <v>244</v>
      </c>
      <c r="R2937">
        <v>534</v>
      </c>
    </row>
    <row r="2938" spans="1:18" x14ac:dyDescent="0.2">
      <c r="A2938">
        <v>9</v>
      </c>
      <c r="B2938" t="s">
        <v>38</v>
      </c>
      <c r="E2938" t="s">
        <v>19</v>
      </c>
      <c r="F2938">
        <v>1204104</v>
      </c>
      <c r="G2938">
        <v>4</v>
      </c>
      <c r="H2938">
        <v>3</v>
      </c>
      <c r="I2938">
        <v>857</v>
      </c>
      <c r="J2938">
        <v>1978</v>
      </c>
      <c r="K2938" s="4">
        <v>44457</v>
      </c>
      <c r="L2938" t="s">
        <v>23</v>
      </c>
      <c r="M2938" t="s">
        <v>74</v>
      </c>
      <c r="N2938">
        <v>1.72</v>
      </c>
      <c r="O2938">
        <v>1806</v>
      </c>
      <c r="P2938">
        <v>4.18</v>
      </c>
      <c r="Q2938">
        <v>348</v>
      </c>
      <c r="R2938">
        <v>433</v>
      </c>
    </row>
    <row r="2939" spans="1:18" x14ac:dyDescent="0.2">
      <c r="A2939">
        <v>7</v>
      </c>
      <c r="B2939" t="s">
        <v>50</v>
      </c>
      <c r="E2939" t="s">
        <v>29</v>
      </c>
      <c r="F2939">
        <v>1285907</v>
      </c>
      <c r="G2939">
        <v>2</v>
      </c>
      <c r="H2939">
        <v>2</v>
      </c>
      <c r="I2939">
        <v>164</v>
      </c>
      <c r="J2939">
        <v>1984</v>
      </c>
      <c r="K2939" s="4">
        <v>44986</v>
      </c>
      <c r="L2939" t="s">
        <v>23</v>
      </c>
      <c r="M2939" t="s">
        <v>27</v>
      </c>
      <c r="N2939">
        <v>3.43</v>
      </c>
      <c r="O2939">
        <v>2080</v>
      </c>
      <c r="P2939">
        <v>1.36</v>
      </c>
      <c r="Q2939">
        <v>47</v>
      </c>
      <c r="R2939">
        <v>569</v>
      </c>
    </row>
    <row r="2940" spans="1:18" x14ac:dyDescent="0.2">
      <c r="A2940">
        <v>6</v>
      </c>
      <c r="B2940" t="s">
        <v>92</v>
      </c>
      <c r="E2940" t="s">
        <v>29</v>
      </c>
      <c r="F2940">
        <v>1750096</v>
      </c>
      <c r="G2940">
        <v>2</v>
      </c>
      <c r="H2940">
        <v>2</v>
      </c>
      <c r="I2940">
        <v>437</v>
      </c>
      <c r="J2940">
        <v>2022</v>
      </c>
      <c r="K2940" s="4">
        <v>44756</v>
      </c>
      <c r="L2940" t="s">
        <v>30</v>
      </c>
      <c r="M2940" t="s">
        <v>35</v>
      </c>
      <c r="N2940">
        <v>2.17</v>
      </c>
      <c r="O2940">
        <v>2487</v>
      </c>
      <c r="P2940">
        <v>2.52</v>
      </c>
      <c r="Q2940">
        <v>165</v>
      </c>
      <c r="R2940">
        <v>593</v>
      </c>
    </row>
    <row r="2941" spans="1:18" x14ac:dyDescent="0.2">
      <c r="A2941">
        <v>1</v>
      </c>
      <c r="B2941" t="s">
        <v>44</v>
      </c>
      <c r="E2941" t="s">
        <v>19</v>
      </c>
      <c r="F2941">
        <v>511597</v>
      </c>
      <c r="G2941">
        <v>3</v>
      </c>
      <c r="H2941">
        <v>2</v>
      </c>
      <c r="I2941">
        <v>65</v>
      </c>
      <c r="J2941">
        <v>1994</v>
      </c>
      <c r="K2941" s="4">
        <v>44266</v>
      </c>
      <c r="L2941" t="s">
        <v>30</v>
      </c>
      <c r="M2941" t="s">
        <v>59</v>
      </c>
      <c r="N2941">
        <v>3.29</v>
      </c>
      <c r="O2941">
        <v>1181</v>
      </c>
      <c r="P2941">
        <v>4.2699999999999996</v>
      </c>
      <c r="Q2941">
        <v>103</v>
      </c>
      <c r="R2941">
        <v>462</v>
      </c>
    </row>
    <row r="2942" spans="1:18" x14ac:dyDescent="0.2">
      <c r="A2942">
        <v>5</v>
      </c>
      <c r="B2942" t="s">
        <v>93</v>
      </c>
      <c r="E2942" t="s">
        <v>29</v>
      </c>
      <c r="F2942">
        <v>826594</v>
      </c>
      <c r="G2942">
        <v>3</v>
      </c>
      <c r="H2942">
        <v>1</v>
      </c>
      <c r="I2942">
        <v>564</v>
      </c>
      <c r="J2942">
        <v>1963</v>
      </c>
      <c r="K2942" s="4">
        <v>44885</v>
      </c>
      <c r="L2942" t="s">
        <v>23</v>
      </c>
      <c r="M2942" t="s">
        <v>42</v>
      </c>
      <c r="N2942">
        <v>2.36</v>
      </c>
      <c r="O2942">
        <v>1420</v>
      </c>
      <c r="P2942">
        <v>1.66</v>
      </c>
      <c r="Q2942">
        <v>293</v>
      </c>
      <c r="R2942">
        <v>685</v>
      </c>
    </row>
    <row r="2943" spans="1:18" x14ac:dyDescent="0.2">
      <c r="A2943">
        <v>5</v>
      </c>
      <c r="B2943" t="s">
        <v>87</v>
      </c>
      <c r="E2943" t="s">
        <v>19</v>
      </c>
      <c r="F2943">
        <v>1998449</v>
      </c>
      <c r="G2943">
        <v>1</v>
      </c>
      <c r="H2943">
        <v>3</v>
      </c>
      <c r="I2943">
        <v>911</v>
      </c>
      <c r="J2943">
        <v>1978</v>
      </c>
      <c r="K2943" s="4">
        <v>44203</v>
      </c>
      <c r="L2943" t="s">
        <v>20</v>
      </c>
      <c r="M2943" t="s">
        <v>85</v>
      </c>
      <c r="N2943">
        <v>1.74</v>
      </c>
      <c r="O2943">
        <v>1612</v>
      </c>
      <c r="P2943">
        <v>3.99</v>
      </c>
      <c r="Q2943">
        <v>71</v>
      </c>
      <c r="R2943">
        <v>667</v>
      </c>
    </row>
    <row r="2944" spans="1:18" x14ac:dyDescent="0.2">
      <c r="A2944">
        <v>4</v>
      </c>
      <c r="B2944" t="s">
        <v>46</v>
      </c>
      <c r="E2944" t="s">
        <v>36</v>
      </c>
      <c r="F2944">
        <v>2433010</v>
      </c>
      <c r="G2944">
        <v>2</v>
      </c>
      <c r="H2944">
        <v>3</v>
      </c>
      <c r="I2944">
        <v>646</v>
      </c>
      <c r="J2944">
        <v>2001</v>
      </c>
      <c r="K2944" s="4">
        <v>44781</v>
      </c>
      <c r="L2944" t="s">
        <v>20</v>
      </c>
      <c r="M2944" t="s">
        <v>59</v>
      </c>
      <c r="N2944">
        <v>1.73</v>
      </c>
      <c r="O2944">
        <v>862</v>
      </c>
      <c r="P2944">
        <v>1.56</v>
      </c>
      <c r="Q2944">
        <v>64</v>
      </c>
      <c r="R2944">
        <v>546</v>
      </c>
    </row>
    <row r="2945" spans="1:18" x14ac:dyDescent="0.2">
      <c r="A2945">
        <v>7</v>
      </c>
      <c r="B2945" t="s">
        <v>43</v>
      </c>
      <c r="E2945" t="s">
        <v>51</v>
      </c>
      <c r="F2945">
        <v>2992323</v>
      </c>
      <c r="G2945">
        <v>4</v>
      </c>
      <c r="H2945">
        <v>2</v>
      </c>
      <c r="I2945">
        <v>59</v>
      </c>
      <c r="J2945">
        <v>2014</v>
      </c>
      <c r="K2945" s="4">
        <v>45580</v>
      </c>
      <c r="L2945" t="s">
        <v>30</v>
      </c>
      <c r="M2945" t="s">
        <v>12</v>
      </c>
      <c r="N2945">
        <v>1.91</v>
      </c>
      <c r="O2945">
        <v>2188</v>
      </c>
      <c r="P2945">
        <v>0.3</v>
      </c>
      <c r="Q2945">
        <v>231</v>
      </c>
      <c r="R2945">
        <v>426</v>
      </c>
    </row>
    <row r="2946" spans="1:18" x14ac:dyDescent="0.2">
      <c r="A2946">
        <v>1</v>
      </c>
      <c r="B2946" t="s">
        <v>62</v>
      </c>
      <c r="E2946" t="s">
        <v>51</v>
      </c>
      <c r="F2946">
        <v>2065707</v>
      </c>
      <c r="G2946">
        <v>2</v>
      </c>
      <c r="H2946">
        <v>1</v>
      </c>
      <c r="I2946">
        <v>443</v>
      </c>
      <c r="J2946">
        <v>1988</v>
      </c>
      <c r="K2946" s="4">
        <v>45221</v>
      </c>
      <c r="L2946" t="s">
        <v>23</v>
      </c>
      <c r="M2946" t="s">
        <v>54</v>
      </c>
      <c r="N2946">
        <v>2.52</v>
      </c>
      <c r="O2946">
        <v>1918</v>
      </c>
      <c r="P2946">
        <v>4.7</v>
      </c>
      <c r="Q2946">
        <v>214</v>
      </c>
      <c r="R2946">
        <v>345</v>
      </c>
    </row>
    <row r="2947" spans="1:18" x14ac:dyDescent="0.2">
      <c r="A2947">
        <v>4</v>
      </c>
      <c r="B2947" t="s">
        <v>102</v>
      </c>
      <c r="E2947" t="s">
        <v>51</v>
      </c>
      <c r="F2947">
        <v>2804205</v>
      </c>
      <c r="G2947">
        <v>4</v>
      </c>
      <c r="H2947">
        <v>2</v>
      </c>
      <c r="I2947">
        <v>906</v>
      </c>
      <c r="J2947">
        <v>1964</v>
      </c>
      <c r="K2947" s="4">
        <v>44314</v>
      </c>
      <c r="L2947" t="s">
        <v>20</v>
      </c>
      <c r="M2947" t="s">
        <v>78</v>
      </c>
      <c r="N2947">
        <v>2.83</v>
      </c>
      <c r="O2947">
        <v>1748</v>
      </c>
      <c r="P2947">
        <v>1.3</v>
      </c>
      <c r="Q2947">
        <v>301</v>
      </c>
      <c r="R2947">
        <v>632</v>
      </c>
    </row>
    <row r="2948" spans="1:18" x14ac:dyDescent="0.2">
      <c r="A2948">
        <v>2</v>
      </c>
      <c r="B2948" t="s">
        <v>18</v>
      </c>
      <c r="E2948" t="s">
        <v>29</v>
      </c>
      <c r="F2948">
        <v>2284816</v>
      </c>
      <c r="G2948">
        <v>4</v>
      </c>
      <c r="H2948">
        <v>1</v>
      </c>
      <c r="I2948">
        <v>582</v>
      </c>
      <c r="J2948">
        <v>1952</v>
      </c>
      <c r="K2948" s="4">
        <v>44332</v>
      </c>
      <c r="L2948" t="s">
        <v>20</v>
      </c>
      <c r="M2948" t="s">
        <v>33</v>
      </c>
      <c r="N2948">
        <v>2.29</v>
      </c>
      <c r="O2948">
        <v>1133</v>
      </c>
      <c r="P2948">
        <v>0.27</v>
      </c>
      <c r="Q2948">
        <v>227</v>
      </c>
      <c r="R2948">
        <v>587</v>
      </c>
    </row>
    <row r="2949" spans="1:18" x14ac:dyDescent="0.2">
      <c r="A2949">
        <v>9</v>
      </c>
      <c r="B2949" t="s">
        <v>75</v>
      </c>
      <c r="E2949" t="s">
        <v>51</v>
      </c>
      <c r="F2949">
        <v>2473689</v>
      </c>
      <c r="G2949">
        <v>5</v>
      </c>
      <c r="H2949">
        <v>1</v>
      </c>
      <c r="I2949">
        <v>708</v>
      </c>
      <c r="J2949">
        <v>2008</v>
      </c>
      <c r="K2949" s="4">
        <v>45275</v>
      </c>
      <c r="L2949" t="s">
        <v>26</v>
      </c>
      <c r="M2949" t="s">
        <v>37</v>
      </c>
      <c r="N2949">
        <v>2.4300000000000002</v>
      </c>
      <c r="O2949">
        <v>1424</v>
      </c>
      <c r="P2949">
        <v>2.34</v>
      </c>
      <c r="Q2949">
        <v>311</v>
      </c>
      <c r="R2949">
        <v>442</v>
      </c>
    </row>
    <row r="2950" spans="1:18" x14ac:dyDescent="0.2">
      <c r="A2950">
        <v>9</v>
      </c>
      <c r="B2950" t="s">
        <v>34</v>
      </c>
      <c r="E2950" t="s">
        <v>29</v>
      </c>
      <c r="F2950">
        <v>1920219</v>
      </c>
      <c r="G2950">
        <v>5</v>
      </c>
      <c r="H2950">
        <v>2</v>
      </c>
      <c r="I2950">
        <v>72</v>
      </c>
      <c r="J2950">
        <v>1962</v>
      </c>
      <c r="K2950" s="4">
        <v>44260</v>
      </c>
      <c r="L2950" t="s">
        <v>20</v>
      </c>
      <c r="M2950" t="s">
        <v>70</v>
      </c>
      <c r="N2950">
        <v>1.95</v>
      </c>
      <c r="O2950">
        <v>1234</v>
      </c>
      <c r="P2950">
        <v>1.56</v>
      </c>
      <c r="Q2950">
        <v>380</v>
      </c>
      <c r="R2950">
        <v>474</v>
      </c>
    </row>
    <row r="2951" spans="1:18" x14ac:dyDescent="0.2">
      <c r="A2951">
        <v>1</v>
      </c>
      <c r="B2951" t="s">
        <v>53</v>
      </c>
      <c r="E2951" t="s">
        <v>51</v>
      </c>
      <c r="F2951">
        <v>1790250</v>
      </c>
      <c r="G2951">
        <v>2</v>
      </c>
      <c r="H2951">
        <v>3</v>
      </c>
      <c r="I2951">
        <v>65</v>
      </c>
      <c r="J2951">
        <v>1990</v>
      </c>
      <c r="K2951" s="4">
        <v>44653</v>
      </c>
      <c r="L2951" t="s">
        <v>30</v>
      </c>
      <c r="M2951" t="s">
        <v>24</v>
      </c>
      <c r="N2951">
        <v>1.92</v>
      </c>
      <c r="O2951">
        <v>2258</v>
      </c>
      <c r="P2951">
        <v>2.34</v>
      </c>
      <c r="Q2951">
        <v>88</v>
      </c>
      <c r="R2951">
        <v>369</v>
      </c>
    </row>
    <row r="2952" spans="1:18" x14ac:dyDescent="0.2">
      <c r="A2952">
        <v>7</v>
      </c>
      <c r="B2952" t="s">
        <v>39</v>
      </c>
      <c r="E2952" t="s">
        <v>51</v>
      </c>
      <c r="F2952">
        <v>2186289</v>
      </c>
      <c r="G2952">
        <v>2</v>
      </c>
      <c r="H2952">
        <v>1</v>
      </c>
      <c r="I2952">
        <v>633</v>
      </c>
      <c r="J2952">
        <v>1991</v>
      </c>
      <c r="K2952" s="4">
        <v>44490</v>
      </c>
      <c r="L2952" t="s">
        <v>20</v>
      </c>
      <c r="M2952" t="s">
        <v>56</v>
      </c>
      <c r="N2952">
        <v>2.2599999999999998</v>
      </c>
      <c r="O2952">
        <v>1715</v>
      </c>
      <c r="P2952">
        <v>4.8</v>
      </c>
      <c r="Q2952">
        <v>46</v>
      </c>
      <c r="R2952">
        <v>643</v>
      </c>
    </row>
    <row r="2953" spans="1:18" x14ac:dyDescent="0.2">
      <c r="A2953">
        <v>6</v>
      </c>
      <c r="B2953" t="s">
        <v>34</v>
      </c>
      <c r="E2953" t="s">
        <v>51</v>
      </c>
      <c r="F2953">
        <v>2182172</v>
      </c>
      <c r="G2953">
        <v>0</v>
      </c>
      <c r="H2953">
        <v>1</v>
      </c>
      <c r="I2953">
        <v>445</v>
      </c>
      <c r="J2953">
        <v>1974</v>
      </c>
      <c r="K2953" s="4">
        <v>44129</v>
      </c>
      <c r="L2953" t="s">
        <v>20</v>
      </c>
      <c r="M2953" t="s">
        <v>40</v>
      </c>
      <c r="N2953">
        <v>3.09</v>
      </c>
      <c r="O2953">
        <v>2393</v>
      </c>
      <c r="P2953">
        <v>1.24</v>
      </c>
      <c r="Q2953">
        <v>78</v>
      </c>
      <c r="R2953">
        <v>665</v>
      </c>
    </row>
    <row r="2954" spans="1:18" x14ac:dyDescent="0.2">
      <c r="A2954">
        <v>0</v>
      </c>
      <c r="B2954" t="s">
        <v>81</v>
      </c>
      <c r="E2954" t="s">
        <v>19</v>
      </c>
      <c r="F2954">
        <v>2678467</v>
      </c>
      <c r="G2954">
        <v>3</v>
      </c>
      <c r="H2954">
        <v>3</v>
      </c>
      <c r="I2954">
        <v>712</v>
      </c>
      <c r="J2954">
        <v>1986</v>
      </c>
      <c r="K2954" s="4">
        <v>44154</v>
      </c>
      <c r="L2954" t="s">
        <v>30</v>
      </c>
      <c r="M2954" t="s">
        <v>69</v>
      </c>
      <c r="N2954">
        <v>3.35</v>
      </c>
      <c r="O2954">
        <v>824</v>
      </c>
      <c r="P2954">
        <v>2.39</v>
      </c>
      <c r="Q2954">
        <v>126</v>
      </c>
      <c r="R2954">
        <v>470</v>
      </c>
    </row>
    <row r="2955" spans="1:18" x14ac:dyDescent="0.2">
      <c r="A2955">
        <v>1</v>
      </c>
      <c r="B2955" t="s">
        <v>90</v>
      </c>
      <c r="E2955" t="s">
        <v>29</v>
      </c>
      <c r="F2955">
        <v>2165352</v>
      </c>
      <c r="G2955">
        <v>2</v>
      </c>
      <c r="H2955">
        <v>2</v>
      </c>
      <c r="I2955">
        <v>396</v>
      </c>
      <c r="J2955">
        <v>2017</v>
      </c>
      <c r="K2955" s="4">
        <v>44470</v>
      </c>
      <c r="L2955" t="s">
        <v>20</v>
      </c>
      <c r="M2955" t="s">
        <v>21</v>
      </c>
      <c r="N2955">
        <v>2.2999999999999998</v>
      </c>
      <c r="O2955">
        <v>2291</v>
      </c>
      <c r="P2955">
        <v>1.53</v>
      </c>
      <c r="Q2955">
        <v>141</v>
      </c>
      <c r="R2955">
        <v>506</v>
      </c>
    </row>
    <row r="2956" spans="1:18" x14ac:dyDescent="0.2">
      <c r="A2956">
        <v>8</v>
      </c>
      <c r="B2956" t="s">
        <v>94</v>
      </c>
      <c r="E2956" t="s">
        <v>29</v>
      </c>
      <c r="F2956">
        <v>751690</v>
      </c>
      <c r="G2956">
        <v>4</v>
      </c>
      <c r="H2956">
        <v>1</v>
      </c>
      <c r="I2956">
        <v>257</v>
      </c>
      <c r="J2956">
        <v>1974</v>
      </c>
      <c r="K2956" s="4">
        <v>45590</v>
      </c>
      <c r="L2956" t="s">
        <v>26</v>
      </c>
      <c r="M2956" t="s">
        <v>70</v>
      </c>
      <c r="N2956">
        <v>2.91</v>
      </c>
      <c r="O2956">
        <v>1951</v>
      </c>
      <c r="P2956">
        <v>0.4</v>
      </c>
      <c r="Q2956">
        <v>396</v>
      </c>
      <c r="R2956">
        <v>607</v>
      </c>
    </row>
    <row r="2957" spans="1:18" x14ac:dyDescent="0.2">
      <c r="A2957">
        <v>3</v>
      </c>
      <c r="B2957" t="s">
        <v>39</v>
      </c>
      <c r="E2957" t="s">
        <v>36</v>
      </c>
      <c r="F2957">
        <v>1785854</v>
      </c>
      <c r="G2957">
        <v>3</v>
      </c>
      <c r="H2957">
        <v>3</v>
      </c>
      <c r="I2957">
        <v>595</v>
      </c>
      <c r="J2957">
        <v>1986</v>
      </c>
      <c r="K2957" s="4">
        <v>45534</v>
      </c>
      <c r="L2957" t="s">
        <v>30</v>
      </c>
      <c r="M2957" t="s">
        <v>60</v>
      </c>
      <c r="N2957">
        <v>2.17</v>
      </c>
      <c r="O2957">
        <v>1351</v>
      </c>
      <c r="P2957">
        <v>1.06</v>
      </c>
      <c r="Q2957">
        <v>239</v>
      </c>
      <c r="R2957">
        <v>325</v>
      </c>
    </row>
    <row r="2958" spans="1:18" x14ac:dyDescent="0.2">
      <c r="A2958">
        <v>9</v>
      </c>
      <c r="B2958" t="s">
        <v>61</v>
      </c>
      <c r="E2958" t="s">
        <v>29</v>
      </c>
      <c r="F2958">
        <v>417650</v>
      </c>
      <c r="G2958">
        <v>0</v>
      </c>
      <c r="H2958">
        <v>2</v>
      </c>
      <c r="I2958">
        <v>869</v>
      </c>
      <c r="J2958">
        <v>1958</v>
      </c>
      <c r="K2958" s="4">
        <v>44981</v>
      </c>
      <c r="L2958" t="s">
        <v>20</v>
      </c>
      <c r="M2958" t="s">
        <v>54</v>
      </c>
      <c r="N2958">
        <v>2.11</v>
      </c>
      <c r="O2958">
        <v>1785</v>
      </c>
      <c r="P2958">
        <v>2.2999999999999998</v>
      </c>
      <c r="Q2958">
        <v>63</v>
      </c>
      <c r="R2958">
        <v>645</v>
      </c>
    </row>
    <row r="2959" spans="1:18" x14ac:dyDescent="0.2">
      <c r="A2959">
        <v>9</v>
      </c>
      <c r="B2959" t="s">
        <v>96</v>
      </c>
      <c r="E2959" t="s">
        <v>51</v>
      </c>
      <c r="F2959">
        <v>2280575</v>
      </c>
      <c r="G2959">
        <v>4</v>
      </c>
      <c r="H2959">
        <v>3</v>
      </c>
      <c r="I2959">
        <v>930</v>
      </c>
      <c r="J2959">
        <v>1955</v>
      </c>
      <c r="K2959" s="4">
        <v>44999</v>
      </c>
      <c r="L2959" t="s">
        <v>23</v>
      </c>
      <c r="M2959" t="s">
        <v>24</v>
      </c>
      <c r="N2959">
        <v>3.12</v>
      </c>
      <c r="O2959">
        <v>1433</v>
      </c>
      <c r="P2959">
        <v>2.35</v>
      </c>
      <c r="Q2959">
        <v>293</v>
      </c>
      <c r="R2959">
        <v>368</v>
      </c>
    </row>
    <row r="2960" spans="1:18" x14ac:dyDescent="0.2">
      <c r="A2960">
        <v>2</v>
      </c>
      <c r="B2960" t="s">
        <v>83</v>
      </c>
      <c r="E2960" t="s">
        <v>51</v>
      </c>
      <c r="F2960">
        <v>1284925</v>
      </c>
      <c r="G2960">
        <v>1</v>
      </c>
      <c r="H2960">
        <v>3</v>
      </c>
      <c r="I2960">
        <v>886</v>
      </c>
      <c r="J2960">
        <v>1956</v>
      </c>
      <c r="K2960" s="4">
        <v>44520</v>
      </c>
      <c r="L2960" t="s">
        <v>23</v>
      </c>
      <c r="M2960" t="s">
        <v>85</v>
      </c>
      <c r="N2960">
        <v>1.64</v>
      </c>
      <c r="O2960">
        <v>2051</v>
      </c>
      <c r="P2960">
        <v>0.87</v>
      </c>
      <c r="Q2960">
        <v>43</v>
      </c>
      <c r="R2960">
        <v>561</v>
      </c>
    </row>
    <row r="2961" spans="1:18" x14ac:dyDescent="0.2">
      <c r="A2961">
        <v>2</v>
      </c>
      <c r="B2961" t="s">
        <v>94</v>
      </c>
      <c r="E2961" t="s">
        <v>19</v>
      </c>
      <c r="F2961">
        <v>567058</v>
      </c>
      <c r="G2961">
        <v>4</v>
      </c>
      <c r="H2961">
        <v>2</v>
      </c>
      <c r="I2961">
        <v>547</v>
      </c>
      <c r="J2961">
        <v>2026</v>
      </c>
      <c r="K2961" s="4">
        <v>45759</v>
      </c>
      <c r="L2961" t="s">
        <v>23</v>
      </c>
      <c r="M2961" t="s">
        <v>33</v>
      </c>
      <c r="N2961">
        <v>2.33</v>
      </c>
      <c r="O2961">
        <v>1524</v>
      </c>
      <c r="P2961">
        <v>1.4</v>
      </c>
      <c r="Q2961">
        <v>211</v>
      </c>
      <c r="R2961">
        <v>551</v>
      </c>
    </row>
    <row r="2962" spans="1:18" x14ac:dyDescent="0.2">
      <c r="A2962">
        <v>5</v>
      </c>
      <c r="B2962" t="s">
        <v>48</v>
      </c>
      <c r="E2962" t="s">
        <v>29</v>
      </c>
      <c r="F2962">
        <v>418871</v>
      </c>
      <c r="G2962">
        <v>4</v>
      </c>
      <c r="H2962">
        <v>3</v>
      </c>
      <c r="I2962">
        <v>186</v>
      </c>
      <c r="J2962">
        <v>2007</v>
      </c>
      <c r="K2962" s="4">
        <v>45224</v>
      </c>
      <c r="L2962" t="s">
        <v>30</v>
      </c>
      <c r="M2962" t="s">
        <v>85</v>
      </c>
      <c r="N2962">
        <v>2.84</v>
      </c>
      <c r="O2962">
        <v>2399</v>
      </c>
      <c r="P2962">
        <v>3.08</v>
      </c>
      <c r="Q2962">
        <v>250</v>
      </c>
      <c r="R2962">
        <v>370</v>
      </c>
    </row>
    <row r="2963" spans="1:18" x14ac:dyDescent="0.2">
      <c r="A2963">
        <v>4</v>
      </c>
      <c r="B2963" t="s">
        <v>55</v>
      </c>
      <c r="E2963" t="s">
        <v>36</v>
      </c>
      <c r="F2963">
        <v>2238698</v>
      </c>
      <c r="G2963">
        <v>6</v>
      </c>
      <c r="H2963">
        <v>2</v>
      </c>
      <c r="I2963">
        <v>700</v>
      </c>
      <c r="J2963">
        <v>1991</v>
      </c>
      <c r="K2963" s="4">
        <v>44746</v>
      </c>
      <c r="L2963" t="s">
        <v>30</v>
      </c>
      <c r="M2963" t="s">
        <v>52</v>
      </c>
      <c r="N2963">
        <v>1.98</v>
      </c>
      <c r="O2963">
        <v>1667</v>
      </c>
      <c r="P2963">
        <v>1.56</v>
      </c>
      <c r="Q2963">
        <v>373</v>
      </c>
      <c r="R2963">
        <v>640</v>
      </c>
    </row>
    <row r="2964" spans="1:18" x14ac:dyDescent="0.2">
      <c r="A2964">
        <v>5</v>
      </c>
      <c r="B2964" t="s">
        <v>65</v>
      </c>
      <c r="E2964" t="s">
        <v>19</v>
      </c>
      <c r="F2964">
        <v>873994</v>
      </c>
      <c r="G2964">
        <v>4</v>
      </c>
      <c r="H2964">
        <v>3</v>
      </c>
      <c r="I2964">
        <v>783</v>
      </c>
      <c r="J2964">
        <v>1992</v>
      </c>
      <c r="K2964" s="4">
        <v>44860</v>
      </c>
      <c r="L2964" t="s">
        <v>30</v>
      </c>
      <c r="M2964" t="s">
        <v>12</v>
      </c>
      <c r="N2964">
        <v>3.29</v>
      </c>
      <c r="O2964">
        <v>1571</v>
      </c>
      <c r="P2964">
        <v>4.13</v>
      </c>
      <c r="Q2964">
        <v>239</v>
      </c>
      <c r="R2964">
        <v>672</v>
      </c>
    </row>
    <row r="2965" spans="1:18" x14ac:dyDescent="0.2">
      <c r="A2965">
        <v>4</v>
      </c>
      <c r="B2965" t="s">
        <v>83</v>
      </c>
      <c r="E2965" t="s">
        <v>19</v>
      </c>
      <c r="F2965">
        <v>2825173</v>
      </c>
      <c r="G2965">
        <v>0</v>
      </c>
      <c r="H2965">
        <v>3</v>
      </c>
      <c r="I2965">
        <v>158</v>
      </c>
      <c r="J2965">
        <v>1979</v>
      </c>
      <c r="K2965" s="4">
        <v>45699</v>
      </c>
      <c r="L2965" t="s">
        <v>23</v>
      </c>
      <c r="M2965" t="s">
        <v>74</v>
      </c>
      <c r="N2965">
        <v>2.73</v>
      </c>
      <c r="O2965">
        <v>1570</v>
      </c>
      <c r="P2965">
        <v>2.61</v>
      </c>
      <c r="Q2965">
        <v>49</v>
      </c>
      <c r="R2965">
        <v>312</v>
      </c>
    </row>
    <row r="2966" spans="1:18" x14ac:dyDescent="0.2">
      <c r="A2966">
        <v>1</v>
      </c>
      <c r="B2966" t="s">
        <v>102</v>
      </c>
      <c r="E2966" t="s">
        <v>29</v>
      </c>
      <c r="F2966">
        <v>2336427</v>
      </c>
      <c r="G2966">
        <v>4</v>
      </c>
      <c r="H2966">
        <v>1</v>
      </c>
      <c r="I2966">
        <v>59</v>
      </c>
      <c r="J2966">
        <v>1999</v>
      </c>
      <c r="K2966" s="4">
        <v>45596</v>
      </c>
      <c r="L2966" t="s">
        <v>23</v>
      </c>
      <c r="M2966" t="s">
        <v>89</v>
      </c>
      <c r="N2966">
        <v>2.41</v>
      </c>
      <c r="O2966">
        <v>922</v>
      </c>
      <c r="P2966">
        <v>4.8499999999999996</v>
      </c>
      <c r="Q2966">
        <v>215</v>
      </c>
      <c r="R2966">
        <v>488</v>
      </c>
    </row>
    <row r="2967" spans="1:18" x14ac:dyDescent="0.2">
      <c r="A2967">
        <v>9</v>
      </c>
      <c r="B2967" t="s">
        <v>34</v>
      </c>
      <c r="E2967" t="s">
        <v>19</v>
      </c>
      <c r="F2967">
        <v>798407</v>
      </c>
      <c r="G2967">
        <v>5</v>
      </c>
      <c r="H2967">
        <v>1</v>
      </c>
      <c r="I2967">
        <v>736</v>
      </c>
      <c r="J2967">
        <v>1990</v>
      </c>
      <c r="K2967" s="4">
        <v>44277</v>
      </c>
      <c r="L2967" t="s">
        <v>23</v>
      </c>
      <c r="M2967" t="s">
        <v>21</v>
      </c>
      <c r="N2967">
        <v>1.9</v>
      </c>
      <c r="O2967">
        <v>1542</v>
      </c>
      <c r="P2967">
        <v>1.33</v>
      </c>
      <c r="Q2967">
        <v>341</v>
      </c>
      <c r="R2967">
        <v>364</v>
      </c>
    </row>
    <row r="2968" spans="1:18" x14ac:dyDescent="0.2">
      <c r="A2968">
        <v>5</v>
      </c>
      <c r="B2968" t="s">
        <v>67</v>
      </c>
      <c r="E2968" t="s">
        <v>51</v>
      </c>
      <c r="F2968">
        <v>2163348</v>
      </c>
      <c r="G2968">
        <v>2</v>
      </c>
      <c r="H2968">
        <v>3</v>
      </c>
      <c r="I2968">
        <v>761</v>
      </c>
      <c r="J2968">
        <v>1995</v>
      </c>
      <c r="K2968" s="4">
        <v>45247</v>
      </c>
      <c r="L2968" t="s">
        <v>26</v>
      </c>
      <c r="M2968" t="s">
        <v>66</v>
      </c>
      <c r="N2968">
        <v>1.97</v>
      </c>
      <c r="O2968">
        <v>1519</v>
      </c>
      <c r="P2968">
        <v>2.86</v>
      </c>
      <c r="Q2968">
        <v>216</v>
      </c>
      <c r="R2968">
        <v>641</v>
      </c>
    </row>
    <row r="2969" spans="1:18" x14ac:dyDescent="0.2">
      <c r="A2969">
        <v>5</v>
      </c>
      <c r="B2969" t="s">
        <v>94</v>
      </c>
      <c r="E2969" t="s">
        <v>36</v>
      </c>
      <c r="F2969">
        <v>1502974</v>
      </c>
      <c r="G2969">
        <v>3</v>
      </c>
      <c r="H2969">
        <v>2</v>
      </c>
      <c r="I2969">
        <v>801</v>
      </c>
      <c r="J2969">
        <v>1995</v>
      </c>
      <c r="K2969" s="4">
        <v>45755</v>
      </c>
      <c r="L2969" t="s">
        <v>20</v>
      </c>
      <c r="M2969" t="s">
        <v>47</v>
      </c>
      <c r="N2969">
        <v>2.98</v>
      </c>
      <c r="O2969">
        <v>891</v>
      </c>
      <c r="P2969">
        <v>4.46</v>
      </c>
      <c r="Q2969">
        <v>124</v>
      </c>
      <c r="R2969">
        <v>410</v>
      </c>
    </row>
    <row r="2970" spans="1:18" x14ac:dyDescent="0.2">
      <c r="A2970">
        <v>8</v>
      </c>
      <c r="B2970" t="s">
        <v>41</v>
      </c>
      <c r="E2970" t="s">
        <v>36</v>
      </c>
      <c r="F2970">
        <v>1415642</v>
      </c>
      <c r="G2970">
        <v>6</v>
      </c>
      <c r="H2970">
        <v>1</v>
      </c>
      <c r="I2970">
        <v>710</v>
      </c>
      <c r="J2970">
        <v>2014</v>
      </c>
      <c r="K2970" s="4">
        <v>44862</v>
      </c>
      <c r="L2970" t="s">
        <v>30</v>
      </c>
      <c r="M2970" t="s">
        <v>69</v>
      </c>
      <c r="N2970">
        <v>2.2999999999999998</v>
      </c>
      <c r="O2970">
        <v>1385</v>
      </c>
      <c r="P2970">
        <v>2.1</v>
      </c>
      <c r="Q2970">
        <v>387</v>
      </c>
      <c r="R2970">
        <v>371</v>
      </c>
    </row>
    <row r="2971" spans="1:18" x14ac:dyDescent="0.2">
      <c r="A2971">
        <v>0</v>
      </c>
      <c r="B2971" t="s">
        <v>65</v>
      </c>
      <c r="E2971" t="s">
        <v>19</v>
      </c>
      <c r="F2971">
        <v>2033513</v>
      </c>
      <c r="G2971">
        <v>2</v>
      </c>
      <c r="H2971">
        <v>1</v>
      </c>
      <c r="I2971">
        <v>528</v>
      </c>
      <c r="J2971">
        <v>2007</v>
      </c>
      <c r="K2971" s="4">
        <v>44132</v>
      </c>
      <c r="L2971" t="s">
        <v>26</v>
      </c>
      <c r="M2971" t="s">
        <v>68</v>
      </c>
      <c r="N2971">
        <v>3.38</v>
      </c>
      <c r="O2971">
        <v>2149</v>
      </c>
      <c r="P2971">
        <v>0.12</v>
      </c>
      <c r="Q2971">
        <v>177</v>
      </c>
      <c r="R2971">
        <v>568</v>
      </c>
    </row>
    <row r="2972" spans="1:18" x14ac:dyDescent="0.2">
      <c r="A2972">
        <v>3</v>
      </c>
      <c r="B2972" t="s">
        <v>44</v>
      </c>
      <c r="E2972" t="s">
        <v>51</v>
      </c>
      <c r="F2972">
        <v>2912543</v>
      </c>
      <c r="G2972">
        <v>4</v>
      </c>
      <c r="H2972">
        <v>3</v>
      </c>
      <c r="I2972">
        <v>577</v>
      </c>
      <c r="J2972">
        <v>1953</v>
      </c>
      <c r="K2972" s="4">
        <v>45364</v>
      </c>
      <c r="L2972" t="s">
        <v>30</v>
      </c>
      <c r="M2972" t="s">
        <v>58</v>
      </c>
      <c r="N2972">
        <v>1.52</v>
      </c>
      <c r="O2972">
        <v>1907</v>
      </c>
      <c r="P2972">
        <v>3.39</v>
      </c>
      <c r="Q2972">
        <v>277</v>
      </c>
      <c r="R2972">
        <v>349</v>
      </c>
    </row>
    <row r="2973" spans="1:18" x14ac:dyDescent="0.2">
      <c r="A2973">
        <v>8</v>
      </c>
      <c r="B2973" t="s">
        <v>105</v>
      </c>
      <c r="E2973" t="s">
        <v>51</v>
      </c>
      <c r="F2973">
        <v>1079105</v>
      </c>
      <c r="G2973">
        <v>3</v>
      </c>
      <c r="H2973">
        <v>1</v>
      </c>
      <c r="I2973">
        <v>228</v>
      </c>
      <c r="J2973">
        <v>2009</v>
      </c>
      <c r="K2973" s="4">
        <v>44759</v>
      </c>
      <c r="L2973" t="s">
        <v>23</v>
      </c>
      <c r="M2973" t="s">
        <v>24</v>
      </c>
      <c r="N2973">
        <v>1.77</v>
      </c>
      <c r="O2973">
        <v>2389</v>
      </c>
      <c r="P2973">
        <v>0.37</v>
      </c>
      <c r="Q2973">
        <v>234</v>
      </c>
      <c r="R2973">
        <v>317</v>
      </c>
    </row>
    <row r="2974" spans="1:18" x14ac:dyDescent="0.2">
      <c r="A2974">
        <v>8</v>
      </c>
      <c r="B2974" t="s">
        <v>106</v>
      </c>
      <c r="E2974" t="s">
        <v>29</v>
      </c>
      <c r="F2974">
        <v>1793484</v>
      </c>
      <c r="G2974">
        <v>2</v>
      </c>
      <c r="H2974">
        <v>2</v>
      </c>
      <c r="I2974">
        <v>485</v>
      </c>
      <c r="J2974">
        <v>2005</v>
      </c>
      <c r="K2974" s="4">
        <v>45793</v>
      </c>
      <c r="L2974" t="s">
        <v>30</v>
      </c>
      <c r="M2974" t="s">
        <v>45</v>
      </c>
      <c r="N2974">
        <v>3.45</v>
      </c>
      <c r="O2974">
        <v>2252</v>
      </c>
      <c r="P2974">
        <v>2.9</v>
      </c>
      <c r="Q2974">
        <v>133</v>
      </c>
      <c r="R2974">
        <v>615</v>
      </c>
    </row>
    <row r="2975" spans="1:18" x14ac:dyDescent="0.2">
      <c r="A2975">
        <v>8</v>
      </c>
      <c r="B2975" t="s">
        <v>22</v>
      </c>
      <c r="E2975" t="s">
        <v>36</v>
      </c>
      <c r="F2975">
        <v>553402</v>
      </c>
      <c r="G2975">
        <v>5</v>
      </c>
      <c r="H2975">
        <v>2</v>
      </c>
      <c r="I2975">
        <v>618</v>
      </c>
      <c r="J2975">
        <v>1980</v>
      </c>
      <c r="K2975" s="4">
        <v>44148</v>
      </c>
      <c r="L2975" t="s">
        <v>30</v>
      </c>
      <c r="M2975" t="s">
        <v>47</v>
      </c>
      <c r="N2975">
        <v>2.02</v>
      </c>
      <c r="O2975">
        <v>1652</v>
      </c>
      <c r="P2975">
        <v>4.38</v>
      </c>
      <c r="Q2975">
        <v>268</v>
      </c>
      <c r="R2975">
        <v>407</v>
      </c>
    </row>
    <row r="2976" spans="1:18" x14ac:dyDescent="0.2">
      <c r="A2976">
        <v>2</v>
      </c>
      <c r="B2976" t="s">
        <v>73</v>
      </c>
      <c r="E2976" t="s">
        <v>29</v>
      </c>
      <c r="F2976">
        <v>2790132</v>
      </c>
      <c r="G2976">
        <v>5</v>
      </c>
      <c r="H2976">
        <v>1</v>
      </c>
      <c r="I2976">
        <v>1000</v>
      </c>
      <c r="J2976">
        <v>1988</v>
      </c>
      <c r="K2976" s="4">
        <v>44611</v>
      </c>
      <c r="L2976" t="s">
        <v>20</v>
      </c>
      <c r="M2976" t="s">
        <v>21</v>
      </c>
      <c r="N2976">
        <v>1.53</v>
      </c>
      <c r="O2976">
        <v>1947</v>
      </c>
      <c r="P2976">
        <v>2.2599999999999998</v>
      </c>
      <c r="Q2976">
        <v>329</v>
      </c>
      <c r="R2976">
        <v>363</v>
      </c>
    </row>
    <row r="2977" spans="1:18" x14ac:dyDescent="0.2">
      <c r="A2977">
        <v>7</v>
      </c>
      <c r="B2977" t="s">
        <v>55</v>
      </c>
      <c r="E2977" t="s">
        <v>29</v>
      </c>
      <c r="F2977">
        <v>1268043</v>
      </c>
      <c r="G2977">
        <v>4</v>
      </c>
      <c r="H2977">
        <v>1</v>
      </c>
      <c r="I2977">
        <v>641</v>
      </c>
      <c r="J2977">
        <v>1988</v>
      </c>
      <c r="K2977" s="4">
        <v>45211</v>
      </c>
      <c r="L2977" t="s">
        <v>20</v>
      </c>
      <c r="M2977" t="s">
        <v>63</v>
      </c>
      <c r="N2977">
        <v>2.69</v>
      </c>
      <c r="O2977">
        <v>1471</v>
      </c>
      <c r="P2977">
        <v>2.4</v>
      </c>
      <c r="Q2977">
        <v>276</v>
      </c>
      <c r="R2977">
        <v>384</v>
      </c>
    </row>
    <row r="2978" spans="1:18" x14ac:dyDescent="0.2">
      <c r="A2978">
        <v>0</v>
      </c>
      <c r="B2978" t="s">
        <v>43</v>
      </c>
      <c r="E2978" t="s">
        <v>36</v>
      </c>
      <c r="F2978">
        <v>1997972</v>
      </c>
      <c r="G2978">
        <v>3</v>
      </c>
      <c r="H2978">
        <v>1</v>
      </c>
      <c r="I2978">
        <v>953</v>
      </c>
      <c r="J2978">
        <v>1955</v>
      </c>
      <c r="K2978" s="4">
        <v>44760</v>
      </c>
      <c r="L2978" t="s">
        <v>30</v>
      </c>
      <c r="M2978" t="s">
        <v>35</v>
      </c>
      <c r="N2978">
        <v>2.88</v>
      </c>
      <c r="O2978">
        <v>994</v>
      </c>
      <c r="P2978">
        <v>4.92</v>
      </c>
      <c r="Q2978">
        <v>315</v>
      </c>
      <c r="R2978">
        <v>497</v>
      </c>
    </row>
    <row r="2979" spans="1:18" x14ac:dyDescent="0.2">
      <c r="A2979">
        <v>7</v>
      </c>
      <c r="B2979" t="s">
        <v>105</v>
      </c>
      <c r="E2979" t="s">
        <v>19</v>
      </c>
      <c r="F2979">
        <v>488290</v>
      </c>
      <c r="G2979">
        <v>3</v>
      </c>
      <c r="H2979">
        <v>2</v>
      </c>
      <c r="I2979">
        <v>79</v>
      </c>
      <c r="J2979">
        <v>1977</v>
      </c>
      <c r="K2979" s="4">
        <v>44351</v>
      </c>
      <c r="L2979" t="s">
        <v>20</v>
      </c>
      <c r="M2979" t="s">
        <v>63</v>
      </c>
      <c r="N2979">
        <v>2.84</v>
      </c>
      <c r="O2979">
        <v>2433</v>
      </c>
      <c r="P2979">
        <v>3.59</v>
      </c>
      <c r="Q2979">
        <v>213</v>
      </c>
      <c r="R2979">
        <v>408</v>
      </c>
    </row>
    <row r="2980" spans="1:18" x14ac:dyDescent="0.2">
      <c r="A2980">
        <v>0</v>
      </c>
      <c r="B2980" t="s">
        <v>28</v>
      </c>
      <c r="E2980" t="s">
        <v>29</v>
      </c>
      <c r="F2980">
        <v>2035581</v>
      </c>
      <c r="G2980">
        <v>3</v>
      </c>
      <c r="H2980">
        <v>1</v>
      </c>
      <c r="I2980">
        <v>983</v>
      </c>
      <c r="J2980">
        <v>1972</v>
      </c>
      <c r="K2980" s="4">
        <v>45544</v>
      </c>
      <c r="L2980" t="s">
        <v>30</v>
      </c>
      <c r="M2980" t="s">
        <v>31</v>
      </c>
      <c r="N2980">
        <v>2.65</v>
      </c>
      <c r="O2980">
        <v>1177</v>
      </c>
      <c r="P2980">
        <v>1.63</v>
      </c>
      <c r="Q2980">
        <v>254</v>
      </c>
      <c r="R2980">
        <v>514</v>
      </c>
    </row>
    <row r="2981" spans="1:18" x14ac:dyDescent="0.2">
      <c r="A2981">
        <v>8</v>
      </c>
      <c r="B2981" t="s">
        <v>57</v>
      </c>
      <c r="E2981" t="s">
        <v>29</v>
      </c>
      <c r="F2981">
        <v>1753720</v>
      </c>
      <c r="G2981">
        <v>2</v>
      </c>
      <c r="H2981">
        <v>1</v>
      </c>
      <c r="I2981">
        <v>507</v>
      </c>
      <c r="J2981">
        <v>1973</v>
      </c>
      <c r="K2981" s="4">
        <v>45785</v>
      </c>
      <c r="L2981" t="s">
        <v>30</v>
      </c>
      <c r="M2981" t="s">
        <v>74</v>
      </c>
      <c r="N2981">
        <v>2.19</v>
      </c>
      <c r="O2981">
        <v>2257</v>
      </c>
      <c r="P2981">
        <v>0.75</v>
      </c>
      <c r="Q2981">
        <v>187</v>
      </c>
      <c r="R2981">
        <v>302</v>
      </c>
    </row>
    <row r="2982" spans="1:18" x14ac:dyDescent="0.2">
      <c r="A2982">
        <v>7</v>
      </c>
      <c r="B2982" t="s">
        <v>49</v>
      </c>
      <c r="E2982" t="s">
        <v>36</v>
      </c>
      <c r="F2982">
        <v>970784</v>
      </c>
      <c r="G2982">
        <v>3</v>
      </c>
      <c r="H2982">
        <v>1</v>
      </c>
      <c r="I2982">
        <v>224</v>
      </c>
      <c r="J2982">
        <v>1994</v>
      </c>
      <c r="K2982" s="4">
        <v>45773</v>
      </c>
      <c r="L2982" t="s">
        <v>30</v>
      </c>
      <c r="M2982" t="s">
        <v>56</v>
      </c>
      <c r="N2982">
        <v>2.2999999999999998</v>
      </c>
      <c r="O2982">
        <v>1328</v>
      </c>
      <c r="P2982">
        <v>0.51</v>
      </c>
      <c r="Q2982">
        <v>211</v>
      </c>
      <c r="R2982">
        <v>401</v>
      </c>
    </row>
    <row r="2983" spans="1:18" x14ac:dyDescent="0.2">
      <c r="A2983">
        <v>1</v>
      </c>
      <c r="B2983" t="s">
        <v>105</v>
      </c>
      <c r="E2983" t="s">
        <v>51</v>
      </c>
      <c r="F2983">
        <v>2268796</v>
      </c>
      <c r="G2983">
        <v>2</v>
      </c>
      <c r="H2983">
        <v>1</v>
      </c>
      <c r="I2983">
        <v>96</v>
      </c>
      <c r="J2983">
        <v>1972</v>
      </c>
      <c r="K2983" s="4">
        <v>44333</v>
      </c>
      <c r="L2983" t="s">
        <v>30</v>
      </c>
      <c r="M2983" t="s">
        <v>24</v>
      </c>
      <c r="N2983">
        <v>3.3</v>
      </c>
      <c r="O2983">
        <v>1814</v>
      </c>
      <c r="P2983">
        <v>1.79</v>
      </c>
      <c r="Q2983">
        <v>111</v>
      </c>
      <c r="R2983">
        <v>466</v>
      </c>
    </row>
    <row r="2984" spans="1:18" x14ac:dyDescent="0.2">
      <c r="A2984">
        <v>0</v>
      </c>
      <c r="B2984" t="s">
        <v>81</v>
      </c>
      <c r="E2984" t="s">
        <v>36</v>
      </c>
      <c r="F2984">
        <v>2198996</v>
      </c>
      <c r="G2984">
        <v>5</v>
      </c>
      <c r="H2984">
        <v>1</v>
      </c>
      <c r="I2984">
        <v>482</v>
      </c>
      <c r="J2984">
        <v>2022</v>
      </c>
      <c r="K2984" s="4">
        <v>45766</v>
      </c>
      <c r="L2984" t="s">
        <v>20</v>
      </c>
      <c r="M2984" t="s">
        <v>33</v>
      </c>
      <c r="N2984">
        <v>2.9</v>
      </c>
      <c r="O2984">
        <v>2003</v>
      </c>
      <c r="P2984">
        <v>1.82</v>
      </c>
      <c r="Q2984">
        <v>266</v>
      </c>
      <c r="R2984">
        <v>585</v>
      </c>
    </row>
    <row r="2985" spans="1:18" x14ac:dyDescent="0.2">
      <c r="A2985">
        <v>7</v>
      </c>
      <c r="B2985" t="s">
        <v>57</v>
      </c>
      <c r="E2985" t="s">
        <v>19</v>
      </c>
      <c r="F2985">
        <v>2131518</v>
      </c>
      <c r="G2985">
        <v>4</v>
      </c>
      <c r="H2985">
        <v>1</v>
      </c>
      <c r="I2985">
        <v>992</v>
      </c>
      <c r="J2985">
        <v>2018</v>
      </c>
      <c r="K2985" s="4">
        <v>45680</v>
      </c>
      <c r="L2985" t="s">
        <v>23</v>
      </c>
      <c r="M2985" t="s">
        <v>82</v>
      </c>
      <c r="N2985">
        <v>2.14</v>
      </c>
      <c r="O2985">
        <v>1751</v>
      </c>
      <c r="P2985">
        <v>0.32</v>
      </c>
      <c r="Q2985">
        <v>173</v>
      </c>
      <c r="R2985">
        <v>485</v>
      </c>
    </row>
    <row r="2986" spans="1:18" x14ac:dyDescent="0.2">
      <c r="A2986">
        <v>3</v>
      </c>
      <c r="B2986" t="s">
        <v>99</v>
      </c>
      <c r="E2986" t="s">
        <v>29</v>
      </c>
      <c r="F2986">
        <v>2063984</v>
      </c>
      <c r="G2986">
        <v>1</v>
      </c>
      <c r="H2986">
        <v>2</v>
      </c>
      <c r="I2986">
        <v>574</v>
      </c>
      <c r="J2986">
        <v>2000</v>
      </c>
      <c r="K2986" s="4">
        <v>44879</v>
      </c>
      <c r="L2986" t="s">
        <v>23</v>
      </c>
      <c r="M2986" t="s">
        <v>42</v>
      </c>
      <c r="N2986">
        <v>3.04</v>
      </c>
      <c r="O2986">
        <v>2464</v>
      </c>
      <c r="P2986">
        <v>0.47</v>
      </c>
      <c r="Q2986">
        <v>154</v>
      </c>
      <c r="R2986">
        <v>466</v>
      </c>
    </row>
    <row r="2987" spans="1:18" x14ac:dyDescent="0.2">
      <c r="A2987">
        <v>7</v>
      </c>
      <c r="B2987" t="s">
        <v>80</v>
      </c>
      <c r="E2987" t="s">
        <v>19</v>
      </c>
      <c r="F2987">
        <v>1085488</v>
      </c>
      <c r="G2987">
        <v>4</v>
      </c>
      <c r="H2987">
        <v>2</v>
      </c>
      <c r="I2987">
        <v>241</v>
      </c>
      <c r="J2987">
        <v>1987</v>
      </c>
      <c r="K2987" s="4">
        <v>44076</v>
      </c>
      <c r="L2987" t="s">
        <v>26</v>
      </c>
      <c r="M2987" t="s">
        <v>54</v>
      </c>
      <c r="N2987">
        <v>2.87</v>
      </c>
      <c r="O2987">
        <v>1845</v>
      </c>
      <c r="P2987">
        <v>3.89</v>
      </c>
      <c r="Q2987">
        <v>369</v>
      </c>
      <c r="R2987">
        <v>552</v>
      </c>
    </row>
    <row r="2988" spans="1:18" x14ac:dyDescent="0.2">
      <c r="A2988">
        <v>6</v>
      </c>
      <c r="B2988" t="s">
        <v>104</v>
      </c>
      <c r="E2988" t="s">
        <v>51</v>
      </c>
      <c r="F2988">
        <v>1236186</v>
      </c>
      <c r="G2988">
        <v>1</v>
      </c>
      <c r="H2988">
        <v>2</v>
      </c>
      <c r="I2988">
        <v>855</v>
      </c>
      <c r="J2988">
        <v>2002</v>
      </c>
      <c r="K2988" s="4">
        <v>45345</v>
      </c>
      <c r="L2988" t="s">
        <v>26</v>
      </c>
      <c r="M2988" t="s">
        <v>74</v>
      </c>
      <c r="N2988">
        <v>2.8</v>
      </c>
      <c r="O2988">
        <v>1862</v>
      </c>
      <c r="P2988">
        <v>1.81</v>
      </c>
      <c r="Q2988">
        <v>93</v>
      </c>
      <c r="R2988">
        <v>433</v>
      </c>
    </row>
    <row r="2989" spans="1:18" x14ac:dyDescent="0.2">
      <c r="A2989">
        <v>0</v>
      </c>
      <c r="B2989" t="s">
        <v>91</v>
      </c>
      <c r="E2989" t="s">
        <v>29</v>
      </c>
      <c r="F2989">
        <v>965963</v>
      </c>
      <c r="G2989">
        <v>4</v>
      </c>
      <c r="H2989">
        <v>3</v>
      </c>
      <c r="I2989">
        <v>528</v>
      </c>
      <c r="J2989">
        <v>1965</v>
      </c>
      <c r="K2989" s="4">
        <v>44677</v>
      </c>
      <c r="L2989" t="s">
        <v>20</v>
      </c>
      <c r="M2989" t="s">
        <v>68</v>
      </c>
      <c r="N2989">
        <v>2.82</v>
      </c>
      <c r="O2989">
        <v>1958</v>
      </c>
      <c r="P2989">
        <v>1.35</v>
      </c>
      <c r="Q2989">
        <v>348</v>
      </c>
      <c r="R2989">
        <v>433</v>
      </c>
    </row>
    <row r="2990" spans="1:18" x14ac:dyDescent="0.2">
      <c r="A2990">
        <v>8</v>
      </c>
      <c r="B2990" t="s">
        <v>96</v>
      </c>
      <c r="E2990" t="s">
        <v>29</v>
      </c>
      <c r="F2990">
        <v>902610</v>
      </c>
      <c r="G2990">
        <v>1</v>
      </c>
      <c r="H2990">
        <v>2</v>
      </c>
      <c r="I2990">
        <v>656</v>
      </c>
      <c r="J2990">
        <v>1992</v>
      </c>
      <c r="K2990" s="4">
        <v>44326</v>
      </c>
      <c r="L2990" t="s">
        <v>30</v>
      </c>
      <c r="M2990" t="s">
        <v>66</v>
      </c>
      <c r="N2990">
        <v>2.86</v>
      </c>
      <c r="O2990">
        <v>1079</v>
      </c>
      <c r="P2990">
        <v>3.02</v>
      </c>
      <c r="Q2990">
        <v>149</v>
      </c>
      <c r="R2990">
        <v>696</v>
      </c>
    </row>
    <row r="2991" spans="1:18" x14ac:dyDescent="0.2">
      <c r="A2991">
        <v>6</v>
      </c>
      <c r="B2991" t="s">
        <v>62</v>
      </c>
      <c r="E2991" t="s">
        <v>51</v>
      </c>
      <c r="F2991">
        <v>2832726</v>
      </c>
      <c r="G2991">
        <v>5</v>
      </c>
      <c r="H2991">
        <v>2</v>
      </c>
      <c r="I2991">
        <v>860</v>
      </c>
      <c r="J2991">
        <v>2015</v>
      </c>
      <c r="K2991" s="4">
        <v>45768</v>
      </c>
      <c r="L2991" t="s">
        <v>20</v>
      </c>
      <c r="M2991" t="s">
        <v>78</v>
      </c>
      <c r="N2991">
        <v>2.87</v>
      </c>
      <c r="O2991">
        <v>1693</v>
      </c>
      <c r="P2991">
        <v>3.96</v>
      </c>
      <c r="Q2991">
        <v>328</v>
      </c>
      <c r="R2991">
        <v>693</v>
      </c>
    </row>
    <row r="2992" spans="1:18" x14ac:dyDescent="0.2">
      <c r="A2992">
        <v>6</v>
      </c>
      <c r="B2992" t="s">
        <v>43</v>
      </c>
      <c r="E2992" t="s">
        <v>29</v>
      </c>
      <c r="F2992">
        <v>1249071</v>
      </c>
      <c r="G2992">
        <v>4</v>
      </c>
      <c r="H2992">
        <v>3</v>
      </c>
      <c r="I2992">
        <v>824</v>
      </c>
      <c r="J2992">
        <v>1952</v>
      </c>
      <c r="K2992" s="4">
        <v>45823</v>
      </c>
      <c r="L2992" t="s">
        <v>26</v>
      </c>
      <c r="M2992" t="s">
        <v>59</v>
      </c>
      <c r="N2992">
        <v>2.23</v>
      </c>
      <c r="O2992">
        <v>1912</v>
      </c>
      <c r="P2992">
        <v>4.54</v>
      </c>
      <c r="Q2992">
        <v>171</v>
      </c>
      <c r="R2992">
        <v>577</v>
      </c>
    </row>
    <row r="2993" spans="1:18" x14ac:dyDescent="0.2">
      <c r="A2993">
        <v>8</v>
      </c>
      <c r="B2993" t="s">
        <v>101</v>
      </c>
      <c r="E2993" t="s">
        <v>51</v>
      </c>
      <c r="F2993">
        <v>1211415</v>
      </c>
      <c r="G2993">
        <v>5</v>
      </c>
      <c r="H2993">
        <v>1</v>
      </c>
      <c r="I2993">
        <v>411</v>
      </c>
      <c r="J2993">
        <v>1980</v>
      </c>
      <c r="K2993" s="4">
        <v>44231</v>
      </c>
      <c r="L2993" t="s">
        <v>26</v>
      </c>
      <c r="M2993" t="s">
        <v>85</v>
      </c>
      <c r="N2993">
        <v>1.68</v>
      </c>
      <c r="O2993">
        <v>1903</v>
      </c>
      <c r="P2993">
        <v>2.81</v>
      </c>
      <c r="Q2993">
        <v>353</v>
      </c>
      <c r="R2993">
        <v>585</v>
      </c>
    </row>
    <row r="2994" spans="1:18" x14ac:dyDescent="0.2">
      <c r="A2994">
        <v>8</v>
      </c>
      <c r="B2994" t="s">
        <v>61</v>
      </c>
      <c r="E2994" t="s">
        <v>19</v>
      </c>
      <c r="F2994">
        <v>666648</v>
      </c>
      <c r="G2994">
        <v>5</v>
      </c>
      <c r="H2994">
        <v>3</v>
      </c>
      <c r="I2994">
        <v>951</v>
      </c>
      <c r="J2994">
        <v>1989</v>
      </c>
      <c r="K2994" s="4">
        <v>45409</v>
      </c>
      <c r="L2994" t="s">
        <v>26</v>
      </c>
      <c r="M2994" t="s">
        <v>58</v>
      </c>
      <c r="N2994">
        <v>1.68</v>
      </c>
      <c r="O2994">
        <v>1350</v>
      </c>
      <c r="P2994">
        <v>0.28000000000000003</v>
      </c>
      <c r="Q2994">
        <v>372</v>
      </c>
      <c r="R2994">
        <v>459</v>
      </c>
    </row>
    <row r="2995" spans="1:18" x14ac:dyDescent="0.2">
      <c r="A2995">
        <v>0</v>
      </c>
      <c r="B2995" t="s">
        <v>88</v>
      </c>
      <c r="E2995" t="s">
        <v>51</v>
      </c>
      <c r="F2995">
        <v>1411410</v>
      </c>
      <c r="G2995">
        <v>2</v>
      </c>
      <c r="H2995">
        <v>3</v>
      </c>
      <c r="I2995">
        <v>531</v>
      </c>
      <c r="J2995">
        <v>2011</v>
      </c>
      <c r="K2995" s="4">
        <v>45069</v>
      </c>
      <c r="L2995" t="s">
        <v>20</v>
      </c>
      <c r="M2995" t="s">
        <v>35</v>
      </c>
      <c r="N2995">
        <v>1.61</v>
      </c>
      <c r="O2995">
        <v>2207</v>
      </c>
      <c r="P2995">
        <v>3.16</v>
      </c>
      <c r="Q2995">
        <v>196</v>
      </c>
      <c r="R2995">
        <v>668</v>
      </c>
    </row>
    <row r="2996" spans="1:18" x14ac:dyDescent="0.2">
      <c r="A2996">
        <v>6</v>
      </c>
      <c r="B2996" t="s">
        <v>91</v>
      </c>
      <c r="E2996" t="s">
        <v>29</v>
      </c>
      <c r="F2996">
        <v>1749370</v>
      </c>
      <c r="G2996">
        <v>6</v>
      </c>
      <c r="H2996">
        <v>2</v>
      </c>
      <c r="I2996">
        <v>100</v>
      </c>
      <c r="J2996">
        <v>2006</v>
      </c>
      <c r="K2996" s="4">
        <v>45635</v>
      </c>
      <c r="L2996" t="s">
        <v>23</v>
      </c>
      <c r="M2996" t="s">
        <v>47</v>
      </c>
      <c r="N2996">
        <v>3.48</v>
      </c>
      <c r="O2996">
        <v>1720</v>
      </c>
      <c r="P2996">
        <v>0.37</v>
      </c>
      <c r="Q2996">
        <v>363</v>
      </c>
      <c r="R2996">
        <v>696</v>
      </c>
    </row>
    <row r="2997" spans="1:18" x14ac:dyDescent="0.2">
      <c r="A2997">
        <v>9</v>
      </c>
      <c r="B2997" t="s">
        <v>91</v>
      </c>
      <c r="E2997" t="s">
        <v>19</v>
      </c>
      <c r="F2997">
        <v>1459974</v>
      </c>
      <c r="G2997">
        <v>4</v>
      </c>
      <c r="H2997">
        <v>1</v>
      </c>
      <c r="I2997">
        <v>94</v>
      </c>
      <c r="J2997">
        <v>2004</v>
      </c>
      <c r="K2997" s="4">
        <v>44614</v>
      </c>
      <c r="L2997" t="s">
        <v>26</v>
      </c>
      <c r="M2997" t="s">
        <v>63</v>
      </c>
      <c r="N2997">
        <v>2.0099999999999998</v>
      </c>
      <c r="O2997">
        <v>1414</v>
      </c>
      <c r="P2997">
        <v>1.1399999999999999</v>
      </c>
      <c r="Q2997">
        <v>304</v>
      </c>
      <c r="R2997">
        <v>568</v>
      </c>
    </row>
    <row r="2998" spans="1:18" x14ac:dyDescent="0.2">
      <c r="A2998">
        <v>2</v>
      </c>
      <c r="B2998" t="s">
        <v>79</v>
      </c>
      <c r="E2998" t="s">
        <v>51</v>
      </c>
      <c r="F2998">
        <v>1506636</v>
      </c>
      <c r="G2998">
        <v>4</v>
      </c>
      <c r="H2998">
        <v>1</v>
      </c>
      <c r="I2998">
        <v>177</v>
      </c>
      <c r="J2998">
        <v>2009</v>
      </c>
      <c r="K2998" s="4">
        <v>45257</v>
      </c>
      <c r="L2998" t="s">
        <v>20</v>
      </c>
      <c r="M2998" t="s">
        <v>40</v>
      </c>
      <c r="N2998">
        <v>2.5299999999999998</v>
      </c>
      <c r="O2998">
        <v>2059</v>
      </c>
      <c r="P2998">
        <v>0.69</v>
      </c>
      <c r="Q2998">
        <v>338</v>
      </c>
      <c r="R2998">
        <v>459</v>
      </c>
    </row>
    <row r="2999" spans="1:18" x14ac:dyDescent="0.2">
      <c r="A2999">
        <v>7</v>
      </c>
      <c r="B2999" t="s">
        <v>90</v>
      </c>
      <c r="E2999" t="s">
        <v>19</v>
      </c>
      <c r="F2999">
        <v>524670</v>
      </c>
      <c r="G2999">
        <v>0</v>
      </c>
      <c r="H2999">
        <v>2</v>
      </c>
      <c r="I2999">
        <v>338</v>
      </c>
      <c r="J2999">
        <v>1966</v>
      </c>
      <c r="K2999" s="4">
        <v>45463</v>
      </c>
      <c r="L2999" t="s">
        <v>23</v>
      </c>
      <c r="M2999" t="s">
        <v>42</v>
      </c>
      <c r="N2999">
        <v>1.74</v>
      </c>
      <c r="O2999">
        <v>2449</v>
      </c>
      <c r="P2999">
        <v>2.92</v>
      </c>
      <c r="Q2999">
        <v>61</v>
      </c>
      <c r="R2999">
        <v>405</v>
      </c>
    </row>
    <row r="3000" spans="1:18" x14ac:dyDescent="0.2">
      <c r="A3000">
        <v>2</v>
      </c>
      <c r="B3000" t="s">
        <v>83</v>
      </c>
      <c r="E3000" t="s">
        <v>51</v>
      </c>
      <c r="F3000">
        <v>1711008</v>
      </c>
      <c r="G3000">
        <v>5</v>
      </c>
      <c r="H3000">
        <v>1</v>
      </c>
      <c r="I3000">
        <v>606</v>
      </c>
      <c r="J3000">
        <v>1988</v>
      </c>
      <c r="K3000" s="4">
        <v>45506</v>
      </c>
      <c r="L3000" t="s">
        <v>30</v>
      </c>
      <c r="M3000" t="s">
        <v>52</v>
      </c>
      <c r="N3000">
        <v>2.89</v>
      </c>
      <c r="O3000">
        <v>997</v>
      </c>
      <c r="P3000">
        <v>2.65</v>
      </c>
      <c r="Q3000">
        <v>316</v>
      </c>
      <c r="R3000">
        <v>509</v>
      </c>
    </row>
    <row r="3001" spans="1:18" x14ac:dyDescent="0.2">
      <c r="A3001">
        <v>0</v>
      </c>
      <c r="B3001" t="s">
        <v>98</v>
      </c>
      <c r="E3001" t="s">
        <v>51</v>
      </c>
      <c r="F3001">
        <v>849482</v>
      </c>
      <c r="G3001">
        <v>1</v>
      </c>
      <c r="H3001">
        <v>1</v>
      </c>
      <c r="I3001">
        <v>651</v>
      </c>
      <c r="J3001">
        <v>2008</v>
      </c>
      <c r="K3001" s="4">
        <v>45793</v>
      </c>
      <c r="L3001" t="s">
        <v>20</v>
      </c>
      <c r="M3001" t="s">
        <v>66</v>
      </c>
      <c r="N3001">
        <v>2.75</v>
      </c>
      <c r="O3001">
        <v>1035</v>
      </c>
      <c r="P3001">
        <v>2.81</v>
      </c>
      <c r="Q3001">
        <v>147</v>
      </c>
      <c r="R3001">
        <v>692</v>
      </c>
    </row>
  </sheetData>
  <autoFilter ref="A1:R300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27C16-C477-FF4A-B548-8C2998096110}">
  <sheetPr filterMode="1">
    <tabColor theme="6" tint="0.39997558519241921"/>
  </sheetPr>
  <dimension ref="A1:R2996"/>
  <sheetViews>
    <sheetView workbookViewId="0">
      <pane xSplit="6" ySplit="1" topLeftCell="G33" activePane="bottomRight" state="frozen"/>
      <selection pane="topRight" activeCell="G1" sqref="G1"/>
      <selection pane="bottomLeft" activeCell="A2" sqref="A2"/>
      <selection pane="bottomRight" activeCell="A2799" sqref="A2799:XFD2799"/>
    </sheetView>
  </sheetViews>
  <sheetFormatPr baseColWidth="10" defaultColWidth="8.83203125" defaultRowHeight="15" x14ac:dyDescent="0.2"/>
  <cols>
    <col min="1" max="1" width="6.6640625" bestFit="1" customWidth="1"/>
    <col min="2" max="2" width="11.6640625" bestFit="1" customWidth="1"/>
    <col min="3" max="4" width="13.1640625" bestFit="1" customWidth="1"/>
    <col min="5" max="5" width="12.83203125" bestFit="1" customWidth="1"/>
    <col min="6" max="6" width="8" bestFit="1" customWidth="1"/>
    <col min="7" max="18" width="14.1640625" customWidth="1"/>
  </cols>
  <sheetData>
    <row r="1" spans="1:18" s="3" customFormat="1" ht="47.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hidden="1" x14ac:dyDescent="0.2">
      <c r="A2">
        <v>5</v>
      </c>
      <c r="B2" t="s">
        <v>100</v>
      </c>
      <c r="E2" t="s">
        <v>19</v>
      </c>
      <c r="F2">
        <v>1936967</v>
      </c>
      <c r="G2">
        <v>5</v>
      </c>
      <c r="H2">
        <v>1</v>
      </c>
      <c r="I2">
        <v>140</v>
      </c>
      <c r="J2">
        <v>1999</v>
      </c>
      <c r="K2" s="4">
        <v>45302</v>
      </c>
      <c r="L2" t="s">
        <v>23</v>
      </c>
      <c r="M2" t="s">
        <v>82</v>
      </c>
      <c r="N2">
        <v>3.39</v>
      </c>
      <c r="O2">
        <v>1733</v>
      </c>
      <c r="P2">
        <v>3.32</v>
      </c>
      <c r="Q2">
        <v>302</v>
      </c>
      <c r="R2">
        <v>303</v>
      </c>
    </row>
    <row r="3" spans="1:18" hidden="1" x14ac:dyDescent="0.2">
      <c r="A3">
        <v>3</v>
      </c>
      <c r="B3" t="s">
        <v>39</v>
      </c>
      <c r="E3" t="s">
        <v>36</v>
      </c>
      <c r="F3">
        <v>884945</v>
      </c>
      <c r="G3">
        <v>5</v>
      </c>
      <c r="H3">
        <v>2</v>
      </c>
      <c r="I3">
        <v>525</v>
      </c>
      <c r="J3">
        <v>2016</v>
      </c>
      <c r="K3" s="4">
        <v>45757</v>
      </c>
      <c r="L3" t="s">
        <v>20</v>
      </c>
      <c r="M3" t="s">
        <v>76</v>
      </c>
      <c r="N3">
        <v>2.4700000000000002</v>
      </c>
      <c r="O3">
        <v>2294</v>
      </c>
      <c r="P3">
        <v>3.08</v>
      </c>
      <c r="Q3">
        <v>364</v>
      </c>
      <c r="R3">
        <v>520</v>
      </c>
    </row>
    <row r="4" spans="1:18" hidden="1" x14ac:dyDescent="0.2">
      <c r="A4">
        <v>4</v>
      </c>
      <c r="B4" t="s">
        <v>72</v>
      </c>
      <c r="E4" t="s">
        <v>51</v>
      </c>
      <c r="F4">
        <v>526791</v>
      </c>
      <c r="G4">
        <v>2</v>
      </c>
      <c r="H4">
        <v>2</v>
      </c>
      <c r="I4">
        <v>691</v>
      </c>
      <c r="J4">
        <v>1951</v>
      </c>
      <c r="K4" s="4">
        <v>44957</v>
      </c>
      <c r="L4" t="s">
        <v>30</v>
      </c>
      <c r="M4" t="s">
        <v>21</v>
      </c>
      <c r="N4">
        <v>1.58</v>
      </c>
      <c r="O4">
        <v>2433</v>
      </c>
      <c r="P4">
        <v>2.54</v>
      </c>
      <c r="Q4">
        <v>146</v>
      </c>
      <c r="R4">
        <v>641</v>
      </c>
    </row>
    <row r="5" spans="1:18" hidden="1" x14ac:dyDescent="0.2">
      <c r="A5">
        <v>4</v>
      </c>
      <c r="B5" t="s">
        <v>79</v>
      </c>
      <c r="E5" t="s">
        <v>29</v>
      </c>
      <c r="F5">
        <v>962318</v>
      </c>
      <c r="G5">
        <v>6</v>
      </c>
      <c r="H5">
        <v>1</v>
      </c>
      <c r="I5">
        <v>491</v>
      </c>
      <c r="J5">
        <v>1990</v>
      </c>
      <c r="K5" s="4">
        <v>44415</v>
      </c>
      <c r="L5" t="s">
        <v>26</v>
      </c>
      <c r="M5" t="s">
        <v>56</v>
      </c>
      <c r="N5">
        <v>2.97</v>
      </c>
      <c r="O5">
        <v>1428</v>
      </c>
      <c r="P5">
        <v>3.04</v>
      </c>
      <c r="Q5">
        <v>392</v>
      </c>
      <c r="R5">
        <v>609</v>
      </c>
    </row>
    <row r="6" spans="1:18" hidden="1" x14ac:dyDescent="0.2">
      <c r="A6">
        <v>7</v>
      </c>
      <c r="B6" t="s">
        <v>100</v>
      </c>
      <c r="E6" t="s">
        <v>51</v>
      </c>
      <c r="F6">
        <v>2081519</v>
      </c>
      <c r="G6">
        <v>5</v>
      </c>
      <c r="H6">
        <v>2</v>
      </c>
      <c r="I6">
        <v>774</v>
      </c>
      <c r="J6">
        <v>1958</v>
      </c>
      <c r="K6" s="4">
        <v>45443</v>
      </c>
      <c r="L6" t="s">
        <v>30</v>
      </c>
      <c r="M6" t="s">
        <v>37</v>
      </c>
      <c r="N6">
        <v>2.31</v>
      </c>
      <c r="O6">
        <v>1017</v>
      </c>
      <c r="P6">
        <v>1.43</v>
      </c>
      <c r="Q6">
        <v>309</v>
      </c>
      <c r="R6">
        <v>563</v>
      </c>
    </row>
    <row r="7" spans="1:18" hidden="1" x14ac:dyDescent="0.2">
      <c r="A7">
        <v>4</v>
      </c>
      <c r="B7" t="s">
        <v>50</v>
      </c>
      <c r="E7" t="s">
        <v>51</v>
      </c>
      <c r="F7">
        <v>2995613</v>
      </c>
      <c r="G7">
        <v>2</v>
      </c>
      <c r="H7">
        <v>2</v>
      </c>
      <c r="I7">
        <v>145</v>
      </c>
      <c r="J7">
        <v>1996</v>
      </c>
      <c r="K7" s="4">
        <v>45163</v>
      </c>
      <c r="L7" t="s">
        <v>23</v>
      </c>
      <c r="M7" t="s">
        <v>70</v>
      </c>
      <c r="N7">
        <v>2.68</v>
      </c>
      <c r="O7">
        <v>1568</v>
      </c>
      <c r="P7">
        <v>3.1</v>
      </c>
      <c r="Q7">
        <v>172</v>
      </c>
      <c r="R7">
        <v>512</v>
      </c>
    </row>
    <row r="8" spans="1:18" hidden="1" x14ac:dyDescent="0.2">
      <c r="A8">
        <v>7</v>
      </c>
      <c r="B8" t="s">
        <v>102</v>
      </c>
      <c r="E8" t="s">
        <v>51</v>
      </c>
      <c r="F8">
        <v>899433</v>
      </c>
      <c r="G8">
        <v>2</v>
      </c>
      <c r="H8">
        <v>1</v>
      </c>
      <c r="I8">
        <v>305</v>
      </c>
      <c r="J8">
        <v>1995</v>
      </c>
      <c r="K8" s="4">
        <v>44103</v>
      </c>
      <c r="L8" t="s">
        <v>23</v>
      </c>
      <c r="M8" t="s">
        <v>77</v>
      </c>
      <c r="N8">
        <v>2.21</v>
      </c>
      <c r="O8">
        <v>2298</v>
      </c>
      <c r="P8">
        <v>4.07</v>
      </c>
      <c r="Q8">
        <v>122</v>
      </c>
      <c r="R8">
        <v>427</v>
      </c>
    </row>
    <row r="9" spans="1:18" hidden="1" x14ac:dyDescent="0.2">
      <c r="A9">
        <v>4</v>
      </c>
      <c r="B9" t="s">
        <v>71</v>
      </c>
      <c r="E9" t="s">
        <v>51</v>
      </c>
      <c r="F9">
        <v>1086020</v>
      </c>
      <c r="G9">
        <v>5</v>
      </c>
      <c r="H9">
        <v>3</v>
      </c>
      <c r="I9">
        <v>364</v>
      </c>
      <c r="J9">
        <v>2016</v>
      </c>
      <c r="K9" s="4">
        <v>44230</v>
      </c>
      <c r="L9" t="s">
        <v>30</v>
      </c>
      <c r="M9" t="s">
        <v>70</v>
      </c>
      <c r="N9">
        <v>2.4700000000000002</v>
      </c>
      <c r="O9">
        <v>1250</v>
      </c>
      <c r="P9">
        <v>1.26</v>
      </c>
      <c r="Q9">
        <v>393</v>
      </c>
      <c r="R9">
        <v>431</v>
      </c>
    </row>
    <row r="10" spans="1:18" hidden="1" x14ac:dyDescent="0.2">
      <c r="A10">
        <v>3</v>
      </c>
      <c r="B10" t="s">
        <v>53</v>
      </c>
      <c r="E10" t="s">
        <v>29</v>
      </c>
      <c r="F10">
        <v>1543087</v>
      </c>
      <c r="G10">
        <v>1</v>
      </c>
      <c r="H10">
        <v>1</v>
      </c>
      <c r="I10">
        <v>237</v>
      </c>
      <c r="J10">
        <v>1972</v>
      </c>
      <c r="K10" s="4">
        <v>44873</v>
      </c>
      <c r="L10" t="s">
        <v>26</v>
      </c>
      <c r="M10" t="s">
        <v>31</v>
      </c>
      <c r="N10">
        <v>2.15</v>
      </c>
      <c r="O10">
        <v>2068</v>
      </c>
      <c r="P10">
        <v>1.68</v>
      </c>
      <c r="Q10">
        <v>154</v>
      </c>
      <c r="R10">
        <v>569</v>
      </c>
    </row>
    <row r="11" spans="1:18" hidden="1" x14ac:dyDescent="0.2">
      <c r="A11">
        <v>1</v>
      </c>
      <c r="B11" t="s">
        <v>93</v>
      </c>
      <c r="E11" t="s">
        <v>19</v>
      </c>
      <c r="F11">
        <v>1866856</v>
      </c>
      <c r="G11">
        <v>3</v>
      </c>
      <c r="H11">
        <v>2</v>
      </c>
      <c r="I11">
        <v>832</v>
      </c>
      <c r="J11">
        <v>1990</v>
      </c>
      <c r="K11" s="4">
        <v>45550</v>
      </c>
      <c r="L11" t="s">
        <v>26</v>
      </c>
      <c r="M11" t="s">
        <v>82</v>
      </c>
      <c r="N11">
        <v>1.72</v>
      </c>
      <c r="O11">
        <v>1843</v>
      </c>
      <c r="P11">
        <v>3.12</v>
      </c>
      <c r="Q11">
        <v>136</v>
      </c>
      <c r="R11">
        <v>410</v>
      </c>
    </row>
    <row r="12" spans="1:18" hidden="1" x14ac:dyDescent="0.2">
      <c r="A12">
        <v>0</v>
      </c>
      <c r="B12" t="s">
        <v>18</v>
      </c>
      <c r="E12" t="s">
        <v>19</v>
      </c>
      <c r="F12">
        <v>2667413</v>
      </c>
      <c r="G12">
        <v>6</v>
      </c>
      <c r="H12">
        <v>2</v>
      </c>
      <c r="I12">
        <v>827</v>
      </c>
      <c r="J12">
        <v>2004</v>
      </c>
      <c r="K12" s="4">
        <v>45323</v>
      </c>
      <c r="L12" t="s">
        <v>26</v>
      </c>
      <c r="M12" t="s">
        <v>33</v>
      </c>
      <c r="N12">
        <v>3.3</v>
      </c>
      <c r="O12">
        <v>1568</v>
      </c>
      <c r="P12">
        <v>0.56999999999999995</v>
      </c>
      <c r="Q12">
        <v>355</v>
      </c>
      <c r="R12">
        <v>426</v>
      </c>
    </row>
    <row r="13" spans="1:18" hidden="1" x14ac:dyDescent="0.2">
      <c r="A13">
        <v>5</v>
      </c>
      <c r="B13" t="s">
        <v>86</v>
      </c>
      <c r="E13" t="s">
        <v>36</v>
      </c>
      <c r="F13">
        <v>2373955</v>
      </c>
      <c r="G13">
        <v>2</v>
      </c>
      <c r="H13">
        <v>3</v>
      </c>
      <c r="I13">
        <v>885</v>
      </c>
      <c r="J13">
        <v>1965</v>
      </c>
      <c r="K13" s="4">
        <v>44448</v>
      </c>
      <c r="L13" t="s">
        <v>26</v>
      </c>
      <c r="M13" t="s">
        <v>54</v>
      </c>
      <c r="N13">
        <v>2.38</v>
      </c>
      <c r="O13">
        <v>1779</v>
      </c>
      <c r="P13">
        <v>3.14</v>
      </c>
      <c r="Q13">
        <v>230</v>
      </c>
      <c r="R13">
        <v>426</v>
      </c>
    </row>
    <row r="14" spans="1:18" hidden="1" x14ac:dyDescent="0.2">
      <c r="A14">
        <v>3</v>
      </c>
      <c r="B14" t="s">
        <v>92</v>
      </c>
      <c r="E14" t="s">
        <v>36</v>
      </c>
      <c r="F14">
        <v>2744360</v>
      </c>
      <c r="G14">
        <v>0</v>
      </c>
      <c r="H14">
        <v>3</v>
      </c>
      <c r="I14">
        <v>433</v>
      </c>
      <c r="J14">
        <v>2020</v>
      </c>
      <c r="K14" s="4">
        <v>44940</v>
      </c>
      <c r="L14" t="s">
        <v>30</v>
      </c>
      <c r="M14" t="s">
        <v>74</v>
      </c>
      <c r="N14">
        <v>3.02</v>
      </c>
      <c r="O14">
        <v>1147</v>
      </c>
      <c r="P14">
        <v>1.2</v>
      </c>
      <c r="Q14">
        <v>74</v>
      </c>
      <c r="R14">
        <v>511</v>
      </c>
    </row>
    <row r="15" spans="1:18" hidden="1" x14ac:dyDescent="0.2">
      <c r="A15">
        <v>6</v>
      </c>
      <c r="B15" t="s">
        <v>57</v>
      </c>
      <c r="E15" t="s">
        <v>36</v>
      </c>
      <c r="F15">
        <v>1745804</v>
      </c>
      <c r="G15">
        <v>4</v>
      </c>
      <c r="H15">
        <v>2</v>
      </c>
      <c r="I15">
        <v>417</v>
      </c>
      <c r="J15">
        <v>1953</v>
      </c>
      <c r="K15" s="4">
        <v>44788</v>
      </c>
      <c r="L15" t="s">
        <v>30</v>
      </c>
      <c r="M15" t="s">
        <v>56</v>
      </c>
      <c r="N15">
        <v>2.69</v>
      </c>
      <c r="O15">
        <v>2309</v>
      </c>
      <c r="P15">
        <v>1.1000000000000001</v>
      </c>
      <c r="Q15">
        <v>204</v>
      </c>
      <c r="R15">
        <v>373</v>
      </c>
    </row>
    <row r="16" spans="1:18" hidden="1" x14ac:dyDescent="0.2">
      <c r="A16">
        <v>7</v>
      </c>
      <c r="B16" t="s">
        <v>67</v>
      </c>
      <c r="E16" t="s">
        <v>19</v>
      </c>
      <c r="F16">
        <v>1909900</v>
      </c>
      <c r="G16">
        <v>4</v>
      </c>
      <c r="H16">
        <v>2</v>
      </c>
      <c r="I16">
        <v>710</v>
      </c>
      <c r="J16">
        <v>1988</v>
      </c>
      <c r="K16" s="4">
        <v>45807</v>
      </c>
      <c r="L16" t="s">
        <v>26</v>
      </c>
      <c r="M16" t="s">
        <v>33</v>
      </c>
      <c r="N16">
        <v>2.4900000000000002</v>
      </c>
      <c r="O16">
        <v>1766</v>
      </c>
      <c r="P16">
        <v>4.58</v>
      </c>
      <c r="Q16">
        <v>238</v>
      </c>
      <c r="R16">
        <v>430</v>
      </c>
    </row>
    <row r="17" spans="1:18" hidden="1" x14ac:dyDescent="0.2">
      <c r="A17">
        <v>7</v>
      </c>
      <c r="B17" t="s">
        <v>25</v>
      </c>
      <c r="E17" t="s">
        <v>19</v>
      </c>
      <c r="F17">
        <v>891662</v>
      </c>
      <c r="G17">
        <v>2</v>
      </c>
      <c r="H17">
        <v>3</v>
      </c>
      <c r="I17">
        <v>494</v>
      </c>
      <c r="J17">
        <v>1966</v>
      </c>
      <c r="K17" s="4">
        <v>44563</v>
      </c>
      <c r="L17" t="s">
        <v>30</v>
      </c>
      <c r="M17" t="s">
        <v>37</v>
      </c>
      <c r="N17">
        <v>2.8</v>
      </c>
      <c r="O17">
        <v>1892</v>
      </c>
      <c r="P17">
        <v>2.85</v>
      </c>
      <c r="Q17">
        <v>73</v>
      </c>
      <c r="R17">
        <v>697</v>
      </c>
    </row>
    <row r="18" spans="1:18" hidden="1" x14ac:dyDescent="0.2">
      <c r="A18">
        <v>2</v>
      </c>
      <c r="B18" t="s">
        <v>81</v>
      </c>
      <c r="E18" t="s">
        <v>19</v>
      </c>
      <c r="F18">
        <v>1169061</v>
      </c>
      <c r="G18">
        <v>0</v>
      </c>
      <c r="H18">
        <v>3</v>
      </c>
      <c r="I18">
        <v>860</v>
      </c>
      <c r="J18">
        <v>2009</v>
      </c>
      <c r="K18" s="4">
        <v>44851</v>
      </c>
      <c r="L18" t="s">
        <v>30</v>
      </c>
      <c r="M18" t="s">
        <v>42</v>
      </c>
      <c r="N18">
        <v>2.1</v>
      </c>
      <c r="O18">
        <v>2216</v>
      </c>
      <c r="P18">
        <v>0.24</v>
      </c>
      <c r="Q18">
        <v>45</v>
      </c>
      <c r="R18">
        <v>607</v>
      </c>
    </row>
    <row r="19" spans="1:18" hidden="1" x14ac:dyDescent="0.2">
      <c r="A19">
        <v>2</v>
      </c>
      <c r="B19" t="s">
        <v>72</v>
      </c>
      <c r="E19" t="s">
        <v>29</v>
      </c>
      <c r="F19">
        <v>2432278</v>
      </c>
      <c r="G19">
        <v>4</v>
      </c>
      <c r="H19">
        <v>3</v>
      </c>
      <c r="I19">
        <v>107</v>
      </c>
      <c r="J19">
        <v>1963</v>
      </c>
      <c r="K19" s="4">
        <v>45426</v>
      </c>
      <c r="L19" t="s">
        <v>23</v>
      </c>
      <c r="M19" t="s">
        <v>42</v>
      </c>
      <c r="N19">
        <v>1.88</v>
      </c>
      <c r="O19">
        <v>1289</v>
      </c>
      <c r="P19">
        <v>1.0900000000000001</v>
      </c>
      <c r="Q19">
        <v>386</v>
      </c>
      <c r="R19">
        <v>592</v>
      </c>
    </row>
    <row r="20" spans="1:18" hidden="1" x14ac:dyDescent="0.2">
      <c r="A20">
        <v>6</v>
      </c>
      <c r="B20" t="s">
        <v>98</v>
      </c>
      <c r="E20" t="s">
        <v>19</v>
      </c>
      <c r="F20">
        <v>1956168</v>
      </c>
      <c r="G20">
        <v>4</v>
      </c>
      <c r="H20">
        <v>2</v>
      </c>
      <c r="I20">
        <v>318</v>
      </c>
      <c r="J20">
        <v>1950</v>
      </c>
      <c r="K20" s="4">
        <v>45832</v>
      </c>
      <c r="L20" t="s">
        <v>30</v>
      </c>
      <c r="M20" t="s">
        <v>56</v>
      </c>
      <c r="N20">
        <v>2.6</v>
      </c>
      <c r="O20">
        <v>1156</v>
      </c>
      <c r="P20">
        <v>4.71</v>
      </c>
      <c r="Q20">
        <v>243</v>
      </c>
      <c r="R20">
        <v>550</v>
      </c>
    </row>
    <row r="21" spans="1:18" hidden="1" x14ac:dyDescent="0.2">
      <c r="A21">
        <v>7</v>
      </c>
      <c r="B21" t="s">
        <v>83</v>
      </c>
      <c r="E21" t="s">
        <v>103</v>
      </c>
      <c r="F21">
        <v>2561605</v>
      </c>
      <c r="G21">
        <v>3</v>
      </c>
      <c r="H21">
        <v>2</v>
      </c>
      <c r="I21">
        <v>494</v>
      </c>
      <c r="J21">
        <v>2021</v>
      </c>
      <c r="K21" s="4">
        <v>44557</v>
      </c>
      <c r="L21" t="s">
        <v>20</v>
      </c>
      <c r="M21" t="s">
        <v>54</v>
      </c>
      <c r="N21">
        <v>2.48</v>
      </c>
      <c r="O21">
        <v>1364</v>
      </c>
      <c r="P21">
        <v>2.31</v>
      </c>
      <c r="Q21">
        <v>280</v>
      </c>
      <c r="R21">
        <v>511</v>
      </c>
    </row>
    <row r="22" spans="1:18" hidden="1" x14ac:dyDescent="0.2">
      <c r="A22">
        <v>6</v>
      </c>
      <c r="B22" t="s">
        <v>100</v>
      </c>
      <c r="E22" t="s">
        <v>36</v>
      </c>
      <c r="F22">
        <v>523033</v>
      </c>
      <c r="G22">
        <v>3</v>
      </c>
      <c r="H22">
        <v>3</v>
      </c>
      <c r="I22">
        <v>788</v>
      </c>
      <c r="J22">
        <v>1991</v>
      </c>
      <c r="K22" s="4">
        <v>45796</v>
      </c>
      <c r="L22" t="s">
        <v>23</v>
      </c>
      <c r="M22" t="s">
        <v>89</v>
      </c>
      <c r="N22">
        <v>2.31</v>
      </c>
      <c r="O22">
        <v>921</v>
      </c>
      <c r="P22">
        <v>1.5</v>
      </c>
      <c r="Q22">
        <v>150</v>
      </c>
      <c r="R22">
        <v>581</v>
      </c>
    </row>
    <row r="23" spans="1:18" hidden="1" x14ac:dyDescent="0.2">
      <c r="A23">
        <v>1</v>
      </c>
      <c r="B23" t="s">
        <v>87</v>
      </c>
      <c r="E23" t="s">
        <v>36</v>
      </c>
      <c r="F23">
        <v>1151269</v>
      </c>
      <c r="G23">
        <v>4</v>
      </c>
      <c r="H23">
        <v>2</v>
      </c>
      <c r="I23">
        <v>957</v>
      </c>
      <c r="J23">
        <v>1988</v>
      </c>
      <c r="K23" s="4">
        <v>44140</v>
      </c>
      <c r="L23" t="s">
        <v>26</v>
      </c>
      <c r="M23" t="s">
        <v>42</v>
      </c>
      <c r="N23">
        <v>3.38</v>
      </c>
      <c r="O23">
        <v>2139</v>
      </c>
      <c r="P23">
        <v>1.68</v>
      </c>
      <c r="Q23">
        <v>352</v>
      </c>
      <c r="R23">
        <v>673</v>
      </c>
    </row>
    <row r="24" spans="1:18" hidden="1" x14ac:dyDescent="0.2">
      <c r="A24">
        <v>1</v>
      </c>
      <c r="B24" t="s">
        <v>53</v>
      </c>
      <c r="E24" t="s">
        <v>36</v>
      </c>
      <c r="F24">
        <v>2662784</v>
      </c>
      <c r="G24">
        <v>5</v>
      </c>
      <c r="H24">
        <v>1</v>
      </c>
      <c r="I24">
        <v>625</v>
      </c>
      <c r="J24">
        <v>1954</v>
      </c>
      <c r="K24" s="4">
        <v>44111</v>
      </c>
      <c r="L24" t="s">
        <v>23</v>
      </c>
      <c r="M24" t="s">
        <v>47</v>
      </c>
      <c r="N24">
        <v>2.6</v>
      </c>
      <c r="O24">
        <v>847</v>
      </c>
      <c r="P24">
        <v>2.06</v>
      </c>
      <c r="Q24">
        <v>259</v>
      </c>
      <c r="R24">
        <v>450</v>
      </c>
    </row>
    <row r="25" spans="1:18" hidden="1" x14ac:dyDescent="0.2">
      <c r="A25">
        <v>2</v>
      </c>
      <c r="B25" t="s">
        <v>80</v>
      </c>
      <c r="E25" t="s">
        <v>29</v>
      </c>
      <c r="F25">
        <v>605597</v>
      </c>
      <c r="G25">
        <v>5</v>
      </c>
      <c r="H25">
        <v>3</v>
      </c>
      <c r="I25">
        <v>183</v>
      </c>
      <c r="J25">
        <v>1999</v>
      </c>
      <c r="K25" s="4">
        <v>45502</v>
      </c>
      <c r="L25" t="s">
        <v>30</v>
      </c>
      <c r="M25" t="s">
        <v>37</v>
      </c>
      <c r="N25">
        <v>1.76</v>
      </c>
      <c r="O25">
        <v>1933</v>
      </c>
      <c r="P25">
        <v>0.39</v>
      </c>
      <c r="Q25">
        <v>278</v>
      </c>
      <c r="R25">
        <v>406</v>
      </c>
    </row>
    <row r="26" spans="1:18" hidden="1" x14ac:dyDescent="0.2">
      <c r="A26">
        <v>9</v>
      </c>
      <c r="B26" t="s">
        <v>44</v>
      </c>
      <c r="E26" t="s">
        <v>51</v>
      </c>
      <c r="F26">
        <v>1262106</v>
      </c>
      <c r="G26">
        <v>3</v>
      </c>
      <c r="H26">
        <v>1</v>
      </c>
      <c r="I26">
        <v>500</v>
      </c>
      <c r="J26">
        <v>1989</v>
      </c>
      <c r="K26" s="4">
        <v>44728</v>
      </c>
      <c r="L26" t="s">
        <v>23</v>
      </c>
      <c r="M26" t="s">
        <v>78</v>
      </c>
      <c r="N26">
        <v>3.06</v>
      </c>
      <c r="O26">
        <v>1083</v>
      </c>
      <c r="P26">
        <v>3.2</v>
      </c>
      <c r="Q26">
        <v>176</v>
      </c>
      <c r="R26">
        <v>700</v>
      </c>
    </row>
    <row r="27" spans="1:18" hidden="1" x14ac:dyDescent="0.2">
      <c r="A27">
        <v>5</v>
      </c>
      <c r="B27" t="s">
        <v>94</v>
      </c>
      <c r="E27" t="s">
        <v>29</v>
      </c>
      <c r="F27">
        <v>776773</v>
      </c>
      <c r="G27">
        <v>3</v>
      </c>
      <c r="H27">
        <v>3</v>
      </c>
      <c r="I27">
        <v>565</v>
      </c>
      <c r="J27">
        <v>2003</v>
      </c>
      <c r="K27" s="4">
        <v>44916</v>
      </c>
      <c r="L27" t="s">
        <v>30</v>
      </c>
      <c r="M27" t="s">
        <v>82</v>
      </c>
      <c r="N27">
        <v>1.56</v>
      </c>
      <c r="O27">
        <v>1293</v>
      </c>
      <c r="P27">
        <v>2.72</v>
      </c>
      <c r="Q27">
        <v>109</v>
      </c>
      <c r="R27">
        <v>696</v>
      </c>
    </row>
    <row r="28" spans="1:18" hidden="1" x14ac:dyDescent="0.2">
      <c r="A28">
        <v>1</v>
      </c>
      <c r="B28" t="s">
        <v>98</v>
      </c>
      <c r="E28" t="s">
        <v>29</v>
      </c>
      <c r="F28">
        <v>434401</v>
      </c>
      <c r="G28">
        <v>3</v>
      </c>
      <c r="H28">
        <v>1</v>
      </c>
      <c r="I28">
        <v>947</v>
      </c>
      <c r="J28">
        <v>1966</v>
      </c>
      <c r="K28" s="4">
        <v>44223</v>
      </c>
      <c r="L28" t="s">
        <v>30</v>
      </c>
      <c r="M28" t="s">
        <v>77</v>
      </c>
      <c r="N28">
        <v>2.9</v>
      </c>
      <c r="O28">
        <v>1544</v>
      </c>
      <c r="P28">
        <v>4.3499999999999996</v>
      </c>
      <c r="Q28">
        <v>163</v>
      </c>
      <c r="R28">
        <v>550</v>
      </c>
    </row>
    <row r="29" spans="1:18" hidden="1" x14ac:dyDescent="0.2">
      <c r="A29">
        <v>7</v>
      </c>
      <c r="B29" t="s">
        <v>86</v>
      </c>
      <c r="E29" t="s">
        <v>51</v>
      </c>
      <c r="F29">
        <v>1899449</v>
      </c>
      <c r="G29">
        <v>1</v>
      </c>
      <c r="H29">
        <v>3</v>
      </c>
      <c r="I29">
        <v>855</v>
      </c>
      <c r="J29">
        <v>1968</v>
      </c>
      <c r="K29" s="4">
        <v>44878</v>
      </c>
      <c r="L29" t="s">
        <v>30</v>
      </c>
      <c r="M29" t="s">
        <v>74</v>
      </c>
      <c r="N29">
        <v>3.39</v>
      </c>
      <c r="O29">
        <v>2148</v>
      </c>
      <c r="P29">
        <v>2.4</v>
      </c>
      <c r="Q29">
        <v>140</v>
      </c>
      <c r="R29">
        <v>663</v>
      </c>
    </row>
    <row r="30" spans="1:18" hidden="1" x14ac:dyDescent="0.2">
      <c r="A30">
        <v>0</v>
      </c>
      <c r="B30" t="s">
        <v>62</v>
      </c>
      <c r="E30" t="s">
        <v>19</v>
      </c>
      <c r="F30">
        <v>1546311</v>
      </c>
      <c r="G30">
        <v>5</v>
      </c>
      <c r="H30">
        <v>1</v>
      </c>
      <c r="I30">
        <v>898</v>
      </c>
      <c r="J30">
        <v>2017</v>
      </c>
      <c r="K30" s="4">
        <v>44358</v>
      </c>
      <c r="L30" t="s">
        <v>23</v>
      </c>
      <c r="M30" t="s">
        <v>63</v>
      </c>
      <c r="N30">
        <v>1.84</v>
      </c>
      <c r="O30">
        <v>1533</v>
      </c>
      <c r="P30">
        <v>2.4500000000000002</v>
      </c>
      <c r="Q30">
        <v>391</v>
      </c>
      <c r="R30">
        <v>303</v>
      </c>
    </row>
    <row r="31" spans="1:18" hidden="1" x14ac:dyDescent="0.2">
      <c r="A31">
        <v>4</v>
      </c>
      <c r="B31" t="s">
        <v>46</v>
      </c>
      <c r="E31" t="s">
        <v>51</v>
      </c>
      <c r="F31">
        <v>2042668</v>
      </c>
      <c r="G31">
        <v>5</v>
      </c>
      <c r="H31">
        <v>2</v>
      </c>
      <c r="I31">
        <v>87</v>
      </c>
      <c r="J31">
        <v>1962</v>
      </c>
      <c r="K31" s="4">
        <v>45771</v>
      </c>
      <c r="L31" t="s">
        <v>20</v>
      </c>
      <c r="M31" t="s">
        <v>60</v>
      </c>
      <c r="N31">
        <v>2.94</v>
      </c>
      <c r="O31">
        <v>1252</v>
      </c>
      <c r="P31">
        <v>2.33</v>
      </c>
      <c r="Q31">
        <v>354</v>
      </c>
      <c r="R31">
        <v>340</v>
      </c>
    </row>
    <row r="32" spans="1:18" hidden="1" x14ac:dyDescent="0.2">
      <c r="A32">
        <v>1</v>
      </c>
      <c r="B32" t="s">
        <v>86</v>
      </c>
      <c r="E32" t="s">
        <v>29</v>
      </c>
      <c r="F32">
        <v>2826982</v>
      </c>
      <c r="G32">
        <v>5</v>
      </c>
      <c r="H32">
        <v>1</v>
      </c>
      <c r="I32">
        <v>491</v>
      </c>
      <c r="J32">
        <v>2016</v>
      </c>
      <c r="K32" s="4">
        <v>44191</v>
      </c>
      <c r="L32" t="s">
        <v>30</v>
      </c>
      <c r="M32" t="s">
        <v>45</v>
      </c>
      <c r="N32">
        <v>2</v>
      </c>
      <c r="O32">
        <v>1513</v>
      </c>
      <c r="P32">
        <v>2.91</v>
      </c>
      <c r="Q32">
        <v>364</v>
      </c>
      <c r="R32">
        <v>579</v>
      </c>
    </row>
    <row r="33" spans="1:18" x14ac:dyDescent="0.2">
      <c r="A33">
        <v>8</v>
      </c>
      <c r="B33" t="s">
        <v>46</v>
      </c>
      <c r="E33" t="s">
        <v>29</v>
      </c>
      <c r="F33">
        <v>538096</v>
      </c>
      <c r="G33">
        <v>4</v>
      </c>
      <c r="H33">
        <v>1</v>
      </c>
      <c r="I33">
        <v>236</v>
      </c>
      <c r="J33">
        <v>1996</v>
      </c>
      <c r="K33" s="4">
        <v>45610</v>
      </c>
      <c r="L33" t="s">
        <v>26</v>
      </c>
      <c r="M33" t="s">
        <v>58</v>
      </c>
      <c r="N33">
        <v>2.42</v>
      </c>
      <c r="O33">
        <v>1841</v>
      </c>
      <c r="P33">
        <v>3.87</v>
      </c>
      <c r="Q33">
        <v>243</v>
      </c>
      <c r="R33">
        <v>611</v>
      </c>
    </row>
    <row r="34" spans="1:18" hidden="1" x14ac:dyDescent="0.2">
      <c r="A34">
        <v>3</v>
      </c>
      <c r="B34" t="s">
        <v>18</v>
      </c>
      <c r="E34" t="s">
        <v>19</v>
      </c>
      <c r="F34">
        <v>1697132</v>
      </c>
      <c r="G34">
        <v>3</v>
      </c>
      <c r="H34">
        <v>2</v>
      </c>
      <c r="I34">
        <v>51</v>
      </c>
      <c r="J34">
        <v>1970</v>
      </c>
      <c r="K34" s="4">
        <v>45745</v>
      </c>
      <c r="L34" t="s">
        <v>26</v>
      </c>
      <c r="M34" t="s">
        <v>66</v>
      </c>
      <c r="N34">
        <v>2.64</v>
      </c>
      <c r="O34">
        <v>1779</v>
      </c>
      <c r="P34">
        <v>0.48</v>
      </c>
      <c r="Q34">
        <v>263</v>
      </c>
      <c r="R34">
        <v>491</v>
      </c>
    </row>
    <row r="35" spans="1:18" hidden="1" x14ac:dyDescent="0.2">
      <c r="A35">
        <v>0</v>
      </c>
      <c r="B35" t="s">
        <v>67</v>
      </c>
      <c r="E35" t="s">
        <v>36</v>
      </c>
      <c r="F35">
        <v>2140120</v>
      </c>
      <c r="G35">
        <v>6</v>
      </c>
      <c r="H35">
        <v>2</v>
      </c>
      <c r="I35">
        <v>139</v>
      </c>
      <c r="J35">
        <v>1993</v>
      </c>
      <c r="K35" s="4">
        <v>45157</v>
      </c>
      <c r="L35" t="s">
        <v>23</v>
      </c>
      <c r="M35" t="s">
        <v>59</v>
      </c>
      <c r="N35">
        <v>1.98</v>
      </c>
      <c r="O35">
        <v>1699</v>
      </c>
      <c r="P35">
        <v>1.94</v>
      </c>
      <c r="Q35">
        <v>358</v>
      </c>
      <c r="R35">
        <v>310</v>
      </c>
    </row>
    <row r="36" spans="1:18" hidden="1" x14ac:dyDescent="0.2">
      <c r="A36">
        <v>4</v>
      </c>
      <c r="B36" t="s">
        <v>62</v>
      </c>
      <c r="E36" t="s">
        <v>19</v>
      </c>
      <c r="F36">
        <v>2803271</v>
      </c>
      <c r="G36">
        <v>2</v>
      </c>
      <c r="H36">
        <v>2</v>
      </c>
      <c r="I36">
        <v>735</v>
      </c>
      <c r="J36">
        <v>2021</v>
      </c>
      <c r="K36" s="4">
        <v>45346</v>
      </c>
      <c r="L36" t="s">
        <v>20</v>
      </c>
      <c r="M36" t="s">
        <v>40</v>
      </c>
      <c r="N36">
        <v>1.65</v>
      </c>
      <c r="O36">
        <v>1025</v>
      </c>
      <c r="P36">
        <v>3.17</v>
      </c>
      <c r="Q36">
        <v>181</v>
      </c>
      <c r="R36">
        <v>339</v>
      </c>
    </row>
    <row r="37" spans="1:18" hidden="1" x14ac:dyDescent="0.2">
      <c r="A37">
        <v>1</v>
      </c>
      <c r="B37" t="s">
        <v>61</v>
      </c>
      <c r="E37" t="s">
        <v>36</v>
      </c>
      <c r="F37">
        <v>1711359</v>
      </c>
      <c r="G37">
        <v>1</v>
      </c>
      <c r="H37">
        <v>2</v>
      </c>
      <c r="I37">
        <v>797</v>
      </c>
      <c r="J37">
        <v>1972</v>
      </c>
      <c r="K37" s="4">
        <v>44674</v>
      </c>
      <c r="L37" t="s">
        <v>26</v>
      </c>
      <c r="M37" t="s">
        <v>70</v>
      </c>
      <c r="N37">
        <v>1.7</v>
      </c>
      <c r="O37">
        <v>1217</v>
      </c>
      <c r="P37">
        <v>3.25</v>
      </c>
      <c r="Q37">
        <v>90</v>
      </c>
      <c r="R37">
        <v>381</v>
      </c>
    </row>
    <row r="38" spans="1:18" x14ac:dyDescent="0.2">
      <c r="A38">
        <v>8</v>
      </c>
      <c r="B38" t="s">
        <v>44</v>
      </c>
      <c r="E38" t="s">
        <v>29</v>
      </c>
      <c r="F38">
        <v>2488052</v>
      </c>
      <c r="G38">
        <v>0</v>
      </c>
      <c r="H38">
        <v>3</v>
      </c>
      <c r="I38">
        <v>632</v>
      </c>
      <c r="J38">
        <v>2011</v>
      </c>
      <c r="K38" s="4">
        <v>45680</v>
      </c>
      <c r="L38" t="s">
        <v>20</v>
      </c>
      <c r="M38" t="s">
        <v>54</v>
      </c>
      <c r="N38">
        <v>3.22</v>
      </c>
      <c r="O38">
        <v>1324</v>
      </c>
      <c r="P38">
        <v>2.96</v>
      </c>
      <c r="Q38">
        <v>77</v>
      </c>
      <c r="R38">
        <v>400</v>
      </c>
    </row>
    <row r="39" spans="1:18" hidden="1" x14ac:dyDescent="0.2">
      <c r="A39">
        <v>3</v>
      </c>
      <c r="B39" t="s">
        <v>80</v>
      </c>
      <c r="E39" t="s">
        <v>51</v>
      </c>
      <c r="F39">
        <v>2804395</v>
      </c>
      <c r="G39">
        <v>2</v>
      </c>
      <c r="H39">
        <v>2</v>
      </c>
      <c r="I39">
        <v>498</v>
      </c>
      <c r="J39">
        <v>1986</v>
      </c>
      <c r="K39" s="4">
        <v>44337</v>
      </c>
      <c r="L39" t="s">
        <v>23</v>
      </c>
      <c r="M39" t="s">
        <v>97</v>
      </c>
      <c r="N39">
        <v>2.25</v>
      </c>
      <c r="O39">
        <v>1491</v>
      </c>
      <c r="P39">
        <v>0.44</v>
      </c>
      <c r="Q39">
        <v>238</v>
      </c>
      <c r="R39">
        <v>360</v>
      </c>
    </row>
    <row r="40" spans="1:18" hidden="1" x14ac:dyDescent="0.2">
      <c r="A40">
        <v>1</v>
      </c>
      <c r="B40" t="s">
        <v>106</v>
      </c>
      <c r="E40" t="s">
        <v>19</v>
      </c>
      <c r="F40">
        <v>485888</v>
      </c>
      <c r="G40">
        <v>1</v>
      </c>
      <c r="H40">
        <v>2</v>
      </c>
      <c r="I40">
        <v>692</v>
      </c>
      <c r="J40">
        <v>1952</v>
      </c>
      <c r="K40" s="4">
        <v>44663</v>
      </c>
      <c r="L40" t="s">
        <v>20</v>
      </c>
      <c r="M40" t="s">
        <v>63</v>
      </c>
      <c r="N40">
        <v>1.82</v>
      </c>
      <c r="O40">
        <v>1104</v>
      </c>
      <c r="P40">
        <v>3.13</v>
      </c>
      <c r="Q40">
        <v>70</v>
      </c>
      <c r="R40">
        <v>689</v>
      </c>
    </row>
    <row r="41" spans="1:18" hidden="1" x14ac:dyDescent="0.2">
      <c r="A41">
        <v>1</v>
      </c>
      <c r="B41" t="s">
        <v>87</v>
      </c>
      <c r="E41" t="s">
        <v>19</v>
      </c>
      <c r="F41">
        <v>2322754</v>
      </c>
      <c r="G41">
        <v>0</v>
      </c>
      <c r="H41">
        <v>2</v>
      </c>
      <c r="I41">
        <v>892</v>
      </c>
      <c r="J41">
        <v>1958</v>
      </c>
      <c r="K41" s="4">
        <v>45627</v>
      </c>
      <c r="L41" t="s">
        <v>23</v>
      </c>
      <c r="M41" t="s">
        <v>54</v>
      </c>
      <c r="N41">
        <v>2.34</v>
      </c>
      <c r="O41">
        <v>1874</v>
      </c>
      <c r="P41">
        <v>3.46</v>
      </c>
      <c r="Q41">
        <v>45</v>
      </c>
      <c r="R41">
        <v>656</v>
      </c>
    </row>
    <row r="42" spans="1:18" x14ac:dyDescent="0.2">
      <c r="A42">
        <v>8</v>
      </c>
      <c r="B42" t="s">
        <v>98</v>
      </c>
      <c r="E42" t="s">
        <v>36</v>
      </c>
      <c r="F42">
        <v>1256488</v>
      </c>
      <c r="G42">
        <v>3</v>
      </c>
      <c r="H42">
        <v>2</v>
      </c>
      <c r="I42">
        <v>777</v>
      </c>
      <c r="J42">
        <v>1969</v>
      </c>
      <c r="K42" s="4">
        <v>44673</v>
      </c>
      <c r="L42" t="s">
        <v>20</v>
      </c>
      <c r="M42" t="s">
        <v>40</v>
      </c>
      <c r="N42">
        <v>3.4</v>
      </c>
      <c r="O42">
        <v>1041</v>
      </c>
      <c r="P42">
        <v>4.1900000000000004</v>
      </c>
      <c r="Q42">
        <v>285</v>
      </c>
      <c r="R42">
        <v>665</v>
      </c>
    </row>
    <row r="43" spans="1:18" hidden="1" x14ac:dyDescent="0.2">
      <c r="A43">
        <v>3</v>
      </c>
      <c r="B43" t="s">
        <v>96</v>
      </c>
      <c r="E43" t="s">
        <v>29</v>
      </c>
      <c r="F43">
        <v>1736098</v>
      </c>
      <c r="G43">
        <v>5</v>
      </c>
      <c r="H43">
        <v>3</v>
      </c>
      <c r="I43">
        <v>128</v>
      </c>
      <c r="J43">
        <v>1973</v>
      </c>
      <c r="K43" s="4">
        <v>45501</v>
      </c>
      <c r="L43" t="s">
        <v>23</v>
      </c>
      <c r="M43" t="s">
        <v>56</v>
      </c>
      <c r="N43">
        <v>2.13</v>
      </c>
      <c r="O43">
        <v>1625</v>
      </c>
      <c r="P43">
        <v>3.09</v>
      </c>
      <c r="Q43">
        <v>274</v>
      </c>
      <c r="R43">
        <v>483</v>
      </c>
    </row>
    <row r="44" spans="1:18" x14ac:dyDescent="0.2">
      <c r="A44">
        <v>8</v>
      </c>
      <c r="B44" t="s">
        <v>75</v>
      </c>
      <c r="E44" t="s">
        <v>29</v>
      </c>
      <c r="F44">
        <v>1778980</v>
      </c>
      <c r="G44">
        <v>5</v>
      </c>
      <c r="H44">
        <v>3</v>
      </c>
      <c r="I44">
        <v>941</v>
      </c>
      <c r="J44">
        <v>2002</v>
      </c>
      <c r="K44" s="4">
        <v>45727</v>
      </c>
      <c r="L44" t="s">
        <v>20</v>
      </c>
      <c r="M44" t="s">
        <v>45</v>
      </c>
      <c r="N44">
        <v>2.57</v>
      </c>
      <c r="O44">
        <v>2451</v>
      </c>
      <c r="P44">
        <v>4.0599999999999996</v>
      </c>
      <c r="Q44">
        <v>373</v>
      </c>
      <c r="R44">
        <v>606</v>
      </c>
    </row>
    <row r="45" spans="1:18" hidden="1" x14ac:dyDescent="0.2">
      <c r="A45">
        <v>9</v>
      </c>
      <c r="B45" t="s">
        <v>28</v>
      </c>
      <c r="E45" t="s">
        <v>36</v>
      </c>
      <c r="F45">
        <v>2524763</v>
      </c>
      <c r="G45">
        <v>3</v>
      </c>
      <c r="H45">
        <v>2</v>
      </c>
      <c r="I45">
        <v>349</v>
      </c>
      <c r="J45">
        <v>2005</v>
      </c>
      <c r="K45" s="4">
        <v>44082</v>
      </c>
      <c r="L45" t="s">
        <v>20</v>
      </c>
      <c r="M45" t="s">
        <v>37</v>
      </c>
      <c r="N45">
        <v>1.92</v>
      </c>
      <c r="O45">
        <v>1501</v>
      </c>
      <c r="P45">
        <v>3.66</v>
      </c>
      <c r="Q45">
        <v>115</v>
      </c>
      <c r="R45">
        <v>363</v>
      </c>
    </row>
    <row r="46" spans="1:18" hidden="1" x14ac:dyDescent="0.2">
      <c r="A46">
        <v>0</v>
      </c>
      <c r="B46" t="s">
        <v>34</v>
      </c>
      <c r="E46" t="s">
        <v>19</v>
      </c>
      <c r="F46">
        <v>2593186</v>
      </c>
      <c r="G46">
        <v>0</v>
      </c>
      <c r="H46">
        <v>2</v>
      </c>
      <c r="I46">
        <v>976</v>
      </c>
      <c r="J46">
        <v>1971</v>
      </c>
      <c r="K46" s="4">
        <v>44213</v>
      </c>
      <c r="L46" t="s">
        <v>30</v>
      </c>
      <c r="M46" t="s">
        <v>35</v>
      </c>
      <c r="N46">
        <v>1.66</v>
      </c>
      <c r="O46">
        <v>918</v>
      </c>
      <c r="P46">
        <v>0.11</v>
      </c>
      <c r="Q46">
        <v>42</v>
      </c>
      <c r="R46">
        <v>654</v>
      </c>
    </row>
    <row r="47" spans="1:18" hidden="1" x14ac:dyDescent="0.2">
      <c r="A47">
        <v>5</v>
      </c>
      <c r="B47" t="s">
        <v>25</v>
      </c>
      <c r="E47" t="s">
        <v>36</v>
      </c>
      <c r="F47">
        <v>2735765</v>
      </c>
      <c r="G47">
        <v>6</v>
      </c>
      <c r="H47">
        <v>1</v>
      </c>
      <c r="I47">
        <v>568</v>
      </c>
      <c r="J47">
        <v>2022</v>
      </c>
      <c r="K47" s="4">
        <v>44131</v>
      </c>
      <c r="L47" t="s">
        <v>26</v>
      </c>
      <c r="M47" t="s">
        <v>89</v>
      </c>
      <c r="N47">
        <v>3.44</v>
      </c>
      <c r="O47">
        <v>2167</v>
      </c>
      <c r="P47">
        <v>3.33</v>
      </c>
      <c r="Q47">
        <v>333</v>
      </c>
      <c r="R47">
        <v>611</v>
      </c>
    </row>
    <row r="48" spans="1:18" hidden="1" x14ac:dyDescent="0.2">
      <c r="A48">
        <v>3</v>
      </c>
      <c r="B48" t="s">
        <v>105</v>
      </c>
      <c r="E48" t="s">
        <v>51</v>
      </c>
      <c r="F48">
        <v>1776997</v>
      </c>
      <c r="G48">
        <v>2</v>
      </c>
      <c r="H48">
        <v>3</v>
      </c>
      <c r="I48">
        <v>70</v>
      </c>
      <c r="J48">
        <v>2003</v>
      </c>
      <c r="K48" s="4">
        <v>45077</v>
      </c>
      <c r="L48" t="s">
        <v>20</v>
      </c>
      <c r="M48" t="s">
        <v>74</v>
      </c>
      <c r="N48">
        <v>2.81</v>
      </c>
      <c r="O48">
        <v>953</v>
      </c>
      <c r="P48">
        <v>0.99</v>
      </c>
      <c r="Q48">
        <v>194</v>
      </c>
      <c r="R48">
        <v>625</v>
      </c>
    </row>
    <row r="49" spans="1:18" hidden="1" x14ac:dyDescent="0.2">
      <c r="A49">
        <v>5</v>
      </c>
      <c r="B49" t="s">
        <v>46</v>
      </c>
      <c r="E49" t="s">
        <v>29</v>
      </c>
      <c r="F49">
        <v>1812186</v>
      </c>
      <c r="G49">
        <v>3</v>
      </c>
      <c r="H49">
        <v>3</v>
      </c>
      <c r="I49">
        <v>167</v>
      </c>
      <c r="J49">
        <v>1999</v>
      </c>
      <c r="K49" s="4">
        <v>45831</v>
      </c>
      <c r="L49" t="s">
        <v>30</v>
      </c>
      <c r="M49" t="s">
        <v>33</v>
      </c>
      <c r="N49">
        <v>3.25</v>
      </c>
      <c r="O49">
        <v>1187</v>
      </c>
      <c r="P49">
        <v>4.5999999999999996</v>
      </c>
      <c r="Q49">
        <v>146</v>
      </c>
      <c r="R49">
        <v>573</v>
      </c>
    </row>
    <row r="50" spans="1:18" hidden="1" x14ac:dyDescent="0.2">
      <c r="A50">
        <v>6</v>
      </c>
      <c r="B50" t="s">
        <v>48</v>
      </c>
      <c r="E50" t="s">
        <v>29</v>
      </c>
      <c r="F50">
        <v>1854695</v>
      </c>
      <c r="G50">
        <v>3</v>
      </c>
      <c r="H50">
        <v>1</v>
      </c>
      <c r="I50">
        <v>901</v>
      </c>
      <c r="J50">
        <v>1971</v>
      </c>
      <c r="K50" s="4">
        <v>44103</v>
      </c>
      <c r="L50" t="s">
        <v>20</v>
      </c>
      <c r="M50" t="s">
        <v>45</v>
      </c>
      <c r="N50">
        <v>2.25</v>
      </c>
      <c r="O50">
        <v>1887</v>
      </c>
      <c r="P50">
        <v>4.32</v>
      </c>
      <c r="Q50">
        <v>209</v>
      </c>
      <c r="R50">
        <v>529</v>
      </c>
    </row>
    <row r="51" spans="1:18" hidden="1" x14ac:dyDescent="0.2">
      <c r="A51">
        <v>2</v>
      </c>
      <c r="B51" t="s">
        <v>50</v>
      </c>
      <c r="E51" t="s">
        <v>51</v>
      </c>
      <c r="F51">
        <v>2020143</v>
      </c>
      <c r="G51">
        <v>4</v>
      </c>
      <c r="H51">
        <v>1</v>
      </c>
      <c r="I51">
        <v>254</v>
      </c>
      <c r="J51">
        <v>1972</v>
      </c>
      <c r="K51" s="4">
        <v>44645</v>
      </c>
      <c r="L51" t="s">
        <v>30</v>
      </c>
      <c r="M51" t="s">
        <v>85</v>
      </c>
      <c r="N51">
        <v>2.31</v>
      </c>
      <c r="O51">
        <v>1474</v>
      </c>
      <c r="P51">
        <v>1.45</v>
      </c>
      <c r="Q51">
        <v>292</v>
      </c>
      <c r="R51">
        <v>429</v>
      </c>
    </row>
    <row r="52" spans="1:18" hidden="1" x14ac:dyDescent="0.2">
      <c r="A52">
        <v>0</v>
      </c>
      <c r="B52" t="s">
        <v>32</v>
      </c>
      <c r="E52" t="s">
        <v>19</v>
      </c>
      <c r="F52">
        <v>2239543</v>
      </c>
      <c r="G52">
        <v>1</v>
      </c>
      <c r="H52">
        <v>2</v>
      </c>
      <c r="I52">
        <v>586</v>
      </c>
      <c r="J52">
        <v>1986</v>
      </c>
      <c r="K52" s="4">
        <v>44383</v>
      </c>
      <c r="L52" t="s">
        <v>30</v>
      </c>
      <c r="M52" t="s">
        <v>63</v>
      </c>
      <c r="N52">
        <v>2.0099999999999998</v>
      </c>
      <c r="O52">
        <v>2350</v>
      </c>
      <c r="P52">
        <v>2.5499999999999998</v>
      </c>
      <c r="Q52">
        <v>65</v>
      </c>
      <c r="R52">
        <v>583</v>
      </c>
    </row>
    <row r="53" spans="1:18" hidden="1" x14ac:dyDescent="0.2">
      <c r="A53">
        <v>4</v>
      </c>
      <c r="B53" t="s">
        <v>39</v>
      </c>
      <c r="E53" t="s">
        <v>51</v>
      </c>
      <c r="F53">
        <v>1690089</v>
      </c>
      <c r="G53">
        <v>3</v>
      </c>
      <c r="H53">
        <v>2</v>
      </c>
      <c r="I53">
        <v>505</v>
      </c>
      <c r="J53">
        <v>1972</v>
      </c>
      <c r="K53" s="4">
        <v>45220</v>
      </c>
      <c r="L53" t="s">
        <v>30</v>
      </c>
      <c r="M53" t="s">
        <v>74</v>
      </c>
      <c r="N53">
        <v>3.42</v>
      </c>
      <c r="O53">
        <v>1966</v>
      </c>
      <c r="P53">
        <v>1.37</v>
      </c>
      <c r="Q53">
        <v>315</v>
      </c>
      <c r="R53">
        <v>658</v>
      </c>
    </row>
    <row r="54" spans="1:18" hidden="1" x14ac:dyDescent="0.2">
      <c r="A54">
        <v>2</v>
      </c>
      <c r="B54" t="s">
        <v>79</v>
      </c>
      <c r="E54" t="s">
        <v>36</v>
      </c>
      <c r="F54">
        <v>1579632</v>
      </c>
      <c r="G54">
        <v>4</v>
      </c>
      <c r="H54">
        <v>1</v>
      </c>
      <c r="I54">
        <v>714</v>
      </c>
      <c r="J54">
        <v>1959</v>
      </c>
      <c r="K54" s="4">
        <v>44561</v>
      </c>
      <c r="L54" t="s">
        <v>30</v>
      </c>
      <c r="M54" t="s">
        <v>69</v>
      </c>
      <c r="N54">
        <v>2.62</v>
      </c>
      <c r="O54">
        <v>2061</v>
      </c>
      <c r="P54">
        <v>2.14</v>
      </c>
      <c r="Q54">
        <v>163</v>
      </c>
      <c r="R54">
        <v>310</v>
      </c>
    </row>
    <row r="55" spans="1:18" hidden="1" x14ac:dyDescent="0.2">
      <c r="A55">
        <v>9</v>
      </c>
      <c r="B55" t="s">
        <v>67</v>
      </c>
      <c r="E55" t="s">
        <v>51</v>
      </c>
      <c r="F55">
        <v>494147</v>
      </c>
      <c r="G55">
        <v>3</v>
      </c>
      <c r="H55">
        <v>1</v>
      </c>
      <c r="I55">
        <v>790</v>
      </c>
      <c r="J55">
        <v>1953</v>
      </c>
      <c r="K55" s="4">
        <v>45183</v>
      </c>
      <c r="L55" t="s">
        <v>20</v>
      </c>
      <c r="M55" t="s">
        <v>78</v>
      </c>
      <c r="N55">
        <v>1.8</v>
      </c>
      <c r="O55">
        <v>2062</v>
      </c>
      <c r="P55">
        <v>3.05</v>
      </c>
      <c r="Q55">
        <v>184</v>
      </c>
      <c r="R55">
        <v>408</v>
      </c>
    </row>
    <row r="56" spans="1:18" x14ac:dyDescent="0.2">
      <c r="A56">
        <v>8</v>
      </c>
      <c r="B56" t="s">
        <v>99</v>
      </c>
      <c r="E56" t="s">
        <v>19</v>
      </c>
      <c r="F56">
        <v>2085921</v>
      </c>
      <c r="G56">
        <v>6</v>
      </c>
      <c r="H56">
        <v>1</v>
      </c>
      <c r="I56">
        <v>998</v>
      </c>
      <c r="J56">
        <v>2021</v>
      </c>
      <c r="K56" s="4">
        <v>44512</v>
      </c>
      <c r="L56" t="s">
        <v>26</v>
      </c>
      <c r="M56" t="s">
        <v>37</v>
      </c>
      <c r="N56">
        <v>1.52</v>
      </c>
      <c r="O56">
        <v>1700</v>
      </c>
      <c r="P56">
        <v>4.09</v>
      </c>
      <c r="Q56">
        <v>355</v>
      </c>
      <c r="R56">
        <v>450</v>
      </c>
    </row>
    <row r="57" spans="1:18" hidden="1" x14ac:dyDescent="0.2">
      <c r="A57">
        <v>6</v>
      </c>
      <c r="B57" t="s">
        <v>48</v>
      </c>
      <c r="E57" t="s">
        <v>51</v>
      </c>
      <c r="F57">
        <v>1265093</v>
      </c>
      <c r="G57">
        <v>2</v>
      </c>
      <c r="H57">
        <v>1</v>
      </c>
      <c r="I57">
        <v>784</v>
      </c>
      <c r="J57">
        <v>1979</v>
      </c>
      <c r="K57" s="4">
        <v>44742</v>
      </c>
      <c r="L57" t="s">
        <v>26</v>
      </c>
      <c r="M57" t="s">
        <v>97</v>
      </c>
      <c r="N57">
        <v>2.59</v>
      </c>
      <c r="O57">
        <v>1356</v>
      </c>
      <c r="P57">
        <v>1.05</v>
      </c>
      <c r="Q57">
        <v>227</v>
      </c>
      <c r="R57">
        <v>337</v>
      </c>
    </row>
    <row r="58" spans="1:18" hidden="1" x14ac:dyDescent="0.2">
      <c r="A58">
        <v>3</v>
      </c>
      <c r="B58" t="s">
        <v>83</v>
      </c>
      <c r="E58" t="s">
        <v>51</v>
      </c>
      <c r="F58">
        <v>980954</v>
      </c>
      <c r="G58">
        <v>2</v>
      </c>
      <c r="H58">
        <v>1</v>
      </c>
      <c r="I58">
        <v>627</v>
      </c>
      <c r="J58">
        <v>2000</v>
      </c>
      <c r="K58" s="4">
        <v>44894</v>
      </c>
      <c r="L58" t="s">
        <v>30</v>
      </c>
      <c r="M58" t="s">
        <v>77</v>
      </c>
      <c r="N58">
        <v>3.44</v>
      </c>
      <c r="O58">
        <v>2452</v>
      </c>
      <c r="P58">
        <v>3.04</v>
      </c>
      <c r="Q58">
        <v>116</v>
      </c>
      <c r="R58">
        <v>572</v>
      </c>
    </row>
    <row r="59" spans="1:18" hidden="1" x14ac:dyDescent="0.2">
      <c r="A59">
        <v>2</v>
      </c>
      <c r="B59" t="s">
        <v>98</v>
      </c>
      <c r="E59" t="s">
        <v>36</v>
      </c>
      <c r="F59">
        <v>1995915</v>
      </c>
      <c r="G59">
        <v>4</v>
      </c>
      <c r="H59">
        <v>3</v>
      </c>
      <c r="I59">
        <v>241</v>
      </c>
      <c r="J59">
        <v>1955</v>
      </c>
      <c r="K59" s="4">
        <v>44639</v>
      </c>
      <c r="L59" t="s">
        <v>30</v>
      </c>
      <c r="M59" t="s">
        <v>70</v>
      </c>
      <c r="N59">
        <v>2.1</v>
      </c>
      <c r="O59">
        <v>897</v>
      </c>
      <c r="P59">
        <v>4.8899999999999997</v>
      </c>
      <c r="Q59">
        <v>372</v>
      </c>
      <c r="R59">
        <v>604</v>
      </c>
    </row>
    <row r="60" spans="1:18" hidden="1" x14ac:dyDescent="0.2">
      <c r="A60">
        <v>3</v>
      </c>
      <c r="B60" t="s">
        <v>64</v>
      </c>
      <c r="E60" t="s">
        <v>51</v>
      </c>
      <c r="F60">
        <v>2900417</v>
      </c>
      <c r="G60">
        <v>0</v>
      </c>
      <c r="H60">
        <v>3</v>
      </c>
      <c r="I60">
        <v>416</v>
      </c>
      <c r="J60">
        <v>2010</v>
      </c>
      <c r="K60" s="4">
        <v>44511</v>
      </c>
      <c r="L60" t="s">
        <v>30</v>
      </c>
      <c r="M60" t="s">
        <v>31</v>
      </c>
      <c r="N60">
        <v>3.48</v>
      </c>
      <c r="O60">
        <v>2183</v>
      </c>
      <c r="P60">
        <v>3.83</v>
      </c>
      <c r="Q60">
        <v>59</v>
      </c>
      <c r="R60">
        <v>482</v>
      </c>
    </row>
    <row r="61" spans="1:18" hidden="1" x14ac:dyDescent="0.2">
      <c r="A61">
        <v>0</v>
      </c>
      <c r="B61" t="s">
        <v>102</v>
      </c>
      <c r="E61" t="s">
        <v>51</v>
      </c>
      <c r="F61">
        <v>2254111</v>
      </c>
      <c r="G61">
        <v>2</v>
      </c>
      <c r="H61">
        <v>2</v>
      </c>
      <c r="I61">
        <v>312</v>
      </c>
      <c r="J61">
        <v>1969</v>
      </c>
      <c r="K61" s="4">
        <v>44460</v>
      </c>
      <c r="L61" t="s">
        <v>20</v>
      </c>
      <c r="M61" t="s">
        <v>37</v>
      </c>
      <c r="N61">
        <v>1.56</v>
      </c>
      <c r="O61">
        <v>1647</v>
      </c>
      <c r="P61">
        <v>4.7</v>
      </c>
      <c r="Q61">
        <v>58</v>
      </c>
      <c r="R61">
        <v>397</v>
      </c>
    </row>
    <row r="62" spans="1:18" hidden="1" x14ac:dyDescent="0.2">
      <c r="A62">
        <v>0</v>
      </c>
      <c r="B62" t="s">
        <v>50</v>
      </c>
      <c r="E62" t="s">
        <v>51</v>
      </c>
      <c r="F62">
        <v>2664502</v>
      </c>
      <c r="G62">
        <v>0</v>
      </c>
      <c r="H62">
        <v>2</v>
      </c>
      <c r="I62">
        <v>572</v>
      </c>
      <c r="J62">
        <v>2016</v>
      </c>
      <c r="K62" s="4">
        <v>45740</v>
      </c>
      <c r="L62" t="s">
        <v>26</v>
      </c>
      <c r="M62" t="s">
        <v>74</v>
      </c>
      <c r="N62">
        <v>3.15</v>
      </c>
      <c r="O62">
        <v>891</v>
      </c>
      <c r="P62">
        <v>0.71</v>
      </c>
      <c r="Q62">
        <v>79</v>
      </c>
      <c r="R62">
        <v>352</v>
      </c>
    </row>
    <row r="63" spans="1:18" hidden="1" x14ac:dyDescent="0.2">
      <c r="A63">
        <v>3</v>
      </c>
      <c r="B63" t="s">
        <v>32</v>
      </c>
      <c r="E63" t="s">
        <v>36</v>
      </c>
      <c r="F63">
        <v>1833385</v>
      </c>
      <c r="G63">
        <v>4</v>
      </c>
      <c r="H63">
        <v>1</v>
      </c>
      <c r="I63">
        <v>281</v>
      </c>
      <c r="J63">
        <v>2014</v>
      </c>
      <c r="K63" s="4">
        <v>45359</v>
      </c>
      <c r="L63" t="s">
        <v>26</v>
      </c>
      <c r="M63" t="s">
        <v>21</v>
      </c>
      <c r="N63">
        <v>3.41</v>
      </c>
      <c r="O63">
        <v>980</v>
      </c>
      <c r="P63">
        <v>4.34</v>
      </c>
      <c r="Q63">
        <v>271</v>
      </c>
      <c r="R63">
        <v>699</v>
      </c>
    </row>
    <row r="64" spans="1:18" hidden="1" x14ac:dyDescent="0.2">
      <c r="A64">
        <v>7</v>
      </c>
      <c r="B64" t="s">
        <v>106</v>
      </c>
      <c r="E64" t="s">
        <v>51</v>
      </c>
      <c r="F64">
        <v>1411887</v>
      </c>
      <c r="G64">
        <v>3</v>
      </c>
      <c r="H64">
        <v>1</v>
      </c>
      <c r="I64">
        <v>151</v>
      </c>
      <c r="J64">
        <v>2018</v>
      </c>
      <c r="K64" s="4">
        <v>44092</v>
      </c>
      <c r="L64" t="s">
        <v>30</v>
      </c>
      <c r="M64" t="s">
        <v>97</v>
      </c>
      <c r="N64">
        <v>3.12</v>
      </c>
      <c r="O64">
        <v>2331</v>
      </c>
      <c r="P64">
        <v>3.15</v>
      </c>
      <c r="Q64">
        <v>300</v>
      </c>
      <c r="R64">
        <v>538</v>
      </c>
    </row>
    <row r="65" spans="1:18" hidden="1" x14ac:dyDescent="0.2">
      <c r="A65">
        <v>7</v>
      </c>
      <c r="B65" t="s">
        <v>18</v>
      </c>
      <c r="E65" t="s">
        <v>51</v>
      </c>
      <c r="F65">
        <v>2251516</v>
      </c>
      <c r="G65">
        <v>1</v>
      </c>
      <c r="H65">
        <v>2</v>
      </c>
      <c r="I65">
        <v>725</v>
      </c>
      <c r="J65">
        <v>1991</v>
      </c>
      <c r="K65" s="4">
        <v>45718</v>
      </c>
      <c r="L65" t="s">
        <v>26</v>
      </c>
      <c r="M65" t="s">
        <v>56</v>
      </c>
      <c r="N65">
        <v>2.14</v>
      </c>
      <c r="O65">
        <v>1812</v>
      </c>
      <c r="P65">
        <v>1.75</v>
      </c>
      <c r="Q65">
        <v>60</v>
      </c>
      <c r="R65">
        <v>385</v>
      </c>
    </row>
    <row r="66" spans="1:18" hidden="1" x14ac:dyDescent="0.2">
      <c r="A66">
        <v>4</v>
      </c>
      <c r="B66" t="s">
        <v>38</v>
      </c>
      <c r="E66" t="s">
        <v>51</v>
      </c>
      <c r="F66">
        <v>2639521</v>
      </c>
      <c r="G66">
        <v>1</v>
      </c>
      <c r="H66">
        <v>3</v>
      </c>
      <c r="I66">
        <v>265</v>
      </c>
      <c r="J66">
        <v>1950</v>
      </c>
      <c r="K66" s="4">
        <v>44328</v>
      </c>
      <c r="L66" t="s">
        <v>30</v>
      </c>
      <c r="M66" t="s">
        <v>21</v>
      </c>
      <c r="N66">
        <v>1.65</v>
      </c>
      <c r="O66">
        <v>1287</v>
      </c>
      <c r="P66">
        <v>0.57999999999999996</v>
      </c>
      <c r="Q66">
        <v>80</v>
      </c>
      <c r="R66">
        <v>384</v>
      </c>
    </row>
    <row r="67" spans="1:18" hidden="1" x14ac:dyDescent="0.2">
      <c r="A67">
        <v>4</v>
      </c>
      <c r="B67" t="s">
        <v>90</v>
      </c>
      <c r="E67" t="s">
        <v>19</v>
      </c>
      <c r="F67">
        <v>2948168</v>
      </c>
      <c r="G67">
        <v>2</v>
      </c>
      <c r="H67">
        <v>1</v>
      </c>
      <c r="I67">
        <v>215</v>
      </c>
      <c r="J67">
        <v>1976</v>
      </c>
      <c r="K67" s="4">
        <v>44530</v>
      </c>
      <c r="L67" t="s">
        <v>20</v>
      </c>
      <c r="M67" t="s">
        <v>76</v>
      </c>
      <c r="N67">
        <v>3.32</v>
      </c>
      <c r="O67">
        <v>852</v>
      </c>
      <c r="P67">
        <v>1.5</v>
      </c>
      <c r="Q67">
        <v>140</v>
      </c>
      <c r="R67">
        <v>688</v>
      </c>
    </row>
    <row r="68" spans="1:18" x14ac:dyDescent="0.2">
      <c r="A68">
        <v>8</v>
      </c>
      <c r="B68" t="s">
        <v>73</v>
      </c>
      <c r="E68" t="s">
        <v>19</v>
      </c>
      <c r="F68">
        <v>1484200</v>
      </c>
      <c r="G68">
        <v>2</v>
      </c>
      <c r="H68">
        <v>2</v>
      </c>
      <c r="I68">
        <v>948</v>
      </c>
      <c r="J68">
        <v>1998</v>
      </c>
      <c r="K68" s="4">
        <v>44179</v>
      </c>
      <c r="L68" t="s">
        <v>23</v>
      </c>
      <c r="M68" t="s">
        <v>21</v>
      </c>
      <c r="N68">
        <v>3.42</v>
      </c>
      <c r="O68">
        <v>1487</v>
      </c>
      <c r="P68">
        <v>4.03</v>
      </c>
      <c r="Q68">
        <v>116</v>
      </c>
      <c r="R68">
        <v>658</v>
      </c>
    </row>
    <row r="69" spans="1:18" hidden="1" x14ac:dyDescent="0.2">
      <c r="A69">
        <v>2</v>
      </c>
      <c r="B69" t="s">
        <v>94</v>
      </c>
      <c r="E69" t="s">
        <v>51</v>
      </c>
      <c r="F69">
        <v>1633616</v>
      </c>
      <c r="G69">
        <v>5</v>
      </c>
      <c r="H69">
        <v>3</v>
      </c>
      <c r="I69">
        <v>584</v>
      </c>
      <c r="J69">
        <v>1953</v>
      </c>
      <c r="K69" s="4">
        <v>44980</v>
      </c>
      <c r="L69" t="s">
        <v>20</v>
      </c>
      <c r="M69" t="s">
        <v>52</v>
      </c>
      <c r="N69">
        <v>2.16</v>
      </c>
      <c r="O69">
        <v>2337</v>
      </c>
      <c r="P69">
        <v>2.08</v>
      </c>
      <c r="Q69">
        <v>302</v>
      </c>
      <c r="R69">
        <v>419</v>
      </c>
    </row>
    <row r="70" spans="1:18" hidden="1" x14ac:dyDescent="0.2">
      <c r="A70">
        <v>6</v>
      </c>
      <c r="B70" t="s">
        <v>90</v>
      </c>
      <c r="E70" t="s">
        <v>36</v>
      </c>
      <c r="F70">
        <v>2914399</v>
      </c>
      <c r="G70">
        <v>3</v>
      </c>
      <c r="H70">
        <v>1</v>
      </c>
      <c r="I70">
        <v>284</v>
      </c>
      <c r="J70">
        <v>1993</v>
      </c>
      <c r="K70" s="4">
        <v>45408</v>
      </c>
      <c r="L70" t="s">
        <v>30</v>
      </c>
      <c r="M70" t="s">
        <v>31</v>
      </c>
      <c r="N70">
        <v>1.7</v>
      </c>
      <c r="O70">
        <v>1741</v>
      </c>
      <c r="P70">
        <v>2.29</v>
      </c>
      <c r="Q70">
        <v>246</v>
      </c>
      <c r="R70">
        <v>354</v>
      </c>
    </row>
    <row r="71" spans="1:18" hidden="1" x14ac:dyDescent="0.2">
      <c r="A71">
        <v>4</v>
      </c>
      <c r="B71" t="s">
        <v>81</v>
      </c>
      <c r="E71" t="s">
        <v>19</v>
      </c>
      <c r="F71">
        <v>1459070</v>
      </c>
      <c r="G71">
        <v>2</v>
      </c>
      <c r="H71">
        <v>3</v>
      </c>
      <c r="I71">
        <v>583</v>
      </c>
      <c r="J71">
        <v>1968</v>
      </c>
      <c r="K71" s="4">
        <v>45705</v>
      </c>
      <c r="L71" t="s">
        <v>23</v>
      </c>
      <c r="M71" t="s">
        <v>76</v>
      </c>
      <c r="N71">
        <v>2.7</v>
      </c>
      <c r="O71">
        <v>1727</v>
      </c>
      <c r="P71">
        <v>3.24</v>
      </c>
      <c r="Q71">
        <v>136</v>
      </c>
      <c r="R71">
        <v>650</v>
      </c>
    </row>
    <row r="72" spans="1:18" hidden="1" x14ac:dyDescent="0.2">
      <c r="A72">
        <v>0</v>
      </c>
      <c r="B72" t="s">
        <v>87</v>
      </c>
      <c r="E72" t="s">
        <v>51</v>
      </c>
      <c r="F72">
        <v>1817047</v>
      </c>
      <c r="G72">
        <v>4</v>
      </c>
      <c r="H72">
        <v>2</v>
      </c>
      <c r="I72">
        <v>786</v>
      </c>
      <c r="J72">
        <v>1957</v>
      </c>
      <c r="K72" s="4">
        <v>45067</v>
      </c>
      <c r="L72" t="s">
        <v>26</v>
      </c>
      <c r="M72" t="s">
        <v>78</v>
      </c>
      <c r="N72">
        <v>1.56</v>
      </c>
      <c r="O72">
        <v>2252</v>
      </c>
      <c r="P72">
        <v>0.72</v>
      </c>
      <c r="Q72">
        <v>241</v>
      </c>
      <c r="R72">
        <v>410</v>
      </c>
    </row>
    <row r="73" spans="1:18" hidden="1" x14ac:dyDescent="0.2">
      <c r="A73">
        <v>0</v>
      </c>
      <c r="B73" t="s">
        <v>83</v>
      </c>
      <c r="E73" t="s">
        <v>51</v>
      </c>
      <c r="F73">
        <v>2935312</v>
      </c>
      <c r="G73">
        <v>5</v>
      </c>
      <c r="H73">
        <v>1</v>
      </c>
      <c r="I73">
        <v>382</v>
      </c>
      <c r="J73">
        <v>1992</v>
      </c>
      <c r="K73" s="4">
        <v>45001</v>
      </c>
      <c r="L73" t="s">
        <v>26</v>
      </c>
      <c r="M73" t="s">
        <v>37</v>
      </c>
      <c r="N73">
        <v>1.66</v>
      </c>
      <c r="O73">
        <v>961</v>
      </c>
      <c r="P73">
        <v>4.71</v>
      </c>
      <c r="Q73">
        <v>272</v>
      </c>
      <c r="R73">
        <v>322</v>
      </c>
    </row>
    <row r="74" spans="1:18" hidden="1" x14ac:dyDescent="0.2">
      <c r="A74">
        <v>0</v>
      </c>
      <c r="B74" t="s">
        <v>53</v>
      </c>
      <c r="E74" t="s">
        <v>51</v>
      </c>
      <c r="F74">
        <v>1580090</v>
      </c>
      <c r="G74">
        <v>2</v>
      </c>
      <c r="H74">
        <v>2</v>
      </c>
      <c r="I74">
        <v>667</v>
      </c>
      <c r="J74">
        <v>1967</v>
      </c>
      <c r="K74" s="4">
        <v>44383</v>
      </c>
      <c r="L74" t="s">
        <v>26</v>
      </c>
      <c r="M74" t="s">
        <v>85</v>
      </c>
      <c r="N74">
        <v>1.57</v>
      </c>
      <c r="O74">
        <v>1239</v>
      </c>
      <c r="P74">
        <v>1.42</v>
      </c>
      <c r="Q74">
        <v>92</v>
      </c>
      <c r="R74">
        <v>500</v>
      </c>
    </row>
    <row r="75" spans="1:18" hidden="1" x14ac:dyDescent="0.2">
      <c r="A75">
        <v>2</v>
      </c>
      <c r="B75" t="s">
        <v>105</v>
      </c>
      <c r="E75" t="s">
        <v>36</v>
      </c>
      <c r="F75">
        <v>2376880</v>
      </c>
      <c r="G75">
        <v>5</v>
      </c>
      <c r="H75">
        <v>1</v>
      </c>
      <c r="I75">
        <v>956</v>
      </c>
      <c r="J75">
        <v>1998</v>
      </c>
      <c r="K75" s="4">
        <v>45095</v>
      </c>
      <c r="L75" t="s">
        <v>26</v>
      </c>
      <c r="M75" t="s">
        <v>89</v>
      </c>
      <c r="N75">
        <v>2.59</v>
      </c>
      <c r="O75">
        <v>1650</v>
      </c>
      <c r="P75">
        <v>2.1</v>
      </c>
      <c r="Q75">
        <v>290</v>
      </c>
      <c r="R75">
        <v>680</v>
      </c>
    </row>
    <row r="76" spans="1:18" hidden="1" x14ac:dyDescent="0.2">
      <c r="A76">
        <v>7</v>
      </c>
      <c r="B76" t="s">
        <v>34</v>
      </c>
      <c r="E76" t="s">
        <v>36</v>
      </c>
      <c r="F76">
        <v>990663</v>
      </c>
      <c r="G76">
        <v>3</v>
      </c>
      <c r="H76">
        <v>3</v>
      </c>
      <c r="I76">
        <v>375</v>
      </c>
      <c r="J76">
        <v>2017</v>
      </c>
      <c r="K76" s="4">
        <v>45000</v>
      </c>
      <c r="L76" t="s">
        <v>23</v>
      </c>
      <c r="M76" t="s">
        <v>24</v>
      </c>
      <c r="N76">
        <v>1.53</v>
      </c>
      <c r="O76">
        <v>2142</v>
      </c>
      <c r="P76">
        <v>3.16</v>
      </c>
      <c r="Q76">
        <v>230</v>
      </c>
      <c r="R76">
        <v>636</v>
      </c>
    </row>
    <row r="77" spans="1:18" hidden="1" x14ac:dyDescent="0.2">
      <c r="A77">
        <v>4</v>
      </c>
      <c r="B77" t="s">
        <v>105</v>
      </c>
      <c r="E77" t="s">
        <v>51</v>
      </c>
      <c r="F77">
        <v>691135</v>
      </c>
      <c r="G77">
        <v>5</v>
      </c>
      <c r="H77">
        <v>3</v>
      </c>
      <c r="I77">
        <v>768</v>
      </c>
      <c r="J77">
        <v>1991</v>
      </c>
      <c r="K77" s="4">
        <v>44575</v>
      </c>
      <c r="L77" t="s">
        <v>23</v>
      </c>
      <c r="M77" t="s">
        <v>58</v>
      </c>
      <c r="N77">
        <v>3</v>
      </c>
      <c r="O77">
        <v>851</v>
      </c>
      <c r="P77">
        <v>1.37</v>
      </c>
      <c r="Q77">
        <v>350</v>
      </c>
      <c r="R77">
        <v>442</v>
      </c>
    </row>
    <row r="78" spans="1:18" hidden="1" x14ac:dyDescent="0.2">
      <c r="A78">
        <v>2</v>
      </c>
      <c r="B78" t="s">
        <v>94</v>
      </c>
      <c r="E78" t="s">
        <v>29</v>
      </c>
      <c r="F78">
        <v>1532380</v>
      </c>
      <c r="G78">
        <v>4</v>
      </c>
      <c r="H78">
        <v>2</v>
      </c>
      <c r="I78">
        <v>332</v>
      </c>
      <c r="J78">
        <v>1972</v>
      </c>
      <c r="K78" s="4">
        <v>45591</v>
      </c>
      <c r="L78" t="s">
        <v>23</v>
      </c>
      <c r="M78" t="s">
        <v>59</v>
      </c>
      <c r="N78">
        <v>1.69</v>
      </c>
      <c r="O78">
        <v>883</v>
      </c>
      <c r="P78">
        <v>0.21</v>
      </c>
      <c r="Q78">
        <v>172</v>
      </c>
      <c r="R78">
        <v>688</v>
      </c>
    </row>
    <row r="79" spans="1:18" hidden="1" x14ac:dyDescent="0.2">
      <c r="A79">
        <v>5</v>
      </c>
      <c r="B79" t="s">
        <v>32</v>
      </c>
      <c r="E79" t="s">
        <v>51</v>
      </c>
      <c r="F79">
        <v>1493898</v>
      </c>
      <c r="G79">
        <v>3</v>
      </c>
      <c r="H79">
        <v>1</v>
      </c>
      <c r="I79">
        <v>251</v>
      </c>
      <c r="J79">
        <v>1971</v>
      </c>
      <c r="K79" s="4">
        <v>45455</v>
      </c>
      <c r="L79" t="s">
        <v>23</v>
      </c>
      <c r="M79" t="s">
        <v>78</v>
      </c>
      <c r="N79">
        <v>3.29</v>
      </c>
      <c r="O79">
        <v>1341</v>
      </c>
      <c r="P79">
        <v>3.13</v>
      </c>
      <c r="Q79">
        <v>231</v>
      </c>
      <c r="R79">
        <v>497</v>
      </c>
    </row>
    <row r="80" spans="1:18" hidden="1" x14ac:dyDescent="0.2">
      <c r="A80">
        <v>6</v>
      </c>
      <c r="B80" t="s">
        <v>95</v>
      </c>
      <c r="E80" t="s">
        <v>36</v>
      </c>
      <c r="F80">
        <v>1212119</v>
      </c>
      <c r="G80">
        <v>1</v>
      </c>
      <c r="H80">
        <v>1</v>
      </c>
      <c r="I80">
        <v>750</v>
      </c>
      <c r="J80">
        <v>2010</v>
      </c>
      <c r="K80" s="4">
        <v>44314</v>
      </c>
      <c r="L80" t="s">
        <v>23</v>
      </c>
      <c r="M80" t="s">
        <v>66</v>
      </c>
      <c r="N80">
        <v>3.37</v>
      </c>
      <c r="O80">
        <v>1319</v>
      </c>
      <c r="P80">
        <v>1.8</v>
      </c>
      <c r="Q80">
        <v>155</v>
      </c>
      <c r="R80">
        <v>634</v>
      </c>
    </row>
    <row r="81" spans="1:18" hidden="1" x14ac:dyDescent="0.2">
      <c r="A81">
        <v>3</v>
      </c>
      <c r="B81" t="s">
        <v>93</v>
      </c>
      <c r="E81" t="s">
        <v>29</v>
      </c>
      <c r="F81">
        <v>2360422</v>
      </c>
      <c r="G81">
        <v>5</v>
      </c>
      <c r="H81">
        <v>2</v>
      </c>
      <c r="I81">
        <v>948</v>
      </c>
      <c r="J81">
        <v>1977</v>
      </c>
      <c r="K81" s="4">
        <v>44605</v>
      </c>
      <c r="L81" t="s">
        <v>20</v>
      </c>
      <c r="M81" t="s">
        <v>58</v>
      </c>
      <c r="N81">
        <v>3.23</v>
      </c>
      <c r="O81">
        <v>1683</v>
      </c>
      <c r="P81">
        <v>1.62</v>
      </c>
      <c r="Q81">
        <v>346</v>
      </c>
      <c r="R81">
        <v>657</v>
      </c>
    </row>
    <row r="82" spans="1:18" x14ac:dyDescent="0.2">
      <c r="A82">
        <v>8</v>
      </c>
      <c r="B82" t="s">
        <v>91</v>
      </c>
      <c r="E82" t="s">
        <v>51</v>
      </c>
      <c r="F82">
        <v>1226492</v>
      </c>
      <c r="G82">
        <v>0</v>
      </c>
      <c r="H82">
        <v>2</v>
      </c>
      <c r="I82">
        <v>453</v>
      </c>
      <c r="J82">
        <v>1964</v>
      </c>
      <c r="K82" s="4">
        <v>44667</v>
      </c>
      <c r="L82" t="s">
        <v>23</v>
      </c>
      <c r="M82" t="s">
        <v>35</v>
      </c>
      <c r="N82">
        <v>2.08</v>
      </c>
      <c r="O82">
        <v>2087</v>
      </c>
      <c r="P82">
        <v>0.46</v>
      </c>
      <c r="Q82">
        <v>72</v>
      </c>
      <c r="R82">
        <v>556</v>
      </c>
    </row>
    <row r="83" spans="1:18" hidden="1" x14ac:dyDescent="0.2">
      <c r="A83">
        <v>6</v>
      </c>
      <c r="B83" t="s">
        <v>41</v>
      </c>
      <c r="E83" t="s">
        <v>36</v>
      </c>
      <c r="F83">
        <v>755550</v>
      </c>
      <c r="G83">
        <v>1</v>
      </c>
      <c r="H83">
        <v>2</v>
      </c>
      <c r="I83">
        <v>542</v>
      </c>
      <c r="J83">
        <v>1985</v>
      </c>
      <c r="K83" s="4">
        <v>44588</v>
      </c>
      <c r="L83" t="s">
        <v>30</v>
      </c>
      <c r="M83" t="s">
        <v>54</v>
      </c>
      <c r="N83">
        <v>1.7</v>
      </c>
      <c r="O83">
        <v>1556</v>
      </c>
      <c r="P83">
        <v>4.4800000000000004</v>
      </c>
      <c r="Q83">
        <v>137</v>
      </c>
      <c r="R83">
        <v>559</v>
      </c>
    </row>
    <row r="84" spans="1:18" hidden="1" x14ac:dyDescent="0.2">
      <c r="A84">
        <v>6</v>
      </c>
      <c r="B84" t="s">
        <v>43</v>
      </c>
      <c r="E84" t="s">
        <v>51</v>
      </c>
      <c r="F84">
        <v>1139513</v>
      </c>
      <c r="G84">
        <v>4</v>
      </c>
      <c r="H84">
        <v>1</v>
      </c>
      <c r="I84">
        <v>996</v>
      </c>
      <c r="J84">
        <v>1987</v>
      </c>
      <c r="K84" s="4">
        <v>44092</v>
      </c>
      <c r="L84" t="s">
        <v>26</v>
      </c>
      <c r="M84" t="s">
        <v>40</v>
      </c>
      <c r="N84">
        <v>1.96</v>
      </c>
      <c r="O84">
        <v>1089</v>
      </c>
      <c r="P84">
        <v>3.13</v>
      </c>
      <c r="Q84">
        <v>350</v>
      </c>
      <c r="R84">
        <v>349</v>
      </c>
    </row>
    <row r="85" spans="1:18" hidden="1" x14ac:dyDescent="0.2">
      <c r="A85">
        <v>6</v>
      </c>
      <c r="B85" t="s">
        <v>39</v>
      </c>
      <c r="E85" t="s">
        <v>29</v>
      </c>
      <c r="F85">
        <v>2416831</v>
      </c>
      <c r="G85">
        <v>5</v>
      </c>
      <c r="H85">
        <v>2</v>
      </c>
      <c r="I85">
        <v>361</v>
      </c>
      <c r="J85">
        <v>1990</v>
      </c>
      <c r="K85" s="4">
        <v>44672</v>
      </c>
      <c r="L85" t="s">
        <v>20</v>
      </c>
      <c r="M85" t="s">
        <v>47</v>
      </c>
      <c r="N85">
        <v>2.36</v>
      </c>
      <c r="O85">
        <v>1509</v>
      </c>
      <c r="P85">
        <v>4.4000000000000004</v>
      </c>
      <c r="Q85">
        <v>250</v>
      </c>
      <c r="R85">
        <v>660</v>
      </c>
    </row>
    <row r="86" spans="1:18" hidden="1" x14ac:dyDescent="0.2">
      <c r="A86">
        <v>2</v>
      </c>
      <c r="B86" t="s">
        <v>34</v>
      </c>
      <c r="E86" t="s">
        <v>29</v>
      </c>
      <c r="F86">
        <v>1128096</v>
      </c>
      <c r="G86">
        <v>3</v>
      </c>
      <c r="H86">
        <v>1</v>
      </c>
      <c r="I86">
        <v>931</v>
      </c>
      <c r="J86">
        <v>1998</v>
      </c>
      <c r="K86" s="4">
        <v>44906</v>
      </c>
      <c r="L86" t="s">
        <v>30</v>
      </c>
      <c r="M86" t="s">
        <v>60</v>
      </c>
      <c r="N86">
        <v>2.82</v>
      </c>
      <c r="O86">
        <v>1475</v>
      </c>
      <c r="P86">
        <v>2.44</v>
      </c>
      <c r="Q86">
        <v>206</v>
      </c>
      <c r="R86">
        <v>643</v>
      </c>
    </row>
    <row r="87" spans="1:18" hidden="1" x14ac:dyDescent="0.2">
      <c r="A87">
        <v>3</v>
      </c>
      <c r="B87" t="s">
        <v>94</v>
      </c>
      <c r="E87" t="s">
        <v>36</v>
      </c>
      <c r="F87">
        <v>2713954</v>
      </c>
      <c r="G87">
        <v>3</v>
      </c>
      <c r="H87">
        <v>1</v>
      </c>
      <c r="I87">
        <v>552</v>
      </c>
      <c r="J87">
        <v>1972</v>
      </c>
      <c r="K87" s="4">
        <v>45776</v>
      </c>
      <c r="L87" t="s">
        <v>30</v>
      </c>
      <c r="M87" t="s">
        <v>60</v>
      </c>
      <c r="N87">
        <v>2.5</v>
      </c>
      <c r="O87">
        <v>2281</v>
      </c>
      <c r="P87">
        <v>1.07</v>
      </c>
      <c r="Q87">
        <v>169</v>
      </c>
      <c r="R87">
        <v>386</v>
      </c>
    </row>
    <row r="88" spans="1:18" hidden="1" x14ac:dyDescent="0.2">
      <c r="A88">
        <v>9</v>
      </c>
      <c r="B88" t="s">
        <v>34</v>
      </c>
      <c r="E88" t="s">
        <v>51</v>
      </c>
      <c r="F88">
        <v>2813121</v>
      </c>
      <c r="G88">
        <v>6</v>
      </c>
      <c r="H88">
        <v>3</v>
      </c>
      <c r="I88">
        <v>283</v>
      </c>
      <c r="J88">
        <v>1969</v>
      </c>
      <c r="K88" s="4">
        <v>45212</v>
      </c>
      <c r="L88" t="s">
        <v>20</v>
      </c>
      <c r="M88" t="s">
        <v>33</v>
      </c>
      <c r="N88">
        <v>2.86</v>
      </c>
      <c r="O88">
        <v>1415</v>
      </c>
      <c r="P88">
        <v>0.44</v>
      </c>
      <c r="Q88">
        <v>372</v>
      </c>
      <c r="R88">
        <v>449</v>
      </c>
    </row>
    <row r="89" spans="1:18" hidden="1" x14ac:dyDescent="0.2">
      <c r="A89">
        <v>1</v>
      </c>
      <c r="B89" t="s">
        <v>79</v>
      </c>
      <c r="E89" t="s">
        <v>19</v>
      </c>
      <c r="F89">
        <v>881816</v>
      </c>
      <c r="G89">
        <v>3</v>
      </c>
      <c r="H89">
        <v>2</v>
      </c>
      <c r="I89">
        <v>738</v>
      </c>
      <c r="J89">
        <v>1984</v>
      </c>
      <c r="K89" s="4">
        <v>45355</v>
      </c>
      <c r="L89" t="s">
        <v>30</v>
      </c>
      <c r="M89" t="s">
        <v>24</v>
      </c>
      <c r="N89">
        <v>1.8</v>
      </c>
      <c r="O89">
        <v>1303</v>
      </c>
      <c r="P89">
        <v>1.84</v>
      </c>
      <c r="Q89">
        <v>188</v>
      </c>
      <c r="R89">
        <v>425</v>
      </c>
    </row>
    <row r="90" spans="1:18" hidden="1" x14ac:dyDescent="0.2">
      <c r="A90">
        <v>5</v>
      </c>
      <c r="B90" t="s">
        <v>101</v>
      </c>
      <c r="E90" t="s">
        <v>36</v>
      </c>
      <c r="F90">
        <v>2848223</v>
      </c>
      <c r="G90">
        <v>2</v>
      </c>
      <c r="H90">
        <v>1</v>
      </c>
      <c r="I90">
        <v>386</v>
      </c>
      <c r="J90">
        <v>1976</v>
      </c>
      <c r="K90" s="4">
        <v>45314</v>
      </c>
      <c r="L90" t="s">
        <v>20</v>
      </c>
      <c r="M90" t="s">
        <v>45</v>
      </c>
      <c r="N90">
        <v>1.85</v>
      </c>
      <c r="O90">
        <v>2137</v>
      </c>
      <c r="P90">
        <v>3.96</v>
      </c>
      <c r="Q90">
        <v>104</v>
      </c>
      <c r="R90">
        <v>517</v>
      </c>
    </row>
    <row r="91" spans="1:18" hidden="1" x14ac:dyDescent="0.2">
      <c r="A91">
        <v>3</v>
      </c>
      <c r="B91" t="s">
        <v>93</v>
      </c>
      <c r="E91" t="s">
        <v>51</v>
      </c>
      <c r="F91">
        <v>2029488</v>
      </c>
      <c r="G91">
        <v>5</v>
      </c>
      <c r="H91">
        <v>1</v>
      </c>
      <c r="I91">
        <v>524</v>
      </c>
      <c r="J91">
        <v>1982</v>
      </c>
      <c r="K91" s="4">
        <v>45855</v>
      </c>
      <c r="L91" t="s">
        <v>26</v>
      </c>
      <c r="M91" t="s">
        <v>69</v>
      </c>
      <c r="N91">
        <v>2.82</v>
      </c>
      <c r="O91">
        <v>2045</v>
      </c>
      <c r="P91">
        <v>3.06</v>
      </c>
      <c r="Q91">
        <v>274</v>
      </c>
      <c r="R91">
        <v>422</v>
      </c>
    </row>
    <row r="92" spans="1:18" hidden="1" x14ac:dyDescent="0.2">
      <c r="A92">
        <v>2</v>
      </c>
      <c r="B92" t="s">
        <v>67</v>
      </c>
      <c r="E92" t="s">
        <v>19</v>
      </c>
      <c r="F92">
        <v>1740428</v>
      </c>
      <c r="G92">
        <v>3</v>
      </c>
      <c r="H92">
        <v>1</v>
      </c>
      <c r="I92">
        <v>92</v>
      </c>
      <c r="J92">
        <v>1968</v>
      </c>
      <c r="K92" s="4">
        <v>45261</v>
      </c>
      <c r="L92" t="s">
        <v>23</v>
      </c>
      <c r="M92" t="s">
        <v>74</v>
      </c>
      <c r="N92">
        <v>2.61</v>
      </c>
      <c r="O92">
        <v>1627</v>
      </c>
      <c r="P92">
        <v>2.63</v>
      </c>
      <c r="Q92">
        <v>254</v>
      </c>
      <c r="R92">
        <v>404</v>
      </c>
    </row>
    <row r="93" spans="1:18" hidden="1" x14ac:dyDescent="0.2">
      <c r="A93">
        <v>4</v>
      </c>
      <c r="B93" t="s">
        <v>71</v>
      </c>
      <c r="E93" t="s">
        <v>51</v>
      </c>
      <c r="F93">
        <v>1892543</v>
      </c>
      <c r="G93">
        <v>3</v>
      </c>
      <c r="H93">
        <v>3</v>
      </c>
      <c r="I93">
        <v>719</v>
      </c>
      <c r="J93">
        <v>2012</v>
      </c>
      <c r="K93" s="4">
        <v>45869</v>
      </c>
      <c r="L93" t="s">
        <v>26</v>
      </c>
      <c r="M93" t="s">
        <v>69</v>
      </c>
      <c r="N93">
        <v>2.76</v>
      </c>
      <c r="O93">
        <v>2268</v>
      </c>
      <c r="P93">
        <v>3.55</v>
      </c>
      <c r="Q93">
        <v>112</v>
      </c>
      <c r="R93">
        <v>623</v>
      </c>
    </row>
    <row r="94" spans="1:18" hidden="1" x14ac:dyDescent="0.2">
      <c r="A94">
        <v>4</v>
      </c>
      <c r="B94" t="s">
        <v>92</v>
      </c>
      <c r="E94" t="s">
        <v>51</v>
      </c>
      <c r="F94">
        <v>1626201</v>
      </c>
      <c r="G94">
        <v>4</v>
      </c>
      <c r="H94">
        <v>2</v>
      </c>
      <c r="I94">
        <v>528</v>
      </c>
      <c r="J94">
        <v>1974</v>
      </c>
      <c r="K94" s="4">
        <v>44187</v>
      </c>
      <c r="L94" t="s">
        <v>20</v>
      </c>
      <c r="M94" t="s">
        <v>69</v>
      </c>
      <c r="N94">
        <v>1.98</v>
      </c>
      <c r="O94">
        <v>1730</v>
      </c>
      <c r="P94">
        <v>4.8099999999999996</v>
      </c>
      <c r="Q94">
        <v>216</v>
      </c>
      <c r="R94">
        <v>640</v>
      </c>
    </row>
    <row r="95" spans="1:18" hidden="1" x14ac:dyDescent="0.2">
      <c r="A95">
        <v>1</v>
      </c>
      <c r="B95" t="s">
        <v>65</v>
      </c>
      <c r="E95" t="s">
        <v>29</v>
      </c>
      <c r="F95">
        <v>2300067</v>
      </c>
      <c r="G95">
        <v>2</v>
      </c>
      <c r="H95">
        <v>2</v>
      </c>
      <c r="I95">
        <v>488</v>
      </c>
      <c r="J95">
        <v>1954</v>
      </c>
      <c r="K95" s="4">
        <v>45531</v>
      </c>
      <c r="L95" t="s">
        <v>23</v>
      </c>
      <c r="M95" t="s">
        <v>58</v>
      </c>
      <c r="N95">
        <v>1.63</v>
      </c>
      <c r="O95">
        <v>1713</v>
      </c>
      <c r="P95">
        <v>0.2</v>
      </c>
      <c r="Q95">
        <v>152</v>
      </c>
      <c r="R95">
        <v>498</v>
      </c>
    </row>
    <row r="96" spans="1:18" hidden="1" x14ac:dyDescent="0.2">
      <c r="A96">
        <v>3</v>
      </c>
      <c r="B96" t="s">
        <v>50</v>
      </c>
      <c r="E96" t="s">
        <v>19</v>
      </c>
      <c r="F96">
        <v>466781</v>
      </c>
      <c r="G96">
        <v>0</v>
      </c>
      <c r="H96">
        <v>3</v>
      </c>
      <c r="I96">
        <v>663</v>
      </c>
      <c r="J96">
        <v>1967</v>
      </c>
      <c r="K96" s="4">
        <v>45509</v>
      </c>
      <c r="L96" t="s">
        <v>26</v>
      </c>
      <c r="M96" t="s">
        <v>66</v>
      </c>
      <c r="N96">
        <v>2.73</v>
      </c>
      <c r="O96">
        <v>1910</v>
      </c>
      <c r="P96">
        <v>1.8</v>
      </c>
      <c r="Q96">
        <v>76</v>
      </c>
      <c r="R96">
        <v>571</v>
      </c>
    </row>
    <row r="97" spans="1:18" hidden="1" x14ac:dyDescent="0.2">
      <c r="A97">
        <v>0</v>
      </c>
      <c r="B97" t="s">
        <v>72</v>
      </c>
      <c r="E97" t="s">
        <v>36</v>
      </c>
      <c r="F97">
        <v>2465986</v>
      </c>
      <c r="G97">
        <v>4</v>
      </c>
      <c r="H97">
        <v>2</v>
      </c>
      <c r="I97">
        <v>809</v>
      </c>
      <c r="J97">
        <v>1958</v>
      </c>
      <c r="K97" s="4">
        <v>45407</v>
      </c>
      <c r="L97" t="s">
        <v>26</v>
      </c>
      <c r="M97" t="s">
        <v>54</v>
      </c>
      <c r="N97">
        <v>1.91</v>
      </c>
      <c r="O97">
        <v>2181</v>
      </c>
      <c r="P97">
        <v>2.78</v>
      </c>
      <c r="Q97">
        <v>366</v>
      </c>
      <c r="R97">
        <v>420</v>
      </c>
    </row>
    <row r="98" spans="1:18" hidden="1" x14ac:dyDescent="0.2">
      <c r="A98">
        <v>5</v>
      </c>
      <c r="B98" t="s">
        <v>64</v>
      </c>
      <c r="E98" t="s">
        <v>36</v>
      </c>
      <c r="F98">
        <v>2672341</v>
      </c>
      <c r="G98">
        <v>4</v>
      </c>
      <c r="H98">
        <v>1</v>
      </c>
      <c r="I98">
        <v>500</v>
      </c>
      <c r="J98">
        <v>1951</v>
      </c>
      <c r="K98" s="4">
        <v>45566</v>
      </c>
      <c r="L98" t="s">
        <v>26</v>
      </c>
      <c r="M98" t="s">
        <v>66</v>
      </c>
      <c r="N98">
        <v>3.25</v>
      </c>
      <c r="O98">
        <v>2227</v>
      </c>
      <c r="P98">
        <v>4.92</v>
      </c>
      <c r="Q98">
        <v>349</v>
      </c>
      <c r="R98">
        <v>554</v>
      </c>
    </row>
    <row r="99" spans="1:18" hidden="1" x14ac:dyDescent="0.2">
      <c r="A99">
        <v>3</v>
      </c>
      <c r="B99" t="s">
        <v>72</v>
      </c>
      <c r="E99" t="s">
        <v>19</v>
      </c>
      <c r="F99">
        <v>2054716</v>
      </c>
      <c r="G99">
        <v>4</v>
      </c>
      <c r="H99">
        <v>1</v>
      </c>
      <c r="I99">
        <v>969</v>
      </c>
      <c r="J99">
        <v>1993</v>
      </c>
      <c r="K99" s="4">
        <v>45277</v>
      </c>
      <c r="L99" t="s">
        <v>30</v>
      </c>
      <c r="M99" t="s">
        <v>70</v>
      </c>
      <c r="N99">
        <v>1.93</v>
      </c>
      <c r="O99">
        <v>978</v>
      </c>
      <c r="P99">
        <v>4.32</v>
      </c>
      <c r="Q99">
        <v>326</v>
      </c>
      <c r="R99">
        <v>510</v>
      </c>
    </row>
    <row r="100" spans="1:18" hidden="1" x14ac:dyDescent="0.2">
      <c r="A100">
        <v>2</v>
      </c>
      <c r="B100" t="s">
        <v>81</v>
      </c>
      <c r="E100" t="s">
        <v>51</v>
      </c>
      <c r="F100">
        <v>406239</v>
      </c>
      <c r="G100">
        <v>4</v>
      </c>
      <c r="H100">
        <v>2</v>
      </c>
      <c r="I100">
        <v>630</v>
      </c>
      <c r="J100">
        <v>1958</v>
      </c>
      <c r="K100" s="4">
        <v>44766</v>
      </c>
      <c r="L100" t="s">
        <v>23</v>
      </c>
      <c r="M100" t="s">
        <v>76</v>
      </c>
      <c r="N100">
        <v>1.88</v>
      </c>
      <c r="O100">
        <v>940</v>
      </c>
      <c r="P100">
        <v>0.85</v>
      </c>
      <c r="Q100">
        <v>266</v>
      </c>
      <c r="R100">
        <v>514</v>
      </c>
    </row>
    <row r="101" spans="1:18" hidden="1" x14ac:dyDescent="0.2">
      <c r="A101">
        <v>6</v>
      </c>
      <c r="B101" t="s">
        <v>67</v>
      </c>
      <c r="E101" t="s">
        <v>29</v>
      </c>
      <c r="F101">
        <v>2874071</v>
      </c>
      <c r="G101">
        <v>0</v>
      </c>
      <c r="H101">
        <v>3</v>
      </c>
      <c r="I101">
        <v>590</v>
      </c>
      <c r="J101">
        <v>1966</v>
      </c>
      <c r="K101" s="4">
        <v>45144</v>
      </c>
      <c r="L101" t="s">
        <v>30</v>
      </c>
      <c r="M101" t="s">
        <v>31</v>
      </c>
      <c r="N101">
        <v>2.38</v>
      </c>
      <c r="O101">
        <v>1840</v>
      </c>
      <c r="P101">
        <v>3.12</v>
      </c>
      <c r="Q101">
        <v>48</v>
      </c>
      <c r="R101">
        <v>669</v>
      </c>
    </row>
    <row r="102" spans="1:18" hidden="1" x14ac:dyDescent="0.2">
      <c r="A102">
        <v>4</v>
      </c>
      <c r="B102" t="s">
        <v>25</v>
      </c>
      <c r="E102" t="s">
        <v>19</v>
      </c>
      <c r="F102">
        <v>2377115</v>
      </c>
      <c r="G102">
        <v>5</v>
      </c>
      <c r="H102">
        <v>3</v>
      </c>
      <c r="I102">
        <v>989</v>
      </c>
      <c r="J102">
        <v>1954</v>
      </c>
      <c r="K102" s="4">
        <v>45532</v>
      </c>
      <c r="L102" t="s">
        <v>20</v>
      </c>
      <c r="M102" t="s">
        <v>63</v>
      </c>
      <c r="N102">
        <v>2.71</v>
      </c>
      <c r="O102">
        <v>2114</v>
      </c>
      <c r="P102">
        <v>1.57</v>
      </c>
      <c r="Q102">
        <v>323</v>
      </c>
      <c r="R102">
        <v>663</v>
      </c>
    </row>
    <row r="103" spans="1:18" hidden="1" x14ac:dyDescent="0.2">
      <c r="A103">
        <v>1</v>
      </c>
      <c r="B103" t="s">
        <v>87</v>
      </c>
      <c r="E103" t="s">
        <v>29</v>
      </c>
      <c r="F103">
        <v>2378244</v>
      </c>
      <c r="G103">
        <v>1</v>
      </c>
      <c r="H103">
        <v>2</v>
      </c>
      <c r="I103">
        <v>761</v>
      </c>
      <c r="J103">
        <v>1955</v>
      </c>
      <c r="K103" s="4">
        <v>45158</v>
      </c>
      <c r="L103" t="s">
        <v>23</v>
      </c>
      <c r="M103" t="s">
        <v>74</v>
      </c>
      <c r="N103">
        <v>3.28</v>
      </c>
      <c r="O103">
        <v>1056</v>
      </c>
      <c r="P103">
        <v>4.87</v>
      </c>
      <c r="Q103">
        <v>159</v>
      </c>
      <c r="R103">
        <v>562</v>
      </c>
    </row>
    <row r="104" spans="1:18" hidden="1" x14ac:dyDescent="0.2">
      <c r="A104">
        <v>4</v>
      </c>
      <c r="B104" t="s">
        <v>84</v>
      </c>
      <c r="E104" t="s">
        <v>19</v>
      </c>
      <c r="F104">
        <v>1542491</v>
      </c>
      <c r="G104">
        <v>2</v>
      </c>
      <c r="H104">
        <v>2</v>
      </c>
      <c r="I104">
        <v>467</v>
      </c>
      <c r="J104">
        <v>1988</v>
      </c>
      <c r="K104" s="4">
        <v>44199</v>
      </c>
      <c r="L104" t="s">
        <v>26</v>
      </c>
      <c r="M104" t="s">
        <v>35</v>
      </c>
      <c r="N104">
        <v>3.26</v>
      </c>
      <c r="O104">
        <v>1781</v>
      </c>
      <c r="P104">
        <v>2.58</v>
      </c>
      <c r="Q104">
        <v>230</v>
      </c>
      <c r="R104">
        <v>571</v>
      </c>
    </row>
    <row r="105" spans="1:18" hidden="1" x14ac:dyDescent="0.2">
      <c r="A105">
        <v>1</v>
      </c>
      <c r="B105" t="s">
        <v>62</v>
      </c>
      <c r="E105" t="s">
        <v>19</v>
      </c>
      <c r="F105">
        <v>1557202</v>
      </c>
      <c r="G105">
        <v>2</v>
      </c>
      <c r="H105">
        <v>1</v>
      </c>
      <c r="I105">
        <v>603</v>
      </c>
      <c r="J105">
        <v>1978</v>
      </c>
      <c r="K105" s="4">
        <v>44070</v>
      </c>
      <c r="L105" t="s">
        <v>23</v>
      </c>
      <c r="M105" t="s">
        <v>82</v>
      </c>
      <c r="N105">
        <v>2.4700000000000002</v>
      </c>
      <c r="O105">
        <v>1113</v>
      </c>
      <c r="P105">
        <v>3.5</v>
      </c>
      <c r="Q105">
        <v>43</v>
      </c>
      <c r="R105">
        <v>514</v>
      </c>
    </row>
    <row r="106" spans="1:18" hidden="1" x14ac:dyDescent="0.2">
      <c r="A106">
        <v>0</v>
      </c>
      <c r="B106" t="s">
        <v>90</v>
      </c>
      <c r="E106" t="s">
        <v>36</v>
      </c>
      <c r="F106">
        <v>1104181</v>
      </c>
      <c r="G106">
        <v>3</v>
      </c>
      <c r="H106">
        <v>3</v>
      </c>
      <c r="I106">
        <v>666</v>
      </c>
      <c r="J106">
        <v>2018</v>
      </c>
      <c r="K106" s="4">
        <v>45469</v>
      </c>
      <c r="L106" t="s">
        <v>30</v>
      </c>
      <c r="M106" t="s">
        <v>33</v>
      </c>
      <c r="N106">
        <v>3.36</v>
      </c>
      <c r="O106">
        <v>2265</v>
      </c>
      <c r="P106">
        <v>0.85</v>
      </c>
      <c r="Q106">
        <v>135</v>
      </c>
      <c r="R106">
        <v>574</v>
      </c>
    </row>
    <row r="107" spans="1:18" hidden="1" x14ac:dyDescent="0.2">
      <c r="A107">
        <v>7</v>
      </c>
      <c r="B107" t="s">
        <v>99</v>
      </c>
      <c r="E107" t="s">
        <v>36</v>
      </c>
      <c r="F107">
        <v>1854747</v>
      </c>
      <c r="G107">
        <v>2</v>
      </c>
      <c r="H107">
        <v>1</v>
      </c>
      <c r="I107">
        <v>604</v>
      </c>
      <c r="J107">
        <v>2009</v>
      </c>
      <c r="K107" s="4">
        <v>45646</v>
      </c>
      <c r="L107" t="s">
        <v>30</v>
      </c>
      <c r="M107" t="s">
        <v>97</v>
      </c>
      <c r="N107">
        <v>3.46</v>
      </c>
      <c r="O107">
        <v>1846</v>
      </c>
      <c r="P107">
        <v>4.74</v>
      </c>
      <c r="Q107">
        <v>177</v>
      </c>
      <c r="R107">
        <v>404</v>
      </c>
    </row>
    <row r="108" spans="1:18" hidden="1" x14ac:dyDescent="0.2">
      <c r="A108">
        <v>3</v>
      </c>
      <c r="B108" t="s">
        <v>104</v>
      </c>
      <c r="E108" t="s">
        <v>51</v>
      </c>
      <c r="F108">
        <v>652364</v>
      </c>
      <c r="G108">
        <v>5</v>
      </c>
      <c r="H108">
        <v>2</v>
      </c>
      <c r="I108">
        <v>540</v>
      </c>
      <c r="J108">
        <v>1971</v>
      </c>
      <c r="K108" s="4">
        <v>45566</v>
      </c>
      <c r="L108" t="s">
        <v>20</v>
      </c>
      <c r="M108" t="s">
        <v>37</v>
      </c>
      <c r="N108">
        <v>1.88</v>
      </c>
      <c r="O108">
        <v>1302</v>
      </c>
      <c r="P108">
        <v>1.55</v>
      </c>
      <c r="Q108">
        <v>243</v>
      </c>
      <c r="R108">
        <v>652</v>
      </c>
    </row>
    <row r="109" spans="1:18" hidden="1" x14ac:dyDescent="0.2">
      <c r="A109">
        <v>5</v>
      </c>
      <c r="B109" t="s">
        <v>64</v>
      </c>
      <c r="E109" t="s">
        <v>19</v>
      </c>
      <c r="F109">
        <v>2573638</v>
      </c>
      <c r="G109">
        <v>3</v>
      </c>
      <c r="H109">
        <v>3</v>
      </c>
      <c r="I109">
        <v>839</v>
      </c>
      <c r="J109">
        <v>2010</v>
      </c>
      <c r="K109" s="4">
        <v>44601</v>
      </c>
      <c r="L109" t="s">
        <v>30</v>
      </c>
      <c r="M109" t="s">
        <v>31</v>
      </c>
      <c r="N109">
        <v>2.3199999999999998</v>
      </c>
      <c r="O109">
        <v>951</v>
      </c>
      <c r="P109">
        <v>2.13</v>
      </c>
      <c r="Q109">
        <v>245</v>
      </c>
      <c r="R109">
        <v>628</v>
      </c>
    </row>
    <row r="110" spans="1:18" hidden="1" x14ac:dyDescent="0.2">
      <c r="A110">
        <v>5</v>
      </c>
      <c r="B110" t="s">
        <v>102</v>
      </c>
      <c r="E110" t="s">
        <v>36</v>
      </c>
      <c r="F110">
        <v>2807812</v>
      </c>
      <c r="G110">
        <v>4</v>
      </c>
      <c r="H110">
        <v>3</v>
      </c>
      <c r="I110">
        <v>66</v>
      </c>
      <c r="J110">
        <v>1958</v>
      </c>
      <c r="K110" s="4">
        <v>45751</v>
      </c>
      <c r="L110" t="s">
        <v>20</v>
      </c>
      <c r="M110" t="s">
        <v>78</v>
      </c>
      <c r="N110">
        <v>1.58</v>
      </c>
      <c r="O110">
        <v>1498</v>
      </c>
      <c r="P110">
        <v>0.89</v>
      </c>
      <c r="Q110">
        <v>304</v>
      </c>
      <c r="R110">
        <v>438</v>
      </c>
    </row>
    <row r="111" spans="1:18" hidden="1" x14ac:dyDescent="0.2">
      <c r="A111">
        <v>4</v>
      </c>
      <c r="B111" t="s">
        <v>87</v>
      </c>
      <c r="E111" t="s">
        <v>51</v>
      </c>
      <c r="F111">
        <v>1680623</v>
      </c>
      <c r="G111">
        <v>1</v>
      </c>
      <c r="H111">
        <v>2</v>
      </c>
      <c r="I111">
        <v>642</v>
      </c>
      <c r="J111">
        <v>2014</v>
      </c>
      <c r="K111" s="4">
        <v>45038</v>
      </c>
      <c r="L111" t="s">
        <v>30</v>
      </c>
      <c r="M111" t="s">
        <v>77</v>
      </c>
      <c r="N111">
        <v>3.1</v>
      </c>
      <c r="O111">
        <v>1268</v>
      </c>
      <c r="P111">
        <v>2.98</v>
      </c>
      <c r="Q111">
        <v>74</v>
      </c>
      <c r="R111">
        <v>599</v>
      </c>
    </row>
    <row r="112" spans="1:18" hidden="1" x14ac:dyDescent="0.2">
      <c r="A112">
        <v>5</v>
      </c>
      <c r="B112" t="s">
        <v>96</v>
      </c>
      <c r="E112" t="s">
        <v>36</v>
      </c>
      <c r="F112">
        <v>883300</v>
      </c>
      <c r="G112">
        <v>2</v>
      </c>
      <c r="H112">
        <v>2</v>
      </c>
      <c r="I112">
        <v>358</v>
      </c>
      <c r="J112">
        <v>1990</v>
      </c>
      <c r="K112" s="4">
        <v>44475</v>
      </c>
      <c r="L112" t="s">
        <v>20</v>
      </c>
      <c r="M112" t="s">
        <v>54</v>
      </c>
      <c r="N112">
        <v>2.15</v>
      </c>
      <c r="O112">
        <v>2214</v>
      </c>
      <c r="P112">
        <v>2.3199999999999998</v>
      </c>
      <c r="Q112">
        <v>207</v>
      </c>
      <c r="R112">
        <v>309</v>
      </c>
    </row>
    <row r="113" spans="1:18" hidden="1" x14ac:dyDescent="0.2">
      <c r="A113">
        <v>3</v>
      </c>
      <c r="B113" t="s">
        <v>86</v>
      </c>
      <c r="E113" t="s">
        <v>51</v>
      </c>
      <c r="F113">
        <v>1861511</v>
      </c>
      <c r="G113">
        <v>4</v>
      </c>
      <c r="H113">
        <v>2</v>
      </c>
      <c r="I113">
        <v>625</v>
      </c>
      <c r="J113">
        <v>2011</v>
      </c>
      <c r="K113" s="4">
        <v>44408</v>
      </c>
      <c r="L113" t="s">
        <v>26</v>
      </c>
      <c r="M113" t="s">
        <v>21</v>
      </c>
      <c r="N113">
        <v>3.45</v>
      </c>
      <c r="O113">
        <v>868</v>
      </c>
      <c r="P113">
        <v>0.81</v>
      </c>
      <c r="Q113">
        <v>315</v>
      </c>
      <c r="R113">
        <v>482</v>
      </c>
    </row>
    <row r="114" spans="1:18" hidden="1" x14ac:dyDescent="0.2">
      <c r="A114">
        <v>0</v>
      </c>
      <c r="B114" t="s">
        <v>84</v>
      </c>
      <c r="E114" t="s">
        <v>51</v>
      </c>
      <c r="F114">
        <v>1715932</v>
      </c>
      <c r="G114">
        <v>2</v>
      </c>
      <c r="H114">
        <v>3</v>
      </c>
      <c r="I114">
        <v>619</v>
      </c>
      <c r="J114">
        <v>1980</v>
      </c>
      <c r="K114" s="4">
        <v>44528</v>
      </c>
      <c r="L114" t="s">
        <v>23</v>
      </c>
      <c r="M114" t="s">
        <v>70</v>
      </c>
      <c r="N114">
        <v>2.99</v>
      </c>
      <c r="O114">
        <v>1967</v>
      </c>
      <c r="P114">
        <v>1.74</v>
      </c>
      <c r="Q114">
        <v>157</v>
      </c>
      <c r="R114">
        <v>681</v>
      </c>
    </row>
    <row r="115" spans="1:18" hidden="1" x14ac:dyDescent="0.2">
      <c r="A115">
        <v>0</v>
      </c>
      <c r="B115" t="s">
        <v>99</v>
      </c>
      <c r="E115" t="s">
        <v>36</v>
      </c>
      <c r="F115">
        <v>521710</v>
      </c>
      <c r="G115">
        <v>2</v>
      </c>
      <c r="H115">
        <v>3</v>
      </c>
      <c r="I115">
        <v>541</v>
      </c>
      <c r="J115">
        <v>1964</v>
      </c>
      <c r="K115" s="4">
        <v>45835</v>
      </c>
      <c r="L115" t="s">
        <v>26</v>
      </c>
      <c r="M115" t="s">
        <v>89</v>
      </c>
      <c r="N115">
        <v>3</v>
      </c>
      <c r="O115">
        <v>1249</v>
      </c>
      <c r="P115">
        <v>2.06</v>
      </c>
      <c r="Q115">
        <v>60</v>
      </c>
      <c r="R115">
        <v>570</v>
      </c>
    </row>
    <row r="116" spans="1:18" hidden="1" x14ac:dyDescent="0.2">
      <c r="A116">
        <v>7</v>
      </c>
      <c r="B116" t="s">
        <v>106</v>
      </c>
      <c r="E116" t="s">
        <v>36</v>
      </c>
      <c r="F116">
        <v>2550682</v>
      </c>
      <c r="G116">
        <v>4</v>
      </c>
      <c r="H116">
        <v>2</v>
      </c>
      <c r="I116">
        <v>102</v>
      </c>
      <c r="J116">
        <v>2015</v>
      </c>
      <c r="K116" s="4">
        <v>44140</v>
      </c>
      <c r="L116" t="s">
        <v>26</v>
      </c>
      <c r="M116" t="s">
        <v>66</v>
      </c>
      <c r="N116">
        <v>3.46</v>
      </c>
      <c r="O116">
        <v>2376</v>
      </c>
      <c r="P116">
        <v>3.45</v>
      </c>
      <c r="Q116">
        <v>349</v>
      </c>
      <c r="R116">
        <v>344</v>
      </c>
    </row>
    <row r="117" spans="1:18" hidden="1" x14ac:dyDescent="0.2">
      <c r="A117">
        <v>9</v>
      </c>
      <c r="B117" t="s">
        <v>67</v>
      </c>
      <c r="E117" t="s">
        <v>29</v>
      </c>
      <c r="F117">
        <v>1627423</v>
      </c>
      <c r="G117">
        <v>5</v>
      </c>
      <c r="H117">
        <v>1</v>
      </c>
      <c r="I117">
        <v>743</v>
      </c>
      <c r="J117">
        <v>1954</v>
      </c>
      <c r="K117" s="4">
        <v>44274</v>
      </c>
      <c r="L117" t="s">
        <v>26</v>
      </c>
      <c r="M117" t="s">
        <v>70</v>
      </c>
      <c r="N117">
        <v>2.95</v>
      </c>
      <c r="O117">
        <v>816</v>
      </c>
      <c r="P117">
        <v>2.7</v>
      </c>
      <c r="Q117">
        <v>349</v>
      </c>
      <c r="R117">
        <v>356</v>
      </c>
    </row>
    <row r="118" spans="1:18" hidden="1" x14ac:dyDescent="0.2">
      <c r="A118">
        <v>5</v>
      </c>
      <c r="B118" t="s">
        <v>80</v>
      </c>
      <c r="E118" t="s">
        <v>29</v>
      </c>
      <c r="F118">
        <v>2364131</v>
      </c>
      <c r="G118">
        <v>4</v>
      </c>
      <c r="H118">
        <v>3</v>
      </c>
      <c r="I118">
        <v>430</v>
      </c>
      <c r="J118">
        <v>2014</v>
      </c>
      <c r="K118" s="4">
        <v>44827</v>
      </c>
      <c r="L118" t="s">
        <v>23</v>
      </c>
      <c r="M118" t="s">
        <v>70</v>
      </c>
      <c r="N118">
        <v>2.44</v>
      </c>
      <c r="O118">
        <v>1288</v>
      </c>
      <c r="P118">
        <v>1.86</v>
      </c>
      <c r="Q118">
        <v>322</v>
      </c>
      <c r="R118">
        <v>332</v>
      </c>
    </row>
    <row r="119" spans="1:18" hidden="1" x14ac:dyDescent="0.2">
      <c r="A119">
        <v>2</v>
      </c>
      <c r="B119" t="s">
        <v>91</v>
      </c>
      <c r="E119" t="s">
        <v>29</v>
      </c>
      <c r="F119">
        <v>2729754</v>
      </c>
      <c r="G119">
        <v>2</v>
      </c>
      <c r="H119">
        <v>2</v>
      </c>
      <c r="I119">
        <v>796</v>
      </c>
      <c r="J119">
        <v>2012</v>
      </c>
      <c r="K119" s="4">
        <v>44328</v>
      </c>
      <c r="L119" t="s">
        <v>20</v>
      </c>
      <c r="M119" t="s">
        <v>76</v>
      </c>
      <c r="N119">
        <v>3.11</v>
      </c>
      <c r="O119">
        <v>2380</v>
      </c>
      <c r="P119">
        <v>2.52</v>
      </c>
      <c r="Q119">
        <v>109</v>
      </c>
      <c r="R119">
        <v>458</v>
      </c>
    </row>
    <row r="120" spans="1:18" hidden="1" x14ac:dyDescent="0.2">
      <c r="A120">
        <v>2</v>
      </c>
      <c r="B120" t="s">
        <v>71</v>
      </c>
      <c r="E120" t="s">
        <v>19</v>
      </c>
      <c r="F120">
        <v>488718</v>
      </c>
      <c r="G120">
        <v>1</v>
      </c>
      <c r="H120">
        <v>3</v>
      </c>
      <c r="I120">
        <v>328</v>
      </c>
      <c r="J120">
        <v>2020</v>
      </c>
      <c r="K120" s="4">
        <v>45126</v>
      </c>
      <c r="L120" t="s">
        <v>30</v>
      </c>
      <c r="M120" t="s">
        <v>42</v>
      </c>
      <c r="N120">
        <v>1.88</v>
      </c>
      <c r="O120">
        <v>2149</v>
      </c>
      <c r="P120">
        <v>0.85</v>
      </c>
      <c r="Q120">
        <v>125</v>
      </c>
      <c r="R120">
        <v>454</v>
      </c>
    </row>
    <row r="121" spans="1:18" hidden="1" x14ac:dyDescent="0.2">
      <c r="A121">
        <v>1</v>
      </c>
      <c r="B121" t="s">
        <v>67</v>
      </c>
      <c r="E121" t="s">
        <v>51</v>
      </c>
      <c r="F121">
        <v>710495</v>
      </c>
      <c r="G121">
        <v>1</v>
      </c>
      <c r="H121">
        <v>1</v>
      </c>
      <c r="I121">
        <v>216</v>
      </c>
      <c r="J121">
        <v>1986</v>
      </c>
      <c r="K121" s="4">
        <v>44983</v>
      </c>
      <c r="L121" t="s">
        <v>23</v>
      </c>
      <c r="M121" t="s">
        <v>40</v>
      </c>
      <c r="N121">
        <v>2.27</v>
      </c>
      <c r="O121">
        <v>1814</v>
      </c>
      <c r="P121">
        <v>0.11</v>
      </c>
      <c r="Q121">
        <v>136</v>
      </c>
      <c r="R121">
        <v>674</v>
      </c>
    </row>
    <row r="122" spans="1:18" x14ac:dyDescent="0.2">
      <c r="A122">
        <v>8</v>
      </c>
      <c r="B122" t="s">
        <v>38</v>
      </c>
      <c r="E122" t="s">
        <v>19</v>
      </c>
      <c r="F122">
        <v>2518595</v>
      </c>
      <c r="G122">
        <v>3</v>
      </c>
      <c r="H122">
        <v>2</v>
      </c>
      <c r="I122">
        <v>380</v>
      </c>
      <c r="J122">
        <v>1974</v>
      </c>
      <c r="K122" s="4">
        <v>44371</v>
      </c>
      <c r="L122" t="s">
        <v>30</v>
      </c>
      <c r="M122" t="s">
        <v>74</v>
      </c>
      <c r="N122">
        <v>2.11</v>
      </c>
      <c r="O122">
        <v>1075</v>
      </c>
      <c r="P122">
        <v>3.15</v>
      </c>
      <c r="Q122">
        <v>290</v>
      </c>
      <c r="R122">
        <v>316</v>
      </c>
    </row>
    <row r="123" spans="1:18" hidden="1" x14ac:dyDescent="0.2">
      <c r="A123">
        <v>5</v>
      </c>
      <c r="B123" t="s">
        <v>41</v>
      </c>
      <c r="E123" t="s">
        <v>19</v>
      </c>
      <c r="F123">
        <v>1620627</v>
      </c>
      <c r="G123">
        <v>4</v>
      </c>
      <c r="H123">
        <v>1</v>
      </c>
      <c r="I123">
        <v>310</v>
      </c>
      <c r="J123">
        <v>1962</v>
      </c>
      <c r="K123" s="4">
        <v>44325</v>
      </c>
      <c r="L123" t="s">
        <v>20</v>
      </c>
      <c r="M123" t="s">
        <v>40</v>
      </c>
      <c r="N123">
        <v>2.2599999999999998</v>
      </c>
      <c r="O123">
        <v>1259</v>
      </c>
      <c r="P123">
        <v>3.56</v>
      </c>
      <c r="Q123">
        <v>384</v>
      </c>
      <c r="R123">
        <v>323</v>
      </c>
    </row>
    <row r="124" spans="1:18" hidden="1" x14ac:dyDescent="0.2">
      <c r="A124">
        <v>7</v>
      </c>
      <c r="B124" t="s">
        <v>92</v>
      </c>
      <c r="E124" t="s">
        <v>36</v>
      </c>
      <c r="F124">
        <v>1591866</v>
      </c>
      <c r="G124">
        <v>4</v>
      </c>
      <c r="H124">
        <v>3</v>
      </c>
      <c r="I124">
        <v>919</v>
      </c>
      <c r="J124">
        <v>1950</v>
      </c>
      <c r="K124" s="4">
        <v>45704</v>
      </c>
      <c r="L124" t="s">
        <v>30</v>
      </c>
      <c r="M124" t="s">
        <v>89</v>
      </c>
      <c r="N124">
        <v>2.4700000000000002</v>
      </c>
      <c r="O124">
        <v>1565</v>
      </c>
      <c r="P124">
        <v>4.26</v>
      </c>
      <c r="Q124">
        <v>196</v>
      </c>
      <c r="R124">
        <v>393</v>
      </c>
    </row>
    <row r="125" spans="1:18" hidden="1" x14ac:dyDescent="0.2">
      <c r="A125">
        <v>1</v>
      </c>
      <c r="B125" t="s">
        <v>39</v>
      </c>
      <c r="E125" t="s">
        <v>36</v>
      </c>
      <c r="F125">
        <v>1476385</v>
      </c>
      <c r="G125">
        <v>4</v>
      </c>
      <c r="H125">
        <v>3</v>
      </c>
      <c r="I125">
        <v>148</v>
      </c>
      <c r="J125">
        <v>1972</v>
      </c>
      <c r="K125" s="4">
        <v>45045</v>
      </c>
      <c r="L125" t="s">
        <v>23</v>
      </c>
      <c r="M125" t="s">
        <v>45</v>
      </c>
      <c r="N125">
        <v>2.31</v>
      </c>
      <c r="O125">
        <v>1542</v>
      </c>
      <c r="P125">
        <v>1.55</v>
      </c>
      <c r="Q125">
        <v>309</v>
      </c>
      <c r="R125">
        <v>673</v>
      </c>
    </row>
    <row r="126" spans="1:18" hidden="1" x14ac:dyDescent="0.2">
      <c r="A126">
        <v>1</v>
      </c>
      <c r="B126" t="s">
        <v>44</v>
      </c>
      <c r="E126" t="s">
        <v>29</v>
      </c>
      <c r="F126">
        <v>1095472</v>
      </c>
      <c r="G126">
        <v>3</v>
      </c>
      <c r="H126">
        <v>1</v>
      </c>
      <c r="I126">
        <v>535</v>
      </c>
      <c r="J126">
        <v>1971</v>
      </c>
      <c r="K126" s="4">
        <v>44990</v>
      </c>
      <c r="L126" t="s">
        <v>23</v>
      </c>
      <c r="M126" t="s">
        <v>78</v>
      </c>
      <c r="N126">
        <v>2.78</v>
      </c>
      <c r="O126">
        <v>2050</v>
      </c>
      <c r="P126">
        <v>0.88</v>
      </c>
      <c r="Q126">
        <v>201</v>
      </c>
      <c r="R126">
        <v>498</v>
      </c>
    </row>
    <row r="127" spans="1:18" hidden="1" x14ac:dyDescent="0.2">
      <c r="A127">
        <v>7</v>
      </c>
      <c r="B127" t="s">
        <v>99</v>
      </c>
      <c r="E127" t="s">
        <v>19</v>
      </c>
      <c r="F127">
        <v>2950239</v>
      </c>
      <c r="G127">
        <v>3</v>
      </c>
      <c r="H127">
        <v>1</v>
      </c>
      <c r="I127">
        <v>236</v>
      </c>
      <c r="J127">
        <v>2022</v>
      </c>
      <c r="K127" s="4">
        <v>45553</v>
      </c>
      <c r="L127" t="s">
        <v>30</v>
      </c>
      <c r="M127" t="s">
        <v>54</v>
      </c>
      <c r="N127">
        <v>2.56</v>
      </c>
      <c r="O127">
        <v>848</v>
      </c>
      <c r="P127">
        <v>2.11</v>
      </c>
      <c r="Q127">
        <v>306</v>
      </c>
      <c r="R127">
        <v>464</v>
      </c>
    </row>
    <row r="128" spans="1:18" hidden="1" x14ac:dyDescent="0.2">
      <c r="A128">
        <v>5</v>
      </c>
      <c r="B128" t="s">
        <v>92</v>
      </c>
      <c r="E128" t="s">
        <v>36</v>
      </c>
      <c r="F128">
        <v>2330245</v>
      </c>
      <c r="G128">
        <v>1</v>
      </c>
      <c r="H128">
        <v>1</v>
      </c>
      <c r="I128">
        <v>521</v>
      </c>
      <c r="J128">
        <v>2009</v>
      </c>
      <c r="K128" s="4">
        <v>44390</v>
      </c>
      <c r="L128" t="s">
        <v>23</v>
      </c>
      <c r="M128" t="s">
        <v>45</v>
      </c>
      <c r="N128">
        <v>1.56</v>
      </c>
      <c r="O128">
        <v>808</v>
      </c>
      <c r="P128">
        <v>2.92</v>
      </c>
      <c r="Q128">
        <v>61</v>
      </c>
      <c r="R128">
        <v>521</v>
      </c>
    </row>
    <row r="129" spans="1:18" hidden="1" x14ac:dyDescent="0.2">
      <c r="A129">
        <v>5</v>
      </c>
      <c r="B129" t="s">
        <v>49</v>
      </c>
      <c r="E129" t="s">
        <v>36</v>
      </c>
      <c r="F129">
        <v>819079</v>
      </c>
      <c r="G129">
        <v>2</v>
      </c>
      <c r="H129">
        <v>2</v>
      </c>
      <c r="I129">
        <v>230</v>
      </c>
      <c r="J129">
        <v>2000</v>
      </c>
      <c r="K129" s="4">
        <v>44217</v>
      </c>
      <c r="L129" t="s">
        <v>20</v>
      </c>
      <c r="M129" t="s">
        <v>47</v>
      </c>
      <c r="N129">
        <v>1.89</v>
      </c>
      <c r="O129">
        <v>1442</v>
      </c>
      <c r="P129">
        <v>1.28</v>
      </c>
      <c r="Q129">
        <v>45</v>
      </c>
      <c r="R129">
        <v>630</v>
      </c>
    </row>
    <row r="130" spans="1:18" x14ac:dyDescent="0.2">
      <c r="A130">
        <v>8</v>
      </c>
      <c r="B130" t="s">
        <v>92</v>
      </c>
      <c r="E130" t="s">
        <v>19</v>
      </c>
      <c r="F130">
        <v>2729157</v>
      </c>
      <c r="G130">
        <v>1</v>
      </c>
      <c r="H130">
        <v>2</v>
      </c>
      <c r="I130">
        <v>483</v>
      </c>
      <c r="J130">
        <v>1987</v>
      </c>
      <c r="K130" s="4">
        <v>44716</v>
      </c>
      <c r="L130" t="s">
        <v>26</v>
      </c>
      <c r="M130" t="s">
        <v>31</v>
      </c>
      <c r="N130">
        <v>3.17</v>
      </c>
      <c r="O130">
        <v>1472</v>
      </c>
      <c r="P130">
        <v>2.85</v>
      </c>
      <c r="Q130">
        <v>157</v>
      </c>
      <c r="R130">
        <v>548</v>
      </c>
    </row>
    <row r="131" spans="1:18" hidden="1" x14ac:dyDescent="0.2">
      <c r="A131">
        <v>3</v>
      </c>
      <c r="B131" t="s">
        <v>95</v>
      </c>
      <c r="E131" t="s">
        <v>29</v>
      </c>
      <c r="F131">
        <v>2767933</v>
      </c>
      <c r="G131">
        <v>4</v>
      </c>
      <c r="H131">
        <v>2</v>
      </c>
      <c r="I131">
        <v>540</v>
      </c>
      <c r="J131">
        <v>1971</v>
      </c>
      <c r="K131" s="4">
        <v>45666</v>
      </c>
      <c r="L131" t="s">
        <v>26</v>
      </c>
      <c r="M131" t="s">
        <v>31</v>
      </c>
      <c r="N131">
        <v>1.91</v>
      </c>
      <c r="O131">
        <v>2421</v>
      </c>
      <c r="P131">
        <v>2.31</v>
      </c>
      <c r="Q131">
        <v>355</v>
      </c>
      <c r="R131">
        <v>659</v>
      </c>
    </row>
    <row r="132" spans="1:18" hidden="1" x14ac:dyDescent="0.2">
      <c r="A132">
        <v>1</v>
      </c>
      <c r="B132" t="s">
        <v>99</v>
      </c>
      <c r="E132" t="s">
        <v>29</v>
      </c>
      <c r="F132">
        <v>1562282</v>
      </c>
      <c r="G132">
        <v>3</v>
      </c>
      <c r="H132">
        <v>2</v>
      </c>
      <c r="I132">
        <v>794</v>
      </c>
      <c r="J132">
        <v>1999</v>
      </c>
      <c r="K132" s="4">
        <v>45882</v>
      </c>
      <c r="L132" t="s">
        <v>30</v>
      </c>
      <c r="M132" t="s">
        <v>97</v>
      </c>
      <c r="N132">
        <v>2.48</v>
      </c>
      <c r="O132">
        <v>1515</v>
      </c>
      <c r="P132">
        <v>3.55</v>
      </c>
      <c r="Q132">
        <v>284</v>
      </c>
      <c r="R132">
        <v>447</v>
      </c>
    </row>
    <row r="133" spans="1:18" hidden="1" x14ac:dyDescent="0.2">
      <c r="A133">
        <v>4</v>
      </c>
      <c r="B133" t="s">
        <v>104</v>
      </c>
      <c r="E133" t="s">
        <v>36</v>
      </c>
      <c r="F133">
        <v>2365948</v>
      </c>
      <c r="G133">
        <v>4</v>
      </c>
      <c r="H133">
        <v>2</v>
      </c>
      <c r="I133">
        <v>938</v>
      </c>
      <c r="J133">
        <v>2002</v>
      </c>
      <c r="K133" s="4">
        <v>44102</v>
      </c>
      <c r="L133" t="s">
        <v>30</v>
      </c>
      <c r="M133" t="s">
        <v>21</v>
      </c>
      <c r="N133">
        <v>1.54</v>
      </c>
      <c r="O133">
        <v>853</v>
      </c>
      <c r="P133">
        <v>4.24</v>
      </c>
      <c r="Q133">
        <v>258</v>
      </c>
      <c r="R133">
        <v>389</v>
      </c>
    </row>
    <row r="134" spans="1:18" hidden="1" x14ac:dyDescent="0.2">
      <c r="A134">
        <v>0</v>
      </c>
      <c r="B134" t="s">
        <v>18</v>
      </c>
      <c r="E134" t="s">
        <v>29</v>
      </c>
      <c r="F134">
        <v>564782</v>
      </c>
      <c r="G134">
        <v>1</v>
      </c>
      <c r="H134">
        <v>2</v>
      </c>
      <c r="I134">
        <v>297</v>
      </c>
      <c r="J134">
        <v>1966</v>
      </c>
      <c r="K134" s="4">
        <v>44615</v>
      </c>
      <c r="L134" t="s">
        <v>20</v>
      </c>
      <c r="M134" t="s">
        <v>70</v>
      </c>
      <c r="N134">
        <v>3.11</v>
      </c>
      <c r="O134">
        <v>931</v>
      </c>
      <c r="P134">
        <v>3.89</v>
      </c>
      <c r="Q134">
        <v>148</v>
      </c>
      <c r="R134">
        <v>417</v>
      </c>
    </row>
    <row r="135" spans="1:18" hidden="1" x14ac:dyDescent="0.2">
      <c r="A135">
        <v>2</v>
      </c>
      <c r="B135" t="s">
        <v>32</v>
      </c>
      <c r="E135" t="s">
        <v>36</v>
      </c>
      <c r="F135">
        <v>2555382</v>
      </c>
      <c r="G135">
        <v>3</v>
      </c>
      <c r="H135">
        <v>2</v>
      </c>
      <c r="I135">
        <v>943</v>
      </c>
      <c r="J135">
        <v>2000</v>
      </c>
      <c r="K135" s="4">
        <v>44849</v>
      </c>
      <c r="L135" t="s">
        <v>23</v>
      </c>
      <c r="M135" t="s">
        <v>21</v>
      </c>
      <c r="N135">
        <v>1.88</v>
      </c>
      <c r="O135">
        <v>2008</v>
      </c>
      <c r="P135">
        <v>0.75</v>
      </c>
      <c r="Q135">
        <v>206</v>
      </c>
      <c r="R135">
        <v>615</v>
      </c>
    </row>
    <row r="136" spans="1:18" hidden="1" x14ac:dyDescent="0.2">
      <c r="A136">
        <v>9</v>
      </c>
      <c r="B136" t="s">
        <v>34</v>
      </c>
      <c r="E136" t="s">
        <v>51</v>
      </c>
      <c r="F136">
        <v>1986881</v>
      </c>
      <c r="G136">
        <v>4</v>
      </c>
      <c r="H136">
        <v>2</v>
      </c>
      <c r="I136">
        <v>51</v>
      </c>
      <c r="J136">
        <v>2017</v>
      </c>
      <c r="K136" s="4">
        <v>45574</v>
      </c>
      <c r="L136" t="s">
        <v>26</v>
      </c>
      <c r="M136" t="s">
        <v>24</v>
      </c>
      <c r="N136">
        <v>2.0699999999999998</v>
      </c>
      <c r="O136">
        <v>2266</v>
      </c>
      <c r="P136">
        <v>1.36</v>
      </c>
      <c r="Q136">
        <v>265</v>
      </c>
      <c r="R136">
        <v>317</v>
      </c>
    </row>
    <row r="137" spans="1:18" hidden="1" x14ac:dyDescent="0.2">
      <c r="A137">
        <v>1</v>
      </c>
      <c r="B137" t="s">
        <v>98</v>
      </c>
      <c r="E137" t="s">
        <v>51</v>
      </c>
      <c r="F137">
        <v>601869</v>
      </c>
      <c r="G137">
        <v>2</v>
      </c>
      <c r="H137">
        <v>1</v>
      </c>
      <c r="I137">
        <v>770</v>
      </c>
      <c r="J137">
        <v>1957</v>
      </c>
      <c r="K137" s="4">
        <v>45130</v>
      </c>
      <c r="L137" t="s">
        <v>20</v>
      </c>
      <c r="M137" t="s">
        <v>35</v>
      </c>
      <c r="N137">
        <v>3.32</v>
      </c>
      <c r="O137">
        <v>2229</v>
      </c>
      <c r="P137">
        <v>3.99</v>
      </c>
      <c r="Q137">
        <v>162</v>
      </c>
      <c r="R137">
        <v>436</v>
      </c>
    </row>
    <row r="138" spans="1:18" hidden="1" x14ac:dyDescent="0.2">
      <c r="A138">
        <v>5</v>
      </c>
      <c r="B138" t="s">
        <v>92</v>
      </c>
      <c r="E138" t="s">
        <v>51</v>
      </c>
      <c r="F138">
        <v>400584</v>
      </c>
      <c r="G138">
        <v>1</v>
      </c>
      <c r="H138">
        <v>2</v>
      </c>
      <c r="I138">
        <v>837</v>
      </c>
      <c r="J138">
        <v>1959</v>
      </c>
      <c r="K138" s="4">
        <v>44822</v>
      </c>
      <c r="L138" t="s">
        <v>26</v>
      </c>
      <c r="M138" t="s">
        <v>68</v>
      </c>
      <c r="N138">
        <v>3.33</v>
      </c>
      <c r="O138">
        <v>991</v>
      </c>
      <c r="P138">
        <v>0.68</v>
      </c>
      <c r="Q138">
        <v>129</v>
      </c>
      <c r="R138">
        <v>323</v>
      </c>
    </row>
    <row r="139" spans="1:18" hidden="1" x14ac:dyDescent="0.2">
      <c r="A139">
        <v>1</v>
      </c>
      <c r="B139" t="s">
        <v>55</v>
      </c>
      <c r="E139" t="s">
        <v>19</v>
      </c>
      <c r="F139">
        <v>2771652</v>
      </c>
      <c r="G139">
        <v>5</v>
      </c>
      <c r="H139">
        <v>3</v>
      </c>
      <c r="I139">
        <v>622</v>
      </c>
      <c r="J139">
        <v>2022</v>
      </c>
      <c r="K139" s="4">
        <v>45767</v>
      </c>
      <c r="L139" t="s">
        <v>20</v>
      </c>
      <c r="M139" t="s">
        <v>45</v>
      </c>
      <c r="N139">
        <v>1.96</v>
      </c>
      <c r="O139">
        <v>2478</v>
      </c>
      <c r="P139">
        <v>1.1599999999999999</v>
      </c>
      <c r="Q139">
        <v>333</v>
      </c>
      <c r="R139">
        <v>574</v>
      </c>
    </row>
    <row r="140" spans="1:18" hidden="1" x14ac:dyDescent="0.2">
      <c r="A140">
        <v>1</v>
      </c>
      <c r="B140" t="s">
        <v>34</v>
      </c>
      <c r="E140" t="s">
        <v>29</v>
      </c>
      <c r="F140">
        <v>2067262</v>
      </c>
      <c r="G140">
        <v>2</v>
      </c>
      <c r="H140">
        <v>2</v>
      </c>
      <c r="I140">
        <v>717</v>
      </c>
      <c r="J140">
        <v>2012</v>
      </c>
      <c r="K140" s="4">
        <v>45708</v>
      </c>
      <c r="L140" t="s">
        <v>30</v>
      </c>
      <c r="M140" t="s">
        <v>52</v>
      </c>
      <c r="N140">
        <v>1.68</v>
      </c>
      <c r="O140">
        <v>1453</v>
      </c>
      <c r="P140">
        <v>0.12</v>
      </c>
      <c r="Q140">
        <v>53</v>
      </c>
      <c r="R140">
        <v>590</v>
      </c>
    </row>
    <row r="141" spans="1:18" hidden="1" x14ac:dyDescent="0.2">
      <c r="A141">
        <v>1</v>
      </c>
      <c r="B141" t="s">
        <v>96</v>
      </c>
      <c r="E141" t="s">
        <v>36</v>
      </c>
      <c r="F141">
        <v>2805843</v>
      </c>
      <c r="G141">
        <v>2</v>
      </c>
      <c r="H141">
        <v>1</v>
      </c>
      <c r="I141">
        <v>636</v>
      </c>
      <c r="J141">
        <v>1950</v>
      </c>
      <c r="K141" s="4">
        <v>44894</v>
      </c>
      <c r="L141" t="s">
        <v>23</v>
      </c>
      <c r="M141" t="s">
        <v>77</v>
      </c>
      <c r="N141">
        <v>2.88</v>
      </c>
      <c r="O141">
        <v>950</v>
      </c>
      <c r="P141">
        <v>0.67</v>
      </c>
      <c r="Q141">
        <v>100</v>
      </c>
      <c r="R141">
        <v>538</v>
      </c>
    </row>
    <row r="142" spans="1:18" hidden="1" x14ac:dyDescent="0.2">
      <c r="A142">
        <v>1</v>
      </c>
      <c r="B142" t="s">
        <v>86</v>
      </c>
      <c r="E142" t="s">
        <v>51</v>
      </c>
      <c r="F142">
        <v>2615442</v>
      </c>
      <c r="G142">
        <v>2</v>
      </c>
      <c r="H142">
        <v>2</v>
      </c>
      <c r="I142">
        <v>534</v>
      </c>
      <c r="J142">
        <v>1963</v>
      </c>
      <c r="K142" s="4">
        <v>44865</v>
      </c>
      <c r="L142" t="s">
        <v>23</v>
      </c>
      <c r="M142" t="s">
        <v>66</v>
      </c>
      <c r="N142">
        <v>1.59</v>
      </c>
      <c r="O142">
        <v>2430</v>
      </c>
      <c r="P142">
        <v>1.35</v>
      </c>
      <c r="Q142">
        <v>223</v>
      </c>
      <c r="R142">
        <v>572</v>
      </c>
    </row>
    <row r="143" spans="1:18" hidden="1" x14ac:dyDescent="0.2">
      <c r="A143">
        <v>0</v>
      </c>
      <c r="B143" t="s">
        <v>95</v>
      </c>
      <c r="E143" t="s">
        <v>36</v>
      </c>
      <c r="F143">
        <v>886381</v>
      </c>
      <c r="G143">
        <v>1</v>
      </c>
      <c r="H143">
        <v>2</v>
      </c>
      <c r="I143">
        <v>164</v>
      </c>
      <c r="J143">
        <v>2018</v>
      </c>
      <c r="K143" s="4">
        <v>45147</v>
      </c>
      <c r="L143" t="s">
        <v>23</v>
      </c>
      <c r="M143" t="s">
        <v>31</v>
      </c>
      <c r="N143">
        <v>3.5</v>
      </c>
      <c r="O143">
        <v>1170</v>
      </c>
      <c r="P143">
        <v>0.96</v>
      </c>
      <c r="Q143">
        <v>102</v>
      </c>
      <c r="R143">
        <v>380</v>
      </c>
    </row>
    <row r="144" spans="1:18" hidden="1" x14ac:dyDescent="0.2">
      <c r="A144">
        <v>5</v>
      </c>
      <c r="B144" t="s">
        <v>34</v>
      </c>
      <c r="E144" t="s">
        <v>36</v>
      </c>
      <c r="F144">
        <v>2375223</v>
      </c>
      <c r="G144">
        <v>2</v>
      </c>
      <c r="H144">
        <v>2</v>
      </c>
      <c r="I144">
        <v>440</v>
      </c>
      <c r="J144">
        <v>2002</v>
      </c>
      <c r="K144" s="4">
        <v>45486</v>
      </c>
      <c r="L144" t="s">
        <v>20</v>
      </c>
      <c r="M144" t="s">
        <v>33</v>
      </c>
      <c r="N144">
        <v>2.94</v>
      </c>
      <c r="O144">
        <v>1211</v>
      </c>
      <c r="P144">
        <v>2.72</v>
      </c>
      <c r="Q144">
        <v>62</v>
      </c>
      <c r="R144">
        <v>447</v>
      </c>
    </row>
    <row r="145" spans="1:18" hidden="1" x14ac:dyDescent="0.2">
      <c r="A145">
        <v>7</v>
      </c>
      <c r="B145" t="s">
        <v>80</v>
      </c>
      <c r="E145" t="s">
        <v>19</v>
      </c>
      <c r="F145">
        <v>2233323</v>
      </c>
      <c r="G145">
        <v>1</v>
      </c>
      <c r="H145">
        <v>3</v>
      </c>
      <c r="I145">
        <v>340</v>
      </c>
      <c r="J145">
        <v>1989</v>
      </c>
      <c r="K145" s="4">
        <v>45624</v>
      </c>
      <c r="L145" t="s">
        <v>20</v>
      </c>
      <c r="M145" t="s">
        <v>77</v>
      </c>
      <c r="N145">
        <v>1.57</v>
      </c>
      <c r="O145">
        <v>1154</v>
      </c>
      <c r="P145">
        <v>4.78</v>
      </c>
      <c r="Q145">
        <v>78</v>
      </c>
      <c r="R145">
        <v>595</v>
      </c>
    </row>
    <row r="146" spans="1:18" hidden="1" x14ac:dyDescent="0.2">
      <c r="A146">
        <v>3</v>
      </c>
      <c r="B146" t="s">
        <v>99</v>
      </c>
      <c r="E146" t="s">
        <v>36</v>
      </c>
      <c r="F146">
        <v>947995</v>
      </c>
      <c r="G146">
        <v>2</v>
      </c>
      <c r="H146">
        <v>2</v>
      </c>
      <c r="I146">
        <v>234</v>
      </c>
      <c r="J146">
        <v>1994</v>
      </c>
      <c r="K146" s="4">
        <v>45851</v>
      </c>
      <c r="L146" t="s">
        <v>26</v>
      </c>
      <c r="M146" t="s">
        <v>85</v>
      </c>
      <c r="N146">
        <v>1.73</v>
      </c>
      <c r="O146">
        <v>1429</v>
      </c>
      <c r="P146">
        <v>3.82</v>
      </c>
      <c r="Q146">
        <v>103</v>
      </c>
      <c r="R146">
        <v>486</v>
      </c>
    </row>
    <row r="147" spans="1:18" x14ac:dyDescent="0.2">
      <c r="A147">
        <v>8</v>
      </c>
      <c r="B147" t="s">
        <v>72</v>
      </c>
      <c r="E147" t="s">
        <v>19</v>
      </c>
      <c r="F147">
        <v>2340435</v>
      </c>
      <c r="G147">
        <v>5</v>
      </c>
      <c r="H147">
        <v>3</v>
      </c>
      <c r="I147">
        <v>352</v>
      </c>
      <c r="J147">
        <v>1954</v>
      </c>
      <c r="K147" s="4">
        <v>44427</v>
      </c>
      <c r="L147" t="s">
        <v>26</v>
      </c>
      <c r="M147" t="s">
        <v>77</v>
      </c>
      <c r="N147">
        <v>3.23</v>
      </c>
      <c r="O147">
        <v>2003</v>
      </c>
      <c r="P147">
        <v>4.42</v>
      </c>
      <c r="Q147">
        <v>397</v>
      </c>
      <c r="R147">
        <v>617</v>
      </c>
    </row>
    <row r="148" spans="1:18" hidden="1" x14ac:dyDescent="0.2">
      <c r="A148">
        <v>1</v>
      </c>
      <c r="B148" t="s">
        <v>105</v>
      </c>
      <c r="E148" t="s">
        <v>36</v>
      </c>
      <c r="F148">
        <v>425034</v>
      </c>
      <c r="G148">
        <v>1</v>
      </c>
      <c r="H148">
        <v>1</v>
      </c>
      <c r="I148">
        <v>258</v>
      </c>
      <c r="J148">
        <v>2003</v>
      </c>
      <c r="K148" s="4">
        <v>44590</v>
      </c>
      <c r="L148" t="s">
        <v>23</v>
      </c>
      <c r="M148" t="s">
        <v>40</v>
      </c>
      <c r="N148">
        <v>2.67</v>
      </c>
      <c r="O148">
        <v>945</v>
      </c>
      <c r="P148">
        <v>0.93</v>
      </c>
      <c r="Q148">
        <v>87</v>
      </c>
      <c r="R148">
        <v>463</v>
      </c>
    </row>
    <row r="149" spans="1:18" hidden="1" x14ac:dyDescent="0.2">
      <c r="A149">
        <v>0</v>
      </c>
      <c r="B149" t="s">
        <v>98</v>
      </c>
      <c r="E149" t="s">
        <v>29</v>
      </c>
      <c r="F149">
        <v>2404178</v>
      </c>
      <c r="G149">
        <v>1</v>
      </c>
      <c r="H149">
        <v>2</v>
      </c>
      <c r="I149">
        <v>710</v>
      </c>
      <c r="J149">
        <v>1960</v>
      </c>
      <c r="K149" s="4">
        <v>44943</v>
      </c>
      <c r="L149" t="s">
        <v>26</v>
      </c>
      <c r="M149" t="s">
        <v>85</v>
      </c>
      <c r="N149">
        <v>2.5299999999999998</v>
      </c>
      <c r="O149">
        <v>1714</v>
      </c>
      <c r="P149">
        <v>2.68</v>
      </c>
      <c r="Q149">
        <v>41</v>
      </c>
      <c r="R149">
        <v>593</v>
      </c>
    </row>
    <row r="150" spans="1:18" hidden="1" x14ac:dyDescent="0.2">
      <c r="A150">
        <v>1</v>
      </c>
      <c r="B150" t="s">
        <v>57</v>
      </c>
      <c r="E150" t="s">
        <v>51</v>
      </c>
      <c r="F150">
        <v>2523271</v>
      </c>
      <c r="G150">
        <v>5</v>
      </c>
      <c r="H150">
        <v>1</v>
      </c>
      <c r="I150">
        <v>424</v>
      </c>
      <c r="J150">
        <v>2015</v>
      </c>
      <c r="K150" s="4">
        <v>45219</v>
      </c>
      <c r="L150" t="s">
        <v>26</v>
      </c>
      <c r="M150" t="s">
        <v>76</v>
      </c>
      <c r="N150">
        <v>1.66</v>
      </c>
      <c r="O150">
        <v>2177</v>
      </c>
      <c r="P150">
        <v>0.2</v>
      </c>
      <c r="Q150">
        <v>390</v>
      </c>
      <c r="R150">
        <v>499</v>
      </c>
    </row>
    <row r="151" spans="1:18" x14ac:dyDescent="0.2">
      <c r="A151">
        <v>8</v>
      </c>
      <c r="B151" t="s">
        <v>28</v>
      </c>
      <c r="E151" t="s">
        <v>29</v>
      </c>
      <c r="F151">
        <v>2162008</v>
      </c>
      <c r="G151">
        <v>3</v>
      </c>
      <c r="H151">
        <v>2</v>
      </c>
      <c r="I151">
        <v>705</v>
      </c>
      <c r="J151">
        <v>2013</v>
      </c>
      <c r="K151" s="4">
        <v>44539</v>
      </c>
      <c r="L151" t="s">
        <v>30</v>
      </c>
      <c r="M151" t="s">
        <v>56</v>
      </c>
      <c r="N151">
        <v>1.9</v>
      </c>
      <c r="O151">
        <v>1382</v>
      </c>
      <c r="P151">
        <v>0.23</v>
      </c>
      <c r="Q151">
        <v>97</v>
      </c>
      <c r="R151">
        <v>445</v>
      </c>
    </row>
    <row r="152" spans="1:18" hidden="1" x14ac:dyDescent="0.2">
      <c r="A152">
        <v>6</v>
      </c>
      <c r="B152" t="s">
        <v>106</v>
      </c>
      <c r="E152" t="s">
        <v>51</v>
      </c>
      <c r="F152">
        <v>1196514</v>
      </c>
      <c r="G152">
        <v>3</v>
      </c>
      <c r="H152">
        <v>3</v>
      </c>
      <c r="I152">
        <v>241</v>
      </c>
      <c r="J152">
        <v>2006</v>
      </c>
      <c r="K152" s="4">
        <v>44897</v>
      </c>
      <c r="L152" t="s">
        <v>26</v>
      </c>
      <c r="M152" t="s">
        <v>56</v>
      </c>
      <c r="N152">
        <v>2.4300000000000002</v>
      </c>
      <c r="O152">
        <v>1193</v>
      </c>
      <c r="P152">
        <v>1.1100000000000001</v>
      </c>
      <c r="Q152">
        <v>104</v>
      </c>
      <c r="R152">
        <v>689</v>
      </c>
    </row>
    <row r="153" spans="1:18" hidden="1" x14ac:dyDescent="0.2">
      <c r="A153">
        <v>1</v>
      </c>
      <c r="B153" t="s">
        <v>22</v>
      </c>
      <c r="E153" t="s">
        <v>19</v>
      </c>
      <c r="F153">
        <v>1649618</v>
      </c>
      <c r="G153">
        <v>2</v>
      </c>
      <c r="H153">
        <v>1</v>
      </c>
      <c r="I153">
        <v>62</v>
      </c>
      <c r="J153">
        <v>1996</v>
      </c>
      <c r="K153" s="4">
        <v>45369</v>
      </c>
      <c r="L153" t="s">
        <v>20</v>
      </c>
      <c r="M153" t="s">
        <v>66</v>
      </c>
      <c r="N153">
        <v>1.54</v>
      </c>
      <c r="O153">
        <v>1220</v>
      </c>
      <c r="P153">
        <v>2.5</v>
      </c>
      <c r="Q153">
        <v>162</v>
      </c>
      <c r="R153">
        <v>312</v>
      </c>
    </row>
    <row r="154" spans="1:18" hidden="1" x14ac:dyDescent="0.2">
      <c r="A154">
        <v>9</v>
      </c>
      <c r="B154" t="s">
        <v>104</v>
      </c>
      <c r="E154" t="s">
        <v>36</v>
      </c>
      <c r="F154">
        <v>1598267</v>
      </c>
      <c r="G154">
        <v>1</v>
      </c>
      <c r="H154">
        <v>2</v>
      </c>
      <c r="I154">
        <v>599</v>
      </c>
      <c r="J154">
        <v>1981</v>
      </c>
      <c r="K154" s="4">
        <v>45618</v>
      </c>
      <c r="L154" t="s">
        <v>20</v>
      </c>
      <c r="M154" t="s">
        <v>31</v>
      </c>
      <c r="N154">
        <v>2.5</v>
      </c>
      <c r="O154">
        <v>969</v>
      </c>
      <c r="P154">
        <v>3.6</v>
      </c>
      <c r="Q154">
        <v>118</v>
      </c>
      <c r="R154">
        <v>359</v>
      </c>
    </row>
    <row r="155" spans="1:18" hidden="1" x14ac:dyDescent="0.2">
      <c r="A155">
        <v>2</v>
      </c>
      <c r="B155" t="s">
        <v>34</v>
      </c>
      <c r="E155" t="s">
        <v>29</v>
      </c>
      <c r="F155">
        <v>1119794</v>
      </c>
      <c r="G155">
        <v>6</v>
      </c>
      <c r="H155">
        <v>1</v>
      </c>
      <c r="I155">
        <v>183</v>
      </c>
      <c r="J155">
        <v>1978</v>
      </c>
      <c r="K155" s="4">
        <v>45407</v>
      </c>
      <c r="L155" t="s">
        <v>23</v>
      </c>
      <c r="M155" t="s">
        <v>69</v>
      </c>
      <c r="N155">
        <v>1.61</v>
      </c>
      <c r="O155">
        <v>905</v>
      </c>
      <c r="P155">
        <v>1.54</v>
      </c>
      <c r="Q155">
        <v>351</v>
      </c>
      <c r="R155">
        <v>401</v>
      </c>
    </row>
    <row r="156" spans="1:18" hidden="1" x14ac:dyDescent="0.2">
      <c r="A156">
        <v>5</v>
      </c>
      <c r="B156" t="s">
        <v>104</v>
      </c>
      <c r="E156" t="s">
        <v>51</v>
      </c>
      <c r="F156">
        <v>2606031</v>
      </c>
      <c r="G156">
        <v>4</v>
      </c>
      <c r="H156">
        <v>2</v>
      </c>
      <c r="I156">
        <v>329</v>
      </c>
      <c r="J156">
        <v>2007</v>
      </c>
      <c r="K156" s="4">
        <v>44847</v>
      </c>
      <c r="L156" t="s">
        <v>20</v>
      </c>
      <c r="M156" t="s">
        <v>85</v>
      </c>
      <c r="N156">
        <v>2.97</v>
      </c>
      <c r="O156">
        <v>2372</v>
      </c>
      <c r="P156">
        <v>1.72</v>
      </c>
      <c r="Q156">
        <v>261</v>
      </c>
      <c r="R156">
        <v>442</v>
      </c>
    </row>
    <row r="157" spans="1:18" hidden="1" x14ac:dyDescent="0.2">
      <c r="A157">
        <v>1</v>
      </c>
      <c r="B157" t="s">
        <v>41</v>
      </c>
      <c r="E157" t="s">
        <v>36</v>
      </c>
      <c r="F157">
        <v>847509</v>
      </c>
      <c r="G157">
        <v>2</v>
      </c>
      <c r="H157">
        <v>1</v>
      </c>
      <c r="I157">
        <v>188</v>
      </c>
      <c r="J157">
        <v>1978</v>
      </c>
      <c r="K157" s="4">
        <v>45883</v>
      </c>
      <c r="L157" t="s">
        <v>30</v>
      </c>
      <c r="M157" t="s">
        <v>89</v>
      </c>
      <c r="N157">
        <v>2.5299999999999998</v>
      </c>
      <c r="O157">
        <v>1352</v>
      </c>
      <c r="P157">
        <v>4.37</v>
      </c>
      <c r="Q157">
        <v>49</v>
      </c>
      <c r="R157">
        <v>473</v>
      </c>
    </row>
    <row r="158" spans="1:18" hidden="1" x14ac:dyDescent="0.2">
      <c r="A158">
        <v>1</v>
      </c>
      <c r="B158" t="s">
        <v>75</v>
      </c>
      <c r="E158" t="s">
        <v>29</v>
      </c>
      <c r="F158">
        <v>440046</v>
      </c>
      <c r="G158">
        <v>3</v>
      </c>
      <c r="H158">
        <v>1</v>
      </c>
      <c r="I158">
        <v>480</v>
      </c>
      <c r="J158">
        <v>1983</v>
      </c>
      <c r="K158" s="4">
        <v>45327</v>
      </c>
      <c r="L158" t="s">
        <v>20</v>
      </c>
      <c r="M158" t="s">
        <v>77</v>
      </c>
      <c r="N158">
        <v>3.2</v>
      </c>
      <c r="O158">
        <v>1498</v>
      </c>
      <c r="P158">
        <v>4.9400000000000004</v>
      </c>
      <c r="Q158">
        <v>167</v>
      </c>
      <c r="R158">
        <v>451</v>
      </c>
    </row>
    <row r="159" spans="1:18" hidden="1" x14ac:dyDescent="0.2">
      <c r="A159">
        <v>0</v>
      </c>
      <c r="B159" t="s">
        <v>80</v>
      </c>
      <c r="E159" t="s">
        <v>29</v>
      </c>
      <c r="F159">
        <v>1499471</v>
      </c>
      <c r="G159">
        <v>2</v>
      </c>
      <c r="H159">
        <v>3</v>
      </c>
      <c r="I159">
        <v>750</v>
      </c>
      <c r="J159">
        <v>1987</v>
      </c>
      <c r="K159" s="4">
        <v>45645</v>
      </c>
      <c r="L159" t="s">
        <v>20</v>
      </c>
      <c r="M159" t="s">
        <v>47</v>
      </c>
      <c r="N159">
        <v>2.4500000000000002</v>
      </c>
      <c r="O159">
        <v>1191</v>
      </c>
      <c r="P159">
        <v>3.64</v>
      </c>
      <c r="Q159">
        <v>50</v>
      </c>
      <c r="R159">
        <v>667</v>
      </c>
    </row>
    <row r="160" spans="1:18" hidden="1" x14ac:dyDescent="0.2">
      <c r="A160">
        <v>5</v>
      </c>
      <c r="B160" t="s">
        <v>25</v>
      </c>
      <c r="E160" t="s">
        <v>51</v>
      </c>
      <c r="F160">
        <v>583508</v>
      </c>
      <c r="G160">
        <v>3</v>
      </c>
      <c r="H160">
        <v>2</v>
      </c>
      <c r="I160">
        <v>140</v>
      </c>
      <c r="J160">
        <v>1978</v>
      </c>
      <c r="K160" s="4">
        <v>44231</v>
      </c>
      <c r="L160" t="s">
        <v>26</v>
      </c>
      <c r="M160" t="s">
        <v>89</v>
      </c>
      <c r="N160">
        <v>2.11</v>
      </c>
      <c r="O160">
        <v>2470</v>
      </c>
      <c r="P160">
        <v>0.17</v>
      </c>
      <c r="Q160">
        <v>111</v>
      </c>
      <c r="R160">
        <v>520</v>
      </c>
    </row>
    <row r="161" spans="1:18" hidden="1" x14ac:dyDescent="0.2">
      <c r="A161">
        <v>0</v>
      </c>
      <c r="B161" t="s">
        <v>67</v>
      </c>
      <c r="E161" t="s">
        <v>51</v>
      </c>
      <c r="F161">
        <v>2661461</v>
      </c>
      <c r="G161">
        <v>4</v>
      </c>
      <c r="H161">
        <v>2</v>
      </c>
      <c r="I161">
        <v>880</v>
      </c>
      <c r="J161">
        <v>2015</v>
      </c>
      <c r="K161" s="4">
        <v>44293</v>
      </c>
      <c r="L161" t="s">
        <v>26</v>
      </c>
      <c r="M161" t="s">
        <v>68</v>
      </c>
      <c r="N161">
        <v>2.25</v>
      </c>
      <c r="O161">
        <v>2279</v>
      </c>
      <c r="P161">
        <v>1.27</v>
      </c>
      <c r="Q161">
        <v>392</v>
      </c>
      <c r="R161">
        <v>698</v>
      </c>
    </row>
    <row r="162" spans="1:18" hidden="1" x14ac:dyDescent="0.2">
      <c r="A162">
        <v>2</v>
      </c>
      <c r="B162" t="s">
        <v>101</v>
      </c>
      <c r="E162" t="s">
        <v>29</v>
      </c>
      <c r="F162">
        <v>1354343</v>
      </c>
      <c r="G162">
        <v>2</v>
      </c>
      <c r="H162">
        <v>3</v>
      </c>
      <c r="I162">
        <v>754</v>
      </c>
      <c r="J162">
        <v>2009</v>
      </c>
      <c r="K162" s="4">
        <v>44284</v>
      </c>
      <c r="L162" t="s">
        <v>20</v>
      </c>
      <c r="M162" t="s">
        <v>89</v>
      </c>
      <c r="N162">
        <v>1.96</v>
      </c>
      <c r="O162">
        <v>1026</v>
      </c>
      <c r="P162">
        <v>0.98</v>
      </c>
      <c r="Q162">
        <v>46</v>
      </c>
      <c r="R162">
        <v>649</v>
      </c>
    </row>
    <row r="163" spans="1:18" hidden="1" x14ac:dyDescent="0.2">
      <c r="A163">
        <v>9</v>
      </c>
      <c r="B163" t="s">
        <v>46</v>
      </c>
      <c r="E163" t="s">
        <v>19</v>
      </c>
      <c r="F163">
        <v>2522471</v>
      </c>
      <c r="G163">
        <v>1</v>
      </c>
      <c r="H163">
        <v>2</v>
      </c>
      <c r="I163">
        <v>312</v>
      </c>
      <c r="J163">
        <v>1997</v>
      </c>
      <c r="K163" s="4">
        <v>44676</v>
      </c>
      <c r="L163" t="s">
        <v>30</v>
      </c>
      <c r="M163" t="s">
        <v>74</v>
      </c>
      <c r="N163">
        <v>2.92</v>
      </c>
      <c r="O163">
        <v>1512</v>
      </c>
      <c r="P163">
        <v>0.16</v>
      </c>
      <c r="Q163">
        <v>84</v>
      </c>
      <c r="R163">
        <v>344</v>
      </c>
    </row>
    <row r="164" spans="1:18" hidden="1" x14ac:dyDescent="0.2">
      <c r="A164">
        <v>2</v>
      </c>
      <c r="B164" t="s">
        <v>43</v>
      </c>
      <c r="E164" t="s">
        <v>29</v>
      </c>
      <c r="F164">
        <v>2658281</v>
      </c>
      <c r="G164">
        <v>1</v>
      </c>
      <c r="H164">
        <v>1</v>
      </c>
      <c r="I164">
        <v>84</v>
      </c>
      <c r="J164">
        <v>1974</v>
      </c>
      <c r="K164" s="4">
        <v>44869</v>
      </c>
      <c r="L164" t="s">
        <v>23</v>
      </c>
      <c r="M164" t="s">
        <v>68</v>
      </c>
      <c r="N164">
        <v>3.44</v>
      </c>
      <c r="O164">
        <v>1453</v>
      </c>
      <c r="P164">
        <v>2.92</v>
      </c>
      <c r="Q164">
        <v>120</v>
      </c>
      <c r="R164">
        <v>420</v>
      </c>
    </row>
    <row r="165" spans="1:18" hidden="1" x14ac:dyDescent="0.2">
      <c r="A165">
        <v>4</v>
      </c>
      <c r="B165" t="s">
        <v>65</v>
      </c>
      <c r="E165" t="s">
        <v>29</v>
      </c>
      <c r="F165">
        <v>1946304</v>
      </c>
      <c r="G165">
        <v>2</v>
      </c>
      <c r="H165">
        <v>1</v>
      </c>
      <c r="I165">
        <v>914</v>
      </c>
      <c r="J165">
        <v>2026</v>
      </c>
      <c r="K165" s="4">
        <v>44701</v>
      </c>
      <c r="L165" t="s">
        <v>23</v>
      </c>
      <c r="M165" t="s">
        <v>97</v>
      </c>
      <c r="N165">
        <v>2.1</v>
      </c>
      <c r="O165">
        <v>1538</v>
      </c>
      <c r="P165">
        <v>3.62</v>
      </c>
      <c r="Q165">
        <v>201</v>
      </c>
      <c r="R165">
        <v>336</v>
      </c>
    </row>
    <row r="166" spans="1:18" hidden="1" x14ac:dyDescent="0.2">
      <c r="A166">
        <v>1</v>
      </c>
      <c r="B166" t="s">
        <v>22</v>
      </c>
      <c r="E166" t="s">
        <v>51</v>
      </c>
      <c r="F166">
        <v>580091</v>
      </c>
      <c r="G166">
        <v>5</v>
      </c>
      <c r="H166">
        <v>3</v>
      </c>
      <c r="I166">
        <v>278</v>
      </c>
      <c r="J166">
        <v>1953</v>
      </c>
      <c r="K166" s="4">
        <v>44298</v>
      </c>
      <c r="L166" t="s">
        <v>20</v>
      </c>
      <c r="M166" t="s">
        <v>21</v>
      </c>
      <c r="N166">
        <v>2.86</v>
      </c>
      <c r="O166">
        <v>1805</v>
      </c>
      <c r="P166">
        <v>4.5199999999999996</v>
      </c>
      <c r="Q166">
        <v>321</v>
      </c>
      <c r="R166">
        <v>697</v>
      </c>
    </row>
    <row r="167" spans="1:18" hidden="1" x14ac:dyDescent="0.2">
      <c r="A167">
        <v>6</v>
      </c>
      <c r="B167" t="s">
        <v>101</v>
      </c>
      <c r="E167" t="s">
        <v>19</v>
      </c>
      <c r="F167">
        <v>1473464</v>
      </c>
      <c r="G167">
        <v>3</v>
      </c>
      <c r="H167">
        <v>3</v>
      </c>
      <c r="I167">
        <v>497</v>
      </c>
      <c r="J167">
        <v>2014</v>
      </c>
      <c r="K167" s="4">
        <v>44670</v>
      </c>
      <c r="L167" t="s">
        <v>26</v>
      </c>
      <c r="M167" t="s">
        <v>70</v>
      </c>
      <c r="N167">
        <v>1.99</v>
      </c>
      <c r="O167">
        <v>1389</v>
      </c>
      <c r="P167">
        <v>2.88</v>
      </c>
      <c r="Q167">
        <v>257</v>
      </c>
      <c r="R167">
        <v>375</v>
      </c>
    </row>
    <row r="168" spans="1:18" hidden="1" x14ac:dyDescent="0.2">
      <c r="A168">
        <v>1</v>
      </c>
      <c r="B168" t="s">
        <v>72</v>
      </c>
      <c r="E168" t="s">
        <v>51</v>
      </c>
      <c r="F168">
        <v>1266375</v>
      </c>
      <c r="G168">
        <v>1</v>
      </c>
      <c r="H168">
        <v>2</v>
      </c>
      <c r="I168">
        <v>123</v>
      </c>
      <c r="J168">
        <v>2026</v>
      </c>
      <c r="K168" s="4">
        <v>44963</v>
      </c>
      <c r="L168" t="s">
        <v>30</v>
      </c>
      <c r="M168" t="s">
        <v>35</v>
      </c>
      <c r="N168">
        <v>3.13</v>
      </c>
      <c r="O168">
        <v>839</v>
      </c>
      <c r="P168">
        <v>1.33</v>
      </c>
      <c r="Q168">
        <v>108</v>
      </c>
      <c r="R168">
        <v>357</v>
      </c>
    </row>
    <row r="169" spans="1:18" hidden="1" x14ac:dyDescent="0.2">
      <c r="A169">
        <v>2</v>
      </c>
      <c r="B169" t="s">
        <v>101</v>
      </c>
      <c r="E169" t="s">
        <v>19</v>
      </c>
      <c r="F169">
        <v>621605</v>
      </c>
      <c r="G169">
        <v>3</v>
      </c>
      <c r="H169">
        <v>2</v>
      </c>
      <c r="I169">
        <v>134</v>
      </c>
      <c r="J169">
        <v>1972</v>
      </c>
      <c r="K169" s="4">
        <v>44930</v>
      </c>
      <c r="L169" t="s">
        <v>30</v>
      </c>
      <c r="M169" t="s">
        <v>24</v>
      </c>
      <c r="N169">
        <v>3.26</v>
      </c>
      <c r="O169">
        <v>1104</v>
      </c>
      <c r="P169">
        <v>2.23</v>
      </c>
      <c r="Q169">
        <v>213</v>
      </c>
      <c r="R169">
        <v>481</v>
      </c>
    </row>
    <row r="170" spans="1:18" x14ac:dyDescent="0.2">
      <c r="A170">
        <v>8</v>
      </c>
      <c r="B170" t="s">
        <v>99</v>
      </c>
      <c r="E170" t="s">
        <v>36</v>
      </c>
      <c r="F170">
        <v>517794</v>
      </c>
      <c r="G170">
        <v>4</v>
      </c>
      <c r="H170">
        <v>3</v>
      </c>
      <c r="I170">
        <v>87</v>
      </c>
      <c r="J170">
        <v>1992</v>
      </c>
      <c r="K170" s="4">
        <v>44166</v>
      </c>
      <c r="L170" t="s">
        <v>20</v>
      </c>
      <c r="M170" t="s">
        <v>24</v>
      </c>
      <c r="N170">
        <v>1.54</v>
      </c>
      <c r="O170">
        <v>869</v>
      </c>
      <c r="P170">
        <v>0.22</v>
      </c>
      <c r="Q170">
        <v>270</v>
      </c>
      <c r="R170">
        <v>619</v>
      </c>
    </row>
    <row r="171" spans="1:18" hidden="1" x14ac:dyDescent="0.2">
      <c r="A171">
        <v>6</v>
      </c>
      <c r="B171" t="s">
        <v>18</v>
      </c>
      <c r="E171" t="s">
        <v>36</v>
      </c>
      <c r="F171">
        <v>404257</v>
      </c>
      <c r="G171">
        <v>5</v>
      </c>
      <c r="H171">
        <v>1</v>
      </c>
      <c r="I171">
        <v>925</v>
      </c>
      <c r="J171">
        <v>1960</v>
      </c>
      <c r="K171" s="4">
        <v>44854</v>
      </c>
      <c r="L171" t="s">
        <v>23</v>
      </c>
      <c r="M171" t="s">
        <v>82</v>
      </c>
      <c r="N171">
        <v>2.5499999999999998</v>
      </c>
      <c r="O171">
        <v>1591</v>
      </c>
      <c r="P171">
        <v>0.64</v>
      </c>
      <c r="Q171">
        <v>296</v>
      </c>
      <c r="R171">
        <v>693</v>
      </c>
    </row>
    <row r="172" spans="1:18" hidden="1" x14ac:dyDescent="0.2">
      <c r="A172">
        <v>5</v>
      </c>
      <c r="B172" t="s">
        <v>102</v>
      </c>
      <c r="E172" t="s">
        <v>19</v>
      </c>
      <c r="F172">
        <v>844075</v>
      </c>
      <c r="G172">
        <v>6</v>
      </c>
      <c r="H172">
        <v>2</v>
      </c>
      <c r="I172">
        <v>382</v>
      </c>
      <c r="J172">
        <v>1956</v>
      </c>
      <c r="K172" s="4">
        <v>44254</v>
      </c>
      <c r="L172" t="s">
        <v>20</v>
      </c>
      <c r="M172" t="s">
        <v>69</v>
      </c>
      <c r="N172">
        <v>1.99</v>
      </c>
      <c r="O172">
        <v>2332</v>
      </c>
      <c r="P172">
        <v>4.55</v>
      </c>
      <c r="Q172">
        <v>367</v>
      </c>
      <c r="R172">
        <v>662</v>
      </c>
    </row>
    <row r="173" spans="1:18" hidden="1" x14ac:dyDescent="0.2">
      <c r="A173">
        <v>2</v>
      </c>
      <c r="B173" t="s">
        <v>75</v>
      </c>
      <c r="E173" t="s">
        <v>29</v>
      </c>
      <c r="F173">
        <v>2665431</v>
      </c>
      <c r="G173">
        <v>1</v>
      </c>
      <c r="H173">
        <v>3</v>
      </c>
      <c r="I173">
        <v>527</v>
      </c>
      <c r="J173">
        <v>1983</v>
      </c>
      <c r="K173" s="4">
        <v>45159</v>
      </c>
      <c r="L173" t="s">
        <v>20</v>
      </c>
      <c r="M173" t="s">
        <v>68</v>
      </c>
      <c r="N173">
        <v>1.51</v>
      </c>
      <c r="O173">
        <v>1576</v>
      </c>
      <c r="P173">
        <v>0.78</v>
      </c>
      <c r="Q173">
        <v>136</v>
      </c>
      <c r="R173">
        <v>516</v>
      </c>
    </row>
    <row r="174" spans="1:18" hidden="1" x14ac:dyDescent="0.2">
      <c r="A174">
        <v>2</v>
      </c>
      <c r="B174" t="s">
        <v>43</v>
      </c>
      <c r="E174" t="s">
        <v>19</v>
      </c>
      <c r="F174">
        <v>742973</v>
      </c>
      <c r="G174">
        <v>4</v>
      </c>
      <c r="H174">
        <v>1</v>
      </c>
      <c r="I174">
        <v>396</v>
      </c>
      <c r="J174">
        <v>1995</v>
      </c>
      <c r="K174" s="4">
        <v>45581</v>
      </c>
      <c r="L174" t="s">
        <v>23</v>
      </c>
      <c r="M174" t="s">
        <v>82</v>
      </c>
      <c r="N174">
        <v>2.7</v>
      </c>
      <c r="O174">
        <v>963</v>
      </c>
      <c r="P174">
        <v>2.52</v>
      </c>
      <c r="Q174">
        <v>198</v>
      </c>
      <c r="R174">
        <v>498</v>
      </c>
    </row>
    <row r="175" spans="1:18" hidden="1" x14ac:dyDescent="0.2">
      <c r="A175">
        <v>0</v>
      </c>
      <c r="B175" t="s">
        <v>62</v>
      </c>
      <c r="E175" t="s">
        <v>51</v>
      </c>
      <c r="F175">
        <v>2313438</v>
      </c>
      <c r="G175">
        <v>3</v>
      </c>
      <c r="H175">
        <v>2</v>
      </c>
      <c r="I175">
        <v>657</v>
      </c>
      <c r="J175">
        <v>1982</v>
      </c>
      <c r="K175" s="4">
        <v>44339</v>
      </c>
      <c r="L175" t="s">
        <v>20</v>
      </c>
      <c r="M175" t="s">
        <v>58</v>
      </c>
      <c r="N175">
        <v>3.2</v>
      </c>
      <c r="O175">
        <v>2374</v>
      </c>
      <c r="P175">
        <v>3.88</v>
      </c>
      <c r="Q175">
        <v>197</v>
      </c>
      <c r="R175">
        <v>382</v>
      </c>
    </row>
    <row r="176" spans="1:18" hidden="1" x14ac:dyDescent="0.2">
      <c r="A176">
        <v>9</v>
      </c>
      <c r="B176" t="s">
        <v>32</v>
      </c>
      <c r="E176" t="s">
        <v>51</v>
      </c>
      <c r="F176">
        <v>1602009</v>
      </c>
      <c r="G176">
        <v>4</v>
      </c>
      <c r="H176">
        <v>3</v>
      </c>
      <c r="I176">
        <v>764</v>
      </c>
      <c r="J176">
        <v>1978</v>
      </c>
      <c r="K176" s="4">
        <v>44207</v>
      </c>
      <c r="L176" t="s">
        <v>20</v>
      </c>
      <c r="M176" t="s">
        <v>89</v>
      </c>
      <c r="N176">
        <v>3.38</v>
      </c>
      <c r="O176">
        <v>1169</v>
      </c>
      <c r="P176">
        <v>3.96</v>
      </c>
      <c r="Q176">
        <v>193</v>
      </c>
      <c r="R176">
        <v>331</v>
      </c>
    </row>
    <row r="177" spans="1:18" hidden="1" x14ac:dyDescent="0.2">
      <c r="A177">
        <v>2</v>
      </c>
      <c r="B177" t="s">
        <v>100</v>
      </c>
      <c r="E177" t="s">
        <v>29</v>
      </c>
      <c r="F177">
        <v>1666242</v>
      </c>
      <c r="G177">
        <v>1</v>
      </c>
      <c r="H177">
        <v>3</v>
      </c>
      <c r="I177">
        <v>743</v>
      </c>
      <c r="J177">
        <v>1996</v>
      </c>
      <c r="K177" s="4">
        <v>44610</v>
      </c>
      <c r="L177" t="s">
        <v>20</v>
      </c>
      <c r="M177" t="s">
        <v>68</v>
      </c>
      <c r="N177">
        <v>1.97</v>
      </c>
      <c r="O177">
        <v>1682</v>
      </c>
      <c r="P177">
        <v>0.84</v>
      </c>
      <c r="Q177">
        <v>139</v>
      </c>
      <c r="R177">
        <v>465</v>
      </c>
    </row>
    <row r="178" spans="1:18" x14ac:dyDescent="0.2">
      <c r="A178">
        <v>8</v>
      </c>
      <c r="B178" t="s">
        <v>46</v>
      </c>
      <c r="E178" t="s">
        <v>36</v>
      </c>
      <c r="F178">
        <v>551879</v>
      </c>
      <c r="G178">
        <v>2</v>
      </c>
      <c r="H178">
        <v>1</v>
      </c>
      <c r="I178">
        <v>438</v>
      </c>
      <c r="J178">
        <v>1996</v>
      </c>
      <c r="K178" s="4">
        <v>44681</v>
      </c>
      <c r="L178" t="s">
        <v>20</v>
      </c>
      <c r="M178" t="s">
        <v>74</v>
      </c>
      <c r="N178">
        <v>3.32</v>
      </c>
      <c r="O178">
        <v>2347</v>
      </c>
      <c r="P178">
        <v>4.78</v>
      </c>
      <c r="Q178">
        <v>198</v>
      </c>
      <c r="R178">
        <v>429</v>
      </c>
    </row>
    <row r="179" spans="1:18" hidden="1" x14ac:dyDescent="0.2">
      <c r="A179">
        <v>0</v>
      </c>
      <c r="B179" t="s">
        <v>43</v>
      </c>
      <c r="E179" t="s">
        <v>36</v>
      </c>
      <c r="F179">
        <v>1651904</v>
      </c>
      <c r="G179">
        <v>3</v>
      </c>
      <c r="H179">
        <v>1</v>
      </c>
      <c r="I179">
        <v>781</v>
      </c>
      <c r="J179">
        <v>1971</v>
      </c>
      <c r="K179" s="4">
        <v>44978</v>
      </c>
      <c r="L179" t="s">
        <v>30</v>
      </c>
      <c r="M179" t="s">
        <v>54</v>
      </c>
      <c r="N179">
        <v>2.98</v>
      </c>
      <c r="O179">
        <v>2325</v>
      </c>
      <c r="P179">
        <v>0.34</v>
      </c>
      <c r="Q179">
        <v>266</v>
      </c>
      <c r="R179">
        <v>592</v>
      </c>
    </row>
    <row r="180" spans="1:18" hidden="1" x14ac:dyDescent="0.2">
      <c r="A180">
        <v>6</v>
      </c>
      <c r="B180" t="s">
        <v>81</v>
      </c>
      <c r="E180" t="s">
        <v>19</v>
      </c>
      <c r="F180">
        <v>2999303</v>
      </c>
      <c r="G180">
        <v>3</v>
      </c>
      <c r="H180">
        <v>2</v>
      </c>
      <c r="I180">
        <v>68</v>
      </c>
      <c r="J180">
        <v>1980</v>
      </c>
      <c r="K180" s="4">
        <v>45740</v>
      </c>
      <c r="L180" t="s">
        <v>26</v>
      </c>
      <c r="M180" t="s">
        <v>40</v>
      </c>
      <c r="N180">
        <v>2.79</v>
      </c>
      <c r="O180">
        <v>806</v>
      </c>
      <c r="P180">
        <v>4.7300000000000004</v>
      </c>
      <c r="Q180">
        <v>284</v>
      </c>
      <c r="R180">
        <v>585</v>
      </c>
    </row>
    <row r="181" spans="1:18" hidden="1" x14ac:dyDescent="0.2">
      <c r="A181">
        <v>2</v>
      </c>
      <c r="B181" t="s">
        <v>83</v>
      </c>
      <c r="E181" t="s">
        <v>36</v>
      </c>
      <c r="F181">
        <v>955427</v>
      </c>
      <c r="G181">
        <v>3</v>
      </c>
      <c r="H181">
        <v>3</v>
      </c>
      <c r="I181">
        <v>594</v>
      </c>
      <c r="J181">
        <v>1998</v>
      </c>
      <c r="K181" s="4">
        <v>44630</v>
      </c>
      <c r="L181" t="s">
        <v>20</v>
      </c>
      <c r="M181" t="s">
        <v>76</v>
      </c>
      <c r="N181">
        <v>2.61</v>
      </c>
      <c r="O181">
        <v>2232</v>
      </c>
      <c r="P181">
        <v>2.69</v>
      </c>
      <c r="Q181">
        <v>182</v>
      </c>
      <c r="R181">
        <v>661</v>
      </c>
    </row>
    <row r="182" spans="1:18" hidden="1" x14ac:dyDescent="0.2">
      <c r="A182">
        <v>4</v>
      </c>
      <c r="B182" t="s">
        <v>81</v>
      </c>
      <c r="E182" t="s">
        <v>51</v>
      </c>
      <c r="F182">
        <v>659878</v>
      </c>
      <c r="G182">
        <v>3</v>
      </c>
      <c r="H182">
        <v>2</v>
      </c>
      <c r="I182">
        <v>147</v>
      </c>
      <c r="J182">
        <v>2004</v>
      </c>
      <c r="K182" s="4">
        <v>44806</v>
      </c>
      <c r="L182" t="s">
        <v>30</v>
      </c>
      <c r="M182" t="s">
        <v>58</v>
      </c>
      <c r="N182">
        <v>3.07</v>
      </c>
      <c r="O182">
        <v>1076</v>
      </c>
      <c r="P182">
        <v>4.0999999999999996</v>
      </c>
      <c r="Q182">
        <v>185</v>
      </c>
      <c r="R182">
        <v>591</v>
      </c>
    </row>
    <row r="183" spans="1:18" hidden="1" x14ac:dyDescent="0.2">
      <c r="A183">
        <v>3</v>
      </c>
      <c r="B183" t="s">
        <v>84</v>
      </c>
      <c r="E183" t="s">
        <v>29</v>
      </c>
      <c r="F183">
        <v>918155</v>
      </c>
      <c r="G183">
        <v>6</v>
      </c>
      <c r="H183">
        <v>2</v>
      </c>
      <c r="I183">
        <v>244</v>
      </c>
      <c r="J183">
        <v>1970</v>
      </c>
      <c r="K183" s="4">
        <v>44425</v>
      </c>
      <c r="L183" t="s">
        <v>30</v>
      </c>
      <c r="M183" t="s">
        <v>52</v>
      </c>
      <c r="N183">
        <v>2.84</v>
      </c>
      <c r="O183">
        <v>818</v>
      </c>
      <c r="P183">
        <v>0.77</v>
      </c>
      <c r="Q183">
        <v>351</v>
      </c>
      <c r="R183">
        <v>646</v>
      </c>
    </row>
    <row r="184" spans="1:18" x14ac:dyDescent="0.2">
      <c r="A184">
        <v>8</v>
      </c>
      <c r="B184" t="s">
        <v>100</v>
      </c>
      <c r="E184" t="s">
        <v>51</v>
      </c>
      <c r="F184">
        <v>2630926</v>
      </c>
      <c r="G184">
        <v>4</v>
      </c>
      <c r="H184">
        <v>3</v>
      </c>
      <c r="I184">
        <v>702</v>
      </c>
      <c r="J184">
        <v>2022</v>
      </c>
      <c r="K184" s="4">
        <v>45756</v>
      </c>
      <c r="L184" t="s">
        <v>30</v>
      </c>
      <c r="M184" t="s">
        <v>56</v>
      </c>
      <c r="N184">
        <v>1.89</v>
      </c>
      <c r="O184">
        <v>1419</v>
      </c>
      <c r="P184">
        <v>1.83</v>
      </c>
      <c r="Q184">
        <v>254</v>
      </c>
      <c r="R184">
        <v>524</v>
      </c>
    </row>
    <row r="185" spans="1:18" hidden="1" x14ac:dyDescent="0.2">
      <c r="A185">
        <v>2</v>
      </c>
      <c r="B185" t="s">
        <v>34</v>
      </c>
      <c r="E185" t="s">
        <v>29</v>
      </c>
      <c r="F185">
        <v>1451409</v>
      </c>
      <c r="G185">
        <v>2</v>
      </c>
      <c r="H185">
        <v>1</v>
      </c>
      <c r="I185">
        <v>119</v>
      </c>
      <c r="J185">
        <v>2010</v>
      </c>
      <c r="K185" s="4">
        <v>45232</v>
      </c>
      <c r="L185" t="s">
        <v>26</v>
      </c>
      <c r="M185" t="s">
        <v>60</v>
      </c>
      <c r="N185">
        <v>1.55</v>
      </c>
      <c r="O185">
        <v>1320</v>
      </c>
      <c r="P185">
        <v>4.6399999999999997</v>
      </c>
      <c r="Q185">
        <v>87</v>
      </c>
      <c r="R185">
        <v>322</v>
      </c>
    </row>
    <row r="186" spans="1:18" hidden="1" x14ac:dyDescent="0.2">
      <c r="A186">
        <v>9</v>
      </c>
      <c r="B186" t="s">
        <v>105</v>
      </c>
      <c r="E186" t="s">
        <v>29</v>
      </c>
      <c r="F186">
        <v>2935673</v>
      </c>
      <c r="G186">
        <v>2</v>
      </c>
      <c r="H186">
        <v>2</v>
      </c>
      <c r="I186">
        <v>441</v>
      </c>
      <c r="J186">
        <v>1965</v>
      </c>
      <c r="K186" s="4">
        <v>45774</v>
      </c>
      <c r="L186" t="s">
        <v>26</v>
      </c>
      <c r="M186" t="s">
        <v>68</v>
      </c>
      <c r="N186">
        <v>2.89</v>
      </c>
      <c r="O186">
        <v>1972</v>
      </c>
      <c r="P186">
        <v>4.03</v>
      </c>
      <c r="Q186">
        <v>236</v>
      </c>
      <c r="R186">
        <v>335</v>
      </c>
    </row>
    <row r="187" spans="1:18" hidden="1" x14ac:dyDescent="0.2">
      <c r="A187">
        <v>5</v>
      </c>
      <c r="B187" t="s">
        <v>94</v>
      </c>
      <c r="E187" t="s">
        <v>51</v>
      </c>
      <c r="F187">
        <v>2922050</v>
      </c>
      <c r="G187">
        <v>3</v>
      </c>
      <c r="H187">
        <v>3</v>
      </c>
      <c r="I187">
        <v>809</v>
      </c>
      <c r="J187">
        <v>1971</v>
      </c>
      <c r="K187" s="4">
        <v>44162</v>
      </c>
      <c r="L187" t="s">
        <v>23</v>
      </c>
      <c r="M187" t="s">
        <v>58</v>
      </c>
      <c r="N187">
        <v>3</v>
      </c>
      <c r="O187">
        <v>1034</v>
      </c>
      <c r="P187">
        <v>3.05</v>
      </c>
      <c r="Q187">
        <v>163</v>
      </c>
      <c r="R187">
        <v>513</v>
      </c>
    </row>
    <row r="188" spans="1:18" hidden="1" x14ac:dyDescent="0.2">
      <c r="A188">
        <v>0</v>
      </c>
      <c r="B188" t="s">
        <v>32</v>
      </c>
      <c r="E188" t="s">
        <v>19</v>
      </c>
      <c r="F188">
        <v>1041467</v>
      </c>
      <c r="G188">
        <v>3</v>
      </c>
      <c r="H188">
        <v>3</v>
      </c>
      <c r="I188">
        <v>978</v>
      </c>
      <c r="J188">
        <v>1983</v>
      </c>
      <c r="K188" s="4">
        <v>45148</v>
      </c>
      <c r="L188" t="s">
        <v>23</v>
      </c>
      <c r="M188" t="s">
        <v>33</v>
      </c>
      <c r="N188">
        <v>2.12</v>
      </c>
      <c r="O188">
        <v>1023</v>
      </c>
      <c r="P188">
        <v>3.69</v>
      </c>
      <c r="Q188">
        <v>114</v>
      </c>
      <c r="R188">
        <v>529</v>
      </c>
    </row>
    <row r="189" spans="1:18" hidden="1" x14ac:dyDescent="0.2">
      <c r="A189">
        <v>9</v>
      </c>
      <c r="B189" t="s">
        <v>106</v>
      </c>
      <c r="E189" t="s">
        <v>103</v>
      </c>
      <c r="F189">
        <v>2915853</v>
      </c>
      <c r="G189">
        <v>2</v>
      </c>
      <c r="H189">
        <v>2</v>
      </c>
      <c r="I189">
        <v>520</v>
      </c>
      <c r="J189">
        <v>1970</v>
      </c>
      <c r="K189" s="4">
        <v>45255</v>
      </c>
      <c r="L189" t="s">
        <v>26</v>
      </c>
      <c r="M189" t="s">
        <v>60</v>
      </c>
      <c r="N189">
        <v>3.08</v>
      </c>
      <c r="O189">
        <v>1432</v>
      </c>
      <c r="P189">
        <v>3.71</v>
      </c>
      <c r="Q189">
        <v>139</v>
      </c>
      <c r="R189">
        <v>454</v>
      </c>
    </row>
    <row r="190" spans="1:18" hidden="1" x14ac:dyDescent="0.2">
      <c r="A190">
        <v>3</v>
      </c>
      <c r="B190" t="s">
        <v>67</v>
      </c>
      <c r="E190" t="s">
        <v>29</v>
      </c>
      <c r="F190">
        <v>1777812</v>
      </c>
      <c r="G190">
        <v>4</v>
      </c>
      <c r="H190">
        <v>3</v>
      </c>
      <c r="I190">
        <v>882</v>
      </c>
      <c r="J190">
        <v>1965</v>
      </c>
      <c r="K190" s="4">
        <v>45192</v>
      </c>
      <c r="L190" t="s">
        <v>23</v>
      </c>
      <c r="M190" t="s">
        <v>52</v>
      </c>
      <c r="N190">
        <v>3.15</v>
      </c>
      <c r="O190">
        <v>1257</v>
      </c>
      <c r="P190">
        <v>0.26</v>
      </c>
      <c r="Q190">
        <v>227</v>
      </c>
      <c r="R190">
        <v>373</v>
      </c>
    </row>
    <row r="191" spans="1:18" x14ac:dyDescent="0.2">
      <c r="A191">
        <v>8</v>
      </c>
      <c r="B191" t="s">
        <v>50</v>
      </c>
      <c r="E191" t="s">
        <v>19</v>
      </c>
      <c r="F191">
        <v>530849</v>
      </c>
      <c r="G191">
        <v>3</v>
      </c>
      <c r="H191">
        <v>2</v>
      </c>
      <c r="I191">
        <v>105</v>
      </c>
      <c r="J191">
        <v>1953</v>
      </c>
      <c r="K191" s="4">
        <v>44576</v>
      </c>
      <c r="L191" t="s">
        <v>26</v>
      </c>
      <c r="M191" t="s">
        <v>42</v>
      </c>
      <c r="N191">
        <v>3.37</v>
      </c>
      <c r="O191">
        <v>2358</v>
      </c>
      <c r="P191">
        <v>2.86</v>
      </c>
      <c r="Q191">
        <v>303</v>
      </c>
      <c r="R191">
        <v>427</v>
      </c>
    </row>
    <row r="192" spans="1:18" hidden="1" x14ac:dyDescent="0.2">
      <c r="A192">
        <v>9</v>
      </c>
      <c r="B192" t="s">
        <v>98</v>
      </c>
      <c r="E192" t="s">
        <v>36</v>
      </c>
      <c r="F192">
        <v>1147607</v>
      </c>
      <c r="G192">
        <v>2</v>
      </c>
      <c r="H192">
        <v>1</v>
      </c>
      <c r="I192">
        <v>831</v>
      </c>
      <c r="J192">
        <v>2020</v>
      </c>
      <c r="K192" s="4">
        <v>45299</v>
      </c>
      <c r="L192" t="s">
        <v>26</v>
      </c>
      <c r="M192" t="s">
        <v>78</v>
      </c>
      <c r="N192">
        <v>2.85</v>
      </c>
      <c r="O192">
        <v>1476</v>
      </c>
      <c r="P192">
        <v>0.33</v>
      </c>
      <c r="Q192">
        <v>106</v>
      </c>
      <c r="R192">
        <v>324</v>
      </c>
    </row>
    <row r="193" spans="1:18" hidden="1" x14ac:dyDescent="0.2">
      <c r="A193">
        <v>5</v>
      </c>
      <c r="B193" t="s">
        <v>92</v>
      </c>
      <c r="E193" t="s">
        <v>36</v>
      </c>
      <c r="F193">
        <v>2563010</v>
      </c>
      <c r="G193">
        <v>1</v>
      </c>
      <c r="H193">
        <v>3</v>
      </c>
      <c r="I193">
        <v>374</v>
      </c>
      <c r="J193">
        <v>1950</v>
      </c>
      <c r="K193" s="4">
        <v>45261</v>
      </c>
      <c r="L193" t="s">
        <v>30</v>
      </c>
      <c r="M193" t="s">
        <v>97</v>
      </c>
      <c r="N193">
        <v>3.19</v>
      </c>
      <c r="O193">
        <v>1007</v>
      </c>
      <c r="P193">
        <v>0.31</v>
      </c>
      <c r="Q193">
        <v>144</v>
      </c>
      <c r="R193">
        <v>674</v>
      </c>
    </row>
    <row r="194" spans="1:18" x14ac:dyDescent="0.2">
      <c r="A194">
        <v>8</v>
      </c>
      <c r="B194" t="s">
        <v>94</v>
      </c>
      <c r="E194" t="s">
        <v>19</v>
      </c>
      <c r="F194">
        <v>912151</v>
      </c>
      <c r="G194">
        <v>0</v>
      </c>
      <c r="H194">
        <v>1</v>
      </c>
      <c r="I194">
        <v>352</v>
      </c>
      <c r="J194">
        <v>1967</v>
      </c>
      <c r="K194" s="4">
        <v>44143</v>
      </c>
      <c r="L194" t="s">
        <v>30</v>
      </c>
      <c r="M194" t="s">
        <v>68</v>
      </c>
      <c r="N194">
        <v>2.08</v>
      </c>
      <c r="O194">
        <v>2323</v>
      </c>
      <c r="P194">
        <v>3.31</v>
      </c>
      <c r="Q194">
        <v>71</v>
      </c>
      <c r="R194">
        <v>369</v>
      </c>
    </row>
    <row r="195" spans="1:18" hidden="1" x14ac:dyDescent="0.2">
      <c r="A195">
        <v>5</v>
      </c>
      <c r="B195" t="s">
        <v>62</v>
      </c>
      <c r="E195" t="s">
        <v>51</v>
      </c>
      <c r="F195">
        <v>2347868</v>
      </c>
      <c r="G195">
        <v>4</v>
      </c>
      <c r="H195">
        <v>1</v>
      </c>
      <c r="I195">
        <v>184</v>
      </c>
      <c r="J195">
        <v>2018</v>
      </c>
      <c r="K195" s="4">
        <v>45485</v>
      </c>
      <c r="L195" t="s">
        <v>30</v>
      </c>
      <c r="M195" t="s">
        <v>97</v>
      </c>
      <c r="N195">
        <v>2.92</v>
      </c>
      <c r="O195">
        <v>1538</v>
      </c>
      <c r="P195">
        <v>3.64</v>
      </c>
      <c r="Q195">
        <v>361</v>
      </c>
      <c r="R195">
        <v>369</v>
      </c>
    </row>
    <row r="196" spans="1:18" hidden="1" x14ac:dyDescent="0.2">
      <c r="A196">
        <v>6</v>
      </c>
      <c r="B196" t="s">
        <v>48</v>
      </c>
      <c r="E196" t="s">
        <v>51</v>
      </c>
      <c r="F196">
        <v>677570</v>
      </c>
      <c r="G196">
        <v>4</v>
      </c>
      <c r="H196">
        <v>3</v>
      </c>
      <c r="I196">
        <v>626</v>
      </c>
      <c r="J196">
        <v>1981</v>
      </c>
      <c r="K196" s="4">
        <v>44259</v>
      </c>
      <c r="L196" t="s">
        <v>23</v>
      </c>
      <c r="M196" t="s">
        <v>40</v>
      </c>
      <c r="N196">
        <v>2.44</v>
      </c>
      <c r="O196">
        <v>1111</v>
      </c>
      <c r="P196">
        <v>4.96</v>
      </c>
      <c r="Q196">
        <v>336</v>
      </c>
      <c r="R196">
        <v>393</v>
      </c>
    </row>
    <row r="197" spans="1:18" hidden="1" x14ac:dyDescent="0.2">
      <c r="A197">
        <v>7</v>
      </c>
      <c r="B197" t="s">
        <v>41</v>
      </c>
      <c r="E197" t="s">
        <v>19</v>
      </c>
      <c r="F197">
        <v>472132</v>
      </c>
      <c r="G197">
        <v>5</v>
      </c>
      <c r="H197">
        <v>3</v>
      </c>
      <c r="I197">
        <v>306</v>
      </c>
      <c r="J197">
        <v>1990</v>
      </c>
      <c r="K197" s="4">
        <v>44500</v>
      </c>
      <c r="L197" t="s">
        <v>26</v>
      </c>
      <c r="M197" t="s">
        <v>33</v>
      </c>
      <c r="N197">
        <v>2.0699999999999998</v>
      </c>
      <c r="O197">
        <v>2219</v>
      </c>
      <c r="P197">
        <v>2.91</v>
      </c>
      <c r="Q197">
        <v>272</v>
      </c>
      <c r="R197">
        <v>487</v>
      </c>
    </row>
    <row r="198" spans="1:18" hidden="1" x14ac:dyDescent="0.2">
      <c r="A198">
        <v>0</v>
      </c>
      <c r="B198" t="s">
        <v>53</v>
      </c>
      <c r="E198" t="s">
        <v>19</v>
      </c>
      <c r="F198">
        <v>633602</v>
      </c>
      <c r="G198">
        <v>2</v>
      </c>
      <c r="H198">
        <v>1</v>
      </c>
      <c r="I198">
        <v>844</v>
      </c>
      <c r="J198">
        <v>2004</v>
      </c>
      <c r="K198" s="4">
        <v>45628</v>
      </c>
      <c r="L198" t="s">
        <v>30</v>
      </c>
      <c r="M198" t="s">
        <v>77</v>
      </c>
      <c r="N198">
        <v>1.86</v>
      </c>
      <c r="O198">
        <v>1435</v>
      </c>
      <c r="P198">
        <v>1.1599999999999999</v>
      </c>
      <c r="Q198">
        <v>82</v>
      </c>
      <c r="R198">
        <v>302</v>
      </c>
    </row>
    <row r="199" spans="1:18" x14ac:dyDescent="0.2">
      <c r="A199">
        <v>8</v>
      </c>
      <c r="B199" t="s">
        <v>106</v>
      </c>
      <c r="E199" t="s">
        <v>19</v>
      </c>
      <c r="F199">
        <v>2358256</v>
      </c>
      <c r="G199">
        <v>4</v>
      </c>
      <c r="H199">
        <v>1</v>
      </c>
      <c r="I199">
        <v>990</v>
      </c>
      <c r="J199">
        <v>2003</v>
      </c>
      <c r="K199" s="4">
        <v>44356</v>
      </c>
      <c r="L199" t="s">
        <v>26</v>
      </c>
      <c r="M199" t="s">
        <v>42</v>
      </c>
      <c r="N199">
        <v>1.79</v>
      </c>
      <c r="O199">
        <v>1958</v>
      </c>
      <c r="P199">
        <v>4.51</v>
      </c>
      <c r="Q199">
        <v>389</v>
      </c>
      <c r="R199">
        <v>347</v>
      </c>
    </row>
    <row r="200" spans="1:18" hidden="1" x14ac:dyDescent="0.2">
      <c r="A200">
        <v>5</v>
      </c>
      <c r="B200" t="s">
        <v>92</v>
      </c>
      <c r="E200" t="s">
        <v>19</v>
      </c>
      <c r="F200">
        <v>852077</v>
      </c>
      <c r="G200">
        <v>4</v>
      </c>
      <c r="H200">
        <v>1</v>
      </c>
      <c r="I200">
        <v>496</v>
      </c>
      <c r="J200">
        <v>2001</v>
      </c>
      <c r="K200" s="4">
        <v>44852</v>
      </c>
      <c r="L200" t="s">
        <v>30</v>
      </c>
      <c r="M200" t="s">
        <v>77</v>
      </c>
      <c r="N200">
        <v>1.74</v>
      </c>
      <c r="O200">
        <v>1622</v>
      </c>
      <c r="P200">
        <v>0.24</v>
      </c>
      <c r="Q200">
        <v>314</v>
      </c>
      <c r="R200">
        <v>657</v>
      </c>
    </row>
    <row r="201" spans="1:18" hidden="1" x14ac:dyDescent="0.2">
      <c r="A201">
        <v>7</v>
      </c>
      <c r="B201" t="s">
        <v>98</v>
      </c>
      <c r="E201" t="s">
        <v>29</v>
      </c>
      <c r="F201">
        <v>2355701</v>
      </c>
      <c r="G201">
        <v>1</v>
      </c>
      <c r="H201">
        <v>3</v>
      </c>
      <c r="I201">
        <v>901</v>
      </c>
      <c r="J201">
        <v>1973</v>
      </c>
      <c r="K201" s="4">
        <v>45305</v>
      </c>
      <c r="L201" t="s">
        <v>26</v>
      </c>
      <c r="M201" t="s">
        <v>70</v>
      </c>
      <c r="N201">
        <v>1.79</v>
      </c>
      <c r="O201">
        <v>1456</v>
      </c>
      <c r="P201">
        <v>2.29</v>
      </c>
      <c r="Q201">
        <v>132</v>
      </c>
      <c r="R201">
        <v>586</v>
      </c>
    </row>
    <row r="202" spans="1:18" hidden="1" x14ac:dyDescent="0.2">
      <c r="A202">
        <v>4</v>
      </c>
      <c r="B202" t="s">
        <v>87</v>
      </c>
      <c r="E202" t="s">
        <v>19</v>
      </c>
      <c r="F202">
        <v>1441409</v>
      </c>
      <c r="G202">
        <v>0</v>
      </c>
      <c r="H202">
        <v>1</v>
      </c>
      <c r="I202">
        <v>506</v>
      </c>
      <c r="J202">
        <v>2004</v>
      </c>
      <c r="K202" s="4">
        <v>45079</v>
      </c>
      <c r="L202" t="s">
        <v>23</v>
      </c>
      <c r="M202" t="s">
        <v>54</v>
      </c>
      <c r="N202">
        <v>2.15</v>
      </c>
      <c r="O202">
        <v>2115</v>
      </c>
      <c r="P202">
        <v>2.31</v>
      </c>
      <c r="Q202">
        <v>60</v>
      </c>
      <c r="R202">
        <v>507</v>
      </c>
    </row>
    <row r="203" spans="1:18" hidden="1" x14ac:dyDescent="0.2">
      <c r="A203">
        <v>4</v>
      </c>
      <c r="B203" t="s">
        <v>79</v>
      </c>
      <c r="E203" t="s">
        <v>51</v>
      </c>
      <c r="F203">
        <v>1903782</v>
      </c>
      <c r="G203">
        <v>3</v>
      </c>
      <c r="H203">
        <v>3</v>
      </c>
      <c r="I203">
        <v>954</v>
      </c>
      <c r="J203">
        <v>1960</v>
      </c>
      <c r="K203" s="4">
        <v>44551</v>
      </c>
      <c r="L203" t="s">
        <v>26</v>
      </c>
      <c r="M203" t="s">
        <v>56</v>
      </c>
      <c r="N203">
        <v>3.4</v>
      </c>
      <c r="O203">
        <v>1865</v>
      </c>
      <c r="P203">
        <v>4.49</v>
      </c>
      <c r="Q203">
        <v>117</v>
      </c>
      <c r="R203">
        <v>565</v>
      </c>
    </row>
    <row r="204" spans="1:18" hidden="1" x14ac:dyDescent="0.2">
      <c r="A204">
        <v>5</v>
      </c>
      <c r="B204" t="s">
        <v>84</v>
      </c>
      <c r="E204" t="s">
        <v>51</v>
      </c>
      <c r="F204">
        <v>1277904</v>
      </c>
      <c r="G204">
        <v>1</v>
      </c>
      <c r="H204">
        <v>3</v>
      </c>
      <c r="I204">
        <v>779</v>
      </c>
      <c r="J204">
        <v>1976</v>
      </c>
      <c r="K204" s="4">
        <v>45720</v>
      </c>
      <c r="L204" t="s">
        <v>26</v>
      </c>
      <c r="M204" t="s">
        <v>35</v>
      </c>
      <c r="N204">
        <v>2.71</v>
      </c>
      <c r="O204">
        <v>1999</v>
      </c>
      <c r="P204">
        <v>1.95</v>
      </c>
      <c r="Q204">
        <v>116</v>
      </c>
      <c r="R204">
        <v>529</v>
      </c>
    </row>
    <row r="205" spans="1:18" hidden="1" x14ac:dyDescent="0.2">
      <c r="A205">
        <v>9</v>
      </c>
      <c r="B205" t="s">
        <v>39</v>
      </c>
      <c r="E205" t="s">
        <v>19</v>
      </c>
      <c r="F205">
        <v>1421350</v>
      </c>
      <c r="G205">
        <v>3</v>
      </c>
      <c r="H205">
        <v>3</v>
      </c>
      <c r="I205">
        <v>632</v>
      </c>
      <c r="J205">
        <v>1993</v>
      </c>
      <c r="K205" s="4">
        <v>45576</v>
      </c>
      <c r="L205" t="s">
        <v>26</v>
      </c>
      <c r="M205" t="s">
        <v>42</v>
      </c>
      <c r="N205">
        <v>2.79</v>
      </c>
      <c r="O205">
        <v>1633</v>
      </c>
      <c r="P205">
        <v>3.05</v>
      </c>
      <c r="Q205">
        <v>293</v>
      </c>
      <c r="R205">
        <v>333</v>
      </c>
    </row>
    <row r="206" spans="1:18" hidden="1" x14ac:dyDescent="0.2">
      <c r="A206">
        <v>0</v>
      </c>
      <c r="B206" t="s">
        <v>57</v>
      </c>
      <c r="E206" t="s">
        <v>19</v>
      </c>
      <c r="F206">
        <v>2344765</v>
      </c>
      <c r="G206">
        <v>2</v>
      </c>
      <c r="H206">
        <v>1</v>
      </c>
      <c r="I206">
        <v>160</v>
      </c>
      <c r="J206">
        <v>1987</v>
      </c>
      <c r="K206" s="4">
        <v>44377</v>
      </c>
      <c r="L206" t="s">
        <v>20</v>
      </c>
      <c r="M206" t="s">
        <v>63</v>
      </c>
      <c r="N206">
        <v>1.96</v>
      </c>
      <c r="O206">
        <v>1684</v>
      </c>
      <c r="P206">
        <v>0.74</v>
      </c>
      <c r="Q206">
        <v>140</v>
      </c>
      <c r="R206">
        <v>603</v>
      </c>
    </row>
    <row r="207" spans="1:18" hidden="1" x14ac:dyDescent="0.2">
      <c r="A207">
        <v>7</v>
      </c>
      <c r="B207" t="s">
        <v>102</v>
      </c>
      <c r="E207" t="s">
        <v>51</v>
      </c>
      <c r="F207">
        <v>2262700</v>
      </c>
      <c r="G207">
        <v>5</v>
      </c>
      <c r="H207">
        <v>3</v>
      </c>
      <c r="I207">
        <v>966</v>
      </c>
      <c r="J207">
        <v>1975</v>
      </c>
      <c r="K207" s="4">
        <v>45600</v>
      </c>
      <c r="L207" t="s">
        <v>26</v>
      </c>
      <c r="M207" t="s">
        <v>33</v>
      </c>
      <c r="N207">
        <v>2.63</v>
      </c>
      <c r="O207">
        <v>1424</v>
      </c>
      <c r="P207">
        <v>2.82</v>
      </c>
      <c r="Q207">
        <v>244</v>
      </c>
      <c r="R207">
        <v>421</v>
      </c>
    </row>
    <row r="208" spans="1:18" hidden="1" x14ac:dyDescent="0.2">
      <c r="A208">
        <v>4</v>
      </c>
      <c r="B208" t="s">
        <v>81</v>
      </c>
      <c r="E208" t="s">
        <v>51</v>
      </c>
      <c r="F208">
        <v>1925031</v>
      </c>
      <c r="G208">
        <v>3</v>
      </c>
      <c r="H208">
        <v>3</v>
      </c>
      <c r="I208">
        <v>125</v>
      </c>
      <c r="J208">
        <v>1991</v>
      </c>
      <c r="K208" s="4">
        <v>45590</v>
      </c>
      <c r="L208" t="s">
        <v>23</v>
      </c>
      <c r="M208" t="s">
        <v>63</v>
      </c>
      <c r="N208">
        <v>2.44</v>
      </c>
      <c r="O208">
        <v>1098</v>
      </c>
      <c r="P208">
        <v>1.78</v>
      </c>
      <c r="Q208">
        <v>221</v>
      </c>
      <c r="R208">
        <v>651</v>
      </c>
    </row>
    <row r="209" spans="1:18" hidden="1" x14ac:dyDescent="0.2">
      <c r="A209">
        <v>7</v>
      </c>
      <c r="B209" t="s">
        <v>105</v>
      </c>
      <c r="E209" t="s">
        <v>19</v>
      </c>
      <c r="F209">
        <v>2134397</v>
      </c>
      <c r="G209">
        <v>4</v>
      </c>
      <c r="H209">
        <v>1</v>
      </c>
      <c r="I209">
        <v>633</v>
      </c>
      <c r="J209">
        <v>1957</v>
      </c>
      <c r="K209" s="4">
        <v>44810</v>
      </c>
      <c r="L209" t="s">
        <v>26</v>
      </c>
      <c r="M209" t="s">
        <v>33</v>
      </c>
      <c r="N209">
        <v>2.46</v>
      </c>
      <c r="O209">
        <v>1851</v>
      </c>
      <c r="P209">
        <v>0.73</v>
      </c>
      <c r="Q209">
        <v>166</v>
      </c>
      <c r="R209">
        <v>649</v>
      </c>
    </row>
    <row r="210" spans="1:18" hidden="1" x14ac:dyDescent="0.2">
      <c r="A210">
        <v>9</v>
      </c>
      <c r="B210" t="s">
        <v>94</v>
      </c>
      <c r="E210" t="s">
        <v>51</v>
      </c>
      <c r="F210">
        <v>2676601</v>
      </c>
      <c r="G210">
        <v>5</v>
      </c>
      <c r="H210">
        <v>2</v>
      </c>
      <c r="I210">
        <v>149</v>
      </c>
      <c r="J210">
        <v>1959</v>
      </c>
      <c r="K210" s="4">
        <v>45803</v>
      </c>
      <c r="L210" t="s">
        <v>23</v>
      </c>
      <c r="M210" t="s">
        <v>89</v>
      </c>
      <c r="N210">
        <v>2.76</v>
      </c>
      <c r="O210">
        <v>1310</v>
      </c>
      <c r="P210">
        <v>3.13</v>
      </c>
      <c r="Q210">
        <v>305</v>
      </c>
      <c r="R210">
        <v>605</v>
      </c>
    </row>
    <row r="211" spans="1:18" hidden="1" x14ac:dyDescent="0.2">
      <c r="A211">
        <v>7</v>
      </c>
      <c r="B211" t="s">
        <v>18</v>
      </c>
      <c r="E211" t="s">
        <v>29</v>
      </c>
      <c r="F211">
        <v>934005</v>
      </c>
      <c r="G211">
        <v>4</v>
      </c>
      <c r="H211">
        <v>1</v>
      </c>
      <c r="I211">
        <v>390</v>
      </c>
      <c r="J211">
        <v>1953</v>
      </c>
      <c r="K211" s="4">
        <v>44187</v>
      </c>
      <c r="L211" t="s">
        <v>26</v>
      </c>
      <c r="M211" t="s">
        <v>59</v>
      </c>
      <c r="N211">
        <v>2.38</v>
      </c>
      <c r="O211">
        <v>1997</v>
      </c>
      <c r="P211">
        <v>1.51</v>
      </c>
      <c r="Q211">
        <v>179</v>
      </c>
      <c r="R211">
        <v>622</v>
      </c>
    </row>
    <row r="212" spans="1:18" hidden="1" x14ac:dyDescent="0.2">
      <c r="A212">
        <v>6</v>
      </c>
      <c r="B212" t="s">
        <v>79</v>
      </c>
      <c r="E212" t="s">
        <v>51</v>
      </c>
      <c r="F212">
        <v>2801025</v>
      </c>
      <c r="G212">
        <v>0</v>
      </c>
      <c r="H212">
        <v>2</v>
      </c>
      <c r="I212">
        <v>822</v>
      </c>
      <c r="J212">
        <v>2000</v>
      </c>
      <c r="K212" s="4">
        <v>45203</v>
      </c>
      <c r="L212" t="s">
        <v>20</v>
      </c>
      <c r="M212" t="s">
        <v>70</v>
      </c>
      <c r="N212">
        <v>1.65</v>
      </c>
      <c r="O212">
        <v>1298</v>
      </c>
      <c r="P212">
        <v>2.17</v>
      </c>
      <c r="Q212">
        <v>59</v>
      </c>
      <c r="R212">
        <v>326</v>
      </c>
    </row>
    <row r="213" spans="1:18" hidden="1" x14ac:dyDescent="0.2">
      <c r="A213">
        <v>4</v>
      </c>
      <c r="B213" t="s">
        <v>65</v>
      </c>
      <c r="E213" t="s">
        <v>29</v>
      </c>
      <c r="F213">
        <v>566986</v>
      </c>
      <c r="G213">
        <v>2</v>
      </c>
      <c r="H213">
        <v>2</v>
      </c>
      <c r="I213">
        <v>435</v>
      </c>
      <c r="J213">
        <v>1959</v>
      </c>
      <c r="K213" s="4">
        <v>45876</v>
      </c>
      <c r="L213" t="s">
        <v>30</v>
      </c>
      <c r="M213" t="s">
        <v>97</v>
      </c>
      <c r="N213">
        <v>3.41</v>
      </c>
      <c r="O213">
        <v>1239</v>
      </c>
      <c r="P213">
        <v>1.87</v>
      </c>
      <c r="Q213">
        <v>206</v>
      </c>
      <c r="R213">
        <v>537</v>
      </c>
    </row>
    <row r="214" spans="1:18" hidden="1" x14ac:dyDescent="0.2">
      <c r="A214">
        <v>9</v>
      </c>
      <c r="B214" t="s">
        <v>39</v>
      </c>
      <c r="E214" t="s">
        <v>51</v>
      </c>
      <c r="F214">
        <v>2069982</v>
      </c>
      <c r="G214">
        <v>4</v>
      </c>
      <c r="H214">
        <v>1</v>
      </c>
      <c r="I214">
        <v>111</v>
      </c>
      <c r="J214">
        <v>1986</v>
      </c>
      <c r="K214" s="4">
        <v>44736</v>
      </c>
      <c r="L214" t="s">
        <v>30</v>
      </c>
      <c r="M214" t="s">
        <v>68</v>
      </c>
      <c r="N214">
        <v>1.77</v>
      </c>
      <c r="O214">
        <v>1924</v>
      </c>
      <c r="P214">
        <v>4.93</v>
      </c>
      <c r="Q214">
        <v>391</v>
      </c>
      <c r="R214">
        <v>306</v>
      </c>
    </row>
    <row r="215" spans="1:18" hidden="1" x14ac:dyDescent="0.2">
      <c r="A215">
        <v>6</v>
      </c>
      <c r="B215" t="s">
        <v>49</v>
      </c>
      <c r="E215" t="s">
        <v>51</v>
      </c>
      <c r="F215">
        <v>1046646</v>
      </c>
      <c r="G215">
        <v>6</v>
      </c>
      <c r="H215">
        <v>3</v>
      </c>
      <c r="I215">
        <v>797</v>
      </c>
      <c r="J215">
        <v>2019</v>
      </c>
      <c r="K215" s="4">
        <v>45045</v>
      </c>
      <c r="L215" t="s">
        <v>26</v>
      </c>
      <c r="M215" t="s">
        <v>52</v>
      </c>
      <c r="N215">
        <v>2.85</v>
      </c>
      <c r="O215">
        <v>1009</v>
      </c>
      <c r="P215">
        <v>0.73</v>
      </c>
      <c r="Q215">
        <v>385</v>
      </c>
      <c r="R215">
        <v>597</v>
      </c>
    </row>
    <row r="216" spans="1:18" hidden="1" x14ac:dyDescent="0.2">
      <c r="A216">
        <v>0</v>
      </c>
      <c r="B216" t="s">
        <v>49</v>
      </c>
      <c r="E216" t="s">
        <v>29</v>
      </c>
      <c r="F216">
        <v>2512364</v>
      </c>
      <c r="G216">
        <v>2</v>
      </c>
      <c r="H216">
        <v>3</v>
      </c>
      <c r="I216">
        <v>932</v>
      </c>
      <c r="J216">
        <v>1977</v>
      </c>
      <c r="K216" s="4">
        <v>44278</v>
      </c>
      <c r="L216" t="s">
        <v>20</v>
      </c>
      <c r="M216" t="s">
        <v>42</v>
      </c>
      <c r="N216">
        <v>1.54</v>
      </c>
      <c r="O216">
        <v>1767</v>
      </c>
      <c r="P216">
        <v>2.11</v>
      </c>
      <c r="Q216">
        <v>202</v>
      </c>
      <c r="R216">
        <v>650</v>
      </c>
    </row>
    <row r="217" spans="1:18" hidden="1" x14ac:dyDescent="0.2">
      <c r="A217">
        <v>3</v>
      </c>
      <c r="B217" t="s">
        <v>99</v>
      </c>
      <c r="E217" t="s">
        <v>29</v>
      </c>
      <c r="F217">
        <v>2840035</v>
      </c>
      <c r="G217">
        <v>1</v>
      </c>
      <c r="H217">
        <v>2</v>
      </c>
      <c r="I217">
        <v>525</v>
      </c>
      <c r="J217">
        <v>1976</v>
      </c>
      <c r="K217" s="4">
        <v>44260</v>
      </c>
      <c r="L217" t="s">
        <v>30</v>
      </c>
      <c r="M217" t="s">
        <v>21</v>
      </c>
      <c r="N217">
        <v>2.06</v>
      </c>
      <c r="O217">
        <v>2446</v>
      </c>
      <c r="P217">
        <v>1.03</v>
      </c>
      <c r="Q217">
        <v>76</v>
      </c>
      <c r="R217">
        <v>391</v>
      </c>
    </row>
    <row r="218" spans="1:18" x14ac:dyDescent="0.2">
      <c r="A218">
        <v>8</v>
      </c>
      <c r="B218" t="s">
        <v>73</v>
      </c>
      <c r="E218" t="s">
        <v>51</v>
      </c>
      <c r="F218">
        <v>1715874</v>
      </c>
      <c r="G218">
        <v>5</v>
      </c>
      <c r="H218">
        <v>3</v>
      </c>
      <c r="I218">
        <v>628</v>
      </c>
      <c r="J218">
        <v>1971</v>
      </c>
      <c r="K218" s="4">
        <v>45842</v>
      </c>
      <c r="L218" t="s">
        <v>30</v>
      </c>
      <c r="M218" t="s">
        <v>60</v>
      </c>
      <c r="N218">
        <v>3.44</v>
      </c>
      <c r="O218">
        <v>2333</v>
      </c>
      <c r="P218">
        <v>4.3099999999999996</v>
      </c>
      <c r="Q218">
        <v>390</v>
      </c>
      <c r="R218">
        <v>603</v>
      </c>
    </row>
    <row r="219" spans="1:18" hidden="1" x14ac:dyDescent="0.2">
      <c r="A219">
        <v>7</v>
      </c>
      <c r="B219" t="s">
        <v>61</v>
      </c>
      <c r="E219" t="s">
        <v>19</v>
      </c>
      <c r="F219">
        <v>2080257</v>
      </c>
      <c r="G219">
        <v>3</v>
      </c>
      <c r="H219">
        <v>1</v>
      </c>
      <c r="I219">
        <v>628</v>
      </c>
      <c r="J219">
        <v>1956</v>
      </c>
      <c r="K219" s="4">
        <v>44615</v>
      </c>
      <c r="L219" t="s">
        <v>26</v>
      </c>
      <c r="M219" t="s">
        <v>37</v>
      </c>
      <c r="N219">
        <v>3.02</v>
      </c>
      <c r="O219">
        <v>1394</v>
      </c>
      <c r="P219">
        <v>0.24</v>
      </c>
      <c r="Q219">
        <v>104</v>
      </c>
      <c r="R219">
        <v>643</v>
      </c>
    </row>
    <row r="220" spans="1:18" x14ac:dyDescent="0.2">
      <c r="A220">
        <v>8</v>
      </c>
      <c r="B220" t="s">
        <v>102</v>
      </c>
      <c r="E220" t="s">
        <v>51</v>
      </c>
      <c r="F220">
        <v>2391665</v>
      </c>
      <c r="G220">
        <v>2</v>
      </c>
      <c r="H220">
        <v>1</v>
      </c>
      <c r="I220">
        <v>899</v>
      </c>
      <c r="J220">
        <v>2014</v>
      </c>
      <c r="K220" s="4">
        <v>45537</v>
      </c>
      <c r="L220" t="s">
        <v>26</v>
      </c>
      <c r="M220" t="s">
        <v>45</v>
      </c>
      <c r="N220">
        <v>3.33</v>
      </c>
      <c r="O220">
        <v>1083</v>
      </c>
      <c r="P220">
        <v>1.4</v>
      </c>
      <c r="Q220">
        <v>127</v>
      </c>
      <c r="R220">
        <v>335</v>
      </c>
    </row>
    <row r="221" spans="1:18" hidden="1" x14ac:dyDescent="0.2">
      <c r="A221">
        <v>0</v>
      </c>
      <c r="B221" t="s">
        <v>73</v>
      </c>
      <c r="E221" t="s">
        <v>19</v>
      </c>
      <c r="F221">
        <v>1283466</v>
      </c>
      <c r="G221">
        <v>3</v>
      </c>
      <c r="H221">
        <v>3</v>
      </c>
      <c r="I221">
        <v>95</v>
      </c>
      <c r="J221">
        <v>1979</v>
      </c>
      <c r="K221" s="4">
        <v>45327</v>
      </c>
      <c r="L221" t="s">
        <v>26</v>
      </c>
      <c r="M221" t="s">
        <v>60</v>
      </c>
      <c r="N221">
        <v>2.38</v>
      </c>
      <c r="O221">
        <v>1089</v>
      </c>
      <c r="P221">
        <v>2.97</v>
      </c>
      <c r="Q221">
        <v>234</v>
      </c>
      <c r="R221">
        <v>651</v>
      </c>
    </row>
    <row r="222" spans="1:18" hidden="1" x14ac:dyDescent="0.2">
      <c r="A222">
        <v>0</v>
      </c>
      <c r="B222" t="s">
        <v>84</v>
      </c>
      <c r="E222" t="s">
        <v>29</v>
      </c>
      <c r="F222">
        <v>1519708</v>
      </c>
      <c r="G222">
        <v>2</v>
      </c>
      <c r="H222">
        <v>3</v>
      </c>
      <c r="I222">
        <v>283</v>
      </c>
      <c r="J222">
        <v>1992</v>
      </c>
      <c r="K222" s="4">
        <v>44487</v>
      </c>
      <c r="L222" t="s">
        <v>23</v>
      </c>
      <c r="M222" t="s">
        <v>35</v>
      </c>
      <c r="N222">
        <v>3.27</v>
      </c>
      <c r="O222">
        <v>1342</v>
      </c>
      <c r="P222">
        <v>1.04</v>
      </c>
      <c r="Q222">
        <v>220</v>
      </c>
      <c r="R222">
        <v>337</v>
      </c>
    </row>
    <row r="223" spans="1:18" x14ac:dyDescent="0.2">
      <c r="A223">
        <v>8</v>
      </c>
      <c r="B223" t="s">
        <v>71</v>
      </c>
      <c r="E223" t="s">
        <v>51</v>
      </c>
      <c r="F223">
        <v>1752561</v>
      </c>
      <c r="G223">
        <v>1</v>
      </c>
      <c r="H223">
        <v>3</v>
      </c>
      <c r="I223">
        <v>607</v>
      </c>
      <c r="J223">
        <v>1973</v>
      </c>
      <c r="K223" s="4">
        <v>45031</v>
      </c>
      <c r="L223" t="s">
        <v>20</v>
      </c>
      <c r="M223" t="s">
        <v>74</v>
      </c>
      <c r="N223">
        <v>2.4900000000000002</v>
      </c>
      <c r="O223">
        <v>2259</v>
      </c>
      <c r="P223">
        <v>4.05</v>
      </c>
      <c r="Q223">
        <v>94</v>
      </c>
      <c r="R223">
        <v>321</v>
      </c>
    </row>
    <row r="224" spans="1:18" x14ac:dyDescent="0.2">
      <c r="A224">
        <v>8</v>
      </c>
      <c r="B224" t="s">
        <v>44</v>
      </c>
      <c r="E224" t="s">
        <v>36</v>
      </c>
      <c r="F224">
        <v>1185465</v>
      </c>
      <c r="G224">
        <v>5</v>
      </c>
      <c r="H224">
        <v>3</v>
      </c>
      <c r="I224">
        <v>78</v>
      </c>
      <c r="J224">
        <v>2019</v>
      </c>
      <c r="K224" s="4">
        <v>45608</v>
      </c>
      <c r="L224" t="s">
        <v>26</v>
      </c>
      <c r="M224" t="s">
        <v>85</v>
      </c>
      <c r="N224">
        <v>2.92</v>
      </c>
      <c r="O224">
        <v>1390</v>
      </c>
      <c r="P224">
        <v>3.55</v>
      </c>
      <c r="Q224">
        <v>322</v>
      </c>
      <c r="R224">
        <v>647</v>
      </c>
    </row>
    <row r="225" spans="1:18" hidden="1" x14ac:dyDescent="0.2">
      <c r="A225">
        <v>0</v>
      </c>
      <c r="B225" t="s">
        <v>53</v>
      </c>
      <c r="E225" t="s">
        <v>29</v>
      </c>
      <c r="F225">
        <v>2364183</v>
      </c>
      <c r="G225">
        <v>1</v>
      </c>
      <c r="H225">
        <v>2</v>
      </c>
      <c r="I225">
        <v>328</v>
      </c>
      <c r="J225">
        <v>2020</v>
      </c>
      <c r="K225" s="4">
        <v>44400</v>
      </c>
      <c r="L225" t="s">
        <v>23</v>
      </c>
      <c r="M225" t="s">
        <v>68</v>
      </c>
      <c r="N225">
        <v>3.11</v>
      </c>
      <c r="O225">
        <v>2178</v>
      </c>
      <c r="P225">
        <v>2.65</v>
      </c>
      <c r="Q225">
        <v>115</v>
      </c>
      <c r="R225">
        <v>614</v>
      </c>
    </row>
    <row r="226" spans="1:18" hidden="1" x14ac:dyDescent="0.2">
      <c r="A226">
        <v>9</v>
      </c>
      <c r="B226" t="s">
        <v>25</v>
      </c>
      <c r="E226" t="s">
        <v>29</v>
      </c>
      <c r="F226">
        <v>614214</v>
      </c>
      <c r="G226">
        <v>4</v>
      </c>
      <c r="H226">
        <v>3</v>
      </c>
      <c r="I226">
        <v>136</v>
      </c>
      <c r="J226">
        <v>1969</v>
      </c>
      <c r="K226" s="4">
        <v>44571</v>
      </c>
      <c r="L226" t="s">
        <v>20</v>
      </c>
      <c r="M226" t="s">
        <v>21</v>
      </c>
      <c r="N226">
        <v>3.05</v>
      </c>
      <c r="O226">
        <v>2214</v>
      </c>
      <c r="P226">
        <v>3.68</v>
      </c>
      <c r="Q226">
        <v>304</v>
      </c>
      <c r="R226">
        <v>341</v>
      </c>
    </row>
    <row r="227" spans="1:18" hidden="1" x14ac:dyDescent="0.2">
      <c r="A227">
        <v>5</v>
      </c>
      <c r="B227" t="s">
        <v>25</v>
      </c>
      <c r="E227" t="s">
        <v>29</v>
      </c>
      <c r="F227">
        <v>1747482</v>
      </c>
      <c r="G227">
        <v>2</v>
      </c>
      <c r="H227">
        <v>1</v>
      </c>
      <c r="I227">
        <v>541</v>
      </c>
      <c r="J227">
        <v>1976</v>
      </c>
      <c r="K227" s="4">
        <v>44964</v>
      </c>
      <c r="L227" t="s">
        <v>23</v>
      </c>
      <c r="M227" t="s">
        <v>63</v>
      </c>
      <c r="N227">
        <v>3.02</v>
      </c>
      <c r="O227">
        <v>1265</v>
      </c>
      <c r="P227">
        <v>4.42</v>
      </c>
      <c r="Q227">
        <v>118</v>
      </c>
      <c r="R227">
        <v>688</v>
      </c>
    </row>
    <row r="228" spans="1:18" hidden="1" x14ac:dyDescent="0.2">
      <c r="A228">
        <v>3</v>
      </c>
      <c r="B228" t="s">
        <v>48</v>
      </c>
      <c r="E228" t="s">
        <v>51</v>
      </c>
      <c r="F228">
        <v>495865</v>
      </c>
      <c r="G228">
        <v>4</v>
      </c>
      <c r="H228">
        <v>1</v>
      </c>
      <c r="I228">
        <v>166</v>
      </c>
      <c r="J228">
        <v>1985</v>
      </c>
      <c r="K228" s="4">
        <v>44505</v>
      </c>
      <c r="L228" t="s">
        <v>23</v>
      </c>
      <c r="M228" t="s">
        <v>45</v>
      </c>
      <c r="N228">
        <v>2.0699999999999998</v>
      </c>
      <c r="O228">
        <v>870</v>
      </c>
      <c r="P228">
        <v>1.65</v>
      </c>
      <c r="Q228">
        <v>284</v>
      </c>
      <c r="R228">
        <v>555</v>
      </c>
    </row>
    <row r="229" spans="1:18" hidden="1" x14ac:dyDescent="0.2">
      <c r="A229">
        <v>6</v>
      </c>
      <c r="B229" t="s">
        <v>79</v>
      </c>
      <c r="E229" t="s">
        <v>36</v>
      </c>
      <c r="F229">
        <v>555236</v>
      </c>
      <c r="G229">
        <v>4</v>
      </c>
      <c r="H229">
        <v>3</v>
      </c>
      <c r="I229">
        <v>382</v>
      </c>
      <c r="J229">
        <v>1975</v>
      </c>
      <c r="K229" s="4">
        <v>44838</v>
      </c>
      <c r="L229" t="s">
        <v>26</v>
      </c>
      <c r="M229" t="s">
        <v>82</v>
      </c>
      <c r="N229">
        <v>3.4</v>
      </c>
      <c r="O229">
        <v>2305</v>
      </c>
      <c r="P229">
        <v>3.13</v>
      </c>
      <c r="Q229">
        <v>203</v>
      </c>
      <c r="R229">
        <v>676</v>
      </c>
    </row>
    <row r="230" spans="1:18" x14ac:dyDescent="0.2">
      <c r="A230">
        <v>8</v>
      </c>
      <c r="B230" t="s">
        <v>83</v>
      </c>
      <c r="E230" t="s">
        <v>29</v>
      </c>
      <c r="F230">
        <v>567597</v>
      </c>
      <c r="G230">
        <v>5</v>
      </c>
      <c r="H230">
        <v>1</v>
      </c>
      <c r="I230">
        <v>646</v>
      </c>
      <c r="J230">
        <v>1997</v>
      </c>
      <c r="K230" s="4">
        <v>44189</v>
      </c>
      <c r="L230" t="s">
        <v>20</v>
      </c>
      <c r="M230" t="s">
        <v>59</v>
      </c>
      <c r="N230">
        <v>1.98</v>
      </c>
      <c r="O230">
        <v>1213</v>
      </c>
      <c r="P230">
        <v>3.86</v>
      </c>
      <c r="Q230">
        <v>272</v>
      </c>
      <c r="R230">
        <v>633</v>
      </c>
    </row>
    <row r="231" spans="1:18" hidden="1" x14ac:dyDescent="0.2">
      <c r="A231">
        <v>9</v>
      </c>
      <c r="B231" t="s">
        <v>94</v>
      </c>
      <c r="E231" t="s">
        <v>19</v>
      </c>
      <c r="F231">
        <v>2437260</v>
      </c>
      <c r="G231">
        <v>4</v>
      </c>
      <c r="H231">
        <v>2</v>
      </c>
      <c r="I231">
        <v>330</v>
      </c>
      <c r="J231">
        <v>2008</v>
      </c>
      <c r="K231" s="4">
        <v>45314</v>
      </c>
      <c r="L231" t="s">
        <v>23</v>
      </c>
      <c r="M231" t="s">
        <v>21</v>
      </c>
      <c r="N231">
        <v>3.43</v>
      </c>
      <c r="O231">
        <v>1295</v>
      </c>
      <c r="P231">
        <v>0.23</v>
      </c>
      <c r="Q231">
        <v>283</v>
      </c>
      <c r="R231">
        <v>348</v>
      </c>
    </row>
    <row r="232" spans="1:18" hidden="1" x14ac:dyDescent="0.2">
      <c r="A232">
        <v>7</v>
      </c>
      <c r="B232" t="s">
        <v>91</v>
      </c>
      <c r="E232" t="s">
        <v>51</v>
      </c>
      <c r="F232">
        <v>754310</v>
      </c>
      <c r="G232">
        <v>1</v>
      </c>
      <c r="H232">
        <v>1</v>
      </c>
      <c r="I232">
        <v>92</v>
      </c>
      <c r="J232">
        <v>2005</v>
      </c>
      <c r="K232" s="4">
        <v>45279</v>
      </c>
      <c r="L232" t="s">
        <v>23</v>
      </c>
      <c r="M232" t="s">
        <v>58</v>
      </c>
      <c r="N232">
        <v>1.79</v>
      </c>
      <c r="O232">
        <v>1401</v>
      </c>
      <c r="P232">
        <v>0.92</v>
      </c>
      <c r="Q232">
        <v>60</v>
      </c>
      <c r="R232">
        <v>503</v>
      </c>
    </row>
    <row r="233" spans="1:18" hidden="1" x14ac:dyDescent="0.2">
      <c r="A233">
        <v>2</v>
      </c>
      <c r="B233" t="s">
        <v>105</v>
      </c>
      <c r="E233" t="s">
        <v>29</v>
      </c>
      <c r="F233">
        <v>2618247</v>
      </c>
      <c r="G233">
        <v>3</v>
      </c>
      <c r="H233">
        <v>1</v>
      </c>
      <c r="I233">
        <v>252</v>
      </c>
      <c r="J233">
        <v>1984</v>
      </c>
      <c r="K233" s="4">
        <v>45238</v>
      </c>
      <c r="L233" t="s">
        <v>30</v>
      </c>
      <c r="M233" t="s">
        <v>42</v>
      </c>
      <c r="N233">
        <v>1.84</v>
      </c>
      <c r="O233">
        <v>1139</v>
      </c>
      <c r="P233">
        <v>4.2300000000000004</v>
      </c>
      <c r="Q233">
        <v>313</v>
      </c>
      <c r="R233">
        <v>555</v>
      </c>
    </row>
    <row r="234" spans="1:18" hidden="1" x14ac:dyDescent="0.2">
      <c r="A234">
        <v>4</v>
      </c>
      <c r="B234" t="s">
        <v>95</v>
      </c>
      <c r="E234" t="s">
        <v>29</v>
      </c>
      <c r="F234">
        <v>2707572</v>
      </c>
      <c r="G234">
        <v>0</v>
      </c>
      <c r="H234">
        <v>2</v>
      </c>
      <c r="I234">
        <v>920</v>
      </c>
      <c r="J234">
        <v>1963</v>
      </c>
      <c r="K234" s="4">
        <v>44415</v>
      </c>
      <c r="L234" t="s">
        <v>23</v>
      </c>
      <c r="M234" t="s">
        <v>66</v>
      </c>
      <c r="N234">
        <v>2.71</v>
      </c>
      <c r="O234">
        <v>1863</v>
      </c>
      <c r="P234">
        <v>4.47</v>
      </c>
      <c r="Q234">
        <v>49</v>
      </c>
      <c r="R234">
        <v>539</v>
      </c>
    </row>
    <row r="235" spans="1:18" hidden="1" x14ac:dyDescent="0.2">
      <c r="A235">
        <v>5</v>
      </c>
      <c r="B235" t="s">
        <v>80</v>
      </c>
      <c r="E235" t="s">
        <v>19</v>
      </c>
      <c r="F235">
        <v>1504689</v>
      </c>
      <c r="G235">
        <v>1</v>
      </c>
      <c r="H235">
        <v>1</v>
      </c>
      <c r="I235">
        <v>725</v>
      </c>
      <c r="J235">
        <v>1993</v>
      </c>
      <c r="K235" s="4">
        <v>44474</v>
      </c>
      <c r="L235" t="s">
        <v>23</v>
      </c>
      <c r="M235" t="s">
        <v>97</v>
      </c>
      <c r="N235">
        <v>2.13</v>
      </c>
      <c r="O235">
        <v>1996</v>
      </c>
      <c r="P235">
        <v>2.23</v>
      </c>
      <c r="Q235">
        <v>118</v>
      </c>
      <c r="R235">
        <v>444</v>
      </c>
    </row>
    <row r="236" spans="1:18" hidden="1" x14ac:dyDescent="0.2">
      <c r="A236">
        <v>0</v>
      </c>
      <c r="B236" t="s">
        <v>18</v>
      </c>
      <c r="E236" t="s">
        <v>19</v>
      </c>
      <c r="F236">
        <v>1654420</v>
      </c>
      <c r="G236">
        <v>4</v>
      </c>
      <c r="H236">
        <v>1</v>
      </c>
      <c r="I236">
        <v>1000</v>
      </c>
      <c r="J236">
        <v>1968</v>
      </c>
      <c r="K236" s="4">
        <v>45831</v>
      </c>
      <c r="L236" t="s">
        <v>20</v>
      </c>
      <c r="M236" t="s">
        <v>21</v>
      </c>
      <c r="N236">
        <v>2.72</v>
      </c>
      <c r="O236">
        <v>1924</v>
      </c>
      <c r="P236">
        <v>3.93</v>
      </c>
      <c r="Q236">
        <v>315</v>
      </c>
      <c r="R236">
        <v>508</v>
      </c>
    </row>
    <row r="237" spans="1:18" hidden="1" x14ac:dyDescent="0.2">
      <c r="A237">
        <v>9</v>
      </c>
      <c r="B237" t="s">
        <v>80</v>
      </c>
      <c r="E237" t="s">
        <v>29</v>
      </c>
      <c r="F237">
        <v>1175712</v>
      </c>
      <c r="G237">
        <v>4</v>
      </c>
      <c r="H237">
        <v>1</v>
      </c>
      <c r="I237">
        <v>791</v>
      </c>
      <c r="J237">
        <v>1977</v>
      </c>
      <c r="K237" s="4">
        <v>45054</v>
      </c>
      <c r="L237" t="s">
        <v>20</v>
      </c>
      <c r="M237" t="s">
        <v>77</v>
      </c>
      <c r="N237">
        <v>2.64</v>
      </c>
      <c r="O237">
        <v>1179</v>
      </c>
      <c r="P237">
        <v>4.54</v>
      </c>
      <c r="Q237">
        <v>299</v>
      </c>
      <c r="R237">
        <v>577</v>
      </c>
    </row>
    <row r="238" spans="1:18" hidden="1" x14ac:dyDescent="0.2">
      <c r="A238">
        <v>9</v>
      </c>
      <c r="B238" t="s">
        <v>25</v>
      </c>
      <c r="E238" t="s">
        <v>19</v>
      </c>
      <c r="F238">
        <v>498904</v>
      </c>
      <c r="G238">
        <v>4</v>
      </c>
      <c r="H238">
        <v>2</v>
      </c>
      <c r="I238">
        <v>563</v>
      </c>
      <c r="J238">
        <v>1975</v>
      </c>
      <c r="K238" s="4">
        <v>44670</v>
      </c>
      <c r="L238" t="s">
        <v>26</v>
      </c>
      <c r="M238" t="s">
        <v>76</v>
      </c>
      <c r="N238">
        <v>2.58</v>
      </c>
      <c r="O238">
        <v>2361</v>
      </c>
      <c r="P238">
        <v>3.87</v>
      </c>
      <c r="Q238">
        <v>258</v>
      </c>
      <c r="R238">
        <v>671</v>
      </c>
    </row>
    <row r="239" spans="1:18" hidden="1" x14ac:dyDescent="0.2">
      <c r="A239">
        <v>0</v>
      </c>
      <c r="B239" t="s">
        <v>98</v>
      </c>
      <c r="E239" t="s">
        <v>36</v>
      </c>
      <c r="F239">
        <v>1813749</v>
      </c>
      <c r="G239">
        <v>3</v>
      </c>
      <c r="H239">
        <v>2</v>
      </c>
      <c r="I239">
        <v>342</v>
      </c>
      <c r="J239">
        <v>1972</v>
      </c>
      <c r="K239" s="4">
        <v>44969</v>
      </c>
      <c r="L239" t="s">
        <v>23</v>
      </c>
      <c r="M239" t="s">
        <v>52</v>
      </c>
      <c r="N239">
        <v>2.87</v>
      </c>
      <c r="O239">
        <v>2092</v>
      </c>
      <c r="P239">
        <v>3.16</v>
      </c>
      <c r="Q239">
        <v>82</v>
      </c>
      <c r="R239">
        <v>352</v>
      </c>
    </row>
    <row r="240" spans="1:18" hidden="1" x14ac:dyDescent="0.2">
      <c r="A240">
        <v>3</v>
      </c>
      <c r="B240" t="s">
        <v>104</v>
      </c>
      <c r="E240" t="s">
        <v>51</v>
      </c>
      <c r="F240">
        <v>2598428</v>
      </c>
      <c r="G240">
        <v>2</v>
      </c>
      <c r="H240">
        <v>3</v>
      </c>
      <c r="I240">
        <v>476</v>
      </c>
      <c r="J240">
        <v>2000</v>
      </c>
      <c r="K240" s="4">
        <v>45046</v>
      </c>
      <c r="L240" t="s">
        <v>20</v>
      </c>
      <c r="M240" t="s">
        <v>74</v>
      </c>
      <c r="N240">
        <v>2.63</v>
      </c>
      <c r="O240">
        <v>2098</v>
      </c>
      <c r="P240">
        <v>3.73</v>
      </c>
      <c r="Q240">
        <v>186</v>
      </c>
      <c r="R240">
        <v>384</v>
      </c>
    </row>
    <row r="241" spans="1:18" hidden="1" x14ac:dyDescent="0.2">
      <c r="A241">
        <v>2</v>
      </c>
      <c r="B241" t="s">
        <v>75</v>
      </c>
      <c r="E241" t="s">
        <v>29</v>
      </c>
      <c r="F241">
        <v>473479</v>
      </c>
      <c r="G241">
        <v>4</v>
      </c>
      <c r="H241">
        <v>3</v>
      </c>
      <c r="I241">
        <v>657</v>
      </c>
      <c r="J241">
        <v>1982</v>
      </c>
      <c r="K241" s="4">
        <v>44487</v>
      </c>
      <c r="L241" t="s">
        <v>23</v>
      </c>
      <c r="M241" t="s">
        <v>74</v>
      </c>
      <c r="N241">
        <v>3.24</v>
      </c>
      <c r="O241">
        <v>2374</v>
      </c>
      <c r="P241">
        <v>1.67</v>
      </c>
      <c r="Q241">
        <v>358</v>
      </c>
      <c r="R241">
        <v>688</v>
      </c>
    </row>
    <row r="242" spans="1:18" hidden="1" x14ac:dyDescent="0.2">
      <c r="A242">
        <v>4</v>
      </c>
      <c r="B242" t="s">
        <v>88</v>
      </c>
      <c r="E242" t="s">
        <v>51</v>
      </c>
      <c r="F242">
        <v>691242</v>
      </c>
      <c r="G242">
        <v>2</v>
      </c>
      <c r="H242">
        <v>2</v>
      </c>
      <c r="I242">
        <v>302</v>
      </c>
      <c r="J242">
        <v>1995</v>
      </c>
      <c r="K242" s="4">
        <v>45274</v>
      </c>
      <c r="L242" t="s">
        <v>20</v>
      </c>
      <c r="M242" t="s">
        <v>68</v>
      </c>
      <c r="N242">
        <v>2.86</v>
      </c>
      <c r="O242">
        <v>890</v>
      </c>
      <c r="P242">
        <v>1.27</v>
      </c>
      <c r="Q242">
        <v>223</v>
      </c>
      <c r="R242">
        <v>551</v>
      </c>
    </row>
    <row r="243" spans="1:18" hidden="1" x14ac:dyDescent="0.2">
      <c r="A243">
        <v>2</v>
      </c>
      <c r="B243" t="s">
        <v>92</v>
      </c>
      <c r="E243" t="s">
        <v>29</v>
      </c>
      <c r="F243">
        <v>2963479</v>
      </c>
      <c r="G243">
        <v>4</v>
      </c>
      <c r="H243">
        <v>1</v>
      </c>
      <c r="I243">
        <v>200</v>
      </c>
      <c r="J243">
        <v>1998</v>
      </c>
      <c r="K243" s="4">
        <v>44898</v>
      </c>
      <c r="L243" t="s">
        <v>30</v>
      </c>
      <c r="M243" t="s">
        <v>70</v>
      </c>
      <c r="N243">
        <v>2.73</v>
      </c>
      <c r="O243">
        <v>1393</v>
      </c>
      <c r="P243">
        <v>1.78</v>
      </c>
      <c r="Q243">
        <v>328</v>
      </c>
      <c r="R243">
        <v>456</v>
      </c>
    </row>
    <row r="244" spans="1:18" hidden="1" x14ac:dyDescent="0.2">
      <c r="A244">
        <v>4</v>
      </c>
      <c r="B244" t="s">
        <v>88</v>
      </c>
      <c r="E244" t="s">
        <v>29</v>
      </c>
      <c r="F244">
        <v>1603891</v>
      </c>
      <c r="G244">
        <v>3</v>
      </c>
      <c r="H244">
        <v>2</v>
      </c>
      <c r="I244">
        <v>866</v>
      </c>
      <c r="J244">
        <v>1978</v>
      </c>
      <c r="K244" s="4">
        <v>44113</v>
      </c>
      <c r="L244" t="s">
        <v>23</v>
      </c>
      <c r="M244" t="s">
        <v>33</v>
      </c>
      <c r="N244">
        <v>1.7</v>
      </c>
      <c r="O244">
        <v>854</v>
      </c>
      <c r="P244">
        <v>0.36</v>
      </c>
      <c r="Q244">
        <v>131</v>
      </c>
      <c r="R244">
        <v>508</v>
      </c>
    </row>
    <row r="245" spans="1:18" hidden="1" x14ac:dyDescent="0.2">
      <c r="A245">
        <v>7</v>
      </c>
      <c r="B245" t="s">
        <v>41</v>
      </c>
      <c r="E245" t="s">
        <v>36</v>
      </c>
      <c r="F245">
        <v>1441532</v>
      </c>
      <c r="G245">
        <v>6</v>
      </c>
      <c r="H245">
        <v>3</v>
      </c>
      <c r="I245">
        <v>261</v>
      </c>
      <c r="J245">
        <v>1992</v>
      </c>
      <c r="K245" s="4">
        <v>44532</v>
      </c>
      <c r="L245" t="s">
        <v>23</v>
      </c>
      <c r="M245" t="s">
        <v>37</v>
      </c>
      <c r="N245">
        <v>2.89</v>
      </c>
      <c r="O245">
        <v>1039</v>
      </c>
      <c r="P245">
        <v>3.24</v>
      </c>
      <c r="Q245">
        <v>366</v>
      </c>
      <c r="R245">
        <v>386</v>
      </c>
    </row>
    <row r="246" spans="1:18" hidden="1" x14ac:dyDescent="0.2">
      <c r="A246">
        <v>1</v>
      </c>
      <c r="B246" t="s">
        <v>53</v>
      </c>
      <c r="E246" t="s">
        <v>29</v>
      </c>
      <c r="F246">
        <v>749703</v>
      </c>
      <c r="G246">
        <v>3</v>
      </c>
      <c r="H246">
        <v>2</v>
      </c>
      <c r="I246">
        <v>465</v>
      </c>
      <c r="J246">
        <v>2001</v>
      </c>
      <c r="K246" s="4">
        <v>45304</v>
      </c>
      <c r="L246" t="s">
        <v>30</v>
      </c>
      <c r="M246" t="s">
        <v>33</v>
      </c>
      <c r="N246">
        <v>3.07</v>
      </c>
      <c r="O246">
        <v>829</v>
      </c>
      <c r="P246">
        <v>1.31</v>
      </c>
      <c r="Q246">
        <v>126</v>
      </c>
      <c r="R246">
        <v>444</v>
      </c>
    </row>
    <row r="247" spans="1:18" hidden="1" x14ac:dyDescent="0.2">
      <c r="A247">
        <v>4</v>
      </c>
      <c r="B247" t="s">
        <v>62</v>
      </c>
      <c r="E247" t="s">
        <v>36</v>
      </c>
      <c r="F247">
        <v>2091614</v>
      </c>
      <c r="G247">
        <v>2</v>
      </c>
      <c r="H247">
        <v>3</v>
      </c>
      <c r="I247">
        <v>147</v>
      </c>
      <c r="J247">
        <v>1964</v>
      </c>
      <c r="K247" s="4">
        <v>45684</v>
      </c>
      <c r="L247" t="s">
        <v>26</v>
      </c>
      <c r="M247" t="s">
        <v>68</v>
      </c>
      <c r="N247">
        <v>2.62</v>
      </c>
      <c r="O247">
        <v>1797</v>
      </c>
      <c r="P247">
        <v>0.95</v>
      </c>
      <c r="Q247">
        <v>184</v>
      </c>
      <c r="R247">
        <v>393</v>
      </c>
    </row>
    <row r="248" spans="1:18" hidden="1" x14ac:dyDescent="0.2">
      <c r="A248">
        <v>2</v>
      </c>
      <c r="B248" t="s">
        <v>43</v>
      </c>
      <c r="E248" t="s">
        <v>51</v>
      </c>
      <c r="F248">
        <v>1519499</v>
      </c>
      <c r="G248">
        <v>4</v>
      </c>
      <c r="H248">
        <v>2</v>
      </c>
      <c r="I248">
        <v>92</v>
      </c>
      <c r="J248">
        <v>1959</v>
      </c>
      <c r="K248" s="4">
        <v>45246</v>
      </c>
      <c r="L248" t="s">
        <v>26</v>
      </c>
      <c r="M248" t="s">
        <v>33</v>
      </c>
      <c r="N248">
        <v>1.55</v>
      </c>
      <c r="O248">
        <v>1025</v>
      </c>
      <c r="P248">
        <v>3.53</v>
      </c>
      <c r="Q248">
        <v>180</v>
      </c>
      <c r="R248">
        <v>577</v>
      </c>
    </row>
    <row r="249" spans="1:18" hidden="1" x14ac:dyDescent="0.2">
      <c r="A249">
        <v>1</v>
      </c>
      <c r="B249" t="s">
        <v>83</v>
      </c>
      <c r="E249" t="s">
        <v>29</v>
      </c>
      <c r="F249">
        <v>455205</v>
      </c>
      <c r="G249">
        <v>4</v>
      </c>
      <c r="H249">
        <v>1</v>
      </c>
      <c r="I249">
        <v>929</v>
      </c>
      <c r="J249">
        <v>1959</v>
      </c>
      <c r="K249" s="4">
        <v>45625</v>
      </c>
      <c r="L249" t="s">
        <v>23</v>
      </c>
      <c r="M249" t="s">
        <v>47</v>
      </c>
      <c r="N249">
        <v>2.14</v>
      </c>
      <c r="O249">
        <v>2365</v>
      </c>
      <c r="P249">
        <v>0.3</v>
      </c>
      <c r="Q249">
        <v>217</v>
      </c>
      <c r="R249">
        <v>581</v>
      </c>
    </row>
    <row r="250" spans="1:18" hidden="1" x14ac:dyDescent="0.2">
      <c r="A250">
        <v>9</v>
      </c>
      <c r="B250" t="s">
        <v>57</v>
      </c>
      <c r="E250" t="s">
        <v>51</v>
      </c>
      <c r="F250">
        <v>2189202</v>
      </c>
      <c r="G250">
        <v>4</v>
      </c>
      <c r="H250">
        <v>3</v>
      </c>
      <c r="I250">
        <v>575</v>
      </c>
      <c r="J250">
        <v>1977</v>
      </c>
      <c r="K250" s="4">
        <v>45792</v>
      </c>
      <c r="L250" t="s">
        <v>23</v>
      </c>
      <c r="M250" t="s">
        <v>27</v>
      </c>
      <c r="N250">
        <v>2</v>
      </c>
      <c r="O250">
        <v>1490</v>
      </c>
      <c r="P250">
        <v>0.97</v>
      </c>
      <c r="Q250">
        <v>197</v>
      </c>
      <c r="R250">
        <v>344</v>
      </c>
    </row>
    <row r="251" spans="1:18" hidden="1" x14ac:dyDescent="0.2">
      <c r="A251">
        <v>6</v>
      </c>
      <c r="B251" t="s">
        <v>64</v>
      </c>
      <c r="E251" t="s">
        <v>29</v>
      </c>
      <c r="F251">
        <v>436711</v>
      </c>
      <c r="G251">
        <v>4</v>
      </c>
      <c r="H251">
        <v>2</v>
      </c>
      <c r="I251">
        <v>808</v>
      </c>
      <c r="J251">
        <v>1975</v>
      </c>
      <c r="K251" s="4">
        <v>44800</v>
      </c>
      <c r="L251" t="s">
        <v>30</v>
      </c>
      <c r="M251" t="s">
        <v>24</v>
      </c>
      <c r="N251">
        <v>2.82</v>
      </c>
      <c r="O251">
        <v>1901</v>
      </c>
      <c r="P251">
        <v>4.3099999999999996</v>
      </c>
      <c r="Q251">
        <v>261</v>
      </c>
      <c r="R251">
        <v>561</v>
      </c>
    </row>
    <row r="252" spans="1:18" hidden="1" x14ac:dyDescent="0.2">
      <c r="A252">
        <v>5</v>
      </c>
      <c r="B252" t="s">
        <v>71</v>
      </c>
      <c r="E252" t="s">
        <v>29</v>
      </c>
      <c r="F252">
        <v>2997993</v>
      </c>
      <c r="G252">
        <v>4</v>
      </c>
      <c r="H252">
        <v>1</v>
      </c>
      <c r="I252">
        <v>237</v>
      </c>
      <c r="J252">
        <v>1982</v>
      </c>
      <c r="K252" s="4">
        <v>45801</v>
      </c>
      <c r="L252" t="s">
        <v>30</v>
      </c>
      <c r="M252" t="s">
        <v>89</v>
      </c>
      <c r="N252">
        <v>2.7</v>
      </c>
      <c r="O252">
        <v>1985</v>
      </c>
      <c r="P252">
        <v>3.12</v>
      </c>
      <c r="Q252">
        <v>196</v>
      </c>
      <c r="R252">
        <v>594</v>
      </c>
    </row>
    <row r="253" spans="1:18" hidden="1" x14ac:dyDescent="0.2">
      <c r="A253">
        <v>7</v>
      </c>
      <c r="B253" t="s">
        <v>83</v>
      </c>
      <c r="E253" t="s">
        <v>51</v>
      </c>
      <c r="F253">
        <v>1026383</v>
      </c>
      <c r="G253">
        <v>5</v>
      </c>
      <c r="H253">
        <v>1</v>
      </c>
      <c r="I253">
        <v>489</v>
      </c>
      <c r="J253">
        <v>1956</v>
      </c>
      <c r="K253" s="4">
        <v>45827</v>
      </c>
      <c r="L253" t="s">
        <v>23</v>
      </c>
      <c r="M253" t="s">
        <v>77</v>
      </c>
      <c r="N253">
        <v>3.43</v>
      </c>
      <c r="O253">
        <v>826</v>
      </c>
      <c r="P253">
        <v>4.16</v>
      </c>
      <c r="Q253">
        <v>327</v>
      </c>
      <c r="R253">
        <v>426</v>
      </c>
    </row>
    <row r="254" spans="1:18" hidden="1" x14ac:dyDescent="0.2">
      <c r="A254">
        <v>6</v>
      </c>
      <c r="B254" t="s">
        <v>25</v>
      </c>
      <c r="E254" t="s">
        <v>19</v>
      </c>
      <c r="F254">
        <v>2709950</v>
      </c>
      <c r="G254">
        <v>5</v>
      </c>
      <c r="H254">
        <v>2</v>
      </c>
      <c r="I254">
        <v>550</v>
      </c>
      <c r="J254">
        <v>2009</v>
      </c>
      <c r="K254" s="4">
        <v>45723</v>
      </c>
      <c r="L254" t="s">
        <v>23</v>
      </c>
      <c r="M254" t="s">
        <v>58</v>
      </c>
      <c r="N254">
        <v>3.42</v>
      </c>
      <c r="O254">
        <v>1633</v>
      </c>
      <c r="P254">
        <v>1.1299999999999999</v>
      </c>
      <c r="Q254">
        <v>385</v>
      </c>
      <c r="R254">
        <v>359</v>
      </c>
    </row>
    <row r="255" spans="1:18" hidden="1" x14ac:dyDescent="0.2">
      <c r="A255">
        <v>3</v>
      </c>
      <c r="B255" t="s">
        <v>38</v>
      </c>
      <c r="E255" t="s">
        <v>19</v>
      </c>
      <c r="F255">
        <v>2386066</v>
      </c>
      <c r="G255">
        <v>2</v>
      </c>
      <c r="H255">
        <v>3</v>
      </c>
      <c r="I255">
        <v>522</v>
      </c>
      <c r="J255">
        <v>1994</v>
      </c>
      <c r="K255" s="4">
        <v>44782</v>
      </c>
      <c r="L255" t="s">
        <v>30</v>
      </c>
      <c r="M255" t="s">
        <v>54</v>
      </c>
      <c r="N255">
        <v>2.2400000000000002</v>
      </c>
      <c r="O255">
        <v>1114</v>
      </c>
      <c r="P255">
        <v>2.1</v>
      </c>
      <c r="Q255">
        <v>233</v>
      </c>
      <c r="R255">
        <v>642</v>
      </c>
    </row>
    <row r="256" spans="1:18" x14ac:dyDescent="0.2">
      <c r="A256">
        <v>8</v>
      </c>
      <c r="B256" t="s">
        <v>41</v>
      </c>
      <c r="E256" t="s">
        <v>51</v>
      </c>
      <c r="F256">
        <v>679961</v>
      </c>
      <c r="G256">
        <v>5</v>
      </c>
      <c r="H256">
        <v>1</v>
      </c>
      <c r="I256">
        <v>643</v>
      </c>
      <c r="J256">
        <v>2010</v>
      </c>
      <c r="K256" s="4">
        <v>44917</v>
      </c>
      <c r="L256" t="s">
        <v>23</v>
      </c>
      <c r="M256" t="s">
        <v>82</v>
      </c>
      <c r="N256">
        <v>3.37</v>
      </c>
      <c r="O256">
        <v>1190</v>
      </c>
      <c r="P256">
        <v>0.86</v>
      </c>
      <c r="Q256">
        <v>316</v>
      </c>
      <c r="R256">
        <v>582</v>
      </c>
    </row>
    <row r="257" spans="1:18" hidden="1" x14ac:dyDescent="0.2">
      <c r="A257">
        <v>6</v>
      </c>
      <c r="B257" t="s">
        <v>98</v>
      </c>
      <c r="E257" t="s">
        <v>36</v>
      </c>
      <c r="F257">
        <v>2065293</v>
      </c>
      <c r="G257">
        <v>6</v>
      </c>
      <c r="H257">
        <v>1</v>
      </c>
      <c r="I257">
        <v>900</v>
      </c>
      <c r="J257">
        <v>1977</v>
      </c>
      <c r="K257" s="4">
        <v>44080</v>
      </c>
      <c r="L257" t="s">
        <v>20</v>
      </c>
      <c r="M257" t="s">
        <v>89</v>
      </c>
      <c r="N257">
        <v>2.66</v>
      </c>
      <c r="O257">
        <v>1084</v>
      </c>
      <c r="P257">
        <v>0.34</v>
      </c>
      <c r="Q257">
        <v>361</v>
      </c>
      <c r="R257">
        <v>688</v>
      </c>
    </row>
    <row r="258" spans="1:18" hidden="1" x14ac:dyDescent="0.2">
      <c r="A258">
        <v>6</v>
      </c>
      <c r="B258" t="s">
        <v>88</v>
      </c>
      <c r="E258" t="s">
        <v>51</v>
      </c>
      <c r="F258">
        <v>750376</v>
      </c>
      <c r="G258">
        <v>6</v>
      </c>
      <c r="H258">
        <v>2</v>
      </c>
      <c r="I258">
        <v>745</v>
      </c>
      <c r="J258">
        <v>1979</v>
      </c>
      <c r="K258" s="4">
        <v>45443</v>
      </c>
      <c r="L258" t="s">
        <v>26</v>
      </c>
      <c r="M258" t="s">
        <v>56</v>
      </c>
      <c r="N258">
        <v>2.63</v>
      </c>
      <c r="O258">
        <v>892</v>
      </c>
      <c r="P258">
        <v>4.2300000000000004</v>
      </c>
      <c r="Q258">
        <v>352</v>
      </c>
      <c r="R258">
        <v>477</v>
      </c>
    </row>
    <row r="259" spans="1:18" hidden="1" x14ac:dyDescent="0.2">
      <c r="A259">
        <v>5</v>
      </c>
      <c r="B259" t="s">
        <v>18</v>
      </c>
      <c r="E259" t="s">
        <v>51</v>
      </c>
      <c r="F259">
        <v>812938</v>
      </c>
      <c r="G259">
        <v>1</v>
      </c>
      <c r="H259">
        <v>2</v>
      </c>
      <c r="I259">
        <v>581</v>
      </c>
      <c r="J259">
        <v>1970</v>
      </c>
      <c r="K259" s="4">
        <v>45300</v>
      </c>
      <c r="L259" t="s">
        <v>20</v>
      </c>
      <c r="M259" t="s">
        <v>68</v>
      </c>
      <c r="N259">
        <v>3.29</v>
      </c>
      <c r="O259">
        <v>2342</v>
      </c>
      <c r="P259">
        <v>4.6900000000000004</v>
      </c>
      <c r="Q259">
        <v>93</v>
      </c>
      <c r="R259">
        <v>305</v>
      </c>
    </row>
    <row r="260" spans="1:18" hidden="1" x14ac:dyDescent="0.2">
      <c r="A260">
        <v>2</v>
      </c>
      <c r="B260" t="s">
        <v>75</v>
      </c>
      <c r="E260" t="s">
        <v>36</v>
      </c>
      <c r="F260">
        <v>2435854</v>
      </c>
      <c r="G260">
        <v>2</v>
      </c>
      <c r="H260">
        <v>1</v>
      </c>
      <c r="I260">
        <v>599</v>
      </c>
      <c r="J260">
        <v>2002</v>
      </c>
      <c r="K260" s="4">
        <v>45760</v>
      </c>
      <c r="L260" t="s">
        <v>20</v>
      </c>
      <c r="M260" t="s">
        <v>58</v>
      </c>
      <c r="N260">
        <v>3.29</v>
      </c>
      <c r="O260">
        <v>1738</v>
      </c>
      <c r="P260">
        <v>2.3199999999999998</v>
      </c>
      <c r="Q260">
        <v>132</v>
      </c>
      <c r="R260">
        <v>318</v>
      </c>
    </row>
    <row r="261" spans="1:18" hidden="1" x14ac:dyDescent="0.2">
      <c r="A261">
        <v>4</v>
      </c>
      <c r="B261" t="s">
        <v>39</v>
      </c>
      <c r="E261" t="s">
        <v>51</v>
      </c>
      <c r="F261">
        <v>2033478</v>
      </c>
      <c r="G261">
        <v>4</v>
      </c>
      <c r="H261">
        <v>2</v>
      </c>
      <c r="I261">
        <v>624</v>
      </c>
      <c r="J261">
        <v>1989</v>
      </c>
      <c r="K261" s="4">
        <v>45095</v>
      </c>
      <c r="L261" t="s">
        <v>30</v>
      </c>
      <c r="M261" t="s">
        <v>68</v>
      </c>
      <c r="N261">
        <v>2.81</v>
      </c>
      <c r="O261">
        <v>968</v>
      </c>
      <c r="P261">
        <v>0.35</v>
      </c>
      <c r="Q261">
        <v>376</v>
      </c>
      <c r="R261">
        <v>643</v>
      </c>
    </row>
    <row r="262" spans="1:18" hidden="1" x14ac:dyDescent="0.2">
      <c r="A262">
        <v>9</v>
      </c>
      <c r="B262" t="s">
        <v>94</v>
      </c>
      <c r="E262" t="s">
        <v>51</v>
      </c>
      <c r="F262">
        <v>2160548</v>
      </c>
      <c r="G262">
        <v>2</v>
      </c>
      <c r="H262">
        <v>2</v>
      </c>
      <c r="I262">
        <v>421</v>
      </c>
      <c r="J262">
        <v>2005</v>
      </c>
      <c r="K262" s="4">
        <v>44151</v>
      </c>
      <c r="L262" t="s">
        <v>30</v>
      </c>
      <c r="M262" t="s">
        <v>24</v>
      </c>
      <c r="N262">
        <v>3.41</v>
      </c>
      <c r="O262">
        <v>1811</v>
      </c>
      <c r="P262">
        <v>3.82</v>
      </c>
      <c r="Q262">
        <v>102</v>
      </c>
      <c r="R262">
        <v>332</v>
      </c>
    </row>
    <row r="263" spans="1:18" x14ac:dyDescent="0.2">
      <c r="A263">
        <v>8</v>
      </c>
      <c r="B263" t="s">
        <v>34</v>
      </c>
      <c r="E263" t="s">
        <v>29</v>
      </c>
      <c r="F263">
        <v>556626</v>
      </c>
      <c r="G263">
        <v>5</v>
      </c>
      <c r="H263">
        <v>3</v>
      </c>
      <c r="I263">
        <v>983</v>
      </c>
      <c r="J263">
        <v>1991</v>
      </c>
      <c r="K263" s="4">
        <v>44822</v>
      </c>
      <c r="L263" t="s">
        <v>26</v>
      </c>
      <c r="M263" t="s">
        <v>60</v>
      </c>
      <c r="N263">
        <v>1.56</v>
      </c>
      <c r="O263">
        <v>1399</v>
      </c>
      <c r="P263">
        <v>4.4000000000000004</v>
      </c>
      <c r="Q263">
        <v>345</v>
      </c>
      <c r="R263">
        <v>464</v>
      </c>
    </row>
    <row r="264" spans="1:18" hidden="1" x14ac:dyDescent="0.2">
      <c r="A264">
        <v>3</v>
      </c>
      <c r="B264" t="s">
        <v>67</v>
      </c>
      <c r="E264" t="s">
        <v>51</v>
      </c>
      <c r="F264">
        <v>2107071</v>
      </c>
      <c r="G264">
        <v>5</v>
      </c>
      <c r="H264">
        <v>3</v>
      </c>
      <c r="I264">
        <v>902</v>
      </c>
      <c r="J264">
        <v>1973</v>
      </c>
      <c r="K264" s="4">
        <v>44225</v>
      </c>
      <c r="L264" t="s">
        <v>30</v>
      </c>
      <c r="M264" t="s">
        <v>33</v>
      </c>
      <c r="N264">
        <v>3.26</v>
      </c>
      <c r="O264">
        <v>2014</v>
      </c>
      <c r="P264">
        <v>3.8</v>
      </c>
      <c r="Q264">
        <v>245</v>
      </c>
      <c r="R264">
        <v>429</v>
      </c>
    </row>
    <row r="265" spans="1:18" hidden="1" x14ac:dyDescent="0.2">
      <c r="A265">
        <v>6</v>
      </c>
      <c r="B265" t="s">
        <v>55</v>
      </c>
      <c r="E265" t="s">
        <v>36</v>
      </c>
      <c r="F265">
        <v>1769417</v>
      </c>
      <c r="G265">
        <v>5</v>
      </c>
      <c r="H265">
        <v>1</v>
      </c>
      <c r="I265">
        <v>590</v>
      </c>
      <c r="J265">
        <v>1958</v>
      </c>
      <c r="K265" s="4">
        <v>44238</v>
      </c>
      <c r="L265" t="s">
        <v>23</v>
      </c>
      <c r="M265" t="s">
        <v>69</v>
      </c>
      <c r="N265">
        <v>2.02</v>
      </c>
      <c r="O265">
        <v>2335</v>
      </c>
      <c r="P265">
        <v>1.77</v>
      </c>
      <c r="Q265">
        <v>283</v>
      </c>
      <c r="R265">
        <v>319</v>
      </c>
    </row>
    <row r="266" spans="1:18" hidden="1" x14ac:dyDescent="0.2">
      <c r="A266">
        <v>6</v>
      </c>
      <c r="B266" t="s">
        <v>90</v>
      </c>
      <c r="E266" t="s">
        <v>51</v>
      </c>
      <c r="F266">
        <v>1125251</v>
      </c>
      <c r="G266">
        <v>4</v>
      </c>
      <c r="H266">
        <v>1</v>
      </c>
      <c r="I266">
        <v>580</v>
      </c>
      <c r="J266">
        <v>1994</v>
      </c>
      <c r="K266" s="4">
        <v>45656</v>
      </c>
      <c r="L266" t="s">
        <v>20</v>
      </c>
      <c r="M266" t="s">
        <v>24</v>
      </c>
      <c r="N266">
        <v>3.29</v>
      </c>
      <c r="O266">
        <v>1389</v>
      </c>
      <c r="P266">
        <v>0.91</v>
      </c>
      <c r="Q266">
        <v>243</v>
      </c>
      <c r="R266">
        <v>482</v>
      </c>
    </row>
    <row r="267" spans="1:18" hidden="1" x14ac:dyDescent="0.2">
      <c r="A267">
        <v>3</v>
      </c>
      <c r="B267" t="s">
        <v>18</v>
      </c>
      <c r="E267" t="s">
        <v>29</v>
      </c>
      <c r="F267">
        <v>1356880</v>
      </c>
      <c r="G267">
        <v>4</v>
      </c>
      <c r="H267">
        <v>2</v>
      </c>
      <c r="I267">
        <v>122</v>
      </c>
      <c r="J267">
        <v>1952</v>
      </c>
      <c r="K267" s="4">
        <v>45261</v>
      </c>
      <c r="L267" t="s">
        <v>26</v>
      </c>
      <c r="M267" t="s">
        <v>89</v>
      </c>
      <c r="N267">
        <v>1.73</v>
      </c>
      <c r="O267">
        <v>985</v>
      </c>
      <c r="P267">
        <v>2.95</v>
      </c>
      <c r="Q267">
        <v>169</v>
      </c>
      <c r="R267">
        <v>670</v>
      </c>
    </row>
    <row r="268" spans="1:18" hidden="1" x14ac:dyDescent="0.2">
      <c r="A268">
        <v>3</v>
      </c>
      <c r="B268" t="s">
        <v>41</v>
      </c>
      <c r="E268" t="s">
        <v>29</v>
      </c>
      <c r="F268">
        <v>2919876</v>
      </c>
      <c r="G268">
        <v>2</v>
      </c>
      <c r="H268">
        <v>2</v>
      </c>
      <c r="I268">
        <v>742</v>
      </c>
      <c r="J268">
        <v>1987</v>
      </c>
      <c r="K268" s="4">
        <v>45870</v>
      </c>
      <c r="L268" t="s">
        <v>23</v>
      </c>
      <c r="M268" t="s">
        <v>70</v>
      </c>
      <c r="N268">
        <v>2.77</v>
      </c>
      <c r="O268">
        <v>1183</v>
      </c>
      <c r="P268">
        <v>2.38</v>
      </c>
      <c r="Q268">
        <v>226</v>
      </c>
      <c r="R268">
        <v>495</v>
      </c>
    </row>
    <row r="269" spans="1:18" hidden="1" x14ac:dyDescent="0.2">
      <c r="A269">
        <v>7</v>
      </c>
      <c r="B269" t="s">
        <v>75</v>
      </c>
      <c r="E269" t="s">
        <v>29</v>
      </c>
      <c r="F269">
        <v>1100472</v>
      </c>
      <c r="G269">
        <v>1</v>
      </c>
      <c r="H269">
        <v>3</v>
      </c>
      <c r="I269">
        <v>234</v>
      </c>
      <c r="J269">
        <v>1953</v>
      </c>
      <c r="K269" s="4">
        <v>45536</v>
      </c>
      <c r="L269" t="s">
        <v>23</v>
      </c>
      <c r="M269" t="s">
        <v>85</v>
      </c>
      <c r="N269">
        <v>3.03</v>
      </c>
      <c r="O269">
        <v>2341</v>
      </c>
      <c r="P269">
        <v>1.19</v>
      </c>
      <c r="Q269">
        <v>50</v>
      </c>
      <c r="R269">
        <v>402</v>
      </c>
    </row>
    <row r="270" spans="1:18" hidden="1" x14ac:dyDescent="0.2">
      <c r="A270">
        <v>1</v>
      </c>
      <c r="B270" t="s">
        <v>22</v>
      </c>
      <c r="E270" t="s">
        <v>51</v>
      </c>
      <c r="F270">
        <v>1755596</v>
      </c>
      <c r="G270">
        <v>1</v>
      </c>
      <c r="H270">
        <v>3</v>
      </c>
      <c r="I270">
        <v>706</v>
      </c>
      <c r="J270">
        <v>1995</v>
      </c>
      <c r="K270" s="4">
        <v>44569</v>
      </c>
      <c r="L270" t="s">
        <v>23</v>
      </c>
      <c r="M270" t="s">
        <v>78</v>
      </c>
      <c r="N270">
        <v>2.99</v>
      </c>
      <c r="O270">
        <v>2134</v>
      </c>
      <c r="P270">
        <v>2.54</v>
      </c>
      <c r="Q270">
        <v>67</v>
      </c>
      <c r="R270">
        <v>411</v>
      </c>
    </row>
    <row r="271" spans="1:18" hidden="1" x14ac:dyDescent="0.2">
      <c r="A271">
        <v>7</v>
      </c>
      <c r="B271" t="s">
        <v>104</v>
      </c>
      <c r="E271" t="s">
        <v>36</v>
      </c>
      <c r="F271">
        <v>2482071</v>
      </c>
      <c r="G271">
        <v>4</v>
      </c>
      <c r="H271">
        <v>1</v>
      </c>
      <c r="I271">
        <v>579</v>
      </c>
      <c r="J271">
        <v>2010</v>
      </c>
      <c r="K271" s="4">
        <v>45511</v>
      </c>
      <c r="L271" t="s">
        <v>26</v>
      </c>
      <c r="M271" t="s">
        <v>97</v>
      </c>
      <c r="N271">
        <v>1.83</v>
      </c>
      <c r="O271">
        <v>2020</v>
      </c>
      <c r="P271">
        <v>2.38</v>
      </c>
      <c r="Q271">
        <v>321</v>
      </c>
      <c r="R271">
        <v>431</v>
      </c>
    </row>
    <row r="272" spans="1:18" hidden="1" x14ac:dyDescent="0.2">
      <c r="A272">
        <v>7</v>
      </c>
      <c r="B272" t="s">
        <v>90</v>
      </c>
      <c r="E272" t="s">
        <v>51</v>
      </c>
      <c r="F272">
        <v>1792835</v>
      </c>
      <c r="G272">
        <v>4</v>
      </c>
      <c r="H272">
        <v>1</v>
      </c>
      <c r="I272">
        <v>939</v>
      </c>
      <c r="J272">
        <v>2017</v>
      </c>
      <c r="K272" s="4">
        <v>44934</v>
      </c>
      <c r="L272" t="s">
        <v>23</v>
      </c>
      <c r="M272" t="s">
        <v>59</v>
      </c>
      <c r="N272">
        <v>2.58</v>
      </c>
      <c r="O272">
        <v>803</v>
      </c>
      <c r="P272">
        <v>4</v>
      </c>
      <c r="Q272">
        <v>223</v>
      </c>
      <c r="R272">
        <v>603</v>
      </c>
    </row>
    <row r="273" spans="1:18" x14ac:dyDescent="0.2">
      <c r="A273">
        <v>8</v>
      </c>
      <c r="B273" t="s">
        <v>79</v>
      </c>
      <c r="E273" t="s">
        <v>36</v>
      </c>
      <c r="F273">
        <v>1729801</v>
      </c>
      <c r="G273">
        <v>3</v>
      </c>
      <c r="H273">
        <v>2</v>
      </c>
      <c r="I273">
        <v>334</v>
      </c>
      <c r="J273">
        <v>1990</v>
      </c>
      <c r="K273" s="4">
        <v>44375</v>
      </c>
      <c r="L273" t="s">
        <v>26</v>
      </c>
      <c r="M273" t="s">
        <v>59</v>
      </c>
      <c r="N273">
        <v>2.94</v>
      </c>
      <c r="O273">
        <v>1266</v>
      </c>
      <c r="P273">
        <v>4.05</v>
      </c>
      <c r="Q273">
        <v>136</v>
      </c>
      <c r="R273">
        <v>359</v>
      </c>
    </row>
    <row r="274" spans="1:18" hidden="1" x14ac:dyDescent="0.2">
      <c r="A274">
        <v>1</v>
      </c>
      <c r="B274" t="s">
        <v>84</v>
      </c>
      <c r="E274" t="s">
        <v>19</v>
      </c>
      <c r="F274">
        <v>1892383</v>
      </c>
      <c r="G274">
        <v>3</v>
      </c>
      <c r="H274">
        <v>2</v>
      </c>
      <c r="I274">
        <v>631</v>
      </c>
      <c r="J274">
        <v>2004</v>
      </c>
      <c r="K274" s="4">
        <v>45636</v>
      </c>
      <c r="L274" t="s">
        <v>26</v>
      </c>
      <c r="M274" t="s">
        <v>70</v>
      </c>
      <c r="N274">
        <v>2.27</v>
      </c>
      <c r="O274">
        <v>867</v>
      </c>
      <c r="P274">
        <v>1.95</v>
      </c>
      <c r="Q274">
        <v>270</v>
      </c>
      <c r="R274">
        <v>659</v>
      </c>
    </row>
    <row r="275" spans="1:18" hidden="1" x14ac:dyDescent="0.2">
      <c r="A275">
        <v>5</v>
      </c>
      <c r="B275" t="s">
        <v>57</v>
      </c>
      <c r="E275" t="s">
        <v>19</v>
      </c>
      <c r="F275">
        <v>469761</v>
      </c>
      <c r="G275">
        <v>6</v>
      </c>
      <c r="H275">
        <v>3</v>
      </c>
      <c r="I275">
        <v>636</v>
      </c>
      <c r="J275">
        <v>1972</v>
      </c>
      <c r="K275" s="4">
        <v>45074</v>
      </c>
      <c r="L275" t="s">
        <v>20</v>
      </c>
      <c r="M275" t="s">
        <v>69</v>
      </c>
      <c r="N275">
        <v>1.71</v>
      </c>
      <c r="O275">
        <v>1977</v>
      </c>
      <c r="P275">
        <v>2.72</v>
      </c>
      <c r="Q275">
        <v>332</v>
      </c>
      <c r="R275">
        <v>651</v>
      </c>
    </row>
    <row r="276" spans="1:18" hidden="1" x14ac:dyDescent="0.2">
      <c r="A276">
        <v>7</v>
      </c>
      <c r="B276" t="s">
        <v>55</v>
      </c>
      <c r="E276" t="s">
        <v>36</v>
      </c>
      <c r="F276">
        <v>1390764</v>
      </c>
      <c r="G276">
        <v>4</v>
      </c>
      <c r="H276">
        <v>1</v>
      </c>
      <c r="I276">
        <v>442</v>
      </c>
      <c r="J276">
        <v>2015</v>
      </c>
      <c r="K276" s="4">
        <v>44551</v>
      </c>
      <c r="L276" t="s">
        <v>26</v>
      </c>
      <c r="M276" t="s">
        <v>21</v>
      </c>
      <c r="N276">
        <v>3.45</v>
      </c>
      <c r="O276">
        <v>2458</v>
      </c>
      <c r="P276">
        <v>3.5</v>
      </c>
      <c r="Q276">
        <v>242</v>
      </c>
      <c r="R276">
        <v>355</v>
      </c>
    </row>
    <row r="277" spans="1:18" hidden="1" x14ac:dyDescent="0.2">
      <c r="A277">
        <v>4</v>
      </c>
      <c r="B277" t="s">
        <v>102</v>
      </c>
      <c r="E277" t="s">
        <v>29</v>
      </c>
      <c r="F277">
        <v>1790762</v>
      </c>
      <c r="G277">
        <v>6</v>
      </c>
      <c r="H277">
        <v>1</v>
      </c>
      <c r="I277">
        <v>224</v>
      </c>
      <c r="J277">
        <v>1994</v>
      </c>
      <c r="K277" s="4">
        <v>45541</v>
      </c>
      <c r="L277" t="s">
        <v>26</v>
      </c>
      <c r="M277" t="s">
        <v>27</v>
      </c>
      <c r="N277">
        <v>2.36</v>
      </c>
      <c r="O277">
        <v>1534</v>
      </c>
      <c r="P277">
        <v>2.4900000000000002</v>
      </c>
      <c r="Q277">
        <v>358</v>
      </c>
      <c r="R277">
        <v>323</v>
      </c>
    </row>
    <row r="278" spans="1:18" hidden="1" x14ac:dyDescent="0.2">
      <c r="A278">
        <v>7</v>
      </c>
      <c r="B278" t="s">
        <v>34</v>
      </c>
      <c r="E278" t="s">
        <v>51</v>
      </c>
      <c r="F278">
        <v>1077355</v>
      </c>
      <c r="G278">
        <v>3</v>
      </c>
      <c r="H278">
        <v>2</v>
      </c>
      <c r="I278">
        <v>756</v>
      </c>
      <c r="J278">
        <v>2000</v>
      </c>
      <c r="K278" s="4">
        <v>44197</v>
      </c>
      <c r="L278" t="s">
        <v>26</v>
      </c>
      <c r="M278" t="s">
        <v>56</v>
      </c>
      <c r="N278">
        <v>2.33</v>
      </c>
      <c r="O278">
        <v>1226</v>
      </c>
      <c r="P278">
        <v>2.69</v>
      </c>
      <c r="Q278">
        <v>123</v>
      </c>
      <c r="R278">
        <v>444</v>
      </c>
    </row>
    <row r="279" spans="1:18" hidden="1" x14ac:dyDescent="0.2">
      <c r="A279">
        <v>7</v>
      </c>
      <c r="B279" t="s">
        <v>98</v>
      </c>
      <c r="E279" t="s">
        <v>51</v>
      </c>
      <c r="F279">
        <v>557421</v>
      </c>
      <c r="G279">
        <v>3</v>
      </c>
      <c r="H279">
        <v>3</v>
      </c>
      <c r="I279">
        <v>585</v>
      </c>
      <c r="J279">
        <v>1989</v>
      </c>
      <c r="K279" s="4">
        <v>45669</v>
      </c>
      <c r="L279" t="s">
        <v>20</v>
      </c>
      <c r="M279" t="s">
        <v>60</v>
      </c>
      <c r="N279">
        <v>2.63</v>
      </c>
      <c r="O279">
        <v>1829</v>
      </c>
      <c r="P279">
        <v>1.21</v>
      </c>
      <c r="Q279">
        <v>199</v>
      </c>
      <c r="R279">
        <v>477</v>
      </c>
    </row>
    <row r="280" spans="1:18" hidden="1" x14ac:dyDescent="0.2">
      <c r="A280">
        <v>9</v>
      </c>
      <c r="B280" t="s">
        <v>88</v>
      </c>
      <c r="E280" t="s">
        <v>19</v>
      </c>
      <c r="F280">
        <v>1734617</v>
      </c>
      <c r="G280">
        <v>5</v>
      </c>
      <c r="H280">
        <v>3</v>
      </c>
      <c r="I280">
        <v>84</v>
      </c>
      <c r="J280">
        <v>1996</v>
      </c>
      <c r="K280" s="4">
        <v>45312</v>
      </c>
      <c r="L280" t="s">
        <v>30</v>
      </c>
      <c r="M280" t="s">
        <v>27</v>
      </c>
      <c r="N280">
        <v>2.2200000000000002</v>
      </c>
      <c r="O280">
        <v>2258</v>
      </c>
      <c r="P280">
        <v>0.21</v>
      </c>
      <c r="Q280">
        <v>311</v>
      </c>
      <c r="R280">
        <v>646</v>
      </c>
    </row>
    <row r="281" spans="1:18" hidden="1" x14ac:dyDescent="0.2">
      <c r="A281">
        <v>7</v>
      </c>
      <c r="B281" t="s">
        <v>48</v>
      </c>
      <c r="E281" t="s">
        <v>36</v>
      </c>
      <c r="F281">
        <v>2170452</v>
      </c>
      <c r="G281">
        <v>4</v>
      </c>
      <c r="H281">
        <v>1</v>
      </c>
      <c r="I281">
        <v>212</v>
      </c>
      <c r="J281">
        <v>1961</v>
      </c>
      <c r="K281" s="4">
        <v>45125</v>
      </c>
      <c r="L281" t="s">
        <v>26</v>
      </c>
      <c r="M281" t="s">
        <v>56</v>
      </c>
      <c r="N281">
        <v>2.0499999999999998</v>
      </c>
      <c r="O281">
        <v>2404</v>
      </c>
      <c r="P281">
        <v>0.89</v>
      </c>
      <c r="Q281">
        <v>233</v>
      </c>
      <c r="R281">
        <v>442</v>
      </c>
    </row>
    <row r="282" spans="1:18" hidden="1" x14ac:dyDescent="0.2">
      <c r="A282">
        <v>3</v>
      </c>
      <c r="B282" t="s">
        <v>90</v>
      </c>
      <c r="E282" t="s">
        <v>51</v>
      </c>
      <c r="F282">
        <v>2823199</v>
      </c>
      <c r="G282">
        <v>2</v>
      </c>
      <c r="H282">
        <v>3</v>
      </c>
      <c r="I282">
        <v>753</v>
      </c>
      <c r="J282">
        <v>1989</v>
      </c>
      <c r="K282" s="4">
        <v>45693</v>
      </c>
      <c r="L282" t="s">
        <v>20</v>
      </c>
      <c r="M282" t="s">
        <v>27</v>
      </c>
      <c r="N282">
        <v>2.4500000000000002</v>
      </c>
      <c r="O282">
        <v>926</v>
      </c>
      <c r="P282">
        <v>1.1200000000000001</v>
      </c>
      <c r="Q282">
        <v>67</v>
      </c>
      <c r="R282">
        <v>305</v>
      </c>
    </row>
    <row r="283" spans="1:18" hidden="1" x14ac:dyDescent="0.2">
      <c r="A283">
        <v>4</v>
      </c>
      <c r="B283" t="s">
        <v>55</v>
      </c>
      <c r="E283" t="s">
        <v>51</v>
      </c>
      <c r="F283">
        <v>2378551</v>
      </c>
      <c r="G283">
        <v>4</v>
      </c>
      <c r="H283">
        <v>2</v>
      </c>
      <c r="I283">
        <v>483</v>
      </c>
      <c r="J283">
        <v>2018</v>
      </c>
      <c r="K283" s="4">
        <v>44236</v>
      </c>
      <c r="L283" t="s">
        <v>23</v>
      </c>
      <c r="M283" t="s">
        <v>78</v>
      </c>
      <c r="N283">
        <v>3.24</v>
      </c>
      <c r="O283">
        <v>1533</v>
      </c>
      <c r="P283">
        <v>3.12</v>
      </c>
      <c r="Q283">
        <v>283</v>
      </c>
      <c r="R283">
        <v>333</v>
      </c>
    </row>
    <row r="284" spans="1:18" hidden="1" x14ac:dyDescent="0.2">
      <c r="A284">
        <v>6</v>
      </c>
      <c r="B284" t="s">
        <v>91</v>
      </c>
      <c r="E284" t="s">
        <v>51</v>
      </c>
      <c r="F284">
        <v>1101639</v>
      </c>
      <c r="G284">
        <v>2</v>
      </c>
      <c r="H284">
        <v>3</v>
      </c>
      <c r="I284">
        <v>561</v>
      </c>
      <c r="J284">
        <v>1970</v>
      </c>
      <c r="K284" s="4">
        <v>45826</v>
      </c>
      <c r="L284" t="s">
        <v>26</v>
      </c>
      <c r="M284" t="s">
        <v>52</v>
      </c>
      <c r="N284">
        <v>1.93</v>
      </c>
      <c r="O284">
        <v>1461</v>
      </c>
      <c r="P284">
        <v>2.5</v>
      </c>
      <c r="Q284">
        <v>61</v>
      </c>
      <c r="R284">
        <v>319</v>
      </c>
    </row>
    <row r="285" spans="1:18" hidden="1" x14ac:dyDescent="0.2">
      <c r="A285">
        <v>6</v>
      </c>
      <c r="B285" t="s">
        <v>73</v>
      </c>
      <c r="E285" t="s">
        <v>29</v>
      </c>
      <c r="F285">
        <v>2075991</v>
      </c>
      <c r="G285">
        <v>6</v>
      </c>
      <c r="H285">
        <v>2</v>
      </c>
      <c r="I285">
        <v>133</v>
      </c>
      <c r="J285">
        <v>2012</v>
      </c>
      <c r="K285" s="4">
        <v>44769</v>
      </c>
      <c r="L285" t="s">
        <v>30</v>
      </c>
      <c r="M285" t="s">
        <v>89</v>
      </c>
      <c r="N285">
        <v>3.29</v>
      </c>
      <c r="O285">
        <v>1410</v>
      </c>
      <c r="P285">
        <v>4.37</v>
      </c>
      <c r="Q285">
        <v>346</v>
      </c>
      <c r="R285">
        <v>621</v>
      </c>
    </row>
    <row r="286" spans="1:18" x14ac:dyDescent="0.2">
      <c r="A286">
        <v>8</v>
      </c>
      <c r="B286" t="s">
        <v>67</v>
      </c>
      <c r="E286" t="s">
        <v>36</v>
      </c>
      <c r="F286">
        <v>2966416</v>
      </c>
      <c r="G286">
        <v>3</v>
      </c>
      <c r="H286">
        <v>3</v>
      </c>
      <c r="I286">
        <v>482</v>
      </c>
      <c r="J286">
        <v>1963</v>
      </c>
      <c r="K286" s="4">
        <v>45457</v>
      </c>
      <c r="L286" t="s">
        <v>20</v>
      </c>
      <c r="M286" t="s">
        <v>60</v>
      </c>
      <c r="N286">
        <v>3.12</v>
      </c>
      <c r="O286">
        <v>1738</v>
      </c>
      <c r="P286">
        <v>1.68</v>
      </c>
      <c r="Q286">
        <v>180</v>
      </c>
      <c r="R286">
        <v>426</v>
      </c>
    </row>
    <row r="287" spans="1:18" hidden="1" x14ac:dyDescent="0.2">
      <c r="A287">
        <v>2</v>
      </c>
      <c r="B287" t="s">
        <v>83</v>
      </c>
      <c r="E287" t="s">
        <v>29</v>
      </c>
      <c r="F287">
        <v>1836572</v>
      </c>
      <c r="G287">
        <v>3</v>
      </c>
      <c r="H287">
        <v>1</v>
      </c>
      <c r="I287">
        <v>892</v>
      </c>
      <c r="J287">
        <v>1978</v>
      </c>
      <c r="K287" s="4">
        <v>44648</v>
      </c>
      <c r="L287" t="s">
        <v>26</v>
      </c>
      <c r="M287" t="s">
        <v>68</v>
      </c>
      <c r="N287">
        <v>2.3199999999999998</v>
      </c>
      <c r="O287">
        <v>1403</v>
      </c>
      <c r="P287">
        <v>1.79</v>
      </c>
      <c r="Q287">
        <v>265</v>
      </c>
      <c r="R287">
        <v>471</v>
      </c>
    </row>
    <row r="288" spans="1:18" hidden="1" x14ac:dyDescent="0.2">
      <c r="A288">
        <v>0</v>
      </c>
      <c r="B288" t="s">
        <v>43</v>
      </c>
      <c r="E288" t="s">
        <v>19</v>
      </c>
      <c r="F288">
        <v>1315570</v>
      </c>
      <c r="G288">
        <v>5</v>
      </c>
      <c r="H288">
        <v>3</v>
      </c>
      <c r="I288">
        <v>53</v>
      </c>
      <c r="J288">
        <v>1951</v>
      </c>
      <c r="K288" s="4">
        <v>45712</v>
      </c>
      <c r="L288" t="s">
        <v>26</v>
      </c>
      <c r="M288" t="s">
        <v>78</v>
      </c>
      <c r="N288">
        <v>3.19</v>
      </c>
      <c r="O288">
        <v>1145</v>
      </c>
      <c r="P288">
        <v>4.5599999999999996</v>
      </c>
      <c r="Q288">
        <v>358</v>
      </c>
      <c r="R288">
        <v>556</v>
      </c>
    </row>
    <row r="289" spans="1:18" hidden="1" x14ac:dyDescent="0.2">
      <c r="A289">
        <v>1</v>
      </c>
      <c r="B289" t="s">
        <v>61</v>
      </c>
      <c r="E289" t="s">
        <v>51</v>
      </c>
      <c r="F289">
        <v>1669150</v>
      </c>
      <c r="G289">
        <v>4</v>
      </c>
      <c r="H289">
        <v>3</v>
      </c>
      <c r="I289">
        <v>606</v>
      </c>
      <c r="J289">
        <v>1952</v>
      </c>
      <c r="K289" s="4">
        <v>44139</v>
      </c>
      <c r="L289" t="s">
        <v>30</v>
      </c>
      <c r="M289" t="s">
        <v>35</v>
      </c>
      <c r="N289">
        <v>2.2599999999999998</v>
      </c>
      <c r="O289">
        <v>1206</v>
      </c>
      <c r="P289">
        <v>1.73</v>
      </c>
      <c r="Q289">
        <v>379</v>
      </c>
      <c r="R289">
        <v>515</v>
      </c>
    </row>
    <row r="290" spans="1:18" hidden="1" x14ac:dyDescent="0.2">
      <c r="A290">
        <v>5</v>
      </c>
      <c r="B290" t="s">
        <v>72</v>
      </c>
      <c r="E290" t="s">
        <v>29</v>
      </c>
      <c r="F290">
        <v>1165864</v>
      </c>
      <c r="G290">
        <v>2</v>
      </c>
      <c r="H290">
        <v>3</v>
      </c>
      <c r="I290">
        <v>332</v>
      </c>
      <c r="J290">
        <v>1956</v>
      </c>
      <c r="K290" s="4">
        <v>44471</v>
      </c>
      <c r="L290" t="s">
        <v>20</v>
      </c>
      <c r="M290" t="s">
        <v>74</v>
      </c>
      <c r="N290">
        <v>2.52</v>
      </c>
      <c r="O290">
        <v>1790</v>
      </c>
      <c r="P290">
        <v>4.1900000000000004</v>
      </c>
      <c r="Q290">
        <v>172</v>
      </c>
      <c r="R290">
        <v>409</v>
      </c>
    </row>
    <row r="291" spans="1:18" hidden="1" x14ac:dyDescent="0.2">
      <c r="A291">
        <v>7</v>
      </c>
      <c r="B291" t="s">
        <v>32</v>
      </c>
      <c r="E291" t="s">
        <v>19</v>
      </c>
      <c r="F291">
        <v>1704987</v>
      </c>
      <c r="G291">
        <v>5</v>
      </c>
      <c r="H291">
        <v>3</v>
      </c>
      <c r="I291">
        <v>788</v>
      </c>
      <c r="J291">
        <v>2008</v>
      </c>
      <c r="K291" s="4">
        <v>44844</v>
      </c>
      <c r="L291" t="s">
        <v>30</v>
      </c>
      <c r="M291" t="s">
        <v>47</v>
      </c>
      <c r="N291">
        <v>1.69</v>
      </c>
      <c r="O291">
        <v>1425</v>
      </c>
      <c r="P291">
        <v>0.46</v>
      </c>
      <c r="Q291">
        <v>284</v>
      </c>
      <c r="R291">
        <v>335</v>
      </c>
    </row>
    <row r="292" spans="1:18" hidden="1" x14ac:dyDescent="0.2">
      <c r="A292">
        <v>9</v>
      </c>
      <c r="B292" t="s">
        <v>73</v>
      </c>
      <c r="E292" t="s">
        <v>51</v>
      </c>
      <c r="F292">
        <v>515621</v>
      </c>
      <c r="G292">
        <v>4</v>
      </c>
      <c r="H292">
        <v>2</v>
      </c>
      <c r="I292">
        <v>926</v>
      </c>
      <c r="J292">
        <v>1955</v>
      </c>
      <c r="K292" s="4">
        <v>45405</v>
      </c>
      <c r="L292" t="s">
        <v>23</v>
      </c>
      <c r="M292" t="s">
        <v>82</v>
      </c>
      <c r="N292">
        <v>3.06</v>
      </c>
      <c r="O292">
        <v>2239</v>
      </c>
      <c r="P292">
        <v>3.05</v>
      </c>
      <c r="Q292">
        <v>174</v>
      </c>
      <c r="R292">
        <v>380</v>
      </c>
    </row>
    <row r="293" spans="1:18" hidden="1" x14ac:dyDescent="0.2">
      <c r="A293">
        <v>0</v>
      </c>
      <c r="B293" t="s">
        <v>80</v>
      </c>
      <c r="E293" t="s">
        <v>19</v>
      </c>
      <c r="F293">
        <v>1537273</v>
      </c>
      <c r="G293">
        <v>0</v>
      </c>
      <c r="H293">
        <v>3</v>
      </c>
      <c r="I293">
        <v>305</v>
      </c>
      <c r="J293">
        <v>1985</v>
      </c>
      <c r="K293" s="4">
        <v>44853</v>
      </c>
      <c r="L293" t="s">
        <v>20</v>
      </c>
      <c r="M293" t="s">
        <v>35</v>
      </c>
      <c r="N293">
        <v>3.38</v>
      </c>
      <c r="O293">
        <v>2239</v>
      </c>
      <c r="P293">
        <v>4.1900000000000004</v>
      </c>
      <c r="Q293">
        <v>56</v>
      </c>
      <c r="R293">
        <v>502</v>
      </c>
    </row>
    <row r="294" spans="1:18" hidden="1" x14ac:dyDescent="0.2">
      <c r="A294">
        <v>7</v>
      </c>
      <c r="B294" t="s">
        <v>48</v>
      </c>
      <c r="E294" t="s">
        <v>29</v>
      </c>
      <c r="F294">
        <v>437805</v>
      </c>
      <c r="G294">
        <v>4</v>
      </c>
      <c r="H294">
        <v>2</v>
      </c>
      <c r="I294">
        <v>763</v>
      </c>
      <c r="J294">
        <v>1998</v>
      </c>
      <c r="K294" s="4">
        <v>44293</v>
      </c>
      <c r="L294" t="s">
        <v>26</v>
      </c>
      <c r="M294" t="s">
        <v>66</v>
      </c>
      <c r="N294">
        <v>2.54</v>
      </c>
      <c r="O294">
        <v>824</v>
      </c>
      <c r="P294">
        <v>0.98</v>
      </c>
      <c r="Q294">
        <v>369</v>
      </c>
      <c r="R294">
        <v>677</v>
      </c>
    </row>
    <row r="295" spans="1:18" x14ac:dyDescent="0.2">
      <c r="A295">
        <v>8</v>
      </c>
      <c r="B295" t="s">
        <v>99</v>
      </c>
      <c r="E295" t="s">
        <v>19</v>
      </c>
      <c r="F295">
        <v>1308029</v>
      </c>
      <c r="G295">
        <v>5</v>
      </c>
      <c r="H295">
        <v>2</v>
      </c>
      <c r="I295">
        <v>722</v>
      </c>
      <c r="J295">
        <v>1968</v>
      </c>
      <c r="K295" s="4">
        <v>44622</v>
      </c>
      <c r="L295" t="s">
        <v>30</v>
      </c>
      <c r="M295" t="s">
        <v>37</v>
      </c>
      <c r="N295">
        <v>2.91</v>
      </c>
      <c r="O295">
        <v>1955</v>
      </c>
      <c r="P295">
        <v>4.38</v>
      </c>
      <c r="Q295">
        <v>295</v>
      </c>
      <c r="R295">
        <v>631</v>
      </c>
    </row>
    <row r="296" spans="1:18" x14ac:dyDescent="0.2">
      <c r="A296">
        <v>8</v>
      </c>
      <c r="B296" t="s">
        <v>44</v>
      </c>
      <c r="E296" t="s">
        <v>29</v>
      </c>
      <c r="F296">
        <v>2124077</v>
      </c>
      <c r="G296">
        <v>3</v>
      </c>
      <c r="H296">
        <v>1</v>
      </c>
      <c r="I296">
        <v>876</v>
      </c>
      <c r="J296">
        <v>2002</v>
      </c>
      <c r="K296" s="4">
        <v>45735</v>
      </c>
      <c r="L296" t="s">
        <v>20</v>
      </c>
      <c r="M296" t="s">
        <v>69</v>
      </c>
      <c r="N296">
        <v>2.9</v>
      </c>
      <c r="O296">
        <v>1910</v>
      </c>
      <c r="P296">
        <v>2.4</v>
      </c>
      <c r="Q296">
        <v>160</v>
      </c>
      <c r="R296">
        <v>357</v>
      </c>
    </row>
    <row r="297" spans="1:18" hidden="1" x14ac:dyDescent="0.2">
      <c r="A297">
        <v>2</v>
      </c>
      <c r="B297" t="s">
        <v>87</v>
      </c>
      <c r="E297" t="s">
        <v>19</v>
      </c>
      <c r="F297">
        <v>627389</v>
      </c>
      <c r="G297">
        <v>2</v>
      </c>
      <c r="H297">
        <v>1</v>
      </c>
      <c r="I297">
        <v>451</v>
      </c>
      <c r="J297">
        <v>1972</v>
      </c>
      <c r="K297" s="4">
        <v>45266</v>
      </c>
      <c r="L297" t="s">
        <v>26</v>
      </c>
      <c r="M297" t="s">
        <v>35</v>
      </c>
      <c r="N297">
        <v>2.2999999999999998</v>
      </c>
      <c r="O297">
        <v>2410</v>
      </c>
      <c r="P297">
        <v>0.31</v>
      </c>
      <c r="Q297">
        <v>162</v>
      </c>
      <c r="R297">
        <v>617</v>
      </c>
    </row>
    <row r="298" spans="1:18" hidden="1" x14ac:dyDescent="0.2">
      <c r="A298">
        <v>3</v>
      </c>
      <c r="B298" t="s">
        <v>48</v>
      </c>
      <c r="E298" t="s">
        <v>19</v>
      </c>
      <c r="F298">
        <v>1114885</v>
      </c>
      <c r="G298">
        <v>0</v>
      </c>
      <c r="H298">
        <v>2</v>
      </c>
      <c r="I298">
        <v>268</v>
      </c>
      <c r="J298">
        <v>2005</v>
      </c>
      <c r="K298" s="4">
        <v>45586</v>
      </c>
      <c r="L298" t="s">
        <v>30</v>
      </c>
      <c r="M298" t="s">
        <v>68</v>
      </c>
      <c r="N298">
        <v>2.2200000000000002</v>
      </c>
      <c r="O298">
        <v>1727</v>
      </c>
      <c r="P298">
        <v>2.88</v>
      </c>
      <c r="Q298">
        <v>43</v>
      </c>
      <c r="R298">
        <v>435</v>
      </c>
    </row>
    <row r="299" spans="1:18" hidden="1" x14ac:dyDescent="0.2">
      <c r="A299">
        <v>1</v>
      </c>
      <c r="B299" t="s">
        <v>72</v>
      </c>
      <c r="E299" t="s">
        <v>36</v>
      </c>
      <c r="F299">
        <v>950728</v>
      </c>
      <c r="G299">
        <v>3</v>
      </c>
      <c r="H299">
        <v>2</v>
      </c>
      <c r="I299">
        <v>723</v>
      </c>
      <c r="J299">
        <v>1999</v>
      </c>
      <c r="K299" s="4">
        <v>45397</v>
      </c>
      <c r="L299" t="s">
        <v>20</v>
      </c>
      <c r="M299" t="s">
        <v>24</v>
      </c>
      <c r="N299">
        <v>1.61</v>
      </c>
      <c r="O299">
        <v>1881</v>
      </c>
      <c r="P299">
        <v>2.99</v>
      </c>
      <c r="Q299">
        <v>219</v>
      </c>
      <c r="R299">
        <v>514</v>
      </c>
    </row>
    <row r="300" spans="1:18" hidden="1" x14ac:dyDescent="0.2">
      <c r="A300">
        <v>5</v>
      </c>
      <c r="B300" t="s">
        <v>18</v>
      </c>
      <c r="E300" t="s">
        <v>36</v>
      </c>
      <c r="F300">
        <v>2131406</v>
      </c>
      <c r="G300">
        <v>1</v>
      </c>
      <c r="H300">
        <v>3</v>
      </c>
      <c r="I300">
        <v>889</v>
      </c>
      <c r="J300">
        <v>2010</v>
      </c>
      <c r="K300" s="4">
        <v>44075</v>
      </c>
      <c r="L300" t="s">
        <v>20</v>
      </c>
      <c r="M300" t="s">
        <v>68</v>
      </c>
      <c r="N300">
        <v>2.75</v>
      </c>
      <c r="O300">
        <v>2340</v>
      </c>
      <c r="P300">
        <v>2.83</v>
      </c>
      <c r="Q300">
        <v>114</v>
      </c>
      <c r="R300">
        <v>644</v>
      </c>
    </row>
    <row r="301" spans="1:18" hidden="1" x14ac:dyDescent="0.2">
      <c r="A301">
        <v>6</v>
      </c>
      <c r="B301" t="s">
        <v>55</v>
      </c>
      <c r="E301" t="s">
        <v>51</v>
      </c>
      <c r="F301">
        <v>2137310</v>
      </c>
      <c r="G301">
        <v>1</v>
      </c>
      <c r="H301">
        <v>2</v>
      </c>
      <c r="I301">
        <v>334</v>
      </c>
      <c r="J301">
        <v>1984</v>
      </c>
      <c r="K301" s="4">
        <v>45602</v>
      </c>
      <c r="L301" t="s">
        <v>30</v>
      </c>
      <c r="M301" t="s">
        <v>54</v>
      </c>
      <c r="N301">
        <v>3.27</v>
      </c>
      <c r="O301">
        <v>1845</v>
      </c>
      <c r="P301">
        <v>0.47</v>
      </c>
      <c r="Q301">
        <v>83</v>
      </c>
      <c r="R301">
        <v>532</v>
      </c>
    </row>
    <row r="302" spans="1:18" hidden="1" x14ac:dyDescent="0.2">
      <c r="A302">
        <v>6</v>
      </c>
      <c r="B302" t="s">
        <v>102</v>
      </c>
      <c r="E302" t="s">
        <v>29</v>
      </c>
      <c r="F302">
        <v>1571820</v>
      </c>
      <c r="G302">
        <v>3</v>
      </c>
      <c r="H302">
        <v>3</v>
      </c>
      <c r="I302">
        <v>708</v>
      </c>
      <c r="J302">
        <v>2003</v>
      </c>
      <c r="K302" s="4">
        <v>44751</v>
      </c>
      <c r="L302" t="s">
        <v>20</v>
      </c>
      <c r="M302" t="s">
        <v>40</v>
      </c>
      <c r="N302">
        <v>1.58</v>
      </c>
      <c r="O302">
        <v>974</v>
      </c>
      <c r="P302">
        <v>2.5299999999999998</v>
      </c>
      <c r="Q302">
        <v>255</v>
      </c>
      <c r="R302">
        <v>578</v>
      </c>
    </row>
    <row r="303" spans="1:18" hidden="1" x14ac:dyDescent="0.2">
      <c r="A303">
        <v>6</v>
      </c>
      <c r="B303" t="s">
        <v>50</v>
      </c>
      <c r="E303" t="s">
        <v>36</v>
      </c>
      <c r="F303">
        <v>1746293</v>
      </c>
      <c r="G303">
        <v>2</v>
      </c>
      <c r="H303">
        <v>1</v>
      </c>
      <c r="I303">
        <v>365</v>
      </c>
      <c r="J303">
        <v>2020</v>
      </c>
      <c r="K303" s="4">
        <v>45207</v>
      </c>
      <c r="L303" t="s">
        <v>30</v>
      </c>
      <c r="M303" t="s">
        <v>45</v>
      </c>
      <c r="N303">
        <v>3.33</v>
      </c>
      <c r="O303">
        <v>2304</v>
      </c>
      <c r="P303">
        <v>3.93</v>
      </c>
      <c r="Q303">
        <v>134</v>
      </c>
      <c r="R303">
        <v>303</v>
      </c>
    </row>
    <row r="304" spans="1:18" hidden="1" x14ac:dyDescent="0.2">
      <c r="A304">
        <v>0</v>
      </c>
      <c r="B304" t="s">
        <v>86</v>
      </c>
      <c r="E304" t="s">
        <v>29</v>
      </c>
      <c r="F304">
        <v>2561479</v>
      </c>
      <c r="G304">
        <v>1</v>
      </c>
      <c r="H304">
        <v>2</v>
      </c>
      <c r="I304">
        <v>390</v>
      </c>
      <c r="J304">
        <v>1981</v>
      </c>
      <c r="K304" s="4">
        <v>45877</v>
      </c>
      <c r="L304" t="s">
        <v>20</v>
      </c>
      <c r="M304" t="s">
        <v>78</v>
      </c>
      <c r="N304">
        <v>3.46</v>
      </c>
      <c r="O304">
        <v>1077</v>
      </c>
      <c r="P304">
        <v>3.76</v>
      </c>
      <c r="Q304">
        <v>46</v>
      </c>
      <c r="R304">
        <v>309</v>
      </c>
    </row>
    <row r="305" spans="1:18" hidden="1" x14ac:dyDescent="0.2">
      <c r="A305">
        <v>9</v>
      </c>
      <c r="B305" t="s">
        <v>44</v>
      </c>
      <c r="E305" t="s">
        <v>29</v>
      </c>
      <c r="F305">
        <v>2098207</v>
      </c>
      <c r="G305">
        <v>6</v>
      </c>
      <c r="H305">
        <v>3</v>
      </c>
      <c r="I305">
        <v>454</v>
      </c>
      <c r="J305">
        <v>1982</v>
      </c>
      <c r="K305" s="4">
        <v>45196</v>
      </c>
      <c r="L305" t="s">
        <v>20</v>
      </c>
      <c r="M305" t="s">
        <v>59</v>
      </c>
      <c r="N305">
        <v>2.2599999999999998</v>
      </c>
      <c r="O305">
        <v>1408</v>
      </c>
      <c r="P305">
        <v>1.72</v>
      </c>
      <c r="Q305">
        <v>386</v>
      </c>
      <c r="R305">
        <v>324</v>
      </c>
    </row>
    <row r="306" spans="1:18" hidden="1" x14ac:dyDescent="0.2">
      <c r="A306">
        <v>5</v>
      </c>
      <c r="B306" t="s">
        <v>90</v>
      </c>
      <c r="E306" t="s">
        <v>51</v>
      </c>
      <c r="F306">
        <v>801552</v>
      </c>
      <c r="G306">
        <v>3</v>
      </c>
      <c r="H306">
        <v>2</v>
      </c>
      <c r="I306">
        <v>450</v>
      </c>
      <c r="J306">
        <v>1987</v>
      </c>
      <c r="K306" s="4">
        <v>44227</v>
      </c>
      <c r="L306" t="s">
        <v>26</v>
      </c>
      <c r="M306" t="s">
        <v>21</v>
      </c>
      <c r="N306">
        <v>1.74</v>
      </c>
      <c r="O306">
        <v>2443</v>
      </c>
      <c r="P306">
        <v>1.67</v>
      </c>
      <c r="Q306">
        <v>176</v>
      </c>
      <c r="R306">
        <v>551</v>
      </c>
    </row>
    <row r="307" spans="1:18" hidden="1" x14ac:dyDescent="0.2">
      <c r="A307">
        <v>4</v>
      </c>
      <c r="B307" t="s">
        <v>86</v>
      </c>
      <c r="E307" t="s">
        <v>36</v>
      </c>
      <c r="F307">
        <v>1060606</v>
      </c>
      <c r="G307">
        <v>2</v>
      </c>
      <c r="H307">
        <v>3</v>
      </c>
      <c r="I307">
        <v>976</v>
      </c>
      <c r="J307">
        <v>2011</v>
      </c>
      <c r="K307" s="4">
        <v>45523</v>
      </c>
      <c r="L307" t="s">
        <v>30</v>
      </c>
      <c r="M307" t="s">
        <v>35</v>
      </c>
      <c r="N307">
        <v>2.0299999999999998</v>
      </c>
      <c r="O307">
        <v>1528</v>
      </c>
      <c r="P307">
        <v>0.88</v>
      </c>
      <c r="Q307">
        <v>185</v>
      </c>
      <c r="R307">
        <v>448</v>
      </c>
    </row>
    <row r="308" spans="1:18" hidden="1" x14ac:dyDescent="0.2">
      <c r="A308">
        <v>1</v>
      </c>
      <c r="B308" t="s">
        <v>92</v>
      </c>
      <c r="E308" t="s">
        <v>19</v>
      </c>
      <c r="F308">
        <v>1132015</v>
      </c>
      <c r="G308">
        <v>5</v>
      </c>
      <c r="H308">
        <v>2</v>
      </c>
      <c r="I308">
        <v>602</v>
      </c>
      <c r="J308">
        <v>1995</v>
      </c>
      <c r="K308" s="4">
        <v>45524</v>
      </c>
      <c r="L308" t="s">
        <v>26</v>
      </c>
      <c r="M308" t="s">
        <v>58</v>
      </c>
      <c r="N308">
        <v>2.21</v>
      </c>
      <c r="O308">
        <v>1341</v>
      </c>
      <c r="P308">
        <v>4.05</v>
      </c>
      <c r="Q308">
        <v>322</v>
      </c>
      <c r="R308">
        <v>593</v>
      </c>
    </row>
    <row r="309" spans="1:18" hidden="1" x14ac:dyDescent="0.2">
      <c r="A309">
        <v>5</v>
      </c>
      <c r="B309" t="s">
        <v>55</v>
      </c>
      <c r="E309" t="s">
        <v>51</v>
      </c>
      <c r="F309">
        <v>1266301</v>
      </c>
      <c r="G309">
        <v>3</v>
      </c>
      <c r="H309">
        <v>1</v>
      </c>
      <c r="I309">
        <v>294</v>
      </c>
      <c r="J309">
        <v>1998</v>
      </c>
      <c r="K309" s="4">
        <v>44511</v>
      </c>
      <c r="L309" t="s">
        <v>23</v>
      </c>
      <c r="M309" t="s">
        <v>47</v>
      </c>
      <c r="N309">
        <v>1.86</v>
      </c>
      <c r="O309">
        <v>947</v>
      </c>
      <c r="P309">
        <v>1.49</v>
      </c>
      <c r="Q309">
        <v>93</v>
      </c>
      <c r="R309">
        <v>348</v>
      </c>
    </row>
    <row r="310" spans="1:18" hidden="1" x14ac:dyDescent="0.2">
      <c r="A310">
        <v>5</v>
      </c>
      <c r="B310" t="s">
        <v>81</v>
      </c>
      <c r="E310" t="s">
        <v>19</v>
      </c>
      <c r="F310">
        <v>1419245</v>
      </c>
      <c r="G310">
        <v>2</v>
      </c>
      <c r="H310">
        <v>3</v>
      </c>
      <c r="I310">
        <v>753</v>
      </c>
      <c r="J310">
        <v>1971</v>
      </c>
      <c r="K310" s="4">
        <v>45230</v>
      </c>
      <c r="L310" t="s">
        <v>26</v>
      </c>
      <c r="M310" t="s">
        <v>58</v>
      </c>
      <c r="N310">
        <v>1.6</v>
      </c>
      <c r="O310">
        <v>1774</v>
      </c>
      <c r="P310">
        <v>4.18</v>
      </c>
      <c r="Q310">
        <v>156</v>
      </c>
      <c r="R310">
        <v>452</v>
      </c>
    </row>
    <row r="311" spans="1:18" hidden="1" x14ac:dyDescent="0.2">
      <c r="A311">
        <v>4</v>
      </c>
      <c r="B311" t="s">
        <v>80</v>
      </c>
      <c r="E311" t="s">
        <v>19</v>
      </c>
      <c r="F311">
        <v>1524071</v>
      </c>
      <c r="G311">
        <v>5</v>
      </c>
      <c r="H311">
        <v>1</v>
      </c>
      <c r="I311">
        <v>165</v>
      </c>
      <c r="J311">
        <v>1960</v>
      </c>
      <c r="K311" s="4">
        <v>45475</v>
      </c>
      <c r="L311" t="s">
        <v>30</v>
      </c>
      <c r="M311" t="s">
        <v>59</v>
      </c>
      <c r="N311">
        <v>2.69</v>
      </c>
      <c r="O311">
        <v>2298</v>
      </c>
      <c r="P311">
        <v>1.67</v>
      </c>
      <c r="Q311">
        <v>251</v>
      </c>
      <c r="R311">
        <v>454</v>
      </c>
    </row>
    <row r="312" spans="1:18" hidden="1" x14ac:dyDescent="0.2">
      <c r="A312">
        <v>5</v>
      </c>
      <c r="B312" t="s">
        <v>93</v>
      </c>
      <c r="E312" t="s">
        <v>19</v>
      </c>
      <c r="F312">
        <v>1657090</v>
      </c>
      <c r="G312">
        <v>2</v>
      </c>
      <c r="H312">
        <v>1</v>
      </c>
      <c r="I312">
        <v>155</v>
      </c>
      <c r="J312">
        <v>1984</v>
      </c>
      <c r="K312" s="4">
        <v>44943</v>
      </c>
      <c r="L312" t="s">
        <v>23</v>
      </c>
      <c r="M312" t="s">
        <v>63</v>
      </c>
      <c r="N312">
        <v>3</v>
      </c>
      <c r="O312">
        <v>1452</v>
      </c>
      <c r="P312">
        <v>1.5</v>
      </c>
      <c r="Q312">
        <v>145</v>
      </c>
      <c r="R312">
        <v>521</v>
      </c>
    </row>
    <row r="313" spans="1:18" hidden="1" x14ac:dyDescent="0.2">
      <c r="A313">
        <v>9</v>
      </c>
      <c r="B313" t="s">
        <v>34</v>
      </c>
      <c r="E313" t="s">
        <v>29</v>
      </c>
      <c r="F313">
        <v>2936879</v>
      </c>
      <c r="G313">
        <v>3</v>
      </c>
      <c r="H313">
        <v>3</v>
      </c>
      <c r="I313">
        <v>795</v>
      </c>
      <c r="J313">
        <v>1983</v>
      </c>
      <c r="K313" s="4">
        <v>45532</v>
      </c>
      <c r="L313" t="s">
        <v>30</v>
      </c>
      <c r="M313" t="s">
        <v>77</v>
      </c>
      <c r="N313">
        <v>1.9</v>
      </c>
      <c r="O313">
        <v>1017</v>
      </c>
      <c r="P313">
        <v>1.42</v>
      </c>
      <c r="Q313">
        <v>186</v>
      </c>
      <c r="R313">
        <v>378</v>
      </c>
    </row>
    <row r="314" spans="1:18" x14ac:dyDescent="0.2">
      <c r="A314">
        <v>8</v>
      </c>
      <c r="B314" t="s">
        <v>94</v>
      </c>
      <c r="E314" t="s">
        <v>51</v>
      </c>
      <c r="F314">
        <v>885651</v>
      </c>
      <c r="G314">
        <v>6</v>
      </c>
      <c r="H314">
        <v>2</v>
      </c>
      <c r="I314">
        <v>62</v>
      </c>
      <c r="J314">
        <v>2017</v>
      </c>
      <c r="K314" s="4">
        <v>44283</v>
      </c>
      <c r="L314" t="s">
        <v>20</v>
      </c>
      <c r="M314" t="s">
        <v>59</v>
      </c>
      <c r="N314">
        <v>2.4700000000000002</v>
      </c>
      <c r="O314">
        <v>1689</v>
      </c>
      <c r="P314">
        <v>2.71</v>
      </c>
      <c r="Q314">
        <v>345</v>
      </c>
      <c r="R314">
        <v>634</v>
      </c>
    </row>
    <row r="315" spans="1:18" x14ac:dyDescent="0.2">
      <c r="A315">
        <v>8</v>
      </c>
      <c r="B315" t="s">
        <v>32</v>
      </c>
      <c r="E315" t="s">
        <v>51</v>
      </c>
      <c r="F315">
        <v>2518011</v>
      </c>
      <c r="G315">
        <v>3</v>
      </c>
      <c r="H315">
        <v>3</v>
      </c>
      <c r="I315">
        <v>498</v>
      </c>
      <c r="J315">
        <v>1966</v>
      </c>
      <c r="K315" s="4">
        <v>45614</v>
      </c>
      <c r="L315" t="s">
        <v>30</v>
      </c>
      <c r="M315" t="s">
        <v>35</v>
      </c>
      <c r="N315">
        <v>1.75</v>
      </c>
      <c r="O315">
        <v>2466</v>
      </c>
      <c r="P315">
        <v>4.9400000000000004</v>
      </c>
      <c r="Q315">
        <v>279</v>
      </c>
      <c r="R315">
        <v>386</v>
      </c>
    </row>
    <row r="316" spans="1:18" hidden="1" x14ac:dyDescent="0.2">
      <c r="A316">
        <v>7</v>
      </c>
      <c r="B316" t="s">
        <v>81</v>
      </c>
      <c r="E316" t="s">
        <v>51</v>
      </c>
      <c r="F316">
        <v>2780525</v>
      </c>
      <c r="G316">
        <v>4</v>
      </c>
      <c r="H316">
        <v>3</v>
      </c>
      <c r="I316">
        <v>391</v>
      </c>
      <c r="J316">
        <v>2002</v>
      </c>
      <c r="K316" s="4">
        <v>45228</v>
      </c>
      <c r="L316" t="s">
        <v>20</v>
      </c>
      <c r="M316" t="s">
        <v>58</v>
      </c>
      <c r="N316">
        <v>2.0499999999999998</v>
      </c>
      <c r="O316">
        <v>2010</v>
      </c>
      <c r="P316">
        <v>1.53</v>
      </c>
      <c r="Q316">
        <v>311</v>
      </c>
      <c r="R316">
        <v>671</v>
      </c>
    </row>
    <row r="317" spans="1:18" hidden="1" x14ac:dyDescent="0.2">
      <c r="A317">
        <v>5</v>
      </c>
      <c r="B317" t="s">
        <v>100</v>
      </c>
      <c r="E317" t="s">
        <v>19</v>
      </c>
      <c r="F317">
        <v>632619</v>
      </c>
      <c r="G317">
        <v>4</v>
      </c>
      <c r="H317">
        <v>2</v>
      </c>
      <c r="I317">
        <v>693</v>
      </c>
      <c r="J317">
        <v>1951</v>
      </c>
      <c r="K317" s="4">
        <v>45355</v>
      </c>
      <c r="L317" t="s">
        <v>20</v>
      </c>
      <c r="M317" t="s">
        <v>74</v>
      </c>
      <c r="N317">
        <v>3.12</v>
      </c>
      <c r="O317">
        <v>2203</v>
      </c>
      <c r="P317">
        <v>2.27</v>
      </c>
      <c r="Q317">
        <v>390</v>
      </c>
      <c r="R317">
        <v>304</v>
      </c>
    </row>
    <row r="318" spans="1:18" hidden="1" x14ac:dyDescent="0.2">
      <c r="A318">
        <v>4</v>
      </c>
      <c r="B318" t="s">
        <v>79</v>
      </c>
      <c r="E318" t="s">
        <v>36</v>
      </c>
      <c r="F318">
        <v>805140</v>
      </c>
      <c r="G318">
        <v>1</v>
      </c>
      <c r="H318">
        <v>2</v>
      </c>
      <c r="I318">
        <v>592</v>
      </c>
      <c r="J318">
        <v>1956</v>
      </c>
      <c r="K318" s="4">
        <v>45436</v>
      </c>
      <c r="L318" t="s">
        <v>30</v>
      </c>
      <c r="M318" t="s">
        <v>31</v>
      </c>
      <c r="N318">
        <v>2.68</v>
      </c>
      <c r="O318">
        <v>1841</v>
      </c>
      <c r="P318">
        <v>1.28</v>
      </c>
      <c r="Q318">
        <v>113</v>
      </c>
      <c r="R318">
        <v>492</v>
      </c>
    </row>
    <row r="319" spans="1:18" hidden="1" x14ac:dyDescent="0.2">
      <c r="A319">
        <v>7</v>
      </c>
      <c r="B319" t="s">
        <v>44</v>
      </c>
      <c r="E319" t="s">
        <v>19</v>
      </c>
      <c r="F319">
        <v>2904600</v>
      </c>
      <c r="G319">
        <v>3</v>
      </c>
      <c r="H319">
        <v>1</v>
      </c>
      <c r="I319">
        <v>350</v>
      </c>
      <c r="J319">
        <v>2013</v>
      </c>
      <c r="K319" s="4">
        <v>44119</v>
      </c>
      <c r="L319" t="s">
        <v>26</v>
      </c>
      <c r="M319" t="s">
        <v>42</v>
      </c>
      <c r="N319">
        <v>1.71</v>
      </c>
      <c r="O319">
        <v>1913</v>
      </c>
      <c r="P319">
        <v>2.09</v>
      </c>
      <c r="Q319">
        <v>274</v>
      </c>
      <c r="R319">
        <v>383</v>
      </c>
    </row>
    <row r="320" spans="1:18" hidden="1" x14ac:dyDescent="0.2">
      <c r="A320">
        <v>6</v>
      </c>
      <c r="B320" t="s">
        <v>43</v>
      </c>
      <c r="E320" t="s">
        <v>51</v>
      </c>
      <c r="F320">
        <v>2425193</v>
      </c>
      <c r="G320">
        <v>4</v>
      </c>
      <c r="H320">
        <v>1</v>
      </c>
      <c r="I320">
        <v>616</v>
      </c>
      <c r="J320">
        <v>1982</v>
      </c>
      <c r="K320" s="4">
        <v>45395</v>
      </c>
      <c r="L320" t="s">
        <v>26</v>
      </c>
      <c r="M320" t="s">
        <v>52</v>
      </c>
      <c r="N320">
        <v>2.87</v>
      </c>
      <c r="O320">
        <v>1240</v>
      </c>
      <c r="P320">
        <v>1.7</v>
      </c>
      <c r="Q320">
        <v>185</v>
      </c>
      <c r="R320">
        <v>438</v>
      </c>
    </row>
    <row r="321" spans="1:18" hidden="1" x14ac:dyDescent="0.2">
      <c r="A321">
        <v>2</v>
      </c>
      <c r="B321" t="s">
        <v>43</v>
      </c>
      <c r="E321" t="s">
        <v>29</v>
      </c>
      <c r="F321">
        <v>2590995</v>
      </c>
      <c r="G321">
        <v>-2</v>
      </c>
      <c r="H321">
        <v>2</v>
      </c>
      <c r="I321">
        <v>487</v>
      </c>
      <c r="J321">
        <v>1977</v>
      </c>
      <c r="K321" s="4">
        <v>44554</v>
      </c>
      <c r="L321" t="s">
        <v>30</v>
      </c>
      <c r="M321" t="s">
        <v>78</v>
      </c>
      <c r="N321">
        <v>2.64</v>
      </c>
      <c r="O321">
        <v>1413</v>
      </c>
      <c r="P321">
        <v>2.95</v>
      </c>
      <c r="Q321">
        <v>222</v>
      </c>
      <c r="R321">
        <v>475</v>
      </c>
    </row>
    <row r="322" spans="1:18" hidden="1" x14ac:dyDescent="0.2">
      <c r="A322">
        <v>5</v>
      </c>
      <c r="B322" t="s">
        <v>99</v>
      </c>
      <c r="E322" t="s">
        <v>29</v>
      </c>
      <c r="F322">
        <v>2545764</v>
      </c>
      <c r="G322">
        <v>4</v>
      </c>
      <c r="H322">
        <v>1</v>
      </c>
      <c r="I322">
        <v>334</v>
      </c>
      <c r="J322">
        <v>1972</v>
      </c>
      <c r="K322" s="4">
        <v>45755</v>
      </c>
      <c r="L322" t="s">
        <v>20</v>
      </c>
      <c r="M322" t="s">
        <v>58</v>
      </c>
      <c r="N322">
        <v>1.86</v>
      </c>
      <c r="O322">
        <v>920</v>
      </c>
      <c r="P322">
        <v>1.32</v>
      </c>
      <c r="Q322">
        <v>308</v>
      </c>
      <c r="R322">
        <v>615</v>
      </c>
    </row>
    <row r="323" spans="1:18" hidden="1" x14ac:dyDescent="0.2">
      <c r="A323">
        <v>7</v>
      </c>
      <c r="B323" t="s">
        <v>87</v>
      </c>
      <c r="E323" t="s">
        <v>19</v>
      </c>
      <c r="F323">
        <v>518109</v>
      </c>
      <c r="G323">
        <v>4</v>
      </c>
      <c r="H323">
        <v>3</v>
      </c>
      <c r="I323">
        <v>65</v>
      </c>
      <c r="J323">
        <v>1964</v>
      </c>
      <c r="K323" s="4">
        <v>44098</v>
      </c>
      <c r="L323" t="s">
        <v>26</v>
      </c>
      <c r="M323" t="s">
        <v>58</v>
      </c>
      <c r="N323">
        <v>3.5</v>
      </c>
      <c r="O323">
        <v>2006</v>
      </c>
      <c r="P323">
        <v>3.49</v>
      </c>
      <c r="Q323">
        <v>253</v>
      </c>
      <c r="R323">
        <v>619</v>
      </c>
    </row>
    <row r="324" spans="1:18" hidden="1" x14ac:dyDescent="0.2">
      <c r="A324">
        <v>4</v>
      </c>
      <c r="B324" t="s">
        <v>87</v>
      </c>
      <c r="E324" t="s">
        <v>19</v>
      </c>
      <c r="F324">
        <v>1361175</v>
      </c>
      <c r="G324">
        <v>2</v>
      </c>
      <c r="H324">
        <v>3</v>
      </c>
      <c r="I324">
        <v>195</v>
      </c>
      <c r="J324">
        <v>1966</v>
      </c>
      <c r="K324" s="4">
        <v>45857</v>
      </c>
      <c r="L324" t="s">
        <v>20</v>
      </c>
      <c r="M324" t="s">
        <v>40</v>
      </c>
      <c r="N324">
        <v>2.63</v>
      </c>
      <c r="O324">
        <v>1179</v>
      </c>
      <c r="P324">
        <v>1.55</v>
      </c>
      <c r="Q324">
        <v>165</v>
      </c>
      <c r="R324">
        <v>446</v>
      </c>
    </row>
    <row r="325" spans="1:18" hidden="1" x14ac:dyDescent="0.2">
      <c r="A325">
        <v>3</v>
      </c>
      <c r="B325" t="s">
        <v>90</v>
      </c>
      <c r="E325" t="s">
        <v>19</v>
      </c>
      <c r="F325">
        <v>993403</v>
      </c>
      <c r="G325">
        <v>3</v>
      </c>
      <c r="H325">
        <v>3</v>
      </c>
      <c r="I325">
        <v>468</v>
      </c>
      <c r="J325">
        <v>1970</v>
      </c>
      <c r="K325" s="4">
        <v>45807</v>
      </c>
      <c r="L325" t="s">
        <v>20</v>
      </c>
      <c r="M325" t="s">
        <v>78</v>
      </c>
      <c r="N325">
        <v>2.77</v>
      </c>
      <c r="O325">
        <v>1381</v>
      </c>
      <c r="P325">
        <v>3.84</v>
      </c>
      <c r="Q325">
        <v>184</v>
      </c>
      <c r="R325">
        <v>511</v>
      </c>
    </row>
    <row r="326" spans="1:18" hidden="1" x14ac:dyDescent="0.2">
      <c r="A326">
        <v>6</v>
      </c>
      <c r="B326" t="s">
        <v>71</v>
      </c>
      <c r="E326" t="s">
        <v>29</v>
      </c>
      <c r="F326">
        <v>2527249</v>
      </c>
      <c r="G326">
        <v>3</v>
      </c>
      <c r="H326">
        <v>1</v>
      </c>
      <c r="I326">
        <v>283</v>
      </c>
      <c r="J326">
        <v>2011</v>
      </c>
      <c r="K326" s="4">
        <v>45479</v>
      </c>
      <c r="L326" t="s">
        <v>26</v>
      </c>
      <c r="M326" t="s">
        <v>31</v>
      </c>
      <c r="N326">
        <v>2.68</v>
      </c>
      <c r="O326">
        <v>852</v>
      </c>
      <c r="P326">
        <v>0.67</v>
      </c>
      <c r="Q326">
        <v>255</v>
      </c>
      <c r="R326">
        <v>465</v>
      </c>
    </row>
    <row r="327" spans="1:18" hidden="1" x14ac:dyDescent="0.2">
      <c r="A327">
        <v>1</v>
      </c>
      <c r="B327" t="s">
        <v>55</v>
      </c>
      <c r="E327" t="s">
        <v>51</v>
      </c>
      <c r="F327">
        <v>2573556</v>
      </c>
      <c r="G327">
        <v>6</v>
      </c>
      <c r="H327">
        <v>1</v>
      </c>
      <c r="I327">
        <v>729</v>
      </c>
      <c r="J327">
        <v>1977</v>
      </c>
      <c r="K327" s="4">
        <v>44884</v>
      </c>
      <c r="L327" t="s">
        <v>30</v>
      </c>
      <c r="M327" t="s">
        <v>89</v>
      </c>
      <c r="N327">
        <v>1.6</v>
      </c>
      <c r="O327">
        <v>1898</v>
      </c>
      <c r="P327">
        <v>3.72</v>
      </c>
      <c r="Q327">
        <v>335</v>
      </c>
      <c r="R327">
        <v>598</v>
      </c>
    </row>
    <row r="328" spans="1:18" hidden="1" x14ac:dyDescent="0.2">
      <c r="A328">
        <v>6</v>
      </c>
      <c r="B328" t="s">
        <v>81</v>
      </c>
      <c r="E328" t="s">
        <v>36</v>
      </c>
      <c r="F328">
        <v>2719810</v>
      </c>
      <c r="G328">
        <v>3</v>
      </c>
      <c r="H328">
        <v>3</v>
      </c>
      <c r="I328">
        <v>724</v>
      </c>
      <c r="J328">
        <v>1953</v>
      </c>
      <c r="K328" s="4">
        <v>45544</v>
      </c>
      <c r="L328" t="s">
        <v>26</v>
      </c>
      <c r="M328" t="s">
        <v>58</v>
      </c>
      <c r="N328">
        <v>2.25</v>
      </c>
      <c r="O328">
        <v>1712</v>
      </c>
      <c r="P328">
        <v>1.23</v>
      </c>
      <c r="Q328">
        <v>181</v>
      </c>
      <c r="R328">
        <v>579</v>
      </c>
    </row>
    <row r="329" spans="1:18" hidden="1" x14ac:dyDescent="0.2">
      <c r="A329">
        <v>3</v>
      </c>
      <c r="B329" t="s">
        <v>96</v>
      </c>
      <c r="E329" t="s">
        <v>29</v>
      </c>
      <c r="F329">
        <v>2364640</v>
      </c>
      <c r="G329">
        <v>2</v>
      </c>
      <c r="H329">
        <v>2</v>
      </c>
      <c r="I329">
        <v>67</v>
      </c>
      <c r="J329">
        <v>1960</v>
      </c>
      <c r="K329" s="4">
        <v>44908</v>
      </c>
      <c r="L329" t="s">
        <v>20</v>
      </c>
      <c r="M329" t="s">
        <v>74</v>
      </c>
      <c r="N329">
        <v>2.44</v>
      </c>
      <c r="O329">
        <v>1423</v>
      </c>
      <c r="P329">
        <v>1.4</v>
      </c>
      <c r="Q329">
        <v>228</v>
      </c>
      <c r="R329">
        <v>433</v>
      </c>
    </row>
    <row r="330" spans="1:18" hidden="1" x14ac:dyDescent="0.2">
      <c r="A330">
        <v>4</v>
      </c>
      <c r="B330" t="s">
        <v>34</v>
      </c>
      <c r="E330" t="s">
        <v>29</v>
      </c>
      <c r="F330">
        <v>552178</v>
      </c>
      <c r="G330">
        <v>2</v>
      </c>
      <c r="H330">
        <v>1</v>
      </c>
      <c r="I330">
        <v>408</v>
      </c>
      <c r="J330">
        <v>1970</v>
      </c>
      <c r="K330" s="4">
        <v>45053</v>
      </c>
      <c r="L330" t="s">
        <v>30</v>
      </c>
      <c r="M330" t="s">
        <v>58</v>
      </c>
      <c r="N330">
        <v>2.77</v>
      </c>
      <c r="O330">
        <v>2153</v>
      </c>
      <c r="P330">
        <v>4.07</v>
      </c>
      <c r="Q330">
        <v>128</v>
      </c>
      <c r="R330">
        <v>519</v>
      </c>
    </row>
    <row r="331" spans="1:18" hidden="1" x14ac:dyDescent="0.2">
      <c r="A331">
        <v>5</v>
      </c>
      <c r="B331" t="s">
        <v>84</v>
      </c>
      <c r="E331" t="s">
        <v>51</v>
      </c>
      <c r="F331">
        <v>1148107</v>
      </c>
      <c r="G331">
        <v>3</v>
      </c>
      <c r="H331">
        <v>2</v>
      </c>
      <c r="I331">
        <v>429</v>
      </c>
      <c r="J331">
        <v>1999</v>
      </c>
      <c r="K331" s="4">
        <v>45122</v>
      </c>
      <c r="L331" t="s">
        <v>30</v>
      </c>
      <c r="M331" t="s">
        <v>33</v>
      </c>
      <c r="N331">
        <v>2.68</v>
      </c>
      <c r="O331">
        <v>2182</v>
      </c>
      <c r="P331">
        <v>4.76</v>
      </c>
      <c r="Q331">
        <v>114</v>
      </c>
      <c r="R331">
        <v>571</v>
      </c>
    </row>
    <row r="332" spans="1:18" hidden="1" x14ac:dyDescent="0.2">
      <c r="A332">
        <v>0</v>
      </c>
      <c r="B332" t="s">
        <v>75</v>
      </c>
      <c r="E332" t="s">
        <v>29</v>
      </c>
      <c r="F332">
        <v>1694815</v>
      </c>
      <c r="G332">
        <v>2</v>
      </c>
      <c r="H332">
        <v>1</v>
      </c>
      <c r="I332">
        <v>846</v>
      </c>
      <c r="J332">
        <v>2018</v>
      </c>
      <c r="K332" s="4">
        <v>45303</v>
      </c>
      <c r="L332" t="s">
        <v>26</v>
      </c>
      <c r="M332" t="s">
        <v>56</v>
      </c>
      <c r="N332">
        <v>2.76</v>
      </c>
      <c r="O332">
        <v>811</v>
      </c>
      <c r="P332">
        <v>2.99</v>
      </c>
      <c r="Q332">
        <v>76</v>
      </c>
      <c r="R332">
        <v>487</v>
      </c>
    </row>
    <row r="333" spans="1:18" hidden="1" x14ac:dyDescent="0.2">
      <c r="A333">
        <v>6</v>
      </c>
      <c r="B333" t="s">
        <v>99</v>
      </c>
      <c r="E333" t="s">
        <v>19</v>
      </c>
      <c r="F333">
        <v>2136535</v>
      </c>
      <c r="G333">
        <v>3</v>
      </c>
      <c r="H333">
        <v>1</v>
      </c>
      <c r="I333">
        <v>139</v>
      </c>
      <c r="J333">
        <v>1984</v>
      </c>
      <c r="K333" s="4">
        <v>44828</v>
      </c>
      <c r="L333" t="s">
        <v>23</v>
      </c>
      <c r="M333" t="s">
        <v>58</v>
      </c>
      <c r="N333">
        <v>3.44</v>
      </c>
      <c r="O333">
        <v>1678</v>
      </c>
      <c r="P333">
        <v>1.51</v>
      </c>
      <c r="Q333">
        <v>205</v>
      </c>
      <c r="R333">
        <v>523</v>
      </c>
    </row>
    <row r="334" spans="1:18" hidden="1" x14ac:dyDescent="0.2">
      <c r="A334">
        <v>1</v>
      </c>
      <c r="B334" t="s">
        <v>57</v>
      </c>
      <c r="E334" t="s">
        <v>19</v>
      </c>
      <c r="F334">
        <v>723260</v>
      </c>
      <c r="G334">
        <v>5</v>
      </c>
      <c r="H334">
        <v>3</v>
      </c>
      <c r="I334">
        <v>333</v>
      </c>
      <c r="J334">
        <v>1965</v>
      </c>
      <c r="K334" s="4">
        <v>44948</v>
      </c>
      <c r="L334" t="s">
        <v>23</v>
      </c>
      <c r="M334" t="s">
        <v>56</v>
      </c>
      <c r="N334">
        <v>2.0499999999999998</v>
      </c>
      <c r="O334">
        <v>904</v>
      </c>
      <c r="P334">
        <v>3.96</v>
      </c>
      <c r="Q334">
        <v>255</v>
      </c>
      <c r="R334">
        <v>363</v>
      </c>
    </row>
    <row r="335" spans="1:18" hidden="1" x14ac:dyDescent="0.2">
      <c r="A335">
        <v>5</v>
      </c>
      <c r="B335" t="s">
        <v>73</v>
      </c>
      <c r="E335" t="s">
        <v>19</v>
      </c>
      <c r="F335">
        <v>1135285</v>
      </c>
      <c r="G335">
        <v>5</v>
      </c>
      <c r="H335">
        <v>2</v>
      </c>
      <c r="I335">
        <v>878</v>
      </c>
      <c r="J335">
        <v>2013</v>
      </c>
      <c r="K335" s="4">
        <v>45163</v>
      </c>
      <c r="L335" t="s">
        <v>23</v>
      </c>
      <c r="M335" t="s">
        <v>59</v>
      </c>
      <c r="N335">
        <v>2.73</v>
      </c>
      <c r="O335">
        <v>1135</v>
      </c>
      <c r="P335">
        <v>0.7</v>
      </c>
      <c r="Q335">
        <v>290</v>
      </c>
      <c r="R335">
        <v>330</v>
      </c>
    </row>
    <row r="336" spans="1:18" hidden="1" x14ac:dyDescent="0.2">
      <c r="A336">
        <v>7</v>
      </c>
      <c r="B336" t="s">
        <v>105</v>
      </c>
      <c r="E336" t="s">
        <v>51</v>
      </c>
      <c r="F336">
        <v>1987293</v>
      </c>
      <c r="G336">
        <v>5</v>
      </c>
      <c r="H336">
        <v>2</v>
      </c>
      <c r="I336">
        <v>702</v>
      </c>
      <c r="J336">
        <v>1957</v>
      </c>
      <c r="K336" s="4">
        <v>44705</v>
      </c>
      <c r="L336" t="s">
        <v>23</v>
      </c>
      <c r="M336" t="s">
        <v>37</v>
      </c>
      <c r="N336">
        <v>2.16</v>
      </c>
      <c r="O336">
        <v>2071</v>
      </c>
      <c r="P336">
        <v>4.63</v>
      </c>
      <c r="Q336">
        <v>304</v>
      </c>
      <c r="R336">
        <v>662</v>
      </c>
    </row>
    <row r="337" spans="1:18" hidden="1" x14ac:dyDescent="0.2">
      <c r="A337">
        <v>0</v>
      </c>
      <c r="B337" t="s">
        <v>41</v>
      </c>
      <c r="E337" t="s">
        <v>51</v>
      </c>
      <c r="F337">
        <v>1909689</v>
      </c>
      <c r="G337">
        <v>3</v>
      </c>
      <c r="H337">
        <v>2</v>
      </c>
      <c r="I337">
        <v>607</v>
      </c>
      <c r="J337">
        <v>2012</v>
      </c>
      <c r="K337" s="4">
        <v>45017</v>
      </c>
      <c r="L337" t="s">
        <v>30</v>
      </c>
      <c r="M337" t="s">
        <v>68</v>
      </c>
      <c r="N337">
        <v>2.67</v>
      </c>
      <c r="O337">
        <v>1858</v>
      </c>
      <c r="P337">
        <v>3.29</v>
      </c>
      <c r="Q337">
        <v>301</v>
      </c>
      <c r="R337">
        <v>379</v>
      </c>
    </row>
    <row r="338" spans="1:18" hidden="1" x14ac:dyDescent="0.2">
      <c r="A338">
        <v>6</v>
      </c>
      <c r="B338" t="s">
        <v>28</v>
      </c>
      <c r="E338" t="s">
        <v>51</v>
      </c>
      <c r="F338">
        <v>2538712</v>
      </c>
      <c r="G338">
        <v>4</v>
      </c>
      <c r="H338">
        <v>3</v>
      </c>
      <c r="I338">
        <v>514</v>
      </c>
      <c r="J338">
        <v>2019</v>
      </c>
      <c r="K338" s="4">
        <v>44403</v>
      </c>
      <c r="L338" t="s">
        <v>30</v>
      </c>
      <c r="M338" t="s">
        <v>27</v>
      </c>
      <c r="N338">
        <v>2.65</v>
      </c>
      <c r="O338">
        <v>1912</v>
      </c>
      <c r="P338">
        <v>1.17</v>
      </c>
      <c r="Q338">
        <v>177</v>
      </c>
      <c r="R338">
        <v>637</v>
      </c>
    </row>
    <row r="339" spans="1:18" hidden="1" x14ac:dyDescent="0.2">
      <c r="A339">
        <v>7</v>
      </c>
      <c r="B339" t="s">
        <v>105</v>
      </c>
      <c r="E339" t="s">
        <v>29</v>
      </c>
      <c r="F339">
        <v>646586</v>
      </c>
      <c r="G339">
        <v>4</v>
      </c>
      <c r="H339">
        <v>2</v>
      </c>
      <c r="I339">
        <v>229</v>
      </c>
      <c r="J339">
        <v>1952</v>
      </c>
      <c r="K339" s="4">
        <v>44124</v>
      </c>
      <c r="L339" t="s">
        <v>23</v>
      </c>
      <c r="M339" t="s">
        <v>68</v>
      </c>
      <c r="N339">
        <v>3.12</v>
      </c>
      <c r="O339">
        <v>1165</v>
      </c>
      <c r="P339">
        <v>4.66</v>
      </c>
      <c r="Q339">
        <v>341</v>
      </c>
      <c r="R339">
        <v>404</v>
      </c>
    </row>
    <row r="340" spans="1:18" hidden="1" x14ac:dyDescent="0.2">
      <c r="A340">
        <v>4</v>
      </c>
      <c r="B340" t="s">
        <v>44</v>
      </c>
      <c r="E340" t="s">
        <v>29</v>
      </c>
      <c r="F340">
        <v>1845232</v>
      </c>
      <c r="G340">
        <v>5</v>
      </c>
      <c r="H340">
        <v>2</v>
      </c>
      <c r="I340">
        <v>659</v>
      </c>
      <c r="J340">
        <v>2003</v>
      </c>
      <c r="K340" s="4">
        <v>44248</v>
      </c>
      <c r="L340" t="s">
        <v>26</v>
      </c>
      <c r="M340" t="s">
        <v>56</v>
      </c>
      <c r="N340">
        <v>2.2400000000000002</v>
      </c>
      <c r="O340">
        <v>1068</v>
      </c>
      <c r="P340">
        <v>0.36</v>
      </c>
      <c r="Q340">
        <v>313</v>
      </c>
      <c r="R340">
        <v>579</v>
      </c>
    </row>
    <row r="341" spans="1:18" hidden="1" x14ac:dyDescent="0.2">
      <c r="A341">
        <v>7</v>
      </c>
      <c r="B341" t="s">
        <v>88</v>
      </c>
      <c r="E341" t="s">
        <v>36</v>
      </c>
      <c r="F341">
        <v>1775274</v>
      </c>
      <c r="G341">
        <v>6</v>
      </c>
      <c r="H341">
        <v>2</v>
      </c>
      <c r="I341">
        <v>522</v>
      </c>
      <c r="J341">
        <v>1981</v>
      </c>
      <c r="K341" s="4">
        <v>44399</v>
      </c>
      <c r="L341" t="s">
        <v>23</v>
      </c>
      <c r="M341" t="s">
        <v>37</v>
      </c>
      <c r="N341">
        <v>1.54</v>
      </c>
      <c r="O341">
        <v>2059</v>
      </c>
      <c r="P341">
        <v>0.11</v>
      </c>
      <c r="Q341">
        <v>389</v>
      </c>
      <c r="R341">
        <v>364</v>
      </c>
    </row>
    <row r="342" spans="1:18" hidden="1" x14ac:dyDescent="0.2">
      <c r="A342">
        <v>6</v>
      </c>
      <c r="B342" t="s">
        <v>96</v>
      </c>
      <c r="E342" t="s">
        <v>36</v>
      </c>
      <c r="F342">
        <v>2958791</v>
      </c>
      <c r="G342">
        <v>4</v>
      </c>
      <c r="H342">
        <v>3</v>
      </c>
      <c r="I342">
        <v>889</v>
      </c>
      <c r="J342">
        <v>1994</v>
      </c>
      <c r="K342" s="4">
        <v>44402</v>
      </c>
      <c r="L342" t="s">
        <v>23</v>
      </c>
      <c r="M342" t="s">
        <v>66</v>
      </c>
      <c r="N342">
        <v>1.88</v>
      </c>
      <c r="O342">
        <v>913</v>
      </c>
      <c r="P342">
        <v>1.1000000000000001</v>
      </c>
      <c r="Q342">
        <v>357</v>
      </c>
      <c r="R342">
        <v>317</v>
      </c>
    </row>
    <row r="343" spans="1:18" hidden="1" x14ac:dyDescent="0.2">
      <c r="A343">
        <v>4</v>
      </c>
      <c r="B343" t="s">
        <v>49</v>
      </c>
      <c r="E343" t="s">
        <v>51</v>
      </c>
      <c r="F343">
        <v>1778567</v>
      </c>
      <c r="G343">
        <v>3</v>
      </c>
      <c r="H343">
        <v>3</v>
      </c>
      <c r="I343">
        <v>707</v>
      </c>
      <c r="J343">
        <v>1966</v>
      </c>
      <c r="K343" s="4">
        <v>44606</v>
      </c>
      <c r="L343" t="s">
        <v>26</v>
      </c>
      <c r="M343" t="s">
        <v>77</v>
      </c>
      <c r="N343">
        <v>2.92</v>
      </c>
      <c r="O343">
        <v>934</v>
      </c>
      <c r="P343">
        <v>2.08</v>
      </c>
      <c r="Q343">
        <v>233</v>
      </c>
      <c r="R343">
        <v>368</v>
      </c>
    </row>
    <row r="344" spans="1:18" hidden="1" x14ac:dyDescent="0.2">
      <c r="A344">
        <v>4</v>
      </c>
      <c r="B344" t="s">
        <v>71</v>
      </c>
      <c r="E344" t="s">
        <v>36</v>
      </c>
      <c r="F344">
        <v>1946904</v>
      </c>
      <c r="G344">
        <v>2</v>
      </c>
      <c r="H344">
        <v>3</v>
      </c>
      <c r="I344">
        <v>693</v>
      </c>
      <c r="J344">
        <v>1986</v>
      </c>
      <c r="K344" s="4">
        <v>44515</v>
      </c>
      <c r="L344" t="s">
        <v>23</v>
      </c>
      <c r="M344" t="s">
        <v>68</v>
      </c>
      <c r="N344">
        <v>3.21</v>
      </c>
      <c r="O344">
        <v>1525</v>
      </c>
      <c r="P344">
        <v>4.2</v>
      </c>
      <c r="Q344">
        <v>171</v>
      </c>
      <c r="R344">
        <v>375</v>
      </c>
    </row>
    <row r="345" spans="1:18" hidden="1" x14ac:dyDescent="0.2">
      <c r="A345">
        <v>6</v>
      </c>
      <c r="B345" t="s">
        <v>83</v>
      </c>
      <c r="E345" t="s">
        <v>19</v>
      </c>
      <c r="F345">
        <v>1758087</v>
      </c>
      <c r="G345">
        <v>5</v>
      </c>
      <c r="H345">
        <v>2</v>
      </c>
      <c r="I345">
        <v>610</v>
      </c>
      <c r="J345">
        <v>2008</v>
      </c>
      <c r="K345" s="4">
        <v>44096</v>
      </c>
      <c r="L345" t="s">
        <v>23</v>
      </c>
      <c r="M345" t="s">
        <v>56</v>
      </c>
      <c r="N345">
        <v>1.8</v>
      </c>
      <c r="O345">
        <v>1036</v>
      </c>
      <c r="P345">
        <v>1.53</v>
      </c>
      <c r="Q345">
        <v>251</v>
      </c>
      <c r="R345">
        <v>456</v>
      </c>
    </row>
    <row r="346" spans="1:18" hidden="1" x14ac:dyDescent="0.2">
      <c r="A346">
        <v>5</v>
      </c>
      <c r="B346" t="s">
        <v>64</v>
      </c>
      <c r="E346" t="s">
        <v>51</v>
      </c>
      <c r="F346">
        <v>1308981</v>
      </c>
      <c r="G346">
        <v>1</v>
      </c>
      <c r="H346">
        <v>2</v>
      </c>
      <c r="I346">
        <v>723</v>
      </c>
      <c r="J346">
        <v>1974</v>
      </c>
      <c r="K346" s="4">
        <v>44533</v>
      </c>
      <c r="L346" t="s">
        <v>23</v>
      </c>
      <c r="M346" t="s">
        <v>54</v>
      </c>
      <c r="N346">
        <v>1.75</v>
      </c>
      <c r="O346">
        <v>2383</v>
      </c>
      <c r="P346">
        <v>1.08</v>
      </c>
      <c r="Q346">
        <v>87</v>
      </c>
      <c r="R346">
        <v>507</v>
      </c>
    </row>
    <row r="347" spans="1:18" hidden="1" x14ac:dyDescent="0.2">
      <c r="A347">
        <v>3</v>
      </c>
      <c r="B347" t="s">
        <v>98</v>
      </c>
      <c r="E347" t="s">
        <v>36</v>
      </c>
      <c r="F347">
        <v>2096844</v>
      </c>
      <c r="G347">
        <v>4</v>
      </c>
      <c r="H347">
        <v>2</v>
      </c>
      <c r="I347">
        <v>962</v>
      </c>
      <c r="J347">
        <v>1960</v>
      </c>
      <c r="K347" s="4">
        <v>45615</v>
      </c>
      <c r="L347" t="s">
        <v>26</v>
      </c>
      <c r="M347" t="s">
        <v>56</v>
      </c>
      <c r="N347">
        <v>1.87</v>
      </c>
      <c r="O347">
        <v>1754</v>
      </c>
      <c r="P347">
        <v>2.16</v>
      </c>
      <c r="Q347">
        <v>248</v>
      </c>
      <c r="R347">
        <v>393</v>
      </c>
    </row>
    <row r="348" spans="1:18" hidden="1" x14ac:dyDescent="0.2">
      <c r="A348">
        <v>2</v>
      </c>
      <c r="B348" t="s">
        <v>18</v>
      </c>
      <c r="E348" t="s">
        <v>29</v>
      </c>
      <c r="F348">
        <v>1952583</v>
      </c>
      <c r="G348">
        <v>3</v>
      </c>
      <c r="H348">
        <v>1</v>
      </c>
      <c r="I348">
        <v>299</v>
      </c>
      <c r="J348">
        <v>1954</v>
      </c>
      <c r="K348" s="4">
        <v>44733</v>
      </c>
      <c r="L348" t="s">
        <v>26</v>
      </c>
      <c r="M348" t="s">
        <v>40</v>
      </c>
      <c r="N348">
        <v>1.91</v>
      </c>
      <c r="O348">
        <v>2256</v>
      </c>
      <c r="P348">
        <v>0.63</v>
      </c>
      <c r="Q348">
        <v>318</v>
      </c>
      <c r="R348">
        <v>632</v>
      </c>
    </row>
    <row r="349" spans="1:18" hidden="1" x14ac:dyDescent="0.2">
      <c r="A349">
        <v>3</v>
      </c>
      <c r="B349" t="s">
        <v>100</v>
      </c>
      <c r="E349" t="s">
        <v>36</v>
      </c>
      <c r="F349">
        <v>2086468</v>
      </c>
      <c r="G349">
        <v>5</v>
      </c>
      <c r="H349">
        <v>1</v>
      </c>
      <c r="I349">
        <v>354</v>
      </c>
      <c r="J349">
        <v>2010</v>
      </c>
      <c r="K349" s="4">
        <v>45698</v>
      </c>
      <c r="L349" t="s">
        <v>30</v>
      </c>
      <c r="M349" t="s">
        <v>60</v>
      </c>
      <c r="N349">
        <v>3.39</v>
      </c>
      <c r="O349">
        <v>2416</v>
      </c>
      <c r="P349">
        <v>1.17</v>
      </c>
      <c r="Q349">
        <v>352</v>
      </c>
      <c r="R349">
        <v>608</v>
      </c>
    </row>
    <row r="350" spans="1:18" hidden="1" x14ac:dyDescent="0.2">
      <c r="A350">
        <v>0</v>
      </c>
      <c r="B350" t="s">
        <v>22</v>
      </c>
      <c r="E350" t="s">
        <v>51</v>
      </c>
      <c r="F350">
        <v>504028</v>
      </c>
      <c r="G350">
        <v>3</v>
      </c>
      <c r="H350">
        <v>2</v>
      </c>
      <c r="I350">
        <v>428</v>
      </c>
      <c r="J350">
        <v>1966</v>
      </c>
      <c r="K350" s="4">
        <v>45502</v>
      </c>
      <c r="L350" t="s">
        <v>30</v>
      </c>
      <c r="M350" t="s">
        <v>40</v>
      </c>
      <c r="N350">
        <v>3.05</v>
      </c>
      <c r="O350">
        <v>1813</v>
      </c>
      <c r="P350">
        <v>4.03</v>
      </c>
      <c r="Q350">
        <v>315</v>
      </c>
      <c r="R350">
        <v>489</v>
      </c>
    </row>
    <row r="351" spans="1:18" hidden="1" x14ac:dyDescent="0.2">
      <c r="A351">
        <v>4</v>
      </c>
      <c r="B351" t="s">
        <v>39</v>
      </c>
      <c r="E351" t="s">
        <v>29</v>
      </c>
      <c r="F351">
        <v>2040603</v>
      </c>
      <c r="G351">
        <v>5</v>
      </c>
      <c r="H351">
        <v>3</v>
      </c>
      <c r="I351">
        <v>687</v>
      </c>
      <c r="J351">
        <v>1983</v>
      </c>
      <c r="K351" s="4">
        <v>45155</v>
      </c>
      <c r="L351" t="s">
        <v>26</v>
      </c>
      <c r="M351" t="s">
        <v>89</v>
      </c>
      <c r="N351">
        <v>3.18</v>
      </c>
      <c r="O351">
        <v>834</v>
      </c>
      <c r="P351">
        <v>2.11</v>
      </c>
      <c r="Q351">
        <v>274</v>
      </c>
      <c r="R351">
        <v>620</v>
      </c>
    </row>
    <row r="352" spans="1:18" hidden="1" x14ac:dyDescent="0.2">
      <c r="A352">
        <v>4</v>
      </c>
      <c r="B352" t="s">
        <v>96</v>
      </c>
      <c r="E352" t="s">
        <v>51</v>
      </c>
      <c r="F352">
        <v>591253</v>
      </c>
      <c r="G352">
        <v>5</v>
      </c>
      <c r="H352">
        <v>1</v>
      </c>
      <c r="I352">
        <v>334</v>
      </c>
      <c r="J352">
        <v>1968</v>
      </c>
      <c r="K352" s="4">
        <v>44100</v>
      </c>
      <c r="L352" t="s">
        <v>20</v>
      </c>
      <c r="M352" t="s">
        <v>63</v>
      </c>
      <c r="N352">
        <v>1.75</v>
      </c>
      <c r="O352">
        <v>1571</v>
      </c>
      <c r="P352">
        <v>0.39</v>
      </c>
      <c r="Q352">
        <v>352</v>
      </c>
      <c r="R352">
        <v>393</v>
      </c>
    </row>
    <row r="353" spans="1:18" hidden="1" x14ac:dyDescent="0.2">
      <c r="A353">
        <v>4</v>
      </c>
      <c r="B353" t="s">
        <v>50</v>
      </c>
      <c r="E353" t="s">
        <v>51</v>
      </c>
      <c r="F353">
        <v>1273480</v>
      </c>
      <c r="G353">
        <v>3</v>
      </c>
      <c r="H353">
        <v>3</v>
      </c>
      <c r="I353">
        <v>318</v>
      </c>
      <c r="J353">
        <v>1954</v>
      </c>
      <c r="K353" s="4">
        <v>45404</v>
      </c>
      <c r="L353" t="s">
        <v>26</v>
      </c>
      <c r="M353" t="s">
        <v>42</v>
      </c>
      <c r="N353">
        <v>2.87</v>
      </c>
      <c r="O353">
        <v>2100</v>
      </c>
      <c r="P353">
        <v>0.15</v>
      </c>
      <c r="Q353">
        <v>261</v>
      </c>
      <c r="R353">
        <v>478</v>
      </c>
    </row>
    <row r="354" spans="1:18" hidden="1" x14ac:dyDescent="0.2">
      <c r="A354">
        <v>3</v>
      </c>
      <c r="B354" t="s">
        <v>41</v>
      </c>
      <c r="E354" t="s">
        <v>19</v>
      </c>
      <c r="F354">
        <v>663840</v>
      </c>
      <c r="G354">
        <v>6</v>
      </c>
      <c r="H354">
        <v>2</v>
      </c>
      <c r="I354">
        <v>614</v>
      </c>
      <c r="J354">
        <v>2007</v>
      </c>
      <c r="K354" s="4">
        <v>44901</v>
      </c>
      <c r="L354" t="s">
        <v>26</v>
      </c>
      <c r="M354" t="s">
        <v>89</v>
      </c>
      <c r="N354">
        <v>1.68</v>
      </c>
      <c r="O354">
        <v>1579</v>
      </c>
      <c r="P354">
        <v>4.21</v>
      </c>
      <c r="Q354">
        <v>390</v>
      </c>
      <c r="R354">
        <v>595</v>
      </c>
    </row>
    <row r="355" spans="1:18" hidden="1" x14ac:dyDescent="0.2">
      <c r="A355">
        <v>3</v>
      </c>
      <c r="B355" t="s">
        <v>99</v>
      </c>
      <c r="E355" t="s">
        <v>36</v>
      </c>
      <c r="F355">
        <v>2319876</v>
      </c>
      <c r="G355">
        <v>3</v>
      </c>
      <c r="H355">
        <v>2</v>
      </c>
      <c r="I355">
        <v>912</v>
      </c>
      <c r="J355">
        <v>1957</v>
      </c>
      <c r="K355" s="4">
        <v>45770</v>
      </c>
      <c r="L355" t="s">
        <v>30</v>
      </c>
      <c r="M355" t="s">
        <v>52</v>
      </c>
      <c r="N355">
        <v>2.16</v>
      </c>
      <c r="O355">
        <v>1709</v>
      </c>
      <c r="P355">
        <v>2.29</v>
      </c>
      <c r="Q355">
        <v>147</v>
      </c>
      <c r="R355">
        <v>510</v>
      </c>
    </row>
    <row r="356" spans="1:18" hidden="1" x14ac:dyDescent="0.2">
      <c r="A356">
        <v>6</v>
      </c>
      <c r="B356" t="s">
        <v>105</v>
      </c>
      <c r="E356" t="s">
        <v>19</v>
      </c>
      <c r="F356">
        <v>2102208</v>
      </c>
      <c r="G356">
        <v>1</v>
      </c>
      <c r="H356">
        <v>3</v>
      </c>
      <c r="I356">
        <v>980</v>
      </c>
      <c r="J356">
        <v>1981</v>
      </c>
      <c r="K356" s="4">
        <v>44750</v>
      </c>
      <c r="L356" t="s">
        <v>20</v>
      </c>
      <c r="M356" t="s">
        <v>97</v>
      </c>
      <c r="N356">
        <v>2.1</v>
      </c>
      <c r="O356">
        <v>1949</v>
      </c>
      <c r="P356">
        <v>2.4</v>
      </c>
      <c r="Q356">
        <v>141</v>
      </c>
      <c r="R356">
        <v>388</v>
      </c>
    </row>
    <row r="357" spans="1:18" hidden="1" x14ac:dyDescent="0.2">
      <c r="A357">
        <v>1</v>
      </c>
      <c r="B357" t="s">
        <v>99</v>
      </c>
      <c r="E357" t="s">
        <v>51</v>
      </c>
      <c r="F357">
        <v>2875715</v>
      </c>
      <c r="G357">
        <v>4</v>
      </c>
      <c r="H357">
        <v>3</v>
      </c>
      <c r="I357">
        <v>744</v>
      </c>
      <c r="J357">
        <v>1962</v>
      </c>
      <c r="K357" s="4">
        <v>45580</v>
      </c>
      <c r="L357" t="s">
        <v>23</v>
      </c>
      <c r="M357" t="s">
        <v>47</v>
      </c>
      <c r="N357">
        <v>1.86</v>
      </c>
      <c r="O357">
        <v>1703</v>
      </c>
      <c r="P357">
        <v>0.83</v>
      </c>
      <c r="Q357">
        <v>195</v>
      </c>
      <c r="R357">
        <v>300</v>
      </c>
    </row>
    <row r="358" spans="1:18" hidden="1" x14ac:dyDescent="0.2">
      <c r="A358">
        <v>5</v>
      </c>
      <c r="B358" t="s">
        <v>86</v>
      </c>
      <c r="E358" t="s">
        <v>51</v>
      </c>
      <c r="F358">
        <v>845349</v>
      </c>
      <c r="G358">
        <v>2</v>
      </c>
      <c r="H358">
        <v>3</v>
      </c>
      <c r="I358">
        <v>611</v>
      </c>
      <c r="J358">
        <v>2018</v>
      </c>
      <c r="K358" s="4">
        <v>44203</v>
      </c>
      <c r="L358" t="s">
        <v>26</v>
      </c>
      <c r="M358" t="s">
        <v>45</v>
      </c>
      <c r="N358">
        <v>2.52</v>
      </c>
      <c r="O358">
        <v>1100</v>
      </c>
      <c r="P358">
        <v>1.86</v>
      </c>
      <c r="Q358">
        <v>157</v>
      </c>
      <c r="R358">
        <v>313</v>
      </c>
    </row>
    <row r="359" spans="1:18" hidden="1" x14ac:dyDescent="0.2">
      <c r="A359">
        <v>5</v>
      </c>
      <c r="B359" t="s">
        <v>46</v>
      </c>
      <c r="E359" t="s">
        <v>29</v>
      </c>
      <c r="F359">
        <v>1764106</v>
      </c>
      <c r="G359">
        <v>5</v>
      </c>
      <c r="H359">
        <v>3</v>
      </c>
      <c r="I359">
        <v>74</v>
      </c>
      <c r="J359">
        <v>2015</v>
      </c>
      <c r="K359" s="4">
        <v>44430</v>
      </c>
      <c r="L359" t="s">
        <v>26</v>
      </c>
      <c r="M359" t="s">
        <v>52</v>
      </c>
      <c r="N359">
        <v>1.59</v>
      </c>
      <c r="O359">
        <v>1654</v>
      </c>
      <c r="P359">
        <v>4.7</v>
      </c>
      <c r="Q359">
        <v>246</v>
      </c>
      <c r="R359">
        <v>651</v>
      </c>
    </row>
    <row r="360" spans="1:18" hidden="1" x14ac:dyDescent="0.2">
      <c r="A360">
        <v>3</v>
      </c>
      <c r="B360" t="s">
        <v>43</v>
      </c>
      <c r="E360" t="s">
        <v>29</v>
      </c>
      <c r="F360">
        <v>830217</v>
      </c>
      <c r="G360">
        <v>2</v>
      </c>
      <c r="H360">
        <v>3</v>
      </c>
      <c r="I360">
        <v>247</v>
      </c>
      <c r="J360">
        <v>1981</v>
      </c>
      <c r="K360" s="4">
        <v>44560</v>
      </c>
      <c r="L360" t="s">
        <v>20</v>
      </c>
      <c r="M360" t="s">
        <v>42</v>
      </c>
      <c r="N360">
        <v>1.7</v>
      </c>
      <c r="O360">
        <v>2104</v>
      </c>
      <c r="P360">
        <v>0.28000000000000003</v>
      </c>
      <c r="Q360">
        <v>230</v>
      </c>
      <c r="R360">
        <v>645</v>
      </c>
    </row>
    <row r="361" spans="1:18" hidden="1" x14ac:dyDescent="0.2">
      <c r="A361">
        <v>7</v>
      </c>
      <c r="B361" t="s">
        <v>75</v>
      </c>
      <c r="E361" t="s">
        <v>36</v>
      </c>
      <c r="F361">
        <v>2462779</v>
      </c>
      <c r="G361">
        <v>4</v>
      </c>
      <c r="H361">
        <v>1</v>
      </c>
      <c r="I361">
        <v>264</v>
      </c>
      <c r="J361">
        <v>2004</v>
      </c>
      <c r="K361" s="4">
        <v>45655</v>
      </c>
      <c r="L361" t="s">
        <v>30</v>
      </c>
      <c r="M361" t="s">
        <v>27</v>
      </c>
      <c r="N361">
        <v>1.76</v>
      </c>
      <c r="O361">
        <v>1182</v>
      </c>
      <c r="P361">
        <v>4.12</v>
      </c>
      <c r="Q361">
        <v>206</v>
      </c>
      <c r="R361">
        <v>655</v>
      </c>
    </row>
    <row r="362" spans="1:18" hidden="1" x14ac:dyDescent="0.2">
      <c r="A362">
        <v>9</v>
      </c>
      <c r="B362" t="s">
        <v>94</v>
      </c>
      <c r="E362" t="s">
        <v>51</v>
      </c>
      <c r="F362">
        <v>2487235</v>
      </c>
      <c r="G362">
        <v>3</v>
      </c>
      <c r="H362">
        <v>1</v>
      </c>
      <c r="I362">
        <v>850</v>
      </c>
      <c r="J362">
        <v>1993</v>
      </c>
      <c r="K362" s="4">
        <v>44067</v>
      </c>
      <c r="L362" t="s">
        <v>20</v>
      </c>
      <c r="M362" t="s">
        <v>54</v>
      </c>
      <c r="N362">
        <v>3.45</v>
      </c>
      <c r="O362">
        <v>2189</v>
      </c>
      <c r="P362">
        <v>1.41</v>
      </c>
      <c r="Q362">
        <v>303</v>
      </c>
      <c r="R362">
        <v>696</v>
      </c>
    </row>
    <row r="363" spans="1:18" hidden="1" x14ac:dyDescent="0.2">
      <c r="A363">
        <v>0</v>
      </c>
      <c r="B363" t="s">
        <v>53</v>
      </c>
      <c r="E363" t="s">
        <v>51</v>
      </c>
      <c r="F363">
        <v>552632</v>
      </c>
      <c r="G363">
        <v>4</v>
      </c>
      <c r="H363">
        <v>2</v>
      </c>
      <c r="I363">
        <v>353</v>
      </c>
      <c r="J363">
        <v>2004</v>
      </c>
      <c r="K363" s="4">
        <v>44249</v>
      </c>
      <c r="L363" t="s">
        <v>23</v>
      </c>
      <c r="M363" t="s">
        <v>45</v>
      </c>
      <c r="N363">
        <v>3.38</v>
      </c>
      <c r="O363">
        <v>1866</v>
      </c>
      <c r="P363">
        <v>2.12</v>
      </c>
      <c r="Q363">
        <v>309</v>
      </c>
      <c r="R363">
        <v>482</v>
      </c>
    </row>
    <row r="364" spans="1:18" x14ac:dyDescent="0.2">
      <c r="A364">
        <v>8</v>
      </c>
      <c r="B364" t="s">
        <v>104</v>
      </c>
      <c r="E364" t="s">
        <v>36</v>
      </c>
      <c r="F364">
        <v>765646</v>
      </c>
      <c r="G364">
        <v>4</v>
      </c>
      <c r="H364">
        <v>2</v>
      </c>
      <c r="I364">
        <v>776</v>
      </c>
      <c r="J364">
        <v>1992</v>
      </c>
      <c r="K364" s="4">
        <v>45836</v>
      </c>
      <c r="L364" t="s">
        <v>30</v>
      </c>
      <c r="M364" t="s">
        <v>77</v>
      </c>
      <c r="N364">
        <v>2.76</v>
      </c>
      <c r="O364">
        <v>1733</v>
      </c>
      <c r="P364">
        <v>4.09</v>
      </c>
      <c r="Q364">
        <v>291</v>
      </c>
      <c r="R364">
        <v>309</v>
      </c>
    </row>
    <row r="365" spans="1:18" hidden="1" x14ac:dyDescent="0.2">
      <c r="A365">
        <v>1</v>
      </c>
      <c r="B365" t="s">
        <v>22</v>
      </c>
      <c r="E365" t="s">
        <v>51</v>
      </c>
      <c r="F365">
        <v>2412806</v>
      </c>
      <c r="G365">
        <v>1</v>
      </c>
      <c r="H365">
        <v>2</v>
      </c>
      <c r="I365">
        <v>182</v>
      </c>
      <c r="J365">
        <v>2022</v>
      </c>
      <c r="K365" s="4">
        <v>45710</v>
      </c>
      <c r="L365" t="s">
        <v>20</v>
      </c>
      <c r="M365" t="s">
        <v>35</v>
      </c>
      <c r="N365">
        <v>2.1800000000000002</v>
      </c>
      <c r="O365">
        <v>1704</v>
      </c>
      <c r="P365">
        <v>2.67</v>
      </c>
      <c r="Q365">
        <v>142</v>
      </c>
      <c r="R365">
        <v>526</v>
      </c>
    </row>
    <row r="366" spans="1:18" hidden="1" x14ac:dyDescent="0.2">
      <c r="A366">
        <v>5</v>
      </c>
      <c r="B366" t="s">
        <v>79</v>
      </c>
      <c r="E366" t="s">
        <v>29</v>
      </c>
      <c r="F366">
        <v>2576905</v>
      </c>
      <c r="G366">
        <v>3</v>
      </c>
      <c r="H366">
        <v>3</v>
      </c>
      <c r="I366">
        <v>131</v>
      </c>
      <c r="J366">
        <v>2002</v>
      </c>
      <c r="K366" s="4">
        <v>45322</v>
      </c>
      <c r="L366" t="s">
        <v>30</v>
      </c>
      <c r="M366" t="s">
        <v>27</v>
      </c>
      <c r="N366">
        <v>1.61</v>
      </c>
      <c r="O366">
        <v>1744</v>
      </c>
      <c r="P366">
        <v>3.92</v>
      </c>
      <c r="Q366">
        <v>92</v>
      </c>
      <c r="R366">
        <v>387</v>
      </c>
    </row>
    <row r="367" spans="1:18" hidden="1" x14ac:dyDescent="0.2">
      <c r="A367">
        <v>7</v>
      </c>
      <c r="B367" t="s">
        <v>96</v>
      </c>
      <c r="E367" t="s">
        <v>19</v>
      </c>
      <c r="F367">
        <v>1054420</v>
      </c>
      <c r="G367">
        <v>3</v>
      </c>
      <c r="H367">
        <v>1</v>
      </c>
      <c r="I367">
        <v>940</v>
      </c>
      <c r="J367">
        <v>1963</v>
      </c>
      <c r="K367" s="4">
        <v>45778</v>
      </c>
      <c r="L367" t="s">
        <v>30</v>
      </c>
      <c r="M367" t="s">
        <v>97</v>
      </c>
      <c r="N367">
        <v>2.11</v>
      </c>
      <c r="O367">
        <v>1664</v>
      </c>
      <c r="P367">
        <v>4.78</v>
      </c>
      <c r="Q367">
        <v>247</v>
      </c>
      <c r="R367">
        <v>365</v>
      </c>
    </row>
    <row r="368" spans="1:18" hidden="1" x14ac:dyDescent="0.2">
      <c r="A368">
        <v>7</v>
      </c>
      <c r="B368" t="s">
        <v>102</v>
      </c>
      <c r="E368" t="s">
        <v>19</v>
      </c>
      <c r="F368">
        <v>1706110</v>
      </c>
      <c r="G368">
        <v>1</v>
      </c>
      <c r="H368">
        <v>1</v>
      </c>
      <c r="I368">
        <v>581</v>
      </c>
      <c r="J368">
        <v>2009</v>
      </c>
      <c r="K368" s="4">
        <v>45011</v>
      </c>
      <c r="L368" t="s">
        <v>23</v>
      </c>
      <c r="M368" t="s">
        <v>77</v>
      </c>
      <c r="N368">
        <v>3.1</v>
      </c>
      <c r="O368">
        <v>1690</v>
      </c>
      <c r="P368">
        <v>3.27</v>
      </c>
      <c r="Q368">
        <v>51</v>
      </c>
      <c r="R368">
        <v>426</v>
      </c>
    </row>
    <row r="369" spans="1:18" hidden="1" x14ac:dyDescent="0.2">
      <c r="A369">
        <v>9</v>
      </c>
      <c r="B369" t="s">
        <v>92</v>
      </c>
      <c r="E369" t="s">
        <v>19</v>
      </c>
      <c r="F369">
        <v>1331114</v>
      </c>
      <c r="G369">
        <v>6</v>
      </c>
      <c r="H369">
        <v>3</v>
      </c>
      <c r="I369">
        <v>542</v>
      </c>
      <c r="J369">
        <v>1984</v>
      </c>
      <c r="K369" s="4">
        <v>44304</v>
      </c>
      <c r="L369" t="s">
        <v>26</v>
      </c>
      <c r="M369" t="s">
        <v>69</v>
      </c>
      <c r="N369">
        <v>2.2200000000000002</v>
      </c>
      <c r="O369">
        <v>2175</v>
      </c>
      <c r="P369">
        <v>3.57</v>
      </c>
      <c r="Q369">
        <v>330</v>
      </c>
      <c r="R369">
        <v>301</v>
      </c>
    </row>
    <row r="370" spans="1:18" hidden="1" x14ac:dyDescent="0.2">
      <c r="A370">
        <v>2</v>
      </c>
      <c r="B370" t="s">
        <v>72</v>
      </c>
      <c r="E370" t="s">
        <v>51</v>
      </c>
      <c r="F370">
        <v>1631409</v>
      </c>
      <c r="G370">
        <v>6</v>
      </c>
      <c r="H370">
        <v>3</v>
      </c>
      <c r="I370">
        <v>873</v>
      </c>
      <c r="J370">
        <v>1976</v>
      </c>
      <c r="K370" s="4">
        <v>44940</v>
      </c>
      <c r="L370" t="s">
        <v>23</v>
      </c>
      <c r="M370" t="s">
        <v>82</v>
      </c>
      <c r="N370">
        <v>1.75</v>
      </c>
      <c r="O370">
        <v>2191</v>
      </c>
      <c r="P370">
        <v>1.21</v>
      </c>
      <c r="Q370">
        <v>389</v>
      </c>
      <c r="R370">
        <v>335</v>
      </c>
    </row>
    <row r="371" spans="1:18" hidden="1" x14ac:dyDescent="0.2">
      <c r="A371">
        <v>2</v>
      </c>
      <c r="B371" t="s">
        <v>75</v>
      </c>
      <c r="E371" t="s">
        <v>51</v>
      </c>
      <c r="F371">
        <v>1734439</v>
      </c>
      <c r="G371">
        <v>2</v>
      </c>
      <c r="H371">
        <v>1</v>
      </c>
      <c r="I371">
        <v>793</v>
      </c>
      <c r="J371">
        <v>2010</v>
      </c>
      <c r="K371" s="4">
        <v>44293</v>
      </c>
      <c r="L371" t="s">
        <v>26</v>
      </c>
      <c r="M371" t="s">
        <v>40</v>
      </c>
      <c r="N371">
        <v>1.99</v>
      </c>
      <c r="O371">
        <v>862</v>
      </c>
      <c r="P371">
        <v>0.6</v>
      </c>
      <c r="Q371">
        <v>181</v>
      </c>
      <c r="R371">
        <v>319</v>
      </c>
    </row>
    <row r="372" spans="1:18" hidden="1" x14ac:dyDescent="0.2">
      <c r="A372">
        <v>9</v>
      </c>
      <c r="B372" t="s">
        <v>79</v>
      </c>
      <c r="E372" t="s">
        <v>19</v>
      </c>
      <c r="F372">
        <v>2488945</v>
      </c>
      <c r="G372">
        <v>4</v>
      </c>
      <c r="H372">
        <v>2</v>
      </c>
      <c r="I372">
        <v>340</v>
      </c>
      <c r="J372">
        <v>2018</v>
      </c>
      <c r="K372" s="4">
        <v>44508</v>
      </c>
      <c r="L372" t="s">
        <v>26</v>
      </c>
      <c r="M372" t="s">
        <v>21</v>
      </c>
      <c r="N372">
        <v>1.91</v>
      </c>
      <c r="O372">
        <v>891</v>
      </c>
      <c r="P372">
        <v>4.29</v>
      </c>
      <c r="Q372">
        <v>245</v>
      </c>
      <c r="R372">
        <v>428</v>
      </c>
    </row>
    <row r="373" spans="1:18" hidden="1" x14ac:dyDescent="0.2">
      <c r="A373">
        <v>2</v>
      </c>
      <c r="B373" t="s">
        <v>53</v>
      </c>
      <c r="E373" t="s">
        <v>51</v>
      </c>
      <c r="F373">
        <v>2246543</v>
      </c>
      <c r="G373">
        <v>1</v>
      </c>
      <c r="H373">
        <v>3</v>
      </c>
      <c r="I373">
        <v>536</v>
      </c>
      <c r="J373">
        <v>1969</v>
      </c>
      <c r="K373" s="4">
        <v>45884</v>
      </c>
      <c r="L373" t="s">
        <v>30</v>
      </c>
      <c r="M373" t="s">
        <v>97</v>
      </c>
      <c r="N373">
        <v>1.84</v>
      </c>
      <c r="O373">
        <v>2219</v>
      </c>
      <c r="P373">
        <v>0.5</v>
      </c>
      <c r="Q373">
        <v>83</v>
      </c>
      <c r="R373">
        <v>592</v>
      </c>
    </row>
    <row r="374" spans="1:18" hidden="1" x14ac:dyDescent="0.2">
      <c r="A374">
        <v>0</v>
      </c>
      <c r="B374" t="s">
        <v>32</v>
      </c>
      <c r="E374" t="s">
        <v>51</v>
      </c>
      <c r="F374">
        <v>1021565</v>
      </c>
      <c r="G374">
        <v>3</v>
      </c>
      <c r="H374">
        <v>1</v>
      </c>
      <c r="I374">
        <v>796</v>
      </c>
      <c r="J374">
        <v>1956</v>
      </c>
      <c r="K374" s="4">
        <v>44392</v>
      </c>
      <c r="L374" t="s">
        <v>23</v>
      </c>
      <c r="M374" t="s">
        <v>78</v>
      </c>
      <c r="N374">
        <v>2.13</v>
      </c>
      <c r="O374">
        <v>1472</v>
      </c>
      <c r="P374">
        <v>3.84</v>
      </c>
      <c r="Q374">
        <v>181</v>
      </c>
      <c r="R374">
        <v>462</v>
      </c>
    </row>
    <row r="375" spans="1:18" hidden="1" x14ac:dyDescent="0.2">
      <c r="A375">
        <v>7</v>
      </c>
      <c r="B375" t="s">
        <v>41</v>
      </c>
      <c r="E375" t="s">
        <v>51</v>
      </c>
      <c r="F375">
        <v>1698479</v>
      </c>
      <c r="G375">
        <v>2</v>
      </c>
      <c r="H375">
        <v>2</v>
      </c>
      <c r="I375">
        <v>901</v>
      </c>
      <c r="J375">
        <v>2005</v>
      </c>
      <c r="K375" s="4">
        <v>45845</v>
      </c>
      <c r="L375" t="s">
        <v>23</v>
      </c>
      <c r="M375" t="s">
        <v>58</v>
      </c>
      <c r="N375">
        <v>1.51</v>
      </c>
      <c r="O375">
        <v>1999</v>
      </c>
      <c r="P375">
        <v>3.76</v>
      </c>
      <c r="Q375">
        <v>116</v>
      </c>
      <c r="R375">
        <v>619</v>
      </c>
    </row>
    <row r="376" spans="1:18" hidden="1" x14ac:dyDescent="0.2">
      <c r="A376">
        <v>9</v>
      </c>
      <c r="B376" t="s">
        <v>81</v>
      </c>
      <c r="E376" t="s">
        <v>29</v>
      </c>
      <c r="F376">
        <v>1060663</v>
      </c>
      <c r="G376">
        <v>2</v>
      </c>
      <c r="H376">
        <v>1</v>
      </c>
      <c r="I376">
        <v>512</v>
      </c>
      <c r="J376">
        <v>1971</v>
      </c>
      <c r="K376" s="4">
        <v>45059</v>
      </c>
      <c r="L376" t="s">
        <v>23</v>
      </c>
      <c r="M376" t="s">
        <v>58</v>
      </c>
      <c r="N376">
        <v>1.84</v>
      </c>
      <c r="O376">
        <v>848</v>
      </c>
      <c r="P376">
        <v>3.08</v>
      </c>
      <c r="Q376">
        <v>132</v>
      </c>
      <c r="R376">
        <v>687</v>
      </c>
    </row>
    <row r="377" spans="1:18" hidden="1" x14ac:dyDescent="0.2">
      <c r="A377">
        <v>9</v>
      </c>
      <c r="B377" t="s">
        <v>98</v>
      </c>
      <c r="E377" t="s">
        <v>29</v>
      </c>
      <c r="F377">
        <v>1875342</v>
      </c>
      <c r="G377">
        <v>3</v>
      </c>
      <c r="H377">
        <v>1</v>
      </c>
      <c r="I377">
        <v>262</v>
      </c>
      <c r="J377">
        <v>2017</v>
      </c>
      <c r="K377" s="4">
        <v>45451</v>
      </c>
      <c r="L377" t="s">
        <v>30</v>
      </c>
      <c r="M377" t="s">
        <v>60</v>
      </c>
      <c r="N377">
        <v>2</v>
      </c>
      <c r="O377">
        <v>1658</v>
      </c>
      <c r="P377">
        <v>3.17</v>
      </c>
      <c r="Q377">
        <v>234</v>
      </c>
      <c r="R377">
        <v>387</v>
      </c>
    </row>
    <row r="378" spans="1:18" hidden="1" x14ac:dyDescent="0.2">
      <c r="A378">
        <v>0</v>
      </c>
      <c r="B378" t="s">
        <v>61</v>
      </c>
      <c r="E378" t="s">
        <v>19</v>
      </c>
      <c r="F378">
        <v>2731401</v>
      </c>
      <c r="G378">
        <v>1</v>
      </c>
      <c r="H378">
        <v>3</v>
      </c>
      <c r="I378">
        <v>178</v>
      </c>
      <c r="J378">
        <v>1959</v>
      </c>
      <c r="K378" s="4">
        <v>44227</v>
      </c>
      <c r="L378" t="s">
        <v>30</v>
      </c>
      <c r="M378" t="s">
        <v>68</v>
      </c>
      <c r="N378">
        <v>2.9</v>
      </c>
      <c r="O378">
        <v>1874</v>
      </c>
      <c r="P378">
        <v>2.9</v>
      </c>
      <c r="Q378">
        <v>83</v>
      </c>
      <c r="R378">
        <v>676</v>
      </c>
    </row>
    <row r="379" spans="1:18" hidden="1" x14ac:dyDescent="0.2">
      <c r="A379">
        <v>1</v>
      </c>
      <c r="B379" t="s">
        <v>75</v>
      </c>
      <c r="E379" t="s">
        <v>19</v>
      </c>
      <c r="F379">
        <v>1742431</v>
      </c>
      <c r="G379">
        <v>5</v>
      </c>
      <c r="H379">
        <v>2</v>
      </c>
      <c r="I379">
        <v>535</v>
      </c>
      <c r="J379">
        <v>1955</v>
      </c>
      <c r="K379" s="4">
        <v>44619</v>
      </c>
      <c r="L379" t="s">
        <v>30</v>
      </c>
      <c r="M379" t="s">
        <v>89</v>
      </c>
      <c r="N379">
        <v>2.56</v>
      </c>
      <c r="O379">
        <v>1070</v>
      </c>
      <c r="P379">
        <v>0.68</v>
      </c>
      <c r="Q379">
        <v>290</v>
      </c>
      <c r="R379">
        <v>301</v>
      </c>
    </row>
    <row r="380" spans="1:18" hidden="1" x14ac:dyDescent="0.2">
      <c r="A380">
        <v>2</v>
      </c>
      <c r="B380" t="s">
        <v>65</v>
      </c>
      <c r="E380" t="s">
        <v>19</v>
      </c>
      <c r="F380">
        <v>1443977</v>
      </c>
      <c r="G380">
        <v>6</v>
      </c>
      <c r="H380">
        <v>1</v>
      </c>
      <c r="I380">
        <v>712</v>
      </c>
      <c r="J380">
        <v>1964</v>
      </c>
      <c r="K380" s="4">
        <v>45772</v>
      </c>
      <c r="L380" t="s">
        <v>30</v>
      </c>
      <c r="M380" t="s">
        <v>37</v>
      </c>
      <c r="N380">
        <v>1.88</v>
      </c>
      <c r="O380">
        <v>2155</v>
      </c>
      <c r="P380">
        <v>3.2</v>
      </c>
      <c r="Q380">
        <v>371</v>
      </c>
      <c r="R380">
        <v>599</v>
      </c>
    </row>
    <row r="381" spans="1:18" hidden="1" x14ac:dyDescent="0.2">
      <c r="A381">
        <v>2</v>
      </c>
      <c r="B381" t="s">
        <v>64</v>
      </c>
      <c r="E381" t="s">
        <v>51</v>
      </c>
      <c r="F381">
        <v>593088</v>
      </c>
      <c r="G381">
        <v>2</v>
      </c>
      <c r="H381">
        <v>1</v>
      </c>
      <c r="I381">
        <v>652</v>
      </c>
      <c r="J381">
        <v>1973</v>
      </c>
      <c r="K381" s="4">
        <v>45411</v>
      </c>
      <c r="L381" t="s">
        <v>30</v>
      </c>
      <c r="M381" t="s">
        <v>68</v>
      </c>
      <c r="N381">
        <v>2.0699999999999998</v>
      </c>
      <c r="O381">
        <v>1850</v>
      </c>
      <c r="P381">
        <v>3.88</v>
      </c>
      <c r="Q381">
        <v>166</v>
      </c>
      <c r="R381">
        <v>405</v>
      </c>
    </row>
    <row r="382" spans="1:18" hidden="1" x14ac:dyDescent="0.2">
      <c r="A382">
        <v>5</v>
      </c>
      <c r="B382" t="s">
        <v>38</v>
      </c>
      <c r="E382" t="s">
        <v>29</v>
      </c>
      <c r="F382">
        <v>675998</v>
      </c>
      <c r="G382">
        <v>6</v>
      </c>
      <c r="H382">
        <v>3</v>
      </c>
      <c r="I382">
        <v>396</v>
      </c>
      <c r="J382">
        <v>2017</v>
      </c>
      <c r="K382" s="4">
        <v>45855</v>
      </c>
      <c r="L382" t="s">
        <v>26</v>
      </c>
      <c r="M382" t="s">
        <v>33</v>
      </c>
      <c r="N382">
        <v>2.2200000000000002</v>
      </c>
      <c r="O382">
        <v>2285</v>
      </c>
      <c r="P382">
        <v>2.4500000000000002</v>
      </c>
      <c r="Q382">
        <v>389</v>
      </c>
      <c r="R382">
        <v>512</v>
      </c>
    </row>
    <row r="383" spans="1:18" hidden="1" x14ac:dyDescent="0.2">
      <c r="A383">
        <v>1</v>
      </c>
      <c r="B383" t="s">
        <v>94</v>
      </c>
      <c r="E383" t="s">
        <v>51</v>
      </c>
      <c r="F383">
        <v>1743784</v>
      </c>
      <c r="G383">
        <v>3</v>
      </c>
      <c r="H383">
        <v>3</v>
      </c>
      <c r="I383">
        <v>380</v>
      </c>
      <c r="J383">
        <v>2007</v>
      </c>
      <c r="K383" s="4">
        <v>44351</v>
      </c>
      <c r="L383" t="s">
        <v>23</v>
      </c>
      <c r="M383" t="s">
        <v>85</v>
      </c>
      <c r="N383">
        <v>2.56</v>
      </c>
      <c r="O383">
        <v>1826</v>
      </c>
      <c r="P383">
        <v>4.0199999999999996</v>
      </c>
      <c r="Q383">
        <v>185</v>
      </c>
      <c r="R383">
        <v>370</v>
      </c>
    </row>
    <row r="384" spans="1:18" hidden="1" x14ac:dyDescent="0.2">
      <c r="A384">
        <v>7</v>
      </c>
      <c r="B384" t="s">
        <v>22</v>
      </c>
      <c r="E384" t="s">
        <v>29</v>
      </c>
      <c r="F384">
        <v>1936053</v>
      </c>
      <c r="G384">
        <v>4</v>
      </c>
      <c r="H384">
        <v>1</v>
      </c>
      <c r="I384">
        <v>396</v>
      </c>
      <c r="J384">
        <v>1958</v>
      </c>
      <c r="K384" s="4">
        <v>45305</v>
      </c>
      <c r="L384" t="s">
        <v>20</v>
      </c>
      <c r="M384" t="s">
        <v>78</v>
      </c>
      <c r="N384">
        <v>2.99</v>
      </c>
      <c r="O384">
        <v>2467</v>
      </c>
      <c r="P384">
        <v>1.99</v>
      </c>
      <c r="Q384">
        <v>320</v>
      </c>
      <c r="R384">
        <v>604</v>
      </c>
    </row>
    <row r="385" spans="1:18" hidden="1" x14ac:dyDescent="0.2">
      <c r="A385">
        <v>4</v>
      </c>
      <c r="B385" t="s">
        <v>93</v>
      </c>
      <c r="E385" t="s">
        <v>51</v>
      </c>
      <c r="F385">
        <v>894240</v>
      </c>
      <c r="G385">
        <v>2</v>
      </c>
      <c r="H385">
        <v>2</v>
      </c>
      <c r="I385">
        <v>146</v>
      </c>
      <c r="J385">
        <v>1964</v>
      </c>
      <c r="K385" s="4">
        <v>44126</v>
      </c>
      <c r="L385" t="s">
        <v>26</v>
      </c>
      <c r="M385" t="s">
        <v>45</v>
      </c>
      <c r="N385">
        <v>1.92</v>
      </c>
      <c r="O385">
        <v>2436</v>
      </c>
      <c r="P385">
        <v>0.12</v>
      </c>
      <c r="Q385">
        <v>83</v>
      </c>
      <c r="R385">
        <v>431</v>
      </c>
    </row>
    <row r="386" spans="1:18" hidden="1" x14ac:dyDescent="0.2">
      <c r="A386">
        <v>6</v>
      </c>
      <c r="B386" t="s">
        <v>91</v>
      </c>
      <c r="E386" t="s">
        <v>29</v>
      </c>
      <c r="F386">
        <v>1670656</v>
      </c>
      <c r="G386">
        <v>1</v>
      </c>
      <c r="H386">
        <v>2</v>
      </c>
      <c r="I386">
        <v>542</v>
      </c>
      <c r="J386">
        <v>1981</v>
      </c>
      <c r="K386" s="4">
        <v>44354</v>
      </c>
      <c r="L386" t="s">
        <v>20</v>
      </c>
      <c r="M386" t="s">
        <v>42</v>
      </c>
      <c r="N386">
        <v>3.09</v>
      </c>
      <c r="O386">
        <v>2062</v>
      </c>
      <c r="P386">
        <v>3.17</v>
      </c>
      <c r="Q386">
        <v>134</v>
      </c>
      <c r="R386">
        <v>478</v>
      </c>
    </row>
    <row r="387" spans="1:18" hidden="1" x14ac:dyDescent="0.2">
      <c r="A387">
        <v>5</v>
      </c>
      <c r="B387" t="s">
        <v>49</v>
      </c>
      <c r="E387" t="s">
        <v>36</v>
      </c>
      <c r="F387">
        <v>668018</v>
      </c>
      <c r="G387">
        <v>4</v>
      </c>
      <c r="H387">
        <v>3</v>
      </c>
      <c r="I387">
        <v>527</v>
      </c>
      <c r="J387">
        <v>1970</v>
      </c>
      <c r="K387" s="4">
        <v>45128</v>
      </c>
      <c r="L387" t="s">
        <v>26</v>
      </c>
      <c r="M387" t="s">
        <v>66</v>
      </c>
      <c r="N387">
        <v>1.75</v>
      </c>
      <c r="O387">
        <v>1018</v>
      </c>
      <c r="P387">
        <v>4.66</v>
      </c>
      <c r="Q387">
        <v>342</v>
      </c>
      <c r="R387">
        <v>385</v>
      </c>
    </row>
    <row r="388" spans="1:18" hidden="1" x14ac:dyDescent="0.2">
      <c r="A388">
        <v>5</v>
      </c>
      <c r="B388" t="s">
        <v>32</v>
      </c>
      <c r="E388" t="s">
        <v>103</v>
      </c>
      <c r="F388">
        <v>2215007</v>
      </c>
      <c r="G388">
        <v>0</v>
      </c>
      <c r="H388">
        <v>1</v>
      </c>
      <c r="I388">
        <v>437</v>
      </c>
      <c r="J388">
        <v>1971</v>
      </c>
      <c r="K388" s="4">
        <v>44146</v>
      </c>
      <c r="L388" t="s">
        <v>30</v>
      </c>
      <c r="M388" t="s">
        <v>35</v>
      </c>
      <c r="N388">
        <v>1.94</v>
      </c>
      <c r="O388">
        <v>2287</v>
      </c>
      <c r="P388">
        <v>3.05</v>
      </c>
      <c r="Q388">
        <v>60</v>
      </c>
      <c r="R388">
        <v>660</v>
      </c>
    </row>
    <row r="389" spans="1:18" hidden="1" x14ac:dyDescent="0.2">
      <c r="A389">
        <v>2</v>
      </c>
      <c r="B389" t="s">
        <v>79</v>
      </c>
      <c r="E389" t="s">
        <v>29</v>
      </c>
      <c r="F389">
        <v>1237530</v>
      </c>
      <c r="G389">
        <v>5</v>
      </c>
      <c r="H389">
        <v>1</v>
      </c>
      <c r="I389">
        <v>65</v>
      </c>
      <c r="J389">
        <v>1996</v>
      </c>
      <c r="K389" s="4">
        <v>45469</v>
      </c>
      <c r="L389" t="s">
        <v>23</v>
      </c>
      <c r="M389" t="s">
        <v>82</v>
      </c>
      <c r="N389">
        <v>1.96</v>
      </c>
      <c r="O389">
        <v>1531</v>
      </c>
      <c r="P389">
        <v>1.1599999999999999</v>
      </c>
      <c r="Q389">
        <v>319</v>
      </c>
      <c r="R389">
        <v>672</v>
      </c>
    </row>
    <row r="390" spans="1:18" hidden="1" x14ac:dyDescent="0.2">
      <c r="A390">
        <v>1</v>
      </c>
      <c r="B390" t="s">
        <v>95</v>
      </c>
      <c r="E390" t="s">
        <v>36</v>
      </c>
      <c r="F390">
        <v>2690265</v>
      </c>
      <c r="G390">
        <v>3</v>
      </c>
      <c r="H390">
        <v>2</v>
      </c>
      <c r="I390">
        <v>214</v>
      </c>
      <c r="J390">
        <v>1966</v>
      </c>
      <c r="K390" s="4">
        <v>44578</v>
      </c>
      <c r="L390" t="s">
        <v>23</v>
      </c>
      <c r="M390" t="s">
        <v>24</v>
      </c>
      <c r="N390">
        <v>3.11</v>
      </c>
      <c r="O390">
        <v>2178</v>
      </c>
      <c r="P390">
        <v>0.9</v>
      </c>
      <c r="Q390">
        <v>195</v>
      </c>
      <c r="R390">
        <v>532</v>
      </c>
    </row>
    <row r="391" spans="1:18" hidden="1" x14ac:dyDescent="0.2">
      <c r="A391">
        <v>2</v>
      </c>
      <c r="B391" t="s">
        <v>92</v>
      </c>
      <c r="E391" t="s">
        <v>51</v>
      </c>
      <c r="F391">
        <v>806896</v>
      </c>
      <c r="G391">
        <v>1</v>
      </c>
      <c r="H391">
        <v>2</v>
      </c>
      <c r="I391">
        <v>366</v>
      </c>
      <c r="J391">
        <v>1969</v>
      </c>
      <c r="K391" s="4">
        <v>44743</v>
      </c>
      <c r="L391" t="s">
        <v>26</v>
      </c>
      <c r="M391" t="s">
        <v>54</v>
      </c>
      <c r="N391">
        <v>3.2</v>
      </c>
      <c r="O391">
        <v>1528</v>
      </c>
      <c r="P391">
        <v>4.63</v>
      </c>
      <c r="Q391">
        <v>82</v>
      </c>
      <c r="R391">
        <v>609</v>
      </c>
    </row>
    <row r="392" spans="1:18" hidden="1" x14ac:dyDescent="0.2">
      <c r="A392">
        <v>1</v>
      </c>
      <c r="B392" t="s">
        <v>32</v>
      </c>
      <c r="E392" t="s">
        <v>36</v>
      </c>
      <c r="F392">
        <v>2525698</v>
      </c>
      <c r="G392">
        <v>3</v>
      </c>
      <c r="H392">
        <v>2</v>
      </c>
      <c r="I392">
        <v>656</v>
      </c>
      <c r="J392">
        <v>1969</v>
      </c>
      <c r="K392" s="4">
        <v>45499</v>
      </c>
      <c r="L392" t="s">
        <v>30</v>
      </c>
      <c r="M392" t="s">
        <v>58</v>
      </c>
      <c r="N392">
        <v>3.46</v>
      </c>
      <c r="O392">
        <v>1147</v>
      </c>
      <c r="P392">
        <v>0.31</v>
      </c>
      <c r="Q392">
        <v>215</v>
      </c>
      <c r="R392">
        <v>392</v>
      </c>
    </row>
    <row r="393" spans="1:18" hidden="1" x14ac:dyDescent="0.2">
      <c r="A393">
        <v>3</v>
      </c>
      <c r="B393" t="s">
        <v>95</v>
      </c>
      <c r="E393" t="s">
        <v>36</v>
      </c>
      <c r="F393">
        <v>2854342</v>
      </c>
      <c r="G393">
        <v>4</v>
      </c>
      <c r="H393">
        <v>2</v>
      </c>
      <c r="I393">
        <v>282</v>
      </c>
      <c r="J393">
        <v>1994</v>
      </c>
      <c r="K393" s="4">
        <v>45010</v>
      </c>
      <c r="L393" t="s">
        <v>20</v>
      </c>
      <c r="M393" t="s">
        <v>59</v>
      </c>
      <c r="N393">
        <v>2.08</v>
      </c>
      <c r="O393">
        <v>1189</v>
      </c>
      <c r="P393">
        <v>4.8499999999999996</v>
      </c>
      <c r="Q393">
        <v>189</v>
      </c>
      <c r="R393">
        <v>665</v>
      </c>
    </row>
    <row r="394" spans="1:18" hidden="1" x14ac:dyDescent="0.2">
      <c r="A394">
        <v>4</v>
      </c>
      <c r="B394" t="s">
        <v>65</v>
      </c>
      <c r="E394" t="s">
        <v>36</v>
      </c>
      <c r="F394">
        <v>823817</v>
      </c>
      <c r="G394">
        <v>4</v>
      </c>
      <c r="H394">
        <v>2</v>
      </c>
      <c r="I394">
        <v>663</v>
      </c>
      <c r="J394">
        <v>2002</v>
      </c>
      <c r="K394" s="4">
        <v>44500</v>
      </c>
      <c r="L394" t="s">
        <v>30</v>
      </c>
      <c r="M394" t="s">
        <v>77</v>
      </c>
      <c r="N394">
        <v>2.7</v>
      </c>
      <c r="O394">
        <v>1627</v>
      </c>
      <c r="P394">
        <v>4.2300000000000004</v>
      </c>
      <c r="Q394">
        <v>248</v>
      </c>
      <c r="R394">
        <v>532</v>
      </c>
    </row>
    <row r="395" spans="1:18" hidden="1" x14ac:dyDescent="0.2">
      <c r="A395">
        <v>1</v>
      </c>
      <c r="B395" t="s">
        <v>71</v>
      </c>
      <c r="E395" t="s">
        <v>19</v>
      </c>
      <c r="F395">
        <v>2649840</v>
      </c>
      <c r="G395">
        <v>2</v>
      </c>
      <c r="H395">
        <v>3</v>
      </c>
      <c r="I395">
        <v>581</v>
      </c>
      <c r="J395">
        <v>2000</v>
      </c>
      <c r="K395" s="4">
        <v>44446</v>
      </c>
      <c r="L395" t="s">
        <v>30</v>
      </c>
      <c r="M395" t="s">
        <v>89</v>
      </c>
      <c r="N395">
        <v>2.7</v>
      </c>
      <c r="O395">
        <v>1796</v>
      </c>
      <c r="P395">
        <v>3.62</v>
      </c>
      <c r="Q395">
        <v>67</v>
      </c>
      <c r="R395">
        <v>360</v>
      </c>
    </row>
    <row r="396" spans="1:18" hidden="1" x14ac:dyDescent="0.2">
      <c r="A396">
        <v>3</v>
      </c>
      <c r="B396" t="s">
        <v>81</v>
      </c>
      <c r="E396" t="s">
        <v>19</v>
      </c>
      <c r="F396">
        <v>2654387</v>
      </c>
      <c r="G396">
        <v>0</v>
      </c>
      <c r="H396">
        <v>1</v>
      </c>
      <c r="I396">
        <v>763</v>
      </c>
      <c r="J396">
        <v>1990</v>
      </c>
      <c r="K396" s="4">
        <v>45585</v>
      </c>
      <c r="L396" t="s">
        <v>23</v>
      </c>
      <c r="M396" t="s">
        <v>68</v>
      </c>
      <c r="N396">
        <v>2.42</v>
      </c>
      <c r="O396">
        <v>1602</v>
      </c>
      <c r="P396">
        <v>0.12</v>
      </c>
      <c r="Q396">
        <v>40</v>
      </c>
      <c r="R396">
        <v>469</v>
      </c>
    </row>
    <row r="397" spans="1:18" hidden="1" x14ac:dyDescent="0.2">
      <c r="A397">
        <v>7</v>
      </c>
      <c r="B397" t="s">
        <v>43</v>
      </c>
      <c r="E397" t="s">
        <v>51</v>
      </c>
      <c r="F397">
        <v>2972240</v>
      </c>
      <c r="G397">
        <v>4</v>
      </c>
      <c r="H397">
        <v>1</v>
      </c>
      <c r="I397">
        <v>944</v>
      </c>
      <c r="J397">
        <v>2000</v>
      </c>
      <c r="K397" s="4">
        <v>45452</v>
      </c>
      <c r="L397" t="s">
        <v>20</v>
      </c>
      <c r="M397" t="s">
        <v>76</v>
      </c>
      <c r="N397">
        <v>2.94</v>
      </c>
      <c r="O397">
        <v>1489</v>
      </c>
      <c r="P397">
        <v>2.66</v>
      </c>
      <c r="Q397">
        <v>244</v>
      </c>
      <c r="R397">
        <v>638</v>
      </c>
    </row>
    <row r="398" spans="1:18" hidden="1" x14ac:dyDescent="0.2">
      <c r="A398">
        <v>2</v>
      </c>
      <c r="B398" t="s">
        <v>44</v>
      </c>
      <c r="E398" t="s">
        <v>19</v>
      </c>
      <c r="F398">
        <v>1937005</v>
      </c>
      <c r="G398">
        <v>1</v>
      </c>
      <c r="H398">
        <v>1</v>
      </c>
      <c r="I398">
        <v>770</v>
      </c>
      <c r="J398">
        <v>1961</v>
      </c>
      <c r="K398" s="4">
        <v>45326</v>
      </c>
      <c r="L398" t="s">
        <v>26</v>
      </c>
      <c r="M398" t="s">
        <v>97</v>
      </c>
      <c r="N398">
        <v>2.78</v>
      </c>
      <c r="O398">
        <v>2120</v>
      </c>
      <c r="P398">
        <v>1.34</v>
      </c>
      <c r="Q398">
        <v>84</v>
      </c>
      <c r="R398">
        <v>506</v>
      </c>
    </row>
    <row r="399" spans="1:18" hidden="1" x14ac:dyDescent="0.2">
      <c r="A399">
        <v>4</v>
      </c>
      <c r="B399" t="s">
        <v>83</v>
      </c>
      <c r="E399" t="s">
        <v>29</v>
      </c>
      <c r="F399">
        <v>2508612</v>
      </c>
      <c r="G399">
        <v>1</v>
      </c>
      <c r="H399">
        <v>3</v>
      </c>
      <c r="I399">
        <v>69</v>
      </c>
      <c r="J399">
        <v>1989</v>
      </c>
      <c r="K399" s="4">
        <v>44691</v>
      </c>
      <c r="L399" t="s">
        <v>30</v>
      </c>
      <c r="M399" t="s">
        <v>24</v>
      </c>
      <c r="N399">
        <v>3.43</v>
      </c>
      <c r="O399">
        <v>2332</v>
      </c>
      <c r="P399">
        <v>3.67</v>
      </c>
      <c r="Q399">
        <v>50</v>
      </c>
      <c r="R399">
        <v>564</v>
      </c>
    </row>
    <row r="400" spans="1:18" hidden="1" x14ac:dyDescent="0.2">
      <c r="A400">
        <v>4</v>
      </c>
      <c r="B400" t="s">
        <v>87</v>
      </c>
      <c r="E400" t="s">
        <v>29</v>
      </c>
      <c r="F400">
        <v>2419234</v>
      </c>
      <c r="G400">
        <v>3</v>
      </c>
      <c r="H400">
        <v>2</v>
      </c>
      <c r="I400">
        <v>326</v>
      </c>
      <c r="J400">
        <v>1952</v>
      </c>
      <c r="K400" s="4">
        <v>44536</v>
      </c>
      <c r="L400" t="s">
        <v>20</v>
      </c>
      <c r="M400" t="s">
        <v>33</v>
      </c>
      <c r="N400">
        <v>1.54</v>
      </c>
      <c r="O400">
        <v>2305</v>
      </c>
      <c r="P400">
        <v>3.9</v>
      </c>
      <c r="Q400">
        <v>128</v>
      </c>
      <c r="R400">
        <v>698</v>
      </c>
    </row>
    <row r="401" spans="1:18" hidden="1" x14ac:dyDescent="0.2">
      <c r="A401">
        <v>7</v>
      </c>
      <c r="B401" t="s">
        <v>94</v>
      </c>
      <c r="E401" t="s">
        <v>51</v>
      </c>
      <c r="F401">
        <v>823952</v>
      </c>
      <c r="G401">
        <v>2</v>
      </c>
      <c r="H401">
        <v>2</v>
      </c>
      <c r="I401">
        <v>184</v>
      </c>
      <c r="J401">
        <v>2003</v>
      </c>
      <c r="K401" s="4">
        <v>44375</v>
      </c>
      <c r="L401" t="s">
        <v>30</v>
      </c>
      <c r="M401" t="s">
        <v>74</v>
      </c>
      <c r="N401">
        <v>3.12</v>
      </c>
      <c r="O401">
        <v>2146</v>
      </c>
      <c r="P401">
        <v>4.09</v>
      </c>
      <c r="Q401">
        <v>181</v>
      </c>
      <c r="R401">
        <v>603</v>
      </c>
    </row>
    <row r="402" spans="1:18" x14ac:dyDescent="0.2">
      <c r="A402">
        <v>8</v>
      </c>
      <c r="B402" t="s">
        <v>49</v>
      </c>
      <c r="E402" t="s">
        <v>19</v>
      </c>
      <c r="F402">
        <v>533729</v>
      </c>
      <c r="G402">
        <v>5</v>
      </c>
      <c r="H402">
        <v>2</v>
      </c>
      <c r="I402">
        <v>472</v>
      </c>
      <c r="J402">
        <v>2013</v>
      </c>
      <c r="K402" s="4">
        <v>45666</v>
      </c>
      <c r="L402" t="s">
        <v>20</v>
      </c>
      <c r="M402" t="s">
        <v>21</v>
      </c>
      <c r="N402">
        <v>1.91</v>
      </c>
      <c r="O402">
        <v>1523</v>
      </c>
      <c r="P402">
        <v>0.12</v>
      </c>
      <c r="Q402">
        <v>396</v>
      </c>
      <c r="R402">
        <v>496</v>
      </c>
    </row>
    <row r="403" spans="1:18" hidden="1" x14ac:dyDescent="0.2">
      <c r="A403">
        <v>4</v>
      </c>
      <c r="B403" t="s">
        <v>96</v>
      </c>
      <c r="E403" t="s">
        <v>51</v>
      </c>
      <c r="F403">
        <v>2870727</v>
      </c>
      <c r="G403">
        <v>3</v>
      </c>
      <c r="H403">
        <v>2</v>
      </c>
      <c r="I403">
        <v>587</v>
      </c>
      <c r="J403">
        <v>1968</v>
      </c>
      <c r="K403" s="4">
        <v>45247</v>
      </c>
      <c r="L403" t="s">
        <v>26</v>
      </c>
      <c r="M403" t="s">
        <v>69</v>
      </c>
      <c r="N403">
        <v>2.35</v>
      </c>
      <c r="O403">
        <v>2219</v>
      </c>
      <c r="P403">
        <v>3.6</v>
      </c>
      <c r="Q403">
        <v>133</v>
      </c>
      <c r="R403">
        <v>351</v>
      </c>
    </row>
    <row r="404" spans="1:18" hidden="1" x14ac:dyDescent="0.2">
      <c r="A404">
        <v>1</v>
      </c>
      <c r="B404" t="s">
        <v>39</v>
      </c>
      <c r="E404" t="s">
        <v>51</v>
      </c>
      <c r="F404">
        <v>2975534</v>
      </c>
      <c r="G404">
        <v>4</v>
      </c>
      <c r="H404">
        <v>2</v>
      </c>
      <c r="I404">
        <v>331</v>
      </c>
      <c r="J404">
        <v>1956</v>
      </c>
      <c r="K404" s="4">
        <v>44796</v>
      </c>
      <c r="L404" t="s">
        <v>23</v>
      </c>
      <c r="M404" t="s">
        <v>97</v>
      </c>
      <c r="N404">
        <v>2.2200000000000002</v>
      </c>
      <c r="O404">
        <v>887</v>
      </c>
      <c r="P404">
        <v>4.5199999999999996</v>
      </c>
      <c r="Q404">
        <v>339</v>
      </c>
      <c r="R404">
        <v>313</v>
      </c>
    </row>
    <row r="405" spans="1:18" hidden="1" x14ac:dyDescent="0.2">
      <c r="A405">
        <v>5</v>
      </c>
      <c r="B405" t="s">
        <v>88</v>
      </c>
      <c r="E405" t="s">
        <v>51</v>
      </c>
      <c r="F405">
        <v>1358884</v>
      </c>
      <c r="G405">
        <v>3</v>
      </c>
      <c r="H405">
        <v>1</v>
      </c>
      <c r="I405">
        <v>329</v>
      </c>
      <c r="J405">
        <v>1954</v>
      </c>
      <c r="K405" s="4">
        <v>44872</v>
      </c>
      <c r="L405" t="s">
        <v>23</v>
      </c>
      <c r="M405" t="s">
        <v>97</v>
      </c>
      <c r="N405">
        <v>1.64</v>
      </c>
      <c r="O405">
        <v>892</v>
      </c>
      <c r="P405">
        <v>2.4300000000000002</v>
      </c>
      <c r="Q405">
        <v>291</v>
      </c>
      <c r="R405">
        <v>311</v>
      </c>
    </row>
    <row r="406" spans="1:18" hidden="1" x14ac:dyDescent="0.2">
      <c r="A406">
        <v>0</v>
      </c>
      <c r="B406" t="s">
        <v>57</v>
      </c>
      <c r="E406" t="s">
        <v>51</v>
      </c>
      <c r="F406">
        <v>1023361</v>
      </c>
      <c r="G406">
        <v>-2</v>
      </c>
      <c r="H406">
        <v>3</v>
      </c>
      <c r="I406">
        <v>917</v>
      </c>
      <c r="J406">
        <v>1994</v>
      </c>
      <c r="K406" s="4">
        <v>45469</v>
      </c>
      <c r="L406" t="s">
        <v>20</v>
      </c>
      <c r="M406" t="s">
        <v>58</v>
      </c>
      <c r="N406">
        <v>2.68</v>
      </c>
      <c r="O406">
        <v>2242</v>
      </c>
      <c r="P406">
        <v>3.18</v>
      </c>
      <c r="Q406">
        <v>276</v>
      </c>
      <c r="R406">
        <v>572</v>
      </c>
    </row>
    <row r="407" spans="1:18" hidden="1" x14ac:dyDescent="0.2">
      <c r="A407">
        <v>5</v>
      </c>
      <c r="B407" t="s">
        <v>95</v>
      </c>
      <c r="E407" t="s">
        <v>51</v>
      </c>
      <c r="F407">
        <v>1061368</v>
      </c>
      <c r="G407">
        <v>6</v>
      </c>
      <c r="H407">
        <v>1</v>
      </c>
      <c r="I407">
        <v>590</v>
      </c>
      <c r="J407">
        <v>2000</v>
      </c>
      <c r="K407" s="4">
        <v>44388</v>
      </c>
      <c r="L407" t="s">
        <v>26</v>
      </c>
      <c r="M407" t="s">
        <v>52</v>
      </c>
      <c r="N407">
        <v>2.4</v>
      </c>
      <c r="O407">
        <v>1758</v>
      </c>
      <c r="P407">
        <v>1.94</v>
      </c>
      <c r="Q407">
        <v>348</v>
      </c>
      <c r="R407">
        <v>364</v>
      </c>
    </row>
    <row r="408" spans="1:18" hidden="1" x14ac:dyDescent="0.2">
      <c r="A408">
        <v>3</v>
      </c>
      <c r="B408" t="s">
        <v>75</v>
      </c>
      <c r="E408" t="s">
        <v>19</v>
      </c>
      <c r="F408">
        <v>2395106</v>
      </c>
      <c r="G408">
        <v>3</v>
      </c>
      <c r="H408">
        <v>1</v>
      </c>
      <c r="I408">
        <v>903</v>
      </c>
      <c r="J408">
        <v>2005</v>
      </c>
      <c r="K408" s="4">
        <v>44087</v>
      </c>
      <c r="L408" t="s">
        <v>23</v>
      </c>
      <c r="M408" t="s">
        <v>37</v>
      </c>
      <c r="N408">
        <v>2.54</v>
      </c>
      <c r="O408">
        <v>1022</v>
      </c>
      <c r="P408">
        <v>3.57</v>
      </c>
      <c r="Q408">
        <v>93</v>
      </c>
      <c r="R408">
        <v>644</v>
      </c>
    </row>
    <row r="409" spans="1:18" hidden="1" x14ac:dyDescent="0.2">
      <c r="A409">
        <v>7</v>
      </c>
      <c r="B409" t="s">
        <v>90</v>
      </c>
      <c r="E409" t="s">
        <v>51</v>
      </c>
      <c r="F409">
        <v>1718826</v>
      </c>
      <c r="G409">
        <v>1</v>
      </c>
      <c r="H409">
        <v>1</v>
      </c>
      <c r="I409">
        <v>916</v>
      </c>
      <c r="J409">
        <v>2017</v>
      </c>
      <c r="K409" s="4">
        <v>45823</v>
      </c>
      <c r="L409" t="s">
        <v>26</v>
      </c>
      <c r="M409" t="s">
        <v>35</v>
      </c>
      <c r="N409">
        <v>2.1</v>
      </c>
      <c r="O409">
        <v>2309</v>
      </c>
      <c r="P409">
        <v>1.87</v>
      </c>
      <c r="Q409">
        <v>122</v>
      </c>
      <c r="R409">
        <v>361</v>
      </c>
    </row>
    <row r="410" spans="1:18" hidden="1" x14ac:dyDescent="0.2">
      <c r="A410">
        <v>3</v>
      </c>
      <c r="B410" t="s">
        <v>53</v>
      </c>
      <c r="E410" t="s">
        <v>19</v>
      </c>
      <c r="F410">
        <v>2857533</v>
      </c>
      <c r="G410">
        <v>3</v>
      </c>
      <c r="H410">
        <v>2</v>
      </c>
      <c r="I410">
        <v>924</v>
      </c>
      <c r="J410">
        <v>2009</v>
      </c>
      <c r="K410" s="4">
        <v>44987</v>
      </c>
      <c r="L410" t="s">
        <v>23</v>
      </c>
      <c r="M410" t="s">
        <v>70</v>
      </c>
      <c r="N410">
        <v>3.12</v>
      </c>
      <c r="O410">
        <v>1580</v>
      </c>
      <c r="P410">
        <v>4.2</v>
      </c>
      <c r="Q410">
        <v>255</v>
      </c>
      <c r="R410">
        <v>589</v>
      </c>
    </row>
    <row r="411" spans="1:18" hidden="1" x14ac:dyDescent="0.2">
      <c r="A411">
        <v>1</v>
      </c>
      <c r="B411" t="s">
        <v>91</v>
      </c>
      <c r="E411" t="s">
        <v>51</v>
      </c>
      <c r="F411">
        <v>2631961</v>
      </c>
      <c r="G411">
        <v>1</v>
      </c>
      <c r="H411">
        <v>3</v>
      </c>
      <c r="I411">
        <v>845</v>
      </c>
      <c r="J411">
        <v>2001</v>
      </c>
      <c r="K411" s="4">
        <v>44198</v>
      </c>
      <c r="L411" t="s">
        <v>23</v>
      </c>
      <c r="M411" t="s">
        <v>97</v>
      </c>
      <c r="N411">
        <v>2.15</v>
      </c>
      <c r="O411">
        <v>2462</v>
      </c>
      <c r="P411">
        <v>1.31</v>
      </c>
      <c r="Q411">
        <v>148</v>
      </c>
      <c r="R411">
        <v>506</v>
      </c>
    </row>
    <row r="412" spans="1:18" hidden="1" x14ac:dyDescent="0.2">
      <c r="A412">
        <v>9</v>
      </c>
      <c r="B412" t="s">
        <v>99</v>
      </c>
      <c r="E412" t="s">
        <v>36</v>
      </c>
      <c r="F412">
        <v>1414764</v>
      </c>
      <c r="G412">
        <v>3</v>
      </c>
      <c r="H412">
        <v>2</v>
      </c>
      <c r="I412">
        <v>177</v>
      </c>
      <c r="J412">
        <v>1981</v>
      </c>
      <c r="K412" s="4">
        <v>45192</v>
      </c>
      <c r="L412" t="s">
        <v>30</v>
      </c>
      <c r="M412" t="s">
        <v>37</v>
      </c>
      <c r="N412">
        <v>2.02</v>
      </c>
      <c r="O412">
        <v>1990</v>
      </c>
      <c r="P412">
        <v>4.09</v>
      </c>
      <c r="Q412">
        <v>83</v>
      </c>
      <c r="R412">
        <v>693</v>
      </c>
    </row>
    <row r="413" spans="1:18" hidden="1" x14ac:dyDescent="0.2">
      <c r="A413">
        <v>4</v>
      </c>
      <c r="B413" t="s">
        <v>86</v>
      </c>
      <c r="E413" t="s">
        <v>29</v>
      </c>
      <c r="F413">
        <v>783424</v>
      </c>
      <c r="G413">
        <v>0</v>
      </c>
      <c r="H413">
        <v>3</v>
      </c>
      <c r="I413">
        <v>313</v>
      </c>
      <c r="J413">
        <v>1963</v>
      </c>
      <c r="K413" s="4">
        <v>45259</v>
      </c>
      <c r="L413" t="s">
        <v>26</v>
      </c>
      <c r="M413" t="s">
        <v>97</v>
      </c>
      <c r="N413">
        <v>2.2799999999999998</v>
      </c>
      <c r="O413">
        <v>1258</v>
      </c>
      <c r="P413">
        <v>1.66</v>
      </c>
      <c r="Q413">
        <v>42</v>
      </c>
      <c r="R413">
        <v>344</v>
      </c>
    </row>
    <row r="414" spans="1:18" hidden="1" x14ac:dyDescent="0.2">
      <c r="A414">
        <v>5</v>
      </c>
      <c r="B414" t="s">
        <v>50</v>
      </c>
      <c r="E414" t="s">
        <v>19</v>
      </c>
      <c r="F414">
        <v>414771</v>
      </c>
      <c r="G414">
        <v>6</v>
      </c>
      <c r="H414">
        <v>1</v>
      </c>
      <c r="I414">
        <v>225</v>
      </c>
      <c r="J414">
        <v>1997</v>
      </c>
      <c r="K414" s="4">
        <v>44815</v>
      </c>
      <c r="L414" t="s">
        <v>23</v>
      </c>
      <c r="M414" t="s">
        <v>89</v>
      </c>
      <c r="N414">
        <v>2.59</v>
      </c>
      <c r="O414">
        <v>1036</v>
      </c>
      <c r="P414">
        <v>4.84</v>
      </c>
      <c r="Q414">
        <v>354</v>
      </c>
      <c r="R414">
        <v>675</v>
      </c>
    </row>
    <row r="415" spans="1:18" hidden="1" x14ac:dyDescent="0.2">
      <c r="A415">
        <v>6</v>
      </c>
      <c r="B415" t="s">
        <v>104</v>
      </c>
      <c r="E415" t="s">
        <v>19</v>
      </c>
      <c r="F415">
        <v>2045717</v>
      </c>
      <c r="G415">
        <v>3</v>
      </c>
      <c r="H415">
        <v>1</v>
      </c>
      <c r="I415">
        <v>129</v>
      </c>
      <c r="J415">
        <v>1983</v>
      </c>
      <c r="K415" s="4">
        <v>44509</v>
      </c>
      <c r="L415" t="s">
        <v>30</v>
      </c>
      <c r="M415" t="s">
        <v>60</v>
      </c>
      <c r="N415">
        <v>2.2400000000000002</v>
      </c>
      <c r="O415">
        <v>1643</v>
      </c>
      <c r="P415">
        <v>1.06</v>
      </c>
      <c r="Q415">
        <v>237</v>
      </c>
      <c r="R415">
        <v>332</v>
      </c>
    </row>
    <row r="416" spans="1:18" hidden="1" x14ac:dyDescent="0.2">
      <c r="A416">
        <v>0</v>
      </c>
      <c r="B416" t="s">
        <v>44</v>
      </c>
      <c r="E416" t="s">
        <v>19</v>
      </c>
      <c r="F416">
        <v>530114</v>
      </c>
      <c r="G416">
        <v>2</v>
      </c>
      <c r="H416">
        <v>1</v>
      </c>
      <c r="I416">
        <v>95</v>
      </c>
      <c r="J416">
        <v>1980</v>
      </c>
      <c r="K416" s="4">
        <v>45624</v>
      </c>
      <c r="L416" t="s">
        <v>23</v>
      </c>
      <c r="M416" t="s">
        <v>70</v>
      </c>
      <c r="N416">
        <v>1.58</v>
      </c>
      <c r="O416">
        <v>2260</v>
      </c>
      <c r="P416">
        <v>3.75</v>
      </c>
      <c r="Q416">
        <v>198</v>
      </c>
      <c r="R416">
        <v>627</v>
      </c>
    </row>
    <row r="417" spans="1:18" hidden="1" x14ac:dyDescent="0.2">
      <c r="A417">
        <v>2</v>
      </c>
      <c r="B417" t="s">
        <v>100</v>
      </c>
      <c r="E417" t="s">
        <v>51</v>
      </c>
      <c r="F417">
        <v>1503946</v>
      </c>
      <c r="G417">
        <v>1</v>
      </c>
      <c r="H417">
        <v>1</v>
      </c>
      <c r="I417">
        <v>874</v>
      </c>
      <c r="J417">
        <v>1955</v>
      </c>
      <c r="K417" s="4">
        <v>44620</v>
      </c>
      <c r="L417" t="s">
        <v>30</v>
      </c>
      <c r="M417" t="s">
        <v>35</v>
      </c>
      <c r="N417">
        <v>3.47</v>
      </c>
      <c r="O417">
        <v>1980</v>
      </c>
      <c r="P417">
        <v>0.8</v>
      </c>
      <c r="Q417">
        <v>125</v>
      </c>
      <c r="R417">
        <v>586</v>
      </c>
    </row>
    <row r="418" spans="1:18" hidden="1" x14ac:dyDescent="0.2">
      <c r="A418">
        <v>4</v>
      </c>
      <c r="B418" t="s">
        <v>104</v>
      </c>
      <c r="E418" t="s">
        <v>19</v>
      </c>
      <c r="F418">
        <v>2071194</v>
      </c>
      <c r="G418">
        <v>3</v>
      </c>
      <c r="H418">
        <v>2</v>
      </c>
      <c r="I418">
        <v>303</v>
      </c>
      <c r="J418">
        <v>1952</v>
      </c>
      <c r="K418" s="4">
        <v>45105</v>
      </c>
      <c r="L418" t="s">
        <v>23</v>
      </c>
      <c r="M418" t="s">
        <v>77</v>
      </c>
      <c r="N418">
        <v>2.59</v>
      </c>
      <c r="O418">
        <v>2430</v>
      </c>
      <c r="P418">
        <v>3.81</v>
      </c>
      <c r="Q418">
        <v>174</v>
      </c>
      <c r="R418">
        <v>382</v>
      </c>
    </row>
    <row r="419" spans="1:18" hidden="1" x14ac:dyDescent="0.2">
      <c r="A419">
        <v>2</v>
      </c>
      <c r="B419" t="s">
        <v>65</v>
      </c>
      <c r="E419" t="s">
        <v>36</v>
      </c>
      <c r="F419">
        <v>2785177</v>
      </c>
      <c r="G419">
        <v>3</v>
      </c>
      <c r="H419">
        <v>3</v>
      </c>
      <c r="I419">
        <v>262</v>
      </c>
      <c r="J419">
        <v>1963</v>
      </c>
      <c r="K419" s="4">
        <v>44376</v>
      </c>
      <c r="L419" t="s">
        <v>23</v>
      </c>
      <c r="M419" t="s">
        <v>42</v>
      </c>
      <c r="N419">
        <v>3.28</v>
      </c>
      <c r="O419">
        <v>836</v>
      </c>
      <c r="P419">
        <v>4.46</v>
      </c>
      <c r="Q419">
        <v>298</v>
      </c>
      <c r="R419">
        <v>309</v>
      </c>
    </row>
    <row r="420" spans="1:18" hidden="1" x14ac:dyDescent="0.2">
      <c r="A420">
        <v>9</v>
      </c>
      <c r="B420" t="s">
        <v>43</v>
      </c>
      <c r="E420" t="s">
        <v>29</v>
      </c>
      <c r="F420">
        <v>857785</v>
      </c>
      <c r="G420">
        <v>4</v>
      </c>
      <c r="H420">
        <v>2</v>
      </c>
      <c r="I420">
        <v>920</v>
      </c>
      <c r="J420">
        <v>2013</v>
      </c>
      <c r="K420" s="4">
        <v>44289</v>
      </c>
      <c r="L420" t="s">
        <v>23</v>
      </c>
      <c r="M420" t="s">
        <v>59</v>
      </c>
      <c r="N420">
        <v>2.96</v>
      </c>
      <c r="O420">
        <v>2314</v>
      </c>
      <c r="P420">
        <v>1.36</v>
      </c>
      <c r="Q420">
        <v>196</v>
      </c>
      <c r="R420">
        <v>382</v>
      </c>
    </row>
    <row r="421" spans="1:18" hidden="1" x14ac:dyDescent="0.2">
      <c r="A421">
        <v>2</v>
      </c>
      <c r="B421" t="s">
        <v>92</v>
      </c>
      <c r="E421" t="s">
        <v>51</v>
      </c>
      <c r="F421">
        <v>860871</v>
      </c>
      <c r="G421">
        <v>1</v>
      </c>
      <c r="H421">
        <v>2</v>
      </c>
      <c r="I421">
        <v>108</v>
      </c>
      <c r="J421">
        <v>1989</v>
      </c>
      <c r="K421" s="4">
        <v>45031</v>
      </c>
      <c r="L421" t="s">
        <v>26</v>
      </c>
      <c r="M421" t="s">
        <v>42</v>
      </c>
      <c r="N421">
        <v>2.91</v>
      </c>
      <c r="O421">
        <v>2449</v>
      </c>
      <c r="P421">
        <v>3.76</v>
      </c>
      <c r="Q421">
        <v>99</v>
      </c>
      <c r="R421">
        <v>391</v>
      </c>
    </row>
    <row r="422" spans="1:18" hidden="1" x14ac:dyDescent="0.2">
      <c r="A422">
        <v>3</v>
      </c>
      <c r="B422" t="s">
        <v>43</v>
      </c>
      <c r="E422" t="s">
        <v>51</v>
      </c>
      <c r="F422">
        <v>1584086</v>
      </c>
      <c r="G422">
        <v>1</v>
      </c>
      <c r="H422">
        <v>2</v>
      </c>
      <c r="I422">
        <v>518</v>
      </c>
      <c r="J422">
        <v>1967</v>
      </c>
      <c r="K422" s="4">
        <v>45387</v>
      </c>
      <c r="L422" t="s">
        <v>26</v>
      </c>
      <c r="M422" t="s">
        <v>77</v>
      </c>
      <c r="N422">
        <v>1.6</v>
      </c>
      <c r="O422">
        <v>1614</v>
      </c>
      <c r="P422">
        <v>4.87</v>
      </c>
      <c r="Q422">
        <v>44</v>
      </c>
      <c r="R422">
        <v>309</v>
      </c>
    </row>
    <row r="423" spans="1:18" hidden="1" x14ac:dyDescent="0.2">
      <c r="A423">
        <v>9</v>
      </c>
      <c r="B423" t="s">
        <v>100</v>
      </c>
      <c r="E423" t="s">
        <v>36</v>
      </c>
      <c r="F423">
        <v>482226</v>
      </c>
      <c r="G423">
        <v>6</v>
      </c>
      <c r="H423">
        <v>1</v>
      </c>
      <c r="I423">
        <v>297</v>
      </c>
      <c r="J423">
        <v>2002</v>
      </c>
      <c r="K423" s="4">
        <v>44321</v>
      </c>
      <c r="L423" t="s">
        <v>30</v>
      </c>
      <c r="M423" t="s">
        <v>69</v>
      </c>
      <c r="N423">
        <v>3.28</v>
      </c>
      <c r="O423">
        <v>2308</v>
      </c>
      <c r="P423">
        <v>1.51</v>
      </c>
      <c r="Q423">
        <v>335</v>
      </c>
      <c r="R423">
        <v>423</v>
      </c>
    </row>
    <row r="424" spans="1:18" hidden="1" x14ac:dyDescent="0.2">
      <c r="A424">
        <v>0</v>
      </c>
      <c r="B424" t="s">
        <v>81</v>
      </c>
      <c r="E424" t="s">
        <v>51</v>
      </c>
      <c r="F424">
        <v>2901010</v>
      </c>
      <c r="G424">
        <v>3</v>
      </c>
      <c r="H424">
        <v>3</v>
      </c>
      <c r="I424">
        <v>444</v>
      </c>
      <c r="J424">
        <v>1958</v>
      </c>
      <c r="K424" s="4">
        <v>44368</v>
      </c>
      <c r="L424" t="s">
        <v>30</v>
      </c>
      <c r="M424" t="s">
        <v>37</v>
      </c>
      <c r="N424">
        <v>2.61</v>
      </c>
      <c r="O424">
        <v>1042</v>
      </c>
      <c r="P424">
        <v>1.49</v>
      </c>
      <c r="Q424">
        <v>118</v>
      </c>
      <c r="R424">
        <v>387</v>
      </c>
    </row>
    <row r="425" spans="1:18" hidden="1" x14ac:dyDescent="0.2">
      <c r="A425">
        <v>4</v>
      </c>
      <c r="B425" t="s">
        <v>87</v>
      </c>
      <c r="E425" t="s">
        <v>51</v>
      </c>
      <c r="F425">
        <v>2297686</v>
      </c>
      <c r="G425">
        <v>3</v>
      </c>
      <c r="H425">
        <v>3</v>
      </c>
      <c r="I425">
        <v>145</v>
      </c>
      <c r="J425">
        <v>1988</v>
      </c>
      <c r="K425" s="4">
        <v>44521</v>
      </c>
      <c r="L425" t="s">
        <v>23</v>
      </c>
      <c r="M425" t="s">
        <v>27</v>
      </c>
      <c r="N425">
        <v>1.6</v>
      </c>
      <c r="O425">
        <v>2208</v>
      </c>
      <c r="P425">
        <v>3.81</v>
      </c>
      <c r="Q425">
        <v>91</v>
      </c>
      <c r="R425">
        <v>338</v>
      </c>
    </row>
    <row r="426" spans="1:18" hidden="1" x14ac:dyDescent="0.2">
      <c r="A426">
        <v>0</v>
      </c>
      <c r="B426" t="s">
        <v>34</v>
      </c>
      <c r="E426" t="s">
        <v>36</v>
      </c>
      <c r="F426">
        <v>587519</v>
      </c>
      <c r="G426">
        <v>5</v>
      </c>
      <c r="H426">
        <v>3</v>
      </c>
      <c r="I426">
        <v>241</v>
      </c>
      <c r="J426">
        <v>2022</v>
      </c>
      <c r="K426" s="4">
        <v>45696</v>
      </c>
      <c r="L426" t="s">
        <v>20</v>
      </c>
      <c r="M426" t="s">
        <v>59</v>
      </c>
      <c r="N426">
        <v>2.0699999999999998</v>
      </c>
      <c r="O426">
        <v>1916</v>
      </c>
      <c r="P426">
        <v>0.53</v>
      </c>
      <c r="Q426">
        <v>319</v>
      </c>
      <c r="R426">
        <v>385</v>
      </c>
    </row>
    <row r="427" spans="1:18" hidden="1" x14ac:dyDescent="0.2">
      <c r="A427">
        <v>7</v>
      </c>
      <c r="B427" t="s">
        <v>39</v>
      </c>
      <c r="E427" t="s">
        <v>51</v>
      </c>
      <c r="F427">
        <v>2919516</v>
      </c>
      <c r="G427">
        <v>5</v>
      </c>
      <c r="H427">
        <v>1</v>
      </c>
      <c r="I427">
        <v>401</v>
      </c>
      <c r="J427">
        <v>1990</v>
      </c>
      <c r="K427" s="4">
        <v>44214</v>
      </c>
      <c r="L427" t="s">
        <v>23</v>
      </c>
      <c r="M427" t="s">
        <v>33</v>
      </c>
      <c r="N427">
        <v>3.05</v>
      </c>
      <c r="O427">
        <v>2436</v>
      </c>
      <c r="P427">
        <v>0.14000000000000001</v>
      </c>
      <c r="Q427">
        <v>315</v>
      </c>
      <c r="R427">
        <v>385</v>
      </c>
    </row>
    <row r="428" spans="1:18" hidden="1" x14ac:dyDescent="0.2">
      <c r="A428">
        <v>5</v>
      </c>
      <c r="B428" t="s">
        <v>32</v>
      </c>
      <c r="E428" t="s">
        <v>29</v>
      </c>
      <c r="F428">
        <v>645312</v>
      </c>
      <c r="G428">
        <v>3</v>
      </c>
      <c r="H428">
        <v>2</v>
      </c>
      <c r="I428">
        <v>71</v>
      </c>
      <c r="J428">
        <v>2022</v>
      </c>
      <c r="K428" s="4">
        <v>44137</v>
      </c>
      <c r="L428" t="s">
        <v>23</v>
      </c>
      <c r="M428" t="s">
        <v>82</v>
      </c>
      <c r="N428">
        <v>2.38</v>
      </c>
      <c r="O428">
        <v>1406</v>
      </c>
      <c r="P428">
        <v>1.7</v>
      </c>
      <c r="Q428">
        <v>139</v>
      </c>
      <c r="R428">
        <v>666</v>
      </c>
    </row>
    <row r="429" spans="1:18" hidden="1" x14ac:dyDescent="0.2">
      <c r="A429">
        <v>1</v>
      </c>
      <c r="B429" t="s">
        <v>95</v>
      </c>
      <c r="E429" t="s">
        <v>36</v>
      </c>
      <c r="F429">
        <v>2301833</v>
      </c>
      <c r="G429">
        <v>2</v>
      </c>
      <c r="H429">
        <v>3</v>
      </c>
      <c r="I429">
        <v>452</v>
      </c>
      <c r="J429">
        <v>1965</v>
      </c>
      <c r="K429" s="4">
        <v>45350</v>
      </c>
      <c r="L429" t="s">
        <v>20</v>
      </c>
      <c r="M429" t="s">
        <v>24</v>
      </c>
      <c r="N429">
        <v>1.88</v>
      </c>
      <c r="O429">
        <v>2180</v>
      </c>
      <c r="P429">
        <v>4.8899999999999997</v>
      </c>
      <c r="Q429">
        <v>158</v>
      </c>
      <c r="R429">
        <v>570</v>
      </c>
    </row>
    <row r="430" spans="1:18" hidden="1" x14ac:dyDescent="0.2">
      <c r="A430">
        <v>7</v>
      </c>
      <c r="B430" t="s">
        <v>80</v>
      </c>
      <c r="E430" t="s">
        <v>51</v>
      </c>
      <c r="F430">
        <v>1482938</v>
      </c>
      <c r="G430">
        <v>2</v>
      </c>
      <c r="H430">
        <v>3</v>
      </c>
      <c r="I430">
        <v>445</v>
      </c>
      <c r="J430">
        <v>1981</v>
      </c>
      <c r="K430" s="4">
        <v>44783</v>
      </c>
      <c r="L430" t="s">
        <v>30</v>
      </c>
      <c r="M430" t="s">
        <v>69</v>
      </c>
      <c r="N430">
        <v>1.82</v>
      </c>
      <c r="O430">
        <v>1809</v>
      </c>
      <c r="P430">
        <v>1.31</v>
      </c>
      <c r="Q430">
        <v>56</v>
      </c>
      <c r="R430">
        <v>692</v>
      </c>
    </row>
    <row r="431" spans="1:18" hidden="1" x14ac:dyDescent="0.2">
      <c r="A431">
        <v>2</v>
      </c>
      <c r="B431" t="s">
        <v>46</v>
      </c>
      <c r="E431" t="s">
        <v>51</v>
      </c>
      <c r="F431">
        <v>1853605</v>
      </c>
      <c r="G431">
        <v>6</v>
      </c>
      <c r="H431">
        <v>3</v>
      </c>
      <c r="I431">
        <v>436</v>
      </c>
      <c r="J431">
        <v>1973</v>
      </c>
      <c r="K431" s="4">
        <v>44565</v>
      </c>
      <c r="L431" t="s">
        <v>23</v>
      </c>
      <c r="M431" t="s">
        <v>47</v>
      </c>
      <c r="N431">
        <v>3.41</v>
      </c>
      <c r="O431">
        <v>1050</v>
      </c>
      <c r="P431">
        <v>2.61</v>
      </c>
      <c r="Q431">
        <v>396</v>
      </c>
      <c r="R431">
        <v>547</v>
      </c>
    </row>
    <row r="432" spans="1:18" hidden="1" x14ac:dyDescent="0.2">
      <c r="A432">
        <v>1</v>
      </c>
      <c r="B432" t="s">
        <v>32</v>
      </c>
      <c r="E432" t="s">
        <v>51</v>
      </c>
      <c r="F432">
        <v>1821213</v>
      </c>
      <c r="G432">
        <v>4</v>
      </c>
      <c r="H432">
        <v>1</v>
      </c>
      <c r="I432">
        <v>208</v>
      </c>
      <c r="J432">
        <v>2014</v>
      </c>
      <c r="K432" s="4">
        <v>44283</v>
      </c>
      <c r="L432" t="s">
        <v>20</v>
      </c>
      <c r="M432" t="s">
        <v>56</v>
      </c>
      <c r="N432">
        <v>2.5299999999999998</v>
      </c>
      <c r="O432">
        <v>1895</v>
      </c>
      <c r="P432">
        <v>3.74</v>
      </c>
      <c r="Q432">
        <v>191</v>
      </c>
      <c r="R432">
        <v>384</v>
      </c>
    </row>
    <row r="433" spans="1:18" hidden="1" x14ac:dyDescent="0.2">
      <c r="A433">
        <v>9</v>
      </c>
      <c r="B433" t="s">
        <v>79</v>
      </c>
      <c r="E433" t="s">
        <v>19</v>
      </c>
      <c r="F433">
        <v>883446</v>
      </c>
      <c r="G433">
        <v>1</v>
      </c>
      <c r="H433">
        <v>2</v>
      </c>
      <c r="I433">
        <v>407</v>
      </c>
      <c r="J433">
        <v>1988</v>
      </c>
      <c r="K433" s="4">
        <v>44455</v>
      </c>
      <c r="L433" t="s">
        <v>30</v>
      </c>
      <c r="M433" t="s">
        <v>31</v>
      </c>
      <c r="N433">
        <v>3.15</v>
      </c>
      <c r="O433">
        <v>1563</v>
      </c>
      <c r="P433">
        <v>4.74</v>
      </c>
      <c r="Q433">
        <v>160</v>
      </c>
      <c r="R433">
        <v>429</v>
      </c>
    </row>
    <row r="434" spans="1:18" hidden="1" x14ac:dyDescent="0.2">
      <c r="A434">
        <v>5</v>
      </c>
      <c r="B434" t="s">
        <v>34</v>
      </c>
      <c r="E434" t="s">
        <v>51</v>
      </c>
      <c r="F434">
        <v>481526</v>
      </c>
      <c r="G434">
        <v>5</v>
      </c>
      <c r="H434">
        <v>3</v>
      </c>
      <c r="I434">
        <v>239</v>
      </c>
      <c r="J434">
        <v>1957</v>
      </c>
      <c r="K434" s="4">
        <v>44754</v>
      </c>
      <c r="L434" t="s">
        <v>30</v>
      </c>
      <c r="M434" t="s">
        <v>85</v>
      </c>
      <c r="N434">
        <v>2.36</v>
      </c>
      <c r="O434">
        <v>2316</v>
      </c>
      <c r="P434">
        <v>3.27</v>
      </c>
      <c r="Q434">
        <v>333</v>
      </c>
      <c r="R434">
        <v>355</v>
      </c>
    </row>
    <row r="435" spans="1:18" hidden="1" x14ac:dyDescent="0.2">
      <c r="A435">
        <v>9</v>
      </c>
      <c r="B435" t="s">
        <v>39</v>
      </c>
      <c r="E435" t="s">
        <v>51</v>
      </c>
      <c r="F435">
        <v>478404</v>
      </c>
      <c r="G435">
        <v>2</v>
      </c>
      <c r="H435">
        <v>1</v>
      </c>
      <c r="I435">
        <v>479</v>
      </c>
      <c r="J435">
        <v>2016</v>
      </c>
      <c r="K435" s="4">
        <v>44279</v>
      </c>
      <c r="L435" t="s">
        <v>23</v>
      </c>
      <c r="M435" t="s">
        <v>40</v>
      </c>
      <c r="N435">
        <v>2.92</v>
      </c>
      <c r="O435">
        <v>2081</v>
      </c>
      <c r="P435">
        <v>4.8499999999999996</v>
      </c>
      <c r="Q435">
        <v>161</v>
      </c>
      <c r="R435">
        <v>442</v>
      </c>
    </row>
    <row r="436" spans="1:18" hidden="1" x14ac:dyDescent="0.2">
      <c r="A436">
        <v>5</v>
      </c>
      <c r="B436" t="s">
        <v>87</v>
      </c>
      <c r="E436" t="s">
        <v>51</v>
      </c>
      <c r="F436">
        <v>2950487</v>
      </c>
      <c r="G436">
        <v>3</v>
      </c>
      <c r="H436">
        <v>1</v>
      </c>
      <c r="I436">
        <v>74</v>
      </c>
      <c r="J436">
        <v>1960</v>
      </c>
      <c r="K436" s="4">
        <v>44857</v>
      </c>
      <c r="L436" t="s">
        <v>23</v>
      </c>
      <c r="M436" t="s">
        <v>37</v>
      </c>
      <c r="N436">
        <v>2.81</v>
      </c>
      <c r="O436">
        <v>2083</v>
      </c>
      <c r="P436">
        <v>1.17</v>
      </c>
      <c r="Q436">
        <v>143</v>
      </c>
      <c r="R436">
        <v>346</v>
      </c>
    </row>
    <row r="437" spans="1:18" hidden="1" x14ac:dyDescent="0.2">
      <c r="A437">
        <v>3</v>
      </c>
      <c r="B437" t="s">
        <v>39</v>
      </c>
      <c r="E437" t="s">
        <v>19</v>
      </c>
      <c r="F437">
        <v>1855684</v>
      </c>
      <c r="G437">
        <v>4</v>
      </c>
      <c r="H437">
        <v>2</v>
      </c>
      <c r="I437">
        <v>352</v>
      </c>
      <c r="J437">
        <v>2022</v>
      </c>
      <c r="K437" s="4">
        <v>44288</v>
      </c>
      <c r="L437" t="s">
        <v>23</v>
      </c>
      <c r="M437" t="s">
        <v>37</v>
      </c>
      <c r="N437">
        <v>3.17</v>
      </c>
      <c r="O437">
        <v>1477</v>
      </c>
      <c r="P437">
        <v>3.82</v>
      </c>
      <c r="Q437">
        <v>171</v>
      </c>
      <c r="R437">
        <v>489</v>
      </c>
    </row>
    <row r="438" spans="1:18" x14ac:dyDescent="0.2">
      <c r="A438">
        <v>8</v>
      </c>
      <c r="B438" t="s">
        <v>99</v>
      </c>
      <c r="E438" t="s">
        <v>51</v>
      </c>
      <c r="F438">
        <v>568454</v>
      </c>
      <c r="G438">
        <v>2</v>
      </c>
      <c r="H438">
        <v>3</v>
      </c>
      <c r="I438">
        <v>563</v>
      </c>
      <c r="J438">
        <v>1974</v>
      </c>
      <c r="K438" s="4">
        <v>44841</v>
      </c>
      <c r="L438" t="s">
        <v>26</v>
      </c>
      <c r="M438" t="s">
        <v>42</v>
      </c>
      <c r="N438">
        <v>2.75</v>
      </c>
      <c r="O438">
        <v>916</v>
      </c>
      <c r="P438">
        <v>4.1500000000000004</v>
      </c>
      <c r="Q438">
        <v>199</v>
      </c>
      <c r="R438">
        <v>371</v>
      </c>
    </row>
    <row r="439" spans="1:18" hidden="1" x14ac:dyDescent="0.2">
      <c r="A439">
        <v>7</v>
      </c>
      <c r="B439" t="s">
        <v>48</v>
      </c>
      <c r="E439" t="s">
        <v>19</v>
      </c>
      <c r="F439">
        <v>2683935</v>
      </c>
      <c r="G439">
        <v>0</v>
      </c>
      <c r="H439">
        <v>2</v>
      </c>
      <c r="I439">
        <v>396</v>
      </c>
      <c r="J439">
        <v>1997</v>
      </c>
      <c r="K439" s="4">
        <v>44879</v>
      </c>
      <c r="L439" t="s">
        <v>23</v>
      </c>
      <c r="M439" t="s">
        <v>35</v>
      </c>
      <c r="N439">
        <v>1.98</v>
      </c>
      <c r="O439">
        <v>1944</v>
      </c>
      <c r="P439">
        <v>0.7</v>
      </c>
      <c r="Q439">
        <v>48</v>
      </c>
      <c r="R439">
        <v>617</v>
      </c>
    </row>
    <row r="440" spans="1:18" hidden="1" x14ac:dyDescent="0.2">
      <c r="A440">
        <v>6</v>
      </c>
      <c r="B440" t="s">
        <v>92</v>
      </c>
      <c r="E440" t="s">
        <v>51</v>
      </c>
      <c r="F440">
        <v>905451</v>
      </c>
      <c r="G440">
        <v>4</v>
      </c>
      <c r="H440">
        <v>1</v>
      </c>
      <c r="I440">
        <v>244</v>
      </c>
      <c r="J440">
        <v>2006</v>
      </c>
      <c r="K440" s="4">
        <v>44149</v>
      </c>
      <c r="L440" t="s">
        <v>26</v>
      </c>
      <c r="M440" t="s">
        <v>58</v>
      </c>
      <c r="N440">
        <v>1.67</v>
      </c>
      <c r="O440">
        <v>848</v>
      </c>
      <c r="P440">
        <v>2.09</v>
      </c>
      <c r="Q440">
        <v>306</v>
      </c>
      <c r="R440">
        <v>393</v>
      </c>
    </row>
    <row r="441" spans="1:18" hidden="1" x14ac:dyDescent="0.2">
      <c r="A441">
        <v>5</v>
      </c>
      <c r="B441" t="s">
        <v>61</v>
      </c>
      <c r="E441" t="s">
        <v>36</v>
      </c>
      <c r="F441">
        <v>1979091</v>
      </c>
      <c r="G441">
        <v>3</v>
      </c>
      <c r="H441">
        <v>1</v>
      </c>
      <c r="I441">
        <v>482</v>
      </c>
      <c r="J441">
        <v>1985</v>
      </c>
      <c r="K441" s="4">
        <v>45419</v>
      </c>
      <c r="L441" t="s">
        <v>26</v>
      </c>
      <c r="M441" t="s">
        <v>58</v>
      </c>
      <c r="N441">
        <v>1.68</v>
      </c>
      <c r="O441">
        <v>1931</v>
      </c>
      <c r="P441">
        <v>0.46</v>
      </c>
      <c r="Q441">
        <v>221</v>
      </c>
      <c r="R441">
        <v>580</v>
      </c>
    </row>
    <row r="442" spans="1:18" x14ac:dyDescent="0.2">
      <c r="A442">
        <v>8</v>
      </c>
      <c r="B442" t="s">
        <v>62</v>
      </c>
      <c r="E442" t="s">
        <v>29</v>
      </c>
      <c r="F442">
        <v>1562336</v>
      </c>
      <c r="G442">
        <v>2</v>
      </c>
      <c r="H442">
        <v>2</v>
      </c>
      <c r="I442">
        <v>949</v>
      </c>
      <c r="J442">
        <v>2007</v>
      </c>
      <c r="K442" s="4">
        <v>45069</v>
      </c>
      <c r="L442" t="s">
        <v>30</v>
      </c>
      <c r="M442" t="s">
        <v>35</v>
      </c>
      <c r="N442">
        <v>3.15</v>
      </c>
      <c r="O442">
        <v>1076</v>
      </c>
      <c r="P442">
        <v>4.58</v>
      </c>
      <c r="Q442">
        <v>183</v>
      </c>
      <c r="R442">
        <v>673</v>
      </c>
    </row>
    <row r="443" spans="1:18" hidden="1" x14ac:dyDescent="0.2">
      <c r="A443">
        <v>1</v>
      </c>
      <c r="B443" t="s">
        <v>94</v>
      </c>
      <c r="E443" t="s">
        <v>36</v>
      </c>
      <c r="F443">
        <v>1950170</v>
      </c>
      <c r="G443">
        <v>6</v>
      </c>
      <c r="H443">
        <v>2</v>
      </c>
      <c r="I443">
        <v>276</v>
      </c>
      <c r="J443">
        <v>2002</v>
      </c>
      <c r="K443" s="4">
        <v>44205</v>
      </c>
      <c r="L443" t="s">
        <v>23</v>
      </c>
      <c r="M443" t="s">
        <v>56</v>
      </c>
      <c r="N443">
        <v>3.01</v>
      </c>
      <c r="O443">
        <v>1932</v>
      </c>
      <c r="P443">
        <v>1.81</v>
      </c>
      <c r="Q443">
        <v>395</v>
      </c>
      <c r="R443">
        <v>696</v>
      </c>
    </row>
    <row r="444" spans="1:18" hidden="1" x14ac:dyDescent="0.2">
      <c r="A444">
        <v>3</v>
      </c>
      <c r="B444" t="s">
        <v>32</v>
      </c>
      <c r="E444" t="s">
        <v>36</v>
      </c>
      <c r="F444">
        <v>1638595</v>
      </c>
      <c r="G444">
        <v>5</v>
      </c>
      <c r="H444">
        <v>1</v>
      </c>
      <c r="I444">
        <v>315</v>
      </c>
      <c r="J444">
        <v>1992</v>
      </c>
      <c r="K444" s="4">
        <v>44083</v>
      </c>
      <c r="L444" t="s">
        <v>20</v>
      </c>
      <c r="M444" t="s">
        <v>27</v>
      </c>
      <c r="N444">
        <v>1.75</v>
      </c>
      <c r="O444">
        <v>1287</v>
      </c>
      <c r="P444">
        <v>1.24</v>
      </c>
      <c r="Q444">
        <v>301</v>
      </c>
      <c r="R444">
        <v>478</v>
      </c>
    </row>
    <row r="445" spans="1:18" hidden="1" x14ac:dyDescent="0.2">
      <c r="A445">
        <v>3</v>
      </c>
      <c r="B445" t="s">
        <v>86</v>
      </c>
      <c r="E445" t="s">
        <v>51</v>
      </c>
      <c r="F445">
        <v>2564558</v>
      </c>
      <c r="G445">
        <v>1</v>
      </c>
      <c r="H445">
        <v>1</v>
      </c>
      <c r="I445">
        <v>77</v>
      </c>
      <c r="J445">
        <v>1968</v>
      </c>
      <c r="K445" s="4">
        <v>45111</v>
      </c>
      <c r="L445" t="s">
        <v>23</v>
      </c>
      <c r="M445" t="s">
        <v>40</v>
      </c>
      <c r="N445">
        <v>1.63</v>
      </c>
      <c r="O445">
        <v>1602</v>
      </c>
      <c r="P445">
        <v>2.58</v>
      </c>
      <c r="Q445">
        <v>131</v>
      </c>
      <c r="R445">
        <v>489</v>
      </c>
    </row>
    <row r="446" spans="1:18" hidden="1" x14ac:dyDescent="0.2">
      <c r="A446">
        <v>4</v>
      </c>
      <c r="B446" t="s">
        <v>34</v>
      </c>
      <c r="E446" t="s">
        <v>51</v>
      </c>
      <c r="F446">
        <v>733741</v>
      </c>
      <c r="G446">
        <v>3</v>
      </c>
      <c r="H446">
        <v>1</v>
      </c>
      <c r="I446">
        <v>194</v>
      </c>
      <c r="J446">
        <v>1957</v>
      </c>
      <c r="K446" s="4">
        <v>45212</v>
      </c>
      <c r="L446" t="s">
        <v>30</v>
      </c>
      <c r="M446" t="s">
        <v>68</v>
      </c>
      <c r="N446">
        <v>3.01</v>
      </c>
      <c r="O446">
        <v>2177</v>
      </c>
      <c r="P446">
        <v>1.38</v>
      </c>
      <c r="Q446">
        <v>311</v>
      </c>
      <c r="R446">
        <v>644</v>
      </c>
    </row>
    <row r="447" spans="1:18" hidden="1" x14ac:dyDescent="0.2">
      <c r="A447">
        <v>4</v>
      </c>
      <c r="B447" t="s">
        <v>32</v>
      </c>
      <c r="E447" t="s">
        <v>51</v>
      </c>
      <c r="F447">
        <v>2174013</v>
      </c>
      <c r="G447">
        <v>6</v>
      </c>
      <c r="H447">
        <v>3</v>
      </c>
      <c r="I447">
        <v>65</v>
      </c>
      <c r="J447">
        <v>1958</v>
      </c>
      <c r="K447" s="4">
        <v>45414</v>
      </c>
      <c r="L447" t="s">
        <v>26</v>
      </c>
      <c r="M447" t="s">
        <v>33</v>
      </c>
      <c r="N447">
        <v>1.99</v>
      </c>
      <c r="O447">
        <v>1062</v>
      </c>
      <c r="P447">
        <v>3.44</v>
      </c>
      <c r="Q447">
        <v>356</v>
      </c>
      <c r="R447">
        <v>446</v>
      </c>
    </row>
    <row r="448" spans="1:18" hidden="1" x14ac:dyDescent="0.2">
      <c r="A448">
        <v>0</v>
      </c>
      <c r="B448" t="s">
        <v>46</v>
      </c>
      <c r="E448" t="s">
        <v>36</v>
      </c>
      <c r="F448">
        <v>2661079</v>
      </c>
      <c r="G448">
        <v>2</v>
      </c>
      <c r="H448">
        <v>1</v>
      </c>
      <c r="I448">
        <v>243</v>
      </c>
      <c r="J448">
        <v>1965</v>
      </c>
      <c r="K448" s="4">
        <v>45880</v>
      </c>
      <c r="L448" t="s">
        <v>30</v>
      </c>
      <c r="M448" t="s">
        <v>68</v>
      </c>
      <c r="N448">
        <v>2.59</v>
      </c>
      <c r="O448">
        <v>1116</v>
      </c>
      <c r="P448">
        <v>2.33</v>
      </c>
      <c r="Q448">
        <v>212</v>
      </c>
      <c r="R448">
        <v>691</v>
      </c>
    </row>
    <row r="449" spans="1:18" hidden="1" x14ac:dyDescent="0.2">
      <c r="A449">
        <v>5</v>
      </c>
      <c r="B449" t="s">
        <v>104</v>
      </c>
      <c r="E449" t="s">
        <v>36</v>
      </c>
      <c r="F449">
        <v>1868962</v>
      </c>
      <c r="G449">
        <v>6</v>
      </c>
      <c r="H449">
        <v>2</v>
      </c>
      <c r="I449">
        <v>176</v>
      </c>
      <c r="J449">
        <v>2017</v>
      </c>
      <c r="K449" s="4">
        <v>44197</v>
      </c>
      <c r="L449" t="s">
        <v>20</v>
      </c>
      <c r="M449" t="s">
        <v>56</v>
      </c>
      <c r="N449">
        <v>2.19</v>
      </c>
      <c r="O449">
        <v>990</v>
      </c>
      <c r="P449">
        <v>3.83</v>
      </c>
      <c r="Q449">
        <v>368</v>
      </c>
      <c r="R449">
        <v>585</v>
      </c>
    </row>
    <row r="450" spans="1:18" hidden="1" x14ac:dyDescent="0.2">
      <c r="A450">
        <v>4</v>
      </c>
      <c r="B450" t="s">
        <v>88</v>
      </c>
      <c r="E450" t="s">
        <v>36</v>
      </c>
      <c r="F450">
        <v>1551084</v>
      </c>
      <c r="G450">
        <v>1</v>
      </c>
      <c r="H450">
        <v>3</v>
      </c>
      <c r="I450">
        <v>361</v>
      </c>
      <c r="J450">
        <v>2004</v>
      </c>
      <c r="K450" s="4">
        <v>44132</v>
      </c>
      <c r="L450" t="s">
        <v>30</v>
      </c>
      <c r="M450" t="s">
        <v>54</v>
      </c>
      <c r="N450">
        <v>2.4300000000000002</v>
      </c>
      <c r="O450">
        <v>992</v>
      </c>
      <c r="P450">
        <v>1.1499999999999999</v>
      </c>
      <c r="Q450">
        <v>150</v>
      </c>
      <c r="R450">
        <v>678</v>
      </c>
    </row>
    <row r="451" spans="1:18" hidden="1" x14ac:dyDescent="0.2">
      <c r="A451">
        <v>0</v>
      </c>
      <c r="B451" t="s">
        <v>98</v>
      </c>
      <c r="E451" t="s">
        <v>19</v>
      </c>
      <c r="F451">
        <v>1846419</v>
      </c>
      <c r="G451">
        <v>4</v>
      </c>
      <c r="H451">
        <v>1</v>
      </c>
      <c r="I451">
        <v>376</v>
      </c>
      <c r="J451">
        <v>1977</v>
      </c>
      <c r="K451" s="4">
        <v>44869</v>
      </c>
      <c r="L451" t="s">
        <v>20</v>
      </c>
      <c r="M451" t="s">
        <v>97</v>
      </c>
      <c r="N451">
        <v>3.07</v>
      </c>
      <c r="O451">
        <v>1035</v>
      </c>
      <c r="P451">
        <v>4.8600000000000003</v>
      </c>
      <c r="Q451">
        <v>372</v>
      </c>
      <c r="R451">
        <v>351</v>
      </c>
    </row>
    <row r="452" spans="1:18" hidden="1" x14ac:dyDescent="0.2">
      <c r="A452">
        <v>6</v>
      </c>
      <c r="B452" t="s">
        <v>93</v>
      </c>
      <c r="E452" t="s">
        <v>19</v>
      </c>
      <c r="F452">
        <v>1276435</v>
      </c>
      <c r="G452">
        <v>2</v>
      </c>
      <c r="H452">
        <v>2</v>
      </c>
      <c r="I452">
        <v>367</v>
      </c>
      <c r="J452">
        <v>1950</v>
      </c>
      <c r="K452" s="4">
        <v>45048</v>
      </c>
      <c r="L452" t="s">
        <v>26</v>
      </c>
      <c r="M452" t="s">
        <v>45</v>
      </c>
      <c r="N452">
        <v>3.21</v>
      </c>
      <c r="O452">
        <v>1931</v>
      </c>
      <c r="P452">
        <v>0.28999999999999998</v>
      </c>
      <c r="Q452">
        <v>150</v>
      </c>
      <c r="R452">
        <v>694</v>
      </c>
    </row>
    <row r="453" spans="1:18" x14ac:dyDescent="0.2">
      <c r="A453">
        <v>8</v>
      </c>
      <c r="B453" t="s">
        <v>106</v>
      </c>
      <c r="E453" t="s">
        <v>36</v>
      </c>
      <c r="F453">
        <v>2413424</v>
      </c>
      <c r="G453">
        <v>3</v>
      </c>
      <c r="H453">
        <v>2</v>
      </c>
      <c r="I453">
        <v>738</v>
      </c>
      <c r="J453">
        <v>1975</v>
      </c>
      <c r="K453" s="4">
        <v>44634</v>
      </c>
      <c r="L453" t="s">
        <v>30</v>
      </c>
      <c r="M453" t="s">
        <v>74</v>
      </c>
      <c r="N453">
        <v>2.0699999999999998</v>
      </c>
      <c r="O453">
        <v>1216</v>
      </c>
      <c r="P453">
        <v>3.82</v>
      </c>
      <c r="Q453">
        <v>315</v>
      </c>
      <c r="R453">
        <v>389</v>
      </c>
    </row>
    <row r="454" spans="1:18" hidden="1" x14ac:dyDescent="0.2">
      <c r="A454">
        <v>5</v>
      </c>
      <c r="B454" t="s">
        <v>61</v>
      </c>
      <c r="E454" t="s">
        <v>36</v>
      </c>
      <c r="F454">
        <v>2555960</v>
      </c>
      <c r="G454">
        <v>0</v>
      </c>
      <c r="H454">
        <v>3</v>
      </c>
      <c r="I454">
        <v>324</v>
      </c>
      <c r="J454">
        <v>2002</v>
      </c>
      <c r="K454" s="4">
        <v>44538</v>
      </c>
      <c r="L454" t="s">
        <v>23</v>
      </c>
      <c r="M454" t="s">
        <v>66</v>
      </c>
      <c r="N454">
        <v>1.92</v>
      </c>
      <c r="O454">
        <v>1058</v>
      </c>
      <c r="P454">
        <v>1.1000000000000001</v>
      </c>
      <c r="Q454">
        <v>49</v>
      </c>
      <c r="R454">
        <v>429</v>
      </c>
    </row>
    <row r="455" spans="1:18" hidden="1" x14ac:dyDescent="0.2">
      <c r="A455">
        <v>5</v>
      </c>
      <c r="B455" t="s">
        <v>55</v>
      </c>
      <c r="E455" t="s">
        <v>29</v>
      </c>
      <c r="F455">
        <v>1114448</v>
      </c>
      <c r="G455">
        <v>0</v>
      </c>
      <c r="H455">
        <v>3</v>
      </c>
      <c r="I455">
        <v>958</v>
      </c>
      <c r="J455">
        <v>1979</v>
      </c>
      <c r="K455" s="4">
        <v>44857</v>
      </c>
      <c r="L455" t="s">
        <v>20</v>
      </c>
      <c r="M455" t="s">
        <v>54</v>
      </c>
      <c r="N455">
        <v>2.89</v>
      </c>
      <c r="O455">
        <v>1881</v>
      </c>
      <c r="P455">
        <v>2.0299999999999998</v>
      </c>
      <c r="Q455">
        <v>52</v>
      </c>
      <c r="R455">
        <v>372</v>
      </c>
    </row>
    <row r="456" spans="1:18" hidden="1" x14ac:dyDescent="0.2">
      <c r="A456">
        <v>3</v>
      </c>
      <c r="B456" t="s">
        <v>92</v>
      </c>
      <c r="E456" t="s">
        <v>19</v>
      </c>
      <c r="F456">
        <v>2163250</v>
      </c>
      <c r="G456">
        <v>3</v>
      </c>
      <c r="H456">
        <v>3</v>
      </c>
      <c r="I456">
        <v>875</v>
      </c>
      <c r="J456">
        <v>2012</v>
      </c>
      <c r="K456" s="4">
        <v>45444</v>
      </c>
      <c r="L456" t="s">
        <v>23</v>
      </c>
      <c r="M456" t="s">
        <v>60</v>
      </c>
      <c r="N456">
        <v>3.42</v>
      </c>
      <c r="O456">
        <v>1386</v>
      </c>
      <c r="P456">
        <v>2.59</v>
      </c>
      <c r="Q456">
        <v>168</v>
      </c>
      <c r="R456">
        <v>377</v>
      </c>
    </row>
    <row r="457" spans="1:18" hidden="1" x14ac:dyDescent="0.2">
      <c r="A457">
        <v>7</v>
      </c>
      <c r="B457" t="s">
        <v>46</v>
      </c>
      <c r="E457" t="s">
        <v>29</v>
      </c>
      <c r="F457">
        <v>2641626</v>
      </c>
      <c r="G457">
        <v>3</v>
      </c>
      <c r="H457">
        <v>1</v>
      </c>
      <c r="I457">
        <v>427</v>
      </c>
      <c r="J457">
        <v>1957</v>
      </c>
      <c r="K457" s="4">
        <v>44377</v>
      </c>
      <c r="L457" t="s">
        <v>23</v>
      </c>
      <c r="M457" t="s">
        <v>60</v>
      </c>
      <c r="N457">
        <v>3.08</v>
      </c>
      <c r="O457">
        <v>1666</v>
      </c>
      <c r="P457">
        <v>0.4</v>
      </c>
      <c r="Q457">
        <v>220</v>
      </c>
      <c r="R457">
        <v>369</v>
      </c>
    </row>
    <row r="458" spans="1:18" hidden="1" x14ac:dyDescent="0.2">
      <c r="A458">
        <v>9</v>
      </c>
      <c r="B458" t="s">
        <v>105</v>
      </c>
      <c r="E458" t="s">
        <v>36</v>
      </c>
      <c r="F458">
        <v>831767</v>
      </c>
      <c r="G458">
        <v>1</v>
      </c>
      <c r="H458">
        <v>3</v>
      </c>
      <c r="I458">
        <v>88</v>
      </c>
      <c r="J458">
        <v>1954</v>
      </c>
      <c r="K458" s="4">
        <v>44164</v>
      </c>
      <c r="L458" t="s">
        <v>30</v>
      </c>
      <c r="M458" t="s">
        <v>40</v>
      </c>
      <c r="N458">
        <v>2.73</v>
      </c>
      <c r="O458">
        <v>1860</v>
      </c>
      <c r="P458">
        <v>3.48</v>
      </c>
      <c r="Q458">
        <v>94</v>
      </c>
      <c r="R458">
        <v>326</v>
      </c>
    </row>
    <row r="459" spans="1:18" hidden="1" x14ac:dyDescent="0.2">
      <c r="A459">
        <v>3</v>
      </c>
      <c r="B459" t="s">
        <v>100</v>
      </c>
      <c r="E459" t="s">
        <v>29</v>
      </c>
      <c r="F459">
        <v>899413</v>
      </c>
      <c r="G459">
        <v>2</v>
      </c>
      <c r="H459">
        <v>2</v>
      </c>
      <c r="I459">
        <v>179</v>
      </c>
      <c r="J459">
        <v>1986</v>
      </c>
      <c r="K459" s="4">
        <v>44929</v>
      </c>
      <c r="L459" t="s">
        <v>20</v>
      </c>
      <c r="M459" t="s">
        <v>24</v>
      </c>
      <c r="N459">
        <v>2.4700000000000002</v>
      </c>
      <c r="O459">
        <v>839</v>
      </c>
      <c r="P459">
        <v>0.57999999999999996</v>
      </c>
      <c r="Q459">
        <v>97</v>
      </c>
      <c r="R459">
        <v>507</v>
      </c>
    </row>
    <row r="460" spans="1:18" x14ac:dyDescent="0.2">
      <c r="A460">
        <v>8</v>
      </c>
      <c r="B460" t="s">
        <v>18</v>
      </c>
      <c r="E460" t="s">
        <v>19</v>
      </c>
      <c r="F460">
        <v>665192</v>
      </c>
      <c r="G460">
        <v>3</v>
      </c>
      <c r="H460">
        <v>2</v>
      </c>
      <c r="I460">
        <v>454</v>
      </c>
      <c r="J460">
        <v>1959</v>
      </c>
      <c r="K460" s="4">
        <v>44230</v>
      </c>
      <c r="L460" t="s">
        <v>30</v>
      </c>
      <c r="M460" t="s">
        <v>24</v>
      </c>
      <c r="N460">
        <v>3.2</v>
      </c>
      <c r="O460">
        <v>1175</v>
      </c>
      <c r="P460">
        <v>2.82</v>
      </c>
      <c r="Q460">
        <v>181</v>
      </c>
      <c r="R460">
        <v>667</v>
      </c>
    </row>
    <row r="461" spans="1:18" hidden="1" x14ac:dyDescent="0.2">
      <c r="A461">
        <v>0</v>
      </c>
      <c r="B461" t="s">
        <v>50</v>
      </c>
      <c r="E461" t="s">
        <v>19</v>
      </c>
      <c r="F461">
        <v>1556843</v>
      </c>
      <c r="G461">
        <v>5</v>
      </c>
      <c r="H461">
        <v>3</v>
      </c>
      <c r="I461">
        <v>403</v>
      </c>
      <c r="J461">
        <v>1954</v>
      </c>
      <c r="K461" s="4">
        <v>45244</v>
      </c>
      <c r="L461" t="s">
        <v>26</v>
      </c>
      <c r="M461" t="s">
        <v>56</v>
      </c>
      <c r="N461">
        <v>3.08</v>
      </c>
      <c r="O461">
        <v>932</v>
      </c>
      <c r="P461">
        <v>2.91</v>
      </c>
      <c r="Q461">
        <v>318</v>
      </c>
      <c r="R461">
        <v>309</v>
      </c>
    </row>
    <row r="462" spans="1:18" hidden="1" x14ac:dyDescent="0.2">
      <c r="A462">
        <v>6</v>
      </c>
      <c r="B462" t="s">
        <v>71</v>
      </c>
      <c r="E462" t="s">
        <v>29</v>
      </c>
      <c r="F462">
        <v>1687160</v>
      </c>
      <c r="G462">
        <v>4</v>
      </c>
      <c r="H462">
        <v>1</v>
      </c>
      <c r="I462">
        <v>796</v>
      </c>
      <c r="J462">
        <v>2000</v>
      </c>
      <c r="K462" s="4">
        <v>44691</v>
      </c>
      <c r="L462" t="s">
        <v>26</v>
      </c>
      <c r="M462" t="s">
        <v>56</v>
      </c>
      <c r="N462">
        <v>2.64</v>
      </c>
      <c r="O462">
        <v>1895</v>
      </c>
      <c r="P462">
        <v>1.99</v>
      </c>
      <c r="Q462">
        <v>188</v>
      </c>
      <c r="R462">
        <v>467</v>
      </c>
    </row>
    <row r="463" spans="1:18" hidden="1" x14ac:dyDescent="0.2">
      <c r="A463">
        <v>9</v>
      </c>
      <c r="B463" t="s">
        <v>86</v>
      </c>
      <c r="E463" t="s">
        <v>51</v>
      </c>
      <c r="F463">
        <v>2099845</v>
      </c>
      <c r="G463">
        <v>3</v>
      </c>
      <c r="H463">
        <v>1</v>
      </c>
      <c r="I463">
        <v>447</v>
      </c>
      <c r="J463">
        <v>1980</v>
      </c>
      <c r="K463" s="4">
        <v>44405</v>
      </c>
      <c r="L463" t="s">
        <v>20</v>
      </c>
      <c r="M463" t="s">
        <v>66</v>
      </c>
      <c r="N463">
        <v>1.7</v>
      </c>
      <c r="O463">
        <v>2098</v>
      </c>
      <c r="P463">
        <v>2.9</v>
      </c>
      <c r="Q463">
        <v>294</v>
      </c>
      <c r="R463">
        <v>329</v>
      </c>
    </row>
    <row r="464" spans="1:18" hidden="1" x14ac:dyDescent="0.2">
      <c r="A464">
        <v>4</v>
      </c>
      <c r="B464" t="s">
        <v>98</v>
      </c>
      <c r="E464" t="s">
        <v>19</v>
      </c>
      <c r="F464">
        <v>1151796</v>
      </c>
      <c r="G464">
        <v>2</v>
      </c>
      <c r="H464">
        <v>3</v>
      </c>
      <c r="I464">
        <v>621</v>
      </c>
      <c r="J464">
        <v>1958</v>
      </c>
      <c r="K464" s="4">
        <v>44892</v>
      </c>
      <c r="L464" t="s">
        <v>30</v>
      </c>
      <c r="M464" t="s">
        <v>45</v>
      </c>
      <c r="N464">
        <v>1.76</v>
      </c>
      <c r="O464">
        <v>1701</v>
      </c>
      <c r="P464">
        <v>0.46</v>
      </c>
      <c r="Q464">
        <v>127</v>
      </c>
      <c r="R464">
        <v>409</v>
      </c>
    </row>
    <row r="465" spans="1:18" hidden="1" x14ac:dyDescent="0.2">
      <c r="A465">
        <v>9</v>
      </c>
      <c r="B465" t="s">
        <v>94</v>
      </c>
      <c r="E465" t="s">
        <v>36</v>
      </c>
      <c r="F465">
        <v>1605352</v>
      </c>
      <c r="G465">
        <v>1</v>
      </c>
      <c r="H465">
        <v>3</v>
      </c>
      <c r="I465">
        <v>796</v>
      </c>
      <c r="J465">
        <v>2019</v>
      </c>
      <c r="K465" s="4">
        <v>45478</v>
      </c>
      <c r="L465" t="s">
        <v>23</v>
      </c>
      <c r="M465" t="s">
        <v>78</v>
      </c>
      <c r="N465">
        <v>2.4900000000000002</v>
      </c>
      <c r="O465">
        <v>1080</v>
      </c>
      <c r="P465">
        <v>1</v>
      </c>
      <c r="Q465">
        <v>55</v>
      </c>
      <c r="R465">
        <v>637</v>
      </c>
    </row>
    <row r="466" spans="1:18" hidden="1" x14ac:dyDescent="0.2">
      <c r="A466">
        <v>6</v>
      </c>
      <c r="B466" t="s">
        <v>61</v>
      </c>
      <c r="E466" t="s">
        <v>51</v>
      </c>
      <c r="F466">
        <v>890678</v>
      </c>
      <c r="G466">
        <v>1</v>
      </c>
      <c r="H466">
        <v>1</v>
      </c>
      <c r="I466">
        <v>731</v>
      </c>
      <c r="J466">
        <v>1950</v>
      </c>
      <c r="K466" s="4">
        <v>44069</v>
      </c>
      <c r="L466" t="s">
        <v>30</v>
      </c>
      <c r="M466" t="s">
        <v>77</v>
      </c>
      <c r="N466">
        <v>3.46</v>
      </c>
      <c r="O466">
        <v>1246</v>
      </c>
      <c r="P466">
        <v>4.63</v>
      </c>
      <c r="Q466">
        <v>62</v>
      </c>
      <c r="R466">
        <v>673</v>
      </c>
    </row>
    <row r="467" spans="1:18" hidden="1" x14ac:dyDescent="0.2">
      <c r="A467">
        <v>2</v>
      </c>
      <c r="B467" t="s">
        <v>46</v>
      </c>
      <c r="E467" t="s">
        <v>29</v>
      </c>
      <c r="F467">
        <v>2868767</v>
      </c>
      <c r="G467">
        <v>4</v>
      </c>
      <c r="H467">
        <v>2</v>
      </c>
      <c r="I467">
        <v>391</v>
      </c>
      <c r="J467">
        <v>2002</v>
      </c>
      <c r="K467" s="4">
        <v>44625</v>
      </c>
      <c r="L467" t="s">
        <v>23</v>
      </c>
      <c r="M467" t="s">
        <v>97</v>
      </c>
      <c r="N467">
        <v>2.1800000000000002</v>
      </c>
      <c r="O467">
        <v>1766</v>
      </c>
      <c r="P467">
        <v>3.14</v>
      </c>
      <c r="Q467">
        <v>394</v>
      </c>
      <c r="R467">
        <v>619</v>
      </c>
    </row>
    <row r="468" spans="1:18" hidden="1" x14ac:dyDescent="0.2">
      <c r="A468">
        <v>6</v>
      </c>
      <c r="B468" t="s">
        <v>88</v>
      </c>
      <c r="E468" t="s">
        <v>29</v>
      </c>
      <c r="F468">
        <v>407884</v>
      </c>
      <c r="G468">
        <v>2</v>
      </c>
      <c r="H468">
        <v>3</v>
      </c>
      <c r="I468">
        <v>440</v>
      </c>
      <c r="J468">
        <v>1960</v>
      </c>
      <c r="K468" s="4">
        <v>44918</v>
      </c>
      <c r="L468" t="s">
        <v>30</v>
      </c>
      <c r="M468" t="s">
        <v>31</v>
      </c>
      <c r="N468">
        <v>2.8</v>
      </c>
      <c r="O468">
        <v>2185</v>
      </c>
      <c r="P468">
        <v>3.06</v>
      </c>
      <c r="Q468">
        <v>211</v>
      </c>
      <c r="R468">
        <v>481</v>
      </c>
    </row>
    <row r="469" spans="1:18" hidden="1" x14ac:dyDescent="0.2">
      <c r="A469">
        <v>0</v>
      </c>
      <c r="B469" t="s">
        <v>55</v>
      </c>
      <c r="E469" t="s">
        <v>19</v>
      </c>
      <c r="F469">
        <v>1822925</v>
      </c>
      <c r="G469">
        <v>3</v>
      </c>
      <c r="H469">
        <v>1</v>
      </c>
      <c r="I469">
        <v>346</v>
      </c>
      <c r="J469">
        <v>1998</v>
      </c>
      <c r="K469" s="4">
        <v>45886</v>
      </c>
      <c r="L469" t="s">
        <v>23</v>
      </c>
      <c r="M469" t="s">
        <v>27</v>
      </c>
      <c r="N469">
        <v>1.8</v>
      </c>
      <c r="O469">
        <v>858</v>
      </c>
      <c r="P469">
        <v>4.72</v>
      </c>
      <c r="Q469">
        <v>138</v>
      </c>
      <c r="R469">
        <v>369</v>
      </c>
    </row>
    <row r="470" spans="1:18" hidden="1" x14ac:dyDescent="0.2">
      <c r="A470">
        <v>1</v>
      </c>
      <c r="B470" t="s">
        <v>53</v>
      </c>
      <c r="E470" t="s">
        <v>36</v>
      </c>
      <c r="F470">
        <v>2710868</v>
      </c>
      <c r="G470">
        <v>5</v>
      </c>
      <c r="H470">
        <v>3</v>
      </c>
      <c r="I470">
        <v>237</v>
      </c>
      <c r="J470">
        <v>2001</v>
      </c>
      <c r="K470" s="4">
        <v>45488</v>
      </c>
      <c r="L470" t="s">
        <v>26</v>
      </c>
      <c r="M470" t="s">
        <v>82</v>
      </c>
      <c r="N470">
        <v>2.37</v>
      </c>
      <c r="O470">
        <v>1658</v>
      </c>
      <c r="P470">
        <v>5</v>
      </c>
      <c r="Q470">
        <v>264</v>
      </c>
      <c r="R470">
        <v>686</v>
      </c>
    </row>
    <row r="471" spans="1:18" hidden="1" x14ac:dyDescent="0.2">
      <c r="A471">
        <v>5</v>
      </c>
      <c r="B471" t="s">
        <v>105</v>
      </c>
      <c r="E471" t="s">
        <v>29</v>
      </c>
      <c r="F471">
        <v>2211936</v>
      </c>
      <c r="G471">
        <v>4</v>
      </c>
      <c r="H471">
        <v>2</v>
      </c>
      <c r="I471">
        <v>299</v>
      </c>
      <c r="J471">
        <v>2003</v>
      </c>
      <c r="K471" s="4">
        <v>44911</v>
      </c>
      <c r="L471" t="s">
        <v>20</v>
      </c>
      <c r="M471" t="s">
        <v>97</v>
      </c>
      <c r="N471">
        <v>2.68</v>
      </c>
      <c r="O471">
        <v>1200</v>
      </c>
      <c r="P471">
        <v>0.53</v>
      </c>
      <c r="Q471">
        <v>340</v>
      </c>
      <c r="R471">
        <v>500</v>
      </c>
    </row>
    <row r="472" spans="1:18" hidden="1" x14ac:dyDescent="0.2">
      <c r="A472">
        <v>1</v>
      </c>
      <c r="B472" t="s">
        <v>41</v>
      </c>
      <c r="E472" t="s">
        <v>36</v>
      </c>
      <c r="F472">
        <v>2645953</v>
      </c>
      <c r="G472">
        <v>4</v>
      </c>
      <c r="H472">
        <v>1</v>
      </c>
      <c r="I472">
        <v>471</v>
      </c>
      <c r="J472">
        <v>1991</v>
      </c>
      <c r="K472" s="4">
        <v>45885</v>
      </c>
      <c r="L472" t="s">
        <v>20</v>
      </c>
      <c r="M472" t="s">
        <v>63</v>
      </c>
      <c r="N472">
        <v>2.34</v>
      </c>
      <c r="O472">
        <v>1044</v>
      </c>
      <c r="P472">
        <v>2.5499999999999998</v>
      </c>
      <c r="Q472">
        <v>262</v>
      </c>
      <c r="R472">
        <v>354</v>
      </c>
    </row>
    <row r="473" spans="1:18" hidden="1" x14ac:dyDescent="0.2">
      <c r="A473">
        <v>2</v>
      </c>
      <c r="B473" t="s">
        <v>101</v>
      </c>
      <c r="E473" t="s">
        <v>19</v>
      </c>
      <c r="F473">
        <v>2884517</v>
      </c>
      <c r="G473">
        <v>1</v>
      </c>
      <c r="H473">
        <v>2</v>
      </c>
      <c r="I473">
        <v>128</v>
      </c>
      <c r="J473">
        <v>1995</v>
      </c>
      <c r="K473" s="4">
        <v>44553</v>
      </c>
      <c r="L473" t="s">
        <v>30</v>
      </c>
      <c r="M473" t="s">
        <v>42</v>
      </c>
      <c r="N473">
        <v>3.43</v>
      </c>
      <c r="O473">
        <v>2495</v>
      </c>
      <c r="P473">
        <v>4.2</v>
      </c>
      <c r="Q473">
        <v>92</v>
      </c>
      <c r="R473">
        <v>401</v>
      </c>
    </row>
    <row r="474" spans="1:18" hidden="1" x14ac:dyDescent="0.2">
      <c r="A474">
        <v>6</v>
      </c>
      <c r="B474" t="s">
        <v>80</v>
      </c>
      <c r="E474" t="s">
        <v>19</v>
      </c>
      <c r="F474">
        <v>704142</v>
      </c>
      <c r="G474">
        <v>2</v>
      </c>
      <c r="H474">
        <v>2</v>
      </c>
      <c r="I474">
        <v>316</v>
      </c>
      <c r="J474">
        <v>2008</v>
      </c>
      <c r="K474" s="4">
        <v>45073</v>
      </c>
      <c r="L474" t="s">
        <v>26</v>
      </c>
      <c r="M474" t="s">
        <v>35</v>
      </c>
      <c r="N474">
        <v>2.58</v>
      </c>
      <c r="O474">
        <v>1253</v>
      </c>
      <c r="P474">
        <v>2.11</v>
      </c>
      <c r="Q474">
        <v>214</v>
      </c>
      <c r="R474">
        <v>385</v>
      </c>
    </row>
    <row r="475" spans="1:18" hidden="1" x14ac:dyDescent="0.2">
      <c r="A475">
        <v>1</v>
      </c>
      <c r="B475" t="s">
        <v>44</v>
      </c>
      <c r="E475" t="s">
        <v>29</v>
      </c>
      <c r="F475">
        <v>835060</v>
      </c>
      <c r="G475">
        <v>2</v>
      </c>
      <c r="H475">
        <v>1</v>
      </c>
      <c r="I475">
        <v>874</v>
      </c>
      <c r="J475">
        <v>1963</v>
      </c>
      <c r="K475" s="4">
        <v>44606</v>
      </c>
      <c r="L475" t="s">
        <v>30</v>
      </c>
      <c r="M475" t="s">
        <v>40</v>
      </c>
      <c r="N475">
        <v>1.78</v>
      </c>
      <c r="O475">
        <v>1672</v>
      </c>
      <c r="P475">
        <v>0.32</v>
      </c>
      <c r="Q475">
        <v>233</v>
      </c>
      <c r="R475">
        <v>514</v>
      </c>
    </row>
    <row r="476" spans="1:18" hidden="1" x14ac:dyDescent="0.2">
      <c r="A476">
        <v>2</v>
      </c>
      <c r="B476" t="s">
        <v>75</v>
      </c>
      <c r="E476" t="s">
        <v>19</v>
      </c>
      <c r="F476">
        <v>1360453</v>
      </c>
      <c r="G476">
        <v>3</v>
      </c>
      <c r="H476">
        <v>3</v>
      </c>
      <c r="I476">
        <v>69</v>
      </c>
      <c r="J476">
        <v>1992</v>
      </c>
      <c r="K476" s="4">
        <v>44885</v>
      </c>
      <c r="L476" t="s">
        <v>26</v>
      </c>
      <c r="M476" t="s">
        <v>58</v>
      </c>
      <c r="N476">
        <v>2.74</v>
      </c>
      <c r="O476">
        <v>1486</v>
      </c>
      <c r="P476">
        <v>1.64</v>
      </c>
      <c r="Q476">
        <v>236</v>
      </c>
      <c r="R476">
        <v>437</v>
      </c>
    </row>
    <row r="477" spans="1:18" hidden="1" x14ac:dyDescent="0.2">
      <c r="A477">
        <v>0</v>
      </c>
      <c r="B477" t="s">
        <v>41</v>
      </c>
      <c r="E477" t="s">
        <v>36</v>
      </c>
      <c r="F477">
        <v>2125292</v>
      </c>
      <c r="G477">
        <v>4</v>
      </c>
      <c r="H477">
        <v>3</v>
      </c>
      <c r="I477">
        <v>913</v>
      </c>
      <c r="J477">
        <v>2003</v>
      </c>
      <c r="K477" s="4">
        <v>44559</v>
      </c>
      <c r="L477" t="s">
        <v>23</v>
      </c>
      <c r="M477" t="s">
        <v>59</v>
      </c>
      <c r="N477">
        <v>2.78</v>
      </c>
      <c r="O477">
        <v>943</v>
      </c>
      <c r="P477">
        <v>2.64</v>
      </c>
      <c r="Q477">
        <v>173</v>
      </c>
      <c r="R477">
        <v>688</v>
      </c>
    </row>
    <row r="478" spans="1:18" x14ac:dyDescent="0.2">
      <c r="A478">
        <v>8</v>
      </c>
      <c r="B478" t="s">
        <v>80</v>
      </c>
      <c r="E478" t="s">
        <v>19</v>
      </c>
      <c r="F478">
        <v>1041720</v>
      </c>
      <c r="G478">
        <v>1</v>
      </c>
      <c r="H478">
        <v>2</v>
      </c>
      <c r="I478">
        <v>952</v>
      </c>
      <c r="J478">
        <v>1978</v>
      </c>
      <c r="K478" s="4">
        <v>44788</v>
      </c>
      <c r="L478" t="s">
        <v>23</v>
      </c>
      <c r="M478" t="s">
        <v>42</v>
      </c>
      <c r="N478">
        <v>2.65</v>
      </c>
      <c r="O478">
        <v>2467</v>
      </c>
      <c r="P478">
        <v>1.63</v>
      </c>
      <c r="Q478">
        <v>81</v>
      </c>
      <c r="R478">
        <v>586</v>
      </c>
    </row>
    <row r="479" spans="1:18" hidden="1" x14ac:dyDescent="0.2">
      <c r="A479">
        <v>0</v>
      </c>
      <c r="B479" t="s">
        <v>105</v>
      </c>
      <c r="E479" t="s">
        <v>19</v>
      </c>
      <c r="F479">
        <v>476652</v>
      </c>
      <c r="G479">
        <v>0</v>
      </c>
      <c r="H479">
        <v>3</v>
      </c>
      <c r="I479">
        <v>135</v>
      </c>
      <c r="J479">
        <v>1968</v>
      </c>
      <c r="K479" s="4">
        <v>45020</v>
      </c>
      <c r="L479" t="s">
        <v>26</v>
      </c>
      <c r="M479" t="s">
        <v>70</v>
      </c>
      <c r="N479">
        <v>2.13</v>
      </c>
      <c r="O479">
        <v>2312</v>
      </c>
      <c r="P479">
        <v>3.12</v>
      </c>
      <c r="Q479">
        <v>53</v>
      </c>
      <c r="R479">
        <v>651</v>
      </c>
    </row>
    <row r="480" spans="1:18" hidden="1" x14ac:dyDescent="0.2">
      <c r="A480">
        <v>1</v>
      </c>
      <c r="B480" t="s">
        <v>91</v>
      </c>
      <c r="E480" t="s">
        <v>29</v>
      </c>
      <c r="F480">
        <v>2941910</v>
      </c>
      <c r="G480">
        <v>4</v>
      </c>
      <c r="H480">
        <v>1</v>
      </c>
      <c r="I480">
        <v>717</v>
      </c>
      <c r="J480">
        <v>2018</v>
      </c>
      <c r="K480" s="4">
        <v>44943</v>
      </c>
      <c r="L480" t="s">
        <v>30</v>
      </c>
      <c r="M480" t="s">
        <v>82</v>
      </c>
      <c r="N480">
        <v>3.38</v>
      </c>
      <c r="O480">
        <v>1003</v>
      </c>
      <c r="P480">
        <v>1.54</v>
      </c>
      <c r="Q480">
        <v>215</v>
      </c>
      <c r="R480">
        <v>674</v>
      </c>
    </row>
    <row r="481" spans="1:18" hidden="1" x14ac:dyDescent="0.2">
      <c r="A481">
        <v>6</v>
      </c>
      <c r="B481" t="s">
        <v>43</v>
      </c>
      <c r="E481" t="s">
        <v>51</v>
      </c>
      <c r="F481">
        <v>545687</v>
      </c>
      <c r="G481">
        <v>6</v>
      </c>
      <c r="H481">
        <v>3</v>
      </c>
      <c r="I481">
        <v>518</v>
      </c>
      <c r="J481">
        <v>1976</v>
      </c>
      <c r="K481" s="4">
        <v>45462</v>
      </c>
      <c r="L481" t="s">
        <v>23</v>
      </c>
      <c r="M481" t="s">
        <v>59</v>
      </c>
      <c r="N481">
        <v>2.17</v>
      </c>
      <c r="O481">
        <v>1179</v>
      </c>
      <c r="P481">
        <v>3.75</v>
      </c>
      <c r="Q481">
        <v>385</v>
      </c>
      <c r="R481">
        <v>406</v>
      </c>
    </row>
    <row r="482" spans="1:18" hidden="1" x14ac:dyDescent="0.2">
      <c r="A482">
        <v>9</v>
      </c>
      <c r="B482" t="s">
        <v>62</v>
      </c>
      <c r="E482" t="s">
        <v>36</v>
      </c>
      <c r="F482">
        <v>2565970</v>
      </c>
      <c r="G482">
        <v>1</v>
      </c>
      <c r="H482">
        <v>1</v>
      </c>
      <c r="I482">
        <v>801</v>
      </c>
      <c r="J482">
        <v>2000</v>
      </c>
      <c r="K482" s="4">
        <v>45178</v>
      </c>
      <c r="L482" t="s">
        <v>23</v>
      </c>
      <c r="M482" t="s">
        <v>66</v>
      </c>
      <c r="N482">
        <v>2.99</v>
      </c>
      <c r="O482">
        <v>828</v>
      </c>
      <c r="P482">
        <v>4.34</v>
      </c>
      <c r="Q482">
        <v>112</v>
      </c>
      <c r="R482">
        <v>653</v>
      </c>
    </row>
    <row r="483" spans="1:18" hidden="1" x14ac:dyDescent="0.2">
      <c r="A483">
        <v>4</v>
      </c>
      <c r="B483" t="s">
        <v>71</v>
      </c>
      <c r="E483" t="s">
        <v>29</v>
      </c>
      <c r="F483">
        <v>2349690</v>
      </c>
      <c r="G483">
        <v>2</v>
      </c>
      <c r="H483">
        <v>1</v>
      </c>
      <c r="I483">
        <v>206</v>
      </c>
      <c r="J483">
        <v>1963</v>
      </c>
      <c r="K483" s="4">
        <v>44414</v>
      </c>
      <c r="L483" t="s">
        <v>20</v>
      </c>
      <c r="M483" t="s">
        <v>45</v>
      </c>
      <c r="N483">
        <v>2.44</v>
      </c>
      <c r="O483">
        <v>1475</v>
      </c>
      <c r="P483">
        <v>4.2</v>
      </c>
      <c r="Q483">
        <v>100</v>
      </c>
      <c r="R483">
        <v>396</v>
      </c>
    </row>
    <row r="484" spans="1:18" hidden="1" x14ac:dyDescent="0.2">
      <c r="A484">
        <v>1</v>
      </c>
      <c r="B484" t="s">
        <v>48</v>
      </c>
      <c r="E484" t="s">
        <v>36</v>
      </c>
      <c r="F484">
        <v>1493488</v>
      </c>
      <c r="G484">
        <v>2</v>
      </c>
      <c r="H484">
        <v>3</v>
      </c>
      <c r="I484">
        <v>744</v>
      </c>
      <c r="J484">
        <v>2009</v>
      </c>
      <c r="K484" s="4">
        <v>44810</v>
      </c>
      <c r="L484" t="s">
        <v>26</v>
      </c>
      <c r="M484" t="s">
        <v>76</v>
      </c>
      <c r="N484">
        <v>1.5</v>
      </c>
      <c r="O484">
        <v>2228</v>
      </c>
      <c r="P484">
        <v>2.38</v>
      </c>
      <c r="Q484">
        <v>96</v>
      </c>
      <c r="R484">
        <v>530</v>
      </c>
    </row>
    <row r="485" spans="1:18" hidden="1" x14ac:dyDescent="0.2">
      <c r="A485">
        <v>3</v>
      </c>
      <c r="B485" t="s">
        <v>73</v>
      </c>
      <c r="E485" t="s">
        <v>36</v>
      </c>
      <c r="F485">
        <v>536044</v>
      </c>
      <c r="G485">
        <v>3</v>
      </c>
      <c r="H485">
        <v>2</v>
      </c>
      <c r="I485">
        <v>915</v>
      </c>
      <c r="J485">
        <v>1992</v>
      </c>
      <c r="K485" s="4">
        <v>44118</v>
      </c>
      <c r="L485" t="s">
        <v>20</v>
      </c>
      <c r="M485" t="s">
        <v>47</v>
      </c>
      <c r="N485">
        <v>1.56</v>
      </c>
      <c r="O485">
        <v>1874</v>
      </c>
      <c r="P485">
        <v>3.75</v>
      </c>
      <c r="Q485">
        <v>106</v>
      </c>
      <c r="R485">
        <v>640</v>
      </c>
    </row>
    <row r="486" spans="1:18" hidden="1" x14ac:dyDescent="0.2">
      <c r="A486">
        <v>5</v>
      </c>
      <c r="B486" t="s">
        <v>73</v>
      </c>
      <c r="E486" t="s">
        <v>29</v>
      </c>
      <c r="F486">
        <v>2330660</v>
      </c>
      <c r="G486">
        <v>6</v>
      </c>
      <c r="H486">
        <v>3</v>
      </c>
      <c r="I486">
        <v>861</v>
      </c>
      <c r="J486">
        <v>1954</v>
      </c>
      <c r="K486" s="4">
        <v>44618</v>
      </c>
      <c r="L486" t="s">
        <v>23</v>
      </c>
      <c r="M486" t="s">
        <v>52</v>
      </c>
      <c r="N486">
        <v>1.6</v>
      </c>
      <c r="O486">
        <v>1511</v>
      </c>
      <c r="P486">
        <v>1.06</v>
      </c>
      <c r="Q486">
        <v>381</v>
      </c>
      <c r="R486">
        <v>333</v>
      </c>
    </row>
    <row r="487" spans="1:18" hidden="1" x14ac:dyDescent="0.2">
      <c r="A487">
        <v>3</v>
      </c>
      <c r="B487" t="s">
        <v>72</v>
      </c>
      <c r="E487" t="s">
        <v>19</v>
      </c>
      <c r="F487">
        <v>1178732</v>
      </c>
      <c r="G487">
        <v>3</v>
      </c>
      <c r="H487">
        <v>2</v>
      </c>
      <c r="I487">
        <v>827</v>
      </c>
      <c r="J487">
        <v>2001</v>
      </c>
      <c r="K487" s="4">
        <v>45626</v>
      </c>
      <c r="L487" t="s">
        <v>26</v>
      </c>
      <c r="M487" t="s">
        <v>33</v>
      </c>
      <c r="N487">
        <v>2.2599999999999998</v>
      </c>
      <c r="O487">
        <v>909</v>
      </c>
      <c r="P487">
        <v>4.3099999999999996</v>
      </c>
      <c r="Q487">
        <v>123</v>
      </c>
      <c r="R487">
        <v>627</v>
      </c>
    </row>
    <row r="488" spans="1:18" x14ac:dyDescent="0.2">
      <c r="A488">
        <v>8</v>
      </c>
      <c r="B488" t="s">
        <v>41</v>
      </c>
      <c r="E488" t="s">
        <v>29</v>
      </c>
      <c r="F488">
        <v>580179</v>
      </c>
      <c r="G488">
        <v>3</v>
      </c>
      <c r="H488">
        <v>3</v>
      </c>
      <c r="I488">
        <v>926</v>
      </c>
      <c r="J488">
        <v>1988</v>
      </c>
      <c r="K488" s="4">
        <v>44777</v>
      </c>
      <c r="L488" t="s">
        <v>30</v>
      </c>
      <c r="M488" t="s">
        <v>37</v>
      </c>
      <c r="N488">
        <v>2.11</v>
      </c>
      <c r="O488">
        <v>1058</v>
      </c>
      <c r="P488">
        <v>1.1399999999999999</v>
      </c>
      <c r="Q488">
        <v>156</v>
      </c>
      <c r="R488">
        <v>410</v>
      </c>
    </row>
    <row r="489" spans="1:18" hidden="1" x14ac:dyDescent="0.2">
      <c r="A489">
        <v>6</v>
      </c>
      <c r="B489" t="s">
        <v>43</v>
      </c>
      <c r="E489" t="s">
        <v>36</v>
      </c>
      <c r="F489">
        <v>811032</v>
      </c>
      <c r="G489">
        <v>6</v>
      </c>
      <c r="H489">
        <v>2</v>
      </c>
      <c r="I489">
        <v>267</v>
      </c>
      <c r="J489">
        <v>1960</v>
      </c>
      <c r="K489" s="4">
        <v>45880</v>
      </c>
      <c r="L489" t="s">
        <v>20</v>
      </c>
      <c r="M489" t="s">
        <v>52</v>
      </c>
      <c r="N489">
        <v>2.11</v>
      </c>
      <c r="O489">
        <v>972</v>
      </c>
      <c r="P489">
        <v>4.45</v>
      </c>
      <c r="Q489">
        <v>352</v>
      </c>
      <c r="R489">
        <v>634</v>
      </c>
    </row>
    <row r="490" spans="1:18" hidden="1" x14ac:dyDescent="0.2">
      <c r="A490">
        <v>6</v>
      </c>
      <c r="B490" t="s">
        <v>48</v>
      </c>
      <c r="E490" t="s">
        <v>51</v>
      </c>
      <c r="F490">
        <v>1594003</v>
      </c>
      <c r="G490">
        <v>1</v>
      </c>
      <c r="H490">
        <v>2</v>
      </c>
      <c r="I490">
        <v>989</v>
      </c>
      <c r="J490">
        <v>2001</v>
      </c>
      <c r="K490" s="4">
        <v>44682</v>
      </c>
      <c r="L490" t="s">
        <v>26</v>
      </c>
      <c r="M490" t="s">
        <v>74</v>
      </c>
      <c r="N490">
        <v>2.2200000000000002</v>
      </c>
      <c r="O490">
        <v>2124</v>
      </c>
      <c r="P490">
        <v>3.53</v>
      </c>
      <c r="Q490">
        <v>100</v>
      </c>
      <c r="R490">
        <v>489</v>
      </c>
    </row>
    <row r="491" spans="1:18" hidden="1" x14ac:dyDescent="0.2">
      <c r="A491">
        <v>3</v>
      </c>
      <c r="B491" t="s">
        <v>102</v>
      </c>
      <c r="E491" t="s">
        <v>51</v>
      </c>
      <c r="F491">
        <v>1522207</v>
      </c>
      <c r="G491">
        <v>4</v>
      </c>
      <c r="H491">
        <v>3</v>
      </c>
      <c r="I491">
        <v>411</v>
      </c>
      <c r="J491">
        <v>2003</v>
      </c>
      <c r="K491" s="4">
        <v>44295</v>
      </c>
      <c r="L491" t="s">
        <v>23</v>
      </c>
      <c r="M491" t="s">
        <v>33</v>
      </c>
      <c r="N491">
        <v>1.8</v>
      </c>
      <c r="O491">
        <v>2016</v>
      </c>
      <c r="P491">
        <v>3.99</v>
      </c>
      <c r="Q491">
        <v>217</v>
      </c>
      <c r="R491">
        <v>631</v>
      </c>
    </row>
    <row r="492" spans="1:18" hidden="1" x14ac:dyDescent="0.2">
      <c r="A492">
        <v>9</v>
      </c>
      <c r="B492" t="s">
        <v>50</v>
      </c>
      <c r="E492" t="s">
        <v>29</v>
      </c>
      <c r="F492">
        <v>1891807</v>
      </c>
      <c r="G492">
        <v>3</v>
      </c>
      <c r="H492">
        <v>3</v>
      </c>
      <c r="I492">
        <v>867</v>
      </c>
      <c r="J492">
        <v>1975</v>
      </c>
      <c r="K492" s="4">
        <v>45596</v>
      </c>
      <c r="L492" t="s">
        <v>30</v>
      </c>
      <c r="M492" t="s">
        <v>31</v>
      </c>
      <c r="N492">
        <v>2.2999999999999998</v>
      </c>
      <c r="O492">
        <v>2316</v>
      </c>
      <c r="P492">
        <v>1.45</v>
      </c>
      <c r="Q492">
        <v>244</v>
      </c>
      <c r="R492">
        <v>325</v>
      </c>
    </row>
    <row r="493" spans="1:18" hidden="1" x14ac:dyDescent="0.2">
      <c r="A493">
        <v>7</v>
      </c>
      <c r="B493" t="s">
        <v>34</v>
      </c>
      <c r="E493" t="s">
        <v>29</v>
      </c>
      <c r="F493">
        <v>2248231</v>
      </c>
      <c r="G493">
        <v>6</v>
      </c>
      <c r="H493">
        <v>3</v>
      </c>
      <c r="I493">
        <v>313</v>
      </c>
      <c r="J493">
        <v>2000</v>
      </c>
      <c r="K493" s="4">
        <v>44276</v>
      </c>
      <c r="L493" t="s">
        <v>26</v>
      </c>
      <c r="M493" t="s">
        <v>47</v>
      </c>
      <c r="N493">
        <v>2.2200000000000002</v>
      </c>
      <c r="O493">
        <v>1056</v>
      </c>
      <c r="P493">
        <v>1.04</v>
      </c>
      <c r="Q493">
        <v>324</v>
      </c>
      <c r="R493">
        <v>425</v>
      </c>
    </row>
    <row r="494" spans="1:18" hidden="1" x14ac:dyDescent="0.2">
      <c r="A494">
        <v>6</v>
      </c>
      <c r="B494" t="s">
        <v>88</v>
      </c>
      <c r="E494" t="s">
        <v>36</v>
      </c>
      <c r="F494">
        <v>2284746</v>
      </c>
      <c r="G494">
        <v>3</v>
      </c>
      <c r="H494">
        <v>1</v>
      </c>
      <c r="I494">
        <v>359</v>
      </c>
      <c r="J494">
        <v>2017</v>
      </c>
      <c r="K494" s="4">
        <v>44851</v>
      </c>
      <c r="L494" t="s">
        <v>20</v>
      </c>
      <c r="M494" t="s">
        <v>27</v>
      </c>
      <c r="N494">
        <v>1.86</v>
      </c>
      <c r="O494">
        <v>2137</v>
      </c>
      <c r="P494">
        <v>1.1299999999999999</v>
      </c>
      <c r="Q494">
        <v>111</v>
      </c>
      <c r="R494">
        <v>330</v>
      </c>
    </row>
    <row r="495" spans="1:18" hidden="1" x14ac:dyDescent="0.2">
      <c r="A495">
        <v>6</v>
      </c>
      <c r="B495" t="s">
        <v>34</v>
      </c>
      <c r="E495" t="s">
        <v>36</v>
      </c>
      <c r="F495">
        <v>2291317</v>
      </c>
      <c r="G495">
        <v>4</v>
      </c>
      <c r="H495">
        <v>2</v>
      </c>
      <c r="I495">
        <v>711</v>
      </c>
      <c r="J495">
        <v>1972</v>
      </c>
      <c r="K495" s="4">
        <v>45253</v>
      </c>
      <c r="L495" t="s">
        <v>20</v>
      </c>
      <c r="M495" t="s">
        <v>78</v>
      </c>
      <c r="N495">
        <v>2.69</v>
      </c>
      <c r="O495">
        <v>1117</v>
      </c>
      <c r="P495">
        <v>2.2799999999999998</v>
      </c>
      <c r="Q495">
        <v>261</v>
      </c>
      <c r="R495">
        <v>481</v>
      </c>
    </row>
    <row r="496" spans="1:18" hidden="1" x14ac:dyDescent="0.2">
      <c r="A496">
        <v>4</v>
      </c>
      <c r="B496" t="s">
        <v>87</v>
      </c>
      <c r="E496" t="s">
        <v>29</v>
      </c>
      <c r="F496">
        <v>998574</v>
      </c>
      <c r="G496">
        <v>3</v>
      </c>
      <c r="H496">
        <v>3</v>
      </c>
      <c r="I496">
        <v>939</v>
      </c>
      <c r="J496">
        <v>1955</v>
      </c>
      <c r="K496" s="4">
        <v>45007</v>
      </c>
      <c r="L496" t="s">
        <v>26</v>
      </c>
      <c r="M496" t="s">
        <v>78</v>
      </c>
      <c r="N496">
        <v>1.89</v>
      </c>
      <c r="O496">
        <v>2280</v>
      </c>
      <c r="P496">
        <v>1.68</v>
      </c>
      <c r="Q496">
        <v>165</v>
      </c>
      <c r="R496">
        <v>523</v>
      </c>
    </row>
    <row r="497" spans="1:18" hidden="1" x14ac:dyDescent="0.2">
      <c r="A497">
        <v>9</v>
      </c>
      <c r="B497" t="s">
        <v>39</v>
      </c>
      <c r="E497" t="s">
        <v>19</v>
      </c>
      <c r="F497">
        <v>2291611</v>
      </c>
      <c r="G497">
        <v>4</v>
      </c>
      <c r="H497">
        <v>1</v>
      </c>
      <c r="I497">
        <v>566</v>
      </c>
      <c r="J497">
        <v>1982</v>
      </c>
      <c r="K497" s="4">
        <v>45460</v>
      </c>
      <c r="L497" t="s">
        <v>20</v>
      </c>
      <c r="M497" t="s">
        <v>21</v>
      </c>
      <c r="N497">
        <v>1.92</v>
      </c>
      <c r="O497">
        <v>1473</v>
      </c>
      <c r="P497">
        <v>4.12</v>
      </c>
      <c r="Q497">
        <v>265</v>
      </c>
      <c r="R497">
        <v>623</v>
      </c>
    </row>
    <row r="498" spans="1:18" hidden="1" x14ac:dyDescent="0.2">
      <c r="A498">
        <v>6</v>
      </c>
      <c r="B498" t="s">
        <v>98</v>
      </c>
      <c r="E498" t="s">
        <v>29</v>
      </c>
      <c r="F498">
        <v>1808306</v>
      </c>
      <c r="G498">
        <v>6</v>
      </c>
      <c r="H498">
        <v>2</v>
      </c>
      <c r="I498">
        <v>531</v>
      </c>
      <c r="J498">
        <v>1975</v>
      </c>
      <c r="K498" s="4">
        <v>44375</v>
      </c>
      <c r="L498" t="s">
        <v>30</v>
      </c>
      <c r="M498" t="s">
        <v>27</v>
      </c>
      <c r="N498">
        <v>2.81</v>
      </c>
      <c r="O498">
        <v>2484</v>
      </c>
      <c r="P498">
        <v>1.67</v>
      </c>
      <c r="Q498">
        <v>368</v>
      </c>
      <c r="R498">
        <v>608</v>
      </c>
    </row>
    <row r="499" spans="1:18" hidden="1" x14ac:dyDescent="0.2">
      <c r="A499">
        <v>7</v>
      </c>
      <c r="B499" t="s">
        <v>22</v>
      </c>
      <c r="E499" t="s">
        <v>19</v>
      </c>
      <c r="F499">
        <v>2213841</v>
      </c>
      <c r="G499">
        <v>3</v>
      </c>
      <c r="H499">
        <v>2</v>
      </c>
      <c r="I499">
        <v>53</v>
      </c>
      <c r="J499">
        <v>1987</v>
      </c>
      <c r="K499" s="4">
        <v>45571</v>
      </c>
      <c r="L499" t="s">
        <v>20</v>
      </c>
      <c r="M499" t="s">
        <v>58</v>
      </c>
      <c r="N499">
        <v>2.06</v>
      </c>
      <c r="O499">
        <v>800</v>
      </c>
      <c r="P499">
        <v>2.0099999999999998</v>
      </c>
      <c r="Q499">
        <v>179</v>
      </c>
      <c r="R499">
        <v>609</v>
      </c>
    </row>
    <row r="500" spans="1:18" hidden="1" x14ac:dyDescent="0.2">
      <c r="A500">
        <v>7</v>
      </c>
      <c r="B500" t="s">
        <v>57</v>
      </c>
      <c r="E500" t="s">
        <v>19</v>
      </c>
      <c r="F500">
        <v>2670010</v>
      </c>
      <c r="G500">
        <v>4</v>
      </c>
      <c r="H500">
        <v>1</v>
      </c>
      <c r="I500">
        <v>276</v>
      </c>
      <c r="J500">
        <v>1972</v>
      </c>
      <c r="K500" s="4">
        <v>44330</v>
      </c>
      <c r="L500" t="s">
        <v>30</v>
      </c>
      <c r="M500" t="s">
        <v>60</v>
      </c>
      <c r="N500">
        <v>1.89</v>
      </c>
      <c r="O500">
        <v>1356</v>
      </c>
      <c r="P500">
        <v>4.7</v>
      </c>
      <c r="Q500">
        <v>264</v>
      </c>
      <c r="R500">
        <v>552</v>
      </c>
    </row>
    <row r="501" spans="1:18" x14ac:dyDescent="0.2">
      <c r="A501">
        <v>8</v>
      </c>
      <c r="B501" t="s">
        <v>87</v>
      </c>
      <c r="E501" t="s">
        <v>19</v>
      </c>
      <c r="F501">
        <v>2170715</v>
      </c>
      <c r="G501">
        <v>5</v>
      </c>
      <c r="H501">
        <v>1</v>
      </c>
      <c r="I501">
        <v>998</v>
      </c>
      <c r="J501">
        <v>1960</v>
      </c>
      <c r="K501" s="4">
        <v>44735</v>
      </c>
      <c r="L501" t="s">
        <v>30</v>
      </c>
      <c r="M501" t="s">
        <v>33</v>
      </c>
      <c r="N501">
        <v>2.04</v>
      </c>
      <c r="O501">
        <v>1967</v>
      </c>
      <c r="P501">
        <v>0.28999999999999998</v>
      </c>
      <c r="Q501">
        <v>297</v>
      </c>
      <c r="R501">
        <v>488</v>
      </c>
    </row>
    <row r="502" spans="1:18" hidden="1" x14ac:dyDescent="0.2">
      <c r="A502">
        <v>2</v>
      </c>
      <c r="B502" t="s">
        <v>61</v>
      </c>
      <c r="E502" t="s">
        <v>19</v>
      </c>
      <c r="F502">
        <v>1967222</v>
      </c>
      <c r="G502">
        <v>2</v>
      </c>
      <c r="H502">
        <v>2</v>
      </c>
      <c r="I502">
        <v>996</v>
      </c>
      <c r="J502">
        <v>1965</v>
      </c>
      <c r="K502" s="4">
        <v>45550</v>
      </c>
      <c r="L502" t="s">
        <v>30</v>
      </c>
      <c r="M502" t="s">
        <v>52</v>
      </c>
      <c r="N502">
        <v>1.94</v>
      </c>
      <c r="O502">
        <v>2043</v>
      </c>
      <c r="P502">
        <v>4.67</v>
      </c>
      <c r="Q502">
        <v>78</v>
      </c>
      <c r="R502">
        <v>461</v>
      </c>
    </row>
    <row r="503" spans="1:18" hidden="1" x14ac:dyDescent="0.2">
      <c r="A503">
        <v>6</v>
      </c>
      <c r="B503" t="s">
        <v>93</v>
      </c>
      <c r="E503" t="s">
        <v>29</v>
      </c>
      <c r="F503">
        <v>1430306</v>
      </c>
      <c r="G503">
        <v>5</v>
      </c>
      <c r="H503">
        <v>3</v>
      </c>
      <c r="I503">
        <v>447</v>
      </c>
      <c r="J503">
        <v>2007</v>
      </c>
      <c r="K503" s="4">
        <v>45228</v>
      </c>
      <c r="L503" t="s">
        <v>30</v>
      </c>
      <c r="M503" t="s">
        <v>78</v>
      </c>
      <c r="N503">
        <v>3.27</v>
      </c>
      <c r="O503">
        <v>1801</v>
      </c>
      <c r="P503">
        <v>0.48</v>
      </c>
      <c r="Q503">
        <v>337</v>
      </c>
      <c r="R503">
        <v>663</v>
      </c>
    </row>
    <row r="504" spans="1:18" hidden="1" x14ac:dyDescent="0.2">
      <c r="A504">
        <v>5</v>
      </c>
      <c r="B504" t="s">
        <v>65</v>
      </c>
      <c r="E504" t="s">
        <v>29</v>
      </c>
      <c r="F504">
        <v>2737544</v>
      </c>
      <c r="G504">
        <v>4</v>
      </c>
      <c r="H504">
        <v>2</v>
      </c>
      <c r="I504">
        <v>711</v>
      </c>
      <c r="J504">
        <v>1950</v>
      </c>
      <c r="K504" s="4">
        <v>45285</v>
      </c>
      <c r="L504" t="s">
        <v>26</v>
      </c>
      <c r="M504" t="s">
        <v>76</v>
      </c>
      <c r="N504">
        <v>2.35</v>
      </c>
      <c r="O504">
        <v>1427</v>
      </c>
      <c r="P504">
        <v>1.63</v>
      </c>
      <c r="Q504">
        <v>268</v>
      </c>
      <c r="R504">
        <v>305</v>
      </c>
    </row>
    <row r="505" spans="1:18" hidden="1" x14ac:dyDescent="0.2">
      <c r="A505">
        <v>2</v>
      </c>
      <c r="B505" t="s">
        <v>99</v>
      </c>
      <c r="E505" t="s">
        <v>29</v>
      </c>
      <c r="F505">
        <v>2794318</v>
      </c>
      <c r="G505">
        <v>2</v>
      </c>
      <c r="H505">
        <v>1</v>
      </c>
      <c r="I505">
        <v>377</v>
      </c>
      <c r="J505">
        <v>1969</v>
      </c>
      <c r="K505" s="4">
        <v>45356</v>
      </c>
      <c r="L505" t="s">
        <v>30</v>
      </c>
      <c r="M505" t="s">
        <v>33</v>
      </c>
      <c r="N505">
        <v>2.62</v>
      </c>
      <c r="O505">
        <v>874</v>
      </c>
      <c r="P505">
        <v>4.12</v>
      </c>
      <c r="Q505">
        <v>59</v>
      </c>
      <c r="R505">
        <v>578</v>
      </c>
    </row>
    <row r="506" spans="1:18" x14ac:dyDescent="0.2">
      <c r="A506">
        <v>8</v>
      </c>
      <c r="B506" t="s">
        <v>46</v>
      </c>
      <c r="E506" t="s">
        <v>29</v>
      </c>
      <c r="F506">
        <v>987676</v>
      </c>
      <c r="G506">
        <v>4</v>
      </c>
      <c r="H506">
        <v>2</v>
      </c>
      <c r="I506">
        <v>486</v>
      </c>
      <c r="J506">
        <v>1989</v>
      </c>
      <c r="K506" s="4">
        <v>44935</v>
      </c>
      <c r="L506" t="s">
        <v>23</v>
      </c>
      <c r="M506" t="s">
        <v>52</v>
      </c>
      <c r="N506">
        <v>1.9</v>
      </c>
      <c r="O506">
        <v>2153</v>
      </c>
      <c r="P506">
        <v>0.59</v>
      </c>
      <c r="Q506">
        <v>212</v>
      </c>
      <c r="R506">
        <v>356</v>
      </c>
    </row>
    <row r="507" spans="1:18" hidden="1" x14ac:dyDescent="0.2">
      <c r="A507">
        <v>0</v>
      </c>
      <c r="B507" t="s">
        <v>39</v>
      </c>
      <c r="E507" t="s">
        <v>36</v>
      </c>
      <c r="F507">
        <v>1703536</v>
      </c>
      <c r="G507">
        <v>4</v>
      </c>
      <c r="H507">
        <v>2</v>
      </c>
      <c r="I507">
        <v>672</v>
      </c>
      <c r="J507">
        <v>2015</v>
      </c>
      <c r="K507" s="4">
        <v>44807</v>
      </c>
      <c r="L507" t="s">
        <v>30</v>
      </c>
      <c r="M507" t="s">
        <v>89</v>
      </c>
      <c r="N507">
        <v>1.57</v>
      </c>
      <c r="O507">
        <v>1051</v>
      </c>
      <c r="P507">
        <v>1.93</v>
      </c>
      <c r="Q507">
        <v>185</v>
      </c>
      <c r="R507">
        <v>398</v>
      </c>
    </row>
    <row r="508" spans="1:18" hidden="1" x14ac:dyDescent="0.2">
      <c r="A508">
        <v>4</v>
      </c>
      <c r="B508" t="s">
        <v>79</v>
      </c>
      <c r="E508" t="s">
        <v>51</v>
      </c>
      <c r="F508">
        <v>2050144</v>
      </c>
      <c r="G508">
        <v>6</v>
      </c>
      <c r="H508">
        <v>2</v>
      </c>
      <c r="I508">
        <v>783</v>
      </c>
      <c r="J508">
        <v>1969</v>
      </c>
      <c r="K508" s="4">
        <v>44796</v>
      </c>
      <c r="L508" t="s">
        <v>23</v>
      </c>
      <c r="M508" t="s">
        <v>33</v>
      </c>
      <c r="N508">
        <v>1.91</v>
      </c>
      <c r="O508">
        <v>1464</v>
      </c>
      <c r="P508">
        <v>3.82</v>
      </c>
      <c r="Q508">
        <v>366</v>
      </c>
      <c r="R508">
        <v>613</v>
      </c>
    </row>
    <row r="509" spans="1:18" hidden="1" x14ac:dyDescent="0.2">
      <c r="A509">
        <v>1</v>
      </c>
      <c r="B509" t="s">
        <v>48</v>
      </c>
      <c r="E509" t="s">
        <v>19</v>
      </c>
      <c r="F509">
        <v>2679967</v>
      </c>
      <c r="G509">
        <v>4</v>
      </c>
      <c r="H509">
        <v>2</v>
      </c>
      <c r="I509">
        <v>892</v>
      </c>
      <c r="J509">
        <v>1983</v>
      </c>
      <c r="K509" s="4">
        <v>44204</v>
      </c>
      <c r="L509" t="s">
        <v>23</v>
      </c>
      <c r="M509" t="s">
        <v>47</v>
      </c>
      <c r="N509">
        <v>1.77</v>
      </c>
      <c r="O509">
        <v>2124</v>
      </c>
      <c r="P509">
        <v>1.1100000000000001</v>
      </c>
      <c r="Q509">
        <v>218</v>
      </c>
      <c r="R509">
        <v>428</v>
      </c>
    </row>
    <row r="510" spans="1:18" hidden="1" x14ac:dyDescent="0.2">
      <c r="A510">
        <v>6</v>
      </c>
      <c r="B510" t="s">
        <v>72</v>
      </c>
      <c r="E510" t="s">
        <v>29</v>
      </c>
      <c r="F510">
        <v>2727080</v>
      </c>
      <c r="G510">
        <v>4</v>
      </c>
      <c r="H510">
        <v>3</v>
      </c>
      <c r="I510">
        <v>514</v>
      </c>
      <c r="J510">
        <v>1970</v>
      </c>
      <c r="K510" s="4">
        <v>44128</v>
      </c>
      <c r="L510" t="s">
        <v>20</v>
      </c>
      <c r="M510" t="s">
        <v>27</v>
      </c>
      <c r="N510">
        <v>2.44</v>
      </c>
      <c r="O510">
        <v>1307</v>
      </c>
      <c r="P510">
        <v>3.39</v>
      </c>
      <c r="Q510">
        <v>237</v>
      </c>
      <c r="R510">
        <v>435</v>
      </c>
    </row>
    <row r="511" spans="1:18" hidden="1" x14ac:dyDescent="0.2">
      <c r="A511">
        <v>9</v>
      </c>
      <c r="B511" t="s">
        <v>80</v>
      </c>
      <c r="E511" t="s">
        <v>36</v>
      </c>
      <c r="F511">
        <v>650005</v>
      </c>
      <c r="G511">
        <v>5</v>
      </c>
      <c r="H511">
        <v>1</v>
      </c>
      <c r="I511">
        <v>203</v>
      </c>
      <c r="J511">
        <v>1974</v>
      </c>
      <c r="K511" s="4">
        <v>45510</v>
      </c>
      <c r="L511" t="s">
        <v>30</v>
      </c>
      <c r="M511" t="s">
        <v>27</v>
      </c>
      <c r="N511">
        <v>2</v>
      </c>
      <c r="O511">
        <v>2343</v>
      </c>
      <c r="P511">
        <v>2.95</v>
      </c>
      <c r="Q511">
        <v>313</v>
      </c>
      <c r="R511">
        <v>453</v>
      </c>
    </row>
    <row r="512" spans="1:18" hidden="1" x14ac:dyDescent="0.2">
      <c r="A512">
        <v>0</v>
      </c>
      <c r="B512" t="s">
        <v>101</v>
      </c>
      <c r="E512" t="s">
        <v>51</v>
      </c>
      <c r="F512">
        <v>2203177</v>
      </c>
      <c r="G512">
        <v>3</v>
      </c>
      <c r="H512">
        <v>2</v>
      </c>
      <c r="I512">
        <v>629</v>
      </c>
      <c r="J512">
        <v>1950</v>
      </c>
      <c r="K512" s="4">
        <v>45661</v>
      </c>
      <c r="L512" t="s">
        <v>26</v>
      </c>
      <c r="M512" t="s">
        <v>78</v>
      </c>
      <c r="N512">
        <v>3.31</v>
      </c>
      <c r="O512">
        <v>1826</v>
      </c>
      <c r="P512">
        <v>2.92</v>
      </c>
      <c r="Q512">
        <v>179</v>
      </c>
      <c r="R512">
        <v>399</v>
      </c>
    </row>
    <row r="513" spans="1:18" hidden="1" x14ac:dyDescent="0.2">
      <c r="A513">
        <v>1</v>
      </c>
      <c r="B513" t="s">
        <v>57</v>
      </c>
      <c r="E513" t="s">
        <v>36</v>
      </c>
      <c r="F513">
        <v>1628844</v>
      </c>
      <c r="G513">
        <v>1</v>
      </c>
      <c r="H513">
        <v>1</v>
      </c>
      <c r="I513">
        <v>703</v>
      </c>
      <c r="J513">
        <v>2008</v>
      </c>
      <c r="K513" s="4">
        <v>45203</v>
      </c>
      <c r="L513" t="s">
        <v>30</v>
      </c>
      <c r="M513" t="s">
        <v>35</v>
      </c>
      <c r="N513">
        <v>1.91</v>
      </c>
      <c r="O513">
        <v>971</v>
      </c>
      <c r="P513">
        <v>2.0299999999999998</v>
      </c>
      <c r="Q513">
        <v>111</v>
      </c>
      <c r="R513">
        <v>473</v>
      </c>
    </row>
    <row r="514" spans="1:18" hidden="1" x14ac:dyDescent="0.2">
      <c r="A514">
        <v>9</v>
      </c>
      <c r="B514" t="s">
        <v>49</v>
      </c>
      <c r="E514" t="s">
        <v>29</v>
      </c>
      <c r="F514">
        <v>2046680</v>
      </c>
      <c r="G514">
        <v>2</v>
      </c>
      <c r="H514">
        <v>1</v>
      </c>
      <c r="I514">
        <v>593</v>
      </c>
      <c r="J514">
        <v>1999</v>
      </c>
      <c r="K514" s="4">
        <v>45449</v>
      </c>
      <c r="L514" t="s">
        <v>26</v>
      </c>
      <c r="M514" t="s">
        <v>24</v>
      </c>
      <c r="N514">
        <v>2.97</v>
      </c>
      <c r="O514">
        <v>2263</v>
      </c>
      <c r="P514">
        <v>4.72</v>
      </c>
      <c r="Q514">
        <v>81</v>
      </c>
      <c r="R514">
        <v>486</v>
      </c>
    </row>
    <row r="515" spans="1:18" hidden="1" x14ac:dyDescent="0.2">
      <c r="A515">
        <v>7</v>
      </c>
      <c r="B515" t="s">
        <v>34</v>
      </c>
      <c r="E515" t="s">
        <v>19</v>
      </c>
      <c r="F515">
        <v>674186</v>
      </c>
      <c r="G515">
        <v>2</v>
      </c>
      <c r="H515">
        <v>3</v>
      </c>
      <c r="I515">
        <v>993</v>
      </c>
      <c r="J515">
        <v>1990</v>
      </c>
      <c r="K515" s="4">
        <v>45120</v>
      </c>
      <c r="L515" t="s">
        <v>30</v>
      </c>
      <c r="M515" t="s">
        <v>58</v>
      </c>
      <c r="N515">
        <v>2.93</v>
      </c>
      <c r="O515">
        <v>1715</v>
      </c>
      <c r="P515">
        <v>4.9000000000000004</v>
      </c>
      <c r="Q515">
        <v>114</v>
      </c>
      <c r="R515">
        <v>313</v>
      </c>
    </row>
    <row r="516" spans="1:18" hidden="1" x14ac:dyDescent="0.2">
      <c r="A516">
        <v>1</v>
      </c>
      <c r="B516" t="s">
        <v>55</v>
      </c>
      <c r="E516" t="s">
        <v>51</v>
      </c>
      <c r="F516">
        <v>2345221</v>
      </c>
      <c r="G516">
        <v>2</v>
      </c>
      <c r="H516">
        <v>2</v>
      </c>
      <c r="I516">
        <v>999</v>
      </c>
      <c r="J516">
        <v>1975</v>
      </c>
      <c r="K516" s="4">
        <v>44253</v>
      </c>
      <c r="L516" t="s">
        <v>20</v>
      </c>
      <c r="M516" t="s">
        <v>59</v>
      </c>
      <c r="N516">
        <v>1.84</v>
      </c>
      <c r="O516">
        <v>2012</v>
      </c>
      <c r="P516">
        <v>2.2200000000000002</v>
      </c>
      <c r="Q516">
        <v>68</v>
      </c>
      <c r="R516">
        <v>658</v>
      </c>
    </row>
    <row r="517" spans="1:18" hidden="1" x14ac:dyDescent="0.2">
      <c r="A517">
        <v>5</v>
      </c>
      <c r="B517" t="s">
        <v>87</v>
      </c>
      <c r="E517" t="s">
        <v>19</v>
      </c>
      <c r="F517">
        <v>1119741</v>
      </c>
      <c r="G517">
        <v>0</v>
      </c>
      <c r="H517">
        <v>1</v>
      </c>
      <c r="I517">
        <v>521</v>
      </c>
      <c r="J517">
        <v>1985</v>
      </c>
      <c r="K517" s="4">
        <v>45586</v>
      </c>
      <c r="L517" t="s">
        <v>26</v>
      </c>
      <c r="M517" t="s">
        <v>97</v>
      </c>
      <c r="N517">
        <v>3.29</v>
      </c>
      <c r="O517">
        <v>1868</v>
      </c>
      <c r="P517">
        <v>4.0199999999999996</v>
      </c>
      <c r="Q517">
        <v>62</v>
      </c>
      <c r="R517">
        <v>423</v>
      </c>
    </row>
    <row r="518" spans="1:18" hidden="1" x14ac:dyDescent="0.2">
      <c r="A518">
        <v>1</v>
      </c>
      <c r="B518" t="s">
        <v>73</v>
      </c>
      <c r="E518" t="s">
        <v>19</v>
      </c>
      <c r="F518">
        <v>1702323</v>
      </c>
      <c r="G518">
        <v>3</v>
      </c>
      <c r="H518">
        <v>3</v>
      </c>
      <c r="I518">
        <v>605</v>
      </c>
      <c r="J518">
        <v>1976</v>
      </c>
      <c r="K518" s="4">
        <v>45591</v>
      </c>
      <c r="L518" t="s">
        <v>30</v>
      </c>
      <c r="M518" t="s">
        <v>21</v>
      </c>
      <c r="N518">
        <v>2.06</v>
      </c>
      <c r="O518">
        <v>2444</v>
      </c>
      <c r="P518">
        <v>3.32</v>
      </c>
      <c r="Q518">
        <v>161</v>
      </c>
      <c r="R518">
        <v>675</v>
      </c>
    </row>
    <row r="519" spans="1:18" x14ac:dyDescent="0.2">
      <c r="A519">
        <v>8</v>
      </c>
      <c r="B519" t="s">
        <v>106</v>
      </c>
      <c r="E519" t="s">
        <v>29</v>
      </c>
      <c r="F519">
        <v>2755253</v>
      </c>
      <c r="G519">
        <v>4</v>
      </c>
      <c r="H519">
        <v>3</v>
      </c>
      <c r="I519">
        <v>193</v>
      </c>
      <c r="J519">
        <v>2018</v>
      </c>
      <c r="K519" s="4">
        <v>45112</v>
      </c>
      <c r="L519" t="s">
        <v>23</v>
      </c>
      <c r="M519" t="s">
        <v>97</v>
      </c>
      <c r="N519">
        <v>2.16</v>
      </c>
      <c r="O519">
        <v>2012</v>
      </c>
      <c r="P519">
        <v>0.14000000000000001</v>
      </c>
      <c r="Q519">
        <v>358</v>
      </c>
      <c r="R519">
        <v>670</v>
      </c>
    </row>
    <row r="520" spans="1:18" hidden="1" x14ac:dyDescent="0.2">
      <c r="A520">
        <v>3</v>
      </c>
      <c r="B520" t="s">
        <v>93</v>
      </c>
      <c r="E520" t="s">
        <v>19</v>
      </c>
      <c r="F520">
        <v>2802020</v>
      </c>
      <c r="G520">
        <v>3</v>
      </c>
      <c r="H520">
        <v>3</v>
      </c>
      <c r="I520">
        <v>936</v>
      </c>
      <c r="J520">
        <v>2017</v>
      </c>
      <c r="K520" s="4">
        <v>44792</v>
      </c>
      <c r="L520" t="s">
        <v>26</v>
      </c>
      <c r="M520" t="s">
        <v>42</v>
      </c>
      <c r="N520">
        <v>2.0699999999999998</v>
      </c>
      <c r="O520">
        <v>1544</v>
      </c>
      <c r="P520">
        <v>1.73</v>
      </c>
      <c r="Q520">
        <v>242</v>
      </c>
      <c r="R520">
        <v>308</v>
      </c>
    </row>
    <row r="521" spans="1:18" hidden="1" x14ac:dyDescent="0.2">
      <c r="A521">
        <v>2</v>
      </c>
      <c r="B521" t="s">
        <v>44</v>
      </c>
      <c r="E521" t="s">
        <v>51</v>
      </c>
      <c r="F521">
        <v>1546245</v>
      </c>
      <c r="G521">
        <v>4</v>
      </c>
      <c r="H521">
        <v>1</v>
      </c>
      <c r="I521">
        <v>220</v>
      </c>
      <c r="J521">
        <v>1985</v>
      </c>
      <c r="K521" s="4">
        <v>44067</v>
      </c>
      <c r="L521" t="s">
        <v>26</v>
      </c>
      <c r="M521" t="s">
        <v>52</v>
      </c>
      <c r="N521">
        <v>3.18</v>
      </c>
      <c r="O521">
        <v>1917</v>
      </c>
      <c r="P521">
        <v>2.08</v>
      </c>
      <c r="Q521">
        <v>220</v>
      </c>
      <c r="R521">
        <v>363</v>
      </c>
    </row>
    <row r="522" spans="1:18" hidden="1" x14ac:dyDescent="0.2">
      <c r="A522">
        <v>3</v>
      </c>
      <c r="B522" t="s">
        <v>62</v>
      </c>
      <c r="E522" t="s">
        <v>19</v>
      </c>
      <c r="F522">
        <v>2944339</v>
      </c>
      <c r="G522">
        <v>6</v>
      </c>
      <c r="H522">
        <v>3</v>
      </c>
      <c r="I522">
        <v>426</v>
      </c>
      <c r="J522">
        <v>1962</v>
      </c>
      <c r="K522" s="4">
        <v>45040</v>
      </c>
      <c r="L522" t="s">
        <v>30</v>
      </c>
      <c r="M522" t="s">
        <v>82</v>
      </c>
      <c r="N522">
        <v>3.31</v>
      </c>
      <c r="O522">
        <v>1134</v>
      </c>
      <c r="P522">
        <v>3.97</v>
      </c>
      <c r="Q522">
        <v>381</v>
      </c>
      <c r="R522">
        <v>613</v>
      </c>
    </row>
    <row r="523" spans="1:18" hidden="1" x14ac:dyDescent="0.2">
      <c r="A523">
        <v>6</v>
      </c>
      <c r="B523" t="s">
        <v>72</v>
      </c>
      <c r="E523" t="s">
        <v>19</v>
      </c>
      <c r="F523">
        <v>1058838</v>
      </c>
      <c r="G523">
        <v>4</v>
      </c>
      <c r="H523">
        <v>1</v>
      </c>
      <c r="I523">
        <v>181</v>
      </c>
      <c r="J523">
        <v>1957</v>
      </c>
      <c r="K523" s="4">
        <v>45656</v>
      </c>
      <c r="L523" t="s">
        <v>26</v>
      </c>
      <c r="M523" t="s">
        <v>85</v>
      </c>
      <c r="N523">
        <v>2.2400000000000002</v>
      </c>
      <c r="O523">
        <v>1197</v>
      </c>
      <c r="P523">
        <v>4.26</v>
      </c>
      <c r="Q523">
        <v>285</v>
      </c>
      <c r="R523">
        <v>302</v>
      </c>
    </row>
    <row r="524" spans="1:18" hidden="1" x14ac:dyDescent="0.2">
      <c r="A524">
        <v>1</v>
      </c>
      <c r="B524" t="s">
        <v>65</v>
      </c>
      <c r="E524" t="s">
        <v>36</v>
      </c>
      <c r="F524">
        <v>1330115</v>
      </c>
      <c r="G524">
        <v>3</v>
      </c>
      <c r="H524">
        <v>3</v>
      </c>
      <c r="I524">
        <v>652</v>
      </c>
      <c r="J524">
        <v>1994</v>
      </c>
      <c r="K524" s="4">
        <v>45231</v>
      </c>
      <c r="L524" t="s">
        <v>26</v>
      </c>
      <c r="M524" t="s">
        <v>68</v>
      </c>
      <c r="N524">
        <v>2.3199999999999998</v>
      </c>
      <c r="O524">
        <v>1357</v>
      </c>
      <c r="P524">
        <v>1.49</v>
      </c>
      <c r="Q524">
        <v>292</v>
      </c>
      <c r="R524">
        <v>311</v>
      </c>
    </row>
    <row r="525" spans="1:18" x14ac:dyDescent="0.2">
      <c r="A525">
        <v>8</v>
      </c>
      <c r="B525" t="s">
        <v>65</v>
      </c>
      <c r="E525" t="s">
        <v>51</v>
      </c>
      <c r="F525">
        <v>1388611</v>
      </c>
      <c r="G525">
        <v>1</v>
      </c>
      <c r="H525">
        <v>2</v>
      </c>
      <c r="I525">
        <v>146</v>
      </c>
      <c r="J525">
        <v>2006</v>
      </c>
      <c r="K525" s="4">
        <v>44326</v>
      </c>
      <c r="L525" t="s">
        <v>20</v>
      </c>
      <c r="M525" t="s">
        <v>42</v>
      </c>
      <c r="N525">
        <v>3.35</v>
      </c>
      <c r="O525">
        <v>1851</v>
      </c>
      <c r="P525">
        <v>3.31</v>
      </c>
      <c r="Q525">
        <v>96</v>
      </c>
      <c r="R525">
        <v>612</v>
      </c>
    </row>
    <row r="526" spans="1:18" hidden="1" x14ac:dyDescent="0.2">
      <c r="A526">
        <v>4</v>
      </c>
      <c r="B526" t="s">
        <v>44</v>
      </c>
      <c r="E526" t="s">
        <v>36</v>
      </c>
      <c r="F526">
        <v>1847095</v>
      </c>
      <c r="G526">
        <v>0</v>
      </c>
      <c r="H526">
        <v>1</v>
      </c>
      <c r="I526">
        <v>686</v>
      </c>
      <c r="J526">
        <v>1959</v>
      </c>
      <c r="K526" s="4">
        <v>44736</v>
      </c>
      <c r="L526" t="s">
        <v>23</v>
      </c>
      <c r="M526" t="s">
        <v>35</v>
      </c>
      <c r="N526">
        <v>1.73</v>
      </c>
      <c r="O526">
        <v>1664</v>
      </c>
      <c r="P526">
        <v>3.9</v>
      </c>
      <c r="Q526">
        <v>45</v>
      </c>
      <c r="R526">
        <v>371</v>
      </c>
    </row>
    <row r="527" spans="1:18" hidden="1" x14ac:dyDescent="0.2">
      <c r="A527">
        <v>1</v>
      </c>
      <c r="B527" t="s">
        <v>43</v>
      </c>
      <c r="E527" t="s">
        <v>36</v>
      </c>
      <c r="F527">
        <v>2941171</v>
      </c>
      <c r="G527">
        <v>1</v>
      </c>
      <c r="H527">
        <v>2</v>
      </c>
      <c r="I527">
        <v>227</v>
      </c>
      <c r="J527">
        <v>2006</v>
      </c>
      <c r="K527" s="4">
        <v>44219</v>
      </c>
      <c r="L527" t="s">
        <v>20</v>
      </c>
      <c r="M527" t="s">
        <v>60</v>
      </c>
      <c r="N527">
        <v>1.62</v>
      </c>
      <c r="O527">
        <v>2251</v>
      </c>
      <c r="P527">
        <v>4.09</v>
      </c>
      <c r="Q527">
        <v>50</v>
      </c>
      <c r="R527">
        <v>312</v>
      </c>
    </row>
    <row r="528" spans="1:18" hidden="1" x14ac:dyDescent="0.2">
      <c r="A528">
        <v>5</v>
      </c>
      <c r="B528" t="s">
        <v>102</v>
      </c>
      <c r="E528" t="s">
        <v>19</v>
      </c>
      <c r="F528">
        <v>2710022</v>
      </c>
      <c r="G528">
        <v>2</v>
      </c>
      <c r="H528">
        <v>2</v>
      </c>
      <c r="I528">
        <v>707</v>
      </c>
      <c r="J528">
        <v>1995</v>
      </c>
      <c r="K528" s="4">
        <v>44130</v>
      </c>
      <c r="L528" t="s">
        <v>23</v>
      </c>
      <c r="M528" t="s">
        <v>59</v>
      </c>
      <c r="N528">
        <v>2.39</v>
      </c>
      <c r="O528">
        <v>2102</v>
      </c>
      <c r="P528">
        <v>4.54</v>
      </c>
      <c r="Q528">
        <v>45</v>
      </c>
      <c r="R528">
        <v>621</v>
      </c>
    </row>
    <row r="529" spans="1:18" hidden="1" x14ac:dyDescent="0.2">
      <c r="A529">
        <v>1</v>
      </c>
      <c r="B529" t="s">
        <v>53</v>
      </c>
      <c r="E529" t="s">
        <v>51</v>
      </c>
      <c r="F529">
        <v>1241543</v>
      </c>
      <c r="G529">
        <v>3</v>
      </c>
      <c r="H529">
        <v>3</v>
      </c>
      <c r="I529">
        <v>807</v>
      </c>
      <c r="J529">
        <v>2007</v>
      </c>
      <c r="K529" s="4">
        <v>44215</v>
      </c>
      <c r="L529" t="s">
        <v>26</v>
      </c>
      <c r="M529" t="s">
        <v>40</v>
      </c>
      <c r="N529">
        <v>2.2000000000000002</v>
      </c>
      <c r="O529">
        <v>1159</v>
      </c>
      <c r="P529">
        <v>3.99</v>
      </c>
      <c r="Q529">
        <v>252</v>
      </c>
      <c r="R529">
        <v>499</v>
      </c>
    </row>
    <row r="530" spans="1:18" hidden="1" x14ac:dyDescent="0.2">
      <c r="A530">
        <v>9</v>
      </c>
      <c r="B530" t="s">
        <v>34</v>
      </c>
      <c r="E530" t="s">
        <v>19</v>
      </c>
      <c r="F530">
        <v>480849</v>
      </c>
      <c r="G530">
        <v>4</v>
      </c>
      <c r="H530">
        <v>3</v>
      </c>
      <c r="I530">
        <v>813</v>
      </c>
      <c r="J530">
        <v>1960</v>
      </c>
      <c r="K530" s="4">
        <v>44779</v>
      </c>
      <c r="L530" t="s">
        <v>26</v>
      </c>
      <c r="M530" t="s">
        <v>97</v>
      </c>
      <c r="N530">
        <v>1.55</v>
      </c>
      <c r="O530">
        <v>2483</v>
      </c>
      <c r="P530">
        <v>1.06</v>
      </c>
      <c r="Q530">
        <v>358</v>
      </c>
      <c r="R530">
        <v>456</v>
      </c>
    </row>
    <row r="531" spans="1:18" hidden="1" x14ac:dyDescent="0.2">
      <c r="A531">
        <v>1</v>
      </c>
      <c r="B531" t="s">
        <v>38</v>
      </c>
      <c r="E531" t="s">
        <v>51</v>
      </c>
      <c r="F531">
        <v>1450769</v>
      </c>
      <c r="G531">
        <v>4</v>
      </c>
      <c r="H531">
        <v>2</v>
      </c>
      <c r="I531">
        <v>132</v>
      </c>
      <c r="J531">
        <v>1988</v>
      </c>
      <c r="K531" s="4">
        <v>45068</v>
      </c>
      <c r="L531" t="s">
        <v>26</v>
      </c>
      <c r="M531" t="s">
        <v>27</v>
      </c>
      <c r="N531">
        <v>2.5499999999999998</v>
      </c>
      <c r="O531">
        <v>880</v>
      </c>
      <c r="P531">
        <v>4.16</v>
      </c>
      <c r="Q531">
        <v>237</v>
      </c>
      <c r="R531">
        <v>653</v>
      </c>
    </row>
    <row r="532" spans="1:18" hidden="1" x14ac:dyDescent="0.2">
      <c r="A532">
        <v>6</v>
      </c>
      <c r="B532" t="s">
        <v>75</v>
      </c>
      <c r="E532" t="s">
        <v>19</v>
      </c>
      <c r="F532">
        <v>832147</v>
      </c>
      <c r="G532">
        <v>4</v>
      </c>
      <c r="H532">
        <v>2</v>
      </c>
      <c r="I532">
        <v>383</v>
      </c>
      <c r="J532">
        <v>1973</v>
      </c>
      <c r="K532" s="4">
        <v>45102</v>
      </c>
      <c r="L532" t="s">
        <v>20</v>
      </c>
      <c r="M532" t="s">
        <v>42</v>
      </c>
      <c r="N532">
        <v>1.7</v>
      </c>
      <c r="O532">
        <v>2481</v>
      </c>
      <c r="P532">
        <v>0.73</v>
      </c>
      <c r="Q532">
        <v>349</v>
      </c>
      <c r="R532">
        <v>640</v>
      </c>
    </row>
    <row r="533" spans="1:18" x14ac:dyDescent="0.2">
      <c r="A533">
        <v>8</v>
      </c>
      <c r="B533" t="s">
        <v>57</v>
      </c>
      <c r="E533" t="s">
        <v>19</v>
      </c>
      <c r="F533">
        <v>1573906</v>
      </c>
      <c r="G533">
        <v>4</v>
      </c>
      <c r="H533">
        <v>2</v>
      </c>
      <c r="I533">
        <v>612</v>
      </c>
      <c r="J533">
        <v>2004</v>
      </c>
      <c r="K533" s="4">
        <v>44880</v>
      </c>
      <c r="L533" t="s">
        <v>30</v>
      </c>
      <c r="M533" t="s">
        <v>78</v>
      </c>
      <c r="N533">
        <v>1.57</v>
      </c>
      <c r="O533">
        <v>1566</v>
      </c>
      <c r="P533">
        <v>2.72</v>
      </c>
      <c r="Q533">
        <v>246</v>
      </c>
      <c r="R533">
        <v>351</v>
      </c>
    </row>
    <row r="534" spans="1:18" hidden="1" x14ac:dyDescent="0.2">
      <c r="A534">
        <v>1</v>
      </c>
      <c r="B534" t="s">
        <v>101</v>
      </c>
      <c r="E534" t="s">
        <v>36</v>
      </c>
      <c r="F534">
        <v>2815359</v>
      </c>
      <c r="G534">
        <v>3</v>
      </c>
      <c r="H534">
        <v>1</v>
      </c>
      <c r="I534">
        <v>216</v>
      </c>
      <c r="J534">
        <v>1978</v>
      </c>
      <c r="K534" s="4">
        <v>44563</v>
      </c>
      <c r="L534" t="s">
        <v>26</v>
      </c>
      <c r="M534" t="s">
        <v>58</v>
      </c>
      <c r="N534">
        <v>3.27</v>
      </c>
      <c r="O534">
        <v>2072</v>
      </c>
      <c r="P534">
        <v>4.25</v>
      </c>
      <c r="Q534">
        <v>177</v>
      </c>
      <c r="R534">
        <v>636</v>
      </c>
    </row>
    <row r="535" spans="1:18" hidden="1" x14ac:dyDescent="0.2">
      <c r="A535">
        <v>9</v>
      </c>
      <c r="B535" t="s">
        <v>71</v>
      </c>
      <c r="E535" t="s">
        <v>19</v>
      </c>
      <c r="F535">
        <v>2591438</v>
      </c>
      <c r="G535">
        <v>2</v>
      </c>
      <c r="H535">
        <v>3</v>
      </c>
      <c r="I535">
        <v>953</v>
      </c>
      <c r="J535">
        <v>1995</v>
      </c>
      <c r="K535" s="4">
        <v>45236</v>
      </c>
      <c r="L535" t="s">
        <v>20</v>
      </c>
      <c r="M535" t="s">
        <v>35</v>
      </c>
      <c r="N535">
        <v>2.25</v>
      </c>
      <c r="O535">
        <v>1197</v>
      </c>
      <c r="P535">
        <v>4.17</v>
      </c>
      <c r="Q535">
        <v>188</v>
      </c>
      <c r="R535">
        <v>330</v>
      </c>
    </row>
    <row r="536" spans="1:18" hidden="1" x14ac:dyDescent="0.2">
      <c r="A536">
        <v>9</v>
      </c>
      <c r="B536" t="s">
        <v>25</v>
      </c>
      <c r="E536" t="s">
        <v>36</v>
      </c>
      <c r="F536">
        <v>1590250</v>
      </c>
      <c r="G536">
        <v>5</v>
      </c>
      <c r="H536">
        <v>2</v>
      </c>
      <c r="I536">
        <v>673</v>
      </c>
      <c r="J536">
        <v>1961</v>
      </c>
      <c r="K536" s="4">
        <v>45117</v>
      </c>
      <c r="L536" t="s">
        <v>20</v>
      </c>
      <c r="M536" t="s">
        <v>78</v>
      </c>
      <c r="N536">
        <v>2.5499999999999998</v>
      </c>
      <c r="O536">
        <v>1565</v>
      </c>
      <c r="P536">
        <v>2.75</v>
      </c>
      <c r="Q536">
        <v>387</v>
      </c>
      <c r="R536">
        <v>319</v>
      </c>
    </row>
    <row r="537" spans="1:18" hidden="1" x14ac:dyDescent="0.2">
      <c r="A537">
        <v>9</v>
      </c>
      <c r="B537" t="s">
        <v>106</v>
      </c>
      <c r="E537" t="s">
        <v>19</v>
      </c>
      <c r="F537">
        <v>2305510</v>
      </c>
      <c r="G537">
        <v>0</v>
      </c>
      <c r="H537">
        <v>2</v>
      </c>
      <c r="I537">
        <v>553</v>
      </c>
      <c r="J537">
        <v>2017</v>
      </c>
      <c r="K537" s="4">
        <v>45192</v>
      </c>
      <c r="L537" t="s">
        <v>30</v>
      </c>
      <c r="M537" t="s">
        <v>35</v>
      </c>
      <c r="N537">
        <v>1.82</v>
      </c>
      <c r="O537">
        <v>1191</v>
      </c>
      <c r="P537">
        <v>3.91</v>
      </c>
      <c r="Q537">
        <v>46</v>
      </c>
      <c r="R537">
        <v>327</v>
      </c>
    </row>
    <row r="538" spans="1:18" hidden="1" x14ac:dyDescent="0.2">
      <c r="A538">
        <v>9</v>
      </c>
      <c r="B538" t="s">
        <v>64</v>
      </c>
      <c r="E538" t="s">
        <v>19</v>
      </c>
      <c r="F538">
        <v>960840</v>
      </c>
      <c r="G538">
        <v>5</v>
      </c>
      <c r="H538">
        <v>2</v>
      </c>
      <c r="I538">
        <v>465</v>
      </c>
      <c r="J538">
        <v>1992</v>
      </c>
      <c r="K538" s="4">
        <v>45244</v>
      </c>
      <c r="L538" t="s">
        <v>20</v>
      </c>
      <c r="M538" t="s">
        <v>45</v>
      </c>
      <c r="N538">
        <v>2.93</v>
      </c>
      <c r="O538">
        <v>2334</v>
      </c>
      <c r="P538">
        <v>2.68</v>
      </c>
      <c r="Q538">
        <v>357</v>
      </c>
      <c r="R538">
        <v>353</v>
      </c>
    </row>
    <row r="539" spans="1:18" x14ac:dyDescent="0.2">
      <c r="A539">
        <v>8</v>
      </c>
      <c r="B539" t="s">
        <v>98</v>
      </c>
      <c r="E539" t="s">
        <v>29</v>
      </c>
      <c r="F539">
        <v>1340353</v>
      </c>
      <c r="G539">
        <v>2</v>
      </c>
      <c r="H539">
        <v>1</v>
      </c>
      <c r="I539">
        <v>317</v>
      </c>
      <c r="J539">
        <v>1967</v>
      </c>
      <c r="K539" s="4">
        <v>45512</v>
      </c>
      <c r="L539" t="s">
        <v>30</v>
      </c>
      <c r="M539" t="s">
        <v>89</v>
      </c>
      <c r="N539">
        <v>2.13</v>
      </c>
      <c r="O539">
        <v>2467</v>
      </c>
      <c r="P539">
        <v>0.23</v>
      </c>
      <c r="Q539">
        <v>62</v>
      </c>
      <c r="R539">
        <v>590</v>
      </c>
    </row>
    <row r="540" spans="1:18" hidden="1" x14ac:dyDescent="0.2">
      <c r="A540">
        <v>6</v>
      </c>
      <c r="B540" t="s">
        <v>57</v>
      </c>
      <c r="E540" t="s">
        <v>29</v>
      </c>
      <c r="F540">
        <v>2660614</v>
      </c>
      <c r="G540">
        <v>3</v>
      </c>
      <c r="H540">
        <v>3</v>
      </c>
      <c r="I540">
        <v>187</v>
      </c>
      <c r="J540">
        <v>2002</v>
      </c>
      <c r="K540" s="4">
        <v>45378</v>
      </c>
      <c r="L540" t="s">
        <v>20</v>
      </c>
      <c r="M540" t="s">
        <v>42</v>
      </c>
      <c r="N540">
        <v>1.87</v>
      </c>
      <c r="O540">
        <v>2179</v>
      </c>
      <c r="P540">
        <v>0.36</v>
      </c>
      <c r="Q540">
        <v>275</v>
      </c>
      <c r="R540">
        <v>518</v>
      </c>
    </row>
    <row r="541" spans="1:18" hidden="1" x14ac:dyDescent="0.2">
      <c r="A541">
        <v>7</v>
      </c>
      <c r="B541" t="s">
        <v>86</v>
      </c>
      <c r="E541" t="s">
        <v>29</v>
      </c>
      <c r="F541">
        <v>991767</v>
      </c>
      <c r="G541">
        <v>6</v>
      </c>
      <c r="H541">
        <v>3</v>
      </c>
      <c r="I541">
        <v>804</v>
      </c>
      <c r="J541">
        <v>1985</v>
      </c>
      <c r="K541" s="4">
        <v>44568</v>
      </c>
      <c r="L541" t="s">
        <v>30</v>
      </c>
      <c r="M541" t="s">
        <v>27</v>
      </c>
      <c r="N541">
        <v>2.81</v>
      </c>
      <c r="O541">
        <v>2248</v>
      </c>
      <c r="P541">
        <v>4.66</v>
      </c>
      <c r="Q541">
        <v>359</v>
      </c>
      <c r="R541">
        <v>499</v>
      </c>
    </row>
    <row r="542" spans="1:18" hidden="1" x14ac:dyDescent="0.2">
      <c r="A542">
        <v>4</v>
      </c>
      <c r="B542" t="s">
        <v>80</v>
      </c>
      <c r="E542" t="s">
        <v>36</v>
      </c>
      <c r="F542">
        <v>1642308</v>
      </c>
      <c r="G542">
        <v>4</v>
      </c>
      <c r="H542">
        <v>1</v>
      </c>
      <c r="I542">
        <v>207</v>
      </c>
      <c r="J542">
        <v>1957</v>
      </c>
      <c r="K542" s="4">
        <v>45838</v>
      </c>
      <c r="L542" t="s">
        <v>20</v>
      </c>
      <c r="M542" t="s">
        <v>69</v>
      </c>
      <c r="N542">
        <v>1.9</v>
      </c>
      <c r="O542">
        <v>2318</v>
      </c>
      <c r="P542">
        <v>3.35</v>
      </c>
      <c r="Q542">
        <v>216</v>
      </c>
      <c r="R542">
        <v>320</v>
      </c>
    </row>
    <row r="543" spans="1:18" hidden="1" x14ac:dyDescent="0.2">
      <c r="A543">
        <v>5</v>
      </c>
      <c r="B543" t="s">
        <v>106</v>
      </c>
      <c r="E543" t="s">
        <v>29</v>
      </c>
      <c r="F543">
        <v>1657682</v>
      </c>
      <c r="G543">
        <v>4</v>
      </c>
      <c r="H543">
        <v>1</v>
      </c>
      <c r="I543">
        <v>692</v>
      </c>
      <c r="J543">
        <v>1992</v>
      </c>
      <c r="K543" s="4">
        <v>44496</v>
      </c>
      <c r="L543" t="s">
        <v>30</v>
      </c>
      <c r="M543" t="s">
        <v>82</v>
      </c>
      <c r="N543">
        <v>2.0099999999999998</v>
      </c>
      <c r="O543">
        <v>2101</v>
      </c>
      <c r="P543">
        <v>3.63</v>
      </c>
      <c r="Q543">
        <v>175</v>
      </c>
      <c r="R543">
        <v>323</v>
      </c>
    </row>
    <row r="544" spans="1:18" hidden="1" x14ac:dyDescent="0.2">
      <c r="A544">
        <v>9</v>
      </c>
      <c r="B544" t="s">
        <v>72</v>
      </c>
      <c r="E544" t="s">
        <v>19</v>
      </c>
      <c r="F544">
        <v>1033161</v>
      </c>
      <c r="G544">
        <v>1</v>
      </c>
      <c r="H544">
        <v>1</v>
      </c>
      <c r="I544">
        <v>823</v>
      </c>
      <c r="J544">
        <v>1979</v>
      </c>
      <c r="K544" s="4">
        <v>44410</v>
      </c>
      <c r="L544" t="s">
        <v>20</v>
      </c>
      <c r="M544" t="s">
        <v>74</v>
      </c>
      <c r="N544">
        <v>2.87</v>
      </c>
      <c r="O544">
        <v>1167</v>
      </c>
      <c r="P544">
        <v>1.1599999999999999</v>
      </c>
      <c r="Q544">
        <v>82</v>
      </c>
      <c r="R544">
        <v>676</v>
      </c>
    </row>
    <row r="545" spans="1:18" x14ac:dyDescent="0.2">
      <c r="A545">
        <v>8</v>
      </c>
      <c r="B545" t="s">
        <v>100</v>
      </c>
      <c r="E545" t="s">
        <v>36</v>
      </c>
      <c r="F545">
        <v>2596099</v>
      </c>
      <c r="G545">
        <v>1</v>
      </c>
      <c r="H545">
        <v>2</v>
      </c>
      <c r="I545">
        <v>796</v>
      </c>
      <c r="J545">
        <v>1969</v>
      </c>
      <c r="K545" s="4">
        <v>44612</v>
      </c>
      <c r="L545" t="s">
        <v>30</v>
      </c>
      <c r="M545" t="s">
        <v>76</v>
      </c>
      <c r="N545">
        <v>2.4700000000000002</v>
      </c>
      <c r="O545">
        <v>942</v>
      </c>
      <c r="P545">
        <v>4.16</v>
      </c>
      <c r="Q545">
        <v>42</v>
      </c>
      <c r="R545">
        <v>577</v>
      </c>
    </row>
    <row r="546" spans="1:18" hidden="1" x14ac:dyDescent="0.2">
      <c r="A546">
        <v>4</v>
      </c>
      <c r="B546" t="s">
        <v>71</v>
      </c>
      <c r="E546" t="s">
        <v>36</v>
      </c>
      <c r="F546">
        <v>2614625</v>
      </c>
      <c r="G546">
        <v>2</v>
      </c>
      <c r="H546">
        <v>3</v>
      </c>
      <c r="I546">
        <v>782</v>
      </c>
      <c r="J546">
        <v>1966</v>
      </c>
      <c r="K546" s="4">
        <v>45434</v>
      </c>
      <c r="L546" t="s">
        <v>26</v>
      </c>
      <c r="M546" t="s">
        <v>66</v>
      </c>
      <c r="N546">
        <v>2.82</v>
      </c>
      <c r="O546">
        <v>2160</v>
      </c>
      <c r="P546">
        <v>1.76</v>
      </c>
      <c r="Q546">
        <v>178</v>
      </c>
      <c r="R546">
        <v>409</v>
      </c>
    </row>
    <row r="547" spans="1:18" hidden="1" x14ac:dyDescent="0.2">
      <c r="A547">
        <v>1</v>
      </c>
      <c r="B547" t="s">
        <v>96</v>
      </c>
      <c r="E547" t="s">
        <v>36</v>
      </c>
      <c r="F547">
        <v>2734057</v>
      </c>
      <c r="G547">
        <v>5</v>
      </c>
      <c r="H547">
        <v>2</v>
      </c>
      <c r="I547">
        <v>121</v>
      </c>
      <c r="J547">
        <v>1999</v>
      </c>
      <c r="K547" s="4">
        <v>45483</v>
      </c>
      <c r="L547" t="s">
        <v>30</v>
      </c>
      <c r="M547" t="s">
        <v>37</v>
      </c>
      <c r="N547">
        <v>3.18</v>
      </c>
      <c r="O547">
        <v>1868</v>
      </c>
      <c r="P547">
        <v>4.45</v>
      </c>
      <c r="Q547">
        <v>281</v>
      </c>
      <c r="R547">
        <v>498</v>
      </c>
    </row>
    <row r="548" spans="1:18" x14ac:dyDescent="0.2">
      <c r="A548">
        <v>8</v>
      </c>
      <c r="B548" t="s">
        <v>39</v>
      </c>
      <c r="E548" t="s">
        <v>36</v>
      </c>
      <c r="F548">
        <v>1272387</v>
      </c>
      <c r="G548">
        <v>1</v>
      </c>
      <c r="H548">
        <v>1</v>
      </c>
      <c r="I548">
        <v>761</v>
      </c>
      <c r="J548">
        <v>1974</v>
      </c>
      <c r="K548" s="4">
        <v>44611</v>
      </c>
      <c r="L548" t="s">
        <v>26</v>
      </c>
      <c r="M548" t="s">
        <v>21</v>
      </c>
      <c r="N548">
        <v>3.42</v>
      </c>
      <c r="O548">
        <v>2314</v>
      </c>
      <c r="P548">
        <v>1.1599999999999999</v>
      </c>
      <c r="Q548">
        <v>53</v>
      </c>
      <c r="R548">
        <v>661</v>
      </c>
    </row>
    <row r="549" spans="1:18" hidden="1" x14ac:dyDescent="0.2">
      <c r="A549">
        <v>2</v>
      </c>
      <c r="B549" t="s">
        <v>100</v>
      </c>
      <c r="E549" t="s">
        <v>19</v>
      </c>
      <c r="F549">
        <v>1785739</v>
      </c>
      <c r="G549">
        <v>5</v>
      </c>
      <c r="H549">
        <v>3</v>
      </c>
      <c r="I549">
        <v>339</v>
      </c>
      <c r="J549">
        <v>2013</v>
      </c>
      <c r="K549" s="4">
        <v>45845</v>
      </c>
      <c r="L549" t="s">
        <v>30</v>
      </c>
      <c r="M549" t="s">
        <v>60</v>
      </c>
      <c r="N549">
        <v>1.57</v>
      </c>
      <c r="O549">
        <v>2149</v>
      </c>
      <c r="P549">
        <v>2.98</v>
      </c>
      <c r="Q549">
        <v>339</v>
      </c>
      <c r="R549">
        <v>460</v>
      </c>
    </row>
    <row r="550" spans="1:18" x14ac:dyDescent="0.2">
      <c r="A550">
        <v>8</v>
      </c>
      <c r="B550" t="s">
        <v>98</v>
      </c>
      <c r="E550" t="s">
        <v>19</v>
      </c>
      <c r="F550">
        <v>1468035</v>
      </c>
      <c r="G550">
        <v>1</v>
      </c>
      <c r="H550">
        <v>1</v>
      </c>
      <c r="I550">
        <v>937</v>
      </c>
      <c r="J550">
        <v>1960</v>
      </c>
      <c r="K550" s="4">
        <v>44843</v>
      </c>
      <c r="L550" t="s">
        <v>26</v>
      </c>
      <c r="M550" t="s">
        <v>78</v>
      </c>
      <c r="N550">
        <v>3.09</v>
      </c>
      <c r="O550">
        <v>1541</v>
      </c>
      <c r="P550">
        <v>2.98</v>
      </c>
      <c r="Q550">
        <v>69</v>
      </c>
      <c r="R550">
        <v>497</v>
      </c>
    </row>
    <row r="551" spans="1:18" hidden="1" x14ac:dyDescent="0.2">
      <c r="A551">
        <v>7</v>
      </c>
      <c r="B551" t="s">
        <v>55</v>
      </c>
      <c r="E551" t="s">
        <v>19</v>
      </c>
      <c r="F551">
        <v>2076646</v>
      </c>
      <c r="G551">
        <v>3</v>
      </c>
      <c r="H551">
        <v>3</v>
      </c>
      <c r="I551">
        <v>266</v>
      </c>
      <c r="J551">
        <v>1988</v>
      </c>
      <c r="K551" s="4">
        <v>44672</v>
      </c>
      <c r="L551" t="s">
        <v>30</v>
      </c>
      <c r="M551" t="s">
        <v>42</v>
      </c>
      <c r="N551">
        <v>2.48</v>
      </c>
      <c r="O551">
        <v>1663</v>
      </c>
      <c r="P551">
        <v>3.4</v>
      </c>
      <c r="Q551">
        <v>260</v>
      </c>
      <c r="R551">
        <v>612</v>
      </c>
    </row>
    <row r="552" spans="1:18" hidden="1" x14ac:dyDescent="0.2">
      <c r="A552">
        <v>2</v>
      </c>
      <c r="B552" t="s">
        <v>90</v>
      </c>
      <c r="E552" t="s">
        <v>29</v>
      </c>
      <c r="F552">
        <v>2316676</v>
      </c>
      <c r="G552">
        <v>3</v>
      </c>
      <c r="H552">
        <v>3</v>
      </c>
      <c r="I552">
        <v>148</v>
      </c>
      <c r="J552">
        <v>1986</v>
      </c>
      <c r="K552" s="4">
        <v>45444</v>
      </c>
      <c r="L552" t="s">
        <v>30</v>
      </c>
      <c r="M552" t="s">
        <v>47</v>
      </c>
      <c r="N552">
        <v>3.46</v>
      </c>
      <c r="O552">
        <v>2429</v>
      </c>
      <c r="P552">
        <v>1.55</v>
      </c>
      <c r="Q552">
        <v>109</v>
      </c>
      <c r="R552">
        <v>541</v>
      </c>
    </row>
    <row r="553" spans="1:18" hidden="1" x14ac:dyDescent="0.2">
      <c r="A553">
        <v>4</v>
      </c>
      <c r="B553" t="s">
        <v>87</v>
      </c>
      <c r="E553" t="s">
        <v>29</v>
      </c>
      <c r="F553">
        <v>675395</v>
      </c>
      <c r="G553">
        <v>1</v>
      </c>
      <c r="H553">
        <v>2</v>
      </c>
      <c r="I553">
        <v>757</v>
      </c>
      <c r="J553">
        <v>1992</v>
      </c>
      <c r="K553" s="4">
        <v>45227</v>
      </c>
      <c r="L553" t="s">
        <v>30</v>
      </c>
      <c r="M553" t="s">
        <v>35</v>
      </c>
      <c r="N553">
        <v>2.95</v>
      </c>
      <c r="O553">
        <v>901</v>
      </c>
      <c r="P553">
        <v>2.1800000000000002</v>
      </c>
      <c r="Q553">
        <v>84</v>
      </c>
      <c r="R553">
        <v>407</v>
      </c>
    </row>
    <row r="554" spans="1:18" hidden="1" x14ac:dyDescent="0.2">
      <c r="A554">
        <v>5</v>
      </c>
      <c r="B554" t="s">
        <v>72</v>
      </c>
      <c r="E554" t="s">
        <v>19</v>
      </c>
      <c r="F554">
        <v>2625059</v>
      </c>
      <c r="G554">
        <v>0</v>
      </c>
      <c r="H554">
        <v>2</v>
      </c>
      <c r="I554">
        <v>902</v>
      </c>
      <c r="J554">
        <v>2010</v>
      </c>
      <c r="K554" s="4">
        <v>44630</v>
      </c>
      <c r="L554" t="s">
        <v>26</v>
      </c>
      <c r="M554" t="s">
        <v>97</v>
      </c>
      <c r="N554">
        <v>2.96</v>
      </c>
      <c r="O554">
        <v>2324</v>
      </c>
      <c r="P554">
        <v>2.94</v>
      </c>
      <c r="Q554">
        <v>49</v>
      </c>
      <c r="R554">
        <v>693</v>
      </c>
    </row>
    <row r="555" spans="1:18" hidden="1" x14ac:dyDescent="0.2">
      <c r="A555">
        <v>2</v>
      </c>
      <c r="B555" t="s">
        <v>81</v>
      </c>
      <c r="E555" t="s">
        <v>36</v>
      </c>
      <c r="F555">
        <v>2460996</v>
      </c>
      <c r="G555">
        <v>3</v>
      </c>
      <c r="H555">
        <v>3</v>
      </c>
      <c r="I555">
        <v>831</v>
      </c>
      <c r="J555">
        <v>2019</v>
      </c>
      <c r="K555" s="4">
        <v>44301</v>
      </c>
      <c r="L555" t="s">
        <v>23</v>
      </c>
      <c r="M555" t="s">
        <v>69</v>
      </c>
      <c r="N555">
        <v>2.92</v>
      </c>
      <c r="O555">
        <v>1442</v>
      </c>
      <c r="P555">
        <v>4.4400000000000004</v>
      </c>
      <c r="Q555">
        <v>99</v>
      </c>
      <c r="R555">
        <v>469</v>
      </c>
    </row>
    <row r="556" spans="1:18" x14ac:dyDescent="0.2">
      <c r="A556">
        <v>8</v>
      </c>
      <c r="B556" t="s">
        <v>96</v>
      </c>
      <c r="E556" t="s">
        <v>51</v>
      </c>
      <c r="F556">
        <v>2043730</v>
      </c>
      <c r="G556">
        <v>2</v>
      </c>
      <c r="H556">
        <v>2</v>
      </c>
      <c r="I556">
        <v>836</v>
      </c>
      <c r="J556">
        <v>1997</v>
      </c>
      <c r="K556" s="4">
        <v>44189</v>
      </c>
      <c r="L556" t="s">
        <v>30</v>
      </c>
      <c r="M556" t="s">
        <v>54</v>
      </c>
      <c r="N556">
        <v>3.22</v>
      </c>
      <c r="O556">
        <v>1254</v>
      </c>
      <c r="P556">
        <v>0.65</v>
      </c>
      <c r="Q556">
        <v>179</v>
      </c>
      <c r="R556">
        <v>393</v>
      </c>
    </row>
    <row r="557" spans="1:18" hidden="1" x14ac:dyDescent="0.2">
      <c r="A557">
        <v>4</v>
      </c>
      <c r="B557" t="s">
        <v>102</v>
      </c>
      <c r="E557" t="s">
        <v>36</v>
      </c>
      <c r="F557">
        <v>2546281</v>
      </c>
      <c r="G557">
        <v>2</v>
      </c>
      <c r="H557">
        <v>3</v>
      </c>
      <c r="I557">
        <v>213</v>
      </c>
      <c r="J557">
        <v>1964</v>
      </c>
      <c r="K557" s="4">
        <v>45538</v>
      </c>
      <c r="L557" t="s">
        <v>23</v>
      </c>
      <c r="M557" t="s">
        <v>54</v>
      </c>
      <c r="N557">
        <v>2.63</v>
      </c>
      <c r="O557">
        <v>2035</v>
      </c>
      <c r="P557">
        <v>3.83</v>
      </c>
      <c r="Q557">
        <v>171</v>
      </c>
      <c r="R557">
        <v>691</v>
      </c>
    </row>
    <row r="558" spans="1:18" x14ac:dyDescent="0.2">
      <c r="A558">
        <v>8</v>
      </c>
      <c r="B558" t="s">
        <v>106</v>
      </c>
      <c r="E558" t="s">
        <v>36</v>
      </c>
      <c r="F558">
        <v>1528674</v>
      </c>
      <c r="G558">
        <v>3</v>
      </c>
      <c r="H558">
        <v>3</v>
      </c>
      <c r="I558">
        <v>861</v>
      </c>
      <c r="J558">
        <v>1995</v>
      </c>
      <c r="K558" s="4">
        <v>44788</v>
      </c>
      <c r="L558" t="s">
        <v>23</v>
      </c>
      <c r="M558" t="s">
        <v>24</v>
      </c>
      <c r="N558">
        <v>2.57</v>
      </c>
      <c r="O558">
        <v>2082</v>
      </c>
      <c r="P558">
        <v>1.22</v>
      </c>
      <c r="Q558">
        <v>161</v>
      </c>
      <c r="R558">
        <v>528</v>
      </c>
    </row>
    <row r="559" spans="1:18" hidden="1" x14ac:dyDescent="0.2">
      <c r="A559">
        <v>3</v>
      </c>
      <c r="B559" t="s">
        <v>83</v>
      </c>
      <c r="E559" t="s">
        <v>19</v>
      </c>
      <c r="F559">
        <v>2576838</v>
      </c>
      <c r="G559">
        <v>3</v>
      </c>
      <c r="H559">
        <v>3</v>
      </c>
      <c r="I559">
        <v>529</v>
      </c>
      <c r="J559">
        <v>2006</v>
      </c>
      <c r="K559" s="4">
        <v>44147</v>
      </c>
      <c r="L559" t="s">
        <v>26</v>
      </c>
      <c r="M559" t="s">
        <v>24</v>
      </c>
      <c r="N559">
        <v>1.69</v>
      </c>
      <c r="O559">
        <v>2475</v>
      </c>
      <c r="P559">
        <v>2.97</v>
      </c>
      <c r="Q559">
        <v>195</v>
      </c>
      <c r="R559">
        <v>348</v>
      </c>
    </row>
    <row r="560" spans="1:18" hidden="1" x14ac:dyDescent="0.2">
      <c r="A560">
        <v>5</v>
      </c>
      <c r="B560" t="s">
        <v>46</v>
      </c>
      <c r="E560" t="s">
        <v>29</v>
      </c>
      <c r="F560">
        <v>617246</v>
      </c>
      <c r="G560">
        <v>6</v>
      </c>
      <c r="H560">
        <v>3</v>
      </c>
      <c r="I560">
        <v>443</v>
      </c>
      <c r="J560">
        <v>1990</v>
      </c>
      <c r="K560" s="4">
        <v>45713</v>
      </c>
      <c r="L560" t="s">
        <v>23</v>
      </c>
      <c r="M560" t="s">
        <v>82</v>
      </c>
      <c r="N560">
        <v>2.73</v>
      </c>
      <c r="O560">
        <v>2280</v>
      </c>
      <c r="P560">
        <v>3.94</v>
      </c>
      <c r="Q560">
        <v>395</v>
      </c>
      <c r="R560">
        <v>632</v>
      </c>
    </row>
    <row r="561" spans="1:18" hidden="1" x14ac:dyDescent="0.2">
      <c r="A561">
        <v>5</v>
      </c>
      <c r="B561" t="s">
        <v>99</v>
      </c>
      <c r="E561" t="s">
        <v>51</v>
      </c>
      <c r="F561">
        <v>1956610</v>
      </c>
      <c r="G561">
        <v>3</v>
      </c>
      <c r="H561">
        <v>2</v>
      </c>
      <c r="I561">
        <v>588</v>
      </c>
      <c r="J561">
        <v>2000</v>
      </c>
      <c r="K561" s="4">
        <v>44609</v>
      </c>
      <c r="L561" t="s">
        <v>23</v>
      </c>
      <c r="M561" t="s">
        <v>24</v>
      </c>
      <c r="N561">
        <v>1.77</v>
      </c>
      <c r="O561">
        <v>2466</v>
      </c>
      <c r="P561">
        <v>4.47</v>
      </c>
      <c r="Q561">
        <v>173</v>
      </c>
      <c r="R561">
        <v>700</v>
      </c>
    </row>
    <row r="562" spans="1:18" hidden="1" x14ac:dyDescent="0.2">
      <c r="A562">
        <v>2</v>
      </c>
      <c r="B562" t="s">
        <v>84</v>
      </c>
      <c r="E562" t="s">
        <v>19</v>
      </c>
      <c r="F562">
        <v>1940541</v>
      </c>
      <c r="G562">
        <v>2</v>
      </c>
      <c r="H562">
        <v>2</v>
      </c>
      <c r="I562">
        <v>757</v>
      </c>
      <c r="J562">
        <v>2004</v>
      </c>
      <c r="K562" s="4">
        <v>45835</v>
      </c>
      <c r="L562" t="s">
        <v>23</v>
      </c>
      <c r="M562" t="s">
        <v>40</v>
      </c>
      <c r="N562">
        <v>3.29</v>
      </c>
      <c r="O562">
        <v>2116</v>
      </c>
      <c r="P562">
        <v>2.95</v>
      </c>
      <c r="Q562">
        <v>169</v>
      </c>
      <c r="R562">
        <v>694</v>
      </c>
    </row>
    <row r="563" spans="1:18" hidden="1" x14ac:dyDescent="0.2">
      <c r="A563">
        <v>0</v>
      </c>
      <c r="B563" t="s">
        <v>34</v>
      </c>
      <c r="E563" t="s">
        <v>29</v>
      </c>
      <c r="F563">
        <v>1013161</v>
      </c>
      <c r="G563">
        <v>2</v>
      </c>
      <c r="H563">
        <v>2</v>
      </c>
      <c r="I563">
        <v>647</v>
      </c>
      <c r="J563">
        <v>1982</v>
      </c>
      <c r="K563" s="4">
        <v>45385</v>
      </c>
      <c r="L563" t="s">
        <v>23</v>
      </c>
      <c r="M563" t="s">
        <v>63</v>
      </c>
      <c r="N563">
        <v>1.77</v>
      </c>
      <c r="O563">
        <v>2224</v>
      </c>
      <c r="P563">
        <v>4.29</v>
      </c>
      <c r="Q563">
        <v>150</v>
      </c>
      <c r="R563">
        <v>596</v>
      </c>
    </row>
    <row r="564" spans="1:18" hidden="1" x14ac:dyDescent="0.2">
      <c r="A564">
        <v>4</v>
      </c>
      <c r="B564" t="s">
        <v>73</v>
      </c>
      <c r="E564" t="s">
        <v>36</v>
      </c>
      <c r="F564">
        <v>2938780</v>
      </c>
      <c r="G564">
        <v>0</v>
      </c>
      <c r="H564">
        <v>3</v>
      </c>
      <c r="I564">
        <v>72</v>
      </c>
      <c r="J564">
        <v>1981</v>
      </c>
      <c r="K564" s="4">
        <v>45889</v>
      </c>
      <c r="L564" t="s">
        <v>30</v>
      </c>
      <c r="M564" t="s">
        <v>54</v>
      </c>
      <c r="N564">
        <v>3.25</v>
      </c>
      <c r="O564">
        <v>1075</v>
      </c>
      <c r="P564">
        <v>4.95</v>
      </c>
      <c r="Q564">
        <v>74</v>
      </c>
      <c r="R564">
        <v>495</v>
      </c>
    </row>
    <row r="565" spans="1:18" hidden="1" x14ac:dyDescent="0.2">
      <c r="A565">
        <v>0</v>
      </c>
      <c r="B565" t="s">
        <v>18</v>
      </c>
      <c r="E565" t="s">
        <v>51</v>
      </c>
      <c r="F565">
        <v>2640766</v>
      </c>
      <c r="G565">
        <v>5</v>
      </c>
      <c r="H565">
        <v>1</v>
      </c>
      <c r="I565">
        <v>125</v>
      </c>
      <c r="J565">
        <v>1957</v>
      </c>
      <c r="K565" s="4">
        <v>44747</v>
      </c>
      <c r="L565" t="s">
        <v>26</v>
      </c>
      <c r="M565" t="s">
        <v>63</v>
      </c>
      <c r="N565">
        <v>3.03</v>
      </c>
      <c r="O565">
        <v>2103</v>
      </c>
      <c r="P565">
        <v>4.33</v>
      </c>
      <c r="Q565">
        <v>337</v>
      </c>
      <c r="R565">
        <v>455</v>
      </c>
    </row>
    <row r="566" spans="1:18" hidden="1" x14ac:dyDescent="0.2">
      <c r="A566">
        <v>3</v>
      </c>
      <c r="B566" t="s">
        <v>106</v>
      </c>
      <c r="E566" t="s">
        <v>29</v>
      </c>
      <c r="F566">
        <v>2361242</v>
      </c>
      <c r="G566">
        <v>4</v>
      </c>
      <c r="H566">
        <v>3</v>
      </c>
      <c r="I566">
        <v>252</v>
      </c>
      <c r="J566">
        <v>2012</v>
      </c>
      <c r="K566" s="4">
        <v>44962</v>
      </c>
      <c r="L566" t="s">
        <v>26</v>
      </c>
      <c r="M566" t="s">
        <v>66</v>
      </c>
      <c r="N566">
        <v>1.99</v>
      </c>
      <c r="O566">
        <v>2270</v>
      </c>
      <c r="P566">
        <v>0.46</v>
      </c>
      <c r="Q566">
        <v>326</v>
      </c>
      <c r="R566">
        <v>560</v>
      </c>
    </row>
    <row r="567" spans="1:18" hidden="1" x14ac:dyDescent="0.2">
      <c r="A567">
        <v>9</v>
      </c>
      <c r="B567" t="s">
        <v>75</v>
      </c>
      <c r="E567" t="s">
        <v>29</v>
      </c>
      <c r="F567">
        <v>2576616</v>
      </c>
      <c r="G567">
        <v>1</v>
      </c>
      <c r="H567">
        <v>3</v>
      </c>
      <c r="I567">
        <v>778</v>
      </c>
      <c r="J567">
        <v>1995</v>
      </c>
      <c r="K567" s="4">
        <v>44932</v>
      </c>
      <c r="L567" t="s">
        <v>20</v>
      </c>
      <c r="M567" t="s">
        <v>78</v>
      </c>
      <c r="N567">
        <v>2.85</v>
      </c>
      <c r="O567">
        <v>2169</v>
      </c>
      <c r="P567">
        <v>0.73</v>
      </c>
      <c r="Q567">
        <v>50</v>
      </c>
      <c r="R567">
        <v>639</v>
      </c>
    </row>
    <row r="568" spans="1:18" hidden="1" x14ac:dyDescent="0.2">
      <c r="A568">
        <v>2</v>
      </c>
      <c r="B568" t="s">
        <v>84</v>
      </c>
      <c r="E568" t="s">
        <v>29</v>
      </c>
      <c r="F568">
        <v>1812113</v>
      </c>
      <c r="G568">
        <v>5</v>
      </c>
      <c r="H568">
        <v>3</v>
      </c>
      <c r="I568">
        <v>979</v>
      </c>
      <c r="J568">
        <v>1983</v>
      </c>
      <c r="K568" s="4">
        <v>45610</v>
      </c>
      <c r="L568" t="s">
        <v>26</v>
      </c>
      <c r="M568" t="s">
        <v>52</v>
      </c>
      <c r="N568">
        <v>2.0299999999999998</v>
      </c>
      <c r="O568">
        <v>816</v>
      </c>
      <c r="P568">
        <v>1.85</v>
      </c>
      <c r="Q568">
        <v>300</v>
      </c>
      <c r="R568">
        <v>605</v>
      </c>
    </row>
    <row r="569" spans="1:18" hidden="1" x14ac:dyDescent="0.2">
      <c r="A569">
        <v>7</v>
      </c>
      <c r="B569" t="s">
        <v>95</v>
      </c>
      <c r="E569" t="s">
        <v>36</v>
      </c>
      <c r="F569">
        <v>2910046</v>
      </c>
      <c r="G569">
        <v>2</v>
      </c>
      <c r="H569">
        <v>2</v>
      </c>
      <c r="I569">
        <v>838</v>
      </c>
      <c r="J569">
        <v>1965</v>
      </c>
      <c r="K569" s="4">
        <v>45124</v>
      </c>
      <c r="L569" t="s">
        <v>23</v>
      </c>
      <c r="M569" t="s">
        <v>37</v>
      </c>
      <c r="N569">
        <v>2.86</v>
      </c>
      <c r="O569">
        <v>2451</v>
      </c>
      <c r="P569">
        <v>3.4</v>
      </c>
      <c r="Q569">
        <v>60</v>
      </c>
      <c r="R569">
        <v>374</v>
      </c>
    </row>
    <row r="570" spans="1:18" hidden="1" x14ac:dyDescent="0.2">
      <c r="A570">
        <v>7</v>
      </c>
      <c r="B570" t="s">
        <v>55</v>
      </c>
      <c r="E570" t="s">
        <v>29</v>
      </c>
      <c r="F570">
        <v>1459656</v>
      </c>
      <c r="G570">
        <v>4</v>
      </c>
      <c r="H570">
        <v>2</v>
      </c>
      <c r="I570">
        <v>284</v>
      </c>
      <c r="J570">
        <v>2011</v>
      </c>
      <c r="K570" s="4">
        <v>45793</v>
      </c>
      <c r="L570" t="s">
        <v>26</v>
      </c>
      <c r="M570" t="s">
        <v>54</v>
      </c>
      <c r="N570">
        <v>1.77</v>
      </c>
      <c r="O570">
        <v>2153</v>
      </c>
      <c r="P570">
        <v>4.63</v>
      </c>
      <c r="Q570">
        <v>370</v>
      </c>
      <c r="R570">
        <v>700</v>
      </c>
    </row>
    <row r="571" spans="1:18" hidden="1" x14ac:dyDescent="0.2">
      <c r="A571">
        <v>6</v>
      </c>
      <c r="B571" t="s">
        <v>84</v>
      </c>
      <c r="E571" t="s">
        <v>19</v>
      </c>
      <c r="F571">
        <v>2397039</v>
      </c>
      <c r="G571">
        <v>2</v>
      </c>
      <c r="H571">
        <v>2</v>
      </c>
      <c r="I571">
        <v>994</v>
      </c>
      <c r="J571">
        <v>2021</v>
      </c>
      <c r="K571" s="4">
        <v>45093</v>
      </c>
      <c r="L571" t="s">
        <v>30</v>
      </c>
      <c r="M571" t="s">
        <v>33</v>
      </c>
      <c r="N571">
        <v>3.33</v>
      </c>
      <c r="O571">
        <v>1713</v>
      </c>
      <c r="P571">
        <v>0.93</v>
      </c>
      <c r="Q571">
        <v>49</v>
      </c>
      <c r="R571">
        <v>345</v>
      </c>
    </row>
    <row r="572" spans="1:18" hidden="1" x14ac:dyDescent="0.2">
      <c r="A572">
        <v>9</v>
      </c>
      <c r="B572" t="s">
        <v>67</v>
      </c>
      <c r="E572" t="s">
        <v>51</v>
      </c>
      <c r="F572">
        <v>1089487</v>
      </c>
      <c r="G572">
        <v>2</v>
      </c>
      <c r="H572">
        <v>1</v>
      </c>
      <c r="I572">
        <v>110</v>
      </c>
      <c r="J572">
        <v>2019</v>
      </c>
      <c r="K572" s="4">
        <v>45114</v>
      </c>
      <c r="L572" t="s">
        <v>23</v>
      </c>
      <c r="M572" t="s">
        <v>58</v>
      </c>
      <c r="N572">
        <v>2.72</v>
      </c>
      <c r="O572">
        <v>2051</v>
      </c>
      <c r="P572">
        <v>0.38</v>
      </c>
      <c r="Q572">
        <v>139</v>
      </c>
      <c r="R572">
        <v>616</v>
      </c>
    </row>
    <row r="573" spans="1:18" hidden="1" x14ac:dyDescent="0.2">
      <c r="A573">
        <v>4</v>
      </c>
      <c r="B573" t="s">
        <v>75</v>
      </c>
      <c r="E573" t="s">
        <v>19</v>
      </c>
      <c r="F573">
        <v>2196891</v>
      </c>
      <c r="G573">
        <v>5</v>
      </c>
      <c r="H573">
        <v>2</v>
      </c>
      <c r="I573">
        <v>600</v>
      </c>
      <c r="J573">
        <v>1996</v>
      </c>
      <c r="K573" s="4">
        <v>45020</v>
      </c>
      <c r="L573" t="s">
        <v>26</v>
      </c>
      <c r="M573" t="s">
        <v>33</v>
      </c>
      <c r="N573">
        <v>1.59</v>
      </c>
      <c r="O573">
        <v>1002</v>
      </c>
      <c r="P573">
        <v>4.96</v>
      </c>
      <c r="Q573">
        <v>315</v>
      </c>
      <c r="R573">
        <v>540</v>
      </c>
    </row>
    <row r="574" spans="1:18" hidden="1" x14ac:dyDescent="0.2">
      <c r="A574">
        <v>2</v>
      </c>
      <c r="B574" t="s">
        <v>44</v>
      </c>
      <c r="E574" t="s">
        <v>51</v>
      </c>
      <c r="F574">
        <v>670837</v>
      </c>
      <c r="G574">
        <v>4</v>
      </c>
      <c r="H574">
        <v>1</v>
      </c>
      <c r="I574">
        <v>951</v>
      </c>
      <c r="J574">
        <v>1975</v>
      </c>
      <c r="K574" s="4">
        <v>44901</v>
      </c>
      <c r="L574" t="s">
        <v>20</v>
      </c>
      <c r="M574" t="s">
        <v>69</v>
      </c>
      <c r="N574">
        <v>1.56</v>
      </c>
      <c r="O574">
        <v>901</v>
      </c>
      <c r="P574">
        <v>2.96</v>
      </c>
      <c r="Q574">
        <v>190</v>
      </c>
      <c r="R574">
        <v>406</v>
      </c>
    </row>
    <row r="575" spans="1:18" hidden="1" x14ac:dyDescent="0.2">
      <c r="A575">
        <v>5</v>
      </c>
      <c r="B575" t="s">
        <v>43</v>
      </c>
      <c r="E575" t="s">
        <v>36</v>
      </c>
      <c r="F575">
        <v>742496</v>
      </c>
      <c r="G575">
        <v>2</v>
      </c>
      <c r="H575">
        <v>2</v>
      </c>
      <c r="I575">
        <v>401</v>
      </c>
      <c r="J575">
        <v>2011</v>
      </c>
      <c r="K575" s="4">
        <v>45612</v>
      </c>
      <c r="L575" t="s">
        <v>20</v>
      </c>
      <c r="M575" t="s">
        <v>45</v>
      </c>
      <c r="N575">
        <v>1.53</v>
      </c>
      <c r="O575">
        <v>1122</v>
      </c>
      <c r="P575">
        <v>3.87</v>
      </c>
      <c r="Q575">
        <v>144</v>
      </c>
      <c r="R575">
        <v>399</v>
      </c>
    </row>
    <row r="576" spans="1:18" hidden="1" x14ac:dyDescent="0.2">
      <c r="A576">
        <v>9</v>
      </c>
      <c r="B576" t="s">
        <v>41</v>
      </c>
      <c r="E576" t="s">
        <v>29</v>
      </c>
      <c r="F576">
        <v>437377</v>
      </c>
      <c r="G576">
        <v>3</v>
      </c>
      <c r="H576">
        <v>1</v>
      </c>
      <c r="I576">
        <v>89</v>
      </c>
      <c r="J576">
        <v>1975</v>
      </c>
      <c r="K576" s="4">
        <v>44538</v>
      </c>
      <c r="L576" t="s">
        <v>26</v>
      </c>
      <c r="M576" t="s">
        <v>56</v>
      </c>
      <c r="N576">
        <v>2.12</v>
      </c>
      <c r="O576">
        <v>2207</v>
      </c>
      <c r="P576">
        <v>3.35</v>
      </c>
      <c r="Q576">
        <v>150</v>
      </c>
      <c r="R576">
        <v>335</v>
      </c>
    </row>
    <row r="577" spans="1:18" hidden="1" x14ac:dyDescent="0.2">
      <c r="A577">
        <v>7</v>
      </c>
      <c r="B577" t="s">
        <v>93</v>
      </c>
      <c r="E577" t="s">
        <v>51</v>
      </c>
      <c r="F577">
        <v>858002</v>
      </c>
      <c r="G577">
        <v>4</v>
      </c>
      <c r="H577">
        <v>3</v>
      </c>
      <c r="I577">
        <v>508</v>
      </c>
      <c r="J577">
        <v>1959</v>
      </c>
      <c r="K577" s="4">
        <v>44209</v>
      </c>
      <c r="L577" t="s">
        <v>20</v>
      </c>
      <c r="M577" t="s">
        <v>70</v>
      </c>
      <c r="N577">
        <v>3.41</v>
      </c>
      <c r="O577">
        <v>989</v>
      </c>
      <c r="P577">
        <v>2.73</v>
      </c>
      <c r="Q577">
        <v>273</v>
      </c>
      <c r="R577">
        <v>472</v>
      </c>
    </row>
    <row r="578" spans="1:18" x14ac:dyDescent="0.2">
      <c r="A578">
        <v>8</v>
      </c>
      <c r="B578" t="s">
        <v>83</v>
      </c>
      <c r="E578" t="s">
        <v>19</v>
      </c>
      <c r="F578">
        <v>2402702</v>
      </c>
      <c r="G578">
        <v>5</v>
      </c>
      <c r="H578">
        <v>2</v>
      </c>
      <c r="I578">
        <v>435</v>
      </c>
      <c r="J578">
        <v>1983</v>
      </c>
      <c r="K578" s="4">
        <v>45101</v>
      </c>
      <c r="L578" t="s">
        <v>20</v>
      </c>
      <c r="M578" t="s">
        <v>76</v>
      </c>
      <c r="N578">
        <v>1.8</v>
      </c>
      <c r="O578">
        <v>2336</v>
      </c>
      <c r="P578">
        <v>0.83</v>
      </c>
      <c r="Q578">
        <v>344</v>
      </c>
      <c r="R578">
        <v>651</v>
      </c>
    </row>
    <row r="579" spans="1:18" hidden="1" x14ac:dyDescent="0.2">
      <c r="A579">
        <v>6</v>
      </c>
      <c r="B579" t="s">
        <v>75</v>
      </c>
      <c r="E579" t="s">
        <v>51</v>
      </c>
      <c r="F579">
        <v>933367</v>
      </c>
      <c r="G579">
        <v>5</v>
      </c>
      <c r="H579">
        <v>1</v>
      </c>
      <c r="I579">
        <v>497</v>
      </c>
      <c r="J579">
        <v>1986</v>
      </c>
      <c r="K579" s="4">
        <v>44707</v>
      </c>
      <c r="L579" t="s">
        <v>23</v>
      </c>
      <c r="M579" t="s">
        <v>69</v>
      </c>
      <c r="N579">
        <v>2.4500000000000002</v>
      </c>
      <c r="O579">
        <v>1293</v>
      </c>
      <c r="P579">
        <v>4.32</v>
      </c>
      <c r="Q579">
        <v>268</v>
      </c>
      <c r="R579">
        <v>404</v>
      </c>
    </row>
    <row r="580" spans="1:18" hidden="1" x14ac:dyDescent="0.2">
      <c r="A580">
        <v>1</v>
      </c>
      <c r="B580" t="s">
        <v>44</v>
      </c>
      <c r="E580" t="s">
        <v>29</v>
      </c>
      <c r="F580">
        <v>2931211</v>
      </c>
      <c r="G580">
        <v>5</v>
      </c>
      <c r="H580">
        <v>2</v>
      </c>
      <c r="I580">
        <v>512</v>
      </c>
      <c r="J580">
        <v>1995</v>
      </c>
      <c r="K580" s="4">
        <v>45083</v>
      </c>
      <c r="L580" t="s">
        <v>26</v>
      </c>
      <c r="M580" t="s">
        <v>59</v>
      </c>
      <c r="N580">
        <v>1.55</v>
      </c>
      <c r="O580">
        <v>909</v>
      </c>
      <c r="P580">
        <v>2.2200000000000002</v>
      </c>
      <c r="Q580">
        <v>274</v>
      </c>
      <c r="R580">
        <v>418</v>
      </c>
    </row>
    <row r="581" spans="1:18" hidden="1" x14ac:dyDescent="0.2">
      <c r="A581">
        <v>6</v>
      </c>
      <c r="B581" t="s">
        <v>55</v>
      </c>
      <c r="E581" t="s">
        <v>36</v>
      </c>
      <c r="F581">
        <v>823011</v>
      </c>
      <c r="G581">
        <v>2</v>
      </c>
      <c r="H581">
        <v>3</v>
      </c>
      <c r="I581">
        <v>168</v>
      </c>
      <c r="J581">
        <v>1980</v>
      </c>
      <c r="K581" s="4">
        <v>44597</v>
      </c>
      <c r="L581" t="s">
        <v>30</v>
      </c>
      <c r="M581" t="s">
        <v>59</v>
      </c>
      <c r="N581">
        <v>3.2</v>
      </c>
      <c r="O581">
        <v>961</v>
      </c>
      <c r="P581">
        <v>4.76</v>
      </c>
      <c r="Q581">
        <v>63</v>
      </c>
      <c r="R581">
        <v>676</v>
      </c>
    </row>
    <row r="582" spans="1:18" hidden="1" x14ac:dyDescent="0.2">
      <c r="A582">
        <v>6</v>
      </c>
      <c r="B582" t="s">
        <v>91</v>
      </c>
      <c r="E582" t="s">
        <v>36</v>
      </c>
      <c r="F582">
        <v>2437849</v>
      </c>
      <c r="G582">
        <v>4</v>
      </c>
      <c r="H582">
        <v>1</v>
      </c>
      <c r="I582">
        <v>201</v>
      </c>
      <c r="J582">
        <v>1970</v>
      </c>
      <c r="K582" s="4">
        <v>44526</v>
      </c>
      <c r="L582" t="s">
        <v>26</v>
      </c>
      <c r="M582" t="s">
        <v>76</v>
      </c>
      <c r="N582">
        <v>2.71</v>
      </c>
      <c r="O582">
        <v>1217</v>
      </c>
      <c r="P582">
        <v>0.82</v>
      </c>
      <c r="Q582">
        <v>300</v>
      </c>
      <c r="R582">
        <v>371</v>
      </c>
    </row>
    <row r="583" spans="1:18" hidden="1" x14ac:dyDescent="0.2">
      <c r="A583">
        <v>3</v>
      </c>
      <c r="B583" t="s">
        <v>44</v>
      </c>
      <c r="E583" t="s">
        <v>29</v>
      </c>
      <c r="F583">
        <v>1447954</v>
      </c>
      <c r="G583">
        <v>3</v>
      </c>
      <c r="H583">
        <v>2</v>
      </c>
      <c r="I583">
        <v>419</v>
      </c>
      <c r="J583">
        <v>2014</v>
      </c>
      <c r="K583" s="4">
        <v>44882</v>
      </c>
      <c r="L583" t="s">
        <v>26</v>
      </c>
      <c r="M583" t="s">
        <v>42</v>
      </c>
      <c r="N583">
        <v>1.93</v>
      </c>
      <c r="O583">
        <v>1590</v>
      </c>
      <c r="P583">
        <v>1.57</v>
      </c>
      <c r="Q583">
        <v>313</v>
      </c>
      <c r="R583">
        <v>642</v>
      </c>
    </row>
    <row r="584" spans="1:18" hidden="1" x14ac:dyDescent="0.2">
      <c r="A584">
        <v>2</v>
      </c>
      <c r="B584" t="s">
        <v>55</v>
      </c>
      <c r="E584" t="s">
        <v>29</v>
      </c>
      <c r="F584">
        <v>1050961</v>
      </c>
      <c r="G584">
        <v>4</v>
      </c>
      <c r="H584">
        <v>3</v>
      </c>
      <c r="I584">
        <v>342</v>
      </c>
      <c r="J584">
        <v>1975</v>
      </c>
      <c r="K584" s="4">
        <v>44431</v>
      </c>
      <c r="L584" t="s">
        <v>30</v>
      </c>
      <c r="M584" t="s">
        <v>47</v>
      </c>
      <c r="N584">
        <v>3.05</v>
      </c>
      <c r="O584">
        <v>2173</v>
      </c>
      <c r="P584">
        <v>4.1100000000000003</v>
      </c>
      <c r="Q584">
        <v>235</v>
      </c>
      <c r="R584">
        <v>538</v>
      </c>
    </row>
    <row r="585" spans="1:18" hidden="1" x14ac:dyDescent="0.2">
      <c r="A585">
        <v>2</v>
      </c>
      <c r="B585" t="s">
        <v>49</v>
      </c>
      <c r="E585" t="s">
        <v>36</v>
      </c>
      <c r="F585">
        <v>1947581</v>
      </c>
      <c r="G585">
        <v>2</v>
      </c>
      <c r="H585">
        <v>1</v>
      </c>
      <c r="I585">
        <v>79</v>
      </c>
      <c r="J585">
        <v>2000</v>
      </c>
      <c r="K585" s="4">
        <v>44418</v>
      </c>
      <c r="L585" t="s">
        <v>30</v>
      </c>
      <c r="M585" t="s">
        <v>59</v>
      </c>
      <c r="N585">
        <v>2.5</v>
      </c>
      <c r="O585">
        <v>1203</v>
      </c>
      <c r="P585">
        <v>1.76</v>
      </c>
      <c r="Q585">
        <v>70</v>
      </c>
      <c r="R585">
        <v>615</v>
      </c>
    </row>
    <row r="586" spans="1:18" hidden="1" x14ac:dyDescent="0.2">
      <c r="A586">
        <v>3</v>
      </c>
      <c r="B586" t="s">
        <v>64</v>
      </c>
      <c r="E586" t="s">
        <v>36</v>
      </c>
      <c r="F586">
        <v>2185796</v>
      </c>
      <c r="G586">
        <v>3</v>
      </c>
      <c r="H586">
        <v>2</v>
      </c>
      <c r="I586">
        <v>803</v>
      </c>
      <c r="J586">
        <v>1965</v>
      </c>
      <c r="K586" s="4">
        <v>44818</v>
      </c>
      <c r="L586" t="s">
        <v>20</v>
      </c>
      <c r="M586" t="s">
        <v>56</v>
      </c>
      <c r="N586">
        <v>2.98</v>
      </c>
      <c r="O586">
        <v>1726</v>
      </c>
      <c r="P586">
        <v>4.4800000000000004</v>
      </c>
      <c r="Q586">
        <v>121</v>
      </c>
      <c r="R586">
        <v>639</v>
      </c>
    </row>
    <row r="587" spans="1:18" hidden="1" x14ac:dyDescent="0.2">
      <c r="A587">
        <v>7</v>
      </c>
      <c r="B587" t="s">
        <v>65</v>
      </c>
      <c r="E587" t="s">
        <v>36</v>
      </c>
      <c r="F587">
        <v>712937</v>
      </c>
      <c r="G587">
        <v>6</v>
      </c>
      <c r="H587">
        <v>3</v>
      </c>
      <c r="I587">
        <v>813</v>
      </c>
      <c r="J587">
        <v>1982</v>
      </c>
      <c r="K587" s="4">
        <v>44272</v>
      </c>
      <c r="L587" t="s">
        <v>30</v>
      </c>
      <c r="M587" t="s">
        <v>27</v>
      </c>
      <c r="N587">
        <v>2.38</v>
      </c>
      <c r="O587">
        <v>1891</v>
      </c>
      <c r="P587">
        <v>4.9800000000000004</v>
      </c>
      <c r="Q587">
        <v>324</v>
      </c>
      <c r="R587">
        <v>521</v>
      </c>
    </row>
    <row r="588" spans="1:18" hidden="1" x14ac:dyDescent="0.2">
      <c r="A588">
        <v>5</v>
      </c>
      <c r="B588" t="s">
        <v>101</v>
      </c>
      <c r="E588" t="s">
        <v>29</v>
      </c>
      <c r="F588">
        <v>1714701</v>
      </c>
      <c r="G588">
        <v>1</v>
      </c>
      <c r="H588">
        <v>3</v>
      </c>
      <c r="I588">
        <v>140</v>
      </c>
      <c r="J588">
        <v>1974</v>
      </c>
      <c r="K588" s="4">
        <v>45534</v>
      </c>
      <c r="L588" t="s">
        <v>30</v>
      </c>
      <c r="M588" t="s">
        <v>42</v>
      </c>
      <c r="N588">
        <v>3.22</v>
      </c>
      <c r="O588">
        <v>2250</v>
      </c>
      <c r="P588">
        <v>1.99</v>
      </c>
      <c r="Q588">
        <v>157</v>
      </c>
      <c r="R588">
        <v>524</v>
      </c>
    </row>
    <row r="589" spans="1:18" x14ac:dyDescent="0.2">
      <c r="A589">
        <v>8</v>
      </c>
      <c r="B589" t="s">
        <v>92</v>
      </c>
      <c r="E589" t="s">
        <v>36</v>
      </c>
      <c r="F589">
        <v>2623285</v>
      </c>
      <c r="G589">
        <v>6</v>
      </c>
      <c r="H589">
        <v>3</v>
      </c>
      <c r="I589">
        <v>200</v>
      </c>
      <c r="J589">
        <v>1999</v>
      </c>
      <c r="K589" s="4">
        <v>44204</v>
      </c>
      <c r="L589" t="s">
        <v>20</v>
      </c>
      <c r="M589" t="s">
        <v>27</v>
      </c>
      <c r="N589">
        <v>2.29</v>
      </c>
      <c r="O589">
        <v>914</v>
      </c>
      <c r="P589">
        <v>1.57</v>
      </c>
      <c r="Q589">
        <v>325</v>
      </c>
      <c r="R589">
        <v>489</v>
      </c>
    </row>
    <row r="590" spans="1:18" hidden="1" x14ac:dyDescent="0.2">
      <c r="A590">
        <v>4</v>
      </c>
      <c r="B590" t="s">
        <v>99</v>
      </c>
      <c r="E590" t="s">
        <v>19</v>
      </c>
      <c r="F590">
        <v>2156181</v>
      </c>
      <c r="G590">
        <v>3</v>
      </c>
      <c r="H590">
        <v>1</v>
      </c>
      <c r="I590">
        <v>982</v>
      </c>
      <c r="J590">
        <v>1961</v>
      </c>
      <c r="K590" s="4">
        <v>44661</v>
      </c>
      <c r="L590" t="s">
        <v>30</v>
      </c>
      <c r="M590" t="s">
        <v>31</v>
      </c>
      <c r="N590">
        <v>2.27</v>
      </c>
      <c r="O590">
        <v>848</v>
      </c>
      <c r="P590">
        <v>0.14000000000000001</v>
      </c>
      <c r="Q590">
        <v>316</v>
      </c>
      <c r="R590">
        <v>500</v>
      </c>
    </row>
    <row r="591" spans="1:18" hidden="1" x14ac:dyDescent="0.2">
      <c r="A591">
        <v>3</v>
      </c>
      <c r="B591" t="s">
        <v>65</v>
      </c>
      <c r="E591" t="s">
        <v>36</v>
      </c>
      <c r="F591">
        <v>980465</v>
      </c>
      <c r="G591">
        <v>2</v>
      </c>
      <c r="H591">
        <v>2</v>
      </c>
      <c r="I591">
        <v>787</v>
      </c>
      <c r="J591">
        <v>1965</v>
      </c>
      <c r="K591" s="4">
        <v>44939</v>
      </c>
      <c r="L591" t="s">
        <v>20</v>
      </c>
      <c r="M591" t="s">
        <v>56</v>
      </c>
      <c r="N591">
        <v>3.43</v>
      </c>
      <c r="O591">
        <v>2084</v>
      </c>
      <c r="P591">
        <v>0.85</v>
      </c>
      <c r="Q591">
        <v>46</v>
      </c>
      <c r="R591">
        <v>517</v>
      </c>
    </row>
    <row r="592" spans="1:18" hidden="1" x14ac:dyDescent="0.2">
      <c r="A592">
        <v>2</v>
      </c>
      <c r="B592" t="s">
        <v>22</v>
      </c>
      <c r="E592" t="s">
        <v>19</v>
      </c>
      <c r="F592">
        <v>764528</v>
      </c>
      <c r="G592">
        <v>2</v>
      </c>
      <c r="H592">
        <v>1</v>
      </c>
      <c r="I592">
        <v>569</v>
      </c>
      <c r="J592">
        <v>2007</v>
      </c>
      <c r="K592" s="4">
        <v>45187</v>
      </c>
      <c r="L592" t="s">
        <v>30</v>
      </c>
      <c r="M592" t="s">
        <v>54</v>
      </c>
      <c r="N592">
        <v>3.31</v>
      </c>
      <c r="O592">
        <v>2134</v>
      </c>
      <c r="P592">
        <v>4.53</v>
      </c>
      <c r="Q592">
        <v>206</v>
      </c>
      <c r="R592">
        <v>539</v>
      </c>
    </row>
    <row r="593" spans="1:18" hidden="1" x14ac:dyDescent="0.2">
      <c r="A593">
        <v>7</v>
      </c>
      <c r="B593" t="s">
        <v>91</v>
      </c>
      <c r="E593" t="s">
        <v>36</v>
      </c>
      <c r="F593">
        <v>558964</v>
      </c>
      <c r="G593">
        <v>6</v>
      </c>
      <c r="H593">
        <v>3</v>
      </c>
      <c r="I593">
        <v>972</v>
      </c>
      <c r="J593">
        <v>1950</v>
      </c>
      <c r="K593" s="4">
        <v>45177</v>
      </c>
      <c r="L593" t="s">
        <v>20</v>
      </c>
      <c r="M593" t="s">
        <v>82</v>
      </c>
      <c r="N593">
        <v>1.61</v>
      </c>
      <c r="O593">
        <v>1663</v>
      </c>
      <c r="P593">
        <v>0.67</v>
      </c>
      <c r="Q593">
        <v>388</v>
      </c>
      <c r="R593">
        <v>636</v>
      </c>
    </row>
    <row r="594" spans="1:18" hidden="1" x14ac:dyDescent="0.2">
      <c r="A594">
        <v>5</v>
      </c>
      <c r="B594" t="s">
        <v>49</v>
      </c>
      <c r="E594" t="s">
        <v>51</v>
      </c>
      <c r="F594">
        <v>1444912</v>
      </c>
      <c r="G594">
        <v>5</v>
      </c>
      <c r="H594">
        <v>2</v>
      </c>
      <c r="I594">
        <v>134</v>
      </c>
      <c r="J594">
        <v>2013</v>
      </c>
      <c r="K594" s="4">
        <v>45062</v>
      </c>
      <c r="L594" t="s">
        <v>20</v>
      </c>
      <c r="M594" t="s">
        <v>37</v>
      </c>
      <c r="N594">
        <v>3.08</v>
      </c>
      <c r="O594">
        <v>2049</v>
      </c>
      <c r="P594">
        <v>0.67</v>
      </c>
      <c r="Q594">
        <v>241</v>
      </c>
      <c r="R594">
        <v>303</v>
      </c>
    </row>
    <row r="595" spans="1:18" hidden="1" x14ac:dyDescent="0.2">
      <c r="A595">
        <v>3</v>
      </c>
      <c r="B595" t="s">
        <v>28</v>
      </c>
      <c r="E595" t="s">
        <v>19</v>
      </c>
      <c r="F595">
        <v>2561571</v>
      </c>
      <c r="G595">
        <v>2</v>
      </c>
      <c r="H595">
        <v>3</v>
      </c>
      <c r="I595">
        <v>416</v>
      </c>
      <c r="J595">
        <v>1974</v>
      </c>
      <c r="K595" s="4">
        <v>44631</v>
      </c>
      <c r="L595" t="s">
        <v>26</v>
      </c>
      <c r="M595" t="s">
        <v>24</v>
      </c>
      <c r="N595">
        <v>2.91</v>
      </c>
      <c r="O595">
        <v>1803</v>
      </c>
      <c r="P595">
        <v>2.59</v>
      </c>
      <c r="Q595">
        <v>149</v>
      </c>
      <c r="R595">
        <v>624</v>
      </c>
    </row>
    <row r="596" spans="1:18" hidden="1" x14ac:dyDescent="0.2">
      <c r="A596">
        <v>3</v>
      </c>
      <c r="B596" t="s">
        <v>93</v>
      </c>
      <c r="E596" t="s">
        <v>19</v>
      </c>
      <c r="F596">
        <v>2065896</v>
      </c>
      <c r="G596">
        <v>2</v>
      </c>
      <c r="H596">
        <v>3</v>
      </c>
      <c r="I596">
        <v>131</v>
      </c>
      <c r="J596">
        <v>1951</v>
      </c>
      <c r="K596" s="4">
        <v>44351</v>
      </c>
      <c r="L596" t="s">
        <v>26</v>
      </c>
      <c r="M596" t="s">
        <v>85</v>
      </c>
      <c r="N596">
        <v>2.34</v>
      </c>
      <c r="O596">
        <v>858</v>
      </c>
      <c r="P596">
        <v>0.38</v>
      </c>
      <c r="Q596">
        <v>100</v>
      </c>
      <c r="R596">
        <v>542</v>
      </c>
    </row>
    <row r="597" spans="1:18" hidden="1" x14ac:dyDescent="0.2">
      <c r="A597">
        <v>5</v>
      </c>
      <c r="B597" t="s">
        <v>39</v>
      </c>
      <c r="E597" t="s">
        <v>29</v>
      </c>
      <c r="F597">
        <v>2805316</v>
      </c>
      <c r="G597">
        <v>4</v>
      </c>
      <c r="H597">
        <v>2</v>
      </c>
      <c r="I597">
        <v>93</v>
      </c>
      <c r="J597">
        <v>2000</v>
      </c>
      <c r="K597" s="4">
        <v>45279</v>
      </c>
      <c r="L597" t="s">
        <v>20</v>
      </c>
      <c r="M597" t="s">
        <v>76</v>
      </c>
      <c r="N597">
        <v>1.8</v>
      </c>
      <c r="O597">
        <v>1239</v>
      </c>
      <c r="P597">
        <v>0.19</v>
      </c>
      <c r="Q597">
        <v>252</v>
      </c>
      <c r="R597">
        <v>677</v>
      </c>
    </row>
    <row r="598" spans="1:18" hidden="1" x14ac:dyDescent="0.2">
      <c r="A598">
        <v>7</v>
      </c>
      <c r="B598" t="s">
        <v>61</v>
      </c>
      <c r="E598" t="s">
        <v>51</v>
      </c>
      <c r="F598">
        <v>1180063</v>
      </c>
      <c r="G598">
        <v>4</v>
      </c>
      <c r="H598">
        <v>1</v>
      </c>
      <c r="I598">
        <v>662</v>
      </c>
      <c r="J598">
        <v>1978</v>
      </c>
      <c r="K598" s="4">
        <v>45070</v>
      </c>
      <c r="L598" t="s">
        <v>26</v>
      </c>
      <c r="M598" t="s">
        <v>97</v>
      </c>
      <c r="N598">
        <v>1.54</v>
      </c>
      <c r="O598">
        <v>976</v>
      </c>
      <c r="P598">
        <v>3.59</v>
      </c>
      <c r="Q598">
        <v>383</v>
      </c>
      <c r="R598">
        <v>305</v>
      </c>
    </row>
    <row r="599" spans="1:18" hidden="1" x14ac:dyDescent="0.2">
      <c r="A599">
        <v>0</v>
      </c>
      <c r="B599" t="s">
        <v>73</v>
      </c>
      <c r="E599" t="s">
        <v>19</v>
      </c>
      <c r="F599">
        <v>1062967</v>
      </c>
      <c r="G599">
        <v>0</v>
      </c>
      <c r="H599">
        <v>2</v>
      </c>
      <c r="I599">
        <v>455</v>
      </c>
      <c r="J599">
        <v>1953</v>
      </c>
      <c r="K599" s="4">
        <v>44580</v>
      </c>
      <c r="L599" t="s">
        <v>26</v>
      </c>
      <c r="M599" t="s">
        <v>66</v>
      </c>
      <c r="N599">
        <v>1.66</v>
      </c>
      <c r="O599">
        <v>2233</v>
      </c>
      <c r="P599">
        <v>1.32</v>
      </c>
      <c r="Q599">
        <v>67</v>
      </c>
      <c r="R599">
        <v>458</v>
      </c>
    </row>
    <row r="600" spans="1:18" hidden="1" x14ac:dyDescent="0.2">
      <c r="A600">
        <v>6</v>
      </c>
      <c r="B600" t="s">
        <v>87</v>
      </c>
      <c r="E600" t="s">
        <v>51</v>
      </c>
      <c r="F600">
        <v>403683</v>
      </c>
      <c r="G600">
        <v>4</v>
      </c>
      <c r="H600">
        <v>3</v>
      </c>
      <c r="I600">
        <v>523</v>
      </c>
      <c r="J600">
        <v>1983</v>
      </c>
      <c r="K600" s="4">
        <v>44709</v>
      </c>
      <c r="L600" t="s">
        <v>26</v>
      </c>
      <c r="M600" t="s">
        <v>40</v>
      </c>
      <c r="N600">
        <v>2.68</v>
      </c>
      <c r="O600">
        <v>1646</v>
      </c>
      <c r="P600">
        <v>4.3600000000000003</v>
      </c>
      <c r="Q600">
        <v>376</v>
      </c>
      <c r="R600">
        <v>586</v>
      </c>
    </row>
    <row r="601" spans="1:18" hidden="1" x14ac:dyDescent="0.2">
      <c r="A601">
        <v>1</v>
      </c>
      <c r="B601" t="s">
        <v>28</v>
      </c>
      <c r="E601" t="s">
        <v>19</v>
      </c>
      <c r="F601">
        <v>2106523</v>
      </c>
      <c r="G601">
        <v>2</v>
      </c>
      <c r="H601">
        <v>3</v>
      </c>
      <c r="I601">
        <v>220</v>
      </c>
      <c r="J601">
        <v>1972</v>
      </c>
      <c r="K601" s="4">
        <v>45644</v>
      </c>
      <c r="L601" t="s">
        <v>26</v>
      </c>
      <c r="M601" t="s">
        <v>27</v>
      </c>
      <c r="N601">
        <v>3.18</v>
      </c>
      <c r="O601">
        <v>1201</v>
      </c>
      <c r="P601">
        <v>4.04</v>
      </c>
      <c r="Q601">
        <v>42</v>
      </c>
      <c r="R601">
        <v>430</v>
      </c>
    </row>
    <row r="602" spans="1:18" hidden="1" x14ac:dyDescent="0.2">
      <c r="A602">
        <v>2</v>
      </c>
      <c r="B602" t="s">
        <v>72</v>
      </c>
      <c r="E602" t="s">
        <v>29</v>
      </c>
      <c r="F602">
        <v>651140</v>
      </c>
      <c r="G602">
        <v>4</v>
      </c>
      <c r="H602">
        <v>3</v>
      </c>
      <c r="I602">
        <v>173</v>
      </c>
      <c r="J602">
        <v>1960</v>
      </c>
      <c r="K602" s="4">
        <v>44308</v>
      </c>
      <c r="L602" t="s">
        <v>20</v>
      </c>
      <c r="M602" t="s">
        <v>78</v>
      </c>
      <c r="N602">
        <v>3.05</v>
      </c>
      <c r="O602">
        <v>1096</v>
      </c>
      <c r="P602">
        <v>1.85</v>
      </c>
      <c r="Q602">
        <v>298</v>
      </c>
      <c r="R602">
        <v>652</v>
      </c>
    </row>
    <row r="603" spans="1:18" x14ac:dyDescent="0.2">
      <c r="A603">
        <v>8</v>
      </c>
      <c r="B603" t="s">
        <v>80</v>
      </c>
      <c r="E603" t="s">
        <v>29</v>
      </c>
      <c r="F603">
        <v>2746789</v>
      </c>
      <c r="G603">
        <v>5</v>
      </c>
      <c r="H603">
        <v>3</v>
      </c>
      <c r="I603">
        <v>558</v>
      </c>
      <c r="J603">
        <v>1987</v>
      </c>
      <c r="K603" s="4">
        <v>44705</v>
      </c>
      <c r="L603" t="s">
        <v>26</v>
      </c>
      <c r="M603" t="s">
        <v>47</v>
      </c>
      <c r="N603">
        <v>2.09</v>
      </c>
      <c r="O603">
        <v>1242</v>
      </c>
      <c r="P603">
        <v>2.23</v>
      </c>
      <c r="Q603">
        <v>273</v>
      </c>
      <c r="R603">
        <v>687</v>
      </c>
    </row>
    <row r="604" spans="1:18" hidden="1" x14ac:dyDescent="0.2">
      <c r="A604">
        <v>9</v>
      </c>
      <c r="B604" t="s">
        <v>102</v>
      </c>
      <c r="E604" t="s">
        <v>36</v>
      </c>
      <c r="F604">
        <v>2456366</v>
      </c>
      <c r="G604">
        <v>2</v>
      </c>
      <c r="H604">
        <v>3</v>
      </c>
      <c r="I604">
        <v>736</v>
      </c>
      <c r="J604">
        <v>1956</v>
      </c>
      <c r="K604" s="4">
        <v>45056</v>
      </c>
      <c r="L604" t="s">
        <v>30</v>
      </c>
      <c r="M604" t="s">
        <v>68</v>
      </c>
      <c r="N604">
        <v>1.99</v>
      </c>
      <c r="O604">
        <v>1366</v>
      </c>
      <c r="P604">
        <v>2.56</v>
      </c>
      <c r="Q604">
        <v>210</v>
      </c>
      <c r="R604">
        <v>463</v>
      </c>
    </row>
    <row r="605" spans="1:18" hidden="1" x14ac:dyDescent="0.2">
      <c r="A605">
        <v>6</v>
      </c>
      <c r="B605" t="s">
        <v>104</v>
      </c>
      <c r="E605" t="s">
        <v>51</v>
      </c>
      <c r="F605">
        <v>1730585</v>
      </c>
      <c r="G605">
        <v>1</v>
      </c>
      <c r="H605">
        <v>3</v>
      </c>
      <c r="I605">
        <v>447</v>
      </c>
      <c r="J605">
        <v>1999</v>
      </c>
      <c r="K605" s="4">
        <v>45644</v>
      </c>
      <c r="L605" t="s">
        <v>23</v>
      </c>
      <c r="M605" t="s">
        <v>70</v>
      </c>
      <c r="N605">
        <v>3.22</v>
      </c>
      <c r="O605">
        <v>2285</v>
      </c>
      <c r="P605">
        <v>0.34</v>
      </c>
      <c r="Q605">
        <v>111</v>
      </c>
      <c r="R605">
        <v>533</v>
      </c>
    </row>
    <row r="606" spans="1:18" hidden="1" x14ac:dyDescent="0.2">
      <c r="A606">
        <v>9</v>
      </c>
      <c r="B606" t="s">
        <v>53</v>
      </c>
      <c r="E606" t="s">
        <v>19</v>
      </c>
      <c r="F606">
        <v>1092914</v>
      </c>
      <c r="G606">
        <v>1</v>
      </c>
      <c r="H606">
        <v>3</v>
      </c>
      <c r="I606">
        <v>95</v>
      </c>
      <c r="J606">
        <v>2008</v>
      </c>
      <c r="K606" s="4">
        <v>44281</v>
      </c>
      <c r="L606" t="s">
        <v>20</v>
      </c>
      <c r="M606" t="s">
        <v>54</v>
      </c>
      <c r="N606">
        <v>1.75</v>
      </c>
      <c r="O606">
        <v>1640</v>
      </c>
      <c r="P606">
        <v>0.22</v>
      </c>
      <c r="Q606">
        <v>128</v>
      </c>
      <c r="R606">
        <v>646</v>
      </c>
    </row>
    <row r="607" spans="1:18" hidden="1" x14ac:dyDescent="0.2">
      <c r="A607">
        <v>7</v>
      </c>
      <c r="B607" t="s">
        <v>105</v>
      </c>
      <c r="E607" t="s">
        <v>36</v>
      </c>
      <c r="F607">
        <v>1337273</v>
      </c>
      <c r="G607">
        <v>2</v>
      </c>
      <c r="H607">
        <v>2</v>
      </c>
      <c r="I607">
        <v>243</v>
      </c>
      <c r="J607">
        <v>2010</v>
      </c>
      <c r="K607" s="4">
        <v>44325</v>
      </c>
      <c r="L607" t="s">
        <v>23</v>
      </c>
      <c r="M607" t="s">
        <v>37</v>
      </c>
      <c r="N607">
        <v>2.36</v>
      </c>
      <c r="O607">
        <v>2495</v>
      </c>
      <c r="P607">
        <v>0.79</v>
      </c>
      <c r="Q607">
        <v>41</v>
      </c>
      <c r="R607">
        <v>303</v>
      </c>
    </row>
    <row r="608" spans="1:18" hidden="1" x14ac:dyDescent="0.2">
      <c r="A608">
        <v>1</v>
      </c>
      <c r="B608" t="s">
        <v>72</v>
      </c>
      <c r="E608" t="s">
        <v>19</v>
      </c>
      <c r="F608">
        <v>1102836</v>
      </c>
      <c r="G608">
        <v>2</v>
      </c>
      <c r="H608">
        <v>1</v>
      </c>
      <c r="I608">
        <v>64</v>
      </c>
      <c r="J608">
        <v>1962</v>
      </c>
      <c r="K608" s="4">
        <v>44705</v>
      </c>
      <c r="L608" t="s">
        <v>20</v>
      </c>
      <c r="M608" t="s">
        <v>56</v>
      </c>
      <c r="N608">
        <v>2.2000000000000002</v>
      </c>
      <c r="O608">
        <v>1089</v>
      </c>
      <c r="P608">
        <v>4.82</v>
      </c>
      <c r="Q608">
        <v>56</v>
      </c>
      <c r="R608">
        <v>392</v>
      </c>
    </row>
    <row r="609" spans="1:18" hidden="1" x14ac:dyDescent="0.2">
      <c r="A609">
        <v>0</v>
      </c>
      <c r="B609" t="s">
        <v>67</v>
      </c>
      <c r="E609" t="s">
        <v>36</v>
      </c>
      <c r="F609">
        <v>1095060</v>
      </c>
      <c r="G609">
        <v>1</v>
      </c>
      <c r="H609">
        <v>3</v>
      </c>
      <c r="I609">
        <v>486</v>
      </c>
      <c r="J609">
        <v>1964</v>
      </c>
      <c r="K609" s="4">
        <v>44744</v>
      </c>
      <c r="L609" t="s">
        <v>20</v>
      </c>
      <c r="M609" t="s">
        <v>42</v>
      </c>
      <c r="N609">
        <v>3.34</v>
      </c>
      <c r="O609">
        <v>2353</v>
      </c>
      <c r="P609">
        <v>4.9400000000000004</v>
      </c>
      <c r="Q609">
        <v>111</v>
      </c>
      <c r="R609">
        <v>388</v>
      </c>
    </row>
    <row r="610" spans="1:18" hidden="1" x14ac:dyDescent="0.2">
      <c r="A610">
        <v>0</v>
      </c>
      <c r="B610" t="s">
        <v>104</v>
      </c>
      <c r="E610" t="s">
        <v>36</v>
      </c>
      <c r="F610">
        <v>2617496</v>
      </c>
      <c r="G610">
        <v>1</v>
      </c>
      <c r="H610">
        <v>3</v>
      </c>
      <c r="I610">
        <v>536</v>
      </c>
      <c r="J610">
        <v>1950</v>
      </c>
      <c r="K610" s="4">
        <v>45060</v>
      </c>
      <c r="L610" t="s">
        <v>26</v>
      </c>
      <c r="M610" t="s">
        <v>68</v>
      </c>
      <c r="N610">
        <v>2.96</v>
      </c>
      <c r="O610">
        <v>2283</v>
      </c>
      <c r="P610">
        <v>2</v>
      </c>
      <c r="Q610">
        <v>160</v>
      </c>
      <c r="R610">
        <v>418</v>
      </c>
    </row>
    <row r="611" spans="1:18" hidden="1" x14ac:dyDescent="0.2">
      <c r="A611">
        <v>1</v>
      </c>
      <c r="B611" t="s">
        <v>102</v>
      </c>
      <c r="E611" t="s">
        <v>51</v>
      </c>
      <c r="F611">
        <v>1410898</v>
      </c>
      <c r="G611">
        <v>2</v>
      </c>
      <c r="H611">
        <v>3</v>
      </c>
      <c r="I611">
        <v>443</v>
      </c>
      <c r="J611">
        <v>1994</v>
      </c>
      <c r="K611" s="4">
        <v>44910</v>
      </c>
      <c r="L611" t="s">
        <v>26</v>
      </c>
      <c r="M611" t="s">
        <v>70</v>
      </c>
      <c r="N611">
        <v>3.18</v>
      </c>
      <c r="O611">
        <v>1642</v>
      </c>
      <c r="P611">
        <v>2.15</v>
      </c>
      <c r="Q611">
        <v>196</v>
      </c>
      <c r="R611">
        <v>357</v>
      </c>
    </row>
    <row r="612" spans="1:18" hidden="1" x14ac:dyDescent="0.2">
      <c r="A612">
        <v>9</v>
      </c>
      <c r="B612" t="s">
        <v>84</v>
      </c>
      <c r="E612" t="s">
        <v>19</v>
      </c>
      <c r="F612">
        <v>1192880</v>
      </c>
      <c r="G612">
        <v>0</v>
      </c>
      <c r="H612">
        <v>2</v>
      </c>
      <c r="I612">
        <v>957</v>
      </c>
      <c r="J612">
        <v>2005</v>
      </c>
      <c r="K612" s="4">
        <v>45361</v>
      </c>
      <c r="L612" t="s">
        <v>20</v>
      </c>
      <c r="M612" t="s">
        <v>35</v>
      </c>
      <c r="N612">
        <v>2.0499999999999998</v>
      </c>
      <c r="O612">
        <v>1175</v>
      </c>
      <c r="P612">
        <v>3.5</v>
      </c>
      <c r="Q612">
        <v>43</v>
      </c>
      <c r="R612">
        <v>499</v>
      </c>
    </row>
    <row r="613" spans="1:18" hidden="1" x14ac:dyDescent="0.2">
      <c r="A613">
        <v>5</v>
      </c>
      <c r="B613" t="s">
        <v>91</v>
      </c>
      <c r="E613" t="s">
        <v>19</v>
      </c>
      <c r="F613">
        <v>2656194</v>
      </c>
      <c r="G613">
        <v>1</v>
      </c>
      <c r="H613">
        <v>3</v>
      </c>
      <c r="I613">
        <v>672</v>
      </c>
      <c r="J613">
        <v>2014</v>
      </c>
      <c r="K613" s="4">
        <v>45220</v>
      </c>
      <c r="L613" t="s">
        <v>26</v>
      </c>
      <c r="M613" t="s">
        <v>58</v>
      </c>
      <c r="N613">
        <v>2.88</v>
      </c>
      <c r="O613">
        <v>2476</v>
      </c>
      <c r="P613">
        <v>2.99</v>
      </c>
      <c r="Q613">
        <v>41</v>
      </c>
      <c r="R613">
        <v>623</v>
      </c>
    </row>
    <row r="614" spans="1:18" hidden="1" x14ac:dyDescent="0.2">
      <c r="A614">
        <v>7</v>
      </c>
      <c r="B614" t="s">
        <v>62</v>
      </c>
      <c r="E614" t="s">
        <v>51</v>
      </c>
      <c r="F614">
        <v>2758689</v>
      </c>
      <c r="G614">
        <v>2</v>
      </c>
      <c r="H614">
        <v>3</v>
      </c>
      <c r="I614">
        <v>989</v>
      </c>
      <c r="J614">
        <v>1954</v>
      </c>
      <c r="K614" s="4">
        <v>45400</v>
      </c>
      <c r="L614" t="s">
        <v>30</v>
      </c>
      <c r="M614" t="s">
        <v>40</v>
      </c>
      <c r="N614">
        <v>3.01</v>
      </c>
      <c r="O614">
        <v>1280</v>
      </c>
      <c r="P614">
        <v>4.97</v>
      </c>
      <c r="Q614">
        <v>229</v>
      </c>
      <c r="R614">
        <v>616</v>
      </c>
    </row>
    <row r="615" spans="1:18" hidden="1" x14ac:dyDescent="0.2">
      <c r="A615">
        <v>0</v>
      </c>
      <c r="B615" t="s">
        <v>91</v>
      </c>
      <c r="E615" t="s">
        <v>19</v>
      </c>
      <c r="F615">
        <v>1311977</v>
      </c>
      <c r="G615">
        <v>3</v>
      </c>
      <c r="H615">
        <v>1</v>
      </c>
      <c r="I615">
        <v>772</v>
      </c>
      <c r="J615">
        <v>1977</v>
      </c>
      <c r="K615" s="4">
        <v>44088</v>
      </c>
      <c r="L615" t="s">
        <v>20</v>
      </c>
      <c r="M615" t="s">
        <v>70</v>
      </c>
      <c r="N615">
        <v>1.59</v>
      </c>
      <c r="O615">
        <v>1831</v>
      </c>
      <c r="P615">
        <v>2.98</v>
      </c>
      <c r="Q615">
        <v>197</v>
      </c>
      <c r="R615">
        <v>698</v>
      </c>
    </row>
    <row r="616" spans="1:18" hidden="1" x14ac:dyDescent="0.2">
      <c r="A616">
        <v>5</v>
      </c>
      <c r="B616" t="s">
        <v>84</v>
      </c>
      <c r="E616" t="s">
        <v>29</v>
      </c>
      <c r="F616">
        <v>2603426</v>
      </c>
      <c r="G616">
        <v>2</v>
      </c>
      <c r="H616">
        <v>1</v>
      </c>
      <c r="I616">
        <v>123</v>
      </c>
      <c r="J616">
        <v>1977</v>
      </c>
      <c r="K616" s="4">
        <v>45645</v>
      </c>
      <c r="L616" t="s">
        <v>30</v>
      </c>
      <c r="M616" t="s">
        <v>35</v>
      </c>
      <c r="N616">
        <v>3.26</v>
      </c>
      <c r="O616">
        <v>1335</v>
      </c>
      <c r="P616">
        <v>0.77</v>
      </c>
      <c r="Q616">
        <v>170</v>
      </c>
      <c r="R616">
        <v>449</v>
      </c>
    </row>
    <row r="617" spans="1:18" hidden="1" x14ac:dyDescent="0.2">
      <c r="A617">
        <v>5</v>
      </c>
      <c r="B617" t="s">
        <v>87</v>
      </c>
      <c r="E617" t="s">
        <v>29</v>
      </c>
      <c r="F617">
        <v>1811846</v>
      </c>
      <c r="G617">
        <v>2</v>
      </c>
      <c r="H617">
        <v>2</v>
      </c>
      <c r="I617">
        <v>241</v>
      </c>
      <c r="J617">
        <v>1982</v>
      </c>
      <c r="K617" s="4">
        <v>44553</v>
      </c>
      <c r="L617" t="s">
        <v>26</v>
      </c>
      <c r="M617" t="s">
        <v>70</v>
      </c>
      <c r="N617">
        <v>1.6</v>
      </c>
      <c r="O617">
        <v>1968</v>
      </c>
      <c r="P617">
        <v>0.53</v>
      </c>
      <c r="Q617">
        <v>133</v>
      </c>
      <c r="R617">
        <v>552</v>
      </c>
    </row>
    <row r="618" spans="1:18" hidden="1" x14ac:dyDescent="0.2">
      <c r="A618">
        <v>3</v>
      </c>
      <c r="B618" t="s">
        <v>67</v>
      </c>
      <c r="E618" t="s">
        <v>29</v>
      </c>
      <c r="F618">
        <v>2289598</v>
      </c>
      <c r="G618">
        <v>2</v>
      </c>
      <c r="H618">
        <v>3</v>
      </c>
      <c r="I618">
        <v>757</v>
      </c>
      <c r="J618">
        <v>1956</v>
      </c>
      <c r="K618" s="4">
        <v>44796</v>
      </c>
      <c r="L618" t="s">
        <v>20</v>
      </c>
      <c r="M618" t="s">
        <v>97</v>
      </c>
      <c r="N618">
        <v>2.4</v>
      </c>
      <c r="O618">
        <v>2078</v>
      </c>
      <c r="P618">
        <v>0.56999999999999995</v>
      </c>
      <c r="Q618">
        <v>172</v>
      </c>
      <c r="R618">
        <v>547</v>
      </c>
    </row>
    <row r="619" spans="1:18" hidden="1" x14ac:dyDescent="0.2">
      <c r="A619">
        <v>1</v>
      </c>
      <c r="B619" t="s">
        <v>49</v>
      </c>
      <c r="E619" t="s">
        <v>19</v>
      </c>
      <c r="F619">
        <v>1276198</v>
      </c>
      <c r="G619">
        <v>5</v>
      </c>
      <c r="H619">
        <v>2</v>
      </c>
      <c r="I619">
        <v>698</v>
      </c>
      <c r="J619">
        <v>1978</v>
      </c>
      <c r="K619" s="4">
        <v>45165</v>
      </c>
      <c r="L619" t="s">
        <v>23</v>
      </c>
      <c r="M619" t="s">
        <v>47</v>
      </c>
      <c r="N619">
        <v>2.72</v>
      </c>
      <c r="O619">
        <v>1506</v>
      </c>
      <c r="P619">
        <v>0.34</v>
      </c>
      <c r="Q619">
        <v>308</v>
      </c>
      <c r="R619">
        <v>631</v>
      </c>
    </row>
    <row r="620" spans="1:18" hidden="1" x14ac:dyDescent="0.2">
      <c r="A620">
        <v>2</v>
      </c>
      <c r="B620" t="s">
        <v>101</v>
      </c>
      <c r="E620" t="s">
        <v>36</v>
      </c>
      <c r="F620">
        <v>2883705</v>
      </c>
      <c r="G620">
        <v>3</v>
      </c>
      <c r="H620">
        <v>1</v>
      </c>
      <c r="I620">
        <v>723</v>
      </c>
      <c r="J620">
        <v>1972</v>
      </c>
      <c r="K620" s="4">
        <v>44676</v>
      </c>
      <c r="L620" t="s">
        <v>20</v>
      </c>
      <c r="M620" t="s">
        <v>56</v>
      </c>
      <c r="N620">
        <v>3.48</v>
      </c>
      <c r="O620">
        <v>1586</v>
      </c>
      <c r="P620">
        <v>2.4500000000000002</v>
      </c>
      <c r="Q620">
        <v>125</v>
      </c>
      <c r="R620">
        <v>422</v>
      </c>
    </row>
    <row r="621" spans="1:18" hidden="1" x14ac:dyDescent="0.2">
      <c r="A621">
        <v>1</v>
      </c>
      <c r="B621" t="s">
        <v>101</v>
      </c>
      <c r="E621" t="s">
        <v>51</v>
      </c>
      <c r="F621">
        <v>1876829</v>
      </c>
      <c r="G621">
        <v>3</v>
      </c>
      <c r="H621">
        <v>3</v>
      </c>
      <c r="I621">
        <v>455</v>
      </c>
      <c r="J621">
        <v>1978</v>
      </c>
      <c r="K621" s="4">
        <v>45250</v>
      </c>
      <c r="L621" t="s">
        <v>23</v>
      </c>
      <c r="M621" t="s">
        <v>40</v>
      </c>
      <c r="N621">
        <v>3.2</v>
      </c>
      <c r="O621">
        <v>915</v>
      </c>
      <c r="P621">
        <v>1.49</v>
      </c>
      <c r="Q621">
        <v>270</v>
      </c>
      <c r="R621">
        <v>442</v>
      </c>
    </row>
    <row r="622" spans="1:18" hidden="1" x14ac:dyDescent="0.2">
      <c r="A622">
        <v>5</v>
      </c>
      <c r="B622" t="s">
        <v>81</v>
      </c>
      <c r="E622" t="s">
        <v>29</v>
      </c>
      <c r="F622">
        <v>2391034</v>
      </c>
      <c r="G622">
        <v>2</v>
      </c>
      <c r="H622">
        <v>3</v>
      </c>
      <c r="I622">
        <v>547</v>
      </c>
      <c r="J622">
        <v>1956</v>
      </c>
      <c r="K622" s="4">
        <v>44916</v>
      </c>
      <c r="L622" t="s">
        <v>23</v>
      </c>
      <c r="M622" t="s">
        <v>76</v>
      </c>
      <c r="N622">
        <v>1.78</v>
      </c>
      <c r="O622">
        <v>1189</v>
      </c>
      <c r="P622">
        <v>1.02</v>
      </c>
      <c r="Q622">
        <v>159</v>
      </c>
      <c r="R622">
        <v>354</v>
      </c>
    </row>
    <row r="623" spans="1:18" x14ac:dyDescent="0.2">
      <c r="A623">
        <v>8</v>
      </c>
      <c r="B623" t="s">
        <v>34</v>
      </c>
      <c r="E623" t="s">
        <v>51</v>
      </c>
      <c r="F623">
        <v>1114283</v>
      </c>
      <c r="G623">
        <v>2</v>
      </c>
      <c r="H623">
        <v>3</v>
      </c>
      <c r="I623">
        <v>212</v>
      </c>
      <c r="J623">
        <v>1978</v>
      </c>
      <c r="K623" s="4">
        <v>44492</v>
      </c>
      <c r="L623" t="s">
        <v>20</v>
      </c>
      <c r="M623" t="s">
        <v>76</v>
      </c>
      <c r="N623">
        <v>1.61</v>
      </c>
      <c r="O623">
        <v>1571</v>
      </c>
      <c r="P623">
        <v>4.8499999999999996</v>
      </c>
      <c r="Q623">
        <v>87</v>
      </c>
      <c r="R623">
        <v>453</v>
      </c>
    </row>
    <row r="624" spans="1:18" hidden="1" x14ac:dyDescent="0.2">
      <c r="A624">
        <v>2</v>
      </c>
      <c r="B624" t="s">
        <v>55</v>
      </c>
      <c r="E624" t="s">
        <v>29</v>
      </c>
      <c r="F624">
        <v>2665758</v>
      </c>
      <c r="G624">
        <v>5</v>
      </c>
      <c r="H624">
        <v>2</v>
      </c>
      <c r="I624">
        <v>211</v>
      </c>
      <c r="J624">
        <v>1973</v>
      </c>
      <c r="K624" s="4">
        <v>45477</v>
      </c>
      <c r="L624" t="s">
        <v>20</v>
      </c>
      <c r="M624" t="s">
        <v>85</v>
      </c>
      <c r="N624">
        <v>2.87</v>
      </c>
      <c r="O624">
        <v>2399</v>
      </c>
      <c r="P624">
        <v>2.87</v>
      </c>
      <c r="Q624">
        <v>345</v>
      </c>
      <c r="R624">
        <v>655</v>
      </c>
    </row>
    <row r="625" spans="1:18" hidden="1" x14ac:dyDescent="0.2">
      <c r="A625">
        <v>7</v>
      </c>
      <c r="B625" t="s">
        <v>64</v>
      </c>
      <c r="E625" t="s">
        <v>36</v>
      </c>
      <c r="F625">
        <v>2577432</v>
      </c>
      <c r="G625">
        <v>5</v>
      </c>
      <c r="H625">
        <v>1</v>
      </c>
      <c r="I625">
        <v>198</v>
      </c>
      <c r="J625">
        <v>1951</v>
      </c>
      <c r="K625" s="4">
        <v>45171</v>
      </c>
      <c r="L625" t="s">
        <v>26</v>
      </c>
      <c r="M625" t="s">
        <v>21</v>
      </c>
      <c r="N625">
        <v>1.51</v>
      </c>
      <c r="O625">
        <v>1520</v>
      </c>
      <c r="P625">
        <v>0.93</v>
      </c>
      <c r="Q625">
        <v>343</v>
      </c>
      <c r="R625">
        <v>645</v>
      </c>
    </row>
    <row r="626" spans="1:18" hidden="1" x14ac:dyDescent="0.2">
      <c r="A626">
        <v>3</v>
      </c>
      <c r="B626" t="s">
        <v>84</v>
      </c>
      <c r="E626" t="s">
        <v>51</v>
      </c>
      <c r="F626">
        <v>1196721</v>
      </c>
      <c r="G626">
        <v>3</v>
      </c>
      <c r="H626">
        <v>3</v>
      </c>
      <c r="I626">
        <v>925</v>
      </c>
      <c r="J626">
        <v>2005</v>
      </c>
      <c r="K626" s="4">
        <v>44226</v>
      </c>
      <c r="L626" t="s">
        <v>23</v>
      </c>
      <c r="M626" t="s">
        <v>52</v>
      </c>
      <c r="N626">
        <v>2.64</v>
      </c>
      <c r="O626">
        <v>1841</v>
      </c>
      <c r="P626">
        <v>3.32</v>
      </c>
      <c r="Q626">
        <v>128</v>
      </c>
      <c r="R626">
        <v>455</v>
      </c>
    </row>
    <row r="627" spans="1:18" x14ac:dyDescent="0.2">
      <c r="A627">
        <v>8</v>
      </c>
      <c r="B627" t="s">
        <v>32</v>
      </c>
      <c r="E627" t="s">
        <v>29</v>
      </c>
      <c r="F627">
        <v>1152022</v>
      </c>
      <c r="G627">
        <v>2</v>
      </c>
      <c r="H627">
        <v>3</v>
      </c>
      <c r="I627">
        <v>574</v>
      </c>
      <c r="J627">
        <v>1977</v>
      </c>
      <c r="K627" s="4">
        <v>44210</v>
      </c>
      <c r="L627" t="s">
        <v>23</v>
      </c>
      <c r="M627" t="s">
        <v>52</v>
      </c>
      <c r="N627">
        <v>2.1</v>
      </c>
      <c r="O627">
        <v>1607</v>
      </c>
      <c r="P627">
        <v>4.75</v>
      </c>
      <c r="Q627">
        <v>46</v>
      </c>
      <c r="R627">
        <v>584</v>
      </c>
    </row>
    <row r="628" spans="1:18" hidden="1" x14ac:dyDescent="0.2">
      <c r="A628">
        <v>7</v>
      </c>
      <c r="B628" t="s">
        <v>106</v>
      </c>
      <c r="E628" t="s">
        <v>36</v>
      </c>
      <c r="F628">
        <v>2897883</v>
      </c>
      <c r="G628">
        <v>2</v>
      </c>
      <c r="H628">
        <v>3</v>
      </c>
      <c r="I628">
        <v>375</v>
      </c>
      <c r="J628">
        <v>1965</v>
      </c>
      <c r="K628" s="4">
        <v>45281</v>
      </c>
      <c r="L628" t="s">
        <v>26</v>
      </c>
      <c r="M628" t="s">
        <v>70</v>
      </c>
      <c r="N628">
        <v>2.44</v>
      </c>
      <c r="O628">
        <v>2281</v>
      </c>
      <c r="P628">
        <v>0.71</v>
      </c>
      <c r="Q628">
        <v>239</v>
      </c>
      <c r="R628">
        <v>684</v>
      </c>
    </row>
    <row r="629" spans="1:18" hidden="1" x14ac:dyDescent="0.2">
      <c r="A629">
        <v>7</v>
      </c>
      <c r="B629" t="s">
        <v>73</v>
      </c>
      <c r="E629" t="s">
        <v>36</v>
      </c>
      <c r="F629">
        <v>1121757</v>
      </c>
      <c r="G629">
        <v>3</v>
      </c>
      <c r="H629">
        <v>3</v>
      </c>
      <c r="I629">
        <v>51</v>
      </c>
      <c r="J629">
        <v>1963</v>
      </c>
      <c r="K629" s="4">
        <v>44925</v>
      </c>
      <c r="L629" t="s">
        <v>20</v>
      </c>
      <c r="M629" t="s">
        <v>35</v>
      </c>
      <c r="N629">
        <v>2.54</v>
      </c>
      <c r="O629">
        <v>892</v>
      </c>
      <c r="P629">
        <v>2.48</v>
      </c>
      <c r="Q629">
        <v>280</v>
      </c>
      <c r="R629">
        <v>624</v>
      </c>
    </row>
    <row r="630" spans="1:18" hidden="1" x14ac:dyDescent="0.2">
      <c r="A630">
        <v>0</v>
      </c>
      <c r="B630" t="s">
        <v>48</v>
      </c>
      <c r="E630" t="s">
        <v>36</v>
      </c>
      <c r="F630">
        <v>2795327</v>
      </c>
      <c r="G630">
        <v>3</v>
      </c>
      <c r="H630">
        <v>2</v>
      </c>
      <c r="I630">
        <v>934</v>
      </c>
      <c r="J630">
        <v>1995</v>
      </c>
      <c r="K630" s="4">
        <v>44732</v>
      </c>
      <c r="L630" t="s">
        <v>20</v>
      </c>
      <c r="M630" t="s">
        <v>33</v>
      </c>
      <c r="N630">
        <v>1.76</v>
      </c>
      <c r="O630">
        <v>1683</v>
      </c>
      <c r="P630">
        <v>0.68</v>
      </c>
      <c r="Q630">
        <v>122</v>
      </c>
      <c r="R630">
        <v>358</v>
      </c>
    </row>
    <row r="631" spans="1:18" hidden="1" x14ac:dyDescent="0.2">
      <c r="A631">
        <v>2</v>
      </c>
      <c r="B631" t="s">
        <v>102</v>
      </c>
      <c r="E631" t="s">
        <v>19</v>
      </c>
      <c r="F631">
        <v>1747546</v>
      </c>
      <c r="G631">
        <v>4</v>
      </c>
      <c r="H631">
        <v>3</v>
      </c>
      <c r="I631">
        <v>280</v>
      </c>
      <c r="J631">
        <v>1994</v>
      </c>
      <c r="K631" s="4">
        <v>45676</v>
      </c>
      <c r="L631" t="s">
        <v>26</v>
      </c>
      <c r="M631" t="s">
        <v>70</v>
      </c>
      <c r="N631">
        <v>2.84</v>
      </c>
      <c r="O631">
        <v>1657</v>
      </c>
      <c r="P631">
        <v>4.16</v>
      </c>
      <c r="Q631">
        <v>322</v>
      </c>
      <c r="R631">
        <v>326</v>
      </c>
    </row>
    <row r="632" spans="1:18" x14ac:dyDescent="0.2">
      <c r="A632">
        <v>8</v>
      </c>
      <c r="B632" t="s">
        <v>41</v>
      </c>
      <c r="E632" t="s">
        <v>51</v>
      </c>
      <c r="F632">
        <v>2596536</v>
      </c>
      <c r="G632">
        <v>4</v>
      </c>
      <c r="H632">
        <v>2</v>
      </c>
      <c r="I632">
        <v>412</v>
      </c>
      <c r="J632">
        <v>1976</v>
      </c>
      <c r="K632" s="4">
        <v>44200</v>
      </c>
      <c r="L632" t="s">
        <v>26</v>
      </c>
      <c r="M632" t="s">
        <v>21</v>
      </c>
      <c r="N632">
        <v>1.98</v>
      </c>
      <c r="O632">
        <v>2214</v>
      </c>
      <c r="P632">
        <v>0.82</v>
      </c>
      <c r="Q632">
        <v>311</v>
      </c>
      <c r="R632">
        <v>447</v>
      </c>
    </row>
    <row r="633" spans="1:18" hidden="1" x14ac:dyDescent="0.2">
      <c r="A633">
        <v>4</v>
      </c>
      <c r="B633" t="s">
        <v>72</v>
      </c>
      <c r="E633" t="s">
        <v>29</v>
      </c>
      <c r="F633">
        <v>2917607</v>
      </c>
      <c r="G633">
        <v>4</v>
      </c>
      <c r="H633">
        <v>2</v>
      </c>
      <c r="I633">
        <v>976</v>
      </c>
      <c r="J633">
        <v>2004</v>
      </c>
      <c r="K633" s="4">
        <v>45601</v>
      </c>
      <c r="L633" t="s">
        <v>30</v>
      </c>
      <c r="M633" t="s">
        <v>33</v>
      </c>
      <c r="N633">
        <v>2.82</v>
      </c>
      <c r="O633">
        <v>2393</v>
      </c>
      <c r="P633">
        <v>4.91</v>
      </c>
      <c r="Q633">
        <v>233</v>
      </c>
      <c r="R633">
        <v>490</v>
      </c>
    </row>
    <row r="634" spans="1:18" hidden="1" x14ac:dyDescent="0.2">
      <c r="A634">
        <v>6</v>
      </c>
      <c r="B634" t="s">
        <v>44</v>
      </c>
      <c r="E634" t="s">
        <v>19</v>
      </c>
      <c r="F634">
        <v>2626737</v>
      </c>
      <c r="G634">
        <v>3</v>
      </c>
      <c r="H634">
        <v>2</v>
      </c>
      <c r="I634">
        <v>154</v>
      </c>
      <c r="J634">
        <v>2017</v>
      </c>
      <c r="K634" s="4">
        <v>44464</v>
      </c>
      <c r="L634" t="s">
        <v>23</v>
      </c>
      <c r="M634" t="s">
        <v>31</v>
      </c>
      <c r="N634">
        <v>2.04</v>
      </c>
      <c r="O634">
        <v>1275</v>
      </c>
      <c r="P634">
        <v>3.19</v>
      </c>
      <c r="Q634">
        <v>259</v>
      </c>
      <c r="R634">
        <v>646</v>
      </c>
    </row>
    <row r="635" spans="1:18" hidden="1" x14ac:dyDescent="0.2">
      <c r="A635">
        <v>4</v>
      </c>
      <c r="B635" t="s">
        <v>46</v>
      </c>
      <c r="E635" t="s">
        <v>36</v>
      </c>
      <c r="F635">
        <v>1752053</v>
      </c>
      <c r="G635">
        <v>2</v>
      </c>
      <c r="H635">
        <v>3</v>
      </c>
      <c r="I635">
        <v>487</v>
      </c>
      <c r="J635">
        <v>2000</v>
      </c>
      <c r="K635" s="4">
        <v>44596</v>
      </c>
      <c r="L635" t="s">
        <v>23</v>
      </c>
      <c r="M635" t="s">
        <v>52</v>
      </c>
      <c r="N635">
        <v>1.91</v>
      </c>
      <c r="O635">
        <v>2268</v>
      </c>
      <c r="P635">
        <v>3.36</v>
      </c>
      <c r="Q635">
        <v>60</v>
      </c>
      <c r="R635">
        <v>539</v>
      </c>
    </row>
    <row r="636" spans="1:18" hidden="1" x14ac:dyDescent="0.2">
      <c r="A636">
        <v>1</v>
      </c>
      <c r="B636" t="s">
        <v>38</v>
      </c>
      <c r="E636" t="s">
        <v>19</v>
      </c>
      <c r="F636">
        <v>1670459</v>
      </c>
      <c r="G636">
        <v>2</v>
      </c>
      <c r="H636">
        <v>3</v>
      </c>
      <c r="I636">
        <v>200</v>
      </c>
      <c r="J636">
        <v>2008</v>
      </c>
      <c r="K636" s="4">
        <v>45399</v>
      </c>
      <c r="L636" t="s">
        <v>26</v>
      </c>
      <c r="M636" t="s">
        <v>85</v>
      </c>
      <c r="N636">
        <v>2.9</v>
      </c>
      <c r="O636">
        <v>1910</v>
      </c>
      <c r="P636">
        <v>1.44</v>
      </c>
      <c r="Q636">
        <v>92</v>
      </c>
      <c r="R636">
        <v>617</v>
      </c>
    </row>
    <row r="637" spans="1:18" hidden="1" x14ac:dyDescent="0.2">
      <c r="A637">
        <v>9</v>
      </c>
      <c r="B637" t="s">
        <v>83</v>
      </c>
      <c r="E637" t="s">
        <v>51</v>
      </c>
      <c r="F637">
        <v>1337228</v>
      </c>
      <c r="G637">
        <v>3</v>
      </c>
      <c r="H637">
        <v>1</v>
      </c>
      <c r="I637">
        <v>454</v>
      </c>
      <c r="J637">
        <v>1966</v>
      </c>
      <c r="K637" s="4">
        <v>45460</v>
      </c>
      <c r="L637" t="s">
        <v>30</v>
      </c>
      <c r="M637" t="s">
        <v>24</v>
      </c>
      <c r="N637">
        <v>1.69</v>
      </c>
      <c r="O637">
        <v>1139</v>
      </c>
      <c r="P637">
        <v>1.43</v>
      </c>
      <c r="Q637">
        <v>164</v>
      </c>
      <c r="R637">
        <v>445</v>
      </c>
    </row>
    <row r="638" spans="1:18" hidden="1" x14ac:dyDescent="0.2">
      <c r="A638">
        <v>6</v>
      </c>
      <c r="B638" t="s">
        <v>75</v>
      </c>
      <c r="E638" t="s">
        <v>29</v>
      </c>
      <c r="F638">
        <v>2425850</v>
      </c>
      <c r="G638">
        <v>4</v>
      </c>
      <c r="H638">
        <v>1</v>
      </c>
      <c r="I638">
        <v>750</v>
      </c>
      <c r="J638">
        <v>2016</v>
      </c>
      <c r="K638" s="4">
        <v>45537</v>
      </c>
      <c r="L638" t="s">
        <v>26</v>
      </c>
      <c r="M638" t="s">
        <v>70</v>
      </c>
      <c r="N638">
        <v>2.7</v>
      </c>
      <c r="O638">
        <v>1750</v>
      </c>
      <c r="P638">
        <v>2.78</v>
      </c>
      <c r="Q638">
        <v>392</v>
      </c>
      <c r="R638">
        <v>560</v>
      </c>
    </row>
    <row r="639" spans="1:18" hidden="1" x14ac:dyDescent="0.2">
      <c r="A639">
        <v>2</v>
      </c>
      <c r="B639" t="s">
        <v>61</v>
      </c>
      <c r="E639" t="s">
        <v>29</v>
      </c>
      <c r="F639">
        <v>481428</v>
      </c>
      <c r="G639">
        <v>1</v>
      </c>
      <c r="H639">
        <v>2</v>
      </c>
      <c r="I639">
        <v>466</v>
      </c>
      <c r="J639">
        <v>1998</v>
      </c>
      <c r="K639" s="4">
        <v>44616</v>
      </c>
      <c r="L639" t="s">
        <v>20</v>
      </c>
      <c r="M639" t="s">
        <v>74</v>
      </c>
      <c r="N639">
        <v>3.16</v>
      </c>
      <c r="O639">
        <v>2160</v>
      </c>
      <c r="P639">
        <v>4.34</v>
      </c>
      <c r="Q639">
        <v>136</v>
      </c>
      <c r="R639">
        <v>347</v>
      </c>
    </row>
    <row r="640" spans="1:18" hidden="1" x14ac:dyDescent="0.2">
      <c r="A640">
        <v>1</v>
      </c>
      <c r="B640" t="s">
        <v>93</v>
      </c>
      <c r="E640" t="s">
        <v>36</v>
      </c>
      <c r="F640">
        <v>767738</v>
      </c>
      <c r="G640">
        <v>6</v>
      </c>
      <c r="H640">
        <v>1</v>
      </c>
      <c r="I640">
        <v>482</v>
      </c>
      <c r="J640">
        <v>1981</v>
      </c>
      <c r="K640" s="4">
        <v>44969</v>
      </c>
      <c r="L640" t="s">
        <v>30</v>
      </c>
      <c r="M640" t="s">
        <v>89</v>
      </c>
      <c r="N640">
        <v>2.37</v>
      </c>
      <c r="O640">
        <v>1225</v>
      </c>
      <c r="P640">
        <v>1.89</v>
      </c>
      <c r="Q640">
        <v>389</v>
      </c>
      <c r="R640">
        <v>490</v>
      </c>
    </row>
    <row r="641" spans="1:18" hidden="1" x14ac:dyDescent="0.2">
      <c r="A641">
        <v>4</v>
      </c>
      <c r="B641" t="s">
        <v>18</v>
      </c>
      <c r="E641" t="s">
        <v>29</v>
      </c>
      <c r="F641">
        <v>976666</v>
      </c>
      <c r="G641">
        <v>0</v>
      </c>
      <c r="H641">
        <v>3</v>
      </c>
      <c r="I641">
        <v>560</v>
      </c>
      <c r="J641">
        <v>2010</v>
      </c>
      <c r="K641" s="4">
        <v>44705</v>
      </c>
      <c r="L641" t="s">
        <v>26</v>
      </c>
      <c r="M641" t="s">
        <v>54</v>
      </c>
      <c r="N641">
        <v>3.49</v>
      </c>
      <c r="O641">
        <v>2041</v>
      </c>
      <c r="P641">
        <v>4.6399999999999997</v>
      </c>
      <c r="Q641">
        <v>74</v>
      </c>
      <c r="R641">
        <v>427</v>
      </c>
    </row>
    <row r="642" spans="1:18" hidden="1" x14ac:dyDescent="0.2">
      <c r="A642">
        <v>9</v>
      </c>
      <c r="B642" t="s">
        <v>34</v>
      </c>
      <c r="E642" t="s">
        <v>29</v>
      </c>
      <c r="F642">
        <v>2430782</v>
      </c>
      <c r="G642">
        <v>1</v>
      </c>
      <c r="H642">
        <v>3</v>
      </c>
      <c r="I642">
        <v>157</v>
      </c>
      <c r="J642">
        <v>2012</v>
      </c>
      <c r="K642" s="4">
        <v>45033</v>
      </c>
      <c r="L642" t="s">
        <v>30</v>
      </c>
      <c r="M642" t="s">
        <v>78</v>
      </c>
      <c r="N642">
        <v>1.52</v>
      </c>
      <c r="O642">
        <v>857</v>
      </c>
      <c r="P642">
        <v>2.16</v>
      </c>
      <c r="Q642">
        <v>64</v>
      </c>
      <c r="R642">
        <v>627</v>
      </c>
    </row>
    <row r="643" spans="1:18" hidden="1" x14ac:dyDescent="0.2">
      <c r="A643">
        <v>0</v>
      </c>
      <c r="B643" t="s">
        <v>101</v>
      </c>
      <c r="E643" t="s">
        <v>36</v>
      </c>
      <c r="F643">
        <v>496764</v>
      </c>
      <c r="G643">
        <v>3</v>
      </c>
      <c r="H643">
        <v>3</v>
      </c>
      <c r="I643">
        <v>551</v>
      </c>
      <c r="J643">
        <v>1995</v>
      </c>
      <c r="K643" s="4">
        <v>45578</v>
      </c>
      <c r="L643" t="s">
        <v>26</v>
      </c>
      <c r="M643" t="s">
        <v>35</v>
      </c>
      <c r="N643">
        <v>1.79</v>
      </c>
      <c r="O643">
        <v>1595</v>
      </c>
      <c r="P643">
        <v>1.46</v>
      </c>
      <c r="Q643">
        <v>298</v>
      </c>
      <c r="R643">
        <v>363</v>
      </c>
    </row>
    <row r="644" spans="1:18" hidden="1" x14ac:dyDescent="0.2">
      <c r="A644">
        <v>1</v>
      </c>
      <c r="B644" t="s">
        <v>96</v>
      </c>
      <c r="E644" t="s">
        <v>51</v>
      </c>
      <c r="F644">
        <v>1304636</v>
      </c>
      <c r="G644">
        <v>3</v>
      </c>
      <c r="H644">
        <v>1</v>
      </c>
      <c r="I644">
        <v>647</v>
      </c>
      <c r="J644">
        <v>2018</v>
      </c>
      <c r="K644" s="4">
        <v>45305</v>
      </c>
      <c r="L644" t="s">
        <v>26</v>
      </c>
      <c r="M644" t="s">
        <v>58</v>
      </c>
      <c r="N644">
        <v>2.0099999999999998</v>
      </c>
      <c r="O644">
        <v>894</v>
      </c>
      <c r="P644">
        <v>4.59</v>
      </c>
      <c r="Q644">
        <v>195</v>
      </c>
      <c r="R644">
        <v>658</v>
      </c>
    </row>
    <row r="645" spans="1:18" hidden="1" x14ac:dyDescent="0.2">
      <c r="A645">
        <v>3</v>
      </c>
      <c r="B645" t="s">
        <v>43</v>
      </c>
      <c r="E645" t="s">
        <v>19</v>
      </c>
      <c r="F645">
        <v>1898556</v>
      </c>
      <c r="G645">
        <v>3</v>
      </c>
      <c r="H645">
        <v>2</v>
      </c>
      <c r="I645">
        <v>485</v>
      </c>
      <c r="J645">
        <v>2006</v>
      </c>
      <c r="K645" s="4">
        <v>44105</v>
      </c>
      <c r="L645" t="s">
        <v>30</v>
      </c>
      <c r="M645" t="s">
        <v>68</v>
      </c>
      <c r="N645">
        <v>2.31</v>
      </c>
      <c r="O645">
        <v>1726</v>
      </c>
      <c r="P645">
        <v>0.83</v>
      </c>
      <c r="Q645">
        <v>273</v>
      </c>
      <c r="R645">
        <v>650</v>
      </c>
    </row>
    <row r="646" spans="1:18" hidden="1" x14ac:dyDescent="0.2">
      <c r="A646">
        <v>0</v>
      </c>
      <c r="B646" t="s">
        <v>46</v>
      </c>
      <c r="E646" t="s">
        <v>29</v>
      </c>
      <c r="F646">
        <v>514480</v>
      </c>
      <c r="G646">
        <v>2</v>
      </c>
      <c r="H646">
        <v>2</v>
      </c>
      <c r="I646">
        <v>939</v>
      </c>
      <c r="J646">
        <v>1983</v>
      </c>
      <c r="K646" s="4">
        <v>44760</v>
      </c>
      <c r="L646" t="s">
        <v>23</v>
      </c>
      <c r="M646" t="s">
        <v>24</v>
      </c>
      <c r="N646">
        <v>2.3199999999999998</v>
      </c>
      <c r="O646">
        <v>1814</v>
      </c>
      <c r="P646">
        <v>0.42</v>
      </c>
      <c r="Q646">
        <v>114</v>
      </c>
      <c r="R646">
        <v>418</v>
      </c>
    </row>
    <row r="647" spans="1:18" hidden="1" x14ac:dyDescent="0.2">
      <c r="A647">
        <v>0</v>
      </c>
      <c r="B647" t="s">
        <v>95</v>
      </c>
      <c r="E647" t="s">
        <v>36</v>
      </c>
      <c r="F647">
        <v>1491961</v>
      </c>
      <c r="G647">
        <v>1</v>
      </c>
      <c r="H647">
        <v>2</v>
      </c>
      <c r="I647">
        <v>571</v>
      </c>
      <c r="J647">
        <v>1991</v>
      </c>
      <c r="K647" s="4">
        <v>44584</v>
      </c>
      <c r="L647" t="s">
        <v>23</v>
      </c>
      <c r="M647" t="s">
        <v>40</v>
      </c>
      <c r="N647">
        <v>1.63</v>
      </c>
      <c r="O647">
        <v>2407</v>
      </c>
      <c r="P647">
        <v>3.04</v>
      </c>
      <c r="Q647">
        <v>102</v>
      </c>
      <c r="R647">
        <v>639</v>
      </c>
    </row>
    <row r="648" spans="1:18" hidden="1" x14ac:dyDescent="0.2">
      <c r="A648">
        <v>1</v>
      </c>
      <c r="B648" t="s">
        <v>44</v>
      </c>
      <c r="E648" t="s">
        <v>36</v>
      </c>
      <c r="F648">
        <v>1593950</v>
      </c>
      <c r="G648">
        <v>2</v>
      </c>
      <c r="H648">
        <v>3</v>
      </c>
      <c r="I648">
        <v>984</v>
      </c>
      <c r="J648">
        <v>1968</v>
      </c>
      <c r="K648" s="4">
        <v>45829</v>
      </c>
      <c r="L648" t="s">
        <v>20</v>
      </c>
      <c r="M648" t="s">
        <v>31</v>
      </c>
      <c r="N648">
        <v>3.42</v>
      </c>
      <c r="O648">
        <v>1742</v>
      </c>
      <c r="P648">
        <v>3.23</v>
      </c>
      <c r="Q648">
        <v>163</v>
      </c>
      <c r="R648">
        <v>544</v>
      </c>
    </row>
    <row r="649" spans="1:18" hidden="1" x14ac:dyDescent="0.2">
      <c r="A649">
        <v>9</v>
      </c>
      <c r="B649" t="s">
        <v>43</v>
      </c>
      <c r="E649" t="s">
        <v>51</v>
      </c>
      <c r="F649">
        <v>1694038</v>
      </c>
      <c r="G649">
        <v>4</v>
      </c>
      <c r="H649">
        <v>2</v>
      </c>
      <c r="I649">
        <v>459</v>
      </c>
      <c r="J649">
        <v>2017</v>
      </c>
      <c r="K649" s="4">
        <v>45038</v>
      </c>
      <c r="L649" t="s">
        <v>26</v>
      </c>
      <c r="M649" t="s">
        <v>45</v>
      </c>
      <c r="N649">
        <v>1.62</v>
      </c>
      <c r="O649">
        <v>1863</v>
      </c>
      <c r="P649">
        <v>2.77</v>
      </c>
      <c r="Q649">
        <v>295</v>
      </c>
      <c r="R649">
        <v>589</v>
      </c>
    </row>
    <row r="650" spans="1:18" hidden="1" x14ac:dyDescent="0.2">
      <c r="A650">
        <v>4</v>
      </c>
      <c r="B650" t="s">
        <v>81</v>
      </c>
      <c r="E650" t="s">
        <v>29</v>
      </c>
      <c r="F650">
        <v>1235454</v>
      </c>
      <c r="G650">
        <v>6</v>
      </c>
      <c r="H650">
        <v>3</v>
      </c>
      <c r="I650">
        <v>114</v>
      </c>
      <c r="J650">
        <v>2011</v>
      </c>
      <c r="K650" s="4">
        <v>45434</v>
      </c>
      <c r="L650" t="s">
        <v>20</v>
      </c>
      <c r="M650" t="s">
        <v>27</v>
      </c>
      <c r="N650">
        <v>3.03</v>
      </c>
      <c r="O650">
        <v>2138</v>
      </c>
      <c r="P650">
        <v>1.31</v>
      </c>
      <c r="Q650">
        <v>340</v>
      </c>
      <c r="R650">
        <v>355</v>
      </c>
    </row>
    <row r="651" spans="1:18" hidden="1" x14ac:dyDescent="0.2">
      <c r="A651">
        <v>7</v>
      </c>
      <c r="B651" t="s">
        <v>49</v>
      </c>
      <c r="E651" t="s">
        <v>19</v>
      </c>
      <c r="F651">
        <v>450351</v>
      </c>
      <c r="G651">
        <v>4</v>
      </c>
      <c r="H651">
        <v>1</v>
      </c>
      <c r="I651">
        <v>737</v>
      </c>
      <c r="J651">
        <v>1975</v>
      </c>
      <c r="K651" s="4">
        <v>44145</v>
      </c>
      <c r="L651" t="s">
        <v>20</v>
      </c>
      <c r="M651" t="s">
        <v>85</v>
      </c>
      <c r="N651">
        <v>2.73</v>
      </c>
      <c r="O651">
        <v>1354</v>
      </c>
      <c r="P651">
        <v>3.62</v>
      </c>
      <c r="Q651">
        <v>252</v>
      </c>
      <c r="R651">
        <v>362</v>
      </c>
    </row>
    <row r="652" spans="1:18" hidden="1" x14ac:dyDescent="0.2">
      <c r="A652">
        <v>7</v>
      </c>
      <c r="B652" t="s">
        <v>79</v>
      </c>
      <c r="E652" t="s">
        <v>29</v>
      </c>
      <c r="F652">
        <v>1147225</v>
      </c>
      <c r="G652">
        <v>5</v>
      </c>
      <c r="H652">
        <v>3</v>
      </c>
      <c r="I652">
        <v>871</v>
      </c>
      <c r="J652">
        <v>2012</v>
      </c>
      <c r="K652" s="4">
        <v>44826</v>
      </c>
      <c r="L652" t="s">
        <v>26</v>
      </c>
      <c r="M652" t="s">
        <v>60</v>
      </c>
      <c r="N652">
        <v>2.68</v>
      </c>
      <c r="O652">
        <v>1396</v>
      </c>
      <c r="P652">
        <v>1.73</v>
      </c>
      <c r="Q652">
        <v>341</v>
      </c>
      <c r="R652">
        <v>404</v>
      </c>
    </row>
    <row r="653" spans="1:18" hidden="1" x14ac:dyDescent="0.2">
      <c r="A653">
        <v>2</v>
      </c>
      <c r="B653" t="s">
        <v>102</v>
      </c>
      <c r="E653" t="s">
        <v>19</v>
      </c>
      <c r="F653">
        <v>2097002</v>
      </c>
      <c r="G653">
        <v>3</v>
      </c>
      <c r="H653">
        <v>1</v>
      </c>
      <c r="I653">
        <v>131</v>
      </c>
      <c r="J653">
        <v>2001</v>
      </c>
      <c r="K653" s="4">
        <v>45682</v>
      </c>
      <c r="L653" t="s">
        <v>23</v>
      </c>
      <c r="M653" t="s">
        <v>45</v>
      </c>
      <c r="N653">
        <v>1.69</v>
      </c>
      <c r="O653">
        <v>2170</v>
      </c>
      <c r="P653">
        <v>1.33</v>
      </c>
      <c r="Q653">
        <v>184</v>
      </c>
      <c r="R653">
        <v>646</v>
      </c>
    </row>
    <row r="654" spans="1:18" hidden="1" x14ac:dyDescent="0.2">
      <c r="A654">
        <v>9</v>
      </c>
      <c r="B654" t="s">
        <v>94</v>
      </c>
      <c r="E654" t="s">
        <v>19</v>
      </c>
      <c r="F654">
        <v>680583</v>
      </c>
      <c r="G654">
        <v>3</v>
      </c>
      <c r="H654">
        <v>1</v>
      </c>
      <c r="I654">
        <v>806</v>
      </c>
      <c r="J654">
        <v>2014</v>
      </c>
      <c r="K654" s="4">
        <v>44621</v>
      </c>
      <c r="L654" t="s">
        <v>20</v>
      </c>
      <c r="M654" t="s">
        <v>63</v>
      </c>
      <c r="N654">
        <v>2.2000000000000002</v>
      </c>
      <c r="O654">
        <v>2360</v>
      </c>
      <c r="P654">
        <v>0.4</v>
      </c>
      <c r="Q654">
        <v>171</v>
      </c>
      <c r="R654">
        <v>576</v>
      </c>
    </row>
    <row r="655" spans="1:18" hidden="1" x14ac:dyDescent="0.2">
      <c r="A655">
        <v>5</v>
      </c>
      <c r="B655" t="s">
        <v>28</v>
      </c>
      <c r="E655" t="s">
        <v>36</v>
      </c>
      <c r="F655">
        <v>953999</v>
      </c>
      <c r="G655">
        <v>2</v>
      </c>
      <c r="H655">
        <v>1</v>
      </c>
      <c r="I655">
        <v>429</v>
      </c>
      <c r="J655">
        <v>2003</v>
      </c>
      <c r="K655" s="4">
        <v>45754</v>
      </c>
      <c r="L655" t="s">
        <v>23</v>
      </c>
      <c r="M655" t="s">
        <v>63</v>
      </c>
      <c r="N655">
        <v>2.6</v>
      </c>
      <c r="O655">
        <v>2438</v>
      </c>
      <c r="P655">
        <v>0.74</v>
      </c>
      <c r="Q655">
        <v>121</v>
      </c>
      <c r="R655">
        <v>338</v>
      </c>
    </row>
    <row r="656" spans="1:18" hidden="1" x14ac:dyDescent="0.2">
      <c r="A656">
        <v>7</v>
      </c>
      <c r="B656" t="s">
        <v>34</v>
      </c>
      <c r="E656" t="s">
        <v>19</v>
      </c>
      <c r="F656">
        <v>528020</v>
      </c>
      <c r="G656">
        <v>4</v>
      </c>
      <c r="H656">
        <v>3</v>
      </c>
      <c r="I656">
        <v>359</v>
      </c>
      <c r="J656">
        <v>1987</v>
      </c>
      <c r="K656" s="4">
        <v>44478</v>
      </c>
      <c r="L656" t="s">
        <v>30</v>
      </c>
      <c r="M656" t="s">
        <v>42</v>
      </c>
      <c r="N656">
        <v>2.8</v>
      </c>
      <c r="O656">
        <v>968</v>
      </c>
      <c r="P656">
        <v>3.48</v>
      </c>
      <c r="Q656">
        <v>388</v>
      </c>
      <c r="R656">
        <v>379</v>
      </c>
    </row>
    <row r="657" spans="1:18" hidden="1" x14ac:dyDescent="0.2">
      <c r="A657">
        <v>3</v>
      </c>
      <c r="B657" t="s">
        <v>75</v>
      </c>
      <c r="E657" t="s">
        <v>36</v>
      </c>
      <c r="F657">
        <v>1473476</v>
      </c>
      <c r="G657">
        <v>6</v>
      </c>
      <c r="H657">
        <v>1</v>
      </c>
      <c r="I657">
        <v>997</v>
      </c>
      <c r="J657">
        <v>1983</v>
      </c>
      <c r="K657" s="4">
        <v>44116</v>
      </c>
      <c r="L657" t="s">
        <v>26</v>
      </c>
      <c r="M657" t="s">
        <v>82</v>
      </c>
      <c r="N657">
        <v>2.44</v>
      </c>
      <c r="O657">
        <v>2248</v>
      </c>
      <c r="P657">
        <v>0.39</v>
      </c>
      <c r="Q657">
        <v>386</v>
      </c>
      <c r="R657">
        <v>304</v>
      </c>
    </row>
    <row r="658" spans="1:18" hidden="1" x14ac:dyDescent="0.2">
      <c r="A658">
        <v>1</v>
      </c>
      <c r="B658" t="s">
        <v>102</v>
      </c>
      <c r="E658" t="s">
        <v>36</v>
      </c>
      <c r="F658">
        <v>1595280</v>
      </c>
      <c r="G658">
        <v>4</v>
      </c>
      <c r="H658">
        <v>2</v>
      </c>
      <c r="I658">
        <v>156</v>
      </c>
      <c r="J658">
        <v>1968</v>
      </c>
      <c r="K658" s="4">
        <v>45863</v>
      </c>
      <c r="L658" t="s">
        <v>30</v>
      </c>
      <c r="M658" t="s">
        <v>66</v>
      </c>
      <c r="N658">
        <v>1.98</v>
      </c>
      <c r="O658">
        <v>2225</v>
      </c>
      <c r="P658">
        <v>2.52</v>
      </c>
      <c r="Q658">
        <v>397</v>
      </c>
      <c r="R658">
        <v>699</v>
      </c>
    </row>
    <row r="659" spans="1:18" hidden="1" x14ac:dyDescent="0.2">
      <c r="A659">
        <v>2</v>
      </c>
      <c r="B659" t="s">
        <v>81</v>
      </c>
      <c r="E659" t="s">
        <v>36</v>
      </c>
      <c r="F659">
        <v>862084</v>
      </c>
      <c r="G659">
        <v>6</v>
      </c>
      <c r="H659">
        <v>1</v>
      </c>
      <c r="I659">
        <v>186</v>
      </c>
      <c r="J659">
        <v>1979</v>
      </c>
      <c r="K659" s="4">
        <v>45538</v>
      </c>
      <c r="L659" t="s">
        <v>26</v>
      </c>
      <c r="M659" t="s">
        <v>59</v>
      </c>
      <c r="N659">
        <v>2.74</v>
      </c>
      <c r="O659">
        <v>2466</v>
      </c>
      <c r="P659">
        <v>3.15</v>
      </c>
      <c r="Q659">
        <v>384</v>
      </c>
      <c r="R659">
        <v>346</v>
      </c>
    </row>
    <row r="660" spans="1:18" hidden="1" x14ac:dyDescent="0.2">
      <c r="A660">
        <v>6</v>
      </c>
      <c r="B660" t="s">
        <v>96</v>
      </c>
      <c r="E660" t="s">
        <v>51</v>
      </c>
      <c r="F660">
        <v>2601231</v>
      </c>
      <c r="G660">
        <v>3</v>
      </c>
      <c r="H660">
        <v>3</v>
      </c>
      <c r="I660">
        <v>838</v>
      </c>
      <c r="J660">
        <v>1953</v>
      </c>
      <c r="K660" s="4">
        <v>45278</v>
      </c>
      <c r="L660" t="s">
        <v>26</v>
      </c>
      <c r="M660" t="s">
        <v>68</v>
      </c>
      <c r="N660">
        <v>2.12</v>
      </c>
      <c r="O660">
        <v>1572</v>
      </c>
      <c r="P660">
        <v>4.83</v>
      </c>
      <c r="Q660">
        <v>273</v>
      </c>
      <c r="R660">
        <v>518</v>
      </c>
    </row>
    <row r="661" spans="1:18" hidden="1" x14ac:dyDescent="0.2">
      <c r="A661">
        <v>5</v>
      </c>
      <c r="B661" t="s">
        <v>80</v>
      </c>
      <c r="E661" t="s">
        <v>29</v>
      </c>
      <c r="F661">
        <v>1171167</v>
      </c>
      <c r="G661">
        <v>4</v>
      </c>
      <c r="H661">
        <v>3</v>
      </c>
      <c r="I661">
        <v>374</v>
      </c>
      <c r="J661">
        <v>2016</v>
      </c>
      <c r="K661" s="4">
        <v>45674</v>
      </c>
      <c r="L661" t="s">
        <v>26</v>
      </c>
      <c r="M661" t="s">
        <v>85</v>
      </c>
      <c r="N661">
        <v>2.15</v>
      </c>
      <c r="O661">
        <v>929</v>
      </c>
      <c r="P661">
        <v>3.98</v>
      </c>
      <c r="Q661">
        <v>274</v>
      </c>
      <c r="R661">
        <v>635</v>
      </c>
    </row>
    <row r="662" spans="1:18" x14ac:dyDescent="0.2">
      <c r="A662">
        <v>8</v>
      </c>
      <c r="B662" t="s">
        <v>106</v>
      </c>
      <c r="E662" t="s">
        <v>19</v>
      </c>
      <c r="F662">
        <v>1396903</v>
      </c>
      <c r="G662">
        <v>3</v>
      </c>
      <c r="H662">
        <v>2</v>
      </c>
      <c r="I662">
        <v>309</v>
      </c>
      <c r="J662">
        <v>1955</v>
      </c>
      <c r="K662" s="4">
        <v>44431</v>
      </c>
      <c r="L662" t="s">
        <v>20</v>
      </c>
      <c r="M662" t="s">
        <v>35</v>
      </c>
      <c r="N662">
        <v>1.74</v>
      </c>
      <c r="O662">
        <v>1851</v>
      </c>
      <c r="P662">
        <v>0.89</v>
      </c>
      <c r="Q662">
        <v>285</v>
      </c>
      <c r="R662">
        <v>543</v>
      </c>
    </row>
    <row r="663" spans="1:18" x14ac:dyDescent="0.2">
      <c r="A663">
        <v>8</v>
      </c>
      <c r="B663" t="s">
        <v>79</v>
      </c>
      <c r="E663" t="s">
        <v>29</v>
      </c>
      <c r="F663">
        <v>1224555</v>
      </c>
      <c r="G663">
        <v>3</v>
      </c>
      <c r="H663">
        <v>1</v>
      </c>
      <c r="I663">
        <v>430</v>
      </c>
      <c r="J663">
        <v>1985</v>
      </c>
      <c r="K663" s="4">
        <v>44724</v>
      </c>
      <c r="L663" t="s">
        <v>20</v>
      </c>
      <c r="M663" t="s">
        <v>66</v>
      </c>
      <c r="N663">
        <v>1.61</v>
      </c>
      <c r="O663">
        <v>2243</v>
      </c>
      <c r="P663">
        <v>4.57</v>
      </c>
      <c r="Q663">
        <v>316</v>
      </c>
      <c r="R663">
        <v>520</v>
      </c>
    </row>
    <row r="664" spans="1:18" hidden="1" x14ac:dyDescent="0.2">
      <c r="A664">
        <v>3</v>
      </c>
      <c r="B664" t="s">
        <v>61</v>
      </c>
      <c r="E664" t="s">
        <v>36</v>
      </c>
      <c r="F664">
        <v>724202</v>
      </c>
      <c r="G664">
        <v>5</v>
      </c>
      <c r="H664">
        <v>3</v>
      </c>
      <c r="I664">
        <v>629</v>
      </c>
      <c r="J664">
        <v>2010</v>
      </c>
      <c r="K664" s="4">
        <v>45693</v>
      </c>
      <c r="L664" t="s">
        <v>23</v>
      </c>
      <c r="M664" t="s">
        <v>76</v>
      </c>
      <c r="N664">
        <v>2.39</v>
      </c>
      <c r="O664">
        <v>1733</v>
      </c>
      <c r="P664">
        <v>1.89</v>
      </c>
      <c r="Q664">
        <v>352</v>
      </c>
      <c r="R664">
        <v>442</v>
      </c>
    </row>
    <row r="665" spans="1:18" hidden="1" x14ac:dyDescent="0.2">
      <c r="A665">
        <v>2</v>
      </c>
      <c r="B665" t="s">
        <v>39</v>
      </c>
      <c r="E665" t="s">
        <v>29</v>
      </c>
      <c r="F665">
        <v>1683311</v>
      </c>
      <c r="G665">
        <v>4</v>
      </c>
      <c r="H665">
        <v>3</v>
      </c>
      <c r="I665">
        <v>619</v>
      </c>
      <c r="J665">
        <v>1957</v>
      </c>
      <c r="K665" s="4">
        <v>44633</v>
      </c>
      <c r="L665" t="s">
        <v>26</v>
      </c>
      <c r="M665" t="s">
        <v>97</v>
      </c>
      <c r="N665">
        <v>3.04</v>
      </c>
      <c r="O665">
        <v>1819</v>
      </c>
      <c r="P665">
        <v>0.34</v>
      </c>
      <c r="Q665">
        <v>381</v>
      </c>
      <c r="R665">
        <v>380</v>
      </c>
    </row>
    <row r="666" spans="1:18" hidden="1" x14ac:dyDescent="0.2">
      <c r="A666">
        <v>0</v>
      </c>
      <c r="B666" t="s">
        <v>57</v>
      </c>
      <c r="E666" t="s">
        <v>29</v>
      </c>
      <c r="F666">
        <v>2869499</v>
      </c>
      <c r="G666">
        <v>4</v>
      </c>
      <c r="H666">
        <v>1</v>
      </c>
      <c r="I666">
        <v>864</v>
      </c>
      <c r="J666">
        <v>1986</v>
      </c>
      <c r="K666" s="4">
        <v>45268</v>
      </c>
      <c r="L666" t="s">
        <v>20</v>
      </c>
      <c r="M666" t="s">
        <v>40</v>
      </c>
      <c r="N666">
        <v>1.55</v>
      </c>
      <c r="O666">
        <v>868</v>
      </c>
      <c r="P666">
        <v>4.91</v>
      </c>
      <c r="Q666">
        <v>358</v>
      </c>
      <c r="R666">
        <v>691</v>
      </c>
    </row>
    <row r="667" spans="1:18" hidden="1" x14ac:dyDescent="0.2">
      <c r="A667">
        <v>6</v>
      </c>
      <c r="B667" t="s">
        <v>72</v>
      </c>
      <c r="E667" t="s">
        <v>36</v>
      </c>
      <c r="F667">
        <v>2367642</v>
      </c>
      <c r="G667">
        <v>2</v>
      </c>
      <c r="H667">
        <v>3</v>
      </c>
      <c r="I667">
        <v>493</v>
      </c>
      <c r="J667">
        <v>1976</v>
      </c>
      <c r="K667" s="4">
        <v>44583</v>
      </c>
      <c r="L667" t="s">
        <v>30</v>
      </c>
      <c r="M667" t="s">
        <v>85</v>
      </c>
      <c r="N667">
        <v>3.21</v>
      </c>
      <c r="O667">
        <v>2002</v>
      </c>
      <c r="P667">
        <v>2.0299999999999998</v>
      </c>
      <c r="Q667">
        <v>106</v>
      </c>
      <c r="R667">
        <v>391</v>
      </c>
    </row>
    <row r="668" spans="1:18" hidden="1" x14ac:dyDescent="0.2">
      <c r="A668">
        <v>6</v>
      </c>
      <c r="B668" t="s">
        <v>101</v>
      </c>
      <c r="E668" t="s">
        <v>29</v>
      </c>
      <c r="F668">
        <v>2860690</v>
      </c>
      <c r="G668">
        <v>4</v>
      </c>
      <c r="H668">
        <v>3</v>
      </c>
      <c r="I668">
        <v>693</v>
      </c>
      <c r="J668">
        <v>1966</v>
      </c>
      <c r="K668" s="4">
        <v>45494</v>
      </c>
      <c r="L668" t="s">
        <v>20</v>
      </c>
      <c r="M668" t="s">
        <v>60</v>
      </c>
      <c r="N668">
        <v>3.13</v>
      </c>
      <c r="O668">
        <v>2134</v>
      </c>
      <c r="P668">
        <v>0.8</v>
      </c>
      <c r="Q668">
        <v>290</v>
      </c>
      <c r="R668">
        <v>457</v>
      </c>
    </row>
    <row r="669" spans="1:18" hidden="1" x14ac:dyDescent="0.2">
      <c r="A669">
        <v>9</v>
      </c>
      <c r="B669" t="s">
        <v>105</v>
      </c>
      <c r="E669" t="s">
        <v>36</v>
      </c>
      <c r="F669">
        <v>1370245</v>
      </c>
      <c r="G669">
        <v>2</v>
      </c>
      <c r="H669">
        <v>3</v>
      </c>
      <c r="I669">
        <v>761</v>
      </c>
      <c r="J669">
        <v>1967</v>
      </c>
      <c r="K669" s="4">
        <v>45209</v>
      </c>
      <c r="L669" t="s">
        <v>26</v>
      </c>
      <c r="M669" t="s">
        <v>60</v>
      </c>
      <c r="N669">
        <v>3.19</v>
      </c>
      <c r="O669">
        <v>860</v>
      </c>
      <c r="P669">
        <v>1.83</v>
      </c>
      <c r="Q669">
        <v>105</v>
      </c>
      <c r="R669">
        <v>634</v>
      </c>
    </row>
    <row r="670" spans="1:18" hidden="1" x14ac:dyDescent="0.2">
      <c r="A670">
        <v>5</v>
      </c>
      <c r="B670" t="s">
        <v>102</v>
      </c>
      <c r="E670" t="s">
        <v>36</v>
      </c>
      <c r="F670">
        <v>1336528</v>
      </c>
      <c r="G670">
        <v>3</v>
      </c>
      <c r="H670">
        <v>2</v>
      </c>
      <c r="I670">
        <v>456</v>
      </c>
      <c r="J670">
        <v>2016</v>
      </c>
      <c r="K670" s="4">
        <v>45217</v>
      </c>
      <c r="L670" t="s">
        <v>20</v>
      </c>
      <c r="M670" t="s">
        <v>52</v>
      </c>
      <c r="N670">
        <v>2.88</v>
      </c>
      <c r="O670">
        <v>2127</v>
      </c>
      <c r="P670">
        <v>0.51</v>
      </c>
      <c r="Q670">
        <v>155</v>
      </c>
      <c r="R670">
        <v>538</v>
      </c>
    </row>
    <row r="671" spans="1:18" hidden="1" x14ac:dyDescent="0.2">
      <c r="A671">
        <v>4</v>
      </c>
      <c r="B671" t="s">
        <v>43</v>
      </c>
      <c r="E671" t="s">
        <v>36</v>
      </c>
      <c r="F671">
        <v>2921330</v>
      </c>
      <c r="G671">
        <v>0</v>
      </c>
      <c r="H671">
        <v>1</v>
      </c>
      <c r="I671">
        <v>88</v>
      </c>
      <c r="J671">
        <v>2004</v>
      </c>
      <c r="K671" s="4">
        <v>44671</v>
      </c>
      <c r="L671" t="s">
        <v>26</v>
      </c>
      <c r="M671" t="s">
        <v>31</v>
      </c>
      <c r="N671">
        <v>2.27</v>
      </c>
      <c r="O671">
        <v>2315</v>
      </c>
      <c r="P671">
        <v>3.18</v>
      </c>
      <c r="Q671">
        <v>40</v>
      </c>
      <c r="R671">
        <v>629</v>
      </c>
    </row>
    <row r="672" spans="1:18" hidden="1" x14ac:dyDescent="0.2">
      <c r="A672">
        <v>5</v>
      </c>
      <c r="B672" t="s">
        <v>46</v>
      </c>
      <c r="E672" t="s">
        <v>19</v>
      </c>
      <c r="F672">
        <v>790751</v>
      </c>
      <c r="G672">
        <v>4</v>
      </c>
      <c r="H672">
        <v>3</v>
      </c>
      <c r="I672">
        <v>708</v>
      </c>
      <c r="J672">
        <v>1959</v>
      </c>
      <c r="K672" s="4">
        <v>44243</v>
      </c>
      <c r="L672" t="s">
        <v>30</v>
      </c>
      <c r="M672" t="s">
        <v>70</v>
      </c>
      <c r="N672">
        <v>2.92</v>
      </c>
      <c r="O672">
        <v>2058</v>
      </c>
      <c r="P672">
        <v>3.7</v>
      </c>
      <c r="Q672">
        <v>276</v>
      </c>
      <c r="R672">
        <v>409</v>
      </c>
    </row>
    <row r="673" spans="1:18" hidden="1" x14ac:dyDescent="0.2">
      <c r="A673">
        <v>7</v>
      </c>
      <c r="B673" t="s">
        <v>104</v>
      </c>
      <c r="E673" t="s">
        <v>29</v>
      </c>
      <c r="F673">
        <v>999058</v>
      </c>
      <c r="G673">
        <v>2</v>
      </c>
      <c r="H673">
        <v>3</v>
      </c>
      <c r="I673">
        <v>392</v>
      </c>
      <c r="J673">
        <v>1977</v>
      </c>
      <c r="K673" s="4">
        <v>45636</v>
      </c>
      <c r="L673" t="s">
        <v>30</v>
      </c>
      <c r="M673" t="s">
        <v>40</v>
      </c>
      <c r="N673">
        <v>3.14</v>
      </c>
      <c r="O673">
        <v>1148</v>
      </c>
      <c r="P673">
        <v>1.33</v>
      </c>
      <c r="Q673">
        <v>204</v>
      </c>
      <c r="R673">
        <v>370</v>
      </c>
    </row>
    <row r="674" spans="1:18" hidden="1" x14ac:dyDescent="0.2">
      <c r="A674">
        <v>7</v>
      </c>
      <c r="B674" t="s">
        <v>105</v>
      </c>
      <c r="E674" t="s">
        <v>51</v>
      </c>
      <c r="F674">
        <v>921851</v>
      </c>
      <c r="G674">
        <v>0</v>
      </c>
      <c r="H674">
        <v>1</v>
      </c>
      <c r="I674">
        <v>527</v>
      </c>
      <c r="J674">
        <v>1976</v>
      </c>
      <c r="K674" s="4">
        <v>44960</v>
      </c>
      <c r="L674" t="s">
        <v>30</v>
      </c>
      <c r="M674" t="s">
        <v>31</v>
      </c>
      <c r="N674">
        <v>3.03</v>
      </c>
      <c r="O674">
        <v>802</v>
      </c>
      <c r="P674">
        <v>2.04</v>
      </c>
      <c r="Q674">
        <v>49</v>
      </c>
      <c r="R674">
        <v>583</v>
      </c>
    </row>
    <row r="675" spans="1:18" hidden="1" x14ac:dyDescent="0.2">
      <c r="A675">
        <v>0</v>
      </c>
      <c r="B675" t="s">
        <v>39</v>
      </c>
      <c r="E675" t="s">
        <v>36</v>
      </c>
      <c r="F675">
        <v>2894152</v>
      </c>
      <c r="G675">
        <v>3</v>
      </c>
      <c r="H675">
        <v>3</v>
      </c>
      <c r="I675">
        <v>570</v>
      </c>
      <c r="J675">
        <v>2016</v>
      </c>
      <c r="K675" s="4">
        <v>45326</v>
      </c>
      <c r="L675" t="s">
        <v>30</v>
      </c>
      <c r="M675" t="s">
        <v>58</v>
      </c>
      <c r="N675">
        <v>3.08</v>
      </c>
      <c r="O675">
        <v>2365</v>
      </c>
      <c r="P675">
        <v>0.57999999999999996</v>
      </c>
      <c r="Q675">
        <v>238</v>
      </c>
      <c r="R675">
        <v>518</v>
      </c>
    </row>
    <row r="676" spans="1:18" hidden="1" x14ac:dyDescent="0.2">
      <c r="A676">
        <v>1</v>
      </c>
      <c r="B676" t="s">
        <v>80</v>
      </c>
      <c r="E676" t="s">
        <v>29</v>
      </c>
      <c r="F676">
        <v>1310587</v>
      </c>
      <c r="G676">
        <v>4</v>
      </c>
      <c r="H676">
        <v>1</v>
      </c>
      <c r="I676">
        <v>607</v>
      </c>
      <c r="J676">
        <v>1964</v>
      </c>
      <c r="K676" s="4">
        <v>45574</v>
      </c>
      <c r="L676" t="s">
        <v>23</v>
      </c>
      <c r="M676" t="s">
        <v>42</v>
      </c>
      <c r="N676">
        <v>1.77</v>
      </c>
      <c r="O676">
        <v>2301</v>
      </c>
      <c r="P676">
        <v>2.66</v>
      </c>
      <c r="Q676">
        <v>365</v>
      </c>
      <c r="R676">
        <v>479</v>
      </c>
    </row>
    <row r="677" spans="1:18" x14ac:dyDescent="0.2">
      <c r="A677">
        <v>8</v>
      </c>
      <c r="B677" t="s">
        <v>49</v>
      </c>
      <c r="E677" t="s">
        <v>19</v>
      </c>
      <c r="F677">
        <v>1722194</v>
      </c>
      <c r="G677">
        <v>2</v>
      </c>
      <c r="H677">
        <v>2</v>
      </c>
      <c r="I677">
        <v>216</v>
      </c>
      <c r="J677">
        <v>1978</v>
      </c>
      <c r="K677" s="4">
        <v>45255</v>
      </c>
      <c r="L677" t="s">
        <v>20</v>
      </c>
      <c r="M677" t="s">
        <v>82</v>
      </c>
      <c r="N677">
        <v>3.03</v>
      </c>
      <c r="O677">
        <v>1154</v>
      </c>
      <c r="P677">
        <v>4.6500000000000004</v>
      </c>
      <c r="Q677">
        <v>67</v>
      </c>
      <c r="R677">
        <v>564</v>
      </c>
    </row>
    <row r="678" spans="1:18" hidden="1" x14ac:dyDescent="0.2">
      <c r="A678">
        <v>4</v>
      </c>
      <c r="B678" t="s">
        <v>18</v>
      </c>
      <c r="E678" t="s">
        <v>19</v>
      </c>
      <c r="F678">
        <v>2085570</v>
      </c>
      <c r="G678">
        <v>2</v>
      </c>
      <c r="H678">
        <v>1</v>
      </c>
      <c r="I678">
        <v>546</v>
      </c>
      <c r="J678">
        <v>1979</v>
      </c>
      <c r="K678" s="4">
        <v>45613</v>
      </c>
      <c r="L678" t="s">
        <v>20</v>
      </c>
      <c r="M678" t="s">
        <v>78</v>
      </c>
      <c r="N678">
        <v>3.26</v>
      </c>
      <c r="O678">
        <v>1951</v>
      </c>
      <c r="P678">
        <v>3.99</v>
      </c>
      <c r="Q678">
        <v>112</v>
      </c>
      <c r="R678">
        <v>591</v>
      </c>
    </row>
    <row r="679" spans="1:18" hidden="1" x14ac:dyDescent="0.2">
      <c r="A679">
        <v>1</v>
      </c>
      <c r="B679" t="s">
        <v>39</v>
      </c>
      <c r="E679" t="s">
        <v>19</v>
      </c>
      <c r="F679">
        <v>2017872</v>
      </c>
      <c r="G679">
        <v>4</v>
      </c>
      <c r="H679">
        <v>1</v>
      </c>
      <c r="I679">
        <v>281</v>
      </c>
      <c r="J679">
        <v>2022</v>
      </c>
      <c r="K679" s="4">
        <v>45819</v>
      </c>
      <c r="L679" t="s">
        <v>23</v>
      </c>
      <c r="M679" t="s">
        <v>58</v>
      </c>
      <c r="N679">
        <v>2.95</v>
      </c>
      <c r="O679">
        <v>1269</v>
      </c>
      <c r="P679">
        <v>2.88</v>
      </c>
      <c r="Q679">
        <v>280</v>
      </c>
      <c r="R679">
        <v>535</v>
      </c>
    </row>
    <row r="680" spans="1:18" x14ac:dyDescent="0.2">
      <c r="A680">
        <v>8</v>
      </c>
      <c r="B680" t="s">
        <v>79</v>
      </c>
      <c r="E680" t="s">
        <v>19</v>
      </c>
      <c r="F680">
        <v>2748095</v>
      </c>
      <c r="G680">
        <v>2</v>
      </c>
      <c r="H680">
        <v>1</v>
      </c>
      <c r="I680">
        <v>608</v>
      </c>
      <c r="J680">
        <v>2006</v>
      </c>
      <c r="K680" s="4">
        <v>44333</v>
      </c>
      <c r="L680" t="s">
        <v>20</v>
      </c>
      <c r="M680" t="s">
        <v>63</v>
      </c>
      <c r="N680">
        <v>2.7</v>
      </c>
      <c r="O680">
        <v>1978</v>
      </c>
      <c r="P680">
        <v>2.4300000000000002</v>
      </c>
      <c r="Q680">
        <v>83</v>
      </c>
      <c r="R680">
        <v>416</v>
      </c>
    </row>
    <row r="681" spans="1:18" hidden="1" x14ac:dyDescent="0.2">
      <c r="A681">
        <v>6</v>
      </c>
      <c r="B681" t="s">
        <v>106</v>
      </c>
      <c r="E681" t="s">
        <v>19</v>
      </c>
      <c r="F681">
        <v>1425693</v>
      </c>
      <c r="G681">
        <v>0</v>
      </c>
      <c r="H681">
        <v>1</v>
      </c>
      <c r="I681">
        <v>226</v>
      </c>
      <c r="J681">
        <v>1965</v>
      </c>
      <c r="K681" s="4">
        <v>45000</v>
      </c>
      <c r="L681" t="s">
        <v>26</v>
      </c>
      <c r="M681" t="s">
        <v>70</v>
      </c>
      <c r="N681">
        <v>3.13</v>
      </c>
      <c r="O681">
        <v>971</v>
      </c>
      <c r="P681">
        <v>1.9</v>
      </c>
      <c r="Q681">
        <v>49</v>
      </c>
      <c r="R681">
        <v>517</v>
      </c>
    </row>
    <row r="682" spans="1:18" hidden="1" x14ac:dyDescent="0.2">
      <c r="A682">
        <v>3</v>
      </c>
      <c r="B682" t="s">
        <v>73</v>
      </c>
      <c r="E682" t="s">
        <v>29</v>
      </c>
      <c r="F682">
        <v>1977582</v>
      </c>
      <c r="G682">
        <v>5</v>
      </c>
      <c r="H682">
        <v>2</v>
      </c>
      <c r="I682">
        <v>881</v>
      </c>
      <c r="J682">
        <v>1956</v>
      </c>
      <c r="K682" s="4">
        <v>44235</v>
      </c>
      <c r="L682" t="s">
        <v>30</v>
      </c>
      <c r="M682" t="s">
        <v>56</v>
      </c>
      <c r="N682">
        <v>3.48</v>
      </c>
      <c r="O682">
        <v>1285</v>
      </c>
      <c r="P682">
        <v>2.4700000000000002</v>
      </c>
      <c r="Q682">
        <v>275</v>
      </c>
      <c r="R682">
        <v>394</v>
      </c>
    </row>
    <row r="683" spans="1:18" hidden="1" x14ac:dyDescent="0.2">
      <c r="A683">
        <v>0</v>
      </c>
      <c r="B683" t="s">
        <v>48</v>
      </c>
      <c r="E683" t="s">
        <v>29</v>
      </c>
      <c r="F683">
        <v>770916</v>
      </c>
      <c r="G683">
        <v>2</v>
      </c>
      <c r="H683">
        <v>1</v>
      </c>
      <c r="I683">
        <v>484</v>
      </c>
      <c r="J683">
        <v>2020</v>
      </c>
      <c r="K683" s="4">
        <v>45810</v>
      </c>
      <c r="L683" t="s">
        <v>26</v>
      </c>
      <c r="M683" t="s">
        <v>78</v>
      </c>
      <c r="N683">
        <v>3.38</v>
      </c>
      <c r="O683">
        <v>1030</v>
      </c>
      <c r="P683">
        <v>1.62</v>
      </c>
      <c r="Q683">
        <v>129</v>
      </c>
      <c r="R683">
        <v>601</v>
      </c>
    </row>
    <row r="684" spans="1:18" hidden="1" x14ac:dyDescent="0.2">
      <c r="A684">
        <v>6</v>
      </c>
      <c r="B684" t="s">
        <v>102</v>
      </c>
      <c r="E684" t="s">
        <v>19</v>
      </c>
      <c r="F684">
        <v>1277242</v>
      </c>
      <c r="G684">
        <v>5</v>
      </c>
      <c r="H684">
        <v>3</v>
      </c>
      <c r="I684">
        <v>131</v>
      </c>
      <c r="J684">
        <v>2005</v>
      </c>
      <c r="K684" s="4">
        <v>45059</v>
      </c>
      <c r="L684" t="s">
        <v>20</v>
      </c>
      <c r="M684" t="s">
        <v>78</v>
      </c>
      <c r="N684">
        <v>2</v>
      </c>
      <c r="O684">
        <v>1716</v>
      </c>
      <c r="P684">
        <v>4.18</v>
      </c>
      <c r="Q684">
        <v>373</v>
      </c>
      <c r="R684">
        <v>322</v>
      </c>
    </row>
    <row r="685" spans="1:18" hidden="1" x14ac:dyDescent="0.2">
      <c r="A685">
        <v>9</v>
      </c>
      <c r="B685" t="s">
        <v>72</v>
      </c>
      <c r="E685" t="s">
        <v>19</v>
      </c>
      <c r="F685">
        <v>526708</v>
      </c>
      <c r="G685">
        <v>6</v>
      </c>
      <c r="H685">
        <v>3</v>
      </c>
      <c r="I685">
        <v>596</v>
      </c>
      <c r="J685">
        <v>1975</v>
      </c>
      <c r="K685" s="4">
        <v>45373</v>
      </c>
      <c r="L685" t="s">
        <v>26</v>
      </c>
      <c r="M685" t="s">
        <v>82</v>
      </c>
      <c r="N685">
        <v>2.36</v>
      </c>
      <c r="O685">
        <v>803</v>
      </c>
      <c r="P685">
        <v>0.28000000000000003</v>
      </c>
      <c r="Q685">
        <v>345</v>
      </c>
      <c r="R685">
        <v>582</v>
      </c>
    </row>
    <row r="686" spans="1:18" x14ac:dyDescent="0.2">
      <c r="A686">
        <v>8</v>
      </c>
      <c r="B686" t="s">
        <v>93</v>
      </c>
      <c r="E686" t="s">
        <v>36</v>
      </c>
      <c r="F686">
        <v>1999873</v>
      </c>
      <c r="G686">
        <v>6</v>
      </c>
      <c r="H686">
        <v>3</v>
      </c>
      <c r="I686">
        <v>553</v>
      </c>
      <c r="J686">
        <v>2019</v>
      </c>
      <c r="K686" s="4">
        <v>44610</v>
      </c>
      <c r="L686" t="s">
        <v>20</v>
      </c>
      <c r="M686" t="s">
        <v>52</v>
      </c>
      <c r="N686">
        <v>1.58</v>
      </c>
      <c r="O686">
        <v>2084</v>
      </c>
      <c r="P686">
        <v>2.11</v>
      </c>
      <c r="Q686">
        <v>392</v>
      </c>
      <c r="R686">
        <v>392</v>
      </c>
    </row>
    <row r="687" spans="1:18" x14ac:dyDescent="0.2">
      <c r="A687">
        <v>8</v>
      </c>
      <c r="B687" t="s">
        <v>44</v>
      </c>
      <c r="E687" t="s">
        <v>36</v>
      </c>
      <c r="F687">
        <v>1829169</v>
      </c>
      <c r="G687">
        <v>5</v>
      </c>
      <c r="H687">
        <v>2</v>
      </c>
      <c r="I687">
        <v>526</v>
      </c>
      <c r="J687">
        <v>1999</v>
      </c>
      <c r="K687" s="4">
        <v>44722</v>
      </c>
      <c r="L687" t="s">
        <v>20</v>
      </c>
      <c r="M687" t="s">
        <v>85</v>
      </c>
      <c r="N687">
        <v>2.13</v>
      </c>
      <c r="O687">
        <v>1073</v>
      </c>
      <c r="P687">
        <v>4.32</v>
      </c>
      <c r="Q687">
        <v>330</v>
      </c>
      <c r="R687">
        <v>507</v>
      </c>
    </row>
    <row r="688" spans="1:18" hidden="1" x14ac:dyDescent="0.2">
      <c r="A688">
        <v>4</v>
      </c>
      <c r="B688" t="s">
        <v>62</v>
      </c>
      <c r="E688" t="s">
        <v>29</v>
      </c>
      <c r="F688">
        <v>1806497</v>
      </c>
      <c r="G688">
        <v>1</v>
      </c>
      <c r="H688">
        <v>2</v>
      </c>
      <c r="I688">
        <v>813</v>
      </c>
      <c r="J688">
        <v>1951</v>
      </c>
      <c r="K688" s="4">
        <v>44219</v>
      </c>
      <c r="L688" t="s">
        <v>23</v>
      </c>
      <c r="M688" t="s">
        <v>21</v>
      </c>
      <c r="N688">
        <v>3.37</v>
      </c>
      <c r="O688">
        <v>1046</v>
      </c>
      <c r="P688">
        <v>2.54</v>
      </c>
      <c r="Q688">
        <v>77</v>
      </c>
      <c r="R688">
        <v>349</v>
      </c>
    </row>
    <row r="689" spans="1:18" hidden="1" x14ac:dyDescent="0.2">
      <c r="A689">
        <v>2</v>
      </c>
      <c r="B689" t="s">
        <v>72</v>
      </c>
      <c r="E689" t="s">
        <v>29</v>
      </c>
      <c r="F689">
        <v>2167173</v>
      </c>
      <c r="G689">
        <v>5</v>
      </c>
      <c r="H689">
        <v>2</v>
      </c>
      <c r="I689">
        <v>457</v>
      </c>
      <c r="J689">
        <v>2017</v>
      </c>
      <c r="K689" s="4">
        <v>44181</v>
      </c>
      <c r="L689" t="s">
        <v>20</v>
      </c>
      <c r="M689" t="s">
        <v>27</v>
      </c>
      <c r="N689">
        <v>3.12</v>
      </c>
      <c r="O689">
        <v>2468</v>
      </c>
      <c r="P689">
        <v>2.1</v>
      </c>
      <c r="Q689">
        <v>312</v>
      </c>
      <c r="R689">
        <v>432</v>
      </c>
    </row>
    <row r="690" spans="1:18" hidden="1" x14ac:dyDescent="0.2">
      <c r="A690">
        <v>2</v>
      </c>
      <c r="B690" t="s">
        <v>41</v>
      </c>
      <c r="E690" t="s">
        <v>29</v>
      </c>
      <c r="F690">
        <v>1649914</v>
      </c>
      <c r="G690">
        <v>4</v>
      </c>
      <c r="H690">
        <v>3</v>
      </c>
      <c r="I690">
        <v>669</v>
      </c>
      <c r="J690">
        <v>2003</v>
      </c>
      <c r="K690" s="4">
        <v>44543</v>
      </c>
      <c r="L690" t="s">
        <v>30</v>
      </c>
      <c r="M690" t="s">
        <v>78</v>
      </c>
      <c r="N690">
        <v>3.43</v>
      </c>
      <c r="O690">
        <v>2083</v>
      </c>
      <c r="P690">
        <v>3.08</v>
      </c>
      <c r="Q690">
        <v>320</v>
      </c>
      <c r="R690">
        <v>403</v>
      </c>
    </row>
    <row r="691" spans="1:18" hidden="1" x14ac:dyDescent="0.2">
      <c r="A691">
        <v>3</v>
      </c>
      <c r="B691" t="s">
        <v>49</v>
      </c>
      <c r="E691" t="s">
        <v>29</v>
      </c>
      <c r="F691">
        <v>532605</v>
      </c>
      <c r="G691">
        <v>2</v>
      </c>
      <c r="H691">
        <v>1</v>
      </c>
      <c r="I691">
        <v>659</v>
      </c>
      <c r="J691">
        <v>1973</v>
      </c>
      <c r="K691" s="4">
        <v>44489</v>
      </c>
      <c r="L691" t="s">
        <v>20</v>
      </c>
      <c r="M691" t="s">
        <v>70</v>
      </c>
      <c r="N691">
        <v>1.76</v>
      </c>
      <c r="O691">
        <v>2176</v>
      </c>
      <c r="P691">
        <v>0.36</v>
      </c>
      <c r="Q691">
        <v>89</v>
      </c>
      <c r="R691">
        <v>397</v>
      </c>
    </row>
    <row r="692" spans="1:18" hidden="1" x14ac:dyDescent="0.2">
      <c r="A692">
        <v>4</v>
      </c>
      <c r="B692" t="s">
        <v>32</v>
      </c>
      <c r="E692" t="s">
        <v>29</v>
      </c>
      <c r="F692">
        <v>1662619</v>
      </c>
      <c r="G692">
        <v>4</v>
      </c>
      <c r="H692">
        <v>3</v>
      </c>
      <c r="I692">
        <v>107</v>
      </c>
      <c r="J692">
        <v>1971</v>
      </c>
      <c r="K692" s="4">
        <v>44667</v>
      </c>
      <c r="L692" t="s">
        <v>20</v>
      </c>
      <c r="M692" t="s">
        <v>70</v>
      </c>
      <c r="N692">
        <v>2.44</v>
      </c>
      <c r="O692">
        <v>1088</v>
      </c>
      <c r="P692">
        <v>1.98</v>
      </c>
      <c r="Q692">
        <v>369</v>
      </c>
      <c r="R692">
        <v>420</v>
      </c>
    </row>
    <row r="693" spans="1:18" hidden="1" x14ac:dyDescent="0.2">
      <c r="A693">
        <v>2</v>
      </c>
      <c r="B693" t="s">
        <v>95</v>
      </c>
      <c r="E693" t="s">
        <v>36</v>
      </c>
      <c r="F693">
        <v>2255897</v>
      </c>
      <c r="G693">
        <v>3</v>
      </c>
      <c r="H693">
        <v>2</v>
      </c>
      <c r="I693">
        <v>264</v>
      </c>
      <c r="J693">
        <v>1952</v>
      </c>
      <c r="K693" s="4">
        <v>44155</v>
      </c>
      <c r="L693" t="s">
        <v>20</v>
      </c>
      <c r="M693" t="s">
        <v>59</v>
      </c>
      <c r="N693">
        <v>2.69</v>
      </c>
      <c r="O693">
        <v>2477</v>
      </c>
      <c r="P693">
        <v>1.83</v>
      </c>
      <c r="Q693">
        <v>101</v>
      </c>
      <c r="R693">
        <v>589</v>
      </c>
    </row>
    <row r="694" spans="1:18" hidden="1" x14ac:dyDescent="0.2">
      <c r="A694">
        <v>2</v>
      </c>
      <c r="B694" t="s">
        <v>55</v>
      </c>
      <c r="E694" t="s">
        <v>36</v>
      </c>
      <c r="F694">
        <v>2565808</v>
      </c>
      <c r="G694">
        <v>5</v>
      </c>
      <c r="H694">
        <v>2</v>
      </c>
      <c r="I694">
        <v>588</v>
      </c>
      <c r="J694">
        <v>1958</v>
      </c>
      <c r="K694" s="4">
        <v>44702</v>
      </c>
      <c r="L694" t="s">
        <v>20</v>
      </c>
      <c r="M694" t="s">
        <v>58</v>
      </c>
      <c r="N694">
        <v>2.23</v>
      </c>
      <c r="O694">
        <v>1449</v>
      </c>
      <c r="P694">
        <v>1.0900000000000001</v>
      </c>
      <c r="Q694">
        <v>359</v>
      </c>
      <c r="R694">
        <v>573</v>
      </c>
    </row>
    <row r="695" spans="1:18" x14ac:dyDescent="0.2">
      <c r="A695">
        <v>8</v>
      </c>
      <c r="B695" t="s">
        <v>43</v>
      </c>
      <c r="E695" t="s">
        <v>51</v>
      </c>
      <c r="F695">
        <v>1912787</v>
      </c>
      <c r="G695">
        <v>3</v>
      </c>
      <c r="H695">
        <v>1</v>
      </c>
      <c r="I695">
        <v>66</v>
      </c>
      <c r="J695">
        <v>1989</v>
      </c>
      <c r="K695" s="4">
        <v>45867</v>
      </c>
      <c r="L695" t="s">
        <v>30</v>
      </c>
      <c r="M695" t="s">
        <v>31</v>
      </c>
      <c r="N695">
        <v>2.3199999999999998</v>
      </c>
      <c r="O695">
        <v>1218</v>
      </c>
      <c r="P695">
        <v>2.38</v>
      </c>
      <c r="Q695">
        <v>311</v>
      </c>
      <c r="R695">
        <v>405</v>
      </c>
    </row>
    <row r="696" spans="1:18" hidden="1" x14ac:dyDescent="0.2">
      <c r="A696">
        <v>5</v>
      </c>
      <c r="B696" t="s">
        <v>32</v>
      </c>
      <c r="E696" t="s">
        <v>36</v>
      </c>
      <c r="F696">
        <v>908155</v>
      </c>
      <c r="G696">
        <v>4</v>
      </c>
      <c r="H696">
        <v>2</v>
      </c>
      <c r="I696">
        <v>573</v>
      </c>
      <c r="J696">
        <v>1978</v>
      </c>
      <c r="K696" s="4">
        <v>44726</v>
      </c>
      <c r="L696" t="s">
        <v>26</v>
      </c>
      <c r="M696" t="s">
        <v>56</v>
      </c>
      <c r="N696">
        <v>3.13</v>
      </c>
      <c r="O696">
        <v>1692</v>
      </c>
      <c r="P696">
        <v>2.7</v>
      </c>
      <c r="Q696">
        <v>179</v>
      </c>
      <c r="R696">
        <v>468</v>
      </c>
    </row>
    <row r="697" spans="1:18" hidden="1" x14ac:dyDescent="0.2">
      <c r="A697">
        <v>7</v>
      </c>
      <c r="B697" t="s">
        <v>38</v>
      </c>
      <c r="E697" t="s">
        <v>19</v>
      </c>
      <c r="F697">
        <v>1326709</v>
      </c>
      <c r="G697">
        <v>2</v>
      </c>
      <c r="H697">
        <v>3</v>
      </c>
      <c r="I697">
        <v>699</v>
      </c>
      <c r="J697">
        <v>1996</v>
      </c>
      <c r="K697" s="4">
        <v>45150</v>
      </c>
      <c r="L697" t="s">
        <v>20</v>
      </c>
      <c r="M697" t="s">
        <v>45</v>
      </c>
      <c r="N697">
        <v>2.2599999999999998</v>
      </c>
      <c r="O697">
        <v>1439</v>
      </c>
      <c r="P697">
        <v>1.07</v>
      </c>
      <c r="Q697">
        <v>87</v>
      </c>
      <c r="R697">
        <v>501</v>
      </c>
    </row>
    <row r="698" spans="1:18" hidden="1" x14ac:dyDescent="0.2">
      <c r="A698">
        <v>6</v>
      </c>
      <c r="B698" t="s">
        <v>18</v>
      </c>
      <c r="E698" t="s">
        <v>36</v>
      </c>
      <c r="F698">
        <v>910620</v>
      </c>
      <c r="G698">
        <v>5</v>
      </c>
      <c r="H698">
        <v>3</v>
      </c>
      <c r="I698">
        <v>926</v>
      </c>
      <c r="J698">
        <v>1964</v>
      </c>
      <c r="K698" s="4">
        <v>44400</v>
      </c>
      <c r="L698" t="s">
        <v>23</v>
      </c>
      <c r="M698" t="s">
        <v>52</v>
      </c>
      <c r="N698">
        <v>3.15</v>
      </c>
      <c r="O698">
        <v>1071</v>
      </c>
      <c r="P698">
        <v>3.64</v>
      </c>
      <c r="Q698">
        <v>317</v>
      </c>
      <c r="R698">
        <v>508</v>
      </c>
    </row>
    <row r="699" spans="1:18" hidden="1" x14ac:dyDescent="0.2">
      <c r="A699">
        <v>7</v>
      </c>
      <c r="B699" t="s">
        <v>53</v>
      </c>
      <c r="E699" t="s">
        <v>36</v>
      </c>
      <c r="F699">
        <v>532206</v>
      </c>
      <c r="G699">
        <v>5</v>
      </c>
      <c r="H699">
        <v>3</v>
      </c>
      <c r="I699">
        <v>855</v>
      </c>
      <c r="J699">
        <v>1966</v>
      </c>
      <c r="K699" s="4">
        <v>45808</v>
      </c>
      <c r="L699" t="s">
        <v>30</v>
      </c>
      <c r="M699" t="s">
        <v>77</v>
      </c>
      <c r="N699">
        <v>2.06</v>
      </c>
      <c r="O699">
        <v>1888</v>
      </c>
      <c r="P699">
        <v>1.53</v>
      </c>
      <c r="Q699">
        <v>364</v>
      </c>
      <c r="R699">
        <v>313</v>
      </c>
    </row>
    <row r="700" spans="1:18" hidden="1" x14ac:dyDescent="0.2">
      <c r="A700">
        <v>7</v>
      </c>
      <c r="B700" t="s">
        <v>49</v>
      </c>
      <c r="E700" t="s">
        <v>19</v>
      </c>
      <c r="F700">
        <v>1511547</v>
      </c>
      <c r="G700">
        <v>4</v>
      </c>
      <c r="H700">
        <v>1</v>
      </c>
      <c r="I700">
        <v>916</v>
      </c>
      <c r="J700">
        <v>2006</v>
      </c>
      <c r="K700" s="4">
        <v>45129</v>
      </c>
      <c r="L700" t="s">
        <v>23</v>
      </c>
      <c r="M700" t="s">
        <v>21</v>
      </c>
      <c r="N700">
        <v>1.83</v>
      </c>
      <c r="O700">
        <v>1648</v>
      </c>
      <c r="P700">
        <v>1.0900000000000001</v>
      </c>
      <c r="Q700">
        <v>304</v>
      </c>
      <c r="R700">
        <v>574</v>
      </c>
    </row>
    <row r="701" spans="1:18" hidden="1" x14ac:dyDescent="0.2">
      <c r="A701">
        <v>9</v>
      </c>
      <c r="B701" t="s">
        <v>62</v>
      </c>
      <c r="E701" t="s">
        <v>19</v>
      </c>
      <c r="F701">
        <v>1029580</v>
      </c>
      <c r="G701">
        <v>6</v>
      </c>
      <c r="H701">
        <v>3</v>
      </c>
      <c r="I701">
        <v>331</v>
      </c>
      <c r="J701">
        <v>2005</v>
      </c>
      <c r="K701" s="4">
        <v>44183</v>
      </c>
      <c r="L701" t="s">
        <v>20</v>
      </c>
      <c r="M701" t="s">
        <v>52</v>
      </c>
      <c r="N701">
        <v>1.57</v>
      </c>
      <c r="O701">
        <v>1283</v>
      </c>
      <c r="P701">
        <v>4.84</v>
      </c>
      <c r="Q701">
        <v>393</v>
      </c>
      <c r="R701">
        <v>655</v>
      </c>
    </row>
    <row r="702" spans="1:18" hidden="1" x14ac:dyDescent="0.2">
      <c r="A702">
        <v>1</v>
      </c>
      <c r="B702" t="s">
        <v>48</v>
      </c>
      <c r="E702" t="s">
        <v>29</v>
      </c>
      <c r="F702">
        <v>2730217</v>
      </c>
      <c r="G702">
        <v>5</v>
      </c>
      <c r="H702">
        <v>1</v>
      </c>
      <c r="I702">
        <v>216</v>
      </c>
      <c r="J702">
        <v>1963</v>
      </c>
      <c r="K702" s="4">
        <v>44362</v>
      </c>
      <c r="L702" t="s">
        <v>30</v>
      </c>
      <c r="M702" t="s">
        <v>33</v>
      </c>
      <c r="N702">
        <v>2.09</v>
      </c>
      <c r="O702">
        <v>1331</v>
      </c>
      <c r="P702">
        <v>2.2200000000000002</v>
      </c>
      <c r="Q702">
        <v>287</v>
      </c>
      <c r="R702">
        <v>472</v>
      </c>
    </row>
    <row r="703" spans="1:18" hidden="1" x14ac:dyDescent="0.2">
      <c r="A703">
        <v>2</v>
      </c>
      <c r="B703" t="s">
        <v>87</v>
      </c>
      <c r="E703" t="s">
        <v>19</v>
      </c>
      <c r="F703">
        <v>556467</v>
      </c>
      <c r="G703">
        <v>3</v>
      </c>
      <c r="H703">
        <v>2</v>
      </c>
      <c r="I703">
        <v>56</v>
      </c>
      <c r="J703">
        <v>1954</v>
      </c>
      <c r="K703" s="4">
        <v>44435</v>
      </c>
      <c r="L703" t="s">
        <v>26</v>
      </c>
      <c r="M703" t="s">
        <v>76</v>
      </c>
      <c r="N703">
        <v>2.77</v>
      </c>
      <c r="O703">
        <v>1907</v>
      </c>
      <c r="P703">
        <v>0.78</v>
      </c>
      <c r="Q703">
        <v>164</v>
      </c>
      <c r="R703">
        <v>352</v>
      </c>
    </row>
    <row r="704" spans="1:18" hidden="1" x14ac:dyDescent="0.2">
      <c r="A704">
        <v>4</v>
      </c>
      <c r="B704" t="s">
        <v>94</v>
      </c>
      <c r="E704" t="s">
        <v>19</v>
      </c>
      <c r="F704">
        <v>2729388</v>
      </c>
      <c r="G704">
        <v>3</v>
      </c>
      <c r="H704">
        <v>3</v>
      </c>
      <c r="I704">
        <v>538</v>
      </c>
      <c r="J704">
        <v>2016</v>
      </c>
      <c r="K704" s="4">
        <v>44713</v>
      </c>
      <c r="L704" t="s">
        <v>23</v>
      </c>
      <c r="M704" t="s">
        <v>89</v>
      </c>
      <c r="N704">
        <v>1.64</v>
      </c>
      <c r="O704">
        <v>2303</v>
      </c>
      <c r="P704">
        <v>1.42</v>
      </c>
      <c r="Q704">
        <v>104</v>
      </c>
      <c r="R704">
        <v>375</v>
      </c>
    </row>
    <row r="705" spans="1:18" hidden="1" x14ac:dyDescent="0.2">
      <c r="A705">
        <v>4</v>
      </c>
      <c r="B705" t="s">
        <v>73</v>
      </c>
      <c r="E705" t="s">
        <v>51</v>
      </c>
      <c r="F705">
        <v>1020294</v>
      </c>
      <c r="G705">
        <v>3</v>
      </c>
      <c r="H705">
        <v>1</v>
      </c>
      <c r="I705">
        <v>882</v>
      </c>
      <c r="J705">
        <v>1978</v>
      </c>
      <c r="K705" s="4">
        <v>45787</v>
      </c>
      <c r="L705" t="s">
        <v>26</v>
      </c>
      <c r="M705" t="s">
        <v>52</v>
      </c>
      <c r="N705">
        <v>2.76</v>
      </c>
      <c r="O705">
        <v>1181</v>
      </c>
      <c r="P705">
        <v>2.67</v>
      </c>
      <c r="Q705">
        <v>101</v>
      </c>
      <c r="R705">
        <v>523</v>
      </c>
    </row>
    <row r="706" spans="1:18" hidden="1" x14ac:dyDescent="0.2">
      <c r="A706">
        <v>0</v>
      </c>
      <c r="B706" t="s">
        <v>95</v>
      </c>
      <c r="E706" t="s">
        <v>19</v>
      </c>
      <c r="F706">
        <v>840945</v>
      </c>
      <c r="G706">
        <v>1</v>
      </c>
      <c r="H706">
        <v>3</v>
      </c>
      <c r="I706">
        <v>60</v>
      </c>
      <c r="J706">
        <v>2013</v>
      </c>
      <c r="K706" s="4">
        <v>45128</v>
      </c>
      <c r="L706" t="s">
        <v>20</v>
      </c>
      <c r="M706" t="s">
        <v>63</v>
      </c>
      <c r="N706">
        <v>2</v>
      </c>
      <c r="O706">
        <v>1939</v>
      </c>
      <c r="P706">
        <v>4.45</v>
      </c>
      <c r="Q706">
        <v>45</v>
      </c>
      <c r="R706">
        <v>451</v>
      </c>
    </row>
    <row r="707" spans="1:18" hidden="1" x14ac:dyDescent="0.2">
      <c r="A707">
        <v>7</v>
      </c>
      <c r="B707" t="s">
        <v>18</v>
      </c>
      <c r="E707" t="s">
        <v>19</v>
      </c>
      <c r="F707">
        <v>2573363</v>
      </c>
      <c r="G707">
        <v>4</v>
      </c>
      <c r="H707">
        <v>1</v>
      </c>
      <c r="I707">
        <v>467</v>
      </c>
      <c r="J707">
        <v>1969</v>
      </c>
      <c r="K707" s="4">
        <v>44535</v>
      </c>
      <c r="L707" t="s">
        <v>20</v>
      </c>
      <c r="M707" t="s">
        <v>33</v>
      </c>
      <c r="N707">
        <v>2</v>
      </c>
      <c r="O707">
        <v>809</v>
      </c>
      <c r="P707">
        <v>2.63</v>
      </c>
      <c r="Q707">
        <v>235</v>
      </c>
      <c r="R707">
        <v>458</v>
      </c>
    </row>
    <row r="708" spans="1:18" x14ac:dyDescent="0.2">
      <c r="A708">
        <v>8</v>
      </c>
      <c r="B708" t="s">
        <v>55</v>
      </c>
      <c r="E708" t="s">
        <v>36</v>
      </c>
      <c r="F708">
        <v>1993191</v>
      </c>
      <c r="G708">
        <v>4</v>
      </c>
      <c r="H708">
        <v>3</v>
      </c>
      <c r="I708">
        <v>502</v>
      </c>
      <c r="J708">
        <v>1953</v>
      </c>
      <c r="K708" s="4">
        <v>44776</v>
      </c>
      <c r="L708" t="s">
        <v>26</v>
      </c>
      <c r="M708" t="s">
        <v>54</v>
      </c>
      <c r="N708">
        <v>1.75</v>
      </c>
      <c r="O708">
        <v>1292</v>
      </c>
      <c r="P708">
        <v>4.0199999999999996</v>
      </c>
      <c r="Q708">
        <v>391</v>
      </c>
      <c r="R708">
        <v>422</v>
      </c>
    </row>
    <row r="709" spans="1:18" x14ac:dyDescent="0.2">
      <c r="A709">
        <v>8</v>
      </c>
      <c r="B709" t="s">
        <v>100</v>
      </c>
      <c r="E709" t="s">
        <v>29</v>
      </c>
      <c r="F709">
        <v>1609946</v>
      </c>
      <c r="G709">
        <v>2</v>
      </c>
      <c r="H709">
        <v>3</v>
      </c>
      <c r="I709">
        <v>689</v>
      </c>
      <c r="J709">
        <v>1972</v>
      </c>
      <c r="K709" s="4">
        <v>44534</v>
      </c>
      <c r="L709" t="s">
        <v>23</v>
      </c>
      <c r="M709" t="s">
        <v>40</v>
      </c>
      <c r="N709">
        <v>3.14</v>
      </c>
      <c r="O709">
        <v>1326</v>
      </c>
      <c r="P709">
        <v>1.64</v>
      </c>
      <c r="Q709">
        <v>202</v>
      </c>
      <c r="R709">
        <v>585</v>
      </c>
    </row>
    <row r="710" spans="1:18" x14ac:dyDescent="0.2">
      <c r="A710">
        <v>8</v>
      </c>
      <c r="B710" t="s">
        <v>90</v>
      </c>
      <c r="E710" t="s">
        <v>51</v>
      </c>
      <c r="F710">
        <v>2727723</v>
      </c>
      <c r="G710">
        <v>5</v>
      </c>
      <c r="H710">
        <v>1</v>
      </c>
      <c r="I710">
        <v>178</v>
      </c>
      <c r="J710">
        <v>1985</v>
      </c>
      <c r="K710" s="4">
        <v>45061</v>
      </c>
      <c r="L710" t="s">
        <v>30</v>
      </c>
      <c r="M710" t="s">
        <v>24</v>
      </c>
      <c r="N710">
        <v>2.44</v>
      </c>
      <c r="O710">
        <v>2354</v>
      </c>
      <c r="P710">
        <v>4.0999999999999996</v>
      </c>
      <c r="Q710">
        <v>367</v>
      </c>
      <c r="R710">
        <v>451</v>
      </c>
    </row>
    <row r="711" spans="1:18" hidden="1" x14ac:dyDescent="0.2">
      <c r="A711">
        <v>5</v>
      </c>
      <c r="B711" t="s">
        <v>83</v>
      </c>
      <c r="E711" t="s">
        <v>29</v>
      </c>
      <c r="F711">
        <v>1783479</v>
      </c>
      <c r="G711">
        <v>2</v>
      </c>
      <c r="H711">
        <v>3</v>
      </c>
      <c r="I711">
        <v>569</v>
      </c>
      <c r="J711">
        <v>1951</v>
      </c>
      <c r="K711" s="4">
        <v>44257</v>
      </c>
      <c r="L711" t="s">
        <v>23</v>
      </c>
      <c r="M711" t="s">
        <v>60</v>
      </c>
      <c r="N711">
        <v>2.71</v>
      </c>
      <c r="O711">
        <v>2412</v>
      </c>
      <c r="P711">
        <v>0.5</v>
      </c>
      <c r="Q711">
        <v>120</v>
      </c>
      <c r="R711">
        <v>682</v>
      </c>
    </row>
    <row r="712" spans="1:18" hidden="1" x14ac:dyDescent="0.2">
      <c r="A712">
        <v>3</v>
      </c>
      <c r="B712" t="s">
        <v>72</v>
      </c>
      <c r="E712" t="s">
        <v>51</v>
      </c>
      <c r="F712">
        <v>1166499</v>
      </c>
      <c r="G712">
        <v>2</v>
      </c>
      <c r="H712">
        <v>2</v>
      </c>
      <c r="I712">
        <v>918</v>
      </c>
      <c r="J712">
        <v>2017</v>
      </c>
      <c r="K712" s="4">
        <v>45681</v>
      </c>
      <c r="L712" t="s">
        <v>23</v>
      </c>
      <c r="M712" t="s">
        <v>85</v>
      </c>
      <c r="N712">
        <v>1.69</v>
      </c>
      <c r="O712">
        <v>2262</v>
      </c>
      <c r="P712">
        <v>4.9400000000000004</v>
      </c>
      <c r="Q712">
        <v>136</v>
      </c>
      <c r="R712">
        <v>350</v>
      </c>
    </row>
    <row r="713" spans="1:18" hidden="1" x14ac:dyDescent="0.2">
      <c r="A713">
        <v>0</v>
      </c>
      <c r="B713" t="s">
        <v>64</v>
      </c>
      <c r="E713" t="s">
        <v>29</v>
      </c>
      <c r="F713">
        <v>1194978</v>
      </c>
      <c r="G713">
        <v>2</v>
      </c>
      <c r="H713">
        <v>1</v>
      </c>
      <c r="I713">
        <v>377</v>
      </c>
      <c r="J713">
        <v>1969</v>
      </c>
      <c r="K713" s="4">
        <v>45693</v>
      </c>
      <c r="L713" t="s">
        <v>26</v>
      </c>
      <c r="M713" t="s">
        <v>69</v>
      </c>
      <c r="N713">
        <v>2.85</v>
      </c>
      <c r="O713">
        <v>2353</v>
      </c>
      <c r="P713">
        <v>2.89</v>
      </c>
      <c r="Q713">
        <v>79</v>
      </c>
      <c r="R713">
        <v>647</v>
      </c>
    </row>
    <row r="714" spans="1:18" hidden="1" x14ac:dyDescent="0.2">
      <c r="A714">
        <v>9</v>
      </c>
      <c r="B714" t="s">
        <v>28</v>
      </c>
      <c r="E714" t="s">
        <v>36</v>
      </c>
      <c r="F714">
        <v>1221028</v>
      </c>
      <c r="G714">
        <v>6</v>
      </c>
      <c r="H714">
        <v>3</v>
      </c>
      <c r="I714">
        <v>731</v>
      </c>
      <c r="J714">
        <v>2002</v>
      </c>
      <c r="K714" s="4">
        <v>45160</v>
      </c>
      <c r="L714" t="s">
        <v>23</v>
      </c>
      <c r="M714" t="s">
        <v>27</v>
      </c>
      <c r="N714">
        <v>2.02</v>
      </c>
      <c r="O714">
        <v>1352</v>
      </c>
      <c r="P714">
        <v>2.35</v>
      </c>
      <c r="Q714">
        <v>379</v>
      </c>
      <c r="R714">
        <v>513</v>
      </c>
    </row>
    <row r="715" spans="1:18" hidden="1" x14ac:dyDescent="0.2">
      <c r="A715">
        <v>0</v>
      </c>
      <c r="B715" t="s">
        <v>50</v>
      </c>
      <c r="E715" t="s">
        <v>51</v>
      </c>
      <c r="F715">
        <v>1535557</v>
      </c>
      <c r="G715">
        <v>5</v>
      </c>
      <c r="H715">
        <v>2</v>
      </c>
      <c r="I715">
        <v>931</v>
      </c>
      <c r="J715">
        <v>1967</v>
      </c>
      <c r="K715" s="4">
        <v>45516</v>
      </c>
      <c r="L715" t="s">
        <v>26</v>
      </c>
      <c r="M715" t="s">
        <v>52</v>
      </c>
      <c r="N715">
        <v>2.96</v>
      </c>
      <c r="O715">
        <v>1101</v>
      </c>
      <c r="P715">
        <v>3.79</v>
      </c>
      <c r="Q715">
        <v>257</v>
      </c>
      <c r="R715">
        <v>618</v>
      </c>
    </row>
    <row r="716" spans="1:18" hidden="1" x14ac:dyDescent="0.2">
      <c r="A716">
        <v>1</v>
      </c>
      <c r="B716" t="s">
        <v>79</v>
      </c>
      <c r="E716" t="s">
        <v>29</v>
      </c>
      <c r="F716">
        <v>1488121</v>
      </c>
      <c r="G716">
        <v>1</v>
      </c>
      <c r="H716">
        <v>2</v>
      </c>
      <c r="I716">
        <v>344</v>
      </c>
      <c r="J716">
        <v>2002</v>
      </c>
      <c r="K716" s="4">
        <v>44789</v>
      </c>
      <c r="L716" t="s">
        <v>30</v>
      </c>
      <c r="M716" t="s">
        <v>68</v>
      </c>
      <c r="N716">
        <v>1.82</v>
      </c>
      <c r="O716">
        <v>1069</v>
      </c>
      <c r="P716">
        <v>2.96</v>
      </c>
      <c r="Q716">
        <v>93</v>
      </c>
      <c r="R716">
        <v>317</v>
      </c>
    </row>
    <row r="717" spans="1:18" hidden="1" x14ac:dyDescent="0.2">
      <c r="A717">
        <v>0</v>
      </c>
      <c r="B717" t="s">
        <v>94</v>
      </c>
      <c r="E717" t="s">
        <v>19</v>
      </c>
      <c r="F717">
        <v>2786704</v>
      </c>
      <c r="G717">
        <v>2</v>
      </c>
      <c r="H717">
        <v>1</v>
      </c>
      <c r="I717">
        <v>726</v>
      </c>
      <c r="J717">
        <v>1980</v>
      </c>
      <c r="K717" s="4">
        <v>45099</v>
      </c>
      <c r="L717" t="s">
        <v>30</v>
      </c>
      <c r="M717" t="s">
        <v>42</v>
      </c>
      <c r="N717">
        <v>2.78</v>
      </c>
      <c r="O717">
        <v>1387</v>
      </c>
      <c r="P717">
        <v>3.19</v>
      </c>
      <c r="Q717">
        <v>216</v>
      </c>
      <c r="R717">
        <v>631</v>
      </c>
    </row>
    <row r="718" spans="1:18" hidden="1" x14ac:dyDescent="0.2">
      <c r="A718">
        <v>6</v>
      </c>
      <c r="B718" t="s">
        <v>91</v>
      </c>
      <c r="E718" t="s">
        <v>51</v>
      </c>
      <c r="F718">
        <v>2612837</v>
      </c>
      <c r="G718">
        <v>4</v>
      </c>
      <c r="H718">
        <v>1</v>
      </c>
      <c r="I718">
        <v>281</v>
      </c>
      <c r="J718">
        <v>2005</v>
      </c>
      <c r="K718" s="4">
        <v>44670</v>
      </c>
      <c r="L718" t="s">
        <v>30</v>
      </c>
      <c r="M718" t="s">
        <v>31</v>
      </c>
      <c r="N718">
        <v>1.61</v>
      </c>
      <c r="O718">
        <v>1685</v>
      </c>
      <c r="P718">
        <v>3.49</v>
      </c>
      <c r="Q718">
        <v>388</v>
      </c>
      <c r="R718">
        <v>685</v>
      </c>
    </row>
    <row r="719" spans="1:18" x14ac:dyDescent="0.2">
      <c r="A719">
        <v>8</v>
      </c>
      <c r="B719" t="s">
        <v>22</v>
      </c>
      <c r="E719" t="s">
        <v>36</v>
      </c>
      <c r="F719">
        <v>1709116</v>
      </c>
      <c r="G719">
        <v>4</v>
      </c>
      <c r="H719">
        <v>2</v>
      </c>
      <c r="I719">
        <v>640</v>
      </c>
      <c r="J719">
        <v>1952</v>
      </c>
      <c r="K719" s="4">
        <v>45588</v>
      </c>
      <c r="L719" t="s">
        <v>26</v>
      </c>
      <c r="M719" t="s">
        <v>42</v>
      </c>
      <c r="N719">
        <v>3.49</v>
      </c>
      <c r="O719">
        <v>1528</v>
      </c>
      <c r="P719">
        <v>1.18</v>
      </c>
      <c r="Q719">
        <v>329</v>
      </c>
      <c r="R719">
        <v>619</v>
      </c>
    </row>
    <row r="720" spans="1:18" hidden="1" x14ac:dyDescent="0.2">
      <c r="A720">
        <v>1</v>
      </c>
      <c r="B720" t="s">
        <v>101</v>
      </c>
      <c r="E720" t="s">
        <v>29</v>
      </c>
      <c r="F720">
        <v>647535</v>
      </c>
      <c r="G720">
        <v>3</v>
      </c>
      <c r="H720">
        <v>3</v>
      </c>
      <c r="I720">
        <v>312</v>
      </c>
      <c r="J720">
        <v>2000</v>
      </c>
      <c r="K720" s="4">
        <v>45551</v>
      </c>
      <c r="L720" t="s">
        <v>30</v>
      </c>
      <c r="M720" t="s">
        <v>68</v>
      </c>
      <c r="N720">
        <v>2.46</v>
      </c>
      <c r="O720">
        <v>1135</v>
      </c>
      <c r="P720">
        <v>4.07</v>
      </c>
      <c r="Q720">
        <v>257</v>
      </c>
      <c r="R720">
        <v>389</v>
      </c>
    </row>
    <row r="721" spans="1:18" hidden="1" x14ac:dyDescent="0.2">
      <c r="A721">
        <v>9</v>
      </c>
      <c r="B721" t="s">
        <v>49</v>
      </c>
      <c r="E721" t="s">
        <v>51</v>
      </c>
      <c r="F721">
        <v>2966928</v>
      </c>
      <c r="G721">
        <v>4</v>
      </c>
      <c r="H721">
        <v>2</v>
      </c>
      <c r="I721">
        <v>733</v>
      </c>
      <c r="J721">
        <v>1996</v>
      </c>
      <c r="K721" s="4">
        <v>44180</v>
      </c>
      <c r="L721" t="s">
        <v>20</v>
      </c>
      <c r="M721" t="s">
        <v>45</v>
      </c>
      <c r="N721">
        <v>2.34</v>
      </c>
      <c r="O721">
        <v>1594</v>
      </c>
      <c r="P721">
        <v>2.1800000000000002</v>
      </c>
      <c r="Q721">
        <v>308</v>
      </c>
      <c r="R721">
        <v>576</v>
      </c>
    </row>
    <row r="722" spans="1:18" hidden="1" x14ac:dyDescent="0.2">
      <c r="A722">
        <v>7</v>
      </c>
      <c r="B722" t="s">
        <v>41</v>
      </c>
      <c r="E722" t="s">
        <v>29</v>
      </c>
      <c r="F722">
        <v>514309</v>
      </c>
      <c r="G722">
        <v>3</v>
      </c>
      <c r="H722">
        <v>2</v>
      </c>
      <c r="I722">
        <v>260</v>
      </c>
      <c r="J722">
        <v>1973</v>
      </c>
      <c r="K722" s="4">
        <v>45321</v>
      </c>
      <c r="L722" t="s">
        <v>20</v>
      </c>
      <c r="M722" t="s">
        <v>89</v>
      </c>
      <c r="N722">
        <v>3.06</v>
      </c>
      <c r="O722">
        <v>2175</v>
      </c>
      <c r="P722">
        <v>3.09</v>
      </c>
      <c r="Q722">
        <v>82</v>
      </c>
      <c r="R722">
        <v>630</v>
      </c>
    </row>
    <row r="723" spans="1:18" hidden="1" x14ac:dyDescent="0.2">
      <c r="A723">
        <v>9</v>
      </c>
      <c r="B723" t="s">
        <v>34</v>
      </c>
      <c r="E723" t="s">
        <v>36</v>
      </c>
      <c r="F723">
        <v>685569</v>
      </c>
      <c r="G723">
        <v>3</v>
      </c>
      <c r="H723">
        <v>1</v>
      </c>
      <c r="I723">
        <v>90</v>
      </c>
      <c r="J723">
        <v>2020</v>
      </c>
      <c r="K723" s="4">
        <v>45360</v>
      </c>
      <c r="L723" t="s">
        <v>20</v>
      </c>
      <c r="M723" t="s">
        <v>97</v>
      </c>
      <c r="N723">
        <v>1.56</v>
      </c>
      <c r="O723">
        <v>1338</v>
      </c>
      <c r="P723">
        <v>4.88</v>
      </c>
      <c r="Q723">
        <v>294</v>
      </c>
      <c r="R723">
        <v>600</v>
      </c>
    </row>
    <row r="724" spans="1:18" hidden="1" x14ac:dyDescent="0.2">
      <c r="A724">
        <v>5</v>
      </c>
      <c r="B724" t="s">
        <v>43</v>
      </c>
      <c r="E724" t="s">
        <v>19</v>
      </c>
      <c r="F724">
        <v>2419171</v>
      </c>
      <c r="G724">
        <v>5</v>
      </c>
      <c r="H724">
        <v>3</v>
      </c>
      <c r="I724">
        <v>671</v>
      </c>
      <c r="J724">
        <v>2010</v>
      </c>
      <c r="K724" s="4">
        <v>45566</v>
      </c>
      <c r="L724" t="s">
        <v>30</v>
      </c>
      <c r="M724" t="s">
        <v>76</v>
      </c>
      <c r="N724">
        <v>3.2</v>
      </c>
      <c r="O724">
        <v>1796</v>
      </c>
      <c r="P724">
        <v>4.4800000000000004</v>
      </c>
      <c r="Q724">
        <v>352</v>
      </c>
      <c r="R724">
        <v>647</v>
      </c>
    </row>
    <row r="725" spans="1:18" x14ac:dyDescent="0.2">
      <c r="A725">
        <v>8</v>
      </c>
      <c r="B725" t="s">
        <v>86</v>
      </c>
      <c r="E725" t="s">
        <v>36</v>
      </c>
      <c r="F725">
        <v>1543508</v>
      </c>
      <c r="G725">
        <v>4</v>
      </c>
      <c r="H725">
        <v>3</v>
      </c>
      <c r="I725">
        <v>221</v>
      </c>
      <c r="J725">
        <v>1970</v>
      </c>
      <c r="K725" s="4">
        <v>45669</v>
      </c>
      <c r="L725" t="s">
        <v>30</v>
      </c>
      <c r="M725" t="s">
        <v>89</v>
      </c>
      <c r="N725">
        <v>3.07</v>
      </c>
      <c r="O725">
        <v>1228</v>
      </c>
      <c r="P725">
        <v>3.27</v>
      </c>
      <c r="Q725">
        <v>167</v>
      </c>
      <c r="R725">
        <v>684</v>
      </c>
    </row>
    <row r="726" spans="1:18" hidden="1" x14ac:dyDescent="0.2">
      <c r="A726">
        <v>1</v>
      </c>
      <c r="B726" t="s">
        <v>50</v>
      </c>
      <c r="E726" t="s">
        <v>51</v>
      </c>
      <c r="F726">
        <v>816873</v>
      </c>
      <c r="G726">
        <v>5</v>
      </c>
      <c r="H726">
        <v>3</v>
      </c>
      <c r="I726">
        <v>186</v>
      </c>
      <c r="J726">
        <v>1957</v>
      </c>
      <c r="K726" s="4">
        <v>44318</v>
      </c>
      <c r="L726" t="s">
        <v>26</v>
      </c>
      <c r="M726" t="s">
        <v>58</v>
      </c>
      <c r="N726">
        <v>2.7</v>
      </c>
      <c r="O726">
        <v>2148</v>
      </c>
      <c r="P726">
        <v>3.72</v>
      </c>
      <c r="Q726">
        <v>353</v>
      </c>
      <c r="R726">
        <v>504</v>
      </c>
    </row>
    <row r="727" spans="1:18" hidden="1" x14ac:dyDescent="0.2">
      <c r="A727">
        <v>0</v>
      </c>
      <c r="B727" t="s">
        <v>48</v>
      </c>
      <c r="E727" t="s">
        <v>36</v>
      </c>
      <c r="F727">
        <v>414068</v>
      </c>
      <c r="G727">
        <v>1</v>
      </c>
      <c r="H727">
        <v>3</v>
      </c>
      <c r="I727">
        <v>780</v>
      </c>
      <c r="J727">
        <v>1963</v>
      </c>
      <c r="K727" s="4">
        <v>45613</v>
      </c>
      <c r="L727" t="s">
        <v>20</v>
      </c>
      <c r="M727" t="s">
        <v>42</v>
      </c>
      <c r="N727">
        <v>2.7</v>
      </c>
      <c r="O727">
        <v>955</v>
      </c>
      <c r="P727">
        <v>1.4</v>
      </c>
      <c r="Q727">
        <v>115</v>
      </c>
      <c r="R727">
        <v>439</v>
      </c>
    </row>
    <row r="728" spans="1:18" x14ac:dyDescent="0.2">
      <c r="A728">
        <v>8</v>
      </c>
      <c r="B728" t="s">
        <v>53</v>
      </c>
      <c r="E728" t="s">
        <v>29</v>
      </c>
      <c r="F728">
        <v>1305593</v>
      </c>
      <c r="G728">
        <v>3</v>
      </c>
      <c r="H728">
        <v>3</v>
      </c>
      <c r="I728">
        <v>193</v>
      </c>
      <c r="J728">
        <v>2009</v>
      </c>
      <c r="K728" s="4">
        <v>45733</v>
      </c>
      <c r="L728" t="s">
        <v>20</v>
      </c>
      <c r="M728" t="s">
        <v>63</v>
      </c>
      <c r="N728">
        <v>3.34</v>
      </c>
      <c r="O728">
        <v>1532</v>
      </c>
      <c r="P728">
        <v>2.61</v>
      </c>
      <c r="Q728">
        <v>162</v>
      </c>
      <c r="R728">
        <v>479</v>
      </c>
    </row>
    <row r="729" spans="1:18" hidden="1" x14ac:dyDescent="0.2">
      <c r="A729">
        <v>0</v>
      </c>
      <c r="B729" t="s">
        <v>71</v>
      </c>
      <c r="E729" t="s">
        <v>51</v>
      </c>
      <c r="F729">
        <v>467793</v>
      </c>
      <c r="G729">
        <v>3</v>
      </c>
      <c r="H729">
        <v>2</v>
      </c>
      <c r="I729">
        <v>871</v>
      </c>
      <c r="J729">
        <v>2020</v>
      </c>
      <c r="K729" s="4">
        <v>45790</v>
      </c>
      <c r="L729" t="s">
        <v>20</v>
      </c>
      <c r="M729" t="s">
        <v>37</v>
      </c>
      <c r="N729">
        <v>1.98</v>
      </c>
      <c r="O729">
        <v>907</v>
      </c>
      <c r="P729">
        <v>0.81</v>
      </c>
      <c r="Q729">
        <v>118</v>
      </c>
      <c r="R729">
        <v>393</v>
      </c>
    </row>
    <row r="730" spans="1:18" hidden="1" x14ac:dyDescent="0.2">
      <c r="A730">
        <v>2</v>
      </c>
      <c r="B730" t="s">
        <v>92</v>
      </c>
      <c r="E730" t="s">
        <v>51</v>
      </c>
      <c r="F730">
        <v>2371032</v>
      </c>
      <c r="G730">
        <v>1</v>
      </c>
      <c r="H730">
        <v>2</v>
      </c>
      <c r="I730">
        <v>881</v>
      </c>
      <c r="J730">
        <v>1984</v>
      </c>
      <c r="K730" s="4">
        <v>45748</v>
      </c>
      <c r="L730" t="s">
        <v>30</v>
      </c>
      <c r="M730" t="s">
        <v>74</v>
      </c>
      <c r="N730">
        <v>1.68</v>
      </c>
      <c r="O730">
        <v>2365</v>
      </c>
      <c r="P730">
        <v>2.63</v>
      </c>
      <c r="Q730">
        <v>111</v>
      </c>
      <c r="R730">
        <v>544</v>
      </c>
    </row>
    <row r="731" spans="1:18" hidden="1" x14ac:dyDescent="0.2">
      <c r="A731">
        <v>2</v>
      </c>
      <c r="B731" t="s">
        <v>28</v>
      </c>
      <c r="E731" t="s">
        <v>51</v>
      </c>
      <c r="F731">
        <v>408131</v>
      </c>
      <c r="G731">
        <v>2</v>
      </c>
      <c r="H731">
        <v>2</v>
      </c>
      <c r="I731">
        <v>518</v>
      </c>
      <c r="J731">
        <v>1988</v>
      </c>
      <c r="K731" s="4">
        <v>44171</v>
      </c>
      <c r="L731" t="s">
        <v>30</v>
      </c>
      <c r="M731" t="s">
        <v>66</v>
      </c>
      <c r="N731">
        <v>3.16</v>
      </c>
      <c r="O731">
        <v>2047</v>
      </c>
      <c r="P731">
        <v>2.82</v>
      </c>
      <c r="Q731">
        <v>176</v>
      </c>
      <c r="R731">
        <v>578</v>
      </c>
    </row>
    <row r="732" spans="1:18" hidden="1" x14ac:dyDescent="0.2">
      <c r="A732">
        <v>0</v>
      </c>
      <c r="B732" t="s">
        <v>43</v>
      </c>
      <c r="E732" t="s">
        <v>51</v>
      </c>
      <c r="F732">
        <v>2847302</v>
      </c>
      <c r="G732">
        <v>3</v>
      </c>
      <c r="H732">
        <v>2</v>
      </c>
      <c r="I732">
        <v>912</v>
      </c>
      <c r="J732">
        <v>1983</v>
      </c>
      <c r="K732" s="4">
        <v>44769</v>
      </c>
      <c r="L732" t="s">
        <v>30</v>
      </c>
      <c r="M732" t="s">
        <v>59</v>
      </c>
      <c r="N732">
        <v>2.85</v>
      </c>
      <c r="O732">
        <v>2292</v>
      </c>
      <c r="P732">
        <v>3.29</v>
      </c>
      <c r="Q732">
        <v>116</v>
      </c>
      <c r="R732">
        <v>496</v>
      </c>
    </row>
    <row r="733" spans="1:18" hidden="1" x14ac:dyDescent="0.2">
      <c r="A733">
        <v>6</v>
      </c>
      <c r="B733" t="s">
        <v>96</v>
      </c>
      <c r="E733" t="s">
        <v>36</v>
      </c>
      <c r="F733">
        <v>1763825</v>
      </c>
      <c r="G733">
        <v>6</v>
      </c>
      <c r="H733">
        <v>2</v>
      </c>
      <c r="I733">
        <v>864</v>
      </c>
      <c r="J733">
        <v>2018</v>
      </c>
      <c r="K733" s="4">
        <v>44423</v>
      </c>
      <c r="L733" t="s">
        <v>30</v>
      </c>
      <c r="M733" t="s">
        <v>47</v>
      </c>
      <c r="N733">
        <v>3.03</v>
      </c>
      <c r="O733">
        <v>2451</v>
      </c>
      <c r="P733">
        <v>1.1599999999999999</v>
      </c>
      <c r="Q733">
        <v>324</v>
      </c>
      <c r="R733">
        <v>504</v>
      </c>
    </row>
    <row r="734" spans="1:18" hidden="1" x14ac:dyDescent="0.2">
      <c r="A734">
        <v>6</v>
      </c>
      <c r="B734" t="s">
        <v>99</v>
      </c>
      <c r="E734" t="s">
        <v>51</v>
      </c>
      <c r="F734">
        <v>2238281</v>
      </c>
      <c r="G734">
        <v>4</v>
      </c>
      <c r="H734">
        <v>1</v>
      </c>
      <c r="I734">
        <v>191</v>
      </c>
      <c r="J734">
        <v>1975</v>
      </c>
      <c r="K734" s="4">
        <v>44338</v>
      </c>
      <c r="L734" t="s">
        <v>26</v>
      </c>
      <c r="M734" t="s">
        <v>68</v>
      </c>
      <c r="N734">
        <v>2.3199999999999998</v>
      </c>
      <c r="O734">
        <v>1751</v>
      </c>
      <c r="P734">
        <v>3.1</v>
      </c>
      <c r="Q734">
        <v>366</v>
      </c>
      <c r="R734">
        <v>407</v>
      </c>
    </row>
    <row r="735" spans="1:18" hidden="1" x14ac:dyDescent="0.2">
      <c r="A735">
        <v>7</v>
      </c>
      <c r="B735" t="s">
        <v>43</v>
      </c>
      <c r="E735" t="s">
        <v>19</v>
      </c>
      <c r="F735">
        <v>1609787</v>
      </c>
      <c r="G735">
        <v>1</v>
      </c>
      <c r="H735">
        <v>1</v>
      </c>
      <c r="I735">
        <v>829</v>
      </c>
      <c r="J735">
        <v>2015</v>
      </c>
      <c r="K735" s="4">
        <v>45443</v>
      </c>
      <c r="L735" t="s">
        <v>20</v>
      </c>
      <c r="M735" t="s">
        <v>97</v>
      </c>
      <c r="N735">
        <v>2.88</v>
      </c>
      <c r="O735">
        <v>1276</v>
      </c>
      <c r="P735">
        <v>2.82</v>
      </c>
      <c r="Q735">
        <v>132</v>
      </c>
      <c r="R735">
        <v>459</v>
      </c>
    </row>
    <row r="736" spans="1:18" hidden="1" x14ac:dyDescent="0.2">
      <c r="A736">
        <v>5</v>
      </c>
      <c r="B736" t="s">
        <v>99</v>
      </c>
      <c r="E736" t="s">
        <v>19</v>
      </c>
      <c r="F736">
        <v>2698797</v>
      </c>
      <c r="G736">
        <v>3</v>
      </c>
      <c r="H736">
        <v>2</v>
      </c>
      <c r="I736">
        <v>260</v>
      </c>
      <c r="J736">
        <v>1950</v>
      </c>
      <c r="K736" s="4">
        <v>45799</v>
      </c>
      <c r="L736" t="s">
        <v>30</v>
      </c>
      <c r="M736" t="s">
        <v>54</v>
      </c>
      <c r="N736">
        <v>1.55</v>
      </c>
      <c r="O736">
        <v>1649</v>
      </c>
      <c r="P736">
        <v>2.78</v>
      </c>
      <c r="Q736">
        <v>317</v>
      </c>
      <c r="R736">
        <v>631</v>
      </c>
    </row>
    <row r="737" spans="1:18" hidden="1" x14ac:dyDescent="0.2">
      <c r="A737">
        <v>5</v>
      </c>
      <c r="B737" t="s">
        <v>55</v>
      </c>
      <c r="E737" t="s">
        <v>29</v>
      </c>
      <c r="F737">
        <v>2164772</v>
      </c>
      <c r="G737">
        <v>2</v>
      </c>
      <c r="H737">
        <v>2</v>
      </c>
      <c r="I737">
        <v>682</v>
      </c>
      <c r="J737">
        <v>1992</v>
      </c>
      <c r="K737" s="4">
        <v>45303</v>
      </c>
      <c r="L737" t="s">
        <v>30</v>
      </c>
      <c r="M737" t="s">
        <v>85</v>
      </c>
      <c r="N737">
        <v>3.2</v>
      </c>
      <c r="O737">
        <v>1696</v>
      </c>
      <c r="P737">
        <v>2.0099999999999998</v>
      </c>
      <c r="Q737">
        <v>160</v>
      </c>
      <c r="R737">
        <v>679</v>
      </c>
    </row>
    <row r="738" spans="1:18" hidden="1" x14ac:dyDescent="0.2">
      <c r="A738">
        <v>2</v>
      </c>
      <c r="B738" t="s">
        <v>61</v>
      </c>
      <c r="E738" t="s">
        <v>19</v>
      </c>
      <c r="F738">
        <v>1680576</v>
      </c>
      <c r="G738">
        <v>3</v>
      </c>
      <c r="H738">
        <v>3</v>
      </c>
      <c r="I738">
        <v>678</v>
      </c>
      <c r="J738">
        <v>1952</v>
      </c>
      <c r="K738" s="4">
        <v>45814</v>
      </c>
      <c r="L738" t="s">
        <v>30</v>
      </c>
      <c r="M738" t="s">
        <v>60</v>
      </c>
      <c r="N738">
        <v>2.75</v>
      </c>
      <c r="O738">
        <v>1602</v>
      </c>
      <c r="P738">
        <v>3.3</v>
      </c>
      <c r="Q738">
        <v>183</v>
      </c>
      <c r="R738">
        <v>626</v>
      </c>
    </row>
    <row r="739" spans="1:18" hidden="1" x14ac:dyDescent="0.2">
      <c r="A739">
        <v>5</v>
      </c>
      <c r="B739" t="s">
        <v>48</v>
      </c>
      <c r="E739" t="s">
        <v>19</v>
      </c>
      <c r="F739">
        <v>1987599</v>
      </c>
      <c r="G739">
        <v>4</v>
      </c>
      <c r="H739">
        <v>1</v>
      </c>
      <c r="I739">
        <v>997</v>
      </c>
      <c r="J739">
        <v>2019</v>
      </c>
      <c r="K739" s="4">
        <v>44681</v>
      </c>
      <c r="L739" t="s">
        <v>20</v>
      </c>
      <c r="M739" t="s">
        <v>74</v>
      </c>
      <c r="N739">
        <v>3.28</v>
      </c>
      <c r="O739">
        <v>1446</v>
      </c>
      <c r="P739">
        <v>2.09</v>
      </c>
      <c r="Q739">
        <v>385</v>
      </c>
      <c r="R739">
        <v>328</v>
      </c>
    </row>
    <row r="740" spans="1:18" hidden="1" x14ac:dyDescent="0.2">
      <c r="A740">
        <v>3</v>
      </c>
      <c r="B740" t="s">
        <v>92</v>
      </c>
      <c r="E740" t="s">
        <v>36</v>
      </c>
      <c r="F740">
        <v>2118616</v>
      </c>
      <c r="G740">
        <v>4</v>
      </c>
      <c r="H740">
        <v>3</v>
      </c>
      <c r="I740">
        <v>576</v>
      </c>
      <c r="J740">
        <v>1991</v>
      </c>
      <c r="K740" s="4">
        <v>44639</v>
      </c>
      <c r="L740" t="s">
        <v>23</v>
      </c>
      <c r="M740" t="s">
        <v>69</v>
      </c>
      <c r="N740">
        <v>2.83</v>
      </c>
      <c r="O740">
        <v>1488</v>
      </c>
      <c r="P740">
        <v>0.47</v>
      </c>
      <c r="Q740">
        <v>165</v>
      </c>
      <c r="R740">
        <v>416</v>
      </c>
    </row>
    <row r="741" spans="1:18" hidden="1" x14ac:dyDescent="0.2">
      <c r="A741">
        <v>7</v>
      </c>
      <c r="B741" t="s">
        <v>48</v>
      </c>
      <c r="E741" t="s">
        <v>51</v>
      </c>
      <c r="F741">
        <v>1393463</v>
      </c>
      <c r="G741">
        <v>3</v>
      </c>
      <c r="H741">
        <v>3</v>
      </c>
      <c r="I741">
        <v>590</v>
      </c>
      <c r="J741">
        <v>2022</v>
      </c>
      <c r="K741" s="4">
        <v>45757</v>
      </c>
      <c r="L741" t="s">
        <v>30</v>
      </c>
      <c r="M741" t="s">
        <v>24</v>
      </c>
      <c r="N741">
        <v>2.7</v>
      </c>
      <c r="O741">
        <v>947</v>
      </c>
      <c r="P741">
        <v>3.99</v>
      </c>
      <c r="Q741">
        <v>185</v>
      </c>
      <c r="R741">
        <v>593</v>
      </c>
    </row>
    <row r="742" spans="1:18" hidden="1" x14ac:dyDescent="0.2">
      <c r="A742">
        <v>6</v>
      </c>
      <c r="B742" t="s">
        <v>104</v>
      </c>
      <c r="E742" t="s">
        <v>36</v>
      </c>
      <c r="F742">
        <v>2996646</v>
      </c>
      <c r="G742">
        <v>2</v>
      </c>
      <c r="H742">
        <v>3</v>
      </c>
      <c r="I742">
        <v>685</v>
      </c>
      <c r="J742">
        <v>1989</v>
      </c>
      <c r="K742" s="4">
        <v>44465</v>
      </c>
      <c r="L742" t="s">
        <v>23</v>
      </c>
      <c r="M742" t="s">
        <v>63</v>
      </c>
      <c r="N742">
        <v>1.64</v>
      </c>
      <c r="O742">
        <v>1592</v>
      </c>
      <c r="P742">
        <v>4.0999999999999996</v>
      </c>
      <c r="Q742">
        <v>141</v>
      </c>
      <c r="R742">
        <v>520</v>
      </c>
    </row>
    <row r="743" spans="1:18" hidden="1" x14ac:dyDescent="0.2">
      <c r="A743">
        <v>2</v>
      </c>
      <c r="B743" t="s">
        <v>18</v>
      </c>
      <c r="E743" t="s">
        <v>29</v>
      </c>
      <c r="F743">
        <v>747963</v>
      </c>
      <c r="G743">
        <v>3</v>
      </c>
      <c r="H743">
        <v>3</v>
      </c>
      <c r="I743">
        <v>395</v>
      </c>
      <c r="J743">
        <v>1970</v>
      </c>
      <c r="K743" s="4">
        <v>45443</v>
      </c>
      <c r="L743" t="s">
        <v>26</v>
      </c>
      <c r="M743" t="s">
        <v>89</v>
      </c>
      <c r="N743">
        <v>1.63</v>
      </c>
      <c r="O743">
        <v>2067</v>
      </c>
      <c r="P743">
        <v>3.11</v>
      </c>
      <c r="Q743">
        <v>113</v>
      </c>
      <c r="R743">
        <v>420</v>
      </c>
    </row>
    <row r="744" spans="1:18" hidden="1" x14ac:dyDescent="0.2">
      <c r="A744">
        <v>6</v>
      </c>
      <c r="B744" t="s">
        <v>61</v>
      </c>
      <c r="E744" t="s">
        <v>51</v>
      </c>
      <c r="F744">
        <v>2190585</v>
      </c>
      <c r="G744">
        <v>2</v>
      </c>
      <c r="H744">
        <v>2</v>
      </c>
      <c r="I744">
        <v>228</v>
      </c>
      <c r="J744">
        <v>2000</v>
      </c>
      <c r="K744" s="4">
        <v>44721</v>
      </c>
      <c r="L744" t="s">
        <v>30</v>
      </c>
      <c r="M744" t="s">
        <v>76</v>
      </c>
      <c r="N744">
        <v>3.38</v>
      </c>
      <c r="O744">
        <v>1876</v>
      </c>
      <c r="P744">
        <v>4.6399999999999997</v>
      </c>
      <c r="Q744">
        <v>140</v>
      </c>
      <c r="R744">
        <v>332</v>
      </c>
    </row>
    <row r="745" spans="1:18" hidden="1" x14ac:dyDescent="0.2">
      <c r="A745">
        <v>6</v>
      </c>
      <c r="B745" t="s">
        <v>39</v>
      </c>
      <c r="E745" t="s">
        <v>36</v>
      </c>
      <c r="F745">
        <v>2533958</v>
      </c>
      <c r="G745">
        <v>4</v>
      </c>
      <c r="H745">
        <v>1</v>
      </c>
      <c r="I745">
        <v>283</v>
      </c>
      <c r="J745">
        <v>1957</v>
      </c>
      <c r="K745" s="4">
        <v>45774</v>
      </c>
      <c r="L745" t="s">
        <v>26</v>
      </c>
      <c r="M745" t="s">
        <v>37</v>
      </c>
      <c r="N745">
        <v>2.94</v>
      </c>
      <c r="O745">
        <v>1852</v>
      </c>
      <c r="P745">
        <v>1.59</v>
      </c>
      <c r="Q745">
        <v>239</v>
      </c>
      <c r="R745">
        <v>441</v>
      </c>
    </row>
    <row r="746" spans="1:18" hidden="1" x14ac:dyDescent="0.2">
      <c r="A746">
        <v>5</v>
      </c>
      <c r="B746" t="s">
        <v>46</v>
      </c>
      <c r="E746" t="s">
        <v>29</v>
      </c>
      <c r="F746">
        <v>2502663</v>
      </c>
      <c r="G746">
        <v>4</v>
      </c>
      <c r="H746">
        <v>3</v>
      </c>
      <c r="I746">
        <v>652</v>
      </c>
      <c r="J746">
        <v>1963</v>
      </c>
      <c r="K746" s="4">
        <v>45627</v>
      </c>
      <c r="L746" t="s">
        <v>20</v>
      </c>
      <c r="M746" t="s">
        <v>76</v>
      </c>
      <c r="N746">
        <v>2.14</v>
      </c>
      <c r="O746">
        <v>1710</v>
      </c>
      <c r="P746">
        <v>1.51</v>
      </c>
      <c r="Q746">
        <v>300</v>
      </c>
      <c r="R746">
        <v>377</v>
      </c>
    </row>
    <row r="747" spans="1:18" hidden="1" x14ac:dyDescent="0.2">
      <c r="A747">
        <v>5</v>
      </c>
      <c r="B747" t="s">
        <v>91</v>
      </c>
      <c r="E747" t="s">
        <v>36</v>
      </c>
      <c r="F747">
        <v>426793</v>
      </c>
      <c r="G747">
        <v>3</v>
      </c>
      <c r="H747">
        <v>3</v>
      </c>
      <c r="I747">
        <v>622</v>
      </c>
      <c r="J747">
        <v>1960</v>
      </c>
      <c r="K747" s="4">
        <v>45597</v>
      </c>
      <c r="L747" t="s">
        <v>23</v>
      </c>
      <c r="M747" t="s">
        <v>66</v>
      </c>
      <c r="N747">
        <v>2.57</v>
      </c>
      <c r="O747">
        <v>2297</v>
      </c>
      <c r="P747">
        <v>4.5599999999999996</v>
      </c>
      <c r="Q747">
        <v>243</v>
      </c>
      <c r="R747">
        <v>479</v>
      </c>
    </row>
    <row r="748" spans="1:18" hidden="1" x14ac:dyDescent="0.2">
      <c r="A748">
        <v>5</v>
      </c>
      <c r="B748" t="s">
        <v>100</v>
      </c>
      <c r="E748" t="s">
        <v>29</v>
      </c>
      <c r="F748">
        <v>1474198</v>
      </c>
      <c r="G748">
        <v>4</v>
      </c>
      <c r="H748">
        <v>1</v>
      </c>
      <c r="I748">
        <v>922</v>
      </c>
      <c r="J748">
        <v>1952</v>
      </c>
      <c r="K748" s="4">
        <v>45475</v>
      </c>
      <c r="L748" t="s">
        <v>30</v>
      </c>
      <c r="M748" t="s">
        <v>58</v>
      </c>
      <c r="N748">
        <v>3.3</v>
      </c>
      <c r="O748">
        <v>1090</v>
      </c>
      <c r="P748">
        <v>0.23</v>
      </c>
      <c r="Q748">
        <v>316</v>
      </c>
      <c r="R748">
        <v>399</v>
      </c>
    </row>
    <row r="749" spans="1:18" hidden="1" x14ac:dyDescent="0.2">
      <c r="A749">
        <v>1</v>
      </c>
      <c r="B749" t="s">
        <v>71</v>
      </c>
      <c r="E749" t="s">
        <v>36</v>
      </c>
      <c r="F749">
        <v>2892171</v>
      </c>
      <c r="G749">
        <v>4</v>
      </c>
      <c r="H749">
        <v>1</v>
      </c>
      <c r="I749">
        <v>166</v>
      </c>
      <c r="J749">
        <v>1988</v>
      </c>
      <c r="K749" s="4">
        <v>44431</v>
      </c>
      <c r="L749" t="s">
        <v>20</v>
      </c>
      <c r="M749" t="s">
        <v>69</v>
      </c>
      <c r="N749">
        <v>3.22</v>
      </c>
      <c r="O749">
        <v>1538</v>
      </c>
      <c r="P749">
        <v>3.23</v>
      </c>
      <c r="Q749">
        <v>231</v>
      </c>
      <c r="R749">
        <v>393</v>
      </c>
    </row>
    <row r="750" spans="1:18" hidden="1" x14ac:dyDescent="0.2">
      <c r="A750">
        <v>7</v>
      </c>
      <c r="B750" t="s">
        <v>62</v>
      </c>
      <c r="E750" t="s">
        <v>29</v>
      </c>
      <c r="F750">
        <v>1917681</v>
      </c>
      <c r="G750">
        <v>2</v>
      </c>
      <c r="H750">
        <v>3</v>
      </c>
      <c r="I750">
        <v>524</v>
      </c>
      <c r="J750">
        <v>1997</v>
      </c>
      <c r="K750" s="4">
        <v>44130</v>
      </c>
      <c r="L750" t="s">
        <v>20</v>
      </c>
      <c r="M750" t="s">
        <v>76</v>
      </c>
      <c r="N750">
        <v>2.0099999999999998</v>
      </c>
      <c r="O750">
        <v>2289</v>
      </c>
      <c r="P750">
        <v>3.38</v>
      </c>
      <c r="Q750">
        <v>143</v>
      </c>
      <c r="R750">
        <v>646</v>
      </c>
    </row>
    <row r="751" spans="1:18" hidden="1" x14ac:dyDescent="0.2">
      <c r="A751">
        <v>4</v>
      </c>
      <c r="B751" t="s">
        <v>102</v>
      </c>
      <c r="E751" t="s">
        <v>29</v>
      </c>
      <c r="F751">
        <v>1038740</v>
      </c>
      <c r="G751">
        <v>1</v>
      </c>
      <c r="H751">
        <v>3</v>
      </c>
      <c r="I751">
        <v>201</v>
      </c>
      <c r="J751">
        <v>2006</v>
      </c>
      <c r="K751" s="4">
        <v>44822</v>
      </c>
      <c r="L751" t="s">
        <v>20</v>
      </c>
      <c r="M751" t="s">
        <v>35</v>
      </c>
      <c r="N751">
        <v>2.23</v>
      </c>
      <c r="O751">
        <v>1564</v>
      </c>
      <c r="P751">
        <v>1.79</v>
      </c>
      <c r="Q751">
        <v>108</v>
      </c>
      <c r="R751">
        <v>337</v>
      </c>
    </row>
    <row r="752" spans="1:18" hidden="1" x14ac:dyDescent="0.2">
      <c r="A752">
        <v>5</v>
      </c>
      <c r="B752" t="s">
        <v>87</v>
      </c>
      <c r="E752" t="s">
        <v>51</v>
      </c>
      <c r="F752">
        <v>2038625</v>
      </c>
      <c r="G752">
        <v>4</v>
      </c>
      <c r="H752">
        <v>1</v>
      </c>
      <c r="I752">
        <v>203</v>
      </c>
      <c r="J752">
        <v>2006</v>
      </c>
      <c r="K752" s="4">
        <v>44720</v>
      </c>
      <c r="L752" t="s">
        <v>30</v>
      </c>
      <c r="M752" t="s">
        <v>47</v>
      </c>
      <c r="N752">
        <v>1.64</v>
      </c>
      <c r="O752">
        <v>1584</v>
      </c>
      <c r="P752">
        <v>2.4700000000000002</v>
      </c>
      <c r="Q752">
        <v>174</v>
      </c>
      <c r="R752">
        <v>471</v>
      </c>
    </row>
    <row r="753" spans="1:18" hidden="1" x14ac:dyDescent="0.2">
      <c r="A753">
        <v>4</v>
      </c>
      <c r="B753" t="s">
        <v>73</v>
      </c>
      <c r="E753" t="s">
        <v>36</v>
      </c>
      <c r="F753">
        <v>1498162</v>
      </c>
      <c r="G753">
        <v>1</v>
      </c>
      <c r="H753">
        <v>3</v>
      </c>
      <c r="I753">
        <v>497</v>
      </c>
      <c r="J753">
        <v>1980</v>
      </c>
      <c r="K753" s="4">
        <v>44275</v>
      </c>
      <c r="L753" t="s">
        <v>30</v>
      </c>
      <c r="M753" t="s">
        <v>60</v>
      </c>
      <c r="N753">
        <v>2.38</v>
      </c>
      <c r="O753">
        <v>832</v>
      </c>
      <c r="P753">
        <v>4.96</v>
      </c>
      <c r="Q753">
        <v>62</v>
      </c>
      <c r="R753">
        <v>307</v>
      </c>
    </row>
    <row r="754" spans="1:18" x14ac:dyDescent="0.2">
      <c r="A754">
        <v>8</v>
      </c>
      <c r="B754" t="s">
        <v>46</v>
      </c>
      <c r="E754" t="s">
        <v>36</v>
      </c>
      <c r="F754">
        <v>2807269</v>
      </c>
      <c r="G754">
        <v>4</v>
      </c>
      <c r="H754">
        <v>3</v>
      </c>
      <c r="I754">
        <v>505</v>
      </c>
      <c r="J754">
        <v>1978</v>
      </c>
      <c r="K754" s="4">
        <v>45490</v>
      </c>
      <c r="L754" t="s">
        <v>20</v>
      </c>
      <c r="M754" t="s">
        <v>63</v>
      </c>
      <c r="N754">
        <v>2.15</v>
      </c>
      <c r="O754">
        <v>1117</v>
      </c>
      <c r="P754">
        <v>0.33</v>
      </c>
      <c r="Q754">
        <v>266</v>
      </c>
      <c r="R754">
        <v>591</v>
      </c>
    </row>
    <row r="755" spans="1:18" x14ac:dyDescent="0.2">
      <c r="A755">
        <v>8</v>
      </c>
      <c r="B755" t="s">
        <v>93</v>
      </c>
      <c r="E755" t="s">
        <v>36</v>
      </c>
      <c r="F755">
        <v>2368590</v>
      </c>
      <c r="G755">
        <v>2</v>
      </c>
      <c r="H755">
        <v>3</v>
      </c>
      <c r="I755">
        <v>819</v>
      </c>
      <c r="J755">
        <v>1973</v>
      </c>
      <c r="K755" s="4">
        <v>44845</v>
      </c>
      <c r="L755" t="s">
        <v>23</v>
      </c>
      <c r="M755" t="s">
        <v>77</v>
      </c>
      <c r="N755">
        <v>1.5</v>
      </c>
      <c r="O755">
        <v>2403</v>
      </c>
      <c r="P755">
        <v>0.71</v>
      </c>
      <c r="Q755">
        <v>89</v>
      </c>
      <c r="R755">
        <v>649</v>
      </c>
    </row>
    <row r="756" spans="1:18" x14ac:dyDescent="0.2">
      <c r="A756">
        <v>8</v>
      </c>
      <c r="B756" t="s">
        <v>102</v>
      </c>
      <c r="E756" t="s">
        <v>51</v>
      </c>
      <c r="F756">
        <v>2475314</v>
      </c>
      <c r="G756">
        <v>4</v>
      </c>
      <c r="H756">
        <v>3</v>
      </c>
      <c r="I756">
        <v>299</v>
      </c>
      <c r="J756">
        <v>2017</v>
      </c>
      <c r="K756" s="4">
        <v>44559</v>
      </c>
      <c r="L756" t="s">
        <v>30</v>
      </c>
      <c r="M756" t="s">
        <v>77</v>
      </c>
      <c r="N756">
        <v>3.36</v>
      </c>
      <c r="O756">
        <v>948</v>
      </c>
      <c r="P756">
        <v>3.83</v>
      </c>
      <c r="Q756">
        <v>280</v>
      </c>
      <c r="R756">
        <v>449</v>
      </c>
    </row>
    <row r="757" spans="1:18" hidden="1" x14ac:dyDescent="0.2">
      <c r="A757">
        <v>9</v>
      </c>
      <c r="B757" t="s">
        <v>73</v>
      </c>
      <c r="E757" t="s">
        <v>29</v>
      </c>
      <c r="F757">
        <v>2667367</v>
      </c>
      <c r="G757">
        <v>2</v>
      </c>
      <c r="H757">
        <v>3</v>
      </c>
      <c r="I757">
        <v>500</v>
      </c>
      <c r="J757">
        <v>1983</v>
      </c>
      <c r="K757" s="4">
        <v>44413</v>
      </c>
      <c r="L757" t="s">
        <v>20</v>
      </c>
      <c r="M757" t="s">
        <v>45</v>
      </c>
      <c r="N757">
        <v>1.8</v>
      </c>
      <c r="O757">
        <v>1030</v>
      </c>
      <c r="P757">
        <v>3.07</v>
      </c>
      <c r="Q757">
        <v>81</v>
      </c>
      <c r="R757">
        <v>605</v>
      </c>
    </row>
    <row r="758" spans="1:18" hidden="1" x14ac:dyDescent="0.2">
      <c r="A758">
        <v>9</v>
      </c>
      <c r="B758" t="s">
        <v>64</v>
      </c>
      <c r="E758" t="s">
        <v>36</v>
      </c>
      <c r="F758">
        <v>1994106</v>
      </c>
      <c r="G758">
        <v>0</v>
      </c>
      <c r="H758">
        <v>3</v>
      </c>
      <c r="I758">
        <v>708</v>
      </c>
      <c r="J758">
        <v>2016</v>
      </c>
      <c r="K758" s="4">
        <v>44896</v>
      </c>
      <c r="L758" t="s">
        <v>30</v>
      </c>
      <c r="M758" t="s">
        <v>31</v>
      </c>
      <c r="N758">
        <v>2.61</v>
      </c>
      <c r="O758">
        <v>1455</v>
      </c>
      <c r="P758">
        <v>0.65</v>
      </c>
      <c r="Q758">
        <v>78</v>
      </c>
      <c r="R758">
        <v>426</v>
      </c>
    </row>
    <row r="759" spans="1:18" hidden="1" x14ac:dyDescent="0.2">
      <c r="A759">
        <v>3</v>
      </c>
      <c r="B759" t="s">
        <v>32</v>
      </c>
      <c r="E759" t="s">
        <v>29</v>
      </c>
      <c r="F759">
        <v>2485206</v>
      </c>
      <c r="G759">
        <v>1</v>
      </c>
      <c r="H759">
        <v>3</v>
      </c>
      <c r="I759">
        <v>98</v>
      </c>
      <c r="J759">
        <v>1960</v>
      </c>
      <c r="K759" s="4">
        <v>44382</v>
      </c>
      <c r="L759" t="s">
        <v>26</v>
      </c>
      <c r="M759" t="s">
        <v>58</v>
      </c>
      <c r="N759">
        <v>3.29</v>
      </c>
      <c r="O759">
        <v>2259</v>
      </c>
      <c r="P759">
        <v>4.17</v>
      </c>
      <c r="Q759">
        <v>49</v>
      </c>
      <c r="R759">
        <v>453</v>
      </c>
    </row>
    <row r="760" spans="1:18" hidden="1" x14ac:dyDescent="0.2">
      <c r="A760">
        <v>5</v>
      </c>
      <c r="B760" t="s">
        <v>49</v>
      </c>
      <c r="E760" t="s">
        <v>51</v>
      </c>
      <c r="F760">
        <v>1506847</v>
      </c>
      <c r="G760">
        <v>5</v>
      </c>
      <c r="H760">
        <v>2</v>
      </c>
      <c r="I760">
        <v>849</v>
      </c>
      <c r="J760">
        <v>1956</v>
      </c>
      <c r="K760" s="4">
        <v>45774</v>
      </c>
      <c r="L760" t="s">
        <v>30</v>
      </c>
      <c r="M760" t="s">
        <v>85</v>
      </c>
      <c r="N760">
        <v>2.2599999999999998</v>
      </c>
      <c r="O760">
        <v>1994</v>
      </c>
      <c r="P760">
        <v>0.43</v>
      </c>
      <c r="Q760">
        <v>333</v>
      </c>
      <c r="R760">
        <v>564</v>
      </c>
    </row>
    <row r="761" spans="1:18" hidden="1" x14ac:dyDescent="0.2">
      <c r="A761">
        <v>5</v>
      </c>
      <c r="B761" t="s">
        <v>90</v>
      </c>
      <c r="E761" t="s">
        <v>51</v>
      </c>
      <c r="F761">
        <v>729587</v>
      </c>
      <c r="G761">
        <v>3</v>
      </c>
      <c r="H761">
        <v>3</v>
      </c>
      <c r="I761">
        <v>96</v>
      </c>
      <c r="J761">
        <v>1987</v>
      </c>
      <c r="K761" s="4">
        <v>45774</v>
      </c>
      <c r="L761" t="s">
        <v>26</v>
      </c>
      <c r="M761" t="s">
        <v>70</v>
      </c>
      <c r="N761">
        <v>3.22</v>
      </c>
      <c r="O761">
        <v>1473</v>
      </c>
      <c r="P761">
        <v>0.32</v>
      </c>
      <c r="Q761">
        <v>281</v>
      </c>
      <c r="R761">
        <v>489</v>
      </c>
    </row>
    <row r="762" spans="1:18" hidden="1" x14ac:dyDescent="0.2">
      <c r="A762">
        <v>9</v>
      </c>
      <c r="B762" t="s">
        <v>91</v>
      </c>
      <c r="E762" t="s">
        <v>29</v>
      </c>
      <c r="F762">
        <v>2323859</v>
      </c>
      <c r="G762">
        <v>4</v>
      </c>
      <c r="H762">
        <v>3</v>
      </c>
      <c r="I762">
        <v>913</v>
      </c>
      <c r="J762">
        <v>1950</v>
      </c>
      <c r="K762" s="4">
        <v>45176</v>
      </c>
      <c r="L762" t="s">
        <v>20</v>
      </c>
      <c r="M762" t="s">
        <v>76</v>
      </c>
      <c r="N762">
        <v>2.27</v>
      </c>
      <c r="O762">
        <v>2104</v>
      </c>
      <c r="P762">
        <v>0.81</v>
      </c>
      <c r="Q762">
        <v>282</v>
      </c>
      <c r="R762">
        <v>387</v>
      </c>
    </row>
    <row r="763" spans="1:18" hidden="1" x14ac:dyDescent="0.2">
      <c r="A763">
        <v>4</v>
      </c>
      <c r="B763" t="s">
        <v>102</v>
      </c>
      <c r="E763" t="s">
        <v>36</v>
      </c>
      <c r="F763">
        <v>589377</v>
      </c>
      <c r="G763">
        <v>6</v>
      </c>
      <c r="H763">
        <v>1</v>
      </c>
      <c r="I763">
        <v>598</v>
      </c>
      <c r="J763">
        <v>1967</v>
      </c>
      <c r="K763" s="4">
        <v>44621</v>
      </c>
      <c r="L763" t="s">
        <v>20</v>
      </c>
      <c r="M763" t="s">
        <v>56</v>
      </c>
      <c r="N763">
        <v>2.58</v>
      </c>
      <c r="O763">
        <v>2305</v>
      </c>
      <c r="P763">
        <v>2.16</v>
      </c>
      <c r="Q763">
        <v>332</v>
      </c>
      <c r="R763">
        <v>432</v>
      </c>
    </row>
    <row r="764" spans="1:18" x14ac:dyDescent="0.2">
      <c r="A764">
        <v>8</v>
      </c>
      <c r="B764" t="s">
        <v>106</v>
      </c>
      <c r="E764" t="s">
        <v>29</v>
      </c>
      <c r="F764">
        <v>2614176</v>
      </c>
      <c r="G764">
        <v>3</v>
      </c>
      <c r="H764">
        <v>2</v>
      </c>
      <c r="I764">
        <v>724</v>
      </c>
      <c r="J764">
        <v>1986</v>
      </c>
      <c r="K764" s="4">
        <v>44434</v>
      </c>
      <c r="L764" t="s">
        <v>26</v>
      </c>
      <c r="M764" t="s">
        <v>82</v>
      </c>
      <c r="N764">
        <v>3.47</v>
      </c>
      <c r="O764">
        <v>1651</v>
      </c>
      <c r="P764">
        <v>1.1000000000000001</v>
      </c>
      <c r="Q764">
        <v>86</v>
      </c>
      <c r="R764">
        <v>620</v>
      </c>
    </row>
    <row r="765" spans="1:18" hidden="1" x14ac:dyDescent="0.2">
      <c r="A765">
        <v>4</v>
      </c>
      <c r="B765" t="s">
        <v>91</v>
      </c>
      <c r="E765" t="s">
        <v>19</v>
      </c>
      <c r="F765">
        <v>1026717</v>
      </c>
      <c r="G765">
        <v>5</v>
      </c>
      <c r="H765">
        <v>1</v>
      </c>
      <c r="I765">
        <v>0</v>
      </c>
      <c r="J765">
        <v>1975</v>
      </c>
      <c r="K765" s="4">
        <v>44228</v>
      </c>
      <c r="L765" t="s">
        <v>20</v>
      </c>
      <c r="M765" t="s">
        <v>89</v>
      </c>
      <c r="N765">
        <v>2.1800000000000002</v>
      </c>
      <c r="O765">
        <v>1362</v>
      </c>
      <c r="P765">
        <v>2.74</v>
      </c>
      <c r="Q765">
        <v>67</v>
      </c>
      <c r="R765">
        <v>368</v>
      </c>
    </row>
    <row r="766" spans="1:18" x14ac:dyDescent="0.2">
      <c r="A766">
        <v>8</v>
      </c>
      <c r="B766" t="s">
        <v>61</v>
      </c>
      <c r="E766" t="s">
        <v>51</v>
      </c>
      <c r="F766">
        <v>1746840</v>
      </c>
      <c r="G766">
        <v>4</v>
      </c>
      <c r="H766">
        <v>3</v>
      </c>
      <c r="I766">
        <v>555</v>
      </c>
      <c r="J766">
        <v>1984</v>
      </c>
      <c r="K766" s="4">
        <v>44626</v>
      </c>
      <c r="L766" t="s">
        <v>26</v>
      </c>
      <c r="M766" t="s">
        <v>69</v>
      </c>
      <c r="N766">
        <v>2.0099999999999998</v>
      </c>
      <c r="O766">
        <v>1311</v>
      </c>
      <c r="P766">
        <v>2.68</v>
      </c>
      <c r="Q766">
        <v>163</v>
      </c>
      <c r="R766">
        <v>409</v>
      </c>
    </row>
    <row r="767" spans="1:18" hidden="1" x14ac:dyDescent="0.2">
      <c r="A767">
        <v>6</v>
      </c>
      <c r="B767" t="s">
        <v>32</v>
      </c>
      <c r="E767" t="s">
        <v>29</v>
      </c>
      <c r="F767">
        <v>1154942</v>
      </c>
      <c r="G767">
        <v>5</v>
      </c>
      <c r="H767">
        <v>2</v>
      </c>
      <c r="I767">
        <v>240</v>
      </c>
      <c r="J767">
        <v>1992</v>
      </c>
      <c r="K767" s="4">
        <v>44261</v>
      </c>
      <c r="L767" t="s">
        <v>20</v>
      </c>
      <c r="M767" t="s">
        <v>82</v>
      </c>
      <c r="N767">
        <v>1.88</v>
      </c>
      <c r="O767">
        <v>2225</v>
      </c>
      <c r="P767">
        <v>1.34</v>
      </c>
      <c r="Q767">
        <v>248</v>
      </c>
      <c r="R767">
        <v>302</v>
      </c>
    </row>
    <row r="768" spans="1:18" hidden="1" x14ac:dyDescent="0.2">
      <c r="A768">
        <v>5</v>
      </c>
      <c r="B768" t="s">
        <v>34</v>
      </c>
      <c r="E768" t="s">
        <v>19</v>
      </c>
      <c r="F768">
        <v>1151557</v>
      </c>
      <c r="G768">
        <v>6</v>
      </c>
      <c r="H768">
        <v>2</v>
      </c>
      <c r="I768">
        <v>264</v>
      </c>
      <c r="J768">
        <v>1997</v>
      </c>
      <c r="K768" s="4">
        <v>44762</v>
      </c>
      <c r="L768" t="s">
        <v>23</v>
      </c>
      <c r="M768" t="s">
        <v>33</v>
      </c>
      <c r="N768">
        <v>1.85</v>
      </c>
      <c r="O768">
        <v>2147</v>
      </c>
      <c r="P768">
        <v>0.3</v>
      </c>
      <c r="Q768">
        <v>368</v>
      </c>
      <c r="R768">
        <v>509</v>
      </c>
    </row>
    <row r="769" spans="1:18" hidden="1" x14ac:dyDescent="0.2">
      <c r="A769">
        <v>1</v>
      </c>
      <c r="B769" t="s">
        <v>87</v>
      </c>
      <c r="E769" t="s">
        <v>29</v>
      </c>
      <c r="F769">
        <v>918248</v>
      </c>
      <c r="G769">
        <v>2</v>
      </c>
      <c r="H769">
        <v>1</v>
      </c>
      <c r="I769">
        <v>172</v>
      </c>
      <c r="J769">
        <v>1984</v>
      </c>
      <c r="K769" s="4">
        <v>44125</v>
      </c>
      <c r="L769" t="s">
        <v>30</v>
      </c>
      <c r="M769" t="s">
        <v>24</v>
      </c>
      <c r="N769">
        <v>2.92</v>
      </c>
      <c r="O769">
        <v>1436</v>
      </c>
      <c r="P769">
        <v>2.6</v>
      </c>
      <c r="Q769">
        <v>120</v>
      </c>
      <c r="R769">
        <v>645</v>
      </c>
    </row>
    <row r="770" spans="1:18" hidden="1" x14ac:dyDescent="0.2">
      <c r="A770">
        <v>2</v>
      </c>
      <c r="B770" t="s">
        <v>62</v>
      </c>
      <c r="E770" t="s">
        <v>36</v>
      </c>
      <c r="F770">
        <v>1549610</v>
      </c>
      <c r="G770">
        <v>5</v>
      </c>
      <c r="H770">
        <v>2</v>
      </c>
      <c r="I770">
        <v>748</v>
      </c>
      <c r="J770">
        <v>1966</v>
      </c>
      <c r="K770" s="4">
        <v>45794</v>
      </c>
      <c r="L770" t="s">
        <v>26</v>
      </c>
      <c r="M770" t="s">
        <v>78</v>
      </c>
      <c r="N770">
        <v>2.36</v>
      </c>
      <c r="O770">
        <v>2500</v>
      </c>
      <c r="P770">
        <v>2.86</v>
      </c>
      <c r="Q770">
        <v>339</v>
      </c>
      <c r="R770">
        <v>416</v>
      </c>
    </row>
    <row r="771" spans="1:18" hidden="1" x14ac:dyDescent="0.2">
      <c r="A771">
        <v>1</v>
      </c>
      <c r="B771" t="s">
        <v>93</v>
      </c>
      <c r="E771" t="s">
        <v>19</v>
      </c>
      <c r="F771">
        <v>2358578</v>
      </c>
      <c r="G771">
        <v>2</v>
      </c>
      <c r="H771">
        <v>2</v>
      </c>
      <c r="I771">
        <v>289</v>
      </c>
      <c r="J771">
        <v>1973</v>
      </c>
      <c r="K771" s="4">
        <v>45677</v>
      </c>
      <c r="L771" t="s">
        <v>20</v>
      </c>
      <c r="M771" t="s">
        <v>54</v>
      </c>
      <c r="N771">
        <v>3.23</v>
      </c>
      <c r="O771">
        <v>1418</v>
      </c>
      <c r="P771">
        <v>0.59</v>
      </c>
      <c r="Q771">
        <v>215</v>
      </c>
      <c r="R771">
        <v>698</v>
      </c>
    </row>
    <row r="772" spans="1:18" hidden="1" x14ac:dyDescent="0.2">
      <c r="A772">
        <v>7</v>
      </c>
      <c r="B772" t="s">
        <v>104</v>
      </c>
      <c r="E772" t="s">
        <v>36</v>
      </c>
      <c r="F772">
        <v>1607751</v>
      </c>
      <c r="G772">
        <v>5</v>
      </c>
      <c r="H772">
        <v>3</v>
      </c>
      <c r="I772">
        <v>66</v>
      </c>
      <c r="J772">
        <v>1956</v>
      </c>
      <c r="K772" s="4">
        <v>45823</v>
      </c>
      <c r="L772" t="s">
        <v>23</v>
      </c>
      <c r="M772" t="s">
        <v>82</v>
      </c>
      <c r="N772">
        <v>2.71</v>
      </c>
      <c r="O772">
        <v>822</v>
      </c>
      <c r="P772">
        <v>2.27</v>
      </c>
      <c r="Q772">
        <v>253</v>
      </c>
      <c r="R772">
        <v>438</v>
      </c>
    </row>
    <row r="773" spans="1:18" hidden="1" x14ac:dyDescent="0.2">
      <c r="A773">
        <v>2</v>
      </c>
      <c r="B773" t="s">
        <v>61</v>
      </c>
      <c r="E773" t="s">
        <v>36</v>
      </c>
      <c r="F773">
        <v>2540038</v>
      </c>
      <c r="G773">
        <v>2</v>
      </c>
      <c r="H773">
        <v>1</v>
      </c>
      <c r="I773">
        <v>308</v>
      </c>
      <c r="J773">
        <v>1976</v>
      </c>
      <c r="K773" s="4">
        <v>45064</v>
      </c>
      <c r="L773" t="s">
        <v>26</v>
      </c>
      <c r="M773" t="s">
        <v>33</v>
      </c>
      <c r="N773">
        <v>2.13</v>
      </c>
      <c r="O773">
        <v>1396</v>
      </c>
      <c r="P773">
        <v>4.79</v>
      </c>
      <c r="Q773">
        <v>56</v>
      </c>
      <c r="R773">
        <v>509</v>
      </c>
    </row>
    <row r="774" spans="1:18" hidden="1" x14ac:dyDescent="0.2">
      <c r="A774">
        <v>2</v>
      </c>
      <c r="B774" t="s">
        <v>80</v>
      </c>
      <c r="E774" t="s">
        <v>51</v>
      </c>
      <c r="F774">
        <v>1811060</v>
      </c>
      <c r="G774">
        <v>6</v>
      </c>
      <c r="H774">
        <v>1</v>
      </c>
      <c r="I774">
        <v>294</v>
      </c>
      <c r="J774">
        <v>2001</v>
      </c>
      <c r="K774" s="4">
        <v>44575</v>
      </c>
      <c r="L774" t="s">
        <v>20</v>
      </c>
      <c r="M774" t="s">
        <v>47</v>
      </c>
      <c r="N774">
        <v>2.08</v>
      </c>
      <c r="O774">
        <v>1141</v>
      </c>
      <c r="P774">
        <v>4.84</v>
      </c>
      <c r="Q774">
        <v>360</v>
      </c>
      <c r="R774">
        <v>486</v>
      </c>
    </row>
    <row r="775" spans="1:18" hidden="1" x14ac:dyDescent="0.2">
      <c r="A775">
        <v>0</v>
      </c>
      <c r="B775" t="s">
        <v>86</v>
      </c>
      <c r="E775" t="s">
        <v>36</v>
      </c>
      <c r="F775">
        <v>599369</v>
      </c>
      <c r="G775">
        <v>3</v>
      </c>
      <c r="H775">
        <v>3</v>
      </c>
      <c r="I775">
        <v>334</v>
      </c>
      <c r="J775">
        <v>1962</v>
      </c>
      <c r="K775" s="4">
        <v>45116</v>
      </c>
      <c r="L775" t="s">
        <v>26</v>
      </c>
      <c r="M775" t="s">
        <v>66</v>
      </c>
      <c r="N775">
        <v>2.42</v>
      </c>
      <c r="O775">
        <v>1244</v>
      </c>
      <c r="P775">
        <v>3.93</v>
      </c>
      <c r="Q775">
        <v>266</v>
      </c>
      <c r="R775">
        <v>626</v>
      </c>
    </row>
    <row r="776" spans="1:18" hidden="1" x14ac:dyDescent="0.2">
      <c r="A776">
        <v>4</v>
      </c>
      <c r="B776" t="s">
        <v>102</v>
      </c>
      <c r="E776" t="s">
        <v>51</v>
      </c>
      <c r="F776">
        <v>2302910</v>
      </c>
      <c r="G776">
        <v>1</v>
      </c>
      <c r="H776">
        <v>2</v>
      </c>
      <c r="I776">
        <v>828</v>
      </c>
      <c r="J776">
        <v>2009</v>
      </c>
      <c r="K776" s="4">
        <v>44855</v>
      </c>
      <c r="L776" t="s">
        <v>23</v>
      </c>
      <c r="M776" t="s">
        <v>45</v>
      </c>
      <c r="N776">
        <v>1.82</v>
      </c>
      <c r="O776">
        <v>1888</v>
      </c>
      <c r="P776">
        <v>0.25</v>
      </c>
      <c r="Q776">
        <v>80</v>
      </c>
      <c r="R776">
        <v>668</v>
      </c>
    </row>
    <row r="777" spans="1:18" hidden="1" x14ac:dyDescent="0.2">
      <c r="A777">
        <v>6</v>
      </c>
      <c r="B777" t="s">
        <v>92</v>
      </c>
      <c r="E777" t="s">
        <v>19</v>
      </c>
      <c r="F777">
        <v>414335</v>
      </c>
      <c r="G777">
        <v>5</v>
      </c>
      <c r="H777">
        <v>3</v>
      </c>
      <c r="I777">
        <v>620</v>
      </c>
      <c r="J777">
        <v>2011</v>
      </c>
      <c r="K777" s="4">
        <v>45051</v>
      </c>
      <c r="L777" t="s">
        <v>20</v>
      </c>
      <c r="M777" t="s">
        <v>77</v>
      </c>
      <c r="N777">
        <v>2.25</v>
      </c>
      <c r="O777">
        <v>2178</v>
      </c>
      <c r="P777">
        <v>2.85</v>
      </c>
      <c r="Q777">
        <v>394</v>
      </c>
      <c r="R777">
        <v>356</v>
      </c>
    </row>
    <row r="778" spans="1:18" hidden="1" x14ac:dyDescent="0.2">
      <c r="A778">
        <v>7</v>
      </c>
      <c r="B778" t="s">
        <v>71</v>
      </c>
      <c r="E778" t="s">
        <v>19</v>
      </c>
      <c r="F778">
        <v>818918</v>
      </c>
      <c r="G778">
        <v>4</v>
      </c>
      <c r="H778">
        <v>3</v>
      </c>
      <c r="I778">
        <v>81</v>
      </c>
      <c r="J778">
        <v>1996</v>
      </c>
      <c r="K778" s="4">
        <v>44718</v>
      </c>
      <c r="L778" t="s">
        <v>30</v>
      </c>
      <c r="M778" t="s">
        <v>56</v>
      </c>
      <c r="N778">
        <v>2.59</v>
      </c>
      <c r="O778">
        <v>1728</v>
      </c>
      <c r="P778">
        <v>4.83</v>
      </c>
      <c r="Q778">
        <v>183</v>
      </c>
      <c r="R778">
        <v>659</v>
      </c>
    </row>
    <row r="779" spans="1:18" hidden="1" x14ac:dyDescent="0.2">
      <c r="A779">
        <v>5</v>
      </c>
      <c r="B779" t="s">
        <v>22</v>
      </c>
      <c r="E779" t="s">
        <v>29</v>
      </c>
      <c r="F779">
        <v>2283075</v>
      </c>
      <c r="G779">
        <v>5</v>
      </c>
      <c r="H779">
        <v>3</v>
      </c>
      <c r="I779">
        <v>506</v>
      </c>
      <c r="J779">
        <v>1969</v>
      </c>
      <c r="K779" s="4">
        <v>45552</v>
      </c>
      <c r="L779" t="s">
        <v>20</v>
      </c>
      <c r="M779" t="s">
        <v>24</v>
      </c>
      <c r="N779">
        <v>2.58</v>
      </c>
      <c r="O779">
        <v>2201</v>
      </c>
      <c r="P779">
        <v>2.02</v>
      </c>
      <c r="Q779">
        <v>353</v>
      </c>
      <c r="R779">
        <v>417</v>
      </c>
    </row>
    <row r="780" spans="1:18" hidden="1" x14ac:dyDescent="0.2">
      <c r="A780">
        <v>9</v>
      </c>
      <c r="B780" t="s">
        <v>32</v>
      </c>
      <c r="E780" t="s">
        <v>29</v>
      </c>
      <c r="F780">
        <v>1899144</v>
      </c>
      <c r="G780">
        <v>2</v>
      </c>
      <c r="H780">
        <v>3</v>
      </c>
      <c r="I780">
        <v>473</v>
      </c>
      <c r="J780">
        <v>1959</v>
      </c>
      <c r="K780" s="4">
        <v>44920</v>
      </c>
      <c r="L780" t="s">
        <v>23</v>
      </c>
      <c r="M780" t="s">
        <v>63</v>
      </c>
      <c r="N780">
        <v>2.87</v>
      </c>
      <c r="O780">
        <v>2218</v>
      </c>
      <c r="P780">
        <v>2.74</v>
      </c>
      <c r="Q780">
        <v>119</v>
      </c>
      <c r="R780">
        <v>563</v>
      </c>
    </row>
    <row r="781" spans="1:18" hidden="1" x14ac:dyDescent="0.2">
      <c r="A781">
        <v>2</v>
      </c>
      <c r="B781" t="s">
        <v>86</v>
      </c>
      <c r="E781" t="s">
        <v>36</v>
      </c>
      <c r="F781">
        <v>910711</v>
      </c>
      <c r="G781">
        <v>3</v>
      </c>
      <c r="H781">
        <v>1</v>
      </c>
      <c r="I781">
        <v>877</v>
      </c>
      <c r="J781">
        <v>1979</v>
      </c>
      <c r="K781" s="4">
        <v>44267</v>
      </c>
      <c r="L781" t="s">
        <v>26</v>
      </c>
      <c r="M781" t="s">
        <v>42</v>
      </c>
      <c r="N781">
        <v>2.08</v>
      </c>
      <c r="O781">
        <v>1916</v>
      </c>
      <c r="P781">
        <v>4.3899999999999997</v>
      </c>
      <c r="Q781">
        <v>261</v>
      </c>
      <c r="R781">
        <v>672</v>
      </c>
    </row>
    <row r="782" spans="1:18" hidden="1" x14ac:dyDescent="0.2">
      <c r="A782">
        <v>2</v>
      </c>
      <c r="B782" t="s">
        <v>25</v>
      </c>
      <c r="E782" t="s">
        <v>36</v>
      </c>
      <c r="F782">
        <v>2480109</v>
      </c>
      <c r="G782">
        <v>4</v>
      </c>
      <c r="H782">
        <v>3</v>
      </c>
      <c r="I782">
        <v>720</v>
      </c>
      <c r="J782">
        <v>1970</v>
      </c>
      <c r="K782" s="4">
        <v>45510</v>
      </c>
      <c r="L782" t="s">
        <v>23</v>
      </c>
      <c r="M782" t="s">
        <v>56</v>
      </c>
      <c r="N782">
        <v>2.36</v>
      </c>
      <c r="O782">
        <v>1478</v>
      </c>
      <c r="P782">
        <v>0.92</v>
      </c>
      <c r="Q782">
        <v>242</v>
      </c>
      <c r="R782">
        <v>406</v>
      </c>
    </row>
    <row r="783" spans="1:18" hidden="1" x14ac:dyDescent="0.2">
      <c r="A783">
        <v>5</v>
      </c>
      <c r="B783" t="s">
        <v>104</v>
      </c>
      <c r="E783" t="s">
        <v>29</v>
      </c>
      <c r="F783">
        <v>1532191</v>
      </c>
      <c r="G783">
        <v>5</v>
      </c>
      <c r="H783">
        <v>1</v>
      </c>
      <c r="I783">
        <v>183</v>
      </c>
      <c r="J783">
        <v>1956</v>
      </c>
      <c r="K783" s="4">
        <v>44124</v>
      </c>
      <c r="L783" t="s">
        <v>20</v>
      </c>
      <c r="M783" t="s">
        <v>85</v>
      </c>
      <c r="N783">
        <v>1.81</v>
      </c>
      <c r="O783">
        <v>1913</v>
      </c>
      <c r="P783">
        <v>0.74</v>
      </c>
      <c r="Q783">
        <v>328</v>
      </c>
      <c r="R783">
        <v>547</v>
      </c>
    </row>
    <row r="784" spans="1:18" hidden="1" x14ac:dyDescent="0.2">
      <c r="A784">
        <v>9</v>
      </c>
      <c r="B784" t="s">
        <v>84</v>
      </c>
      <c r="E784" t="s">
        <v>29</v>
      </c>
      <c r="F784">
        <v>1007562</v>
      </c>
      <c r="G784">
        <v>2</v>
      </c>
      <c r="H784">
        <v>1</v>
      </c>
      <c r="I784">
        <v>488</v>
      </c>
      <c r="J784">
        <v>2004</v>
      </c>
      <c r="K784" s="4">
        <v>44815</v>
      </c>
      <c r="L784" t="s">
        <v>20</v>
      </c>
      <c r="M784" t="s">
        <v>63</v>
      </c>
      <c r="N784">
        <v>2.4500000000000002</v>
      </c>
      <c r="O784">
        <v>2311</v>
      </c>
      <c r="P784">
        <v>2.72</v>
      </c>
      <c r="Q784">
        <v>146</v>
      </c>
      <c r="R784">
        <v>574</v>
      </c>
    </row>
    <row r="785" spans="1:18" hidden="1" x14ac:dyDescent="0.2">
      <c r="A785">
        <v>7</v>
      </c>
      <c r="B785" t="s">
        <v>25</v>
      </c>
      <c r="E785" t="s">
        <v>36</v>
      </c>
      <c r="F785">
        <v>2342295</v>
      </c>
      <c r="G785">
        <v>2</v>
      </c>
      <c r="H785">
        <v>2</v>
      </c>
      <c r="I785">
        <v>354</v>
      </c>
      <c r="J785">
        <v>2010</v>
      </c>
      <c r="K785" s="4">
        <v>44882</v>
      </c>
      <c r="L785" t="s">
        <v>26</v>
      </c>
      <c r="M785" t="s">
        <v>63</v>
      </c>
      <c r="N785">
        <v>3.49</v>
      </c>
      <c r="O785">
        <v>1904</v>
      </c>
      <c r="P785">
        <v>3.17</v>
      </c>
      <c r="Q785">
        <v>95</v>
      </c>
      <c r="R785">
        <v>379</v>
      </c>
    </row>
    <row r="786" spans="1:18" hidden="1" x14ac:dyDescent="0.2">
      <c r="A786">
        <v>0</v>
      </c>
      <c r="B786" t="s">
        <v>41</v>
      </c>
      <c r="E786" t="s">
        <v>29</v>
      </c>
      <c r="F786">
        <v>2998250</v>
      </c>
      <c r="G786">
        <v>2</v>
      </c>
      <c r="H786">
        <v>2</v>
      </c>
      <c r="I786">
        <v>431</v>
      </c>
      <c r="J786">
        <v>1995</v>
      </c>
      <c r="K786" s="4">
        <v>45247</v>
      </c>
      <c r="L786" t="s">
        <v>30</v>
      </c>
      <c r="M786" t="s">
        <v>77</v>
      </c>
      <c r="N786">
        <v>2.86</v>
      </c>
      <c r="O786">
        <v>1875</v>
      </c>
      <c r="P786">
        <v>2.2999999999999998</v>
      </c>
      <c r="Q786">
        <v>88</v>
      </c>
      <c r="R786">
        <v>700</v>
      </c>
    </row>
    <row r="787" spans="1:18" hidden="1" x14ac:dyDescent="0.2">
      <c r="A787">
        <v>0</v>
      </c>
      <c r="B787" t="s">
        <v>72</v>
      </c>
      <c r="E787" t="s">
        <v>19</v>
      </c>
      <c r="F787">
        <v>2375439</v>
      </c>
      <c r="G787">
        <v>2</v>
      </c>
      <c r="H787">
        <v>2</v>
      </c>
      <c r="I787">
        <v>538</v>
      </c>
      <c r="J787">
        <v>2018</v>
      </c>
      <c r="K787" s="4">
        <v>45273</v>
      </c>
      <c r="L787" t="s">
        <v>26</v>
      </c>
      <c r="M787" t="s">
        <v>68</v>
      </c>
      <c r="N787">
        <v>2.4500000000000002</v>
      </c>
      <c r="O787">
        <v>936</v>
      </c>
      <c r="P787">
        <v>2.2999999999999998</v>
      </c>
      <c r="Q787">
        <v>225</v>
      </c>
      <c r="R787">
        <v>544</v>
      </c>
    </row>
    <row r="788" spans="1:18" x14ac:dyDescent="0.2">
      <c r="A788">
        <v>8</v>
      </c>
      <c r="B788" t="s">
        <v>22</v>
      </c>
      <c r="E788" t="s">
        <v>51</v>
      </c>
      <c r="F788">
        <v>626405</v>
      </c>
      <c r="G788">
        <v>5</v>
      </c>
      <c r="H788">
        <v>3</v>
      </c>
      <c r="I788">
        <v>367</v>
      </c>
      <c r="J788">
        <v>1959</v>
      </c>
      <c r="K788" s="4">
        <v>45653</v>
      </c>
      <c r="L788" t="s">
        <v>20</v>
      </c>
      <c r="M788" t="s">
        <v>24</v>
      </c>
      <c r="N788">
        <v>2.2400000000000002</v>
      </c>
      <c r="O788">
        <v>2245</v>
      </c>
      <c r="P788">
        <v>4.4000000000000004</v>
      </c>
      <c r="Q788">
        <v>368</v>
      </c>
      <c r="R788">
        <v>331</v>
      </c>
    </row>
    <row r="789" spans="1:18" hidden="1" x14ac:dyDescent="0.2">
      <c r="A789">
        <v>3</v>
      </c>
      <c r="B789" t="s">
        <v>95</v>
      </c>
      <c r="E789" t="s">
        <v>19</v>
      </c>
      <c r="F789">
        <v>641218</v>
      </c>
      <c r="G789">
        <v>2</v>
      </c>
      <c r="H789">
        <v>2</v>
      </c>
      <c r="I789">
        <v>402</v>
      </c>
      <c r="J789">
        <v>1995</v>
      </c>
      <c r="K789" s="4">
        <v>45749</v>
      </c>
      <c r="L789" t="s">
        <v>30</v>
      </c>
      <c r="M789" t="s">
        <v>89</v>
      </c>
      <c r="N789">
        <v>3.36</v>
      </c>
      <c r="O789">
        <v>1899</v>
      </c>
      <c r="P789">
        <v>4.96</v>
      </c>
      <c r="Q789">
        <v>62</v>
      </c>
      <c r="R789">
        <v>579</v>
      </c>
    </row>
    <row r="790" spans="1:18" x14ac:dyDescent="0.2">
      <c r="A790">
        <v>8</v>
      </c>
      <c r="B790" t="s">
        <v>104</v>
      </c>
      <c r="E790" t="s">
        <v>29</v>
      </c>
      <c r="F790">
        <v>1285009</v>
      </c>
      <c r="G790">
        <v>6</v>
      </c>
      <c r="H790">
        <v>3</v>
      </c>
      <c r="I790">
        <v>717</v>
      </c>
      <c r="J790">
        <v>1962</v>
      </c>
      <c r="K790" s="4">
        <v>45819</v>
      </c>
      <c r="L790" t="s">
        <v>23</v>
      </c>
      <c r="M790" t="s">
        <v>89</v>
      </c>
      <c r="N790">
        <v>3.36</v>
      </c>
      <c r="O790">
        <v>1713</v>
      </c>
      <c r="P790">
        <v>0.94</v>
      </c>
      <c r="Q790">
        <v>342</v>
      </c>
      <c r="R790">
        <v>654</v>
      </c>
    </row>
    <row r="791" spans="1:18" hidden="1" x14ac:dyDescent="0.2">
      <c r="A791">
        <v>5</v>
      </c>
      <c r="B791" t="s">
        <v>91</v>
      </c>
      <c r="E791" t="s">
        <v>51</v>
      </c>
      <c r="F791">
        <v>520330</v>
      </c>
      <c r="G791">
        <v>3</v>
      </c>
      <c r="H791">
        <v>3</v>
      </c>
      <c r="I791">
        <v>729</v>
      </c>
      <c r="J791">
        <v>1966</v>
      </c>
      <c r="K791" s="4">
        <v>44370</v>
      </c>
      <c r="L791" t="s">
        <v>23</v>
      </c>
      <c r="M791" t="s">
        <v>60</v>
      </c>
      <c r="N791">
        <v>2.54</v>
      </c>
      <c r="O791">
        <v>2024</v>
      </c>
      <c r="P791">
        <v>4.37</v>
      </c>
      <c r="Q791">
        <v>191</v>
      </c>
      <c r="R791">
        <v>541</v>
      </c>
    </row>
    <row r="792" spans="1:18" x14ac:dyDescent="0.2">
      <c r="A792">
        <v>8</v>
      </c>
      <c r="B792" t="s">
        <v>83</v>
      </c>
      <c r="E792" t="s">
        <v>36</v>
      </c>
      <c r="F792">
        <v>552627</v>
      </c>
      <c r="G792">
        <v>4</v>
      </c>
      <c r="H792">
        <v>3</v>
      </c>
      <c r="I792">
        <v>870</v>
      </c>
      <c r="J792">
        <v>1960</v>
      </c>
      <c r="K792" s="4">
        <v>44318</v>
      </c>
      <c r="L792" t="s">
        <v>20</v>
      </c>
      <c r="M792" t="s">
        <v>37</v>
      </c>
      <c r="N792">
        <v>2.89</v>
      </c>
      <c r="O792">
        <v>2230</v>
      </c>
      <c r="P792">
        <v>0.73</v>
      </c>
      <c r="Q792">
        <v>221</v>
      </c>
      <c r="R792">
        <v>412</v>
      </c>
    </row>
    <row r="793" spans="1:18" hidden="1" x14ac:dyDescent="0.2">
      <c r="A793">
        <v>7</v>
      </c>
      <c r="B793" t="s">
        <v>83</v>
      </c>
      <c r="E793" t="s">
        <v>19</v>
      </c>
      <c r="F793">
        <v>2215660</v>
      </c>
      <c r="G793">
        <v>3</v>
      </c>
      <c r="H793">
        <v>2</v>
      </c>
      <c r="I793">
        <v>166</v>
      </c>
      <c r="J793">
        <v>1982</v>
      </c>
      <c r="K793" s="4">
        <v>45246</v>
      </c>
      <c r="L793" t="s">
        <v>23</v>
      </c>
      <c r="M793" t="s">
        <v>33</v>
      </c>
      <c r="N793">
        <v>1.64</v>
      </c>
      <c r="O793">
        <v>2260</v>
      </c>
      <c r="P793">
        <v>2</v>
      </c>
      <c r="Q793">
        <v>94</v>
      </c>
      <c r="R793">
        <v>567</v>
      </c>
    </row>
    <row r="794" spans="1:18" hidden="1" x14ac:dyDescent="0.2">
      <c r="A794">
        <v>0</v>
      </c>
      <c r="B794" t="s">
        <v>49</v>
      </c>
      <c r="E794" t="s">
        <v>36</v>
      </c>
      <c r="F794">
        <v>2086203</v>
      </c>
      <c r="G794">
        <v>4</v>
      </c>
      <c r="H794">
        <v>3</v>
      </c>
      <c r="I794">
        <v>811</v>
      </c>
      <c r="J794">
        <v>1956</v>
      </c>
      <c r="K794" s="4">
        <v>45844</v>
      </c>
      <c r="L794" t="s">
        <v>30</v>
      </c>
      <c r="M794" t="s">
        <v>74</v>
      </c>
      <c r="N794">
        <v>2.52</v>
      </c>
      <c r="O794">
        <v>1103</v>
      </c>
      <c r="P794">
        <v>1.62</v>
      </c>
      <c r="Q794">
        <v>400</v>
      </c>
      <c r="R794">
        <v>511</v>
      </c>
    </row>
    <row r="795" spans="1:18" hidden="1" x14ac:dyDescent="0.2">
      <c r="A795">
        <v>1</v>
      </c>
      <c r="B795" t="s">
        <v>79</v>
      </c>
      <c r="E795" t="s">
        <v>19</v>
      </c>
      <c r="F795">
        <v>1000450</v>
      </c>
      <c r="G795">
        <v>3</v>
      </c>
      <c r="H795">
        <v>2</v>
      </c>
      <c r="I795">
        <v>855</v>
      </c>
      <c r="J795">
        <v>1958</v>
      </c>
      <c r="K795" s="4">
        <v>44214</v>
      </c>
      <c r="L795" t="s">
        <v>30</v>
      </c>
      <c r="M795" t="s">
        <v>27</v>
      </c>
      <c r="N795">
        <v>2.83</v>
      </c>
      <c r="O795">
        <v>2324</v>
      </c>
      <c r="P795">
        <v>2.33</v>
      </c>
      <c r="Q795">
        <v>127</v>
      </c>
      <c r="R795">
        <v>532</v>
      </c>
    </row>
    <row r="796" spans="1:18" hidden="1" x14ac:dyDescent="0.2">
      <c r="A796">
        <v>7</v>
      </c>
      <c r="B796" t="s">
        <v>43</v>
      </c>
      <c r="E796" t="s">
        <v>36</v>
      </c>
      <c r="F796">
        <v>1671339</v>
      </c>
      <c r="G796">
        <v>3</v>
      </c>
      <c r="H796">
        <v>1</v>
      </c>
      <c r="I796">
        <v>406</v>
      </c>
      <c r="J796">
        <v>2008</v>
      </c>
      <c r="K796" s="4">
        <v>44478</v>
      </c>
      <c r="L796" t="s">
        <v>20</v>
      </c>
      <c r="M796" t="s">
        <v>37</v>
      </c>
      <c r="N796">
        <v>2.63</v>
      </c>
      <c r="O796">
        <v>2162</v>
      </c>
      <c r="P796">
        <v>2.83</v>
      </c>
      <c r="Q796">
        <v>94</v>
      </c>
      <c r="R796">
        <v>313</v>
      </c>
    </row>
    <row r="797" spans="1:18" hidden="1" x14ac:dyDescent="0.2">
      <c r="A797">
        <v>5</v>
      </c>
      <c r="B797" t="s">
        <v>49</v>
      </c>
      <c r="E797" t="s">
        <v>29</v>
      </c>
      <c r="F797">
        <v>593386</v>
      </c>
      <c r="G797">
        <v>4</v>
      </c>
      <c r="H797">
        <v>3</v>
      </c>
      <c r="I797">
        <v>80</v>
      </c>
      <c r="J797">
        <v>1982</v>
      </c>
      <c r="K797" s="4">
        <v>44283</v>
      </c>
      <c r="L797" t="s">
        <v>26</v>
      </c>
      <c r="M797" t="s">
        <v>40</v>
      </c>
      <c r="N797">
        <v>1.65</v>
      </c>
      <c r="O797">
        <v>1254</v>
      </c>
      <c r="P797">
        <v>2.96</v>
      </c>
      <c r="Q797">
        <v>398</v>
      </c>
      <c r="R797">
        <v>478</v>
      </c>
    </row>
    <row r="798" spans="1:18" x14ac:dyDescent="0.2">
      <c r="A798">
        <v>8</v>
      </c>
      <c r="B798" t="s">
        <v>88</v>
      </c>
      <c r="E798" t="s">
        <v>19</v>
      </c>
      <c r="F798">
        <v>2284048</v>
      </c>
      <c r="G798">
        <v>3</v>
      </c>
      <c r="H798">
        <v>2</v>
      </c>
      <c r="I798">
        <v>581</v>
      </c>
      <c r="J798">
        <v>1965</v>
      </c>
      <c r="K798" s="4">
        <v>44265</v>
      </c>
      <c r="L798" t="s">
        <v>23</v>
      </c>
      <c r="M798" t="s">
        <v>78</v>
      </c>
      <c r="N798">
        <v>1.67</v>
      </c>
      <c r="O798">
        <v>833</v>
      </c>
      <c r="P798">
        <v>3.14</v>
      </c>
      <c r="Q798">
        <v>192</v>
      </c>
      <c r="R798">
        <v>379</v>
      </c>
    </row>
    <row r="799" spans="1:18" x14ac:dyDescent="0.2">
      <c r="A799">
        <v>8</v>
      </c>
      <c r="B799" t="s">
        <v>84</v>
      </c>
      <c r="E799" t="s">
        <v>29</v>
      </c>
      <c r="F799">
        <v>1315915</v>
      </c>
      <c r="G799">
        <v>3</v>
      </c>
      <c r="H799">
        <v>1</v>
      </c>
      <c r="I799">
        <v>220</v>
      </c>
      <c r="J799">
        <v>2003</v>
      </c>
      <c r="K799" s="4">
        <v>45808</v>
      </c>
      <c r="L799" t="s">
        <v>26</v>
      </c>
      <c r="M799" t="s">
        <v>45</v>
      </c>
      <c r="N799">
        <v>2.31</v>
      </c>
      <c r="O799">
        <v>1799</v>
      </c>
      <c r="P799">
        <v>0.93</v>
      </c>
      <c r="Q799">
        <v>222</v>
      </c>
      <c r="R799">
        <v>496</v>
      </c>
    </row>
    <row r="800" spans="1:18" hidden="1" x14ac:dyDescent="0.2">
      <c r="A800">
        <v>2</v>
      </c>
      <c r="B800" t="s">
        <v>50</v>
      </c>
      <c r="E800" t="s">
        <v>29</v>
      </c>
      <c r="F800">
        <v>1696752</v>
      </c>
      <c r="G800">
        <v>3</v>
      </c>
      <c r="H800">
        <v>1</v>
      </c>
      <c r="I800">
        <v>723</v>
      </c>
      <c r="J800">
        <v>1979</v>
      </c>
      <c r="K800" s="4">
        <v>44141</v>
      </c>
      <c r="L800" t="s">
        <v>26</v>
      </c>
      <c r="M800" t="s">
        <v>66</v>
      </c>
      <c r="N800">
        <v>2.38</v>
      </c>
      <c r="O800">
        <v>2129</v>
      </c>
      <c r="P800">
        <v>4.0199999999999996</v>
      </c>
      <c r="Q800">
        <v>252</v>
      </c>
      <c r="R800">
        <v>439</v>
      </c>
    </row>
    <row r="801" spans="1:18" hidden="1" x14ac:dyDescent="0.2">
      <c r="A801">
        <v>9</v>
      </c>
      <c r="B801" t="s">
        <v>75</v>
      </c>
      <c r="E801" t="s">
        <v>29</v>
      </c>
      <c r="F801">
        <v>511872</v>
      </c>
      <c r="G801">
        <v>5</v>
      </c>
      <c r="H801">
        <v>2</v>
      </c>
      <c r="I801">
        <v>992</v>
      </c>
      <c r="J801">
        <v>1971</v>
      </c>
      <c r="K801" s="4">
        <v>44437</v>
      </c>
      <c r="L801" t="s">
        <v>30</v>
      </c>
      <c r="M801" t="s">
        <v>60</v>
      </c>
      <c r="N801">
        <v>2.66</v>
      </c>
      <c r="O801">
        <v>2150</v>
      </c>
      <c r="P801">
        <v>2.62</v>
      </c>
      <c r="Q801">
        <v>376</v>
      </c>
      <c r="R801">
        <v>484</v>
      </c>
    </row>
    <row r="802" spans="1:18" hidden="1" x14ac:dyDescent="0.2">
      <c r="A802">
        <v>9</v>
      </c>
      <c r="B802" t="s">
        <v>79</v>
      </c>
      <c r="E802" t="s">
        <v>36</v>
      </c>
      <c r="F802">
        <v>1322693</v>
      </c>
      <c r="G802">
        <v>3</v>
      </c>
      <c r="H802">
        <v>1</v>
      </c>
      <c r="I802">
        <v>736</v>
      </c>
      <c r="J802">
        <v>2010</v>
      </c>
      <c r="K802" s="4">
        <v>44155</v>
      </c>
      <c r="L802" t="s">
        <v>30</v>
      </c>
      <c r="M802" t="s">
        <v>97</v>
      </c>
      <c r="N802">
        <v>3.03</v>
      </c>
      <c r="O802">
        <v>1022</v>
      </c>
      <c r="P802">
        <v>4.09</v>
      </c>
      <c r="Q802">
        <v>311</v>
      </c>
      <c r="R802">
        <v>391</v>
      </c>
    </row>
    <row r="803" spans="1:18" hidden="1" x14ac:dyDescent="0.2">
      <c r="A803">
        <v>6</v>
      </c>
      <c r="B803" t="s">
        <v>92</v>
      </c>
      <c r="E803" t="s">
        <v>51</v>
      </c>
      <c r="F803">
        <v>1361611</v>
      </c>
      <c r="G803">
        <v>4</v>
      </c>
      <c r="H803">
        <v>3</v>
      </c>
      <c r="I803">
        <v>583</v>
      </c>
      <c r="J803">
        <v>2022</v>
      </c>
      <c r="K803" s="4">
        <v>44170</v>
      </c>
      <c r="L803" t="s">
        <v>30</v>
      </c>
      <c r="M803" t="s">
        <v>31</v>
      </c>
      <c r="N803">
        <v>2.61</v>
      </c>
      <c r="O803">
        <v>1792</v>
      </c>
      <c r="P803">
        <v>4.18</v>
      </c>
      <c r="Q803">
        <v>357</v>
      </c>
      <c r="R803">
        <v>393</v>
      </c>
    </row>
    <row r="804" spans="1:18" hidden="1" x14ac:dyDescent="0.2">
      <c r="A804">
        <v>9</v>
      </c>
      <c r="B804" t="s">
        <v>92</v>
      </c>
      <c r="E804" t="s">
        <v>29</v>
      </c>
      <c r="F804">
        <v>447706</v>
      </c>
      <c r="G804">
        <v>3</v>
      </c>
      <c r="H804">
        <v>1</v>
      </c>
      <c r="I804">
        <v>214</v>
      </c>
      <c r="J804">
        <v>2001</v>
      </c>
      <c r="K804" s="4">
        <v>44289</v>
      </c>
      <c r="L804" t="s">
        <v>23</v>
      </c>
      <c r="M804" t="s">
        <v>60</v>
      </c>
      <c r="N804">
        <v>2.98</v>
      </c>
      <c r="O804">
        <v>1206</v>
      </c>
      <c r="P804">
        <v>1.79</v>
      </c>
      <c r="Q804">
        <v>201</v>
      </c>
      <c r="R804">
        <v>507</v>
      </c>
    </row>
    <row r="805" spans="1:18" hidden="1" x14ac:dyDescent="0.2">
      <c r="A805">
        <v>6</v>
      </c>
      <c r="B805" t="s">
        <v>72</v>
      </c>
      <c r="E805" t="s">
        <v>19</v>
      </c>
      <c r="F805">
        <v>2886730</v>
      </c>
      <c r="G805">
        <v>3</v>
      </c>
      <c r="H805">
        <v>1</v>
      </c>
      <c r="I805">
        <v>952</v>
      </c>
      <c r="J805">
        <v>1957</v>
      </c>
      <c r="K805" s="4">
        <v>45533</v>
      </c>
      <c r="L805" t="s">
        <v>23</v>
      </c>
      <c r="M805" t="s">
        <v>45</v>
      </c>
      <c r="N805">
        <v>2.94</v>
      </c>
      <c r="O805">
        <v>1555</v>
      </c>
      <c r="P805">
        <v>3.73</v>
      </c>
      <c r="Q805">
        <v>191</v>
      </c>
      <c r="R805">
        <v>542</v>
      </c>
    </row>
    <row r="806" spans="1:18" hidden="1" x14ac:dyDescent="0.2">
      <c r="A806">
        <v>9</v>
      </c>
      <c r="B806" t="s">
        <v>81</v>
      </c>
      <c r="E806" t="s">
        <v>36</v>
      </c>
      <c r="F806">
        <v>664083</v>
      </c>
      <c r="G806">
        <v>4</v>
      </c>
      <c r="H806">
        <v>1</v>
      </c>
      <c r="I806">
        <v>792</v>
      </c>
      <c r="J806">
        <v>2000</v>
      </c>
      <c r="K806" s="4">
        <v>45049</v>
      </c>
      <c r="L806" t="s">
        <v>23</v>
      </c>
      <c r="M806" t="s">
        <v>63</v>
      </c>
      <c r="N806">
        <v>1.94</v>
      </c>
      <c r="O806">
        <v>1564</v>
      </c>
      <c r="P806">
        <v>1.53</v>
      </c>
      <c r="Q806">
        <v>287</v>
      </c>
      <c r="R806">
        <v>612</v>
      </c>
    </row>
    <row r="807" spans="1:18" hidden="1" x14ac:dyDescent="0.2">
      <c r="A807">
        <v>1</v>
      </c>
      <c r="B807" t="s">
        <v>96</v>
      </c>
      <c r="E807" t="s">
        <v>19</v>
      </c>
      <c r="F807">
        <v>2125721</v>
      </c>
      <c r="G807">
        <v>5</v>
      </c>
      <c r="H807">
        <v>3</v>
      </c>
      <c r="I807">
        <v>989</v>
      </c>
      <c r="J807">
        <v>1972</v>
      </c>
      <c r="K807" s="4">
        <v>44887</v>
      </c>
      <c r="L807" t="s">
        <v>30</v>
      </c>
      <c r="M807" t="s">
        <v>85</v>
      </c>
      <c r="N807">
        <v>3.15</v>
      </c>
      <c r="O807">
        <v>1162</v>
      </c>
      <c r="P807">
        <v>3.23</v>
      </c>
      <c r="Q807">
        <v>347</v>
      </c>
      <c r="R807">
        <v>487</v>
      </c>
    </row>
    <row r="808" spans="1:18" hidden="1" x14ac:dyDescent="0.2">
      <c r="A808">
        <v>9</v>
      </c>
      <c r="B808" t="s">
        <v>22</v>
      </c>
      <c r="E808" t="s">
        <v>36</v>
      </c>
      <c r="F808">
        <v>1690220</v>
      </c>
      <c r="G808">
        <v>6</v>
      </c>
      <c r="H808">
        <v>1</v>
      </c>
      <c r="I808">
        <v>504</v>
      </c>
      <c r="J808">
        <v>1985</v>
      </c>
      <c r="K808" s="4">
        <v>45022</v>
      </c>
      <c r="L808" t="s">
        <v>26</v>
      </c>
      <c r="M808" t="s">
        <v>69</v>
      </c>
      <c r="N808">
        <v>3.11</v>
      </c>
      <c r="O808">
        <v>1000</v>
      </c>
      <c r="P808">
        <v>2.35</v>
      </c>
      <c r="Q808">
        <v>368</v>
      </c>
      <c r="R808">
        <v>578</v>
      </c>
    </row>
    <row r="809" spans="1:18" hidden="1" x14ac:dyDescent="0.2">
      <c r="A809">
        <v>2</v>
      </c>
      <c r="B809" t="s">
        <v>18</v>
      </c>
      <c r="E809" t="s">
        <v>51</v>
      </c>
      <c r="F809">
        <v>944111</v>
      </c>
      <c r="G809">
        <v>5</v>
      </c>
      <c r="H809">
        <v>1</v>
      </c>
      <c r="I809">
        <v>718</v>
      </c>
      <c r="J809">
        <v>2006</v>
      </c>
      <c r="K809" s="4">
        <v>45243</v>
      </c>
      <c r="L809" t="s">
        <v>30</v>
      </c>
      <c r="M809" t="s">
        <v>37</v>
      </c>
      <c r="N809">
        <v>3.34</v>
      </c>
      <c r="O809">
        <v>2127</v>
      </c>
      <c r="P809">
        <v>3.49</v>
      </c>
      <c r="Q809">
        <v>287</v>
      </c>
      <c r="R809">
        <v>478</v>
      </c>
    </row>
    <row r="810" spans="1:18" x14ac:dyDescent="0.2">
      <c r="A810">
        <v>8</v>
      </c>
      <c r="B810" t="s">
        <v>64</v>
      </c>
      <c r="E810" t="s">
        <v>29</v>
      </c>
      <c r="F810">
        <v>1939588</v>
      </c>
      <c r="G810">
        <v>4</v>
      </c>
      <c r="H810">
        <v>2</v>
      </c>
      <c r="I810">
        <v>790</v>
      </c>
      <c r="J810">
        <v>1960</v>
      </c>
      <c r="K810" s="4">
        <v>44980</v>
      </c>
      <c r="L810" t="s">
        <v>23</v>
      </c>
      <c r="M810" t="s">
        <v>59</v>
      </c>
      <c r="N810">
        <v>3.07</v>
      </c>
      <c r="O810">
        <v>1618</v>
      </c>
      <c r="P810">
        <v>3.41</v>
      </c>
      <c r="Q810">
        <v>161</v>
      </c>
      <c r="R810">
        <v>478</v>
      </c>
    </row>
    <row r="811" spans="1:18" hidden="1" x14ac:dyDescent="0.2">
      <c r="A811">
        <v>0</v>
      </c>
      <c r="B811" t="s">
        <v>105</v>
      </c>
      <c r="E811" t="s">
        <v>51</v>
      </c>
      <c r="F811">
        <v>2606998</v>
      </c>
      <c r="G811">
        <v>5</v>
      </c>
      <c r="H811">
        <v>3</v>
      </c>
      <c r="I811">
        <v>435</v>
      </c>
      <c r="J811">
        <v>2000</v>
      </c>
      <c r="K811" s="4">
        <v>44748</v>
      </c>
      <c r="L811" t="s">
        <v>26</v>
      </c>
      <c r="M811" t="s">
        <v>58</v>
      </c>
      <c r="N811">
        <v>1.95</v>
      </c>
      <c r="O811">
        <v>1766</v>
      </c>
      <c r="P811">
        <v>4.1100000000000003</v>
      </c>
      <c r="Q811">
        <v>397</v>
      </c>
      <c r="R811">
        <v>629</v>
      </c>
    </row>
    <row r="812" spans="1:18" hidden="1" x14ac:dyDescent="0.2">
      <c r="A812">
        <v>3</v>
      </c>
      <c r="B812" t="s">
        <v>81</v>
      </c>
      <c r="E812" t="s">
        <v>36</v>
      </c>
      <c r="F812">
        <v>2772524</v>
      </c>
      <c r="G812">
        <v>4</v>
      </c>
      <c r="H812">
        <v>3</v>
      </c>
      <c r="I812">
        <v>614</v>
      </c>
      <c r="J812">
        <v>1992</v>
      </c>
      <c r="K812" s="4">
        <v>44069</v>
      </c>
      <c r="L812" t="s">
        <v>23</v>
      </c>
      <c r="M812" t="s">
        <v>89</v>
      </c>
      <c r="N812">
        <v>3.19</v>
      </c>
      <c r="O812">
        <v>1150</v>
      </c>
      <c r="P812">
        <v>2.9</v>
      </c>
      <c r="Q812">
        <v>191</v>
      </c>
      <c r="R812">
        <v>455</v>
      </c>
    </row>
    <row r="813" spans="1:18" hidden="1" x14ac:dyDescent="0.2">
      <c r="A813">
        <v>6</v>
      </c>
      <c r="B813" t="s">
        <v>84</v>
      </c>
      <c r="E813" t="s">
        <v>51</v>
      </c>
      <c r="F813">
        <v>1124281</v>
      </c>
      <c r="G813">
        <v>3</v>
      </c>
      <c r="H813">
        <v>1</v>
      </c>
      <c r="I813">
        <v>670</v>
      </c>
      <c r="J813">
        <v>1965</v>
      </c>
      <c r="K813" s="4">
        <v>44775</v>
      </c>
      <c r="L813" t="s">
        <v>26</v>
      </c>
      <c r="M813" t="s">
        <v>31</v>
      </c>
      <c r="N813">
        <v>3.48</v>
      </c>
      <c r="O813">
        <v>1623</v>
      </c>
      <c r="P813">
        <v>1.08</v>
      </c>
      <c r="Q813">
        <v>249</v>
      </c>
      <c r="R813">
        <v>614</v>
      </c>
    </row>
    <row r="814" spans="1:18" hidden="1" x14ac:dyDescent="0.2">
      <c r="A814">
        <v>5</v>
      </c>
      <c r="B814" t="s">
        <v>94</v>
      </c>
      <c r="E814" t="s">
        <v>29</v>
      </c>
      <c r="F814">
        <v>888981</v>
      </c>
      <c r="G814">
        <v>6</v>
      </c>
      <c r="H814">
        <v>3</v>
      </c>
      <c r="I814">
        <v>692</v>
      </c>
      <c r="J814">
        <v>1985</v>
      </c>
      <c r="K814" s="4">
        <v>44741</v>
      </c>
      <c r="L814" t="s">
        <v>30</v>
      </c>
      <c r="M814" t="s">
        <v>82</v>
      </c>
      <c r="N814">
        <v>3.41</v>
      </c>
      <c r="O814">
        <v>1115</v>
      </c>
      <c r="P814">
        <v>0.98</v>
      </c>
      <c r="Q814">
        <v>398</v>
      </c>
      <c r="R814">
        <v>377</v>
      </c>
    </row>
    <row r="815" spans="1:18" hidden="1" x14ac:dyDescent="0.2">
      <c r="A815">
        <v>4</v>
      </c>
      <c r="B815" t="s">
        <v>81</v>
      </c>
      <c r="E815" t="s">
        <v>29</v>
      </c>
      <c r="F815">
        <v>1896830</v>
      </c>
      <c r="G815">
        <v>4</v>
      </c>
      <c r="H815">
        <v>2</v>
      </c>
      <c r="I815">
        <v>963</v>
      </c>
      <c r="J815">
        <v>2001</v>
      </c>
      <c r="K815" s="4">
        <v>45169</v>
      </c>
      <c r="L815" t="s">
        <v>26</v>
      </c>
      <c r="M815" t="s">
        <v>82</v>
      </c>
      <c r="N815">
        <v>1.56</v>
      </c>
      <c r="O815">
        <v>1238</v>
      </c>
      <c r="P815">
        <v>1.33</v>
      </c>
      <c r="Q815">
        <v>178</v>
      </c>
      <c r="R815">
        <v>555</v>
      </c>
    </row>
    <row r="816" spans="1:18" hidden="1" x14ac:dyDescent="0.2">
      <c r="A816">
        <v>1</v>
      </c>
      <c r="B816" t="s">
        <v>46</v>
      </c>
      <c r="E816" t="s">
        <v>19</v>
      </c>
      <c r="F816">
        <v>1017597</v>
      </c>
      <c r="G816">
        <v>3</v>
      </c>
      <c r="H816">
        <v>2</v>
      </c>
      <c r="I816">
        <v>620</v>
      </c>
      <c r="J816">
        <v>1995</v>
      </c>
      <c r="K816" s="4">
        <v>44481</v>
      </c>
      <c r="L816" t="s">
        <v>30</v>
      </c>
      <c r="M816" t="s">
        <v>35</v>
      </c>
      <c r="N816">
        <v>3.3</v>
      </c>
      <c r="O816">
        <v>2113</v>
      </c>
      <c r="P816">
        <v>3.64</v>
      </c>
      <c r="Q816">
        <v>249</v>
      </c>
      <c r="R816">
        <v>533</v>
      </c>
    </row>
    <row r="817" spans="1:18" hidden="1" x14ac:dyDescent="0.2">
      <c r="A817">
        <v>2</v>
      </c>
      <c r="B817" t="s">
        <v>44</v>
      </c>
      <c r="E817" t="s">
        <v>36</v>
      </c>
      <c r="F817">
        <v>2631733</v>
      </c>
      <c r="G817">
        <v>3</v>
      </c>
      <c r="H817">
        <v>2</v>
      </c>
      <c r="I817">
        <v>453</v>
      </c>
      <c r="J817">
        <v>1993</v>
      </c>
      <c r="K817" s="4">
        <v>44308</v>
      </c>
      <c r="L817" t="s">
        <v>30</v>
      </c>
      <c r="M817" t="s">
        <v>77</v>
      </c>
      <c r="N817">
        <v>3.06</v>
      </c>
      <c r="O817">
        <v>2238</v>
      </c>
      <c r="P817">
        <v>4.92</v>
      </c>
      <c r="Q817">
        <v>185</v>
      </c>
      <c r="R817">
        <v>336</v>
      </c>
    </row>
    <row r="818" spans="1:18" hidden="1" x14ac:dyDescent="0.2">
      <c r="A818">
        <v>9</v>
      </c>
      <c r="B818" t="s">
        <v>43</v>
      </c>
      <c r="E818" t="s">
        <v>51</v>
      </c>
      <c r="F818">
        <v>2474892</v>
      </c>
      <c r="G818">
        <v>2</v>
      </c>
      <c r="H818">
        <v>3</v>
      </c>
      <c r="I818">
        <v>255</v>
      </c>
      <c r="J818">
        <v>2000</v>
      </c>
      <c r="K818" s="4">
        <v>44066</v>
      </c>
      <c r="L818" t="s">
        <v>20</v>
      </c>
      <c r="M818" t="s">
        <v>66</v>
      </c>
      <c r="N818">
        <v>2.17</v>
      </c>
      <c r="O818">
        <v>2466</v>
      </c>
      <c r="P818">
        <v>1.8</v>
      </c>
      <c r="Q818">
        <v>206</v>
      </c>
      <c r="R818">
        <v>345</v>
      </c>
    </row>
    <row r="819" spans="1:18" hidden="1" x14ac:dyDescent="0.2">
      <c r="A819">
        <v>3</v>
      </c>
      <c r="B819" t="s">
        <v>67</v>
      </c>
      <c r="E819" t="s">
        <v>29</v>
      </c>
      <c r="F819">
        <v>1785495</v>
      </c>
      <c r="G819">
        <v>3</v>
      </c>
      <c r="H819">
        <v>1</v>
      </c>
      <c r="I819">
        <v>853</v>
      </c>
      <c r="J819">
        <v>2003</v>
      </c>
      <c r="K819" s="4">
        <v>44305</v>
      </c>
      <c r="L819" t="s">
        <v>30</v>
      </c>
      <c r="M819" t="s">
        <v>37</v>
      </c>
      <c r="N819">
        <v>2.66</v>
      </c>
      <c r="O819">
        <v>1813</v>
      </c>
      <c r="P819">
        <v>4.49</v>
      </c>
      <c r="Q819">
        <v>93</v>
      </c>
      <c r="R819">
        <v>370</v>
      </c>
    </row>
    <row r="820" spans="1:18" hidden="1" x14ac:dyDescent="0.2">
      <c r="A820">
        <v>4</v>
      </c>
      <c r="B820" t="s">
        <v>87</v>
      </c>
      <c r="E820" t="s">
        <v>51</v>
      </c>
      <c r="F820">
        <v>693175</v>
      </c>
      <c r="G820">
        <v>1</v>
      </c>
      <c r="H820">
        <v>3</v>
      </c>
      <c r="I820">
        <v>841</v>
      </c>
      <c r="J820">
        <v>2019</v>
      </c>
      <c r="K820" s="4">
        <v>45763</v>
      </c>
      <c r="L820" t="s">
        <v>30</v>
      </c>
      <c r="M820" t="s">
        <v>74</v>
      </c>
      <c r="N820">
        <v>2.15</v>
      </c>
      <c r="O820">
        <v>1168</v>
      </c>
      <c r="P820">
        <v>0.38</v>
      </c>
      <c r="Q820">
        <v>91</v>
      </c>
      <c r="R820">
        <v>500</v>
      </c>
    </row>
    <row r="821" spans="1:18" x14ac:dyDescent="0.2">
      <c r="A821">
        <v>8</v>
      </c>
      <c r="B821" t="s">
        <v>106</v>
      </c>
      <c r="E821" t="s">
        <v>29</v>
      </c>
      <c r="F821">
        <v>1320577</v>
      </c>
      <c r="G821">
        <v>2</v>
      </c>
      <c r="H821">
        <v>3</v>
      </c>
      <c r="I821">
        <v>470</v>
      </c>
      <c r="J821">
        <v>1966</v>
      </c>
      <c r="K821" s="4">
        <v>45787</v>
      </c>
      <c r="L821" t="s">
        <v>30</v>
      </c>
      <c r="M821" t="s">
        <v>68</v>
      </c>
      <c r="N821">
        <v>1.87</v>
      </c>
      <c r="O821">
        <v>870</v>
      </c>
      <c r="P821">
        <v>1.35</v>
      </c>
      <c r="Q821">
        <v>195</v>
      </c>
      <c r="R821">
        <v>430</v>
      </c>
    </row>
    <row r="822" spans="1:18" hidden="1" x14ac:dyDescent="0.2">
      <c r="A822">
        <v>2</v>
      </c>
      <c r="B822" t="s">
        <v>94</v>
      </c>
      <c r="E822" t="s">
        <v>19</v>
      </c>
      <c r="F822">
        <v>814500</v>
      </c>
      <c r="G822">
        <v>3</v>
      </c>
      <c r="H822">
        <v>1</v>
      </c>
      <c r="I822">
        <v>283</v>
      </c>
      <c r="J822">
        <v>1956</v>
      </c>
      <c r="K822" s="4">
        <v>44161</v>
      </c>
      <c r="L822" t="s">
        <v>20</v>
      </c>
      <c r="M822" t="s">
        <v>68</v>
      </c>
      <c r="N822">
        <v>2.91</v>
      </c>
      <c r="O822">
        <v>1291</v>
      </c>
      <c r="P822">
        <v>1.25</v>
      </c>
      <c r="Q822">
        <v>245</v>
      </c>
      <c r="R822">
        <v>380</v>
      </c>
    </row>
    <row r="823" spans="1:18" hidden="1" x14ac:dyDescent="0.2">
      <c r="A823">
        <v>5</v>
      </c>
      <c r="B823" t="s">
        <v>91</v>
      </c>
      <c r="E823" t="s">
        <v>29</v>
      </c>
      <c r="F823">
        <v>2721842</v>
      </c>
      <c r="G823">
        <v>3</v>
      </c>
      <c r="H823">
        <v>3</v>
      </c>
      <c r="I823">
        <v>112</v>
      </c>
      <c r="J823">
        <v>1970</v>
      </c>
      <c r="K823" s="4">
        <v>44774</v>
      </c>
      <c r="L823" t="s">
        <v>30</v>
      </c>
      <c r="M823" t="s">
        <v>74</v>
      </c>
      <c r="N823">
        <v>2.16</v>
      </c>
      <c r="O823">
        <v>2250</v>
      </c>
      <c r="P823">
        <v>0.79</v>
      </c>
      <c r="Q823">
        <v>267</v>
      </c>
      <c r="R823">
        <v>421</v>
      </c>
    </row>
    <row r="824" spans="1:18" hidden="1" x14ac:dyDescent="0.2">
      <c r="A824">
        <v>1</v>
      </c>
      <c r="B824" t="s">
        <v>98</v>
      </c>
      <c r="E824" t="s">
        <v>19</v>
      </c>
      <c r="F824">
        <v>1979656</v>
      </c>
      <c r="G824">
        <v>3</v>
      </c>
      <c r="H824">
        <v>3</v>
      </c>
      <c r="I824">
        <v>312</v>
      </c>
      <c r="J824">
        <v>2011</v>
      </c>
      <c r="K824" s="4">
        <v>45551</v>
      </c>
      <c r="L824" t="s">
        <v>20</v>
      </c>
      <c r="M824" t="s">
        <v>89</v>
      </c>
      <c r="N824">
        <v>1.98</v>
      </c>
      <c r="O824">
        <v>2042</v>
      </c>
      <c r="P824">
        <v>3.63</v>
      </c>
      <c r="Q824">
        <v>153</v>
      </c>
      <c r="R824">
        <v>554</v>
      </c>
    </row>
    <row r="825" spans="1:18" hidden="1" x14ac:dyDescent="0.2">
      <c r="A825">
        <v>9</v>
      </c>
      <c r="B825" t="s">
        <v>43</v>
      </c>
      <c r="E825" t="s">
        <v>36</v>
      </c>
      <c r="F825">
        <v>1165331</v>
      </c>
      <c r="G825">
        <v>4</v>
      </c>
      <c r="H825">
        <v>1</v>
      </c>
      <c r="I825">
        <v>660</v>
      </c>
      <c r="J825">
        <v>1960</v>
      </c>
      <c r="K825" s="4">
        <v>44299</v>
      </c>
      <c r="L825" t="s">
        <v>23</v>
      </c>
      <c r="M825" t="s">
        <v>97</v>
      </c>
      <c r="N825">
        <v>2.84</v>
      </c>
      <c r="O825">
        <v>1520</v>
      </c>
      <c r="P825">
        <v>0.55000000000000004</v>
      </c>
      <c r="Q825">
        <v>389</v>
      </c>
      <c r="R825">
        <v>356</v>
      </c>
    </row>
    <row r="826" spans="1:18" hidden="1" x14ac:dyDescent="0.2">
      <c r="A826">
        <v>3</v>
      </c>
      <c r="B826" t="s">
        <v>100</v>
      </c>
      <c r="E826" t="s">
        <v>36</v>
      </c>
      <c r="F826">
        <v>2675112</v>
      </c>
      <c r="G826">
        <v>3</v>
      </c>
      <c r="H826">
        <v>2</v>
      </c>
      <c r="I826">
        <v>540</v>
      </c>
      <c r="J826">
        <v>1990</v>
      </c>
      <c r="K826" s="4">
        <v>44164</v>
      </c>
      <c r="L826" t="s">
        <v>30</v>
      </c>
      <c r="M826" t="s">
        <v>60</v>
      </c>
      <c r="N826">
        <v>3.37</v>
      </c>
      <c r="O826">
        <v>1311</v>
      </c>
      <c r="P826">
        <v>0.4</v>
      </c>
      <c r="Q826">
        <v>192</v>
      </c>
      <c r="R826">
        <v>699</v>
      </c>
    </row>
    <row r="827" spans="1:18" hidden="1" x14ac:dyDescent="0.2">
      <c r="A827">
        <v>0</v>
      </c>
      <c r="B827" t="s">
        <v>39</v>
      </c>
      <c r="E827" t="s">
        <v>19</v>
      </c>
      <c r="F827">
        <v>617616</v>
      </c>
      <c r="G827">
        <v>3</v>
      </c>
      <c r="H827">
        <v>2</v>
      </c>
      <c r="I827">
        <v>441</v>
      </c>
      <c r="J827">
        <v>2019</v>
      </c>
      <c r="K827" s="4">
        <v>44372</v>
      </c>
      <c r="L827" t="s">
        <v>20</v>
      </c>
      <c r="M827" t="s">
        <v>66</v>
      </c>
      <c r="N827">
        <v>2.33</v>
      </c>
      <c r="O827">
        <v>1644</v>
      </c>
      <c r="P827">
        <v>0.71</v>
      </c>
      <c r="Q827">
        <v>267</v>
      </c>
      <c r="R827">
        <v>411</v>
      </c>
    </row>
    <row r="828" spans="1:18" hidden="1" x14ac:dyDescent="0.2">
      <c r="A828">
        <v>1</v>
      </c>
      <c r="B828" t="s">
        <v>57</v>
      </c>
      <c r="E828" t="s">
        <v>36</v>
      </c>
      <c r="F828">
        <v>562083</v>
      </c>
      <c r="G828">
        <v>3</v>
      </c>
      <c r="H828">
        <v>1</v>
      </c>
      <c r="I828">
        <v>477</v>
      </c>
      <c r="J828">
        <v>1974</v>
      </c>
      <c r="K828" s="4">
        <v>44449</v>
      </c>
      <c r="L828" t="s">
        <v>23</v>
      </c>
      <c r="M828" t="s">
        <v>59</v>
      </c>
      <c r="N828">
        <v>1.52</v>
      </c>
      <c r="O828">
        <v>1147</v>
      </c>
      <c r="P828">
        <v>4.53</v>
      </c>
      <c r="Q828">
        <v>152</v>
      </c>
      <c r="R828">
        <v>478</v>
      </c>
    </row>
    <row r="829" spans="1:18" hidden="1" x14ac:dyDescent="0.2">
      <c r="A829">
        <v>4</v>
      </c>
      <c r="B829" t="s">
        <v>39</v>
      </c>
      <c r="E829" t="s">
        <v>29</v>
      </c>
      <c r="F829">
        <v>497561</v>
      </c>
      <c r="G829">
        <v>2</v>
      </c>
      <c r="H829">
        <v>3</v>
      </c>
      <c r="I829">
        <v>731</v>
      </c>
      <c r="J829">
        <v>1968</v>
      </c>
      <c r="K829" s="4">
        <v>44429</v>
      </c>
      <c r="L829" t="s">
        <v>26</v>
      </c>
      <c r="M829" t="s">
        <v>76</v>
      </c>
      <c r="N829">
        <v>3.49</v>
      </c>
      <c r="O829">
        <v>1182</v>
      </c>
      <c r="P829">
        <v>2.94</v>
      </c>
      <c r="Q829">
        <v>102</v>
      </c>
      <c r="R829">
        <v>576</v>
      </c>
    </row>
    <row r="830" spans="1:18" hidden="1" x14ac:dyDescent="0.2">
      <c r="A830">
        <v>4</v>
      </c>
      <c r="B830" t="s">
        <v>96</v>
      </c>
      <c r="E830" t="s">
        <v>29</v>
      </c>
      <c r="F830">
        <v>2602715</v>
      </c>
      <c r="G830">
        <v>6</v>
      </c>
      <c r="H830">
        <v>1</v>
      </c>
      <c r="I830">
        <v>63</v>
      </c>
      <c r="J830">
        <v>1993</v>
      </c>
      <c r="K830" s="4">
        <v>44591</v>
      </c>
      <c r="L830" t="s">
        <v>26</v>
      </c>
      <c r="M830" t="s">
        <v>89</v>
      </c>
      <c r="N830">
        <v>3.31</v>
      </c>
      <c r="O830">
        <v>1482</v>
      </c>
      <c r="P830">
        <v>2.06</v>
      </c>
      <c r="Q830">
        <v>381</v>
      </c>
      <c r="R830">
        <v>355</v>
      </c>
    </row>
    <row r="831" spans="1:18" hidden="1" x14ac:dyDescent="0.2">
      <c r="A831">
        <v>4</v>
      </c>
      <c r="B831" t="s">
        <v>71</v>
      </c>
      <c r="E831" t="s">
        <v>51</v>
      </c>
      <c r="F831">
        <v>449276</v>
      </c>
      <c r="G831">
        <v>5</v>
      </c>
      <c r="H831">
        <v>1</v>
      </c>
      <c r="I831">
        <v>748</v>
      </c>
      <c r="J831">
        <v>2008</v>
      </c>
      <c r="K831" s="4">
        <v>45271</v>
      </c>
      <c r="L831" t="s">
        <v>20</v>
      </c>
      <c r="M831" t="s">
        <v>63</v>
      </c>
      <c r="N831">
        <v>2.58</v>
      </c>
      <c r="O831">
        <v>1235</v>
      </c>
      <c r="P831">
        <v>0.84</v>
      </c>
      <c r="Q831">
        <v>400</v>
      </c>
      <c r="R831">
        <v>687</v>
      </c>
    </row>
    <row r="832" spans="1:18" hidden="1" x14ac:dyDescent="0.2">
      <c r="A832">
        <v>4</v>
      </c>
      <c r="B832" t="s">
        <v>96</v>
      </c>
      <c r="E832" t="s">
        <v>29</v>
      </c>
      <c r="F832">
        <v>2672002</v>
      </c>
      <c r="G832">
        <v>2</v>
      </c>
      <c r="H832">
        <v>3</v>
      </c>
      <c r="I832">
        <v>711</v>
      </c>
      <c r="J832">
        <v>1993</v>
      </c>
      <c r="K832" s="4">
        <v>44505</v>
      </c>
      <c r="L832" t="s">
        <v>30</v>
      </c>
      <c r="M832" t="s">
        <v>33</v>
      </c>
      <c r="N832">
        <v>3.21</v>
      </c>
      <c r="O832">
        <v>1139</v>
      </c>
      <c r="P832">
        <v>1.25</v>
      </c>
      <c r="Q832">
        <v>50</v>
      </c>
      <c r="R832">
        <v>532</v>
      </c>
    </row>
    <row r="833" spans="1:18" hidden="1" x14ac:dyDescent="0.2">
      <c r="A833">
        <v>7</v>
      </c>
      <c r="B833" t="s">
        <v>64</v>
      </c>
      <c r="E833" t="s">
        <v>36</v>
      </c>
      <c r="F833">
        <v>872956</v>
      </c>
      <c r="G833">
        <v>2</v>
      </c>
      <c r="H833">
        <v>2</v>
      </c>
      <c r="I833">
        <v>797</v>
      </c>
      <c r="J833">
        <v>2002</v>
      </c>
      <c r="K833" s="4">
        <v>45096</v>
      </c>
      <c r="L833" t="s">
        <v>20</v>
      </c>
      <c r="M833" t="s">
        <v>58</v>
      </c>
      <c r="N833">
        <v>2.2400000000000002</v>
      </c>
      <c r="O833">
        <v>2395</v>
      </c>
      <c r="P833">
        <v>1.2</v>
      </c>
      <c r="Q833">
        <v>136</v>
      </c>
      <c r="R833">
        <v>495</v>
      </c>
    </row>
    <row r="834" spans="1:18" hidden="1" x14ac:dyDescent="0.2">
      <c r="A834">
        <v>4</v>
      </c>
      <c r="B834" t="s">
        <v>92</v>
      </c>
      <c r="E834" t="s">
        <v>19</v>
      </c>
      <c r="F834">
        <v>642612</v>
      </c>
      <c r="G834">
        <v>3</v>
      </c>
      <c r="H834">
        <v>2</v>
      </c>
      <c r="I834">
        <v>849</v>
      </c>
      <c r="J834">
        <v>1958</v>
      </c>
      <c r="K834" s="4">
        <v>45673</v>
      </c>
      <c r="L834" t="s">
        <v>26</v>
      </c>
      <c r="M834" t="s">
        <v>54</v>
      </c>
      <c r="N834">
        <v>1.94</v>
      </c>
      <c r="O834">
        <v>1666</v>
      </c>
      <c r="P834">
        <v>1.08</v>
      </c>
      <c r="Q834">
        <v>290</v>
      </c>
      <c r="R834">
        <v>429</v>
      </c>
    </row>
    <row r="835" spans="1:18" x14ac:dyDescent="0.2">
      <c r="A835">
        <v>8</v>
      </c>
      <c r="B835" t="s">
        <v>48</v>
      </c>
      <c r="E835" t="s">
        <v>51</v>
      </c>
      <c r="F835">
        <v>2626318</v>
      </c>
      <c r="G835">
        <v>4</v>
      </c>
      <c r="H835">
        <v>2</v>
      </c>
      <c r="I835">
        <v>780</v>
      </c>
      <c r="J835">
        <v>1993</v>
      </c>
      <c r="K835" s="4">
        <v>44088</v>
      </c>
      <c r="L835" t="s">
        <v>30</v>
      </c>
      <c r="M835" t="s">
        <v>76</v>
      </c>
      <c r="N835">
        <v>3.15</v>
      </c>
      <c r="O835">
        <v>1382</v>
      </c>
      <c r="P835">
        <v>4.13</v>
      </c>
      <c r="Q835">
        <v>267</v>
      </c>
      <c r="R835">
        <v>441</v>
      </c>
    </row>
    <row r="836" spans="1:18" hidden="1" x14ac:dyDescent="0.2">
      <c r="A836">
        <v>9</v>
      </c>
      <c r="B836" t="s">
        <v>53</v>
      </c>
      <c r="E836" t="s">
        <v>19</v>
      </c>
      <c r="F836">
        <v>1790619</v>
      </c>
      <c r="G836">
        <v>4</v>
      </c>
      <c r="H836">
        <v>2</v>
      </c>
      <c r="I836">
        <v>60</v>
      </c>
      <c r="J836">
        <v>2007</v>
      </c>
      <c r="K836" s="4">
        <v>44275</v>
      </c>
      <c r="L836" t="s">
        <v>26</v>
      </c>
      <c r="M836" t="s">
        <v>56</v>
      </c>
      <c r="N836">
        <v>1.86</v>
      </c>
      <c r="O836">
        <v>1041</v>
      </c>
      <c r="P836">
        <v>1.59</v>
      </c>
      <c r="Q836">
        <v>185</v>
      </c>
      <c r="R836">
        <v>349</v>
      </c>
    </row>
    <row r="837" spans="1:18" x14ac:dyDescent="0.2">
      <c r="A837">
        <v>8</v>
      </c>
      <c r="B837" t="s">
        <v>18</v>
      </c>
      <c r="E837" t="s">
        <v>29</v>
      </c>
      <c r="F837">
        <v>889504</v>
      </c>
      <c r="G837">
        <v>2</v>
      </c>
      <c r="H837">
        <v>1</v>
      </c>
      <c r="I837">
        <v>70</v>
      </c>
      <c r="J837">
        <v>1993</v>
      </c>
      <c r="K837" s="4">
        <v>44827</v>
      </c>
      <c r="L837" t="s">
        <v>26</v>
      </c>
      <c r="M837" t="s">
        <v>54</v>
      </c>
      <c r="N837">
        <v>2.2799999999999998</v>
      </c>
      <c r="O837">
        <v>1830</v>
      </c>
      <c r="P837">
        <v>2.56</v>
      </c>
      <c r="Q837">
        <v>192</v>
      </c>
      <c r="R837">
        <v>638</v>
      </c>
    </row>
    <row r="838" spans="1:18" hidden="1" x14ac:dyDescent="0.2">
      <c r="A838">
        <v>7</v>
      </c>
      <c r="B838" t="s">
        <v>55</v>
      </c>
      <c r="E838" t="s">
        <v>51</v>
      </c>
      <c r="F838">
        <v>777804</v>
      </c>
      <c r="G838">
        <v>1</v>
      </c>
      <c r="H838">
        <v>3</v>
      </c>
      <c r="I838">
        <v>885</v>
      </c>
      <c r="J838">
        <v>1972</v>
      </c>
      <c r="K838" s="4">
        <v>45488</v>
      </c>
      <c r="L838" t="s">
        <v>23</v>
      </c>
      <c r="M838" t="s">
        <v>85</v>
      </c>
      <c r="N838">
        <v>1.83</v>
      </c>
      <c r="O838">
        <v>940</v>
      </c>
      <c r="P838">
        <v>4.54</v>
      </c>
      <c r="Q838">
        <v>68</v>
      </c>
      <c r="R838">
        <v>397</v>
      </c>
    </row>
    <row r="839" spans="1:18" hidden="1" x14ac:dyDescent="0.2">
      <c r="A839">
        <v>9</v>
      </c>
      <c r="B839" t="s">
        <v>67</v>
      </c>
      <c r="E839" t="s">
        <v>51</v>
      </c>
      <c r="F839">
        <v>1311803</v>
      </c>
      <c r="G839">
        <v>3</v>
      </c>
      <c r="H839">
        <v>2</v>
      </c>
      <c r="I839">
        <v>834</v>
      </c>
      <c r="J839">
        <v>2021</v>
      </c>
      <c r="K839" s="4">
        <v>45116</v>
      </c>
      <c r="L839" t="s">
        <v>30</v>
      </c>
      <c r="M839" t="s">
        <v>69</v>
      </c>
      <c r="N839">
        <v>2.94</v>
      </c>
      <c r="O839">
        <v>2284</v>
      </c>
      <c r="P839">
        <v>0.65</v>
      </c>
      <c r="Q839">
        <v>116</v>
      </c>
      <c r="R839">
        <v>498</v>
      </c>
    </row>
    <row r="840" spans="1:18" hidden="1" x14ac:dyDescent="0.2">
      <c r="A840">
        <v>1</v>
      </c>
      <c r="B840" t="s">
        <v>57</v>
      </c>
      <c r="E840" t="s">
        <v>51</v>
      </c>
      <c r="F840">
        <v>523299</v>
      </c>
      <c r="G840">
        <v>4</v>
      </c>
      <c r="H840">
        <v>1</v>
      </c>
      <c r="I840">
        <v>761</v>
      </c>
      <c r="J840">
        <v>2021</v>
      </c>
      <c r="K840" s="4">
        <v>45864</v>
      </c>
      <c r="L840" t="s">
        <v>26</v>
      </c>
      <c r="M840" t="s">
        <v>21</v>
      </c>
      <c r="N840">
        <v>2.72</v>
      </c>
      <c r="O840">
        <v>1584</v>
      </c>
      <c r="P840">
        <v>4.8600000000000003</v>
      </c>
      <c r="Q840">
        <v>313</v>
      </c>
      <c r="R840">
        <v>578</v>
      </c>
    </row>
    <row r="841" spans="1:18" hidden="1" x14ac:dyDescent="0.2">
      <c r="A841">
        <v>2</v>
      </c>
      <c r="B841" t="s">
        <v>32</v>
      </c>
      <c r="E841" t="s">
        <v>36</v>
      </c>
      <c r="F841">
        <v>941693</v>
      </c>
      <c r="G841">
        <v>5</v>
      </c>
      <c r="H841">
        <v>1</v>
      </c>
      <c r="I841">
        <v>249</v>
      </c>
      <c r="J841">
        <v>1954</v>
      </c>
      <c r="K841" s="4">
        <v>45766</v>
      </c>
      <c r="L841" t="s">
        <v>20</v>
      </c>
      <c r="M841" t="s">
        <v>89</v>
      </c>
      <c r="N841">
        <v>1.8</v>
      </c>
      <c r="O841">
        <v>2408</v>
      </c>
      <c r="P841">
        <v>1.05</v>
      </c>
      <c r="Q841">
        <v>280</v>
      </c>
      <c r="R841">
        <v>560</v>
      </c>
    </row>
    <row r="842" spans="1:18" hidden="1" x14ac:dyDescent="0.2">
      <c r="A842">
        <v>6</v>
      </c>
      <c r="B842" t="s">
        <v>101</v>
      </c>
      <c r="E842" t="s">
        <v>36</v>
      </c>
      <c r="F842">
        <v>1082853</v>
      </c>
      <c r="G842">
        <v>3</v>
      </c>
      <c r="H842">
        <v>1</v>
      </c>
      <c r="I842">
        <v>809</v>
      </c>
      <c r="J842">
        <v>1980</v>
      </c>
      <c r="K842" s="4">
        <v>44103</v>
      </c>
      <c r="L842" t="s">
        <v>26</v>
      </c>
      <c r="M842" t="s">
        <v>47</v>
      </c>
      <c r="N842">
        <v>1.65</v>
      </c>
      <c r="O842">
        <v>1667</v>
      </c>
      <c r="P842">
        <v>0.36</v>
      </c>
      <c r="Q842">
        <v>111</v>
      </c>
      <c r="R842">
        <v>408</v>
      </c>
    </row>
    <row r="843" spans="1:18" hidden="1" x14ac:dyDescent="0.2">
      <c r="A843">
        <v>3</v>
      </c>
      <c r="B843" t="s">
        <v>86</v>
      </c>
      <c r="E843" t="s">
        <v>36</v>
      </c>
      <c r="F843">
        <v>577587</v>
      </c>
      <c r="G843">
        <v>5</v>
      </c>
      <c r="H843">
        <v>3</v>
      </c>
      <c r="I843">
        <v>940</v>
      </c>
      <c r="J843">
        <v>2021</v>
      </c>
      <c r="K843" s="4">
        <v>44676</v>
      </c>
      <c r="L843" t="s">
        <v>20</v>
      </c>
      <c r="M843" t="s">
        <v>69</v>
      </c>
      <c r="N843">
        <v>3.35</v>
      </c>
      <c r="O843">
        <v>2465</v>
      </c>
      <c r="P843">
        <v>0.96</v>
      </c>
      <c r="Q843">
        <v>280</v>
      </c>
      <c r="R843">
        <v>590</v>
      </c>
    </row>
    <row r="844" spans="1:18" hidden="1" x14ac:dyDescent="0.2">
      <c r="A844">
        <v>9</v>
      </c>
      <c r="B844" t="s">
        <v>46</v>
      </c>
      <c r="E844" t="s">
        <v>29</v>
      </c>
      <c r="F844">
        <v>1604522</v>
      </c>
      <c r="G844">
        <v>3</v>
      </c>
      <c r="H844">
        <v>1</v>
      </c>
      <c r="I844">
        <v>680</v>
      </c>
      <c r="J844">
        <v>2013</v>
      </c>
      <c r="K844" s="4">
        <v>44877</v>
      </c>
      <c r="L844" t="s">
        <v>20</v>
      </c>
      <c r="M844" t="s">
        <v>74</v>
      </c>
      <c r="N844">
        <v>1.65</v>
      </c>
      <c r="O844">
        <v>2155</v>
      </c>
      <c r="P844">
        <v>4.67</v>
      </c>
      <c r="Q844">
        <v>274</v>
      </c>
      <c r="R844">
        <v>591</v>
      </c>
    </row>
    <row r="845" spans="1:18" hidden="1" x14ac:dyDescent="0.2">
      <c r="A845">
        <v>5</v>
      </c>
      <c r="B845" t="s">
        <v>18</v>
      </c>
      <c r="E845" t="s">
        <v>29</v>
      </c>
      <c r="F845">
        <v>1439744</v>
      </c>
      <c r="G845">
        <v>2</v>
      </c>
      <c r="H845">
        <v>1</v>
      </c>
      <c r="I845">
        <v>637</v>
      </c>
      <c r="J845">
        <v>1974</v>
      </c>
      <c r="K845" s="4">
        <v>45083</v>
      </c>
      <c r="L845" t="s">
        <v>23</v>
      </c>
      <c r="M845" t="s">
        <v>70</v>
      </c>
      <c r="N845">
        <v>3.29</v>
      </c>
      <c r="O845">
        <v>2151</v>
      </c>
      <c r="P845">
        <v>1</v>
      </c>
      <c r="Q845">
        <v>201</v>
      </c>
      <c r="R845">
        <v>683</v>
      </c>
    </row>
    <row r="846" spans="1:18" x14ac:dyDescent="0.2">
      <c r="A846">
        <v>8</v>
      </c>
      <c r="B846" t="s">
        <v>49</v>
      </c>
      <c r="E846" t="s">
        <v>51</v>
      </c>
      <c r="F846">
        <v>2685724</v>
      </c>
      <c r="G846">
        <v>4</v>
      </c>
      <c r="H846">
        <v>3</v>
      </c>
      <c r="I846">
        <v>265</v>
      </c>
      <c r="J846">
        <v>1986</v>
      </c>
      <c r="K846" s="4">
        <v>45227</v>
      </c>
      <c r="L846" t="s">
        <v>26</v>
      </c>
      <c r="M846" t="s">
        <v>85</v>
      </c>
      <c r="N846">
        <v>2.14</v>
      </c>
      <c r="O846">
        <v>1857</v>
      </c>
      <c r="P846">
        <v>1.71</v>
      </c>
      <c r="Q846">
        <v>272</v>
      </c>
      <c r="R846">
        <v>358</v>
      </c>
    </row>
    <row r="847" spans="1:18" hidden="1" x14ac:dyDescent="0.2">
      <c r="A847">
        <v>6</v>
      </c>
      <c r="B847" t="s">
        <v>71</v>
      </c>
      <c r="E847" t="s">
        <v>36</v>
      </c>
      <c r="F847">
        <v>2950092</v>
      </c>
      <c r="G847">
        <v>3</v>
      </c>
      <c r="H847">
        <v>2</v>
      </c>
      <c r="I847">
        <v>194</v>
      </c>
      <c r="J847">
        <v>1976</v>
      </c>
      <c r="K847" s="4">
        <v>45879</v>
      </c>
      <c r="L847" t="s">
        <v>26</v>
      </c>
      <c r="M847" t="s">
        <v>31</v>
      </c>
      <c r="N847">
        <v>2.2200000000000002</v>
      </c>
      <c r="O847">
        <v>2315</v>
      </c>
      <c r="P847">
        <v>1.3</v>
      </c>
      <c r="Q847">
        <v>296</v>
      </c>
      <c r="R847">
        <v>447</v>
      </c>
    </row>
    <row r="848" spans="1:18" hidden="1" x14ac:dyDescent="0.2">
      <c r="A848">
        <v>7</v>
      </c>
      <c r="B848" t="s">
        <v>50</v>
      </c>
      <c r="E848" t="s">
        <v>29</v>
      </c>
      <c r="F848">
        <v>2483883</v>
      </c>
      <c r="G848">
        <v>4</v>
      </c>
      <c r="H848">
        <v>1</v>
      </c>
      <c r="I848">
        <v>613</v>
      </c>
      <c r="J848">
        <v>2017</v>
      </c>
      <c r="K848" s="4">
        <v>45488</v>
      </c>
      <c r="L848" t="s">
        <v>20</v>
      </c>
      <c r="M848" t="s">
        <v>27</v>
      </c>
      <c r="N848">
        <v>1.59</v>
      </c>
      <c r="O848">
        <v>1213</v>
      </c>
      <c r="P848">
        <v>2.64</v>
      </c>
      <c r="Q848">
        <v>207</v>
      </c>
      <c r="R848">
        <v>510</v>
      </c>
    </row>
    <row r="849" spans="1:18" hidden="1" x14ac:dyDescent="0.2">
      <c r="A849">
        <v>9</v>
      </c>
      <c r="B849" t="s">
        <v>96</v>
      </c>
      <c r="E849" t="s">
        <v>36</v>
      </c>
      <c r="F849">
        <v>411759</v>
      </c>
      <c r="G849">
        <v>4</v>
      </c>
      <c r="H849">
        <v>2</v>
      </c>
      <c r="I849">
        <v>115</v>
      </c>
      <c r="J849">
        <v>1950</v>
      </c>
      <c r="K849" s="4">
        <v>45106</v>
      </c>
      <c r="L849" t="s">
        <v>23</v>
      </c>
      <c r="M849" t="s">
        <v>58</v>
      </c>
      <c r="N849">
        <v>2.09</v>
      </c>
      <c r="O849">
        <v>1581</v>
      </c>
      <c r="P849">
        <v>2.25</v>
      </c>
      <c r="Q849">
        <v>259</v>
      </c>
      <c r="R849">
        <v>412</v>
      </c>
    </row>
    <row r="850" spans="1:18" hidden="1" x14ac:dyDescent="0.2">
      <c r="A850">
        <v>3</v>
      </c>
      <c r="B850" t="s">
        <v>98</v>
      </c>
      <c r="E850" t="s">
        <v>36</v>
      </c>
      <c r="F850">
        <v>2671143</v>
      </c>
      <c r="G850">
        <v>2</v>
      </c>
      <c r="H850">
        <v>1</v>
      </c>
      <c r="I850">
        <v>188</v>
      </c>
      <c r="J850">
        <v>1964</v>
      </c>
      <c r="K850" s="4">
        <v>45616</v>
      </c>
      <c r="L850" t="s">
        <v>26</v>
      </c>
      <c r="M850" t="s">
        <v>54</v>
      </c>
      <c r="N850">
        <v>2.73</v>
      </c>
      <c r="O850">
        <v>1460</v>
      </c>
      <c r="P850">
        <v>4.92</v>
      </c>
      <c r="Q850">
        <v>227</v>
      </c>
      <c r="R850">
        <v>451</v>
      </c>
    </row>
    <row r="851" spans="1:18" hidden="1" x14ac:dyDescent="0.2">
      <c r="A851">
        <v>4</v>
      </c>
      <c r="B851" t="s">
        <v>64</v>
      </c>
      <c r="E851" t="s">
        <v>36</v>
      </c>
      <c r="F851">
        <v>1537670</v>
      </c>
      <c r="G851">
        <v>3</v>
      </c>
      <c r="H851">
        <v>2</v>
      </c>
      <c r="I851">
        <v>661</v>
      </c>
      <c r="J851">
        <v>1974</v>
      </c>
      <c r="K851" s="4">
        <v>44176</v>
      </c>
      <c r="L851" t="s">
        <v>26</v>
      </c>
      <c r="M851" t="s">
        <v>37</v>
      </c>
      <c r="N851">
        <v>2.97</v>
      </c>
      <c r="O851">
        <v>974</v>
      </c>
      <c r="P851">
        <v>0.61</v>
      </c>
      <c r="Q851">
        <v>146</v>
      </c>
      <c r="R851">
        <v>589</v>
      </c>
    </row>
    <row r="852" spans="1:18" hidden="1" x14ac:dyDescent="0.2">
      <c r="A852">
        <v>4</v>
      </c>
      <c r="B852" t="s">
        <v>80</v>
      </c>
      <c r="E852" t="s">
        <v>51</v>
      </c>
      <c r="F852">
        <v>1179414</v>
      </c>
      <c r="G852">
        <v>2</v>
      </c>
      <c r="H852">
        <v>2</v>
      </c>
      <c r="I852">
        <v>963</v>
      </c>
      <c r="J852">
        <v>1957</v>
      </c>
      <c r="K852" s="4">
        <v>44672</v>
      </c>
      <c r="L852" t="s">
        <v>20</v>
      </c>
      <c r="M852" t="s">
        <v>27</v>
      </c>
      <c r="N852">
        <v>2.4900000000000002</v>
      </c>
      <c r="O852">
        <v>1397</v>
      </c>
      <c r="P852">
        <v>4.6399999999999997</v>
      </c>
      <c r="Q852">
        <v>63</v>
      </c>
      <c r="R852">
        <v>491</v>
      </c>
    </row>
    <row r="853" spans="1:18" hidden="1" x14ac:dyDescent="0.2">
      <c r="A853">
        <v>5</v>
      </c>
      <c r="B853" t="s">
        <v>96</v>
      </c>
      <c r="E853" t="s">
        <v>36</v>
      </c>
      <c r="F853">
        <v>1399943</v>
      </c>
      <c r="G853">
        <v>3</v>
      </c>
      <c r="H853">
        <v>1</v>
      </c>
      <c r="I853">
        <v>391</v>
      </c>
      <c r="J853">
        <v>1953</v>
      </c>
      <c r="K853" s="4">
        <v>45886</v>
      </c>
      <c r="L853" t="s">
        <v>20</v>
      </c>
      <c r="M853" t="s">
        <v>60</v>
      </c>
      <c r="N853">
        <v>3.02</v>
      </c>
      <c r="O853">
        <v>2486</v>
      </c>
      <c r="P853">
        <v>4.66</v>
      </c>
      <c r="Q853">
        <v>219</v>
      </c>
      <c r="R853">
        <v>668</v>
      </c>
    </row>
    <row r="854" spans="1:18" hidden="1" x14ac:dyDescent="0.2">
      <c r="A854">
        <v>0</v>
      </c>
      <c r="B854" t="s">
        <v>50</v>
      </c>
      <c r="E854" t="s">
        <v>51</v>
      </c>
      <c r="F854">
        <v>2101608</v>
      </c>
      <c r="G854">
        <v>6</v>
      </c>
      <c r="H854">
        <v>2</v>
      </c>
      <c r="I854">
        <v>718</v>
      </c>
      <c r="J854">
        <v>2001</v>
      </c>
      <c r="K854" s="4">
        <v>45726</v>
      </c>
      <c r="L854" t="s">
        <v>23</v>
      </c>
      <c r="M854" t="s">
        <v>59</v>
      </c>
      <c r="N854">
        <v>2.64</v>
      </c>
      <c r="O854">
        <v>1800</v>
      </c>
      <c r="P854">
        <v>0.78</v>
      </c>
      <c r="Q854">
        <v>393</v>
      </c>
      <c r="R854">
        <v>665</v>
      </c>
    </row>
    <row r="855" spans="1:18" hidden="1" x14ac:dyDescent="0.2">
      <c r="A855">
        <v>0</v>
      </c>
      <c r="B855" t="s">
        <v>99</v>
      </c>
      <c r="E855" t="s">
        <v>51</v>
      </c>
      <c r="F855">
        <v>1161285</v>
      </c>
      <c r="G855">
        <v>5</v>
      </c>
      <c r="H855">
        <v>3</v>
      </c>
      <c r="I855">
        <v>219</v>
      </c>
      <c r="J855">
        <v>1973</v>
      </c>
      <c r="K855" s="4">
        <v>44457</v>
      </c>
      <c r="L855" t="s">
        <v>20</v>
      </c>
      <c r="M855" t="s">
        <v>89</v>
      </c>
      <c r="N855">
        <v>2.92</v>
      </c>
      <c r="O855">
        <v>1544</v>
      </c>
      <c r="P855">
        <v>4.78</v>
      </c>
      <c r="Q855">
        <v>300</v>
      </c>
      <c r="R855">
        <v>458</v>
      </c>
    </row>
    <row r="856" spans="1:18" hidden="1" x14ac:dyDescent="0.2">
      <c r="A856">
        <v>3</v>
      </c>
      <c r="B856" t="s">
        <v>105</v>
      </c>
      <c r="E856" t="s">
        <v>19</v>
      </c>
      <c r="F856">
        <v>2812328</v>
      </c>
      <c r="G856">
        <v>3</v>
      </c>
      <c r="H856">
        <v>3</v>
      </c>
      <c r="I856">
        <v>351</v>
      </c>
      <c r="J856">
        <v>1984</v>
      </c>
      <c r="K856" s="4">
        <v>44798</v>
      </c>
      <c r="L856" t="s">
        <v>20</v>
      </c>
      <c r="M856" t="s">
        <v>63</v>
      </c>
      <c r="N856">
        <v>2.91</v>
      </c>
      <c r="O856">
        <v>1482</v>
      </c>
      <c r="P856">
        <v>3.7</v>
      </c>
      <c r="Q856">
        <v>183</v>
      </c>
      <c r="R856">
        <v>627</v>
      </c>
    </row>
    <row r="857" spans="1:18" hidden="1" x14ac:dyDescent="0.2">
      <c r="A857">
        <v>5</v>
      </c>
      <c r="B857" t="s">
        <v>72</v>
      </c>
      <c r="E857" t="s">
        <v>29</v>
      </c>
      <c r="F857">
        <v>439011</v>
      </c>
      <c r="G857">
        <v>0</v>
      </c>
      <c r="H857">
        <v>1</v>
      </c>
      <c r="I857">
        <v>912</v>
      </c>
      <c r="J857">
        <v>1998</v>
      </c>
      <c r="K857" s="4">
        <v>45121</v>
      </c>
      <c r="L857" t="s">
        <v>26</v>
      </c>
      <c r="M857" t="s">
        <v>35</v>
      </c>
      <c r="N857">
        <v>1.6</v>
      </c>
      <c r="O857">
        <v>1636</v>
      </c>
      <c r="P857">
        <v>4.71</v>
      </c>
      <c r="Q857">
        <v>63</v>
      </c>
      <c r="R857">
        <v>422</v>
      </c>
    </row>
    <row r="858" spans="1:18" hidden="1" x14ac:dyDescent="0.2">
      <c r="A858">
        <v>0</v>
      </c>
      <c r="B858" t="s">
        <v>64</v>
      </c>
      <c r="E858" t="s">
        <v>29</v>
      </c>
      <c r="F858">
        <v>1283308</v>
      </c>
      <c r="G858">
        <v>2</v>
      </c>
      <c r="H858">
        <v>3</v>
      </c>
      <c r="I858">
        <v>891</v>
      </c>
      <c r="J858">
        <v>1987</v>
      </c>
      <c r="K858" s="4">
        <v>45497</v>
      </c>
      <c r="L858" t="s">
        <v>23</v>
      </c>
      <c r="M858" t="s">
        <v>31</v>
      </c>
      <c r="N858">
        <v>3.06</v>
      </c>
      <c r="O858">
        <v>2355</v>
      </c>
      <c r="P858">
        <v>1.72</v>
      </c>
      <c r="Q858">
        <v>213</v>
      </c>
      <c r="R858">
        <v>488</v>
      </c>
    </row>
    <row r="859" spans="1:18" hidden="1" x14ac:dyDescent="0.2">
      <c r="A859">
        <v>4</v>
      </c>
      <c r="B859" t="s">
        <v>53</v>
      </c>
      <c r="E859" t="s">
        <v>19</v>
      </c>
      <c r="F859">
        <v>2246974</v>
      </c>
      <c r="G859">
        <v>4</v>
      </c>
      <c r="H859">
        <v>3</v>
      </c>
      <c r="I859">
        <v>293</v>
      </c>
      <c r="J859">
        <v>2010</v>
      </c>
      <c r="K859" s="4">
        <v>44478</v>
      </c>
      <c r="L859" t="s">
        <v>23</v>
      </c>
      <c r="M859" t="s">
        <v>31</v>
      </c>
      <c r="N859">
        <v>1.93</v>
      </c>
      <c r="O859">
        <v>1093</v>
      </c>
      <c r="P859">
        <v>3.77</v>
      </c>
      <c r="Q859">
        <v>361</v>
      </c>
      <c r="R859">
        <v>674</v>
      </c>
    </row>
    <row r="860" spans="1:18" hidden="1" x14ac:dyDescent="0.2">
      <c r="A860">
        <v>6</v>
      </c>
      <c r="B860" t="s">
        <v>44</v>
      </c>
      <c r="E860" t="s">
        <v>51</v>
      </c>
      <c r="F860">
        <v>514956</v>
      </c>
      <c r="G860">
        <v>4</v>
      </c>
      <c r="H860">
        <v>2</v>
      </c>
      <c r="I860">
        <v>807</v>
      </c>
      <c r="J860">
        <v>2011</v>
      </c>
      <c r="K860" s="4">
        <v>45193</v>
      </c>
      <c r="L860" t="s">
        <v>26</v>
      </c>
      <c r="M860" t="s">
        <v>52</v>
      </c>
      <c r="N860">
        <v>2.17</v>
      </c>
      <c r="O860">
        <v>1300</v>
      </c>
      <c r="P860">
        <v>3.15</v>
      </c>
      <c r="Q860">
        <v>235</v>
      </c>
      <c r="R860">
        <v>645</v>
      </c>
    </row>
    <row r="861" spans="1:18" hidden="1" x14ac:dyDescent="0.2">
      <c r="A861">
        <v>6</v>
      </c>
      <c r="B861" t="s">
        <v>84</v>
      </c>
      <c r="E861" t="s">
        <v>19</v>
      </c>
      <c r="F861">
        <v>489121</v>
      </c>
      <c r="G861">
        <v>4</v>
      </c>
      <c r="H861">
        <v>1</v>
      </c>
      <c r="I861">
        <v>404</v>
      </c>
      <c r="J861">
        <v>1971</v>
      </c>
      <c r="K861" s="4">
        <v>45756</v>
      </c>
      <c r="L861" t="s">
        <v>20</v>
      </c>
      <c r="M861" t="s">
        <v>59</v>
      </c>
      <c r="N861">
        <v>2.98</v>
      </c>
      <c r="O861">
        <v>897</v>
      </c>
      <c r="P861">
        <v>3.11</v>
      </c>
      <c r="Q861">
        <v>233</v>
      </c>
      <c r="R861">
        <v>507</v>
      </c>
    </row>
    <row r="862" spans="1:18" hidden="1" x14ac:dyDescent="0.2">
      <c r="A862">
        <v>5</v>
      </c>
      <c r="B862" t="s">
        <v>48</v>
      </c>
      <c r="E862" t="s">
        <v>51</v>
      </c>
      <c r="F862">
        <v>1620363</v>
      </c>
      <c r="G862">
        <v>2</v>
      </c>
      <c r="H862">
        <v>2</v>
      </c>
      <c r="I862">
        <v>454</v>
      </c>
      <c r="J862">
        <v>1995</v>
      </c>
      <c r="K862" s="4">
        <v>45396</v>
      </c>
      <c r="L862" t="s">
        <v>20</v>
      </c>
      <c r="M862" t="s">
        <v>97</v>
      </c>
      <c r="N862">
        <v>1.97</v>
      </c>
      <c r="O862">
        <v>1061</v>
      </c>
      <c r="P862">
        <v>1.22</v>
      </c>
      <c r="Q862">
        <v>200</v>
      </c>
      <c r="R862">
        <v>391</v>
      </c>
    </row>
    <row r="863" spans="1:18" hidden="1" x14ac:dyDescent="0.2">
      <c r="A863">
        <v>7</v>
      </c>
      <c r="B863" t="s">
        <v>88</v>
      </c>
      <c r="E863" t="s">
        <v>51</v>
      </c>
      <c r="F863">
        <v>1206987</v>
      </c>
      <c r="G863">
        <v>5</v>
      </c>
      <c r="H863">
        <v>1</v>
      </c>
      <c r="I863">
        <v>940</v>
      </c>
      <c r="J863">
        <v>1953</v>
      </c>
      <c r="K863" s="4">
        <v>44140</v>
      </c>
      <c r="L863" t="s">
        <v>23</v>
      </c>
      <c r="M863" t="s">
        <v>21</v>
      </c>
      <c r="N863">
        <v>2.11</v>
      </c>
      <c r="O863">
        <v>1826</v>
      </c>
      <c r="P863">
        <v>4.3600000000000003</v>
      </c>
      <c r="Q863">
        <v>367</v>
      </c>
      <c r="R863">
        <v>685</v>
      </c>
    </row>
    <row r="864" spans="1:18" hidden="1" x14ac:dyDescent="0.2">
      <c r="A864">
        <v>5</v>
      </c>
      <c r="B864" t="s">
        <v>28</v>
      </c>
      <c r="E864" t="s">
        <v>36</v>
      </c>
      <c r="F864">
        <v>1353275</v>
      </c>
      <c r="G864">
        <v>3</v>
      </c>
      <c r="H864">
        <v>2</v>
      </c>
      <c r="I864">
        <v>369</v>
      </c>
      <c r="J864">
        <v>1986</v>
      </c>
      <c r="K864" s="4">
        <v>44417</v>
      </c>
      <c r="L864" t="s">
        <v>30</v>
      </c>
      <c r="M864" t="s">
        <v>68</v>
      </c>
      <c r="N864">
        <v>2.35</v>
      </c>
      <c r="O864">
        <v>1062</v>
      </c>
      <c r="P864">
        <v>4.08</v>
      </c>
      <c r="Q864">
        <v>258</v>
      </c>
      <c r="R864">
        <v>360</v>
      </c>
    </row>
    <row r="865" spans="1:18" hidden="1" x14ac:dyDescent="0.2">
      <c r="A865">
        <v>4</v>
      </c>
      <c r="B865" t="s">
        <v>32</v>
      </c>
      <c r="E865" t="s">
        <v>36</v>
      </c>
      <c r="F865">
        <v>2975270</v>
      </c>
      <c r="G865">
        <v>1</v>
      </c>
      <c r="H865">
        <v>3</v>
      </c>
      <c r="I865">
        <v>773</v>
      </c>
      <c r="J865">
        <v>1995</v>
      </c>
      <c r="K865" s="4">
        <v>44658</v>
      </c>
      <c r="L865" t="s">
        <v>20</v>
      </c>
      <c r="M865" t="s">
        <v>97</v>
      </c>
      <c r="N865">
        <v>3.4</v>
      </c>
      <c r="O865">
        <v>1338</v>
      </c>
      <c r="P865">
        <v>0.75</v>
      </c>
      <c r="Q865">
        <v>152</v>
      </c>
      <c r="R865">
        <v>472</v>
      </c>
    </row>
    <row r="866" spans="1:18" hidden="1" x14ac:dyDescent="0.2">
      <c r="A866">
        <v>6</v>
      </c>
      <c r="B866" t="s">
        <v>71</v>
      </c>
      <c r="E866" t="s">
        <v>51</v>
      </c>
      <c r="F866">
        <v>874019</v>
      </c>
      <c r="G866">
        <v>2</v>
      </c>
      <c r="H866">
        <v>1</v>
      </c>
      <c r="I866">
        <v>116</v>
      </c>
      <c r="J866">
        <v>1985</v>
      </c>
      <c r="K866" s="4">
        <v>45290</v>
      </c>
      <c r="L866" t="s">
        <v>26</v>
      </c>
      <c r="M866" t="s">
        <v>85</v>
      </c>
      <c r="N866">
        <v>3.39</v>
      </c>
      <c r="O866">
        <v>1752</v>
      </c>
      <c r="P866">
        <v>1.47</v>
      </c>
      <c r="Q866">
        <v>148</v>
      </c>
      <c r="R866">
        <v>594</v>
      </c>
    </row>
    <row r="867" spans="1:18" hidden="1" x14ac:dyDescent="0.2">
      <c r="A867">
        <v>3</v>
      </c>
      <c r="B867" t="s">
        <v>67</v>
      </c>
      <c r="E867" t="s">
        <v>19</v>
      </c>
      <c r="F867">
        <v>1773428</v>
      </c>
      <c r="G867">
        <v>5</v>
      </c>
      <c r="H867">
        <v>1</v>
      </c>
      <c r="I867">
        <v>399</v>
      </c>
      <c r="J867">
        <v>1973</v>
      </c>
      <c r="K867" s="4">
        <v>45129</v>
      </c>
      <c r="L867" t="s">
        <v>30</v>
      </c>
      <c r="M867" t="s">
        <v>21</v>
      </c>
      <c r="N867">
        <v>2.75</v>
      </c>
      <c r="O867">
        <v>996</v>
      </c>
      <c r="P867">
        <v>0.11</v>
      </c>
      <c r="Q867">
        <v>368</v>
      </c>
      <c r="R867">
        <v>401</v>
      </c>
    </row>
    <row r="868" spans="1:18" hidden="1" x14ac:dyDescent="0.2">
      <c r="A868">
        <v>5</v>
      </c>
      <c r="B868" t="s">
        <v>64</v>
      </c>
      <c r="E868" t="s">
        <v>19</v>
      </c>
      <c r="F868">
        <v>494355</v>
      </c>
      <c r="G868">
        <v>6</v>
      </c>
      <c r="H868">
        <v>3</v>
      </c>
      <c r="I868">
        <v>78</v>
      </c>
      <c r="J868">
        <v>1998</v>
      </c>
      <c r="K868" s="4">
        <v>44937</v>
      </c>
      <c r="L868" t="s">
        <v>23</v>
      </c>
      <c r="M868" t="s">
        <v>59</v>
      </c>
      <c r="N868">
        <v>3.1</v>
      </c>
      <c r="O868">
        <v>2398</v>
      </c>
      <c r="P868">
        <v>2.9</v>
      </c>
      <c r="Q868">
        <v>378</v>
      </c>
      <c r="R868">
        <v>393</v>
      </c>
    </row>
    <row r="869" spans="1:18" hidden="1" x14ac:dyDescent="0.2">
      <c r="A869">
        <v>9</v>
      </c>
      <c r="B869" t="s">
        <v>75</v>
      </c>
      <c r="E869" t="s">
        <v>19</v>
      </c>
      <c r="F869">
        <v>2451704</v>
      </c>
      <c r="G869">
        <v>5</v>
      </c>
      <c r="H869">
        <v>1</v>
      </c>
      <c r="I869">
        <v>113</v>
      </c>
      <c r="J869">
        <v>1968</v>
      </c>
      <c r="K869" s="4">
        <v>44187</v>
      </c>
      <c r="L869" t="s">
        <v>30</v>
      </c>
      <c r="M869" t="s">
        <v>76</v>
      </c>
      <c r="N869">
        <v>3.07</v>
      </c>
      <c r="O869">
        <v>1989</v>
      </c>
      <c r="P869">
        <v>4.22</v>
      </c>
      <c r="Q869">
        <v>385</v>
      </c>
      <c r="R869">
        <v>378</v>
      </c>
    </row>
    <row r="870" spans="1:18" hidden="1" x14ac:dyDescent="0.2">
      <c r="A870">
        <v>4</v>
      </c>
      <c r="B870" t="s">
        <v>94</v>
      </c>
      <c r="E870" t="s">
        <v>19</v>
      </c>
      <c r="F870">
        <v>1942090</v>
      </c>
      <c r="G870">
        <v>5</v>
      </c>
      <c r="H870">
        <v>1</v>
      </c>
      <c r="I870">
        <v>553</v>
      </c>
      <c r="J870">
        <v>1955</v>
      </c>
      <c r="K870" s="4">
        <v>44524</v>
      </c>
      <c r="L870" t="s">
        <v>30</v>
      </c>
      <c r="M870" t="s">
        <v>85</v>
      </c>
      <c r="N870">
        <v>3.45</v>
      </c>
      <c r="O870">
        <v>1151</v>
      </c>
      <c r="P870">
        <v>3.2</v>
      </c>
      <c r="Q870">
        <v>333</v>
      </c>
      <c r="R870">
        <v>335</v>
      </c>
    </row>
    <row r="871" spans="1:18" hidden="1" x14ac:dyDescent="0.2">
      <c r="A871">
        <v>5</v>
      </c>
      <c r="B871" t="s">
        <v>57</v>
      </c>
      <c r="E871" t="s">
        <v>29</v>
      </c>
      <c r="F871">
        <v>2674655</v>
      </c>
      <c r="G871">
        <v>1</v>
      </c>
      <c r="H871">
        <v>3</v>
      </c>
      <c r="I871">
        <v>116</v>
      </c>
      <c r="J871">
        <v>1989</v>
      </c>
      <c r="K871" s="4">
        <v>44647</v>
      </c>
      <c r="L871" t="s">
        <v>20</v>
      </c>
      <c r="M871" t="s">
        <v>78</v>
      </c>
      <c r="N871">
        <v>2.63</v>
      </c>
      <c r="O871">
        <v>1511</v>
      </c>
      <c r="P871">
        <v>0.5</v>
      </c>
      <c r="Q871">
        <v>66</v>
      </c>
      <c r="R871">
        <v>423</v>
      </c>
    </row>
    <row r="872" spans="1:18" hidden="1" x14ac:dyDescent="0.2">
      <c r="A872">
        <v>5</v>
      </c>
      <c r="B872" t="s">
        <v>72</v>
      </c>
      <c r="E872" t="s">
        <v>19</v>
      </c>
      <c r="F872">
        <v>2538305</v>
      </c>
      <c r="G872">
        <v>5</v>
      </c>
      <c r="H872">
        <v>2</v>
      </c>
      <c r="I872">
        <v>829</v>
      </c>
      <c r="J872">
        <v>1951</v>
      </c>
      <c r="K872" s="4">
        <v>45530</v>
      </c>
      <c r="L872" t="s">
        <v>26</v>
      </c>
      <c r="M872" t="s">
        <v>63</v>
      </c>
      <c r="N872">
        <v>2.87</v>
      </c>
      <c r="O872">
        <v>1637</v>
      </c>
      <c r="P872">
        <v>1.53</v>
      </c>
      <c r="Q872">
        <v>347</v>
      </c>
      <c r="R872">
        <v>591</v>
      </c>
    </row>
    <row r="873" spans="1:18" hidden="1" x14ac:dyDescent="0.2">
      <c r="A873">
        <v>9</v>
      </c>
      <c r="B873" t="s">
        <v>81</v>
      </c>
      <c r="E873" t="s">
        <v>36</v>
      </c>
      <c r="F873">
        <v>1137675</v>
      </c>
      <c r="G873">
        <v>4</v>
      </c>
      <c r="H873">
        <v>1</v>
      </c>
      <c r="I873">
        <v>183</v>
      </c>
      <c r="J873">
        <v>1955</v>
      </c>
      <c r="K873" s="4">
        <v>45260</v>
      </c>
      <c r="L873" t="s">
        <v>30</v>
      </c>
      <c r="M873" t="s">
        <v>31</v>
      </c>
      <c r="N873">
        <v>1.77</v>
      </c>
      <c r="O873">
        <v>1739</v>
      </c>
      <c r="P873">
        <v>2.73</v>
      </c>
      <c r="Q873">
        <v>400</v>
      </c>
      <c r="R873">
        <v>401</v>
      </c>
    </row>
    <row r="874" spans="1:18" hidden="1" x14ac:dyDescent="0.2">
      <c r="A874">
        <v>0</v>
      </c>
      <c r="B874" t="s">
        <v>43</v>
      </c>
      <c r="E874" t="s">
        <v>29</v>
      </c>
      <c r="F874">
        <v>1857850</v>
      </c>
      <c r="G874">
        <v>2</v>
      </c>
      <c r="H874">
        <v>2</v>
      </c>
      <c r="I874">
        <v>238</v>
      </c>
      <c r="J874">
        <v>1960</v>
      </c>
      <c r="K874" s="4">
        <v>44093</v>
      </c>
      <c r="L874" t="s">
        <v>30</v>
      </c>
      <c r="M874" t="s">
        <v>35</v>
      </c>
      <c r="N874">
        <v>2.9</v>
      </c>
      <c r="O874">
        <v>1630</v>
      </c>
      <c r="P874">
        <v>0.79</v>
      </c>
      <c r="Q874">
        <v>212</v>
      </c>
      <c r="R874">
        <v>354</v>
      </c>
    </row>
    <row r="875" spans="1:18" hidden="1" x14ac:dyDescent="0.2">
      <c r="A875">
        <v>6</v>
      </c>
      <c r="B875" t="s">
        <v>102</v>
      </c>
      <c r="E875" t="s">
        <v>51</v>
      </c>
      <c r="F875">
        <v>2618501</v>
      </c>
      <c r="G875">
        <v>2</v>
      </c>
      <c r="H875">
        <v>1</v>
      </c>
      <c r="I875">
        <v>805</v>
      </c>
      <c r="J875">
        <v>2017</v>
      </c>
      <c r="K875" s="4">
        <v>44794</v>
      </c>
      <c r="L875" t="s">
        <v>20</v>
      </c>
      <c r="M875" t="s">
        <v>68</v>
      </c>
      <c r="N875">
        <v>2.58</v>
      </c>
      <c r="O875">
        <v>972</v>
      </c>
      <c r="P875">
        <v>0.14000000000000001</v>
      </c>
      <c r="Q875">
        <v>210</v>
      </c>
      <c r="R875">
        <v>472</v>
      </c>
    </row>
    <row r="876" spans="1:18" hidden="1" x14ac:dyDescent="0.2">
      <c r="A876">
        <v>0</v>
      </c>
      <c r="B876" t="s">
        <v>46</v>
      </c>
      <c r="E876" t="s">
        <v>36</v>
      </c>
      <c r="F876">
        <v>2306214</v>
      </c>
      <c r="G876">
        <v>1</v>
      </c>
      <c r="H876">
        <v>2</v>
      </c>
      <c r="I876">
        <v>788</v>
      </c>
      <c r="J876">
        <v>2002</v>
      </c>
      <c r="K876" s="4">
        <v>44362</v>
      </c>
      <c r="L876" t="s">
        <v>26</v>
      </c>
      <c r="M876" t="s">
        <v>54</v>
      </c>
      <c r="N876">
        <v>2.76</v>
      </c>
      <c r="O876">
        <v>1652</v>
      </c>
      <c r="P876">
        <v>2.4900000000000002</v>
      </c>
      <c r="Q876">
        <v>141</v>
      </c>
      <c r="R876">
        <v>602</v>
      </c>
    </row>
    <row r="877" spans="1:18" hidden="1" x14ac:dyDescent="0.2">
      <c r="A877">
        <v>1</v>
      </c>
      <c r="B877" t="s">
        <v>49</v>
      </c>
      <c r="E877" t="s">
        <v>19</v>
      </c>
      <c r="F877">
        <v>2603537</v>
      </c>
      <c r="G877">
        <v>4</v>
      </c>
      <c r="H877">
        <v>1</v>
      </c>
      <c r="I877">
        <v>62</v>
      </c>
      <c r="J877">
        <v>1960</v>
      </c>
      <c r="K877" s="4">
        <v>45303</v>
      </c>
      <c r="L877" t="s">
        <v>30</v>
      </c>
      <c r="M877" t="s">
        <v>24</v>
      </c>
      <c r="N877">
        <v>2.13</v>
      </c>
      <c r="O877">
        <v>890</v>
      </c>
      <c r="P877">
        <v>4.74</v>
      </c>
      <c r="Q877">
        <v>267</v>
      </c>
      <c r="R877">
        <v>447</v>
      </c>
    </row>
    <row r="878" spans="1:18" hidden="1" x14ac:dyDescent="0.2">
      <c r="A878">
        <v>1</v>
      </c>
      <c r="B878" t="s">
        <v>83</v>
      </c>
      <c r="E878" t="s">
        <v>29</v>
      </c>
      <c r="F878">
        <v>2933360</v>
      </c>
      <c r="G878">
        <v>6</v>
      </c>
      <c r="H878">
        <v>2</v>
      </c>
      <c r="I878">
        <v>687</v>
      </c>
      <c r="J878">
        <v>1988</v>
      </c>
      <c r="K878" s="4">
        <v>44196</v>
      </c>
      <c r="L878" t="s">
        <v>30</v>
      </c>
      <c r="M878" t="s">
        <v>59</v>
      </c>
      <c r="N878">
        <v>1.62</v>
      </c>
      <c r="O878">
        <v>2258</v>
      </c>
      <c r="P878">
        <v>3.19</v>
      </c>
      <c r="Q878">
        <v>366</v>
      </c>
      <c r="R878">
        <v>536</v>
      </c>
    </row>
    <row r="879" spans="1:18" hidden="1" x14ac:dyDescent="0.2">
      <c r="A879">
        <v>4</v>
      </c>
      <c r="B879" t="s">
        <v>91</v>
      </c>
      <c r="E879" t="s">
        <v>51</v>
      </c>
      <c r="F879">
        <v>1262973</v>
      </c>
      <c r="G879">
        <v>3</v>
      </c>
      <c r="H879">
        <v>2</v>
      </c>
      <c r="I879">
        <v>487</v>
      </c>
      <c r="J879">
        <v>1992</v>
      </c>
      <c r="K879" s="4">
        <v>45456</v>
      </c>
      <c r="L879" t="s">
        <v>30</v>
      </c>
      <c r="M879" t="s">
        <v>33</v>
      </c>
      <c r="N879">
        <v>1.58</v>
      </c>
      <c r="O879">
        <v>1709</v>
      </c>
      <c r="P879">
        <v>0.55000000000000004</v>
      </c>
      <c r="Q879">
        <v>140</v>
      </c>
      <c r="R879">
        <v>463</v>
      </c>
    </row>
    <row r="880" spans="1:18" hidden="1" x14ac:dyDescent="0.2">
      <c r="A880">
        <v>0</v>
      </c>
      <c r="B880" t="s">
        <v>87</v>
      </c>
      <c r="E880" t="s">
        <v>29</v>
      </c>
      <c r="F880">
        <v>1925417</v>
      </c>
      <c r="G880">
        <v>4</v>
      </c>
      <c r="H880">
        <v>3</v>
      </c>
      <c r="I880">
        <v>747</v>
      </c>
      <c r="J880">
        <v>1976</v>
      </c>
      <c r="K880" s="4">
        <v>45163</v>
      </c>
      <c r="L880" t="s">
        <v>26</v>
      </c>
      <c r="M880" t="s">
        <v>27</v>
      </c>
      <c r="N880">
        <v>2.52</v>
      </c>
      <c r="O880">
        <v>930</v>
      </c>
      <c r="P880">
        <v>0.26</v>
      </c>
      <c r="Q880">
        <v>215</v>
      </c>
      <c r="R880">
        <v>550</v>
      </c>
    </row>
    <row r="881" spans="1:18" hidden="1" x14ac:dyDescent="0.2">
      <c r="A881">
        <v>2</v>
      </c>
      <c r="B881" t="s">
        <v>83</v>
      </c>
      <c r="E881" t="s">
        <v>36</v>
      </c>
      <c r="F881">
        <v>1789194</v>
      </c>
      <c r="G881">
        <v>3</v>
      </c>
      <c r="H881">
        <v>2</v>
      </c>
      <c r="I881">
        <v>267</v>
      </c>
      <c r="J881">
        <v>2009</v>
      </c>
      <c r="K881" s="4">
        <v>45395</v>
      </c>
      <c r="L881" t="s">
        <v>30</v>
      </c>
      <c r="M881" t="s">
        <v>37</v>
      </c>
      <c r="N881">
        <v>1.75</v>
      </c>
      <c r="O881">
        <v>1997</v>
      </c>
      <c r="P881">
        <v>1.73</v>
      </c>
      <c r="Q881">
        <v>114</v>
      </c>
      <c r="R881">
        <v>628</v>
      </c>
    </row>
    <row r="882" spans="1:18" hidden="1" x14ac:dyDescent="0.2">
      <c r="A882">
        <v>9</v>
      </c>
      <c r="B882" t="s">
        <v>64</v>
      </c>
      <c r="E882" t="s">
        <v>51</v>
      </c>
      <c r="F882">
        <v>1087592</v>
      </c>
      <c r="G882">
        <v>0</v>
      </c>
      <c r="H882">
        <v>3</v>
      </c>
      <c r="I882">
        <v>916</v>
      </c>
      <c r="J882">
        <v>1986</v>
      </c>
      <c r="K882" s="4">
        <v>44301</v>
      </c>
      <c r="L882" t="s">
        <v>30</v>
      </c>
      <c r="M882" t="s">
        <v>54</v>
      </c>
      <c r="N882">
        <v>2.64</v>
      </c>
      <c r="O882">
        <v>1315</v>
      </c>
      <c r="P882">
        <v>1.86</v>
      </c>
      <c r="Q882">
        <v>75</v>
      </c>
      <c r="R882">
        <v>561</v>
      </c>
    </row>
    <row r="883" spans="1:18" hidden="1" x14ac:dyDescent="0.2">
      <c r="A883">
        <v>4</v>
      </c>
      <c r="B883" t="s">
        <v>86</v>
      </c>
      <c r="E883" t="s">
        <v>36</v>
      </c>
      <c r="F883">
        <v>577976</v>
      </c>
      <c r="G883">
        <v>1</v>
      </c>
      <c r="H883">
        <v>3</v>
      </c>
      <c r="I883">
        <v>989</v>
      </c>
      <c r="J883">
        <v>2005</v>
      </c>
      <c r="K883" s="4">
        <v>45427</v>
      </c>
      <c r="L883" t="s">
        <v>20</v>
      </c>
      <c r="M883" t="s">
        <v>40</v>
      </c>
      <c r="N883">
        <v>2.09</v>
      </c>
      <c r="O883">
        <v>2420</v>
      </c>
      <c r="P883">
        <v>4.82</v>
      </c>
      <c r="Q883">
        <v>90</v>
      </c>
      <c r="R883">
        <v>697</v>
      </c>
    </row>
    <row r="884" spans="1:18" hidden="1" x14ac:dyDescent="0.2">
      <c r="A884">
        <v>7</v>
      </c>
      <c r="B884" t="s">
        <v>88</v>
      </c>
      <c r="E884" t="s">
        <v>19</v>
      </c>
      <c r="F884">
        <v>1826981</v>
      </c>
      <c r="G884">
        <v>1</v>
      </c>
      <c r="H884">
        <v>1</v>
      </c>
      <c r="I884">
        <v>481</v>
      </c>
      <c r="J884">
        <v>2013</v>
      </c>
      <c r="K884" s="4">
        <v>45673</v>
      </c>
      <c r="L884" t="s">
        <v>26</v>
      </c>
      <c r="M884" t="s">
        <v>68</v>
      </c>
      <c r="N884">
        <v>2.0099999999999998</v>
      </c>
      <c r="O884">
        <v>1112</v>
      </c>
      <c r="P884">
        <v>1.81</v>
      </c>
      <c r="Q884">
        <v>93</v>
      </c>
      <c r="R884">
        <v>600</v>
      </c>
    </row>
    <row r="885" spans="1:18" hidden="1" x14ac:dyDescent="0.2">
      <c r="A885">
        <v>0</v>
      </c>
      <c r="B885" t="s">
        <v>87</v>
      </c>
      <c r="E885" t="s">
        <v>19</v>
      </c>
      <c r="F885">
        <v>2160463</v>
      </c>
      <c r="G885">
        <v>3</v>
      </c>
      <c r="H885">
        <v>3</v>
      </c>
      <c r="I885">
        <v>694</v>
      </c>
      <c r="J885">
        <v>1952</v>
      </c>
      <c r="K885" s="4">
        <v>44687</v>
      </c>
      <c r="L885" t="s">
        <v>20</v>
      </c>
      <c r="M885" t="s">
        <v>59</v>
      </c>
      <c r="N885">
        <v>2.83</v>
      </c>
      <c r="O885">
        <v>912</v>
      </c>
      <c r="P885">
        <v>0.84</v>
      </c>
      <c r="Q885">
        <v>96</v>
      </c>
      <c r="R885">
        <v>348</v>
      </c>
    </row>
    <row r="886" spans="1:18" x14ac:dyDescent="0.2">
      <c r="A886">
        <v>8</v>
      </c>
      <c r="B886" t="s">
        <v>95</v>
      </c>
      <c r="E886" t="s">
        <v>36</v>
      </c>
      <c r="F886">
        <v>2185537</v>
      </c>
      <c r="G886">
        <v>5</v>
      </c>
      <c r="H886">
        <v>2</v>
      </c>
      <c r="I886">
        <v>86</v>
      </c>
      <c r="J886">
        <v>1980</v>
      </c>
      <c r="K886" s="4">
        <v>44088</v>
      </c>
      <c r="L886" t="s">
        <v>30</v>
      </c>
      <c r="M886" t="s">
        <v>82</v>
      </c>
      <c r="N886">
        <v>2.16</v>
      </c>
      <c r="O886">
        <v>801</v>
      </c>
      <c r="P886">
        <v>4.9800000000000004</v>
      </c>
      <c r="Q886">
        <v>312</v>
      </c>
      <c r="R886">
        <v>495</v>
      </c>
    </row>
    <row r="887" spans="1:18" hidden="1" x14ac:dyDescent="0.2">
      <c r="A887">
        <v>5</v>
      </c>
      <c r="B887" t="s">
        <v>67</v>
      </c>
      <c r="E887" t="s">
        <v>36</v>
      </c>
      <c r="F887">
        <v>1083279</v>
      </c>
      <c r="G887">
        <v>5</v>
      </c>
      <c r="H887">
        <v>2</v>
      </c>
      <c r="I887">
        <v>353</v>
      </c>
      <c r="J887">
        <v>1973</v>
      </c>
      <c r="K887" s="4">
        <v>44579</v>
      </c>
      <c r="L887" t="s">
        <v>20</v>
      </c>
      <c r="M887" t="s">
        <v>56</v>
      </c>
      <c r="N887">
        <v>2.54</v>
      </c>
      <c r="O887">
        <v>2379</v>
      </c>
      <c r="P887">
        <v>3.95</v>
      </c>
      <c r="Q887">
        <v>302</v>
      </c>
      <c r="R887">
        <v>541</v>
      </c>
    </row>
    <row r="888" spans="1:18" hidden="1" x14ac:dyDescent="0.2">
      <c r="A888">
        <v>6</v>
      </c>
      <c r="B888" t="s">
        <v>101</v>
      </c>
      <c r="E888" t="s">
        <v>29</v>
      </c>
      <c r="F888">
        <v>1942406</v>
      </c>
      <c r="G888">
        <v>5</v>
      </c>
      <c r="H888">
        <v>1</v>
      </c>
      <c r="I888">
        <v>135</v>
      </c>
      <c r="J888">
        <v>1988</v>
      </c>
      <c r="K888" s="4">
        <v>45372</v>
      </c>
      <c r="L888" t="s">
        <v>30</v>
      </c>
      <c r="M888" t="s">
        <v>47</v>
      </c>
      <c r="N888">
        <v>2.82</v>
      </c>
      <c r="O888">
        <v>1643</v>
      </c>
      <c r="P888">
        <v>1.71</v>
      </c>
      <c r="Q888">
        <v>315</v>
      </c>
      <c r="R888">
        <v>390</v>
      </c>
    </row>
    <row r="889" spans="1:18" hidden="1" x14ac:dyDescent="0.2">
      <c r="A889">
        <v>3</v>
      </c>
      <c r="B889" t="s">
        <v>49</v>
      </c>
      <c r="E889" t="s">
        <v>51</v>
      </c>
      <c r="F889">
        <v>913729</v>
      </c>
      <c r="G889">
        <v>6</v>
      </c>
      <c r="H889">
        <v>1</v>
      </c>
      <c r="I889">
        <v>471</v>
      </c>
      <c r="J889">
        <v>1997</v>
      </c>
      <c r="K889" s="4">
        <v>45673</v>
      </c>
      <c r="L889" t="s">
        <v>26</v>
      </c>
      <c r="M889" t="s">
        <v>52</v>
      </c>
      <c r="N889">
        <v>2.77</v>
      </c>
      <c r="O889">
        <v>2046</v>
      </c>
      <c r="P889">
        <v>0.98</v>
      </c>
      <c r="Q889">
        <v>349</v>
      </c>
      <c r="R889">
        <v>685</v>
      </c>
    </row>
    <row r="890" spans="1:18" hidden="1" x14ac:dyDescent="0.2">
      <c r="A890">
        <v>9</v>
      </c>
      <c r="B890" t="s">
        <v>25</v>
      </c>
      <c r="E890" t="s">
        <v>29</v>
      </c>
      <c r="F890">
        <v>1279865</v>
      </c>
      <c r="G890">
        <v>5</v>
      </c>
      <c r="H890">
        <v>1</v>
      </c>
      <c r="I890">
        <v>616</v>
      </c>
      <c r="J890">
        <v>1957</v>
      </c>
      <c r="K890" s="4">
        <v>44476</v>
      </c>
      <c r="L890" t="s">
        <v>20</v>
      </c>
      <c r="M890" t="s">
        <v>12</v>
      </c>
      <c r="N890">
        <v>1.9</v>
      </c>
      <c r="O890">
        <v>1529</v>
      </c>
      <c r="P890">
        <v>0.98</v>
      </c>
      <c r="Q890">
        <v>321</v>
      </c>
      <c r="R890">
        <v>657</v>
      </c>
    </row>
    <row r="891" spans="1:18" hidden="1" x14ac:dyDescent="0.2">
      <c r="A891">
        <v>7</v>
      </c>
      <c r="B891" t="s">
        <v>99</v>
      </c>
      <c r="E891" t="s">
        <v>36</v>
      </c>
      <c r="F891">
        <v>1191396</v>
      </c>
      <c r="G891">
        <v>2</v>
      </c>
      <c r="H891">
        <v>1</v>
      </c>
      <c r="I891">
        <v>948</v>
      </c>
      <c r="J891">
        <v>1985</v>
      </c>
      <c r="K891" s="4">
        <v>44647</v>
      </c>
      <c r="L891" t="s">
        <v>26</v>
      </c>
      <c r="M891" t="s">
        <v>31</v>
      </c>
      <c r="N891">
        <v>3.35</v>
      </c>
      <c r="O891">
        <v>2082</v>
      </c>
      <c r="P891">
        <v>4.59</v>
      </c>
      <c r="Q891">
        <v>164</v>
      </c>
      <c r="R891">
        <v>537</v>
      </c>
    </row>
    <row r="892" spans="1:18" hidden="1" x14ac:dyDescent="0.2">
      <c r="A892">
        <v>5</v>
      </c>
      <c r="B892" t="s">
        <v>102</v>
      </c>
      <c r="E892" t="s">
        <v>51</v>
      </c>
      <c r="F892">
        <v>1542019</v>
      </c>
      <c r="G892">
        <v>3</v>
      </c>
      <c r="H892">
        <v>2</v>
      </c>
      <c r="I892">
        <v>181</v>
      </c>
      <c r="J892">
        <v>1973</v>
      </c>
      <c r="K892" s="4">
        <v>44570</v>
      </c>
      <c r="L892" t="s">
        <v>20</v>
      </c>
      <c r="M892" t="s">
        <v>89</v>
      </c>
      <c r="N892">
        <v>3.01</v>
      </c>
      <c r="O892">
        <v>2279</v>
      </c>
      <c r="P892">
        <v>2.91</v>
      </c>
      <c r="Q892">
        <v>96</v>
      </c>
      <c r="R892">
        <v>361</v>
      </c>
    </row>
    <row r="893" spans="1:18" hidden="1" x14ac:dyDescent="0.2">
      <c r="A893">
        <v>9</v>
      </c>
      <c r="B893" t="s">
        <v>25</v>
      </c>
      <c r="E893" t="s">
        <v>36</v>
      </c>
      <c r="F893">
        <v>777796</v>
      </c>
      <c r="G893">
        <v>3</v>
      </c>
      <c r="H893">
        <v>3</v>
      </c>
      <c r="I893">
        <v>788</v>
      </c>
      <c r="J893">
        <v>1973</v>
      </c>
      <c r="K893" s="4">
        <v>44701</v>
      </c>
      <c r="L893" t="s">
        <v>23</v>
      </c>
      <c r="M893" t="s">
        <v>74</v>
      </c>
      <c r="N893">
        <v>2.98</v>
      </c>
      <c r="O893">
        <v>1189</v>
      </c>
      <c r="P893">
        <v>4.5199999999999996</v>
      </c>
      <c r="Q893">
        <v>285</v>
      </c>
      <c r="R893">
        <v>330</v>
      </c>
    </row>
    <row r="894" spans="1:18" hidden="1" x14ac:dyDescent="0.2">
      <c r="A894">
        <v>6</v>
      </c>
      <c r="B894" t="s">
        <v>75</v>
      </c>
      <c r="E894" t="s">
        <v>19</v>
      </c>
      <c r="F894">
        <v>2960770</v>
      </c>
      <c r="G894">
        <v>2</v>
      </c>
      <c r="H894">
        <v>2</v>
      </c>
      <c r="I894">
        <v>480</v>
      </c>
      <c r="J894">
        <v>1950</v>
      </c>
      <c r="K894" s="4">
        <v>44888</v>
      </c>
      <c r="L894" t="s">
        <v>30</v>
      </c>
      <c r="M894" t="s">
        <v>68</v>
      </c>
      <c r="N894">
        <v>2.98</v>
      </c>
      <c r="O894">
        <v>2438</v>
      </c>
      <c r="P894">
        <v>1.27</v>
      </c>
      <c r="Q894">
        <v>236</v>
      </c>
      <c r="R894">
        <v>368</v>
      </c>
    </row>
    <row r="895" spans="1:18" hidden="1" x14ac:dyDescent="0.2">
      <c r="A895">
        <v>2</v>
      </c>
      <c r="B895" t="s">
        <v>87</v>
      </c>
      <c r="E895" t="s">
        <v>36</v>
      </c>
      <c r="F895">
        <v>1574559</v>
      </c>
      <c r="G895">
        <v>6</v>
      </c>
      <c r="H895">
        <v>1</v>
      </c>
      <c r="I895">
        <v>644</v>
      </c>
      <c r="J895">
        <v>2016</v>
      </c>
      <c r="K895" s="4">
        <v>45340</v>
      </c>
      <c r="L895" t="s">
        <v>23</v>
      </c>
      <c r="M895" t="s">
        <v>52</v>
      </c>
      <c r="N895">
        <v>2.0699999999999998</v>
      </c>
      <c r="O895">
        <v>2337</v>
      </c>
      <c r="P895">
        <v>4.53</v>
      </c>
      <c r="Q895">
        <v>345</v>
      </c>
      <c r="R895">
        <v>629</v>
      </c>
    </row>
    <row r="896" spans="1:18" x14ac:dyDescent="0.2">
      <c r="A896">
        <v>8</v>
      </c>
      <c r="B896" t="s">
        <v>53</v>
      </c>
      <c r="E896" t="s">
        <v>36</v>
      </c>
      <c r="F896">
        <v>522380</v>
      </c>
      <c r="G896">
        <v>3</v>
      </c>
      <c r="H896">
        <v>3</v>
      </c>
      <c r="I896">
        <v>940</v>
      </c>
      <c r="J896">
        <v>1960</v>
      </c>
      <c r="K896" s="4">
        <v>45591</v>
      </c>
      <c r="L896" t="s">
        <v>20</v>
      </c>
      <c r="M896" t="s">
        <v>70</v>
      </c>
      <c r="N896">
        <v>1.52</v>
      </c>
      <c r="O896">
        <v>951</v>
      </c>
      <c r="P896">
        <v>3.51</v>
      </c>
      <c r="Q896">
        <v>265</v>
      </c>
      <c r="R896">
        <v>620</v>
      </c>
    </row>
    <row r="897" spans="1:18" hidden="1" x14ac:dyDescent="0.2">
      <c r="A897">
        <v>7</v>
      </c>
      <c r="B897" t="s">
        <v>75</v>
      </c>
      <c r="E897" t="s">
        <v>36</v>
      </c>
      <c r="F897">
        <v>2763539</v>
      </c>
      <c r="G897">
        <v>3</v>
      </c>
      <c r="H897">
        <v>3</v>
      </c>
      <c r="I897">
        <v>411</v>
      </c>
      <c r="J897">
        <v>1982</v>
      </c>
      <c r="K897" s="4">
        <v>44161</v>
      </c>
      <c r="L897" t="s">
        <v>23</v>
      </c>
      <c r="M897" t="s">
        <v>33</v>
      </c>
      <c r="N897">
        <v>2.84</v>
      </c>
      <c r="O897">
        <v>2175</v>
      </c>
      <c r="P897">
        <v>0.95</v>
      </c>
      <c r="Q897">
        <v>147</v>
      </c>
      <c r="R897">
        <v>591</v>
      </c>
    </row>
    <row r="898" spans="1:18" x14ac:dyDescent="0.2">
      <c r="A898">
        <v>8</v>
      </c>
      <c r="B898" t="s">
        <v>91</v>
      </c>
      <c r="E898" t="s">
        <v>51</v>
      </c>
      <c r="F898">
        <v>638495</v>
      </c>
      <c r="G898">
        <v>6</v>
      </c>
      <c r="H898">
        <v>3</v>
      </c>
      <c r="I898">
        <v>899</v>
      </c>
      <c r="J898">
        <v>1957</v>
      </c>
      <c r="K898" s="4">
        <v>44827</v>
      </c>
      <c r="L898" t="s">
        <v>20</v>
      </c>
      <c r="M898" t="s">
        <v>59</v>
      </c>
      <c r="N898">
        <v>1.51</v>
      </c>
      <c r="O898">
        <v>1567</v>
      </c>
      <c r="P898">
        <v>3.35</v>
      </c>
      <c r="Q898">
        <v>381</v>
      </c>
      <c r="R898">
        <v>384</v>
      </c>
    </row>
    <row r="899" spans="1:18" hidden="1" x14ac:dyDescent="0.2">
      <c r="A899">
        <v>0</v>
      </c>
      <c r="B899" t="s">
        <v>64</v>
      </c>
      <c r="E899" t="s">
        <v>19</v>
      </c>
      <c r="F899">
        <v>1485217</v>
      </c>
      <c r="G899">
        <v>3</v>
      </c>
      <c r="H899">
        <v>3</v>
      </c>
      <c r="I899">
        <v>397</v>
      </c>
      <c r="J899">
        <v>1979</v>
      </c>
      <c r="K899" s="4">
        <v>44758</v>
      </c>
      <c r="L899" t="s">
        <v>30</v>
      </c>
      <c r="M899" t="s">
        <v>27</v>
      </c>
      <c r="N899">
        <v>3.26</v>
      </c>
      <c r="O899">
        <v>2475</v>
      </c>
      <c r="P899">
        <v>2.4300000000000002</v>
      </c>
      <c r="Q899">
        <v>137</v>
      </c>
      <c r="R899">
        <v>657</v>
      </c>
    </row>
    <row r="900" spans="1:18" hidden="1" x14ac:dyDescent="0.2">
      <c r="A900">
        <v>3</v>
      </c>
      <c r="B900" t="s">
        <v>61</v>
      </c>
      <c r="E900" t="s">
        <v>51</v>
      </c>
      <c r="F900">
        <v>2032533</v>
      </c>
      <c r="G900">
        <v>2</v>
      </c>
      <c r="H900">
        <v>1</v>
      </c>
      <c r="I900">
        <v>843</v>
      </c>
      <c r="J900">
        <v>1996</v>
      </c>
      <c r="K900" s="4">
        <v>44264</v>
      </c>
      <c r="L900" t="s">
        <v>23</v>
      </c>
      <c r="M900" t="s">
        <v>60</v>
      </c>
      <c r="N900">
        <v>2.85</v>
      </c>
      <c r="O900">
        <v>2366</v>
      </c>
      <c r="P900">
        <v>1.92</v>
      </c>
      <c r="Q900">
        <v>117</v>
      </c>
      <c r="R900">
        <v>522</v>
      </c>
    </row>
    <row r="901" spans="1:18" hidden="1" x14ac:dyDescent="0.2">
      <c r="A901">
        <v>3</v>
      </c>
      <c r="B901" t="s">
        <v>80</v>
      </c>
      <c r="E901" t="s">
        <v>29</v>
      </c>
      <c r="F901">
        <v>1777820</v>
      </c>
      <c r="G901">
        <v>5</v>
      </c>
      <c r="H901">
        <v>3</v>
      </c>
      <c r="I901">
        <v>210</v>
      </c>
      <c r="J901">
        <v>1971</v>
      </c>
      <c r="K901" s="4">
        <v>44538</v>
      </c>
      <c r="L901" t="s">
        <v>20</v>
      </c>
      <c r="M901" t="s">
        <v>69</v>
      </c>
      <c r="N901">
        <v>2.74</v>
      </c>
      <c r="O901">
        <v>1711</v>
      </c>
      <c r="P901">
        <v>2.89</v>
      </c>
      <c r="Q901">
        <v>301</v>
      </c>
      <c r="R901">
        <v>349</v>
      </c>
    </row>
    <row r="902" spans="1:18" hidden="1" x14ac:dyDescent="0.2">
      <c r="A902">
        <v>2</v>
      </c>
      <c r="B902" t="s">
        <v>93</v>
      </c>
      <c r="E902" t="s">
        <v>36</v>
      </c>
      <c r="F902">
        <v>2993412</v>
      </c>
      <c r="G902">
        <v>3</v>
      </c>
      <c r="H902">
        <v>3</v>
      </c>
      <c r="I902">
        <v>852</v>
      </c>
      <c r="J902">
        <v>1962</v>
      </c>
      <c r="K902" s="4">
        <v>44764</v>
      </c>
      <c r="L902" t="s">
        <v>30</v>
      </c>
      <c r="M902" t="s">
        <v>24</v>
      </c>
      <c r="N902">
        <v>3.05</v>
      </c>
      <c r="O902">
        <v>1390</v>
      </c>
      <c r="P902">
        <v>3.9</v>
      </c>
      <c r="Q902">
        <v>233</v>
      </c>
      <c r="R902">
        <v>598</v>
      </c>
    </row>
    <row r="903" spans="1:18" hidden="1" x14ac:dyDescent="0.2">
      <c r="A903">
        <v>2</v>
      </c>
      <c r="B903" t="s">
        <v>88</v>
      </c>
      <c r="E903" t="s">
        <v>36</v>
      </c>
      <c r="F903">
        <v>2108124</v>
      </c>
      <c r="G903">
        <v>3</v>
      </c>
      <c r="H903">
        <v>2</v>
      </c>
      <c r="I903">
        <v>284</v>
      </c>
      <c r="J903">
        <v>2021</v>
      </c>
      <c r="K903" s="4">
        <v>44316</v>
      </c>
      <c r="L903" t="s">
        <v>30</v>
      </c>
      <c r="M903" t="s">
        <v>45</v>
      </c>
      <c r="N903">
        <v>1.71</v>
      </c>
      <c r="O903">
        <v>2079</v>
      </c>
      <c r="P903">
        <v>2.4900000000000002</v>
      </c>
      <c r="Q903">
        <v>231</v>
      </c>
      <c r="R903">
        <v>439</v>
      </c>
    </row>
    <row r="904" spans="1:18" hidden="1" x14ac:dyDescent="0.2">
      <c r="A904">
        <v>2</v>
      </c>
      <c r="B904" t="s">
        <v>72</v>
      </c>
      <c r="E904" t="s">
        <v>19</v>
      </c>
      <c r="F904">
        <v>416955</v>
      </c>
      <c r="G904">
        <v>2</v>
      </c>
      <c r="H904">
        <v>3</v>
      </c>
      <c r="I904">
        <v>217</v>
      </c>
      <c r="J904">
        <v>2015</v>
      </c>
      <c r="K904" s="4">
        <v>45153</v>
      </c>
      <c r="L904" t="s">
        <v>23</v>
      </c>
      <c r="M904" t="s">
        <v>42</v>
      </c>
      <c r="N904">
        <v>2.69</v>
      </c>
      <c r="O904">
        <v>861</v>
      </c>
      <c r="P904">
        <v>1.08</v>
      </c>
      <c r="Q904">
        <v>216</v>
      </c>
      <c r="R904">
        <v>363</v>
      </c>
    </row>
    <row r="905" spans="1:18" hidden="1" x14ac:dyDescent="0.2">
      <c r="A905">
        <v>1</v>
      </c>
      <c r="B905" t="s">
        <v>71</v>
      </c>
      <c r="E905" t="s">
        <v>36</v>
      </c>
      <c r="F905">
        <v>1910274</v>
      </c>
      <c r="G905">
        <v>1</v>
      </c>
      <c r="H905">
        <v>1</v>
      </c>
      <c r="I905">
        <v>298</v>
      </c>
      <c r="J905">
        <v>1981</v>
      </c>
      <c r="K905" s="4">
        <v>45742</v>
      </c>
      <c r="L905" t="s">
        <v>20</v>
      </c>
      <c r="M905" t="s">
        <v>70</v>
      </c>
      <c r="N905">
        <v>1.5</v>
      </c>
      <c r="O905">
        <v>1077</v>
      </c>
      <c r="P905">
        <v>4.3600000000000003</v>
      </c>
      <c r="Q905">
        <v>154</v>
      </c>
      <c r="R905">
        <v>571</v>
      </c>
    </row>
    <row r="906" spans="1:18" hidden="1" x14ac:dyDescent="0.2">
      <c r="A906">
        <v>4</v>
      </c>
      <c r="B906" t="s">
        <v>73</v>
      </c>
      <c r="E906" t="s">
        <v>36</v>
      </c>
      <c r="F906">
        <v>804463</v>
      </c>
      <c r="G906">
        <v>2</v>
      </c>
      <c r="H906">
        <v>1</v>
      </c>
      <c r="I906">
        <v>970</v>
      </c>
      <c r="J906">
        <v>1952</v>
      </c>
      <c r="K906" s="4">
        <v>45390</v>
      </c>
      <c r="L906" t="s">
        <v>23</v>
      </c>
      <c r="M906" t="s">
        <v>33</v>
      </c>
      <c r="N906">
        <v>2.0299999999999998</v>
      </c>
      <c r="O906">
        <v>1663</v>
      </c>
      <c r="P906">
        <v>3.85</v>
      </c>
      <c r="Q906">
        <v>54</v>
      </c>
      <c r="R906">
        <v>519</v>
      </c>
    </row>
    <row r="907" spans="1:18" hidden="1" x14ac:dyDescent="0.2">
      <c r="A907">
        <v>7</v>
      </c>
      <c r="B907" t="s">
        <v>96</v>
      </c>
      <c r="E907" t="s">
        <v>36</v>
      </c>
      <c r="F907">
        <v>2293007</v>
      </c>
      <c r="G907">
        <v>1</v>
      </c>
      <c r="H907">
        <v>3</v>
      </c>
      <c r="I907">
        <v>135</v>
      </c>
      <c r="J907">
        <v>1961</v>
      </c>
      <c r="K907" s="4">
        <v>44164</v>
      </c>
      <c r="L907" t="s">
        <v>30</v>
      </c>
      <c r="M907" t="s">
        <v>40</v>
      </c>
      <c r="N907">
        <v>3.18</v>
      </c>
      <c r="O907">
        <v>1050</v>
      </c>
      <c r="P907">
        <v>3.87</v>
      </c>
      <c r="Q907">
        <v>149</v>
      </c>
      <c r="R907">
        <v>650</v>
      </c>
    </row>
    <row r="908" spans="1:18" hidden="1" x14ac:dyDescent="0.2">
      <c r="A908">
        <v>5</v>
      </c>
      <c r="B908" t="s">
        <v>44</v>
      </c>
      <c r="E908" t="s">
        <v>29</v>
      </c>
      <c r="F908">
        <v>973495</v>
      </c>
      <c r="G908">
        <v>3</v>
      </c>
      <c r="H908">
        <v>1</v>
      </c>
      <c r="I908">
        <v>846</v>
      </c>
      <c r="J908">
        <v>1972</v>
      </c>
      <c r="K908" s="4">
        <v>44948</v>
      </c>
      <c r="L908" t="s">
        <v>30</v>
      </c>
      <c r="M908" t="s">
        <v>82</v>
      </c>
      <c r="N908">
        <v>2.64</v>
      </c>
      <c r="O908">
        <v>1584</v>
      </c>
      <c r="P908">
        <v>1.63</v>
      </c>
      <c r="Q908">
        <v>139</v>
      </c>
      <c r="R908">
        <v>550</v>
      </c>
    </row>
    <row r="909" spans="1:18" hidden="1" x14ac:dyDescent="0.2">
      <c r="A909">
        <v>6</v>
      </c>
      <c r="B909" t="s">
        <v>87</v>
      </c>
      <c r="E909" t="s">
        <v>19</v>
      </c>
      <c r="F909">
        <v>2549127</v>
      </c>
      <c r="G909">
        <v>4</v>
      </c>
      <c r="H909">
        <v>2</v>
      </c>
      <c r="I909">
        <v>70</v>
      </c>
      <c r="J909">
        <v>1982</v>
      </c>
      <c r="K909" s="4">
        <v>45179</v>
      </c>
      <c r="L909" t="s">
        <v>20</v>
      </c>
      <c r="M909" t="s">
        <v>82</v>
      </c>
      <c r="N909">
        <v>2.2400000000000002</v>
      </c>
      <c r="O909">
        <v>949</v>
      </c>
      <c r="P909">
        <v>3.95</v>
      </c>
      <c r="Q909">
        <v>196</v>
      </c>
      <c r="R909">
        <v>626</v>
      </c>
    </row>
    <row r="910" spans="1:18" hidden="1" x14ac:dyDescent="0.2">
      <c r="A910">
        <v>1</v>
      </c>
      <c r="B910" t="s">
        <v>84</v>
      </c>
      <c r="E910" t="s">
        <v>29</v>
      </c>
      <c r="F910">
        <v>426548</v>
      </c>
      <c r="G910">
        <v>2</v>
      </c>
      <c r="H910">
        <v>2</v>
      </c>
      <c r="I910">
        <v>206</v>
      </c>
      <c r="J910">
        <v>1969</v>
      </c>
      <c r="K910" s="4">
        <v>45614</v>
      </c>
      <c r="L910" t="s">
        <v>26</v>
      </c>
      <c r="M910" t="s">
        <v>31</v>
      </c>
      <c r="N910">
        <v>2.94</v>
      </c>
      <c r="O910">
        <v>1827</v>
      </c>
      <c r="P910">
        <v>1.34</v>
      </c>
      <c r="Q910">
        <v>232</v>
      </c>
      <c r="R910">
        <v>580</v>
      </c>
    </row>
    <row r="911" spans="1:18" hidden="1" x14ac:dyDescent="0.2">
      <c r="A911">
        <v>3</v>
      </c>
      <c r="B911" t="s">
        <v>101</v>
      </c>
      <c r="E911" t="s">
        <v>36</v>
      </c>
      <c r="F911">
        <v>1956930</v>
      </c>
      <c r="G911">
        <v>2</v>
      </c>
      <c r="H911">
        <v>1</v>
      </c>
      <c r="I911">
        <v>350</v>
      </c>
      <c r="J911">
        <v>1985</v>
      </c>
      <c r="K911" s="4">
        <v>44314</v>
      </c>
      <c r="L911" t="s">
        <v>23</v>
      </c>
      <c r="M911" t="s">
        <v>78</v>
      </c>
      <c r="N911">
        <v>2.75</v>
      </c>
      <c r="O911">
        <v>1785</v>
      </c>
      <c r="P911">
        <v>1.56</v>
      </c>
      <c r="Q911">
        <v>99</v>
      </c>
      <c r="R911">
        <v>661</v>
      </c>
    </row>
    <row r="912" spans="1:18" hidden="1" x14ac:dyDescent="0.2">
      <c r="A912">
        <v>3</v>
      </c>
      <c r="B912" t="s">
        <v>46</v>
      </c>
      <c r="E912" t="s">
        <v>51</v>
      </c>
      <c r="F912">
        <v>2222595</v>
      </c>
      <c r="G912">
        <v>3</v>
      </c>
      <c r="H912">
        <v>3</v>
      </c>
      <c r="I912">
        <v>462</v>
      </c>
      <c r="J912">
        <v>2015</v>
      </c>
      <c r="K912" s="4">
        <v>45210</v>
      </c>
      <c r="L912" t="s">
        <v>20</v>
      </c>
      <c r="M912" t="s">
        <v>78</v>
      </c>
      <c r="N912">
        <v>2.04</v>
      </c>
      <c r="O912">
        <v>2387</v>
      </c>
      <c r="P912">
        <v>2.67</v>
      </c>
      <c r="Q912">
        <v>167</v>
      </c>
      <c r="R912">
        <v>312</v>
      </c>
    </row>
    <row r="913" spans="1:18" hidden="1" x14ac:dyDescent="0.2">
      <c r="A913">
        <v>0</v>
      </c>
      <c r="B913" t="s">
        <v>57</v>
      </c>
      <c r="E913" t="s">
        <v>51</v>
      </c>
      <c r="F913">
        <v>625821</v>
      </c>
      <c r="G913">
        <v>4</v>
      </c>
      <c r="H913">
        <v>1</v>
      </c>
      <c r="I913">
        <v>503</v>
      </c>
      <c r="J913">
        <v>2004</v>
      </c>
      <c r="K913" s="4">
        <v>45843</v>
      </c>
      <c r="L913" t="s">
        <v>26</v>
      </c>
      <c r="M913" t="s">
        <v>45</v>
      </c>
      <c r="N913">
        <v>2.99</v>
      </c>
      <c r="O913">
        <v>941</v>
      </c>
      <c r="P913">
        <v>4.8499999999999996</v>
      </c>
      <c r="Q913">
        <v>266</v>
      </c>
      <c r="R913">
        <v>628</v>
      </c>
    </row>
    <row r="914" spans="1:18" hidden="1" x14ac:dyDescent="0.2">
      <c r="A914">
        <v>4</v>
      </c>
      <c r="B914" t="s">
        <v>84</v>
      </c>
      <c r="E914" t="s">
        <v>29</v>
      </c>
      <c r="F914">
        <v>842631</v>
      </c>
      <c r="G914">
        <v>1</v>
      </c>
      <c r="H914">
        <v>3</v>
      </c>
      <c r="I914">
        <v>289</v>
      </c>
      <c r="J914">
        <v>2004</v>
      </c>
      <c r="K914" s="4">
        <v>44420</v>
      </c>
      <c r="L914" t="s">
        <v>30</v>
      </c>
      <c r="M914" t="s">
        <v>66</v>
      </c>
      <c r="N914">
        <v>3.37</v>
      </c>
      <c r="O914">
        <v>2312</v>
      </c>
      <c r="P914">
        <v>3.71</v>
      </c>
      <c r="Q914">
        <v>118</v>
      </c>
      <c r="R914">
        <v>336</v>
      </c>
    </row>
    <row r="915" spans="1:18" hidden="1" x14ac:dyDescent="0.2">
      <c r="A915">
        <v>0</v>
      </c>
      <c r="B915" t="s">
        <v>93</v>
      </c>
      <c r="E915" t="s">
        <v>29</v>
      </c>
      <c r="F915">
        <v>468125</v>
      </c>
      <c r="G915">
        <v>5</v>
      </c>
      <c r="H915">
        <v>1</v>
      </c>
      <c r="I915">
        <v>737</v>
      </c>
      <c r="J915">
        <v>2022</v>
      </c>
      <c r="K915" s="4">
        <v>44143</v>
      </c>
      <c r="L915" t="s">
        <v>20</v>
      </c>
      <c r="M915" t="s">
        <v>27</v>
      </c>
      <c r="N915">
        <v>2.98</v>
      </c>
      <c r="O915">
        <v>2437</v>
      </c>
      <c r="P915">
        <v>3.35</v>
      </c>
      <c r="Q915">
        <v>275</v>
      </c>
      <c r="R915">
        <v>518</v>
      </c>
    </row>
    <row r="916" spans="1:18" hidden="1" x14ac:dyDescent="0.2">
      <c r="A916">
        <v>0</v>
      </c>
      <c r="B916" t="s">
        <v>46</v>
      </c>
      <c r="E916" t="s">
        <v>29</v>
      </c>
      <c r="F916">
        <v>621438</v>
      </c>
      <c r="G916">
        <v>4</v>
      </c>
      <c r="H916">
        <v>2</v>
      </c>
      <c r="I916">
        <v>147</v>
      </c>
      <c r="J916">
        <v>1955</v>
      </c>
      <c r="K916" s="4">
        <v>45109</v>
      </c>
      <c r="L916" t="s">
        <v>26</v>
      </c>
      <c r="M916" t="s">
        <v>40</v>
      </c>
      <c r="N916">
        <v>1.53</v>
      </c>
      <c r="O916">
        <v>1900</v>
      </c>
      <c r="P916">
        <v>3.58</v>
      </c>
      <c r="Q916">
        <v>393</v>
      </c>
      <c r="R916">
        <v>640</v>
      </c>
    </row>
    <row r="917" spans="1:18" hidden="1" x14ac:dyDescent="0.2">
      <c r="A917">
        <v>4</v>
      </c>
      <c r="B917" t="s">
        <v>87</v>
      </c>
      <c r="E917" t="s">
        <v>51</v>
      </c>
      <c r="F917">
        <v>1127519</v>
      </c>
      <c r="G917">
        <v>1</v>
      </c>
      <c r="H917">
        <v>1</v>
      </c>
      <c r="I917">
        <v>724</v>
      </c>
      <c r="J917">
        <v>1982</v>
      </c>
      <c r="K917" s="4">
        <v>45503</v>
      </c>
      <c r="L917" t="s">
        <v>23</v>
      </c>
      <c r="M917" t="s">
        <v>35</v>
      </c>
      <c r="N917">
        <v>2.94</v>
      </c>
      <c r="O917">
        <v>1575</v>
      </c>
      <c r="P917">
        <v>3.11</v>
      </c>
      <c r="Q917">
        <v>135</v>
      </c>
      <c r="R917">
        <v>355</v>
      </c>
    </row>
    <row r="918" spans="1:18" hidden="1" x14ac:dyDescent="0.2">
      <c r="A918">
        <v>2</v>
      </c>
      <c r="B918" t="s">
        <v>43</v>
      </c>
      <c r="E918" t="s">
        <v>29</v>
      </c>
      <c r="F918">
        <v>2913937</v>
      </c>
      <c r="G918">
        <v>2</v>
      </c>
      <c r="H918">
        <v>3</v>
      </c>
      <c r="I918">
        <v>454</v>
      </c>
      <c r="J918">
        <v>1957</v>
      </c>
      <c r="K918" s="4">
        <v>44215</v>
      </c>
      <c r="L918" t="s">
        <v>23</v>
      </c>
      <c r="M918" t="s">
        <v>56</v>
      </c>
      <c r="N918">
        <v>2.41</v>
      </c>
      <c r="O918">
        <v>1913</v>
      </c>
      <c r="P918">
        <v>1.88</v>
      </c>
      <c r="Q918">
        <v>75</v>
      </c>
      <c r="R918">
        <v>413</v>
      </c>
    </row>
    <row r="919" spans="1:18" hidden="1" x14ac:dyDescent="0.2">
      <c r="A919">
        <v>6</v>
      </c>
      <c r="B919" t="s">
        <v>62</v>
      </c>
      <c r="E919" t="s">
        <v>29</v>
      </c>
      <c r="F919">
        <v>703138</v>
      </c>
      <c r="G919">
        <v>0</v>
      </c>
      <c r="H919">
        <v>1</v>
      </c>
      <c r="I919">
        <v>199</v>
      </c>
      <c r="J919">
        <v>1998</v>
      </c>
      <c r="K919" s="4">
        <v>45129</v>
      </c>
      <c r="L919" t="s">
        <v>23</v>
      </c>
      <c r="M919" t="s">
        <v>74</v>
      </c>
      <c r="N919">
        <v>1.87</v>
      </c>
      <c r="O919">
        <v>1075</v>
      </c>
      <c r="P919">
        <v>0.7</v>
      </c>
      <c r="Q919">
        <v>76</v>
      </c>
      <c r="R919">
        <v>361</v>
      </c>
    </row>
    <row r="920" spans="1:18" hidden="1" x14ac:dyDescent="0.2">
      <c r="A920">
        <v>1</v>
      </c>
      <c r="B920" t="s">
        <v>25</v>
      </c>
      <c r="E920" t="s">
        <v>29</v>
      </c>
      <c r="F920">
        <v>1997807</v>
      </c>
      <c r="G920">
        <v>6</v>
      </c>
      <c r="H920">
        <v>1</v>
      </c>
      <c r="I920">
        <v>791</v>
      </c>
      <c r="J920">
        <v>1999</v>
      </c>
      <c r="K920" s="4">
        <v>45240</v>
      </c>
      <c r="L920" t="s">
        <v>20</v>
      </c>
      <c r="M920" t="s">
        <v>27</v>
      </c>
      <c r="N920">
        <v>2.17</v>
      </c>
      <c r="O920">
        <v>2174</v>
      </c>
      <c r="P920">
        <v>2.02</v>
      </c>
      <c r="Q920">
        <v>344</v>
      </c>
      <c r="R920">
        <v>377</v>
      </c>
    </row>
    <row r="921" spans="1:18" hidden="1" x14ac:dyDescent="0.2">
      <c r="A921">
        <v>7</v>
      </c>
      <c r="B921" t="s">
        <v>79</v>
      </c>
      <c r="E921" t="s">
        <v>36</v>
      </c>
      <c r="F921">
        <v>1245710</v>
      </c>
      <c r="G921">
        <v>4</v>
      </c>
      <c r="H921">
        <v>2</v>
      </c>
      <c r="I921">
        <v>403</v>
      </c>
      <c r="J921">
        <v>2002</v>
      </c>
      <c r="K921" s="4">
        <v>45339</v>
      </c>
      <c r="L921" t="s">
        <v>20</v>
      </c>
      <c r="M921" t="s">
        <v>35</v>
      </c>
      <c r="N921">
        <v>3.01</v>
      </c>
      <c r="O921">
        <v>1953</v>
      </c>
      <c r="P921">
        <v>4.4800000000000004</v>
      </c>
      <c r="Q921">
        <v>397</v>
      </c>
      <c r="R921">
        <v>306</v>
      </c>
    </row>
    <row r="922" spans="1:18" hidden="1" x14ac:dyDescent="0.2">
      <c r="A922">
        <v>5</v>
      </c>
      <c r="B922" t="s">
        <v>49</v>
      </c>
      <c r="E922" t="s">
        <v>51</v>
      </c>
      <c r="F922">
        <v>1745275</v>
      </c>
      <c r="G922">
        <v>1</v>
      </c>
      <c r="H922">
        <v>3</v>
      </c>
      <c r="I922">
        <v>412</v>
      </c>
      <c r="J922">
        <v>1999</v>
      </c>
      <c r="K922" s="4">
        <v>44561</v>
      </c>
      <c r="L922" t="s">
        <v>23</v>
      </c>
      <c r="M922" t="s">
        <v>54</v>
      </c>
      <c r="N922">
        <v>1.52</v>
      </c>
      <c r="O922">
        <v>2251</v>
      </c>
      <c r="P922">
        <v>0.7</v>
      </c>
      <c r="Q922">
        <v>86</v>
      </c>
      <c r="R922">
        <v>454</v>
      </c>
    </row>
    <row r="923" spans="1:18" hidden="1" x14ac:dyDescent="0.2">
      <c r="A923">
        <v>7</v>
      </c>
      <c r="B923" t="s">
        <v>67</v>
      </c>
      <c r="E923" t="s">
        <v>29</v>
      </c>
      <c r="F923">
        <v>2852802</v>
      </c>
      <c r="G923">
        <v>3</v>
      </c>
      <c r="H923">
        <v>1</v>
      </c>
      <c r="I923">
        <v>436</v>
      </c>
      <c r="J923">
        <v>1967</v>
      </c>
      <c r="K923" s="4">
        <v>45412</v>
      </c>
      <c r="L923" t="s">
        <v>23</v>
      </c>
      <c r="M923" t="s">
        <v>77</v>
      </c>
      <c r="N923">
        <v>2.87</v>
      </c>
      <c r="O923">
        <v>1313</v>
      </c>
      <c r="P923">
        <v>2.42</v>
      </c>
      <c r="Q923">
        <v>185</v>
      </c>
      <c r="R923">
        <v>341</v>
      </c>
    </row>
    <row r="924" spans="1:18" hidden="1" x14ac:dyDescent="0.2">
      <c r="A924">
        <v>3</v>
      </c>
      <c r="B924" t="s">
        <v>43</v>
      </c>
      <c r="E924" t="s">
        <v>29</v>
      </c>
      <c r="F924">
        <v>1980091</v>
      </c>
      <c r="G924">
        <v>2</v>
      </c>
      <c r="H924">
        <v>2</v>
      </c>
      <c r="I924">
        <v>283</v>
      </c>
      <c r="J924">
        <v>2009</v>
      </c>
      <c r="K924" s="4">
        <v>44901</v>
      </c>
      <c r="L924" t="s">
        <v>23</v>
      </c>
      <c r="M924" t="s">
        <v>52</v>
      </c>
      <c r="N924">
        <v>1.68</v>
      </c>
      <c r="O924">
        <v>863</v>
      </c>
      <c r="P924">
        <v>4.6100000000000003</v>
      </c>
      <c r="Q924">
        <v>51</v>
      </c>
      <c r="R924">
        <v>569</v>
      </c>
    </row>
    <row r="925" spans="1:18" hidden="1" x14ac:dyDescent="0.2">
      <c r="A925">
        <v>3</v>
      </c>
      <c r="B925" t="s">
        <v>83</v>
      </c>
      <c r="E925" t="s">
        <v>51</v>
      </c>
      <c r="F925">
        <v>2093503</v>
      </c>
      <c r="G925">
        <v>3</v>
      </c>
      <c r="H925">
        <v>3</v>
      </c>
      <c r="I925">
        <v>713</v>
      </c>
      <c r="J925">
        <v>1987</v>
      </c>
      <c r="K925" s="4">
        <v>44090</v>
      </c>
      <c r="L925" t="s">
        <v>23</v>
      </c>
      <c r="M925" t="s">
        <v>47</v>
      </c>
      <c r="N925">
        <v>2.52</v>
      </c>
      <c r="O925">
        <v>808</v>
      </c>
      <c r="P925">
        <v>3.77</v>
      </c>
      <c r="Q925">
        <v>133</v>
      </c>
      <c r="R925">
        <v>445</v>
      </c>
    </row>
    <row r="926" spans="1:18" hidden="1" x14ac:dyDescent="0.2">
      <c r="A926">
        <v>4</v>
      </c>
      <c r="B926" t="s">
        <v>73</v>
      </c>
      <c r="E926" t="s">
        <v>51</v>
      </c>
      <c r="F926">
        <v>903997</v>
      </c>
      <c r="G926">
        <v>5</v>
      </c>
      <c r="H926">
        <v>2</v>
      </c>
      <c r="I926">
        <v>172</v>
      </c>
      <c r="J926">
        <v>1989</v>
      </c>
      <c r="K926" s="4">
        <v>45619</v>
      </c>
      <c r="L926" t="s">
        <v>26</v>
      </c>
      <c r="M926" t="s">
        <v>63</v>
      </c>
      <c r="N926">
        <v>1.88</v>
      </c>
      <c r="O926">
        <v>1453</v>
      </c>
      <c r="P926">
        <v>3.35</v>
      </c>
      <c r="Q926">
        <v>356</v>
      </c>
      <c r="R926">
        <v>382</v>
      </c>
    </row>
    <row r="927" spans="1:18" x14ac:dyDescent="0.2">
      <c r="A927">
        <v>8</v>
      </c>
      <c r="B927" t="s">
        <v>53</v>
      </c>
      <c r="E927" t="s">
        <v>29</v>
      </c>
      <c r="F927">
        <v>1671063</v>
      </c>
      <c r="G927">
        <v>3</v>
      </c>
      <c r="H927">
        <v>2</v>
      </c>
      <c r="I927">
        <v>637</v>
      </c>
      <c r="J927">
        <v>2012</v>
      </c>
      <c r="K927" s="4">
        <v>44951</v>
      </c>
      <c r="L927" t="s">
        <v>30</v>
      </c>
      <c r="M927" t="s">
        <v>31</v>
      </c>
      <c r="N927">
        <v>2.76</v>
      </c>
      <c r="O927">
        <v>2059</v>
      </c>
      <c r="P927">
        <v>4.25</v>
      </c>
      <c r="Q927">
        <v>249</v>
      </c>
      <c r="R927">
        <v>570</v>
      </c>
    </row>
    <row r="928" spans="1:18" hidden="1" x14ac:dyDescent="0.2">
      <c r="A928">
        <v>3</v>
      </c>
      <c r="B928" t="s">
        <v>71</v>
      </c>
      <c r="E928" t="s">
        <v>29</v>
      </c>
      <c r="F928">
        <v>1415537</v>
      </c>
      <c r="G928">
        <v>3</v>
      </c>
      <c r="H928">
        <v>1</v>
      </c>
      <c r="I928">
        <v>713</v>
      </c>
      <c r="J928">
        <v>1966</v>
      </c>
      <c r="K928" s="4">
        <v>45830</v>
      </c>
      <c r="L928" t="s">
        <v>30</v>
      </c>
      <c r="M928" t="s">
        <v>66</v>
      </c>
      <c r="N928">
        <v>2.2200000000000002</v>
      </c>
      <c r="O928">
        <v>2039</v>
      </c>
      <c r="P928">
        <v>2.5299999999999998</v>
      </c>
      <c r="Q928">
        <v>305</v>
      </c>
      <c r="R928">
        <v>339</v>
      </c>
    </row>
    <row r="929" spans="1:18" hidden="1" x14ac:dyDescent="0.2">
      <c r="A929">
        <v>1</v>
      </c>
      <c r="B929" t="s">
        <v>32</v>
      </c>
      <c r="E929" t="s">
        <v>19</v>
      </c>
      <c r="F929">
        <v>1064179</v>
      </c>
      <c r="G929">
        <v>1</v>
      </c>
      <c r="H929">
        <v>3</v>
      </c>
      <c r="I929">
        <v>81</v>
      </c>
      <c r="J929">
        <v>2003</v>
      </c>
      <c r="K929" s="4">
        <v>45039</v>
      </c>
      <c r="L929" t="s">
        <v>30</v>
      </c>
      <c r="M929" t="s">
        <v>21</v>
      </c>
      <c r="N929">
        <v>3.15</v>
      </c>
      <c r="O929">
        <v>1935</v>
      </c>
      <c r="P929">
        <v>3.66</v>
      </c>
      <c r="Q929">
        <v>61</v>
      </c>
      <c r="R929">
        <v>549</v>
      </c>
    </row>
    <row r="930" spans="1:18" hidden="1" x14ac:dyDescent="0.2">
      <c r="A930">
        <v>6</v>
      </c>
      <c r="B930" t="s">
        <v>57</v>
      </c>
      <c r="E930" t="s">
        <v>29</v>
      </c>
      <c r="F930">
        <v>1415221</v>
      </c>
      <c r="G930">
        <v>2</v>
      </c>
      <c r="H930">
        <v>3</v>
      </c>
      <c r="I930">
        <v>405</v>
      </c>
      <c r="J930">
        <v>1950</v>
      </c>
      <c r="K930" s="4">
        <v>45501</v>
      </c>
      <c r="L930" t="s">
        <v>30</v>
      </c>
      <c r="M930" t="s">
        <v>97</v>
      </c>
      <c r="N930">
        <v>2.4</v>
      </c>
      <c r="O930">
        <v>2321</v>
      </c>
      <c r="P930">
        <v>0.98</v>
      </c>
      <c r="Q930">
        <v>188</v>
      </c>
      <c r="R930">
        <v>508</v>
      </c>
    </row>
    <row r="931" spans="1:18" hidden="1" x14ac:dyDescent="0.2">
      <c r="A931">
        <v>6</v>
      </c>
      <c r="B931" t="s">
        <v>101</v>
      </c>
      <c r="E931" t="s">
        <v>19</v>
      </c>
      <c r="F931">
        <v>639174</v>
      </c>
      <c r="G931">
        <v>0</v>
      </c>
      <c r="H931">
        <v>1</v>
      </c>
      <c r="I931">
        <v>805</v>
      </c>
      <c r="J931">
        <v>1951</v>
      </c>
      <c r="K931" s="4">
        <v>44298</v>
      </c>
      <c r="L931" t="s">
        <v>23</v>
      </c>
      <c r="M931" t="s">
        <v>42</v>
      </c>
      <c r="N931">
        <v>2.75</v>
      </c>
      <c r="O931">
        <v>2409</v>
      </c>
      <c r="P931">
        <v>0.44</v>
      </c>
      <c r="Q931">
        <v>79</v>
      </c>
      <c r="R931">
        <v>539</v>
      </c>
    </row>
    <row r="932" spans="1:18" hidden="1" x14ac:dyDescent="0.2">
      <c r="A932">
        <v>3</v>
      </c>
      <c r="B932" t="s">
        <v>104</v>
      </c>
      <c r="E932" t="s">
        <v>29</v>
      </c>
      <c r="F932">
        <v>2003179</v>
      </c>
      <c r="G932">
        <v>2</v>
      </c>
      <c r="H932">
        <v>2</v>
      </c>
      <c r="I932">
        <v>263</v>
      </c>
      <c r="J932">
        <v>1986</v>
      </c>
      <c r="K932" s="4">
        <v>44894</v>
      </c>
      <c r="L932" t="s">
        <v>26</v>
      </c>
      <c r="M932" t="s">
        <v>70</v>
      </c>
      <c r="N932">
        <v>3.49</v>
      </c>
      <c r="O932">
        <v>2347</v>
      </c>
      <c r="P932">
        <v>3.81</v>
      </c>
      <c r="Q932">
        <v>196</v>
      </c>
      <c r="R932">
        <v>423</v>
      </c>
    </row>
    <row r="933" spans="1:18" hidden="1" x14ac:dyDescent="0.2">
      <c r="A933">
        <v>0</v>
      </c>
      <c r="B933" t="s">
        <v>53</v>
      </c>
      <c r="E933" t="s">
        <v>29</v>
      </c>
      <c r="F933">
        <v>2073893</v>
      </c>
      <c r="G933">
        <v>5</v>
      </c>
      <c r="H933">
        <v>3</v>
      </c>
      <c r="I933">
        <v>328</v>
      </c>
      <c r="J933">
        <v>2011</v>
      </c>
      <c r="K933" s="4">
        <v>45610</v>
      </c>
      <c r="L933" t="s">
        <v>20</v>
      </c>
      <c r="M933" t="s">
        <v>69</v>
      </c>
      <c r="N933">
        <v>2.0099999999999998</v>
      </c>
      <c r="O933">
        <v>2148</v>
      </c>
      <c r="P933">
        <v>0.9</v>
      </c>
      <c r="Q933">
        <v>299</v>
      </c>
      <c r="R933">
        <v>599</v>
      </c>
    </row>
    <row r="934" spans="1:18" hidden="1" x14ac:dyDescent="0.2">
      <c r="A934">
        <v>7</v>
      </c>
      <c r="B934" t="s">
        <v>94</v>
      </c>
      <c r="E934" t="s">
        <v>19</v>
      </c>
      <c r="F934">
        <v>2034491</v>
      </c>
      <c r="G934">
        <v>2</v>
      </c>
      <c r="H934">
        <v>3</v>
      </c>
      <c r="I934">
        <v>488</v>
      </c>
      <c r="J934">
        <v>2000</v>
      </c>
      <c r="K934" s="4">
        <v>44119</v>
      </c>
      <c r="L934" t="s">
        <v>20</v>
      </c>
      <c r="M934" t="s">
        <v>27</v>
      </c>
      <c r="N934">
        <v>3.31</v>
      </c>
      <c r="O934">
        <v>1685</v>
      </c>
      <c r="P934">
        <v>2.76</v>
      </c>
      <c r="Q934">
        <v>43</v>
      </c>
      <c r="R934">
        <v>466</v>
      </c>
    </row>
    <row r="935" spans="1:18" hidden="1" x14ac:dyDescent="0.2">
      <c r="A935">
        <v>1</v>
      </c>
      <c r="B935" t="s">
        <v>67</v>
      </c>
      <c r="E935" t="s">
        <v>29</v>
      </c>
      <c r="F935">
        <v>1066541</v>
      </c>
      <c r="G935">
        <v>3</v>
      </c>
      <c r="H935">
        <v>2</v>
      </c>
      <c r="I935">
        <v>747</v>
      </c>
      <c r="J935">
        <v>1980</v>
      </c>
      <c r="K935" s="4">
        <v>45273</v>
      </c>
      <c r="L935" t="s">
        <v>23</v>
      </c>
      <c r="M935" t="s">
        <v>21</v>
      </c>
      <c r="N935">
        <v>3.45</v>
      </c>
      <c r="O935">
        <v>2421</v>
      </c>
      <c r="P935">
        <v>2.17</v>
      </c>
      <c r="Q935">
        <v>177</v>
      </c>
      <c r="R935">
        <v>611</v>
      </c>
    </row>
    <row r="936" spans="1:18" hidden="1" x14ac:dyDescent="0.2">
      <c r="A936">
        <v>9</v>
      </c>
      <c r="B936" t="s">
        <v>71</v>
      </c>
      <c r="E936" t="s">
        <v>19</v>
      </c>
      <c r="F936">
        <v>2152778</v>
      </c>
      <c r="G936">
        <v>5</v>
      </c>
      <c r="H936">
        <v>3</v>
      </c>
      <c r="I936">
        <v>652</v>
      </c>
      <c r="J936">
        <v>1994</v>
      </c>
      <c r="K936" s="4">
        <v>45848</v>
      </c>
      <c r="L936" t="s">
        <v>26</v>
      </c>
      <c r="M936" t="s">
        <v>85</v>
      </c>
      <c r="N936">
        <v>1.54</v>
      </c>
      <c r="O936">
        <v>1616</v>
      </c>
      <c r="P936">
        <v>2.71</v>
      </c>
      <c r="Q936">
        <v>331</v>
      </c>
      <c r="R936">
        <v>621</v>
      </c>
    </row>
    <row r="937" spans="1:18" hidden="1" x14ac:dyDescent="0.2">
      <c r="A937">
        <v>9</v>
      </c>
      <c r="B937" t="s">
        <v>72</v>
      </c>
      <c r="E937" t="s">
        <v>36</v>
      </c>
      <c r="F937">
        <v>959137</v>
      </c>
      <c r="G937">
        <v>4</v>
      </c>
      <c r="H937">
        <v>3</v>
      </c>
      <c r="I937">
        <v>488</v>
      </c>
      <c r="J937">
        <v>1992</v>
      </c>
      <c r="K937" s="4">
        <v>45845</v>
      </c>
      <c r="L937" t="s">
        <v>23</v>
      </c>
      <c r="M937" t="s">
        <v>52</v>
      </c>
      <c r="N937">
        <v>1.63</v>
      </c>
      <c r="O937">
        <v>1731</v>
      </c>
      <c r="P937">
        <v>0.94</v>
      </c>
      <c r="Q937">
        <v>232</v>
      </c>
      <c r="R937">
        <v>333</v>
      </c>
    </row>
    <row r="938" spans="1:18" hidden="1" x14ac:dyDescent="0.2">
      <c r="A938">
        <v>4</v>
      </c>
      <c r="B938" t="s">
        <v>57</v>
      </c>
      <c r="E938" t="s">
        <v>19</v>
      </c>
      <c r="F938">
        <v>2740129</v>
      </c>
      <c r="G938">
        <v>4</v>
      </c>
      <c r="H938">
        <v>3</v>
      </c>
      <c r="I938">
        <v>74</v>
      </c>
      <c r="J938">
        <v>1965</v>
      </c>
      <c r="K938" s="4">
        <v>44676</v>
      </c>
      <c r="L938" t="s">
        <v>23</v>
      </c>
      <c r="M938" t="s">
        <v>56</v>
      </c>
      <c r="N938">
        <v>2.08</v>
      </c>
      <c r="O938">
        <v>1237</v>
      </c>
      <c r="P938">
        <v>2.13</v>
      </c>
      <c r="Q938">
        <v>222</v>
      </c>
      <c r="R938">
        <v>351</v>
      </c>
    </row>
    <row r="939" spans="1:18" x14ac:dyDescent="0.2">
      <c r="A939">
        <v>8</v>
      </c>
      <c r="B939" t="s">
        <v>61</v>
      </c>
      <c r="E939" t="s">
        <v>36</v>
      </c>
      <c r="F939">
        <v>452515</v>
      </c>
      <c r="G939">
        <v>2</v>
      </c>
      <c r="H939">
        <v>1</v>
      </c>
      <c r="I939">
        <v>977</v>
      </c>
      <c r="J939">
        <v>2006</v>
      </c>
      <c r="K939" s="4">
        <v>44832</v>
      </c>
      <c r="L939" t="s">
        <v>20</v>
      </c>
      <c r="M939" t="s">
        <v>33</v>
      </c>
      <c r="N939">
        <v>2.04</v>
      </c>
      <c r="O939">
        <v>1096</v>
      </c>
      <c r="P939">
        <v>3.97</v>
      </c>
      <c r="Q939">
        <v>68</v>
      </c>
      <c r="R939">
        <v>629</v>
      </c>
    </row>
    <row r="940" spans="1:18" hidden="1" x14ac:dyDescent="0.2">
      <c r="A940">
        <v>3</v>
      </c>
      <c r="B940" t="s">
        <v>91</v>
      </c>
      <c r="E940" t="s">
        <v>29</v>
      </c>
      <c r="F940">
        <v>2185855</v>
      </c>
      <c r="G940">
        <v>4</v>
      </c>
      <c r="H940">
        <v>2</v>
      </c>
      <c r="I940">
        <v>359</v>
      </c>
      <c r="J940">
        <v>2017</v>
      </c>
      <c r="K940" s="4">
        <v>44207</v>
      </c>
      <c r="L940" t="s">
        <v>30</v>
      </c>
      <c r="M940" t="s">
        <v>68</v>
      </c>
      <c r="N940">
        <v>3.1</v>
      </c>
      <c r="O940">
        <v>1433</v>
      </c>
      <c r="P940">
        <v>0.57999999999999996</v>
      </c>
      <c r="Q940">
        <v>388</v>
      </c>
      <c r="R940">
        <v>429</v>
      </c>
    </row>
    <row r="941" spans="1:18" hidden="1" x14ac:dyDescent="0.2">
      <c r="A941">
        <v>7</v>
      </c>
      <c r="B941" t="s">
        <v>34</v>
      </c>
      <c r="E941" t="s">
        <v>36</v>
      </c>
      <c r="F941">
        <v>1301444</v>
      </c>
      <c r="G941">
        <v>2</v>
      </c>
      <c r="H941">
        <v>2</v>
      </c>
      <c r="I941">
        <v>510</v>
      </c>
      <c r="J941">
        <v>1983</v>
      </c>
      <c r="K941" s="4">
        <v>44144</v>
      </c>
      <c r="L941" t="s">
        <v>30</v>
      </c>
      <c r="M941" t="s">
        <v>40</v>
      </c>
      <c r="N941">
        <v>3.26</v>
      </c>
      <c r="O941">
        <v>1090</v>
      </c>
      <c r="P941">
        <v>2.71</v>
      </c>
      <c r="Q941">
        <v>225</v>
      </c>
      <c r="R941">
        <v>457</v>
      </c>
    </row>
    <row r="942" spans="1:18" x14ac:dyDescent="0.2">
      <c r="A942">
        <v>8</v>
      </c>
      <c r="B942" t="s">
        <v>38</v>
      </c>
      <c r="E942" t="s">
        <v>51</v>
      </c>
      <c r="F942">
        <v>2983596</v>
      </c>
      <c r="G942">
        <v>4</v>
      </c>
      <c r="H942">
        <v>2</v>
      </c>
      <c r="I942">
        <v>696</v>
      </c>
      <c r="J942">
        <v>2000</v>
      </c>
      <c r="K942" s="4">
        <v>45294</v>
      </c>
      <c r="L942" t="s">
        <v>20</v>
      </c>
      <c r="M942" t="s">
        <v>78</v>
      </c>
      <c r="N942">
        <v>1.6</v>
      </c>
      <c r="O942">
        <v>1645</v>
      </c>
      <c r="P942">
        <v>2.2599999999999998</v>
      </c>
      <c r="Q942">
        <v>264</v>
      </c>
      <c r="R942">
        <v>666</v>
      </c>
    </row>
    <row r="943" spans="1:18" hidden="1" x14ac:dyDescent="0.2">
      <c r="A943">
        <v>6</v>
      </c>
      <c r="B943" t="s">
        <v>106</v>
      </c>
      <c r="E943" t="s">
        <v>19</v>
      </c>
      <c r="F943">
        <v>2762024</v>
      </c>
      <c r="G943">
        <v>3</v>
      </c>
      <c r="H943">
        <v>2</v>
      </c>
      <c r="I943">
        <v>0</v>
      </c>
      <c r="J943">
        <v>2009</v>
      </c>
      <c r="K943" s="4">
        <v>45222</v>
      </c>
      <c r="L943" t="s">
        <v>23</v>
      </c>
      <c r="M943" t="s">
        <v>33</v>
      </c>
      <c r="N943">
        <v>1.67</v>
      </c>
      <c r="O943">
        <v>1185</v>
      </c>
      <c r="P943">
        <v>3.89</v>
      </c>
      <c r="Q943">
        <v>304</v>
      </c>
      <c r="R943">
        <v>319</v>
      </c>
    </row>
    <row r="944" spans="1:18" hidden="1" x14ac:dyDescent="0.2">
      <c r="A944">
        <v>2</v>
      </c>
      <c r="B944" t="s">
        <v>28</v>
      </c>
      <c r="E944" t="s">
        <v>19</v>
      </c>
      <c r="F944">
        <v>2070979</v>
      </c>
      <c r="G944">
        <v>5</v>
      </c>
      <c r="H944">
        <v>1</v>
      </c>
      <c r="I944">
        <v>211</v>
      </c>
      <c r="J944">
        <v>1995</v>
      </c>
      <c r="K944" s="4">
        <v>45076</v>
      </c>
      <c r="L944" t="s">
        <v>20</v>
      </c>
      <c r="M944" t="s">
        <v>77</v>
      </c>
      <c r="N944">
        <v>2.14</v>
      </c>
      <c r="O944">
        <v>2094</v>
      </c>
      <c r="P944">
        <v>1.7</v>
      </c>
      <c r="Q944">
        <v>364</v>
      </c>
      <c r="R944">
        <v>497</v>
      </c>
    </row>
    <row r="945" spans="1:18" hidden="1" x14ac:dyDescent="0.2">
      <c r="A945">
        <v>2</v>
      </c>
      <c r="B945" t="s">
        <v>90</v>
      </c>
      <c r="E945" t="s">
        <v>29</v>
      </c>
      <c r="F945">
        <v>1726104</v>
      </c>
      <c r="G945">
        <v>3</v>
      </c>
      <c r="H945">
        <v>3</v>
      </c>
      <c r="I945">
        <v>234</v>
      </c>
      <c r="J945">
        <v>2020</v>
      </c>
      <c r="K945" s="4">
        <v>45421</v>
      </c>
      <c r="L945" t="s">
        <v>23</v>
      </c>
      <c r="M945" t="s">
        <v>56</v>
      </c>
      <c r="N945">
        <v>3.38</v>
      </c>
      <c r="O945">
        <v>2488</v>
      </c>
      <c r="P945">
        <v>2.39</v>
      </c>
      <c r="Q945">
        <v>92</v>
      </c>
      <c r="R945">
        <v>664</v>
      </c>
    </row>
    <row r="946" spans="1:18" hidden="1" x14ac:dyDescent="0.2">
      <c r="A946">
        <v>1</v>
      </c>
      <c r="B946" t="s">
        <v>34</v>
      </c>
      <c r="E946" t="s">
        <v>19</v>
      </c>
      <c r="F946">
        <v>1198262</v>
      </c>
      <c r="G946">
        <v>5</v>
      </c>
      <c r="H946">
        <v>2</v>
      </c>
      <c r="I946">
        <v>548</v>
      </c>
      <c r="J946">
        <v>1962</v>
      </c>
      <c r="K946" s="4">
        <v>45837</v>
      </c>
      <c r="L946" t="s">
        <v>23</v>
      </c>
      <c r="M946" t="s">
        <v>89</v>
      </c>
      <c r="N946">
        <v>3.47</v>
      </c>
      <c r="O946">
        <v>1358</v>
      </c>
      <c r="P946">
        <v>2.38</v>
      </c>
      <c r="Q946">
        <v>306</v>
      </c>
      <c r="R946">
        <v>406</v>
      </c>
    </row>
    <row r="947" spans="1:18" hidden="1" x14ac:dyDescent="0.2">
      <c r="A947">
        <v>1</v>
      </c>
      <c r="B947" t="s">
        <v>101</v>
      </c>
      <c r="E947" t="s">
        <v>19</v>
      </c>
      <c r="F947">
        <v>619350</v>
      </c>
      <c r="G947">
        <v>1</v>
      </c>
      <c r="H947">
        <v>1</v>
      </c>
      <c r="I947">
        <v>239</v>
      </c>
      <c r="J947">
        <v>1994</v>
      </c>
      <c r="K947" s="4">
        <v>44605</v>
      </c>
      <c r="L947" t="s">
        <v>23</v>
      </c>
      <c r="M947" t="s">
        <v>78</v>
      </c>
      <c r="N947">
        <v>1.7</v>
      </c>
      <c r="O947">
        <v>1755</v>
      </c>
      <c r="P947">
        <v>1.59</v>
      </c>
      <c r="Q947">
        <v>44</v>
      </c>
      <c r="R947">
        <v>666</v>
      </c>
    </row>
    <row r="948" spans="1:18" hidden="1" x14ac:dyDescent="0.2">
      <c r="A948">
        <v>3</v>
      </c>
      <c r="B948" t="s">
        <v>53</v>
      </c>
      <c r="E948" t="s">
        <v>36</v>
      </c>
      <c r="F948">
        <v>439003</v>
      </c>
      <c r="G948">
        <v>3</v>
      </c>
      <c r="H948">
        <v>3</v>
      </c>
      <c r="I948">
        <v>804</v>
      </c>
      <c r="J948">
        <v>2017</v>
      </c>
      <c r="K948" s="4">
        <v>44621</v>
      </c>
      <c r="L948" t="s">
        <v>30</v>
      </c>
      <c r="M948" t="s">
        <v>63</v>
      </c>
      <c r="N948">
        <v>3.4</v>
      </c>
      <c r="O948">
        <v>2389</v>
      </c>
      <c r="P948">
        <v>1.66</v>
      </c>
      <c r="Q948">
        <v>203</v>
      </c>
      <c r="R948">
        <v>340</v>
      </c>
    </row>
    <row r="949" spans="1:18" hidden="1" x14ac:dyDescent="0.2">
      <c r="A949">
        <v>7</v>
      </c>
      <c r="B949" t="s">
        <v>48</v>
      </c>
      <c r="E949" t="s">
        <v>29</v>
      </c>
      <c r="F949">
        <v>1518306</v>
      </c>
      <c r="G949">
        <v>1</v>
      </c>
      <c r="H949">
        <v>1</v>
      </c>
      <c r="I949">
        <v>569</v>
      </c>
      <c r="J949">
        <v>2014</v>
      </c>
      <c r="K949" s="4">
        <v>44529</v>
      </c>
      <c r="L949" t="s">
        <v>20</v>
      </c>
      <c r="M949" t="s">
        <v>97</v>
      </c>
      <c r="N949">
        <v>3.19</v>
      </c>
      <c r="O949">
        <v>1435</v>
      </c>
      <c r="P949">
        <v>4.2699999999999996</v>
      </c>
      <c r="Q949">
        <v>135</v>
      </c>
      <c r="R949">
        <v>427</v>
      </c>
    </row>
    <row r="950" spans="1:18" hidden="1" x14ac:dyDescent="0.2">
      <c r="A950">
        <v>3</v>
      </c>
      <c r="B950" t="s">
        <v>87</v>
      </c>
      <c r="E950" t="s">
        <v>36</v>
      </c>
      <c r="F950">
        <v>2594860</v>
      </c>
      <c r="G950">
        <v>4</v>
      </c>
      <c r="H950">
        <v>3</v>
      </c>
      <c r="I950">
        <v>557</v>
      </c>
      <c r="J950">
        <v>2011</v>
      </c>
      <c r="K950" s="4">
        <v>44476</v>
      </c>
      <c r="L950" t="s">
        <v>30</v>
      </c>
      <c r="M950" t="s">
        <v>97</v>
      </c>
      <c r="N950">
        <v>1.96</v>
      </c>
      <c r="O950">
        <v>2084</v>
      </c>
      <c r="P950">
        <v>2.31</v>
      </c>
      <c r="Q950">
        <v>365</v>
      </c>
      <c r="R950">
        <v>473</v>
      </c>
    </row>
    <row r="951" spans="1:18" hidden="1" x14ac:dyDescent="0.2">
      <c r="A951">
        <v>7</v>
      </c>
      <c r="B951" t="s">
        <v>86</v>
      </c>
      <c r="E951" t="s">
        <v>36</v>
      </c>
      <c r="F951">
        <v>2078224</v>
      </c>
      <c r="G951">
        <v>4</v>
      </c>
      <c r="H951">
        <v>3</v>
      </c>
      <c r="I951">
        <v>340</v>
      </c>
      <c r="J951">
        <v>1995</v>
      </c>
      <c r="K951" s="4">
        <v>44999</v>
      </c>
      <c r="L951" t="s">
        <v>23</v>
      </c>
      <c r="M951" t="s">
        <v>63</v>
      </c>
      <c r="N951">
        <v>2.65</v>
      </c>
      <c r="O951">
        <v>2100</v>
      </c>
      <c r="P951">
        <v>4.4800000000000004</v>
      </c>
      <c r="Q951">
        <v>309</v>
      </c>
      <c r="R951">
        <v>510</v>
      </c>
    </row>
    <row r="952" spans="1:18" x14ac:dyDescent="0.2">
      <c r="A952">
        <v>8</v>
      </c>
      <c r="B952" t="s">
        <v>87</v>
      </c>
      <c r="E952" t="s">
        <v>36</v>
      </c>
      <c r="F952">
        <v>1048416</v>
      </c>
      <c r="G952">
        <v>1</v>
      </c>
      <c r="H952">
        <v>2</v>
      </c>
      <c r="I952">
        <v>421</v>
      </c>
      <c r="J952">
        <v>1966</v>
      </c>
      <c r="K952" s="4">
        <v>45037</v>
      </c>
      <c r="L952" t="s">
        <v>20</v>
      </c>
      <c r="M952" t="s">
        <v>63</v>
      </c>
      <c r="N952">
        <v>1.94</v>
      </c>
      <c r="O952">
        <v>1789</v>
      </c>
      <c r="P952">
        <v>2.89</v>
      </c>
      <c r="Q952">
        <v>80</v>
      </c>
      <c r="R952">
        <v>537</v>
      </c>
    </row>
    <row r="953" spans="1:18" hidden="1" x14ac:dyDescent="0.2">
      <c r="A953">
        <v>5</v>
      </c>
      <c r="B953" t="s">
        <v>106</v>
      </c>
      <c r="E953" t="s">
        <v>51</v>
      </c>
      <c r="F953">
        <v>1870984</v>
      </c>
      <c r="G953">
        <v>3</v>
      </c>
      <c r="H953">
        <v>1</v>
      </c>
      <c r="I953">
        <v>958</v>
      </c>
      <c r="J953">
        <v>1984</v>
      </c>
      <c r="K953" s="4">
        <v>44864</v>
      </c>
      <c r="L953" t="s">
        <v>26</v>
      </c>
      <c r="M953" t="s">
        <v>31</v>
      </c>
      <c r="N953">
        <v>2.38</v>
      </c>
      <c r="O953">
        <v>1942</v>
      </c>
      <c r="P953">
        <v>3.47</v>
      </c>
      <c r="Q953">
        <v>271</v>
      </c>
      <c r="R953">
        <v>317</v>
      </c>
    </row>
    <row r="954" spans="1:18" hidden="1" x14ac:dyDescent="0.2">
      <c r="A954">
        <v>1</v>
      </c>
      <c r="B954" t="s">
        <v>53</v>
      </c>
      <c r="E954" t="s">
        <v>19</v>
      </c>
      <c r="F954">
        <v>1011590</v>
      </c>
      <c r="G954">
        <v>4</v>
      </c>
      <c r="H954">
        <v>1</v>
      </c>
      <c r="I954">
        <v>492</v>
      </c>
      <c r="J954">
        <v>1980</v>
      </c>
      <c r="K954" s="4">
        <v>44746</v>
      </c>
      <c r="L954" t="s">
        <v>23</v>
      </c>
      <c r="M954" t="s">
        <v>47</v>
      </c>
      <c r="N954">
        <v>2.8</v>
      </c>
      <c r="O954">
        <v>2198</v>
      </c>
      <c r="P954">
        <v>2.66</v>
      </c>
      <c r="Q954">
        <v>200</v>
      </c>
      <c r="R954">
        <v>632</v>
      </c>
    </row>
    <row r="955" spans="1:18" hidden="1" x14ac:dyDescent="0.2">
      <c r="A955">
        <v>2</v>
      </c>
      <c r="B955" t="s">
        <v>75</v>
      </c>
      <c r="E955" t="s">
        <v>19</v>
      </c>
      <c r="F955">
        <v>1566046</v>
      </c>
      <c r="G955">
        <v>5</v>
      </c>
      <c r="H955">
        <v>3</v>
      </c>
      <c r="I955">
        <v>779</v>
      </c>
      <c r="J955">
        <v>2003</v>
      </c>
      <c r="K955" s="4">
        <v>45256</v>
      </c>
      <c r="L955" t="s">
        <v>30</v>
      </c>
      <c r="M955" t="s">
        <v>27</v>
      </c>
      <c r="N955">
        <v>3.08</v>
      </c>
      <c r="O955">
        <v>2353</v>
      </c>
      <c r="P955">
        <v>3.41</v>
      </c>
      <c r="Q955">
        <v>259</v>
      </c>
      <c r="R955">
        <v>558</v>
      </c>
    </row>
    <row r="956" spans="1:18" hidden="1" x14ac:dyDescent="0.2">
      <c r="A956">
        <v>9</v>
      </c>
      <c r="B956" t="s">
        <v>100</v>
      </c>
      <c r="E956" t="s">
        <v>36</v>
      </c>
      <c r="F956">
        <v>2492041</v>
      </c>
      <c r="G956">
        <v>2</v>
      </c>
      <c r="H956">
        <v>2</v>
      </c>
      <c r="I956">
        <v>728</v>
      </c>
      <c r="J956">
        <v>2016</v>
      </c>
      <c r="K956" s="4">
        <v>45570</v>
      </c>
      <c r="L956" t="s">
        <v>23</v>
      </c>
      <c r="M956" t="s">
        <v>21</v>
      </c>
      <c r="N956">
        <v>3.36</v>
      </c>
      <c r="O956">
        <v>1357</v>
      </c>
      <c r="P956">
        <v>1.59</v>
      </c>
      <c r="Q956">
        <v>81</v>
      </c>
      <c r="R956">
        <v>631</v>
      </c>
    </row>
    <row r="957" spans="1:18" hidden="1" x14ac:dyDescent="0.2">
      <c r="A957">
        <v>5</v>
      </c>
      <c r="B957" t="s">
        <v>67</v>
      </c>
      <c r="E957" t="s">
        <v>36</v>
      </c>
      <c r="F957">
        <v>2329244</v>
      </c>
      <c r="G957">
        <v>4</v>
      </c>
      <c r="H957">
        <v>1</v>
      </c>
      <c r="I957">
        <v>965</v>
      </c>
      <c r="J957">
        <v>1968</v>
      </c>
      <c r="K957" s="4">
        <v>44589</v>
      </c>
      <c r="L957" t="s">
        <v>26</v>
      </c>
      <c r="M957" t="s">
        <v>59</v>
      </c>
      <c r="N957">
        <v>1.88</v>
      </c>
      <c r="O957">
        <v>2261</v>
      </c>
      <c r="P957">
        <v>3.55</v>
      </c>
      <c r="Q957">
        <v>181</v>
      </c>
      <c r="R957">
        <v>456</v>
      </c>
    </row>
    <row r="958" spans="1:18" hidden="1" x14ac:dyDescent="0.2">
      <c r="A958">
        <v>1</v>
      </c>
      <c r="B958" t="s">
        <v>101</v>
      </c>
      <c r="E958" t="s">
        <v>29</v>
      </c>
      <c r="F958">
        <v>854100</v>
      </c>
      <c r="G958">
        <v>4</v>
      </c>
      <c r="H958">
        <v>1</v>
      </c>
      <c r="I958">
        <v>913</v>
      </c>
      <c r="J958">
        <v>1958</v>
      </c>
      <c r="K958" s="4">
        <v>44500</v>
      </c>
      <c r="L958" t="s">
        <v>23</v>
      </c>
      <c r="M958" t="s">
        <v>21</v>
      </c>
      <c r="N958">
        <v>3.08</v>
      </c>
      <c r="O958">
        <v>2173</v>
      </c>
      <c r="P958">
        <v>3.82</v>
      </c>
      <c r="Q958">
        <v>258</v>
      </c>
      <c r="R958">
        <v>305</v>
      </c>
    </row>
    <row r="959" spans="1:18" hidden="1" x14ac:dyDescent="0.2">
      <c r="A959">
        <v>3</v>
      </c>
      <c r="B959" t="s">
        <v>91</v>
      </c>
      <c r="E959" t="s">
        <v>36</v>
      </c>
      <c r="F959">
        <v>2404057</v>
      </c>
      <c r="G959">
        <v>4</v>
      </c>
      <c r="H959">
        <v>1</v>
      </c>
      <c r="I959">
        <v>191</v>
      </c>
      <c r="J959">
        <v>1960</v>
      </c>
      <c r="K959" s="4">
        <v>44302</v>
      </c>
      <c r="L959" t="s">
        <v>20</v>
      </c>
      <c r="M959" t="s">
        <v>56</v>
      </c>
      <c r="N959">
        <v>2.5099999999999998</v>
      </c>
      <c r="O959">
        <v>1461</v>
      </c>
      <c r="P959">
        <v>3.28</v>
      </c>
      <c r="Q959">
        <v>180</v>
      </c>
      <c r="R959">
        <v>560</v>
      </c>
    </row>
    <row r="960" spans="1:18" x14ac:dyDescent="0.2">
      <c r="A960">
        <v>8</v>
      </c>
      <c r="B960" t="s">
        <v>61</v>
      </c>
      <c r="E960" t="s">
        <v>36</v>
      </c>
      <c r="F960">
        <v>1150822</v>
      </c>
      <c r="G960">
        <v>5</v>
      </c>
      <c r="H960">
        <v>1</v>
      </c>
      <c r="I960">
        <v>599</v>
      </c>
      <c r="J960">
        <v>1970</v>
      </c>
      <c r="K960" s="4">
        <v>45590</v>
      </c>
      <c r="L960" t="s">
        <v>30</v>
      </c>
      <c r="M960" t="s">
        <v>78</v>
      </c>
      <c r="N960">
        <v>3.3</v>
      </c>
      <c r="O960">
        <v>2187</v>
      </c>
      <c r="P960">
        <v>3.38</v>
      </c>
      <c r="Q960">
        <v>397</v>
      </c>
      <c r="R960">
        <v>429</v>
      </c>
    </row>
    <row r="961" spans="1:18" hidden="1" x14ac:dyDescent="0.2">
      <c r="A961">
        <v>0</v>
      </c>
      <c r="B961" t="s">
        <v>25</v>
      </c>
      <c r="E961" t="s">
        <v>19</v>
      </c>
      <c r="F961">
        <v>610549</v>
      </c>
      <c r="G961">
        <v>3</v>
      </c>
      <c r="H961">
        <v>1</v>
      </c>
      <c r="I961">
        <v>946</v>
      </c>
      <c r="J961">
        <v>1969</v>
      </c>
      <c r="K961" s="4">
        <v>44886</v>
      </c>
      <c r="L961" t="s">
        <v>20</v>
      </c>
      <c r="M961" t="s">
        <v>45</v>
      </c>
      <c r="N961">
        <v>2.15</v>
      </c>
      <c r="O961">
        <v>1148</v>
      </c>
      <c r="P961">
        <v>1.1599999999999999</v>
      </c>
      <c r="Q961">
        <v>174</v>
      </c>
      <c r="R961">
        <v>537</v>
      </c>
    </row>
    <row r="962" spans="1:18" hidden="1" x14ac:dyDescent="0.2">
      <c r="A962">
        <v>2</v>
      </c>
      <c r="B962" t="s">
        <v>96</v>
      </c>
      <c r="E962" t="s">
        <v>29</v>
      </c>
      <c r="F962">
        <v>1159707</v>
      </c>
      <c r="G962">
        <v>4</v>
      </c>
      <c r="H962">
        <v>3</v>
      </c>
      <c r="I962">
        <v>606</v>
      </c>
      <c r="J962">
        <v>2008</v>
      </c>
      <c r="K962" s="4">
        <v>44765</v>
      </c>
      <c r="L962" t="s">
        <v>20</v>
      </c>
      <c r="M962" t="s">
        <v>69</v>
      </c>
      <c r="N962">
        <v>2.82</v>
      </c>
      <c r="O962">
        <v>1355</v>
      </c>
      <c r="P962">
        <v>2.92</v>
      </c>
      <c r="Q962">
        <v>212</v>
      </c>
      <c r="R962">
        <v>576</v>
      </c>
    </row>
    <row r="963" spans="1:18" x14ac:dyDescent="0.2">
      <c r="A963">
        <v>8</v>
      </c>
      <c r="B963" t="s">
        <v>94</v>
      </c>
      <c r="E963" t="s">
        <v>19</v>
      </c>
      <c r="F963">
        <v>1358231</v>
      </c>
      <c r="G963">
        <v>1</v>
      </c>
      <c r="H963">
        <v>1</v>
      </c>
      <c r="I963">
        <v>377</v>
      </c>
      <c r="J963">
        <v>1963</v>
      </c>
      <c r="K963" s="4">
        <v>44127</v>
      </c>
      <c r="L963" t="s">
        <v>23</v>
      </c>
      <c r="M963" t="s">
        <v>74</v>
      </c>
      <c r="N963">
        <v>3.14</v>
      </c>
      <c r="O963">
        <v>2488</v>
      </c>
      <c r="P963">
        <v>3.72</v>
      </c>
      <c r="Q963">
        <v>144</v>
      </c>
      <c r="R963">
        <v>365</v>
      </c>
    </row>
    <row r="964" spans="1:18" hidden="1" x14ac:dyDescent="0.2">
      <c r="A964">
        <v>3</v>
      </c>
      <c r="B964" t="s">
        <v>73</v>
      </c>
      <c r="E964" t="s">
        <v>36</v>
      </c>
      <c r="F964">
        <v>808062</v>
      </c>
      <c r="G964">
        <v>3</v>
      </c>
      <c r="H964">
        <v>3</v>
      </c>
      <c r="I964">
        <v>834</v>
      </c>
      <c r="J964">
        <v>2005</v>
      </c>
      <c r="K964" s="4">
        <v>45888</v>
      </c>
      <c r="L964" t="s">
        <v>20</v>
      </c>
      <c r="M964" t="s">
        <v>31</v>
      </c>
      <c r="N964">
        <v>2.7</v>
      </c>
      <c r="O964">
        <v>978</v>
      </c>
      <c r="P964">
        <v>4.67</v>
      </c>
      <c r="Q964">
        <v>298</v>
      </c>
      <c r="R964">
        <v>445</v>
      </c>
    </row>
    <row r="965" spans="1:18" hidden="1" x14ac:dyDescent="0.2">
      <c r="A965">
        <v>0</v>
      </c>
      <c r="B965" t="s">
        <v>73</v>
      </c>
      <c r="E965" t="s">
        <v>36</v>
      </c>
      <c r="F965">
        <v>1748107</v>
      </c>
      <c r="G965">
        <v>1</v>
      </c>
      <c r="H965">
        <v>3</v>
      </c>
      <c r="I965">
        <v>572</v>
      </c>
      <c r="J965">
        <v>1989</v>
      </c>
      <c r="K965" s="4">
        <v>44246</v>
      </c>
      <c r="L965" t="s">
        <v>30</v>
      </c>
      <c r="M965" t="s">
        <v>78</v>
      </c>
      <c r="N965">
        <v>2.89</v>
      </c>
      <c r="O965">
        <v>1174</v>
      </c>
      <c r="P965">
        <v>3.95</v>
      </c>
      <c r="Q965">
        <v>49</v>
      </c>
      <c r="R965">
        <v>566</v>
      </c>
    </row>
    <row r="966" spans="1:18" hidden="1" x14ac:dyDescent="0.2">
      <c r="A966">
        <v>5</v>
      </c>
      <c r="B966" t="s">
        <v>100</v>
      </c>
      <c r="E966" t="s">
        <v>19</v>
      </c>
      <c r="F966">
        <v>1366007</v>
      </c>
      <c r="G966">
        <v>4</v>
      </c>
      <c r="H966">
        <v>1</v>
      </c>
      <c r="I966">
        <v>413</v>
      </c>
      <c r="J966">
        <v>2010</v>
      </c>
      <c r="K966" s="4">
        <v>44671</v>
      </c>
      <c r="L966" t="s">
        <v>30</v>
      </c>
      <c r="M966" t="s">
        <v>68</v>
      </c>
      <c r="N966">
        <v>2.41</v>
      </c>
      <c r="O966">
        <v>1364</v>
      </c>
      <c r="P966">
        <v>1.07</v>
      </c>
      <c r="Q966">
        <v>324</v>
      </c>
      <c r="R966">
        <v>513</v>
      </c>
    </row>
    <row r="967" spans="1:18" hidden="1" x14ac:dyDescent="0.2">
      <c r="A967">
        <v>6</v>
      </c>
      <c r="B967" t="s">
        <v>34</v>
      </c>
      <c r="E967" t="s">
        <v>51</v>
      </c>
      <c r="F967">
        <v>1056745</v>
      </c>
      <c r="G967">
        <v>4</v>
      </c>
      <c r="H967">
        <v>3</v>
      </c>
      <c r="I967">
        <v>341</v>
      </c>
      <c r="J967">
        <v>1995</v>
      </c>
      <c r="K967" s="4">
        <v>45475</v>
      </c>
      <c r="L967" t="s">
        <v>26</v>
      </c>
      <c r="M967" t="s">
        <v>40</v>
      </c>
      <c r="N967">
        <v>1.55</v>
      </c>
      <c r="O967">
        <v>1337</v>
      </c>
      <c r="P967">
        <v>3.91</v>
      </c>
      <c r="Q967">
        <v>335</v>
      </c>
      <c r="R967">
        <v>386</v>
      </c>
    </row>
    <row r="968" spans="1:18" hidden="1" x14ac:dyDescent="0.2">
      <c r="A968">
        <v>2</v>
      </c>
      <c r="B968" t="s">
        <v>65</v>
      </c>
      <c r="E968" t="s">
        <v>19</v>
      </c>
      <c r="F968">
        <v>668817</v>
      </c>
      <c r="G968">
        <v>0</v>
      </c>
      <c r="H968">
        <v>2</v>
      </c>
      <c r="I968">
        <v>245</v>
      </c>
      <c r="J968">
        <v>1955</v>
      </c>
      <c r="K968" s="4">
        <v>44435</v>
      </c>
      <c r="L968" t="s">
        <v>26</v>
      </c>
      <c r="M968" t="s">
        <v>74</v>
      </c>
      <c r="N968">
        <v>2.79</v>
      </c>
      <c r="O968">
        <v>1308</v>
      </c>
      <c r="P968">
        <v>0.56000000000000005</v>
      </c>
      <c r="Q968">
        <v>59</v>
      </c>
      <c r="R968">
        <v>612</v>
      </c>
    </row>
    <row r="969" spans="1:18" hidden="1" x14ac:dyDescent="0.2">
      <c r="A969">
        <v>0</v>
      </c>
      <c r="B969" t="s">
        <v>41</v>
      </c>
      <c r="E969" t="s">
        <v>29</v>
      </c>
      <c r="F969">
        <v>838375</v>
      </c>
      <c r="G969">
        <v>5</v>
      </c>
      <c r="H969">
        <v>2</v>
      </c>
      <c r="I969">
        <v>338</v>
      </c>
      <c r="J969">
        <v>1966</v>
      </c>
      <c r="K969" s="4">
        <v>45238</v>
      </c>
      <c r="L969" t="s">
        <v>23</v>
      </c>
      <c r="M969" t="s">
        <v>56</v>
      </c>
      <c r="N969">
        <v>2.4300000000000002</v>
      </c>
      <c r="O969">
        <v>1304</v>
      </c>
      <c r="P969">
        <v>3.64</v>
      </c>
      <c r="Q969">
        <v>260</v>
      </c>
      <c r="R969">
        <v>505</v>
      </c>
    </row>
    <row r="970" spans="1:18" hidden="1" x14ac:dyDescent="0.2">
      <c r="A970">
        <v>0</v>
      </c>
      <c r="B970" t="s">
        <v>34</v>
      </c>
      <c r="E970" t="s">
        <v>29</v>
      </c>
      <c r="F970">
        <v>893043</v>
      </c>
      <c r="G970">
        <v>4</v>
      </c>
      <c r="H970">
        <v>1</v>
      </c>
      <c r="I970">
        <v>109</v>
      </c>
      <c r="J970">
        <v>2008</v>
      </c>
      <c r="K970" s="4">
        <v>44479</v>
      </c>
      <c r="L970" t="s">
        <v>30</v>
      </c>
      <c r="M970" t="s">
        <v>47</v>
      </c>
      <c r="N970">
        <v>1.51</v>
      </c>
      <c r="O970">
        <v>2416</v>
      </c>
      <c r="P970">
        <v>0.5</v>
      </c>
      <c r="Q970">
        <v>240</v>
      </c>
      <c r="R970">
        <v>322</v>
      </c>
    </row>
    <row r="971" spans="1:18" x14ac:dyDescent="0.2">
      <c r="A971">
        <v>8</v>
      </c>
      <c r="B971" t="s">
        <v>75</v>
      </c>
      <c r="E971" t="s">
        <v>19</v>
      </c>
      <c r="F971">
        <v>1301498</v>
      </c>
      <c r="G971">
        <v>3</v>
      </c>
      <c r="H971">
        <v>3</v>
      </c>
      <c r="I971">
        <v>803</v>
      </c>
      <c r="J971">
        <v>1976</v>
      </c>
      <c r="K971" s="4">
        <v>45443</v>
      </c>
      <c r="L971" t="s">
        <v>30</v>
      </c>
      <c r="M971" t="s">
        <v>78</v>
      </c>
      <c r="N971">
        <v>2.5299999999999998</v>
      </c>
      <c r="O971">
        <v>900</v>
      </c>
      <c r="P971">
        <v>2.88</v>
      </c>
      <c r="Q971">
        <v>239</v>
      </c>
      <c r="R971">
        <v>449</v>
      </c>
    </row>
    <row r="972" spans="1:18" hidden="1" x14ac:dyDescent="0.2">
      <c r="A972">
        <v>3</v>
      </c>
      <c r="B972" t="s">
        <v>25</v>
      </c>
      <c r="E972" t="s">
        <v>19</v>
      </c>
      <c r="F972">
        <v>1340117</v>
      </c>
      <c r="G972">
        <v>1</v>
      </c>
      <c r="H972">
        <v>2</v>
      </c>
      <c r="I972">
        <v>603</v>
      </c>
      <c r="J972">
        <v>2022</v>
      </c>
      <c r="K972" s="4">
        <v>45545</v>
      </c>
      <c r="L972" t="s">
        <v>26</v>
      </c>
      <c r="M972" t="s">
        <v>45</v>
      </c>
      <c r="N972">
        <v>3.3</v>
      </c>
      <c r="O972">
        <v>1240</v>
      </c>
      <c r="P972">
        <v>4.25</v>
      </c>
      <c r="Q972">
        <v>49</v>
      </c>
      <c r="R972">
        <v>604</v>
      </c>
    </row>
    <row r="973" spans="1:18" hidden="1" x14ac:dyDescent="0.2">
      <c r="A973">
        <v>6</v>
      </c>
      <c r="B973" t="s">
        <v>39</v>
      </c>
      <c r="E973" t="s">
        <v>51</v>
      </c>
      <c r="F973">
        <v>1247412</v>
      </c>
      <c r="G973">
        <v>3</v>
      </c>
      <c r="H973">
        <v>2</v>
      </c>
      <c r="I973">
        <v>529</v>
      </c>
      <c r="J973">
        <v>1990</v>
      </c>
      <c r="K973" s="4">
        <v>45055</v>
      </c>
      <c r="L973" t="s">
        <v>20</v>
      </c>
      <c r="M973" t="s">
        <v>78</v>
      </c>
      <c r="N973">
        <v>3.06</v>
      </c>
      <c r="O973">
        <v>1934</v>
      </c>
      <c r="P973">
        <v>4</v>
      </c>
      <c r="Q973">
        <v>180</v>
      </c>
      <c r="R973">
        <v>311</v>
      </c>
    </row>
    <row r="974" spans="1:18" hidden="1" x14ac:dyDescent="0.2">
      <c r="A974">
        <v>6</v>
      </c>
      <c r="B974" t="s">
        <v>43</v>
      </c>
      <c r="E974" t="s">
        <v>36</v>
      </c>
      <c r="F974">
        <v>2191314</v>
      </c>
      <c r="G974">
        <v>1</v>
      </c>
      <c r="H974">
        <v>3</v>
      </c>
      <c r="I974">
        <v>115</v>
      </c>
      <c r="J974">
        <v>1976</v>
      </c>
      <c r="K974" s="4">
        <v>45607</v>
      </c>
      <c r="L974" t="s">
        <v>20</v>
      </c>
      <c r="M974" t="s">
        <v>70</v>
      </c>
      <c r="N974">
        <v>3.5</v>
      </c>
      <c r="O974">
        <v>1655</v>
      </c>
      <c r="P974">
        <v>0.35</v>
      </c>
      <c r="Q974">
        <v>106</v>
      </c>
      <c r="R974">
        <v>572</v>
      </c>
    </row>
    <row r="975" spans="1:18" hidden="1" x14ac:dyDescent="0.2">
      <c r="A975">
        <v>5</v>
      </c>
      <c r="B975" t="s">
        <v>38</v>
      </c>
      <c r="E975" t="s">
        <v>29</v>
      </c>
      <c r="F975">
        <v>1320912</v>
      </c>
      <c r="G975">
        <v>3</v>
      </c>
      <c r="H975">
        <v>1</v>
      </c>
      <c r="I975">
        <v>387</v>
      </c>
      <c r="J975">
        <v>1955</v>
      </c>
      <c r="K975" s="4">
        <v>44788</v>
      </c>
      <c r="L975" t="s">
        <v>23</v>
      </c>
      <c r="M975" t="s">
        <v>63</v>
      </c>
      <c r="N975">
        <v>1.91</v>
      </c>
      <c r="O975">
        <v>1985</v>
      </c>
      <c r="P975">
        <v>1.59</v>
      </c>
      <c r="Q975">
        <v>186</v>
      </c>
      <c r="R975">
        <v>348</v>
      </c>
    </row>
    <row r="976" spans="1:18" x14ac:dyDescent="0.2">
      <c r="A976">
        <v>8</v>
      </c>
      <c r="B976" t="s">
        <v>98</v>
      </c>
      <c r="E976" t="s">
        <v>51</v>
      </c>
      <c r="F976">
        <v>1755361</v>
      </c>
      <c r="G976">
        <v>1</v>
      </c>
      <c r="H976">
        <v>2</v>
      </c>
      <c r="I976">
        <v>271</v>
      </c>
      <c r="J976">
        <v>2003</v>
      </c>
      <c r="K976" s="4">
        <v>45762</v>
      </c>
      <c r="L976" t="s">
        <v>26</v>
      </c>
      <c r="M976" t="s">
        <v>24</v>
      </c>
      <c r="N976">
        <v>2.14</v>
      </c>
      <c r="O976">
        <v>1885</v>
      </c>
      <c r="P976">
        <v>1.75</v>
      </c>
      <c r="Q976">
        <v>57</v>
      </c>
      <c r="R976">
        <v>559</v>
      </c>
    </row>
    <row r="977" spans="1:18" hidden="1" x14ac:dyDescent="0.2">
      <c r="A977">
        <v>0</v>
      </c>
      <c r="B977" t="s">
        <v>22</v>
      </c>
      <c r="E977" t="s">
        <v>19</v>
      </c>
      <c r="F977">
        <v>760718</v>
      </c>
      <c r="G977">
        <v>2</v>
      </c>
      <c r="H977">
        <v>2</v>
      </c>
      <c r="I977">
        <v>993</v>
      </c>
      <c r="J977">
        <v>1953</v>
      </c>
      <c r="K977" s="4">
        <v>44920</v>
      </c>
      <c r="L977" t="s">
        <v>23</v>
      </c>
      <c r="M977" t="s">
        <v>24</v>
      </c>
      <c r="N977">
        <v>1.64</v>
      </c>
      <c r="O977">
        <v>2461</v>
      </c>
      <c r="P977">
        <v>3.5</v>
      </c>
      <c r="Q977">
        <v>118</v>
      </c>
      <c r="R977">
        <v>355</v>
      </c>
    </row>
    <row r="978" spans="1:18" hidden="1" x14ac:dyDescent="0.2">
      <c r="A978">
        <v>6</v>
      </c>
      <c r="B978" t="s">
        <v>73</v>
      </c>
      <c r="E978" t="s">
        <v>51</v>
      </c>
      <c r="F978">
        <v>2087665</v>
      </c>
      <c r="G978">
        <v>6</v>
      </c>
      <c r="H978">
        <v>2</v>
      </c>
      <c r="I978">
        <v>352</v>
      </c>
      <c r="J978">
        <v>1965</v>
      </c>
      <c r="K978" s="4">
        <v>44475</v>
      </c>
      <c r="L978" t="s">
        <v>26</v>
      </c>
      <c r="M978" t="s">
        <v>82</v>
      </c>
      <c r="N978">
        <v>1.61</v>
      </c>
      <c r="O978">
        <v>1787</v>
      </c>
      <c r="P978">
        <v>0.87</v>
      </c>
      <c r="Q978">
        <v>325</v>
      </c>
      <c r="R978">
        <v>456</v>
      </c>
    </row>
    <row r="979" spans="1:18" hidden="1" x14ac:dyDescent="0.2">
      <c r="A979">
        <v>6</v>
      </c>
      <c r="B979" t="s">
        <v>104</v>
      </c>
      <c r="E979" t="s">
        <v>36</v>
      </c>
      <c r="F979">
        <v>1498522</v>
      </c>
      <c r="G979">
        <v>4</v>
      </c>
      <c r="H979">
        <v>1</v>
      </c>
      <c r="I979">
        <v>108</v>
      </c>
      <c r="J979">
        <v>1988</v>
      </c>
      <c r="K979" s="4">
        <v>45188</v>
      </c>
      <c r="L979" t="s">
        <v>30</v>
      </c>
      <c r="M979" t="s">
        <v>89</v>
      </c>
      <c r="N979">
        <v>1.53</v>
      </c>
      <c r="O979">
        <v>1930</v>
      </c>
      <c r="P979">
        <v>3.01</v>
      </c>
      <c r="Q979">
        <v>234</v>
      </c>
      <c r="R979">
        <v>518</v>
      </c>
    </row>
    <row r="980" spans="1:18" hidden="1" x14ac:dyDescent="0.2">
      <c r="A980">
        <v>2</v>
      </c>
      <c r="B980" t="s">
        <v>104</v>
      </c>
      <c r="E980" t="s">
        <v>19</v>
      </c>
      <c r="F980">
        <v>1725910</v>
      </c>
      <c r="G980">
        <v>4</v>
      </c>
      <c r="H980">
        <v>2</v>
      </c>
      <c r="I980">
        <v>887</v>
      </c>
      <c r="J980">
        <v>1975</v>
      </c>
      <c r="K980" s="4">
        <v>44076</v>
      </c>
      <c r="L980" t="s">
        <v>20</v>
      </c>
      <c r="M980" t="s">
        <v>21</v>
      </c>
      <c r="N980">
        <v>3.24</v>
      </c>
      <c r="O980">
        <v>1637</v>
      </c>
      <c r="P980">
        <v>1.91</v>
      </c>
      <c r="Q980">
        <v>292</v>
      </c>
      <c r="R980">
        <v>456</v>
      </c>
    </row>
    <row r="981" spans="1:18" x14ac:dyDescent="0.2">
      <c r="A981">
        <v>8</v>
      </c>
      <c r="B981" t="s">
        <v>95</v>
      </c>
      <c r="E981" t="s">
        <v>51</v>
      </c>
      <c r="F981">
        <v>2541458</v>
      </c>
      <c r="G981">
        <v>4</v>
      </c>
      <c r="H981">
        <v>1</v>
      </c>
      <c r="I981">
        <v>93</v>
      </c>
      <c r="J981">
        <v>1991</v>
      </c>
      <c r="K981" s="4">
        <v>45592</v>
      </c>
      <c r="L981" t="s">
        <v>20</v>
      </c>
      <c r="M981" t="s">
        <v>42</v>
      </c>
      <c r="N981">
        <v>1.73</v>
      </c>
      <c r="O981">
        <v>1010</v>
      </c>
      <c r="P981">
        <v>2.98</v>
      </c>
      <c r="Q981">
        <v>372</v>
      </c>
      <c r="R981">
        <v>423</v>
      </c>
    </row>
    <row r="982" spans="1:18" hidden="1" x14ac:dyDescent="0.2">
      <c r="A982">
        <v>2</v>
      </c>
      <c r="B982" t="s">
        <v>87</v>
      </c>
      <c r="E982" t="s">
        <v>29</v>
      </c>
      <c r="F982">
        <v>1986292</v>
      </c>
      <c r="G982">
        <v>3</v>
      </c>
      <c r="H982">
        <v>2</v>
      </c>
      <c r="I982">
        <v>858</v>
      </c>
      <c r="J982">
        <v>1968</v>
      </c>
      <c r="K982" s="4">
        <v>44438</v>
      </c>
      <c r="L982" t="s">
        <v>26</v>
      </c>
      <c r="M982" t="s">
        <v>69</v>
      </c>
      <c r="N982">
        <v>3.17</v>
      </c>
      <c r="O982">
        <v>2335</v>
      </c>
      <c r="P982">
        <v>0.61</v>
      </c>
      <c r="Q982">
        <v>95</v>
      </c>
      <c r="R982">
        <v>697</v>
      </c>
    </row>
    <row r="983" spans="1:18" hidden="1" x14ac:dyDescent="0.2">
      <c r="A983">
        <v>0</v>
      </c>
      <c r="B983" t="s">
        <v>94</v>
      </c>
      <c r="E983" t="s">
        <v>51</v>
      </c>
      <c r="F983">
        <v>628911</v>
      </c>
      <c r="G983">
        <v>2</v>
      </c>
      <c r="H983">
        <v>3</v>
      </c>
      <c r="I983">
        <v>575</v>
      </c>
      <c r="J983">
        <v>1992</v>
      </c>
      <c r="K983" s="4">
        <v>44479</v>
      </c>
      <c r="L983" t="s">
        <v>20</v>
      </c>
      <c r="M983" t="s">
        <v>60</v>
      </c>
      <c r="N983">
        <v>1.87</v>
      </c>
      <c r="O983">
        <v>1627</v>
      </c>
      <c r="P983">
        <v>2.54</v>
      </c>
      <c r="Q983">
        <v>100</v>
      </c>
      <c r="R983">
        <v>308</v>
      </c>
    </row>
    <row r="984" spans="1:18" hidden="1" x14ac:dyDescent="0.2">
      <c r="A984">
        <v>6</v>
      </c>
      <c r="B984" t="s">
        <v>65</v>
      </c>
      <c r="E984" t="s">
        <v>19</v>
      </c>
      <c r="F984">
        <v>1495381</v>
      </c>
      <c r="G984">
        <v>2</v>
      </c>
      <c r="H984">
        <v>3</v>
      </c>
      <c r="I984">
        <v>788</v>
      </c>
      <c r="J984">
        <v>1955</v>
      </c>
      <c r="K984" s="4">
        <v>44278</v>
      </c>
      <c r="L984" t="s">
        <v>23</v>
      </c>
      <c r="M984" t="s">
        <v>74</v>
      </c>
      <c r="N984">
        <v>3.17</v>
      </c>
      <c r="O984">
        <v>1339</v>
      </c>
      <c r="P984">
        <v>4.8899999999999997</v>
      </c>
      <c r="Q984">
        <v>168</v>
      </c>
      <c r="R984">
        <v>534</v>
      </c>
    </row>
    <row r="985" spans="1:18" hidden="1" x14ac:dyDescent="0.2">
      <c r="A985">
        <v>4</v>
      </c>
      <c r="B985" t="s">
        <v>61</v>
      </c>
      <c r="E985" t="s">
        <v>29</v>
      </c>
      <c r="F985">
        <v>1092626</v>
      </c>
      <c r="G985">
        <v>3</v>
      </c>
      <c r="H985">
        <v>3</v>
      </c>
      <c r="I985">
        <v>145</v>
      </c>
      <c r="J985">
        <v>1965</v>
      </c>
      <c r="K985" s="4">
        <v>44817</v>
      </c>
      <c r="L985" t="s">
        <v>20</v>
      </c>
      <c r="M985" t="s">
        <v>59</v>
      </c>
      <c r="N985">
        <v>2.79</v>
      </c>
      <c r="O985">
        <v>1283</v>
      </c>
      <c r="P985">
        <v>0.41</v>
      </c>
      <c r="Q985">
        <v>96</v>
      </c>
      <c r="R985">
        <v>585</v>
      </c>
    </row>
    <row r="986" spans="1:18" hidden="1" x14ac:dyDescent="0.2">
      <c r="A986">
        <v>5</v>
      </c>
      <c r="B986" t="s">
        <v>102</v>
      </c>
      <c r="E986" t="s">
        <v>29</v>
      </c>
      <c r="F986">
        <v>2633416</v>
      </c>
      <c r="G986">
        <v>1</v>
      </c>
      <c r="H986">
        <v>2</v>
      </c>
      <c r="I986">
        <v>128</v>
      </c>
      <c r="J986">
        <v>1997</v>
      </c>
      <c r="K986" s="4">
        <v>45121</v>
      </c>
      <c r="L986" t="s">
        <v>20</v>
      </c>
      <c r="M986" t="s">
        <v>78</v>
      </c>
      <c r="N986">
        <v>2.13</v>
      </c>
      <c r="O986">
        <v>934</v>
      </c>
      <c r="P986">
        <v>1.51</v>
      </c>
      <c r="Q986">
        <v>66</v>
      </c>
      <c r="R986">
        <v>564</v>
      </c>
    </row>
    <row r="987" spans="1:18" hidden="1" x14ac:dyDescent="0.2">
      <c r="A987">
        <v>7</v>
      </c>
      <c r="B987" t="s">
        <v>96</v>
      </c>
      <c r="E987" t="s">
        <v>29</v>
      </c>
      <c r="F987">
        <v>2192600</v>
      </c>
      <c r="G987">
        <v>3</v>
      </c>
      <c r="H987">
        <v>1</v>
      </c>
      <c r="I987">
        <v>539</v>
      </c>
      <c r="J987">
        <v>1970</v>
      </c>
      <c r="K987" s="4">
        <v>45637</v>
      </c>
      <c r="L987" t="s">
        <v>26</v>
      </c>
      <c r="M987" t="s">
        <v>66</v>
      </c>
      <c r="N987">
        <v>2.89</v>
      </c>
      <c r="O987">
        <v>1836</v>
      </c>
      <c r="P987">
        <v>3.97</v>
      </c>
      <c r="Q987">
        <v>278</v>
      </c>
      <c r="R987">
        <v>533</v>
      </c>
    </row>
    <row r="988" spans="1:18" x14ac:dyDescent="0.2">
      <c r="A988">
        <v>8</v>
      </c>
      <c r="B988" t="s">
        <v>102</v>
      </c>
      <c r="E988" t="s">
        <v>29</v>
      </c>
      <c r="F988">
        <v>2840451</v>
      </c>
      <c r="G988">
        <v>0</v>
      </c>
      <c r="H988">
        <v>1</v>
      </c>
      <c r="I988">
        <v>604</v>
      </c>
      <c r="J988">
        <v>2006</v>
      </c>
      <c r="K988" s="4">
        <v>45110</v>
      </c>
      <c r="L988" t="s">
        <v>30</v>
      </c>
      <c r="M988" t="s">
        <v>68</v>
      </c>
      <c r="N988">
        <v>2.02</v>
      </c>
      <c r="O988">
        <v>2135</v>
      </c>
      <c r="P988">
        <v>2.25</v>
      </c>
      <c r="Q988">
        <v>71</v>
      </c>
      <c r="R988">
        <v>584</v>
      </c>
    </row>
    <row r="989" spans="1:18" hidden="1" x14ac:dyDescent="0.2">
      <c r="A989">
        <v>3</v>
      </c>
      <c r="B989" t="s">
        <v>34</v>
      </c>
      <c r="E989" t="s">
        <v>36</v>
      </c>
      <c r="F989">
        <v>2492855</v>
      </c>
      <c r="G989">
        <v>0</v>
      </c>
      <c r="H989">
        <v>2</v>
      </c>
      <c r="I989">
        <v>176</v>
      </c>
      <c r="J989">
        <v>1985</v>
      </c>
      <c r="K989" s="4">
        <v>45752</v>
      </c>
      <c r="L989" t="s">
        <v>20</v>
      </c>
      <c r="M989" t="s">
        <v>97</v>
      </c>
      <c r="N989">
        <v>2.11</v>
      </c>
      <c r="O989">
        <v>2338</v>
      </c>
      <c r="P989">
        <v>0.9</v>
      </c>
      <c r="Q989">
        <v>59</v>
      </c>
      <c r="R989">
        <v>401</v>
      </c>
    </row>
    <row r="990" spans="1:18" hidden="1" x14ac:dyDescent="0.2">
      <c r="A990">
        <v>1</v>
      </c>
      <c r="B990" t="s">
        <v>105</v>
      </c>
      <c r="E990" t="s">
        <v>29</v>
      </c>
      <c r="F990">
        <v>1664101</v>
      </c>
      <c r="G990">
        <v>3</v>
      </c>
      <c r="H990">
        <v>2</v>
      </c>
      <c r="I990">
        <v>208</v>
      </c>
      <c r="J990">
        <v>1978</v>
      </c>
      <c r="K990" s="4">
        <v>44705</v>
      </c>
      <c r="L990" t="s">
        <v>26</v>
      </c>
      <c r="M990" t="s">
        <v>85</v>
      </c>
      <c r="N990">
        <v>1.79</v>
      </c>
      <c r="O990">
        <v>2226</v>
      </c>
      <c r="P990">
        <v>2.2200000000000002</v>
      </c>
      <c r="Q990">
        <v>229</v>
      </c>
      <c r="R990">
        <v>608</v>
      </c>
    </row>
    <row r="991" spans="1:18" x14ac:dyDescent="0.2">
      <c r="A991">
        <v>8</v>
      </c>
      <c r="B991" t="s">
        <v>106</v>
      </c>
      <c r="E991" t="s">
        <v>19</v>
      </c>
      <c r="F991">
        <v>2117875</v>
      </c>
      <c r="G991">
        <v>4</v>
      </c>
      <c r="H991">
        <v>2</v>
      </c>
      <c r="I991">
        <v>396</v>
      </c>
      <c r="J991">
        <v>2017</v>
      </c>
      <c r="K991" s="4">
        <v>45463</v>
      </c>
      <c r="L991" t="s">
        <v>23</v>
      </c>
      <c r="M991" t="s">
        <v>21</v>
      </c>
      <c r="N991">
        <v>3.03</v>
      </c>
      <c r="O991">
        <v>2343</v>
      </c>
      <c r="P991">
        <v>3.53</v>
      </c>
      <c r="Q991">
        <v>280</v>
      </c>
      <c r="R991">
        <v>301</v>
      </c>
    </row>
    <row r="992" spans="1:18" hidden="1" x14ac:dyDescent="0.2">
      <c r="A992">
        <v>1</v>
      </c>
      <c r="B992" t="s">
        <v>48</v>
      </c>
      <c r="E992" t="s">
        <v>51</v>
      </c>
      <c r="F992">
        <v>491804</v>
      </c>
      <c r="G992">
        <v>1</v>
      </c>
      <c r="H992">
        <v>2</v>
      </c>
      <c r="I992">
        <v>0</v>
      </c>
      <c r="J992">
        <v>2018</v>
      </c>
      <c r="K992" s="4">
        <v>45201</v>
      </c>
      <c r="L992" t="s">
        <v>26</v>
      </c>
      <c r="M992" t="s">
        <v>70</v>
      </c>
      <c r="N992">
        <v>2.69</v>
      </c>
      <c r="O992">
        <v>910</v>
      </c>
      <c r="P992">
        <v>4.3600000000000003</v>
      </c>
      <c r="Q992">
        <v>290</v>
      </c>
      <c r="R992">
        <v>389</v>
      </c>
    </row>
    <row r="993" spans="1:18" hidden="1" x14ac:dyDescent="0.2">
      <c r="A993">
        <v>6</v>
      </c>
      <c r="B993" t="s">
        <v>55</v>
      </c>
      <c r="E993" t="s">
        <v>19</v>
      </c>
      <c r="F993">
        <v>2398550</v>
      </c>
      <c r="G993">
        <v>5</v>
      </c>
      <c r="H993">
        <v>3</v>
      </c>
      <c r="I993">
        <v>826</v>
      </c>
      <c r="J993">
        <v>1961</v>
      </c>
      <c r="K993" s="4">
        <v>45277</v>
      </c>
      <c r="L993" t="s">
        <v>23</v>
      </c>
      <c r="M993" t="s">
        <v>78</v>
      </c>
      <c r="N993">
        <v>2.84</v>
      </c>
      <c r="O993">
        <v>1844</v>
      </c>
      <c r="P993">
        <v>3.18</v>
      </c>
      <c r="Q993">
        <v>366</v>
      </c>
      <c r="R993">
        <v>637</v>
      </c>
    </row>
    <row r="994" spans="1:18" hidden="1" x14ac:dyDescent="0.2">
      <c r="A994">
        <v>0</v>
      </c>
      <c r="B994" t="s">
        <v>98</v>
      </c>
      <c r="E994" t="s">
        <v>29</v>
      </c>
      <c r="F994">
        <v>1204059</v>
      </c>
      <c r="G994">
        <v>5</v>
      </c>
      <c r="H994">
        <v>3</v>
      </c>
      <c r="I994">
        <v>287</v>
      </c>
      <c r="J994">
        <v>1973</v>
      </c>
      <c r="K994" s="4">
        <v>45169</v>
      </c>
      <c r="L994" t="s">
        <v>30</v>
      </c>
      <c r="M994" t="s">
        <v>77</v>
      </c>
      <c r="N994">
        <v>1.53</v>
      </c>
      <c r="O994">
        <v>938</v>
      </c>
      <c r="P994">
        <v>3.21</v>
      </c>
      <c r="Q994">
        <v>382</v>
      </c>
      <c r="R994">
        <v>367</v>
      </c>
    </row>
    <row r="995" spans="1:18" hidden="1" x14ac:dyDescent="0.2">
      <c r="A995">
        <v>5</v>
      </c>
      <c r="B995" t="s">
        <v>102</v>
      </c>
      <c r="E995" t="s">
        <v>36</v>
      </c>
      <c r="F995">
        <v>2392629</v>
      </c>
      <c r="G995">
        <v>4</v>
      </c>
      <c r="H995">
        <v>2</v>
      </c>
      <c r="I995">
        <v>366</v>
      </c>
      <c r="J995">
        <v>1966</v>
      </c>
      <c r="K995" s="4">
        <v>45480</v>
      </c>
      <c r="L995" t="s">
        <v>26</v>
      </c>
      <c r="M995" t="s">
        <v>76</v>
      </c>
      <c r="N995">
        <v>3.46</v>
      </c>
      <c r="O995">
        <v>1805</v>
      </c>
      <c r="P995">
        <v>3.58</v>
      </c>
      <c r="Q995">
        <v>280</v>
      </c>
      <c r="R995">
        <v>592</v>
      </c>
    </row>
    <row r="996" spans="1:18" hidden="1" x14ac:dyDescent="0.2">
      <c r="A996">
        <v>0</v>
      </c>
      <c r="B996" t="s">
        <v>95</v>
      </c>
      <c r="E996" t="s">
        <v>19</v>
      </c>
      <c r="F996">
        <v>2282808</v>
      </c>
      <c r="G996">
        <v>1</v>
      </c>
      <c r="H996">
        <v>3</v>
      </c>
      <c r="I996">
        <v>430</v>
      </c>
      <c r="J996">
        <v>1995</v>
      </c>
      <c r="K996" s="4">
        <v>45132</v>
      </c>
      <c r="L996" t="s">
        <v>23</v>
      </c>
      <c r="M996" t="s">
        <v>74</v>
      </c>
      <c r="N996">
        <v>2.9</v>
      </c>
      <c r="O996">
        <v>1784</v>
      </c>
      <c r="P996">
        <v>2.29</v>
      </c>
      <c r="Q996">
        <v>92</v>
      </c>
      <c r="R996">
        <v>446</v>
      </c>
    </row>
    <row r="997" spans="1:18" hidden="1" x14ac:dyDescent="0.2">
      <c r="A997">
        <v>3</v>
      </c>
      <c r="B997" t="s">
        <v>18</v>
      </c>
      <c r="E997" t="s">
        <v>51</v>
      </c>
      <c r="F997">
        <v>1286925</v>
      </c>
      <c r="G997">
        <v>4</v>
      </c>
      <c r="H997">
        <v>1</v>
      </c>
      <c r="I997">
        <v>98</v>
      </c>
      <c r="J997">
        <v>1955</v>
      </c>
      <c r="K997" s="4">
        <v>44128</v>
      </c>
      <c r="L997" t="s">
        <v>26</v>
      </c>
      <c r="M997" t="s">
        <v>74</v>
      </c>
      <c r="N997">
        <v>2.41</v>
      </c>
      <c r="O997">
        <v>980</v>
      </c>
      <c r="P997">
        <v>0.16</v>
      </c>
      <c r="Q997">
        <v>330</v>
      </c>
      <c r="R997">
        <v>419</v>
      </c>
    </row>
    <row r="998" spans="1:18" hidden="1" x14ac:dyDescent="0.2">
      <c r="A998">
        <v>6</v>
      </c>
      <c r="B998" t="s">
        <v>25</v>
      </c>
      <c r="E998" t="s">
        <v>29</v>
      </c>
      <c r="F998">
        <v>889248</v>
      </c>
      <c r="G998">
        <v>6</v>
      </c>
      <c r="H998">
        <v>1</v>
      </c>
      <c r="I998">
        <v>490</v>
      </c>
      <c r="J998">
        <v>1970</v>
      </c>
      <c r="K998" s="4">
        <v>45406</v>
      </c>
      <c r="L998" t="s">
        <v>23</v>
      </c>
      <c r="M998" t="s">
        <v>33</v>
      </c>
      <c r="N998">
        <v>2.02</v>
      </c>
      <c r="O998">
        <v>1953</v>
      </c>
      <c r="P998">
        <v>3.33</v>
      </c>
      <c r="Q998">
        <v>354</v>
      </c>
      <c r="R998">
        <v>434</v>
      </c>
    </row>
    <row r="999" spans="1:18" hidden="1" x14ac:dyDescent="0.2">
      <c r="A999">
        <v>6</v>
      </c>
      <c r="B999" t="s">
        <v>32</v>
      </c>
      <c r="E999" t="s">
        <v>51</v>
      </c>
      <c r="F999">
        <v>1902550</v>
      </c>
      <c r="G999">
        <v>6</v>
      </c>
      <c r="H999">
        <v>1</v>
      </c>
      <c r="I999">
        <v>89</v>
      </c>
      <c r="J999">
        <v>1985</v>
      </c>
      <c r="K999" s="4">
        <v>44259</v>
      </c>
      <c r="L999" t="s">
        <v>23</v>
      </c>
      <c r="M999" t="s">
        <v>33</v>
      </c>
      <c r="N999">
        <v>2.66</v>
      </c>
      <c r="O999">
        <v>1207</v>
      </c>
      <c r="P999">
        <v>2.37</v>
      </c>
      <c r="Q999">
        <v>341</v>
      </c>
      <c r="R999">
        <v>556</v>
      </c>
    </row>
    <row r="1000" spans="1:18" hidden="1" x14ac:dyDescent="0.2">
      <c r="A1000">
        <v>6</v>
      </c>
      <c r="B1000" t="s">
        <v>88</v>
      </c>
      <c r="E1000" t="s">
        <v>29</v>
      </c>
      <c r="F1000">
        <v>793246</v>
      </c>
      <c r="G1000">
        <v>4</v>
      </c>
      <c r="H1000">
        <v>3</v>
      </c>
      <c r="I1000">
        <v>228</v>
      </c>
      <c r="J1000">
        <v>2002</v>
      </c>
      <c r="K1000" s="4">
        <v>44641</v>
      </c>
      <c r="L1000" t="s">
        <v>23</v>
      </c>
      <c r="M1000" t="s">
        <v>82</v>
      </c>
      <c r="N1000">
        <v>2.2200000000000002</v>
      </c>
      <c r="O1000">
        <v>2394</v>
      </c>
      <c r="P1000">
        <v>0.31</v>
      </c>
      <c r="Q1000">
        <v>188</v>
      </c>
      <c r="R1000">
        <v>662</v>
      </c>
    </row>
    <row r="1001" spans="1:18" hidden="1" x14ac:dyDescent="0.2">
      <c r="A1001">
        <v>4</v>
      </c>
      <c r="B1001" t="s">
        <v>91</v>
      </c>
      <c r="E1001" t="s">
        <v>29</v>
      </c>
      <c r="F1001">
        <v>538114</v>
      </c>
      <c r="G1001">
        <v>2</v>
      </c>
      <c r="H1001">
        <v>3</v>
      </c>
      <c r="I1001">
        <v>847</v>
      </c>
      <c r="J1001">
        <v>1962</v>
      </c>
      <c r="K1001" s="4">
        <v>44960</v>
      </c>
      <c r="L1001" t="s">
        <v>23</v>
      </c>
      <c r="M1001" t="s">
        <v>78</v>
      </c>
      <c r="N1001">
        <v>2.12</v>
      </c>
      <c r="O1001">
        <v>834</v>
      </c>
      <c r="P1001">
        <v>0.62</v>
      </c>
      <c r="Q1001">
        <v>117</v>
      </c>
      <c r="R1001">
        <v>358</v>
      </c>
    </row>
    <row r="1002" spans="1:18" hidden="1" x14ac:dyDescent="0.2">
      <c r="A1002">
        <v>3</v>
      </c>
      <c r="B1002" t="s">
        <v>18</v>
      </c>
      <c r="E1002" t="s">
        <v>29</v>
      </c>
      <c r="F1002">
        <v>2552146</v>
      </c>
      <c r="G1002">
        <v>4</v>
      </c>
      <c r="H1002">
        <v>2</v>
      </c>
      <c r="I1002">
        <v>308</v>
      </c>
      <c r="J1002">
        <v>1982</v>
      </c>
      <c r="K1002" s="4">
        <v>45330</v>
      </c>
      <c r="L1002" t="s">
        <v>26</v>
      </c>
      <c r="M1002" t="s">
        <v>42</v>
      </c>
      <c r="N1002">
        <v>2.66</v>
      </c>
      <c r="O1002">
        <v>1628</v>
      </c>
      <c r="P1002">
        <v>1.27</v>
      </c>
      <c r="Q1002">
        <v>382</v>
      </c>
      <c r="R1002">
        <v>423</v>
      </c>
    </row>
    <row r="1003" spans="1:18" hidden="1" x14ac:dyDescent="0.2">
      <c r="A1003">
        <v>9</v>
      </c>
      <c r="B1003" t="s">
        <v>57</v>
      </c>
      <c r="E1003" t="s">
        <v>29</v>
      </c>
      <c r="F1003">
        <v>2510912</v>
      </c>
      <c r="G1003">
        <v>1</v>
      </c>
      <c r="H1003">
        <v>3</v>
      </c>
      <c r="I1003">
        <v>778</v>
      </c>
      <c r="J1003">
        <v>1978</v>
      </c>
      <c r="K1003" s="4">
        <v>44648</v>
      </c>
      <c r="L1003" t="s">
        <v>26</v>
      </c>
      <c r="M1003" t="s">
        <v>70</v>
      </c>
      <c r="N1003">
        <v>3.19</v>
      </c>
      <c r="O1003">
        <v>1838</v>
      </c>
      <c r="P1003">
        <v>0.95</v>
      </c>
      <c r="Q1003">
        <v>134</v>
      </c>
      <c r="R1003">
        <v>552</v>
      </c>
    </row>
    <row r="1004" spans="1:18" hidden="1" x14ac:dyDescent="0.2">
      <c r="A1004">
        <v>1</v>
      </c>
      <c r="B1004" t="s">
        <v>83</v>
      </c>
      <c r="E1004" t="s">
        <v>29</v>
      </c>
      <c r="F1004">
        <v>1348139</v>
      </c>
      <c r="G1004">
        <v>2</v>
      </c>
      <c r="H1004">
        <v>2</v>
      </c>
      <c r="I1004">
        <v>850</v>
      </c>
      <c r="J1004">
        <v>1950</v>
      </c>
      <c r="K1004" s="4">
        <v>44847</v>
      </c>
      <c r="L1004" t="s">
        <v>20</v>
      </c>
      <c r="M1004" t="s">
        <v>70</v>
      </c>
      <c r="N1004">
        <v>3.31</v>
      </c>
      <c r="O1004">
        <v>1321</v>
      </c>
      <c r="P1004">
        <v>0.28999999999999998</v>
      </c>
      <c r="Q1004">
        <v>166</v>
      </c>
      <c r="R1004">
        <v>355</v>
      </c>
    </row>
    <row r="1005" spans="1:18" hidden="1" x14ac:dyDescent="0.2">
      <c r="A1005">
        <v>5</v>
      </c>
      <c r="B1005" t="s">
        <v>93</v>
      </c>
      <c r="E1005" t="s">
        <v>51</v>
      </c>
      <c r="F1005">
        <v>1926087</v>
      </c>
      <c r="G1005">
        <v>6</v>
      </c>
      <c r="H1005">
        <v>2</v>
      </c>
      <c r="I1005">
        <v>308</v>
      </c>
      <c r="J1005">
        <v>1950</v>
      </c>
      <c r="K1005" s="4">
        <v>44645</v>
      </c>
      <c r="L1005" t="s">
        <v>30</v>
      </c>
      <c r="M1005" t="s">
        <v>59</v>
      </c>
      <c r="N1005">
        <v>1.67</v>
      </c>
      <c r="O1005">
        <v>1362</v>
      </c>
      <c r="P1005">
        <v>2.84</v>
      </c>
      <c r="Q1005">
        <v>380</v>
      </c>
      <c r="R1005">
        <v>580</v>
      </c>
    </row>
    <row r="1006" spans="1:18" hidden="1" x14ac:dyDescent="0.2">
      <c r="A1006">
        <v>7</v>
      </c>
      <c r="B1006" t="s">
        <v>95</v>
      </c>
      <c r="E1006" t="s">
        <v>36</v>
      </c>
      <c r="F1006">
        <v>2326000</v>
      </c>
      <c r="G1006">
        <v>2</v>
      </c>
      <c r="H1006">
        <v>2</v>
      </c>
      <c r="I1006">
        <v>598</v>
      </c>
      <c r="J1006">
        <v>1996</v>
      </c>
      <c r="K1006" s="4">
        <v>44220</v>
      </c>
      <c r="L1006" t="s">
        <v>30</v>
      </c>
      <c r="M1006" t="s">
        <v>68</v>
      </c>
      <c r="N1006">
        <v>3.03</v>
      </c>
      <c r="O1006">
        <v>1634</v>
      </c>
      <c r="P1006">
        <v>3.52</v>
      </c>
      <c r="Q1006">
        <v>208</v>
      </c>
      <c r="R1006">
        <v>680</v>
      </c>
    </row>
    <row r="1007" spans="1:18" hidden="1" x14ac:dyDescent="0.2">
      <c r="A1007">
        <v>2</v>
      </c>
      <c r="B1007" t="s">
        <v>75</v>
      </c>
      <c r="E1007" t="s">
        <v>29</v>
      </c>
      <c r="F1007">
        <v>945850</v>
      </c>
      <c r="G1007">
        <v>6</v>
      </c>
      <c r="H1007">
        <v>1</v>
      </c>
      <c r="I1007">
        <v>918</v>
      </c>
      <c r="J1007">
        <v>1987</v>
      </c>
      <c r="K1007" s="4">
        <v>45554</v>
      </c>
      <c r="L1007" t="s">
        <v>23</v>
      </c>
      <c r="M1007" t="s">
        <v>47</v>
      </c>
      <c r="N1007">
        <v>1.66</v>
      </c>
      <c r="O1007">
        <v>2179</v>
      </c>
      <c r="P1007">
        <v>2.21</v>
      </c>
      <c r="Q1007">
        <v>394</v>
      </c>
      <c r="R1007">
        <v>503</v>
      </c>
    </row>
    <row r="1008" spans="1:18" x14ac:dyDescent="0.2">
      <c r="A1008">
        <v>8</v>
      </c>
      <c r="B1008" t="s">
        <v>105</v>
      </c>
      <c r="E1008" t="s">
        <v>36</v>
      </c>
      <c r="F1008">
        <v>2285903</v>
      </c>
      <c r="G1008">
        <v>1</v>
      </c>
      <c r="H1008">
        <v>3</v>
      </c>
      <c r="I1008">
        <v>481</v>
      </c>
      <c r="J1008">
        <v>2017</v>
      </c>
      <c r="K1008" s="4">
        <v>44185</v>
      </c>
      <c r="L1008" t="s">
        <v>20</v>
      </c>
      <c r="M1008" t="s">
        <v>54</v>
      </c>
      <c r="N1008">
        <v>3.36</v>
      </c>
      <c r="O1008">
        <v>1544</v>
      </c>
      <c r="P1008">
        <v>4.9800000000000004</v>
      </c>
      <c r="Q1008">
        <v>104</v>
      </c>
      <c r="R1008">
        <v>471</v>
      </c>
    </row>
    <row r="1009" spans="1:18" hidden="1" x14ac:dyDescent="0.2">
      <c r="A1009">
        <v>7</v>
      </c>
      <c r="B1009" t="s">
        <v>62</v>
      </c>
      <c r="E1009" t="s">
        <v>19</v>
      </c>
      <c r="F1009">
        <v>1808233</v>
      </c>
      <c r="G1009">
        <v>3</v>
      </c>
      <c r="H1009">
        <v>2</v>
      </c>
      <c r="I1009">
        <v>740</v>
      </c>
      <c r="J1009">
        <v>1954</v>
      </c>
      <c r="K1009" s="4">
        <v>45517</v>
      </c>
      <c r="L1009" t="s">
        <v>26</v>
      </c>
      <c r="M1009" t="s">
        <v>40</v>
      </c>
      <c r="N1009">
        <v>1.65</v>
      </c>
      <c r="O1009">
        <v>1566</v>
      </c>
      <c r="P1009">
        <v>4.4000000000000004</v>
      </c>
      <c r="Q1009">
        <v>299</v>
      </c>
      <c r="R1009">
        <v>483</v>
      </c>
    </row>
    <row r="1010" spans="1:18" hidden="1" x14ac:dyDescent="0.2">
      <c r="A1010">
        <v>2</v>
      </c>
      <c r="B1010" t="s">
        <v>43</v>
      </c>
      <c r="E1010" t="s">
        <v>51</v>
      </c>
      <c r="F1010">
        <v>1519734</v>
      </c>
      <c r="G1010">
        <v>3</v>
      </c>
      <c r="H1010">
        <v>3</v>
      </c>
      <c r="I1010">
        <v>765</v>
      </c>
      <c r="J1010">
        <v>2019</v>
      </c>
      <c r="K1010" s="4">
        <v>44299</v>
      </c>
      <c r="L1010" t="s">
        <v>30</v>
      </c>
      <c r="M1010" t="s">
        <v>82</v>
      </c>
      <c r="N1010">
        <v>2.27</v>
      </c>
      <c r="O1010">
        <v>1828</v>
      </c>
      <c r="P1010">
        <v>3.79</v>
      </c>
      <c r="Q1010">
        <v>131</v>
      </c>
      <c r="R1010">
        <v>666</v>
      </c>
    </row>
    <row r="1011" spans="1:18" hidden="1" x14ac:dyDescent="0.2">
      <c r="A1011">
        <v>1</v>
      </c>
      <c r="B1011" t="s">
        <v>105</v>
      </c>
      <c r="E1011" t="s">
        <v>29</v>
      </c>
      <c r="F1011">
        <v>2051572</v>
      </c>
      <c r="G1011">
        <v>4</v>
      </c>
      <c r="H1011">
        <v>1</v>
      </c>
      <c r="I1011">
        <v>750</v>
      </c>
      <c r="J1011">
        <v>1988</v>
      </c>
      <c r="K1011" s="4">
        <v>44863</v>
      </c>
      <c r="L1011" t="s">
        <v>26</v>
      </c>
      <c r="M1011" t="s">
        <v>68</v>
      </c>
      <c r="N1011">
        <v>2.11</v>
      </c>
      <c r="O1011">
        <v>1381</v>
      </c>
      <c r="P1011">
        <v>0.96</v>
      </c>
      <c r="Q1011">
        <v>375</v>
      </c>
      <c r="R1011">
        <v>639</v>
      </c>
    </row>
    <row r="1012" spans="1:18" hidden="1" x14ac:dyDescent="0.2">
      <c r="A1012">
        <v>2</v>
      </c>
      <c r="B1012" t="s">
        <v>25</v>
      </c>
      <c r="E1012" t="s">
        <v>51</v>
      </c>
      <c r="F1012">
        <v>1865674</v>
      </c>
      <c r="G1012">
        <v>2</v>
      </c>
      <c r="H1012">
        <v>2</v>
      </c>
      <c r="I1012">
        <v>546</v>
      </c>
      <c r="J1012">
        <v>1958</v>
      </c>
      <c r="K1012" s="4">
        <v>45275</v>
      </c>
      <c r="L1012" t="s">
        <v>30</v>
      </c>
      <c r="M1012" t="s">
        <v>89</v>
      </c>
      <c r="N1012">
        <v>1.79</v>
      </c>
      <c r="O1012">
        <v>1931</v>
      </c>
      <c r="P1012">
        <v>4.1100000000000003</v>
      </c>
      <c r="Q1012">
        <v>80</v>
      </c>
      <c r="R1012">
        <v>668</v>
      </c>
    </row>
    <row r="1013" spans="1:18" hidden="1" x14ac:dyDescent="0.2">
      <c r="A1013">
        <v>1</v>
      </c>
      <c r="B1013" t="s">
        <v>75</v>
      </c>
      <c r="E1013" t="s">
        <v>19</v>
      </c>
      <c r="F1013">
        <v>2148351</v>
      </c>
      <c r="G1013">
        <v>4</v>
      </c>
      <c r="H1013">
        <v>2</v>
      </c>
      <c r="I1013">
        <v>622</v>
      </c>
      <c r="J1013">
        <v>1971</v>
      </c>
      <c r="K1013" s="4">
        <v>45641</v>
      </c>
      <c r="L1013" t="s">
        <v>20</v>
      </c>
      <c r="M1013" t="s">
        <v>45</v>
      </c>
      <c r="N1013">
        <v>1.8</v>
      </c>
      <c r="O1013">
        <v>1981</v>
      </c>
      <c r="P1013">
        <v>1.1100000000000001</v>
      </c>
      <c r="Q1013">
        <v>279</v>
      </c>
      <c r="R1013">
        <v>343</v>
      </c>
    </row>
    <row r="1014" spans="1:18" hidden="1" x14ac:dyDescent="0.2">
      <c r="A1014">
        <v>4</v>
      </c>
      <c r="B1014" t="s">
        <v>64</v>
      </c>
      <c r="E1014" t="s">
        <v>19</v>
      </c>
      <c r="F1014">
        <v>2883566</v>
      </c>
      <c r="G1014">
        <v>4</v>
      </c>
      <c r="H1014">
        <v>1</v>
      </c>
      <c r="I1014">
        <v>853</v>
      </c>
      <c r="J1014">
        <v>1996</v>
      </c>
      <c r="K1014" s="4">
        <v>45381</v>
      </c>
      <c r="L1014" t="s">
        <v>30</v>
      </c>
      <c r="M1014" t="s">
        <v>52</v>
      </c>
      <c r="N1014">
        <v>1.66</v>
      </c>
      <c r="O1014">
        <v>1830</v>
      </c>
      <c r="P1014">
        <v>1.05</v>
      </c>
      <c r="Q1014">
        <v>230</v>
      </c>
      <c r="R1014">
        <v>646</v>
      </c>
    </row>
    <row r="1015" spans="1:18" hidden="1" x14ac:dyDescent="0.2">
      <c r="A1015">
        <v>6</v>
      </c>
      <c r="B1015" t="s">
        <v>22</v>
      </c>
      <c r="E1015" t="s">
        <v>51</v>
      </c>
      <c r="F1015">
        <v>2218820</v>
      </c>
      <c r="G1015">
        <v>4</v>
      </c>
      <c r="H1015">
        <v>2</v>
      </c>
      <c r="I1015">
        <v>888</v>
      </c>
      <c r="J1015">
        <v>1975</v>
      </c>
      <c r="K1015" s="4">
        <v>44565</v>
      </c>
      <c r="L1015" t="s">
        <v>30</v>
      </c>
      <c r="M1015" t="s">
        <v>56</v>
      </c>
      <c r="N1015">
        <v>2.73</v>
      </c>
      <c r="O1015">
        <v>1059</v>
      </c>
      <c r="P1015">
        <v>1.33</v>
      </c>
      <c r="Q1015">
        <v>189</v>
      </c>
      <c r="R1015">
        <v>373</v>
      </c>
    </row>
    <row r="1016" spans="1:18" x14ac:dyDescent="0.2">
      <c r="A1016">
        <v>8</v>
      </c>
      <c r="B1016" t="s">
        <v>55</v>
      </c>
      <c r="E1016" t="s">
        <v>29</v>
      </c>
      <c r="F1016">
        <v>2295373</v>
      </c>
      <c r="G1016">
        <v>3</v>
      </c>
      <c r="H1016">
        <v>3</v>
      </c>
      <c r="I1016">
        <v>746</v>
      </c>
      <c r="J1016">
        <v>2017</v>
      </c>
      <c r="K1016" s="4">
        <v>45788</v>
      </c>
      <c r="L1016" t="s">
        <v>23</v>
      </c>
      <c r="M1016" t="s">
        <v>63</v>
      </c>
      <c r="N1016">
        <v>2.0299999999999998</v>
      </c>
      <c r="O1016">
        <v>1382</v>
      </c>
      <c r="P1016">
        <v>0.67</v>
      </c>
      <c r="Q1016">
        <v>235</v>
      </c>
      <c r="R1016">
        <v>446</v>
      </c>
    </row>
    <row r="1017" spans="1:18" hidden="1" x14ac:dyDescent="0.2">
      <c r="A1017">
        <v>1</v>
      </c>
      <c r="B1017" t="s">
        <v>88</v>
      </c>
      <c r="E1017" t="s">
        <v>51</v>
      </c>
      <c r="F1017">
        <v>2001541</v>
      </c>
      <c r="G1017">
        <v>2</v>
      </c>
      <c r="H1017">
        <v>3</v>
      </c>
      <c r="I1017">
        <v>568</v>
      </c>
      <c r="J1017">
        <v>1960</v>
      </c>
      <c r="K1017" s="4">
        <v>44887</v>
      </c>
      <c r="L1017" t="s">
        <v>26</v>
      </c>
      <c r="M1017" t="s">
        <v>70</v>
      </c>
      <c r="N1017">
        <v>2.04</v>
      </c>
      <c r="O1017">
        <v>1681</v>
      </c>
      <c r="P1017">
        <v>0.19</v>
      </c>
      <c r="Q1017">
        <v>194</v>
      </c>
      <c r="R1017">
        <v>371</v>
      </c>
    </row>
    <row r="1018" spans="1:18" hidden="1" x14ac:dyDescent="0.2">
      <c r="A1018">
        <v>7</v>
      </c>
      <c r="B1018" t="s">
        <v>86</v>
      </c>
      <c r="E1018" t="s">
        <v>29</v>
      </c>
      <c r="F1018">
        <v>676369</v>
      </c>
      <c r="G1018">
        <v>1</v>
      </c>
      <c r="H1018">
        <v>3</v>
      </c>
      <c r="I1018">
        <v>493</v>
      </c>
      <c r="J1018">
        <v>1962</v>
      </c>
      <c r="K1018" s="4">
        <v>44264</v>
      </c>
      <c r="L1018" t="s">
        <v>30</v>
      </c>
      <c r="M1018" t="s">
        <v>74</v>
      </c>
      <c r="N1018">
        <v>2.9</v>
      </c>
      <c r="O1018">
        <v>2400</v>
      </c>
      <c r="P1018">
        <v>3.75</v>
      </c>
      <c r="Q1018">
        <v>160</v>
      </c>
      <c r="R1018">
        <v>676</v>
      </c>
    </row>
    <row r="1019" spans="1:18" hidden="1" x14ac:dyDescent="0.2">
      <c r="A1019">
        <v>1</v>
      </c>
      <c r="B1019" t="s">
        <v>62</v>
      </c>
      <c r="E1019" t="s">
        <v>29</v>
      </c>
      <c r="F1019">
        <v>1699645</v>
      </c>
      <c r="G1019">
        <v>2</v>
      </c>
      <c r="H1019">
        <v>3</v>
      </c>
      <c r="I1019">
        <v>870</v>
      </c>
      <c r="J1019">
        <v>2006</v>
      </c>
      <c r="K1019" s="4">
        <v>44944</v>
      </c>
      <c r="L1019" t="s">
        <v>23</v>
      </c>
      <c r="M1019" t="s">
        <v>66</v>
      </c>
      <c r="N1019">
        <v>1.84</v>
      </c>
      <c r="O1019">
        <v>978</v>
      </c>
      <c r="P1019">
        <v>4.07</v>
      </c>
      <c r="Q1019">
        <v>212</v>
      </c>
      <c r="R1019">
        <v>308</v>
      </c>
    </row>
    <row r="1020" spans="1:18" hidden="1" x14ac:dyDescent="0.2">
      <c r="A1020">
        <v>2</v>
      </c>
      <c r="B1020" t="s">
        <v>106</v>
      </c>
      <c r="E1020" t="s">
        <v>29</v>
      </c>
      <c r="F1020">
        <v>453957</v>
      </c>
      <c r="G1020">
        <v>5</v>
      </c>
      <c r="H1020">
        <v>1</v>
      </c>
      <c r="I1020">
        <v>951</v>
      </c>
      <c r="J1020">
        <v>1961</v>
      </c>
      <c r="K1020" s="4">
        <v>45779</v>
      </c>
      <c r="L1020" t="s">
        <v>26</v>
      </c>
      <c r="M1020" t="s">
        <v>59</v>
      </c>
      <c r="N1020">
        <v>2.2599999999999998</v>
      </c>
      <c r="O1020">
        <v>2173</v>
      </c>
      <c r="P1020">
        <v>2.54</v>
      </c>
      <c r="Q1020">
        <v>303</v>
      </c>
      <c r="R1020">
        <v>691</v>
      </c>
    </row>
    <row r="1021" spans="1:18" hidden="1" x14ac:dyDescent="0.2">
      <c r="A1021">
        <v>7</v>
      </c>
      <c r="B1021" t="s">
        <v>49</v>
      </c>
      <c r="E1021" t="s">
        <v>36</v>
      </c>
      <c r="F1021">
        <v>2381061</v>
      </c>
      <c r="G1021">
        <v>2</v>
      </c>
      <c r="H1021">
        <v>2</v>
      </c>
      <c r="I1021">
        <v>815</v>
      </c>
      <c r="J1021">
        <v>1983</v>
      </c>
      <c r="K1021" s="4">
        <v>44150</v>
      </c>
      <c r="L1021" t="s">
        <v>23</v>
      </c>
      <c r="M1021" t="s">
        <v>52</v>
      </c>
      <c r="N1021">
        <v>2.2000000000000002</v>
      </c>
      <c r="O1021">
        <v>840</v>
      </c>
      <c r="P1021">
        <v>2.69</v>
      </c>
      <c r="Q1021">
        <v>45</v>
      </c>
      <c r="R1021">
        <v>406</v>
      </c>
    </row>
    <row r="1022" spans="1:18" hidden="1" x14ac:dyDescent="0.2">
      <c r="A1022">
        <v>9</v>
      </c>
      <c r="B1022" t="s">
        <v>84</v>
      </c>
      <c r="E1022" t="s">
        <v>51</v>
      </c>
      <c r="F1022">
        <v>1298062</v>
      </c>
      <c r="G1022">
        <v>3</v>
      </c>
      <c r="H1022">
        <v>3</v>
      </c>
      <c r="I1022">
        <v>196</v>
      </c>
      <c r="J1022">
        <v>1975</v>
      </c>
      <c r="K1022" s="4">
        <v>45536</v>
      </c>
      <c r="L1022" t="s">
        <v>30</v>
      </c>
      <c r="M1022" t="s">
        <v>24</v>
      </c>
      <c r="N1022">
        <v>2.15</v>
      </c>
      <c r="O1022">
        <v>2474</v>
      </c>
      <c r="P1022">
        <v>1.43</v>
      </c>
      <c r="Q1022">
        <v>171</v>
      </c>
      <c r="R1022">
        <v>420</v>
      </c>
    </row>
    <row r="1023" spans="1:18" hidden="1" x14ac:dyDescent="0.2">
      <c r="A1023">
        <v>1</v>
      </c>
      <c r="B1023" t="s">
        <v>41</v>
      </c>
      <c r="E1023" t="s">
        <v>19</v>
      </c>
      <c r="F1023">
        <v>2367021</v>
      </c>
      <c r="G1023">
        <v>1</v>
      </c>
      <c r="H1023">
        <v>2</v>
      </c>
      <c r="I1023">
        <v>296</v>
      </c>
      <c r="J1023">
        <v>1986</v>
      </c>
      <c r="K1023" s="4">
        <v>44954</v>
      </c>
      <c r="L1023" t="s">
        <v>23</v>
      </c>
      <c r="M1023" t="s">
        <v>97</v>
      </c>
      <c r="N1023">
        <v>1.79</v>
      </c>
      <c r="O1023">
        <v>1648</v>
      </c>
      <c r="P1023">
        <v>3.64</v>
      </c>
      <c r="Q1023">
        <v>96</v>
      </c>
      <c r="R1023">
        <v>408</v>
      </c>
    </row>
    <row r="1024" spans="1:18" hidden="1" x14ac:dyDescent="0.2">
      <c r="A1024">
        <v>3</v>
      </c>
      <c r="B1024" t="s">
        <v>92</v>
      </c>
      <c r="E1024" t="s">
        <v>19</v>
      </c>
      <c r="F1024">
        <v>553365</v>
      </c>
      <c r="G1024">
        <v>2</v>
      </c>
      <c r="H1024">
        <v>3</v>
      </c>
      <c r="I1024">
        <v>627</v>
      </c>
      <c r="J1024">
        <v>1973</v>
      </c>
      <c r="K1024" s="4">
        <v>44246</v>
      </c>
      <c r="L1024" t="s">
        <v>26</v>
      </c>
      <c r="M1024" t="s">
        <v>27</v>
      </c>
      <c r="N1024">
        <v>2.41</v>
      </c>
      <c r="O1024">
        <v>1267</v>
      </c>
      <c r="P1024">
        <v>0.6</v>
      </c>
      <c r="Q1024">
        <v>52</v>
      </c>
      <c r="R1024">
        <v>566</v>
      </c>
    </row>
    <row r="1025" spans="1:18" x14ac:dyDescent="0.2">
      <c r="A1025">
        <v>8</v>
      </c>
      <c r="B1025" t="s">
        <v>83</v>
      </c>
      <c r="E1025" t="s">
        <v>36</v>
      </c>
      <c r="F1025">
        <v>2219875</v>
      </c>
      <c r="G1025">
        <v>0</v>
      </c>
      <c r="H1025">
        <v>1</v>
      </c>
      <c r="I1025">
        <v>666</v>
      </c>
      <c r="J1025">
        <v>1973</v>
      </c>
      <c r="K1025" s="4">
        <v>44486</v>
      </c>
      <c r="L1025" t="s">
        <v>26</v>
      </c>
      <c r="M1025" t="s">
        <v>40</v>
      </c>
      <c r="N1025">
        <v>2.4700000000000002</v>
      </c>
      <c r="O1025">
        <v>1655</v>
      </c>
      <c r="P1025">
        <v>3.32</v>
      </c>
      <c r="Q1025">
        <v>72</v>
      </c>
      <c r="R1025">
        <v>578</v>
      </c>
    </row>
    <row r="1026" spans="1:18" hidden="1" x14ac:dyDescent="0.2">
      <c r="A1026">
        <v>4</v>
      </c>
      <c r="B1026" t="s">
        <v>102</v>
      </c>
      <c r="E1026" t="s">
        <v>19</v>
      </c>
      <c r="F1026">
        <v>1196914</v>
      </c>
      <c r="G1026">
        <v>4</v>
      </c>
      <c r="H1026">
        <v>3</v>
      </c>
      <c r="I1026">
        <v>491</v>
      </c>
      <c r="J1026">
        <v>1972</v>
      </c>
      <c r="K1026" s="4">
        <v>44555</v>
      </c>
      <c r="L1026" t="s">
        <v>26</v>
      </c>
      <c r="M1026" t="s">
        <v>76</v>
      </c>
      <c r="N1026">
        <v>2.73</v>
      </c>
      <c r="O1026">
        <v>1294</v>
      </c>
      <c r="P1026">
        <v>0.92</v>
      </c>
      <c r="Q1026">
        <v>296</v>
      </c>
      <c r="R1026">
        <v>576</v>
      </c>
    </row>
    <row r="1027" spans="1:18" hidden="1" x14ac:dyDescent="0.2">
      <c r="A1027">
        <v>4</v>
      </c>
      <c r="B1027" t="s">
        <v>50</v>
      </c>
      <c r="E1027" t="s">
        <v>29</v>
      </c>
      <c r="F1027">
        <v>2860252</v>
      </c>
      <c r="G1027">
        <v>3</v>
      </c>
      <c r="H1027">
        <v>1</v>
      </c>
      <c r="I1027">
        <v>315</v>
      </c>
      <c r="J1027">
        <v>1980</v>
      </c>
      <c r="K1027" s="4">
        <v>44949</v>
      </c>
      <c r="L1027" t="s">
        <v>26</v>
      </c>
      <c r="M1027" t="s">
        <v>37</v>
      </c>
      <c r="N1027">
        <v>2.85</v>
      </c>
      <c r="O1027">
        <v>1980</v>
      </c>
      <c r="P1027">
        <v>0.7</v>
      </c>
      <c r="Q1027">
        <v>97</v>
      </c>
      <c r="R1027">
        <v>621</v>
      </c>
    </row>
    <row r="1028" spans="1:18" hidden="1" x14ac:dyDescent="0.2">
      <c r="A1028">
        <v>0</v>
      </c>
      <c r="B1028" t="s">
        <v>57</v>
      </c>
      <c r="E1028" t="s">
        <v>19</v>
      </c>
      <c r="F1028">
        <v>2801270</v>
      </c>
      <c r="G1028">
        <v>4</v>
      </c>
      <c r="H1028">
        <v>1</v>
      </c>
      <c r="I1028">
        <v>495</v>
      </c>
      <c r="J1028">
        <v>2020</v>
      </c>
      <c r="K1028" s="4">
        <v>45094</v>
      </c>
      <c r="L1028" t="s">
        <v>23</v>
      </c>
      <c r="M1028" t="s">
        <v>82</v>
      </c>
      <c r="N1028">
        <v>2.63</v>
      </c>
      <c r="O1028">
        <v>2191</v>
      </c>
      <c r="P1028">
        <v>0.98</v>
      </c>
      <c r="Q1028">
        <v>223</v>
      </c>
      <c r="R1028">
        <v>635</v>
      </c>
    </row>
    <row r="1029" spans="1:18" hidden="1" x14ac:dyDescent="0.2">
      <c r="A1029">
        <v>2</v>
      </c>
      <c r="B1029" t="s">
        <v>39</v>
      </c>
      <c r="E1029" t="s">
        <v>36</v>
      </c>
      <c r="F1029">
        <v>1664724</v>
      </c>
      <c r="G1029">
        <v>2</v>
      </c>
      <c r="H1029">
        <v>1</v>
      </c>
      <c r="I1029">
        <v>643</v>
      </c>
      <c r="J1029">
        <v>2016</v>
      </c>
      <c r="K1029" s="4">
        <v>45091</v>
      </c>
      <c r="L1029" t="s">
        <v>26</v>
      </c>
      <c r="M1029" t="s">
        <v>68</v>
      </c>
      <c r="N1029">
        <v>3.38</v>
      </c>
      <c r="O1029">
        <v>1831</v>
      </c>
      <c r="P1029">
        <v>3.66</v>
      </c>
      <c r="Q1029">
        <v>162</v>
      </c>
      <c r="R1029">
        <v>514</v>
      </c>
    </row>
    <row r="1030" spans="1:18" hidden="1" x14ac:dyDescent="0.2">
      <c r="A1030">
        <v>7</v>
      </c>
      <c r="B1030" t="s">
        <v>87</v>
      </c>
      <c r="E1030" t="s">
        <v>51</v>
      </c>
      <c r="F1030">
        <v>2378151</v>
      </c>
      <c r="G1030">
        <v>4</v>
      </c>
      <c r="H1030">
        <v>3</v>
      </c>
      <c r="I1030">
        <v>88</v>
      </c>
      <c r="J1030">
        <v>2012</v>
      </c>
      <c r="K1030" s="4">
        <v>44122</v>
      </c>
      <c r="L1030" t="s">
        <v>26</v>
      </c>
      <c r="M1030" t="s">
        <v>47</v>
      </c>
      <c r="N1030">
        <v>2.9</v>
      </c>
      <c r="O1030">
        <v>2206</v>
      </c>
      <c r="P1030">
        <v>1.89</v>
      </c>
      <c r="Q1030">
        <v>218</v>
      </c>
      <c r="R1030">
        <v>412</v>
      </c>
    </row>
    <row r="1031" spans="1:18" hidden="1" x14ac:dyDescent="0.2">
      <c r="A1031">
        <v>0</v>
      </c>
      <c r="B1031" t="s">
        <v>28</v>
      </c>
      <c r="E1031" t="s">
        <v>51</v>
      </c>
      <c r="F1031">
        <v>1195409</v>
      </c>
      <c r="G1031">
        <v>3</v>
      </c>
      <c r="H1031">
        <v>3</v>
      </c>
      <c r="I1031">
        <v>126</v>
      </c>
      <c r="J1031">
        <v>1964</v>
      </c>
      <c r="K1031" s="4">
        <v>44954</v>
      </c>
      <c r="L1031" t="s">
        <v>20</v>
      </c>
      <c r="M1031" t="s">
        <v>35</v>
      </c>
      <c r="N1031">
        <v>2.0299999999999998</v>
      </c>
      <c r="O1031">
        <v>2338</v>
      </c>
      <c r="P1031">
        <v>2.81</v>
      </c>
      <c r="Q1031">
        <v>304</v>
      </c>
      <c r="R1031">
        <v>589</v>
      </c>
    </row>
    <row r="1032" spans="1:18" hidden="1" x14ac:dyDescent="0.2">
      <c r="A1032">
        <v>4</v>
      </c>
      <c r="B1032" t="s">
        <v>88</v>
      </c>
      <c r="E1032" t="s">
        <v>29</v>
      </c>
      <c r="F1032">
        <v>2395539</v>
      </c>
      <c r="G1032">
        <v>1</v>
      </c>
      <c r="H1032">
        <v>2</v>
      </c>
      <c r="I1032">
        <v>866</v>
      </c>
      <c r="J1032">
        <v>1994</v>
      </c>
      <c r="K1032" s="4">
        <v>44581</v>
      </c>
      <c r="L1032" t="s">
        <v>26</v>
      </c>
      <c r="M1032" t="s">
        <v>40</v>
      </c>
      <c r="N1032">
        <v>3.05</v>
      </c>
      <c r="O1032">
        <v>2308</v>
      </c>
      <c r="P1032">
        <v>0.36</v>
      </c>
      <c r="Q1032">
        <v>116</v>
      </c>
      <c r="R1032">
        <v>419</v>
      </c>
    </row>
    <row r="1033" spans="1:18" hidden="1" x14ac:dyDescent="0.2">
      <c r="A1033">
        <v>6</v>
      </c>
      <c r="B1033" t="s">
        <v>93</v>
      </c>
      <c r="E1033" t="s">
        <v>29</v>
      </c>
      <c r="F1033">
        <v>1184037</v>
      </c>
      <c r="G1033">
        <v>2</v>
      </c>
      <c r="H1033">
        <v>2</v>
      </c>
      <c r="I1033">
        <v>801</v>
      </c>
      <c r="J1033">
        <v>1993</v>
      </c>
      <c r="K1033" s="4">
        <v>44534</v>
      </c>
      <c r="L1033" t="s">
        <v>20</v>
      </c>
      <c r="M1033" t="s">
        <v>77</v>
      </c>
      <c r="N1033">
        <v>3.46</v>
      </c>
      <c r="O1033">
        <v>2079</v>
      </c>
      <c r="P1033">
        <v>1.28</v>
      </c>
      <c r="Q1033">
        <v>101</v>
      </c>
      <c r="R1033">
        <v>515</v>
      </c>
    </row>
    <row r="1034" spans="1:18" hidden="1" x14ac:dyDescent="0.2">
      <c r="A1034">
        <v>9</v>
      </c>
      <c r="B1034" t="s">
        <v>98</v>
      </c>
      <c r="E1034" t="s">
        <v>36</v>
      </c>
      <c r="F1034">
        <v>866587</v>
      </c>
      <c r="G1034">
        <v>3</v>
      </c>
      <c r="H1034">
        <v>1</v>
      </c>
      <c r="I1034">
        <v>225</v>
      </c>
      <c r="J1034">
        <v>1953</v>
      </c>
      <c r="K1034" s="4">
        <v>44323</v>
      </c>
      <c r="L1034" t="s">
        <v>26</v>
      </c>
      <c r="M1034" t="s">
        <v>58</v>
      </c>
      <c r="N1034">
        <v>2.38</v>
      </c>
      <c r="O1034">
        <v>1589</v>
      </c>
      <c r="P1034">
        <v>1.51</v>
      </c>
      <c r="Q1034">
        <v>174</v>
      </c>
      <c r="R1034">
        <v>629</v>
      </c>
    </row>
    <row r="1035" spans="1:18" hidden="1" x14ac:dyDescent="0.2">
      <c r="A1035">
        <v>0</v>
      </c>
      <c r="B1035" t="s">
        <v>101</v>
      </c>
      <c r="E1035" t="s">
        <v>36</v>
      </c>
      <c r="F1035">
        <v>2714263</v>
      </c>
      <c r="G1035">
        <v>6</v>
      </c>
      <c r="H1035">
        <v>2</v>
      </c>
      <c r="I1035">
        <v>72</v>
      </c>
      <c r="J1035">
        <v>1991</v>
      </c>
      <c r="K1035" s="4">
        <v>44226</v>
      </c>
      <c r="L1035" t="s">
        <v>20</v>
      </c>
      <c r="M1035" t="s">
        <v>33</v>
      </c>
      <c r="N1035">
        <v>2.93</v>
      </c>
      <c r="O1035">
        <v>2257</v>
      </c>
      <c r="P1035">
        <v>4.8099999999999996</v>
      </c>
      <c r="Q1035">
        <v>350</v>
      </c>
      <c r="R1035">
        <v>562</v>
      </c>
    </row>
    <row r="1036" spans="1:18" hidden="1" x14ac:dyDescent="0.2">
      <c r="A1036">
        <v>2</v>
      </c>
      <c r="B1036" t="s">
        <v>57</v>
      </c>
      <c r="E1036" t="s">
        <v>19</v>
      </c>
      <c r="F1036">
        <v>662026</v>
      </c>
      <c r="G1036">
        <v>2</v>
      </c>
      <c r="H1036">
        <v>1</v>
      </c>
      <c r="I1036">
        <v>964</v>
      </c>
      <c r="J1036">
        <v>2022</v>
      </c>
      <c r="K1036" s="4">
        <v>45493</v>
      </c>
      <c r="L1036" t="s">
        <v>20</v>
      </c>
      <c r="M1036" t="s">
        <v>63</v>
      </c>
      <c r="N1036">
        <v>2.21</v>
      </c>
      <c r="O1036">
        <v>2423</v>
      </c>
      <c r="P1036">
        <v>3.6</v>
      </c>
      <c r="Q1036">
        <v>102</v>
      </c>
      <c r="R1036">
        <v>514</v>
      </c>
    </row>
    <row r="1037" spans="1:18" hidden="1" x14ac:dyDescent="0.2">
      <c r="A1037">
        <v>5</v>
      </c>
      <c r="B1037" t="s">
        <v>101</v>
      </c>
      <c r="E1037" t="s">
        <v>36</v>
      </c>
      <c r="F1037">
        <v>1123508</v>
      </c>
      <c r="G1037">
        <v>4</v>
      </c>
      <c r="H1037">
        <v>1</v>
      </c>
      <c r="I1037">
        <v>421</v>
      </c>
      <c r="J1037">
        <v>1998</v>
      </c>
      <c r="K1037" s="4">
        <v>44921</v>
      </c>
      <c r="L1037" t="s">
        <v>30</v>
      </c>
      <c r="M1037" t="s">
        <v>52</v>
      </c>
      <c r="N1037">
        <v>2.5</v>
      </c>
      <c r="O1037">
        <v>1142</v>
      </c>
      <c r="P1037">
        <v>2.89</v>
      </c>
      <c r="Q1037">
        <v>216</v>
      </c>
      <c r="R1037">
        <v>591</v>
      </c>
    </row>
    <row r="1038" spans="1:18" hidden="1" x14ac:dyDescent="0.2">
      <c r="A1038">
        <v>0</v>
      </c>
      <c r="B1038" t="s">
        <v>18</v>
      </c>
      <c r="E1038" t="s">
        <v>36</v>
      </c>
      <c r="F1038">
        <v>1511566</v>
      </c>
      <c r="G1038">
        <v>3</v>
      </c>
      <c r="H1038">
        <v>2</v>
      </c>
      <c r="I1038">
        <v>120</v>
      </c>
      <c r="J1038">
        <v>1980</v>
      </c>
      <c r="K1038" s="4">
        <v>44683</v>
      </c>
      <c r="L1038" t="s">
        <v>30</v>
      </c>
      <c r="M1038" t="s">
        <v>97</v>
      </c>
      <c r="N1038">
        <v>2.67</v>
      </c>
      <c r="O1038">
        <v>992</v>
      </c>
      <c r="P1038">
        <v>3.91</v>
      </c>
      <c r="Q1038">
        <v>320</v>
      </c>
      <c r="R1038">
        <v>432</v>
      </c>
    </row>
    <row r="1039" spans="1:18" hidden="1" x14ac:dyDescent="0.2">
      <c r="A1039">
        <v>2</v>
      </c>
      <c r="B1039" t="s">
        <v>102</v>
      </c>
      <c r="E1039" t="s">
        <v>29</v>
      </c>
      <c r="F1039">
        <v>1057009</v>
      </c>
      <c r="G1039">
        <v>6</v>
      </c>
      <c r="H1039">
        <v>1</v>
      </c>
      <c r="I1039">
        <v>154</v>
      </c>
      <c r="J1039">
        <v>2002</v>
      </c>
      <c r="K1039" s="4">
        <v>44399</v>
      </c>
      <c r="L1039" t="s">
        <v>20</v>
      </c>
      <c r="M1039" t="s">
        <v>33</v>
      </c>
      <c r="N1039">
        <v>1.86</v>
      </c>
      <c r="O1039">
        <v>2460</v>
      </c>
      <c r="P1039">
        <v>4.12</v>
      </c>
      <c r="Q1039">
        <v>363</v>
      </c>
      <c r="R1039">
        <v>683</v>
      </c>
    </row>
    <row r="1040" spans="1:18" hidden="1" x14ac:dyDescent="0.2">
      <c r="A1040">
        <v>5</v>
      </c>
      <c r="B1040" t="s">
        <v>98</v>
      </c>
      <c r="E1040" t="s">
        <v>51</v>
      </c>
      <c r="F1040">
        <v>2337425</v>
      </c>
      <c r="G1040">
        <v>5</v>
      </c>
      <c r="H1040">
        <v>2</v>
      </c>
      <c r="I1040">
        <v>642</v>
      </c>
      <c r="J1040">
        <v>1956</v>
      </c>
      <c r="K1040" s="4">
        <v>44070</v>
      </c>
      <c r="L1040" t="s">
        <v>20</v>
      </c>
      <c r="M1040" t="s">
        <v>70</v>
      </c>
      <c r="N1040">
        <v>2.74</v>
      </c>
      <c r="O1040">
        <v>1914</v>
      </c>
      <c r="P1040">
        <v>2.66</v>
      </c>
      <c r="Q1040">
        <v>332</v>
      </c>
      <c r="R1040">
        <v>651</v>
      </c>
    </row>
    <row r="1041" spans="1:18" hidden="1" x14ac:dyDescent="0.2">
      <c r="A1041">
        <v>0</v>
      </c>
      <c r="B1041" t="s">
        <v>88</v>
      </c>
      <c r="E1041" t="s">
        <v>19</v>
      </c>
      <c r="F1041">
        <v>1210885</v>
      </c>
      <c r="G1041">
        <v>6</v>
      </c>
      <c r="H1041">
        <v>2</v>
      </c>
      <c r="I1041">
        <v>782</v>
      </c>
      <c r="J1041">
        <v>2009</v>
      </c>
      <c r="K1041" s="4">
        <v>45636</v>
      </c>
      <c r="L1041" t="s">
        <v>26</v>
      </c>
      <c r="M1041" t="s">
        <v>89</v>
      </c>
      <c r="N1041">
        <v>3</v>
      </c>
      <c r="O1041">
        <v>1313</v>
      </c>
      <c r="P1041">
        <v>4.8899999999999997</v>
      </c>
      <c r="Q1041">
        <v>351</v>
      </c>
      <c r="R1041">
        <v>558</v>
      </c>
    </row>
    <row r="1042" spans="1:18" hidden="1" x14ac:dyDescent="0.2">
      <c r="A1042">
        <v>0</v>
      </c>
      <c r="B1042" t="s">
        <v>39</v>
      </c>
      <c r="E1042" t="s">
        <v>29</v>
      </c>
      <c r="F1042">
        <v>2909113</v>
      </c>
      <c r="G1042">
        <v>6</v>
      </c>
      <c r="H1042">
        <v>3</v>
      </c>
      <c r="I1042">
        <v>915</v>
      </c>
      <c r="J1042">
        <v>2008</v>
      </c>
      <c r="K1042" s="4">
        <v>45882</v>
      </c>
      <c r="L1042" t="s">
        <v>30</v>
      </c>
      <c r="M1042" t="s">
        <v>52</v>
      </c>
      <c r="N1042">
        <v>2.0099999999999998</v>
      </c>
      <c r="O1042">
        <v>1898</v>
      </c>
      <c r="P1042">
        <v>2.14</v>
      </c>
      <c r="Q1042">
        <v>335</v>
      </c>
      <c r="R1042">
        <v>463</v>
      </c>
    </row>
    <row r="1043" spans="1:18" hidden="1" x14ac:dyDescent="0.2">
      <c r="A1043">
        <v>3</v>
      </c>
      <c r="B1043" t="s">
        <v>100</v>
      </c>
      <c r="E1043" t="s">
        <v>51</v>
      </c>
      <c r="F1043">
        <v>485747</v>
      </c>
      <c r="G1043">
        <v>3</v>
      </c>
      <c r="H1043">
        <v>2</v>
      </c>
      <c r="I1043">
        <v>478</v>
      </c>
      <c r="J1043">
        <v>1960</v>
      </c>
      <c r="K1043" s="4">
        <v>44773</v>
      </c>
      <c r="L1043" t="s">
        <v>20</v>
      </c>
      <c r="M1043" t="s">
        <v>66</v>
      </c>
      <c r="N1043">
        <v>2.89</v>
      </c>
      <c r="O1043">
        <v>2479</v>
      </c>
      <c r="P1043">
        <v>4.6500000000000004</v>
      </c>
      <c r="Q1043">
        <v>312</v>
      </c>
      <c r="R1043">
        <v>373</v>
      </c>
    </row>
    <row r="1044" spans="1:18" hidden="1" x14ac:dyDescent="0.2">
      <c r="A1044">
        <v>0</v>
      </c>
      <c r="B1044" t="s">
        <v>102</v>
      </c>
      <c r="E1044" t="s">
        <v>36</v>
      </c>
      <c r="F1044">
        <v>541569</v>
      </c>
      <c r="G1044">
        <v>0</v>
      </c>
      <c r="H1044">
        <v>3</v>
      </c>
      <c r="I1044">
        <v>593</v>
      </c>
      <c r="J1044">
        <v>1989</v>
      </c>
      <c r="K1044" s="4">
        <v>45306</v>
      </c>
      <c r="L1044" t="s">
        <v>20</v>
      </c>
      <c r="M1044" t="s">
        <v>31</v>
      </c>
      <c r="N1044">
        <v>1.99</v>
      </c>
      <c r="O1044">
        <v>1922</v>
      </c>
      <c r="P1044">
        <v>4.07</v>
      </c>
      <c r="Q1044">
        <v>75</v>
      </c>
      <c r="R1044">
        <v>428</v>
      </c>
    </row>
    <row r="1045" spans="1:18" hidden="1" x14ac:dyDescent="0.2">
      <c r="A1045">
        <v>5</v>
      </c>
      <c r="B1045" t="s">
        <v>67</v>
      </c>
      <c r="E1045" t="s">
        <v>51</v>
      </c>
      <c r="F1045">
        <v>447944</v>
      </c>
      <c r="G1045">
        <v>5</v>
      </c>
      <c r="H1045">
        <v>3</v>
      </c>
      <c r="I1045">
        <v>701</v>
      </c>
      <c r="J1045">
        <v>2012</v>
      </c>
      <c r="K1045" s="4">
        <v>44288</v>
      </c>
      <c r="L1045" t="s">
        <v>30</v>
      </c>
      <c r="M1045" t="s">
        <v>37</v>
      </c>
      <c r="N1045">
        <v>3.36</v>
      </c>
      <c r="O1045">
        <v>1050</v>
      </c>
      <c r="P1045">
        <v>3.81</v>
      </c>
      <c r="Q1045">
        <v>272</v>
      </c>
      <c r="R1045">
        <v>355</v>
      </c>
    </row>
    <row r="1046" spans="1:18" hidden="1" x14ac:dyDescent="0.2">
      <c r="A1046">
        <v>3</v>
      </c>
      <c r="B1046" t="s">
        <v>62</v>
      </c>
      <c r="E1046" t="s">
        <v>29</v>
      </c>
      <c r="F1046">
        <v>1585462</v>
      </c>
      <c r="G1046">
        <v>5</v>
      </c>
      <c r="H1046">
        <v>3</v>
      </c>
      <c r="I1046">
        <v>58</v>
      </c>
      <c r="J1046">
        <v>1985</v>
      </c>
      <c r="K1046" s="4">
        <v>45744</v>
      </c>
      <c r="L1046" t="s">
        <v>20</v>
      </c>
      <c r="M1046" t="s">
        <v>78</v>
      </c>
      <c r="N1046">
        <v>3.28</v>
      </c>
      <c r="O1046">
        <v>2318</v>
      </c>
      <c r="P1046">
        <v>0.79</v>
      </c>
      <c r="Q1046">
        <v>347</v>
      </c>
      <c r="R1046">
        <v>542</v>
      </c>
    </row>
    <row r="1047" spans="1:18" hidden="1" x14ac:dyDescent="0.2">
      <c r="A1047">
        <v>2</v>
      </c>
      <c r="B1047" t="s">
        <v>87</v>
      </c>
      <c r="E1047" t="s">
        <v>19</v>
      </c>
      <c r="F1047">
        <v>2815320</v>
      </c>
      <c r="G1047">
        <v>1</v>
      </c>
      <c r="H1047">
        <v>3</v>
      </c>
      <c r="I1047">
        <v>415</v>
      </c>
      <c r="J1047">
        <v>2003</v>
      </c>
      <c r="K1047" s="4">
        <v>45376</v>
      </c>
      <c r="L1047" t="s">
        <v>23</v>
      </c>
      <c r="M1047" t="s">
        <v>40</v>
      </c>
      <c r="N1047">
        <v>1.71</v>
      </c>
      <c r="O1047">
        <v>2481</v>
      </c>
      <c r="P1047">
        <v>1.95</v>
      </c>
      <c r="Q1047">
        <v>116</v>
      </c>
      <c r="R1047">
        <v>680</v>
      </c>
    </row>
    <row r="1048" spans="1:18" hidden="1" x14ac:dyDescent="0.2">
      <c r="A1048">
        <v>4</v>
      </c>
      <c r="B1048" t="s">
        <v>102</v>
      </c>
      <c r="E1048" t="s">
        <v>29</v>
      </c>
      <c r="F1048">
        <v>2500796</v>
      </c>
      <c r="G1048">
        <v>5</v>
      </c>
      <c r="H1048">
        <v>2</v>
      </c>
      <c r="I1048">
        <v>57</v>
      </c>
      <c r="J1048">
        <v>1974</v>
      </c>
      <c r="K1048" s="4">
        <v>44900</v>
      </c>
      <c r="L1048" t="s">
        <v>23</v>
      </c>
      <c r="M1048" t="s">
        <v>37</v>
      </c>
      <c r="N1048">
        <v>3.17</v>
      </c>
      <c r="O1048">
        <v>806</v>
      </c>
      <c r="P1048">
        <v>1.21</v>
      </c>
      <c r="Q1048">
        <v>295</v>
      </c>
      <c r="R1048">
        <v>576</v>
      </c>
    </row>
    <row r="1049" spans="1:18" hidden="1" x14ac:dyDescent="0.2">
      <c r="A1049">
        <v>1</v>
      </c>
      <c r="B1049" t="s">
        <v>46</v>
      </c>
      <c r="E1049" t="s">
        <v>19</v>
      </c>
      <c r="F1049">
        <v>2015096</v>
      </c>
      <c r="G1049">
        <v>2</v>
      </c>
      <c r="H1049">
        <v>2</v>
      </c>
      <c r="I1049">
        <v>303</v>
      </c>
      <c r="J1049">
        <v>2016</v>
      </c>
      <c r="K1049" s="4">
        <v>45853</v>
      </c>
      <c r="L1049" t="s">
        <v>23</v>
      </c>
      <c r="M1049" t="s">
        <v>66</v>
      </c>
      <c r="N1049">
        <v>2.86</v>
      </c>
      <c r="O1049">
        <v>1170</v>
      </c>
      <c r="P1049">
        <v>0.26</v>
      </c>
      <c r="Q1049">
        <v>183</v>
      </c>
      <c r="R1049">
        <v>694</v>
      </c>
    </row>
    <row r="1050" spans="1:18" hidden="1" x14ac:dyDescent="0.2">
      <c r="A1050">
        <v>1</v>
      </c>
      <c r="B1050" t="s">
        <v>86</v>
      </c>
      <c r="E1050" t="s">
        <v>19</v>
      </c>
      <c r="F1050">
        <v>905195</v>
      </c>
      <c r="G1050">
        <v>4</v>
      </c>
      <c r="H1050">
        <v>1</v>
      </c>
      <c r="I1050">
        <v>891</v>
      </c>
      <c r="J1050">
        <v>1988</v>
      </c>
      <c r="K1050" s="4">
        <v>45231</v>
      </c>
      <c r="L1050" t="s">
        <v>26</v>
      </c>
      <c r="M1050" t="s">
        <v>63</v>
      </c>
      <c r="N1050">
        <v>2.84</v>
      </c>
      <c r="O1050">
        <v>1157</v>
      </c>
      <c r="P1050">
        <v>2.77</v>
      </c>
      <c r="Q1050">
        <v>261</v>
      </c>
      <c r="R1050">
        <v>388</v>
      </c>
    </row>
    <row r="1051" spans="1:18" hidden="1" x14ac:dyDescent="0.2">
      <c r="A1051">
        <v>6</v>
      </c>
      <c r="B1051" t="s">
        <v>43</v>
      </c>
      <c r="E1051" t="s">
        <v>36</v>
      </c>
      <c r="F1051">
        <v>1965876</v>
      </c>
      <c r="G1051">
        <v>0</v>
      </c>
      <c r="H1051">
        <v>1</v>
      </c>
      <c r="I1051">
        <v>665</v>
      </c>
      <c r="J1051">
        <v>2005</v>
      </c>
      <c r="K1051" s="4">
        <v>45669</v>
      </c>
      <c r="L1051" t="s">
        <v>23</v>
      </c>
      <c r="M1051" t="s">
        <v>70</v>
      </c>
      <c r="N1051">
        <v>3.26</v>
      </c>
      <c r="O1051">
        <v>1475</v>
      </c>
      <c r="P1051">
        <v>2.4700000000000002</v>
      </c>
      <c r="Q1051">
        <v>65</v>
      </c>
      <c r="R1051">
        <v>500</v>
      </c>
    </row>
    <row r="1052" spans="1:18" hidden="1" x14ac:dyDescent="0.2">
      <c r="A1052">
        <v>9</v>
      </c>
      <c r="B1052" t="s">
        <v>50</v>
      </c>
      <c r="E1052" t="s">
        <v>19</v>
      </c>
      <c r="F1052">
        <v>2766352</v>
      </c>
      <c r="G1052">
        <v>4</v>
      </c>
      <c r="H1052">
        <v>3</v>
      </c>
      <c r="I1052">
        <v>92</v>
      </c>
      <c r="J1052">
        <v>1972</v>
      </c>
      <c r="K1052" s="4">
        <v>44609</v>
      </c>
      <c r="L1052" t="s">
        <v>26</v>
      </c>
      <c r="M1052" t="s">
        <v>59</v>
      </c>
      <c r="N1052">
        <v>2.88</v>
      </c>
      <c r="O1052">
        <v>972</v>
      </c>
      <c r="P1052">
        <v>3.9</v>
      </c>
      <c r="Q1052">
        <v>164</v>
      </c>
      <c r="R1052">
        <v>686</v>
      </c>
    </row>
    <row r="1053" spans="1:18" x14ac:dyDescent="0.2">
      <c r="A1053">
        <v>8</v>
      </c>
      <c r="B1053" t="s">
        <v>39</v>
      </c>
      <c r="E1053" t="s">
        <v>36</v>
      </c>
      <c r="F1053">
        <v>2565825</v>
      </c>
      <c r="G1053">
        <v>4</v>
      </c>
      <c r="H1053">
        <v>1</v>
      </c>
      <c r="I1053">
        <v>412</v>
      </c>
      <c r="J1053">
        <v>1993</v>
      </c>
      <c r="K1053" s="4">
        <v>45637</v>
      </c>
      <c r="L1053" t="s">
        <v>20</v>
      </c>
      <c r="M1053" t="s">
        <v>58</v>
      </c>
      <c r="N1053">
        <v>2.06</v>
      </c>
      <c r="O1053">
        <v>1131</v>
      </c>
      <c r="P1053">
        <v>2.84</v>
      </c>
      <c r="Q1053">
        <v>264</v>
      </c>
      <c r="R1053">
        <v>687</v>
      </c>
    </row>
    <row r="1054" spans="1:18" hidden="1" x14ac:dyDescent="0.2">
      <c r="A1054">
        <v>9</v>
      </c>
      <c r="B1054" t="s">
        <v>102</v>
      </c>
      <c r="E1054" t="s">
        <v>36</v>
      </c>
      <c r="F1054">
        <v>541770</v>
      </c>
      <c r="G1054">
        <v>4</v>
      </c>
      <c r="H1054">
        <v>3</v>
      </c>
      <c r="I1054">
        <v>528</v>
      </c>
      <c r="J1054">
        <v>1984</v>
      </c>
      <c r="K1054" s="4">
        <v>44874</v>
      </c>
      <c r="L1054" t="s">
        <v>20</v>
      </c>
      <c r="M1054" t="s">
        <v>21</v>
      </c>
      <c r="N1054">
        <v>1.8</v>
      </c>
      <c r="O1054">
        <v>963</v>
      </c>
      <c r="P1054">
        <v>4.34</v>
      </c>
      <c r="Q1054">
        <v>263</v>
      </c>
      <c r="R1054">
        <v>547</v>
      </c>
    </row>
    <row r="1055" spans="1:18" hidden="1" x14ac:dyDescent="0.2">
      <c r="A1055">
        <v>3</v>
      </c>
      <c r="B1055" t="s">
        <v>61</v>
      </c>
      <c r="E1055" t="s">
        <v>51</v>
      </c>
      <c r="F1055">
        <v>2675814</v>
      </c>
      <c r="G1055">
        <v>4</v>
      </c>
      <c r="H1055">
        <v>3</v>
      </c>
      <c r="I1055">
        <v>333</v>
      </c>
      <c r="J1055">
        <v>1956</v>
      </c>
      <c r="K1055" s="4">
        <v>44406</v>
      </c>
      <c r="L1055" t="s">
        <v>23</v>
      </c>
      <c r="M1055" t="s">
        <v>12</v>
      </c>
      <c r="N1055">
        <v>3.01</v>
      </c>
      <c r="O1055">
        <v>1775</v>
      </c>
      <c r="P1055">
        <v>4.2300000000000004</v>
      </c>
      <c r="Q1055">
        <v>282</v>
      </c>
      <c r="R1055">
        <v>629</v>
      </c>
    </row>
    <row r="1056" spans="1:18" hidden="1" x14ac:dyDescent="0.2">
      <c r="A1056">
        <v>5</v>
      </c>
      <c r="B1056" t="s">
        <v>106</v>
      </c>
      <c r="E1056" t="s">
        <v>29</v>
      </c>
      <c r="F1056">
        <v>2073508</v>
      </c>
      <c r="G1056">
        <v>5</v>
      </c>
      <c r="H1056">
        <v>1</v>
      </c>
      <c r="I1056">
        <v>971</v>
      </c>
      <c r="J1056">
        <v>1954</v>
      </c>
      <c r="K1056" s="4">
        <v>44860</v>
      </c>
      <c r="L1056" t="s">
        <v>23</v>
      </c>
      <c r="M1056" t="s">
        <v>60</v>
      </c>
      <c r="N1056">
        <v>2.68</v>
      </c>
      <c r="O1056">
        <v>1498</v>
      </c>
      <c r="P1056">
        <v>2.95</v>
      </c>
      <c r="Q1056">
        <v>345</v>
      </c>
      <c r="R1056">
        <v>540</v>
      </c>
    </row>
    <row r="1057" spans="1:18" hidden="1" x14ac:dyDescent="0.2">
      <c r="A1057">
        <v>9</v>
      </c>
      <c r="B1057" t="s">
        <v>25</v>
      </c>
      <c r="E1057" t="s">
        <v>51</v>
      </c>
      <c r="F1057">
        <v>1891394</v>
      </c>
      <c r="G1057">
        <v>4</v>
      </c>
      <c r="H1057">
        <v>2</v>
      </c>
      <c r="I1057">
        <v>594</v>
      </c>
      <c r="J1057">
        <v>1955</v>
      </c>
      <c r="K1057" s="4">
        <v>45304</v>
      </c>
      <c r="L1057" t="s">
        <v>20</v>
      </c>
      <c r="M1057" t="s">
        <v>56</v>
      </c>
      <c r="N1057">
        <v>2.71</v>
      </c>
      <c r="O1057">
        <v>2102</v>
      </c>
      <c r="P1057">
        <v>4.9800000000000004</v>
      </c>
      <c r="Q1057">
        <v>203</v>
      </c>
      <c r="R1057">
        <v>301</v>
      </c>
    </row>
    <row r="1058" spans="1:18" hidden="1" x14ac:dyDescent="0.2">
      <c r="A1058">
        <v>7</v>
      </c>
      <c r="B1058" t="s">
        <v>80</v>
      </c>
      <c r="E1058" t="s">
        <v>51</v>
      </c>
      <c r="F1058">
        <v>886592</v>
      </c>
      <c r="G1058">
        <v>2</v>
      </c>
      <c r="H1058">
        <v>2</v>
      </c>
      <c r="I1058">
        <v>218</v>
      </c>
      <c r="J1058">
        <v>1982</v>
      </c>
      <c r="K1058" s="4">
        <v>45541</v>
      </c>
      <c r="L1058" t="s">
        <v>23</v>
      </c>
      <c r="M1058" t="s">
        <v>47</v>
      </c>
      <c r="N1058">
        <v>2.94</v>
      </c>
      <c r="O1058">
        <v>2448</v>
      </c>
      <c r="P1058">
        <v>4.5999999999999996</v>
      </c>
      <c r="Q1058">
        <v>73</v>
      </c>
      <c r="R1058">
        <v>405</v>
      </c>
    </row>
    <row r="1059" spans="1:18" hidden="1" x14ac:dyDescent="0.2">
      <c r="A1059">
        <v>3</v>
      </c>
      <c r="B1059" t="s">
        <v>72</v>
      </c>
      <c r="E1059" t="s">
        <v>36</v>
      </c>
      <c r="F1059">
        <v>2193246</v>
      </c>
      <c r="G1059">
        <v>2</v>
      </c>
      <c r="H1059">
        <v>3</v>
      </c>
      <c r="I1059">
        <v>735</v>
      </c>
      <c r="J1059">
        <v>2011</v>
      </c>
      <c r="K1059" s="4">
        <v>45596</v>
      </c>
      <c r="L1059" t="s">
        <v>23</v>
      </c>
      <c r="M1059" t="s">
        <v>78</v>
      </c>
      <c r="N1059">
        <v>1.58</v>
      </c>
      <c r="O1059">
        <v>2048</v>
      </c>
      <c r="P1059">
        <v>1.1200000000000001</v>
      </c>
      <c r="Q1059">
        <v>89</v>
      </c>
      <c r="R1059">
        <v>431</v>
      </c>
    </row>
    <row r="1060" spans="1:18" hidden="1" x14ac:dyDescent="0.2">
      <c r="A1060">
        <v>4</v>
      </c>
      <c r="B1060" t="s">
        <v>104</v>
      </c>
      <c r="E1060" t="s">
        <v>29</v>
      </c>
      <c r="F1060">
        <v>1694359</v>
      </c>
      <c r="G1060">
        <v>5</v>
      </c>
      <c r="H1060">
        <v>3</v>
      </c>
      <c r="I1060">
        <v>721</v>
      </c>
      <c r="J1060">
        <v>1962</v>
      </c>
      <c r="K1060" s="4">
        <v>45846</v>
      </c>
      <c r="L1060" t="s">
        <v>23</v>
      </c>
      <c r="M1060" t="s">
        <v>59</v>
      </c>
      <c r="N1060">
        <v>1.72</v>
      </c>
      <c r="O1060">
        <v>2359</v>
      </c>
      <c r="P1060">
        <v>2.69</v>
      </c>
      <c r="Q1060">
        <v>295</v>
      </c>
      <c r="R1060">
        <v>320</v>
      </c>
    </row>
    <row r="1061" spans="1:18" hidden="1" x14ac:dyDescent="0.2">
      <c r="A1061">
        <v>3</v>
      </c>
      <c r="B1061" t="s">
        <v>57</v>
      </c>
      <c r="E1061" t="s">
        <v>36</v>
      </c>
      <c r="F1061">
        <v>1136757</v>
      </c>
      <c r="G1061">
        <v>3</v>
      </c>
      <c r="H1061">
        <v>3</v>
      </c>
      <c r="I1061">
        <v>404</v>
      </c>
      <c r="J1061">
        <v>1970</v>
      </c>
      <c r="K1061" s="4">
        <v>44561</v>
      </c>
      <c r="L1061" t="s">
        <v>23</v>
      </c>
      <c r="M1061" t="s">
        <v>74</v>
      </c>
      <c r="N1061">
        <v>3.01</v>
      </c>
      <c r="O1061">
        <v>895</v>
      </c>
      <c r="P1061">
        <v>0.69</v>
      </c>
      <c r="Q1061">
        <v>241</v>
      </c>
      <c r="R1061">
        <v>462</v>
      </c>
    </row>
    <row r="1062" spans="1:18" x14ac:dyDescent="0.2">
      <c r="A1062">
        <v>8</v>
      </c>
      <c r="B1062" t="s">
        <v>96</v>
      </c>
      <c r="E1062" t="s">
        <v>36</v>
      </c>
      <c r="F1062">
        <v>1324794</v>
      </c>
      <c r="G1062">
        <v>5</v>
      </c>
      <c r="H1062">
        <v>3</v>
      </c>
      <c r="I1062">
        <v>266</v>
      </c>
      <c r="J1062">
        <v>1989</v>
      </c>
      <c r="K1062" s="4">
        <v>45053</v>
      </c>
      <c r="L1062" t="s">
        <v>20</v>
      </c>
      <c r="M1062" t="s">
        <v>33</v>
      </c>
      <c r="N1062">
        <v>2.2799999999999998</v>
      </c>
      <c r="O1062">
        <v>1815</v>
      </c>
      <c r="P1062">
        <v>4.13</v>
      </c>
      <c r="Q1062">
        <v>262</v>
      </c>
      <c r="R1062">
        <v>476</v>
      </c>
    </row>
    <row r="1063" spans="1:18" hidden="1" x14ac:dyDescent="0.2">
      <c r="A1063">
        <v>3</v>
      </c>
      <c r="B1063" t="s">
        <v>64</v>
      </c>
      <c r="E1063" t="s">
        <v>51</v>
      </c>
      <c r="F1063">
        <v>1819563</v>
      </c>
      <c r="G1063">
        <v>3</v>
      </c>
      <c r="H1063">
        <v>2</v>
      </c>
      <c r="I1063">
        <v>89</v>
      </c>
      <c r="J1063">
        <v>2019</v>
      </c>
      <c r="K1063" s="4">
        <v>44614</v>
      </c>
      <c r="L1063" t="s">
        <v>30</v>
      </c>
      <c r="M1063" t="s">
        <v>24</v>
      </c>
      <c r="N1063">
        <v>1.96</v>
      </c>
      <c r="O1063">
        <v>1767</v>
      </c>
      <c r="P1063">
        <v>0.66</v>
      </c>
      <c r="Q1063">
        <v>204</v>
      </c>
      <c r="R1063">
        <v>699</v>
      </c>
    </row>
    <row r="1064" spans="1:18" hidden="1" x14ac:dyDescent="0.2">
      <c r="A1064">
        <v>3</v>
      </c>
      <c r="B1064" t="s">
        <v>61</v>
      </c>
      <c r="E1064" t="s">
        <v>19</v>
      </c>
      <c r="F1064">
        <v>1482440</v>
      </c>
      <c r="G1064">
        <v>5</v>
      </c>
      <c r="H1064">
        <v>2</v>
      </c>
      <c r="I1064">
        <v>83</v>
      </c>
      <c r="J1064">
        <v>2019</v>
      </c>
      <c r="K1064" s="4">
        <v>44826</v>
      </c>
      <c r="L1064" t="s">
        <v>26</v>
      </c>
      <c r="M1064" t="s">
        <v>45</v>
      </c>
      <c r="N1064">
        <v>2.38</v>
      </c>
      <c r="O1064">
        <v>1914</v>
      </c>
      <c r="P1064">
        <v>1.53</v>
      </c>
      <c r="Q1064">
        <v>341</v>
      </c>
      <c r="R1064">
        <v>342</v>
      </c>
    </row>
    <row r="1065" spans="1:18" x14ac:dyDescent="0.2">
      <c r="A1065">
        <v>8</v>
      </c>
      <c r="B1065" t="s">
        <v>80</v>
      </c>
      <c r="E1065" t="s">
        <v>36</v>
      </c>
      <c r="F1065">
        <v>2749545</v>
      </c>
      <c r="G1065">
        <v>0</v>
      </c>
      <c r="H1065">
        <v>1</v>
      </c>
      <c r="I1065">
        <v>407</v>
      </c>
      <c r="J1065">
        <v>1960</v>
      </c>
      <c r="K1065" s="4">
        <v>45493</v>
      </c>
      <c r="L1065" t="s">
        <v>23</v>
      </c>
      <c r="M1065" t="s">
        <v>74</v>
      </c>
      <c r="N1065">
        <v>3.12</v>
      </c>
      <c r="O1065">
        <v>1414</v>
      </c>
      <c r="P1065">
        <v>3.68</v>
      </c>
      <c r="Q1065">
        <v>64</v>
      </c>
      <c r="R1065">
        <v>323</v>
      </c>
    </row>
    <row r="1066" spans="1:18" hidden="1" x14ac:dyDescent="0.2">
      <c r="A1066">
        <v>0</v>
      </c>
      <c r="B1066" t="s">
        <v>46</v>
      </c>
      <c r="E1066" t="s">
        <v>29</v>
      </c>
      <c r="F1066">
        <v>1678104</v>
      </c>
      <c r="G1066">
        <v>1</v>
      </c>
      <c r="H1066">
        <v>2</v>
      </c>
      <c r="I1066">
        <v>742</v>
      </c>
      <c r="J1066">
        <v>2018</v>
      </c>
      <c r="K1066" s="4">
        <v>44965</v>
      </c>
      <c r="L1066" t="s">
        <v>30</v>
      </c>
      <c r="M1066" t="s">
        <v>35</v>
      </c>
      <c r="N1066">
        <v>1.52</v>
      </c>
      <c r="O1066">
        <v>2221</v>
      </c>
      <c r="P1066">
        <v>3.94</v>
      </c>
      <c r="Q1066">
        <v>114</v>
      </c>
      <c r="R1066">
        <v>588</v>
      </c>
    </row>
    <row r="1067" spans="1:18" hidden="1" x14ac:dyDescent="0.2">
      <c r="A1067">
        <v>5</v>
      </c>
      <c r="B1067" t="s">
        <v>106</v>
      </c>
      <c r="E1067" t="s">
        <v>51</v>
      </c>
      <c r="F1067">
        <v>1731168</v>
      </c>
      <c r="G1067">
        <v>5</v>
      </c>
      <c r="H1067">
        <v>3</v>
      </c>
      <c r="I1067">
        <v>569</v>
      </c>
      <c r="J1067">
        <v>2020</v>
      </c>
      <c r="K1067" s="4">
        <v>44547</v>
      </c>
      <c r="L1067" t="s">
        <v>30</v>
      </c>
      <c r="M1067" t="s">
        <v>77</v>
      </c>
      <c r="N1067">
        <v>1.68</v>
      </c>
      <c r="O1067">
        <v>2295</v>
      </c>
      <c r="P1067">
        <v>2.69</v>
      </c>
      <c r="Q1067">
        <v>394</v>
      </c>
      <c r="R1067">
        <v>402</v>
      </c>
    </row>
    <row r="1068" spans="1:18" hidden="1" x14ac:dyDescent="0.2">
      <c r="A1068">
        <v>7</v>
      </c>
      <c r="B1068" t="s">
        <v>25</v>
      </c>
      <c r="E1068" t="s">
        <v>51</v>
      </c>
      <c r="F1068">
        <v>2056519</v>
      </c>
      <c r="G1068">
        <v>5</v>
      </c>
      <c r="H1068">
        <v>3</v>
      </c>
      <c r="I1068">
        <v>425</v>
      </c>
      <c r="J1068">
        <v>1997</v>
      </c>
      <c r="K1068" s="4">
        <v>44459</v>
      </c>
      <c r="L1068" t="s">
        <v>20</v>
      </c>
      <c r="M1068" t="s">
        <v>76</v>
      </c>
      <c r="N1068">
        <v>2.17</v>
      </c>
      <c r="O1068">
        <v>1710</v>
      </c>
      <c r="P1068">
        <v>4.37</v>
      </c>
      <c r="Q1068">
        <v>323</v>
      </c>
      <c r="R1068">
        <v>403</v>
      </c>
    </row>
    <row r="1069" spans="1:18" hidden="1" x14ac:dyDescent="0.2">
      <c r="A1069">
        <v>6</v>
      </c>
      <c r="B1069" t="s">
        <v>84</v>
      </c>
      <c r="E1069" t="s">
        <v>51</v>
      </c>
      <c r="F1069">
        <v>962039</v>
      </c>
      <c r="G1069">
        <v>1</v>
      </c>
      <c r="H1069">
        <v>2</v>
      </c>
      <c r="I1069">
        <v>253</v>
      </c>
      <c r="J1069">
        <v>2006</v>
      </c>
      <c r="K1069" s="4">
        <v>44548</v>
      </c>
      <c r="L1069" t="s">
        <v>23</v>
      </c>
      <c r="M1069" t="s">
        <v>77</v>
      </c>
      <c r="N1069">
        <v>2.72</v>
      </c>
      <c r="O1069">
        <v>1439</v>
      </c>
      <c r="P1069">
        <v>3.15</v>
      </c>
      <c r="Q1069">
        <v>70</v>
      </c>
      <c r="R1069">
        <v>672</v>
      </c>
    </row>
    <row r="1070" spans="1:18" hidden="1" x14ac:dyDescent="0.2">
      <c r="A1070">
        <v>4</v>
      </c>
      <c r="B1070" t="s">
        <v>43</v>
      </c>
      <c r="E1070" t="s">
        <v>29</v>
      </c>
      <c r="F1070">
        <v>1612422</v>
      </c>
      <c r="G1070">
        <v>3</v>
      </c>
      <c r="H1070">
        <v>2</v>
      </c>
      <c r="I1070">
        <v>903</v>
      </c>
      <c r="J1070">
        <v>1951</v>
      </c>
      <c r="K1070" s="4">
        <v>45887</v>
      </c>
      <c r="L1070" t="s">
        <v>26</v>
      </c>
      <c r="M1070" t="s">
        <v>21</v>
      </c>
      <c r="N1070">
        <v>2.79</v>
      </c>
      <c r="O1070">
        <v>825</v>
      </c>
      <c r="P1070">
        <v>0.31</v>
      </c>
      <c r="Q1070">
        <v>220</v>
      </c>
      <c r="R1070">
        <v>454</v>
      </c>
    </row>
    <row r="1071" spans="1:18" hidden="1" x14ac:dyDescent="0.2">
      <c r="A1071">
        <v>6</v>
      </c>
      <c r="B1071" t="s">
        <v>71</v>
      </c>
      <c r="E1071" t="s">
        <v>51</v>
      </c>
      <c r="F1071">
        <v>1368577</v>
      </c>
      <c r="G1071">
        <v>4</v>
      </c>
      <c r="H1071">
        <v>2</v>
      </c>
      <c r="I1071">
        <v>96</v>
      </c>
      <c r="J1071">
        <v>1972</v>
      </c>
      <c r="K1071" s="4">
        <v>45071</v>
      </c>
      <c r="L1071" t="s">
        <v>30</v>
      </c>
      <c r="M1071" t="s">
        <v>97</v>
      </c>
      <c r="N1071">
        <v>2.65</v>
      </c>
      <c r="O1071">
        <v>1454</v>
      </c>
      <c r="P1071">
        <v>0.37</v>
      </c>
      <c r="Q1071">
        <v>382</v>
      </c>
      <c r="R1071">
        <v>583</v>
      </c>
    </row>
    <row r="1072" spans="1:18" hidden="1" x14ac:dyDescent="0.2">
      <c r="A1072">
        <v>3</v>
      </c>
      <c r="B1072" t="s">
        <v>101</v>
      </c>
      <c r="E1072" t="s">
        <v>19</v>
      </c>
      <c r="F1072">
        <v>2125150</v>
      </c>
      <c r="G1072">
        <v>6</v>
      </c>
      <c r="H1072">
        <v>1</v>
      </c>
      <c r="I1072">
        <v>225</v>
      </c>
      <c r="J1072">
        <v>2014</v>
      </c>
      <c r="K1072" s="4">
        <v>45684</v>
      </c>
      <c r="L1072" t="s">
        <v>30</v>
      </c>
      <c r="M1072" t="s">
        <v>27</v>
      </c>
      <c r="N1072">
        <v>2.83</v>
      </c>
      <c r="O1072">
        <v>1232</v>
      </c>
      <c r="P1072">
        <v>1.7</v>
      </c>
      <c r="Q1072">
        <v>351</v>
      </c>
      <c r="R1072">
        <v>306</v>
      </c>
    </row>
    <row r="1073" spans="1:18" x14ac:dyDescent="0.2">
      <c r="A1073">
        <v>8</v>
      </c>
      <c r="B1073" t="s">
        <v>91</v>
      </c>
      <c r="E1073" t="s">
        <v>51</v>
      </c>
      <c r="F1073">
        <v>713648</v>
      </c>
      <c r="G1073">
        <v>1</v>
      </c>
      <c r="H1073">
        <v>1</v>
      </c>
      <c r="I1073">
        <v>481</v>
      </c>
      <c r="J1073">
        <v>2017</v>
      </c>
      <c r="K1073" s="4">
        <v>44618</v>
      </c>
      <c r="L1073" t="s">
        <v>26</v>
      </c>
      <c r="M1073" t="s">
        <v>58</v>
      </c>
      <c r="N1073">
        <v>1.88</v>
      </c>
      <c r="O1073">
        <v>2463</v>
      </c>
      <c r="P1073">
        <v>0.68</v>
      </c>
      <c r="Q1073">
        <v>62</v>
      </c>
      <c r="R1073">
        <v>331</v>
      </c>
    </row>
    <row r="1074" spans="1:18" hidden="1" x14ac:dyDescent="0.2">
      <c r="A1074">
        <v>5</v>
      </c>
      <c r="B1074" t="s">
        <v>38</v>
      </c>
      <c r="E1074" t="s">
        <v>19</v>
      </c>
      <c r="F1074">
        <v>2605529</v>
      </c>
      <c r="G1074">
        <v>6</v>
      </c>
      <c r="H1074">
        <v>3</v>
      </c>
      <c r="I1074">
        <v>987</v>
      </c>
      <c r="J1074">
        <v>2017</v>
      </c>
      <c r="K1074" s="4">
        <v>44065</v>
      </c>
      <c r="L1074" t="s">
        <v>30</v>
      </c>
      <c r="M1074" t="s">
        <v>37</v>
      </c>
      <c r="N1074">
        <v>2.8</v>
      </c>
      <c r="O1074">
        <v>1402</v>
      </c>
      <c r="P1074">
        <v>3.18</v>
      </c>
      <c r="Q1074">
        <v>322</v>
      </c>
      <c r="R1074">
        <v>596</v>
      </c>
    </row>
    <row r="1075" spans="1:18" x14ac:dyDescent="0.2">
      <c r="A1075">
        <v>8</v>
      </c>
      <c r="B1075" t="s">
        <v>65</v>
      </c>
      <c r="E1075" t="s">
        <v>36</v>
      </c>
      <c r="F1075">
        <v>890587</v>
      </c>
      <c r="G1075">
        <v>2</v>
      </c>
      <c r="H1075">
        <v>2</v>
      </c>
      <c r="I1075">
        <v>795</v>
      </c>
      <c r="J1075">
        <v>1986</v>
      </c>
      <c r="K1075" s="4">
        <v>45138</v>
      </c>
      <c r="L1075" t="s">
        <v>20</v>
      </c>
      <c r="M1075" t="s">
        <v>85</v>
      </c>
      <c r="N1075">
        <v>1.51</v>
      </c>
      <c r="O1075">
        <v>2077</v>
      </c>
      <c r="P1075">
        <v>0.79</v>
      </c>
      <c r="Q1075">
        <v>142</v>
      </c>
      <c r="R1075">
        <v>578</v>
      </c>
    </row>
    <row r="1076" spans="1:18" hidden="1" x14ac:dyDescent="0.2">
      <c r="A1076">
        <v>2</v>
      </c>
      <c r="B1076" t="s">
        <v>79</v>
      </c>
      <c r="E1076" t="s">
        <v>29</v>
      </c>
      <c r="F1076">
        <v>537814</v>
      </c>
      <c r="G1076">
        <v>3</v>
      </c>
      <c r="H1076">
        <v>2</v>
      </c>
      <c r="I1076">
        <v>424</v>
      </c>
      <c r="J1076">
        <v>1985</v>
      </c>
      <c r="K1076" s="4">
        <v>44510</v>
      </c>
      <c r="L1076" t="s">
        <v>26</v>
      </c>
      <c r="M1076" t="s">
        <v>45</v>
      </c>
      <c r="N1076">
        <v>3.38</v>
      </c>
      <c r="O1076">
        <v>1835</v>
      </c>
      <c r="P1076">
        <v>0.71</v>
      </c>
      <c r="Q1076">
        <v>194</v>
      </c>
      <c r="R1076">
        <v>381</v>
      </c>
    </row>
    <row r="1077" spans="1:18" hidden="1" x14ac:dyDescent="0.2">
      <c r="A1077">
        <v>7</v>
      </c>
      <c r="B1077" t="s">
        <v>61</v>
      </c>
      <c r="E1077" t="s">
        <v>19</v>
      </c>
      <c r="F1077">
        <v>2353218</v>
      </c>
      <c r="G1077">
        <v>6</v>
      </c>
      <c r="H1077">
        <v>2</v>
      </c>
      <c r="I1077">
        <v>968</v>
      </c>
      <c r="J1077">
        <v>2008</v>
      </c>
      <c r="K1077" s="4">
        <v>45760</v>
      </c>
      <c r="L1077" t="s">
        <v>23</v>
      </c>
      <c r="M1077" t="s">
        <v>27</v>
      </c>
      <c r="N1077">
        <v>3.37</v>
      </c>
      <c r="O1077">
        <v>1561</v>
      </c>
      <c r="P1077">
        <v>4.07</v>
      </c>
      <c r="Q1077">
        <v>327</v>
      </c>
      <c r="R1077">
        <v>452</v>
      </c>
    </row>
    <row r="1078" spans="1:18" hidden="1" x14ac:dyDescent="0.2">
      <c r="A1078">
        <v>4</v>
      </c>
      <c r="B1078" t="s">
        <v>44</v>
      </c>
      <c r="E1078" t="s">
        <v>36</v>
      </c>
      <c r="F1078">
        <v>1643551</v>
      </c>
      <c r="G1078">
        <v>1</v>
      </c>
      <c r="H1078">
        <v>3</v>
      </c>
      <c r="I1078">
        <v>628</v>
      </c>
      <c r="J1078">
        <v>2015</v>
      </c>
      <c r="K1078" s="4">
        <v>45733</v>
      </c>
      <c r="L1078" t="s">
        <v>26</v>
      </c>
      <c r="M1078" t="s">
        <v>68</v>
      </c>
      <c r="N1078">
        <v>3.48</v>
      </c>
      <c r="O1078">
        <v>1452</v>
      </c>
      <c r="P1078">
        <v>0.43</v>
      </c>
      <c r="Q1078">
        <v>86</v>
      </c>
      <c r="R1078">
        <v>592</v>
      </c>
    </row>
    <row r="1079" spans="1:18" hidden="1" x14ac:dyDescent="0.2">
      <c r="A1079">
        <v>0</v>
      </c>
      <c r="B1079" t="s">
        <v>38</v>
      </c>
      <c r="E1079" t="s">
        <v>36</v>
      </c>
      <c r="F1079">
        <v>1702101</v>
      </c>
      <c r="G1079">
        <v>6</v>
      </c>
      <c r="H1079">
        <v>3</v>
      </c>
      <c r="I1079">
        <v>835</v>
      </c>
      <c r="J1079">
        <v>1993</v>
      </c>
      <c r="K1079" s="4">
        <v>45722</v>
      </c>
      <c r="L1079" t="s">
        <v>30</v>
      </c>
      <c r="M1079" t="s">
        <v>33</v>
      </c>
      <c r="N1079">
        <v>2.2000000000000002</v>
      </c>
      <c r="O1079">
        <v>2113</v>
      </c>
      <c r="P1079">
        <v>4.18</v>
      </c>
      <c r="Q1079">
        <v>336</v>
      </c>
      <c r="R1079">
        <v>626</v>
      </c>
    </row>
    <row r="1080" spans="1:18" hidden="1" x14ac:dyDescent="0.2">
      <c r="A1080">
        <v>0</v>
      </c>
      <c r="B1080" t="s">
        <v>50</v>
      </c>
      <c r="E1080" t="s">
        <v>19</v>
      </c>
      <c r="F1080">
        <v>425431</v>
      </c>
      <c r="G1080">
        <v>5</v>
      </c>
      <c r="H1080">
        <v>1</v>
      </c>
      <c r="I1080">
        <v>707</v>
      </c>
      <c r="J1080">
        <v>1997</v>
      </c>
      <c r="K1080" s="4">
        <v>44290</v>
      </c>
      <c r="L1080" t="s">
        <v>20</v>
      </c>
      <c r="M1080" t="s">
        <v>89</v>
      </c>
      <c r="N1080">
        <v>2.54</v>
      </c>
      <c r="O1080">
        <v>1650</v>
      </c>
      <c r="P1080">
        <v>1.1499999999999999</v>
      </c>
      <c r="Q1080">
        <v>283</v>
      </c>
      <c r="R1080">
        <v>346</v>
      </c>
    </row>
    <row r="1081" spans="1:18" hidden="1" x14ac:dyDescent="0.2">
      <c r="A1081">
        <v>9</v>
      </c>
      <c r="B1081" t="s">
        <v>105</v>
      </c>
      <c r="E1081" t="s">
        <v>51</v>
      </c>
      <c r="F1081">
        <v>2301587</v>
      </c>
      <c r="G1081">
        <v>4</v>
      </c>
      <c r="H1081">
        <v>2</v>
      </c>
      <c r="I1081">
        <v>489</v>
      </c>
      <c r="J1081">
        <v>1951</v>
      </c>
      <c r="K1081" s="4">
        <v>45394</v>
      </c>
      <c r="L1081" t="s">
        <v>26</v>
      </c>
      <c r="M1081" t="s">
        <v>27</v>
      </c>
      <c r="N1081">
        <v>2.6</v>
      </c>
      <c r="O1081">
        <v>1092</v>
      </c>
      <c r="P1081">
        <v>1.83</v>
      </c>
      <c r="Q1081">
        <v>166</v>
      </c>
      <c r="R1081">
        <v>683</v>
      </c>
    </row>
    <row r="1082" spans="1:18" hidden="1" x14ac:dyDescent="0.2">
      <c r="A1082">
        <v>7</v>
      </c>
      <c r="B1082" t="s">
        <v>83</v>
      </c>
      <c r="E1082" t="s">
        <v>19</v>
      </c>
      <c r="F1082">
        <v>2731634</v>
      </c>
      <c r="G1082">
        <v>0</v>
      </c>
      <c r="H1082">
        <v>3</v>
      </c>
      <c r="I1082">
        <v>728</v>
      </c>
      <c r="J1082">
        <v>1972</v>
      </c>
      <c r="K1082" s="4">
        <v>44558</v>
      </c>
      <c r="L1082" t="s">
        <v>23</v>
      </c>
      <c r="M1082" t="s">
        <v>54</v>
      </c>
      <c r="N1082">
        <v>2.06</v>
      </c>
      <c r="O1082">
        <v>1749</v>
      </c>
      <c r="P1082">
        <v>1.78</v>
      </c>
      <c r="Q1082">
        <v>52</v>
      </c>
      <c r="R1082">
        <v>560</v>
      </c>
    </row>
    <row r="1083" spans="1:18" hidden="1" x14ac:dyDescent="0.2">
      <c r="A1083">
        <v>1</v>
      </c>
      <c r="B1083" t="s">
        <v>72</v>
      </c>
      <c r="E1083" t="s">
        <v>36</v>
      </c>
      <c r="F1083">
        <v>504048</v>
      </c>
      <c r="G1083">
        <v>3</v>
      </c>
      <c r="H1083">
        <v>3</v>
      </c>
      <c r="I1083">
        <v>377</v>
      </c>
      <c r="J1083">
        <v>1955</v>
      </c>
      <c r="K1083" s="4">
        <v>44077</v>
      </c>
      <c r="L1083" t="s">
        <v>23</v>
      </c>
      <c r="M1083" t="s">
        <v>89</v>
      </c>
      <c r="N1083">
        <v>1.63</v>
      </c>
      <c r="O1083">
        <v>2239</v>
      </c>
      <c r="P1083">
        <v>1</v>
      </c>
      <c r="Q1083">
        <v>139</v>
      </c>
      <c r="R1083">
        <v>641</v>
      </c>
    </row>
    <row r="1084" spans="1:18" hidden="1" x14ac:dyDescent="0.2">
      <c r="A1084">
        <v>4</v>
      </c>
      <c r="B1084" t="s">
        <v>28</v>
      </c>
      <c r="E1084" t="s">
        <v>29</v>
      </c>
      <c r="F1084">
        <v>1954161</v>
      </c>
      <c r="G1084">
        <v>4</v>
      </c>
      <c r="H1084">
        <v>1</v>
      </c>
      <c r="I1084">
        <v>677</v>
      </c>
      <c r="J1084">
        <v>1981</v>
      </c>
      <c r="K1084" s="4">
        <v>44442</v>
      </c>
      <c r="L1084" t="s">
        <v>26</v>
      </c>
      <c r="M1084" t="s">
        <v>69</v>
      </c>
      <c r="N1084">
        <v>2.5499999999999998</v>
      </c>
      <c r="O1084">
        <v>939</v>
      </c>
      <c r="P1084">
        <v>4.9800000000000004</v>
      </c>
      <c r="Q1084">
        <v>224</v>
      </c>
      <c r="R1084">
        <v>573</v>
      </c>
    </row>
    <row r="1085" spans="1:18" hidden="1" x14ac:dyDescent="0.2">
      <c r="A1085">
        <v>9</v>
      </c>
      <c r="B1085" t="s">
        <v>96</v>
      </c>
      <c r="E1085" t="s">
        <v>36</v>
      </c>
      <c r="F1085">
        <v>1368219</v>
      </c>
      <c r="G1085">
        <v>2</v>
      </c>
      <c r="H1085">
        <v>3</v>
      </c>
      <c r="I1085">
        <v>183</v>
      </c>
      <c r="J1085">
        <v>1954</v>
      </c>
      <c r="K1085" s="4">
        <v>44299</v>
      </c>
      <c r="L1085" t="s">
        <v>26</v>
      </c>
      <c r="M1085" t="s">
        <v>82</v>
      </c>
      <c r="N1085">
        <v>1.78</v>
      </c>
      <c r="O1085">
        <v>1060</v>
      </c>
      <c r="P1085">
        <v>2.64</v>
      </c>
      <c r="Q1085">
        <v>73</v>
      </c>
      <c r="R1085">
        <v>309</v>
      </c>
    </row>
    <row r="1086" spans="1:18" hidden="1" x14ac:dyDescent="0.2">
      <c r="A1086">
        <v>9</v>
      </c>
      <c r="B1086" t="s">
        <v>64</v>
      </c>
      <c r="E1086" t="s">
        <v>29</v>
      </c>
      <c r="F1086">
        <v>2903806</v>
      </c>
      <c r="G1086">
        <v>4</v>
      </c>
      <c r="H1086">
        <v>3</v>
      </c>
      <c r="I1086">
        <v>214</v>
      </c>
      <c r="J1086">
        <v>1987</v>
      </c>
      <c r="K1086" s="4">
        <v>44471</v>
      </c>
      <c r="L1086" t="s">
        <v>26</v>
      </c>
      <c r="M1086" t="s">
        <v>21</v>
      </c>
      <c r="N1086">
        <v>1.97</v>
      </c>
      <c r="O1086">
        <v>1909</v>
      </c>
      <c r="P1086">
        <v>2.16</v>
      </c>
      <c r="Q1086">
        <v>254</v>
      </c>
      <c r="R1086">
        <v>677</v>
      </c>
    </row>
    <row r="1087" spans="1:18" hidden="1" x14ac:dyDescent="0.2">
      <c r="A1087">
        <v>7</v>
      </c>
      <c r="B1087" t="s">
        <v>73</v>
      </c>
      <c r="E1087" t="s">
        <v>51</v>
      </c>
      <c r="F1087">
        <v>2041254</v>
      </c>
      <c r="G1087">
        <v>6</v>
      </c>
      <c r="H1087">
        <v>1</v>
      </c>
      <c r="I1087">
        <v>737</v>
      </c>
      <c r="J1087">
        <v>2000</v>
      </c>
      <c r="K1087" s="4">
        <v>44795</v>
      </c>
      <c r="L1087" t="s">
        <v>23</v>
      </c>
      <c r="M1087" t="s">
        <v>47</v>
      </c>
      <c r="N1087">
        <v>2.64</v>
      </c>
      <c r="O1087">
        <v>2411</v>
      </c>
      <c r="P1087">
        <v>2.94</v>
      </c>
      <c r="Q1087">
        <v>328</v>
      </c>
      <c r="R1087">
        <v>606</v>
      </c>
    </row>
    <row r="1088" spans="1:18" hidden="1" x14ac:dyDescent="0.2">
      <c r="A1088">
        <v>3</v>
      </c>
      <c r="B1088" t="s">
        <v>61</v>
      </c>
      <c r="E1088" t="s">
        <v>36</v>
      </c>
      <c r="F1088">
        <v>2773879</v>
      </c>
      <c r="G1088">
        <v>4</v>
      </c>
      <c r="H1088">
        <v>2</v>
      </c>
      <c r="I1088">
        <v>254</v>
      </c>
      <c r="J1088">
        <v>2011</v>
      </c>
      <c r="K1088" s="4">
        <v>44505</v>
      </c>
      <c r="L1088" t="s">
        <v>23</v>
      </c>
      <c r="M1088" t="s">
        <v>97</v>
      </c>
      <c r="N1088">
        <v>3.25</v>
      </c>
      <c r="O1088">
        <v>889</v>
      </c>
      <c r="P1088">
        <v>1.02</v>
      </c>
      <c r="Q1088">
        <v>361</v>
      </c>
      <c r="R1088">
        <v>389</v>
      </c>
    </row>
    <row r="1089" spans="1:18" hidden="1" x14ac:dyDescent="0.2">
      <c r="A1089">
        <v>4</v>
      </c>
      <c r="B1089" t="s">
        <v>18</v>
      </c>
      <c r="E1089" t="s">
        <v>19</v>
      </c>
      <c r="F1089">
        <v>733483</v>
      </c>
      <c r="G1089">
        <v>3</v>
      </c>
      <c r="H1089">
        <v>2</v>
      </c>
      <c r="I1089">
        <v>106</v>
      </c>
      <c r="J1089">
        <v>1974</v>
      </c>
      <c r="K1089" s="4">
        <v>44696</v>
      </c>
      <c r="L1089" t="s">
        <v>23</v>
      </c>
      <c r="M1089" t="s">
        <v>68</v>
      </c>
      <c r="N1089">
        <v>2.97</v>
      </c>
      <c r="O1089">
        <v>1919</v>
      </c>
      <c r="P1089">
        <v>3.65</v>
      </c>
      <c r="Q1089">
        <v>299</v>
      </c>
      <c r="R1089">
        <v>533</v>
      </c>
    </row>
    <row r="1090" spans="1:18" hidden="1" x14ac:dyDescent="0.2">
      <c r="A1090">
        <v>4</v>
      </c>
      <c r="B1090" t="s">
        <v>71</v>
      </c>
      <c r="E1090" t="s">
        <v>51</v>
      </c>
      <c r="F1090">
        <v>1068970</v>
      </c>
      <c r="G1090">
        <v>4</v>
      </c>
      <c r="H1090">
        <v>1</v>
      </c>
      <c r="I1090">
        <v>870</v>
      </c>
      <c r="J1090">
        <v>2015</v>
      </c>
      <c r="K1090" s="4">
        <v>45468</v>
      </c>
      <c r="L1090" t="s">
        <v>20</v>
      </c>
      <c r="M1090" t="s">
        <v>85</v>
      </c>
      <c r="N1090">
        <v>1.95</v>
      </c>
      <c r="O1090">
        <v>1189</v>
      </c>
      <c r="P1090">
        <v>3.39</v>
      </c>
      <c r="Q1090">
        <v>290</v>
      </c>
      <c r="R1090">
        <v>540</v>
      </c>
    </row>
    <row r="1091" spans="1:18" hidden="1" x14ac:dyDescent="0.2">
      <c r="A1091">
        <v>5</v>
      </c>
      <c r="B1091" t="s">
        <v>34</v>
      </c>
      <c r="E1091" t="s">
        <v>29</v>
      </c>
      <c r="F1091">
        <v>2072200</v>
      </c>
      <c r="G1091">
        <v>6</v>
      </c>
      <c r="H1091">
        <v>2</v>
      </c>
      <c r="I1091">
        <v>415</v>
      </c>
      <c r="J1091">
        <v>2008</v>
      </c>
      <c r="K1091" s="4">
        <v>44874</v>
      </c>
      <c r="L1091" t="s">
        <v>23</v>
      </c>
      <c r="M1091" t="s">
        <v>52</v>
      </c>
      <c r="N1091">
        <v>2.11</v>
      </c>
      <c r="O1091">
        <v>2144</v>
      </c>
      <c r="P1091">
        <v>3</v>
      </c>
      <c r="Q1091">
        <v>345</v>
      </c>
      <c r="R1091">
        <v>336</v>
      </c>
    </row>
    <row r="1092" spans="1:18" hidden="1" x14ac:dyDescent="0.2">
      <c r="A1092">
        <v>5</v>
      </c>
      <c r="B1092" t="s">
        <v>38</v>
      </c>
      <c r="E1092" t="s">
        <v>29</v>
      </c>
      <c r="F1092">
        <v>1496682</v>
      </c>
      <c r="G1092">
        <v>3</v>
      </c>
      <c r="H1092">
        <v>1</v>
      </c>
      <c r="I1092">
        <v>910</v>
      </c>
      <c r="J1092">
        <v>1985</v>
      </c>
      <c r="K1092" s="4">
        <v>44605</v>
      </c>
      <c r="L1092" t="s">
        <v>26</v>
      </c>
      <c r="M1092" t="s">
        <v>76</v>
      </c>
      <c r="N1092">
        <v>1.66</v>
      </c>
      <c r="O1092">
        <v>1682</v>
      </c>
      <c r="P1092">
        <v>3.84</v>
      </c>
      <c r="Q1092">
        <v>232</v>
      </c>
      <c r="R1092">
        <v>690</v>
      </c>
    </row>
    <row r="1093" spans="1:18" hidden="1" x14ac:dyDescent="0.2">
      <c r="A1093">
        <v>3</v>
      </c>
      <c r="B1093" t="s">
        <v>65</v>
      </c>
      <c r="E1093" t="s">
        <v>29</v>
      </c>
      <c r="F1093">
        <v>2126996</v>
      </c>
      <c r="G1093">
        <v>2</v>
      </c>
      <c r="H1093">
        <v>3</v>
      </c>
      <c r="I1093">
        <v>105</v>
      </c>
      <c r="J1093">
        <v>2017</v>
      </c>
      <c r="K1093" s="4">
        <v>45380</v>
      </c>
      <c r="L1093" t="s">
        <v>20</v>
      </c>
      <c r="M1093" t="s">
        <v>45</v>
      </c>
      <c r="N1093">
        <v>3.08</v>
      </c>
      <c r="O1093">
        <v>1877</v>
      </c>
      <c r="P1093">
        <v>4.07</v>
      </c>
      <c r="Q1093">
        <v>116</v>
      </c>
      <c r="R1093">
        <v>400</v>
      </c>
    </row>
    <row r="1094" spans="1:18" hidden="1" x14ac:dyDescent="0.2">
      <c r="A1094">
        <v>0</v>
      </c>
      <c r="B1094" t="s">
        <v>73</v>
      </c>
      <c r="E1094" t="s">
        <v>19</v>
      </c>
      <c r="F1094">
        <v>400868</v>
      </c>
      <c r="G1094">
        <v>2</v>
      </c>
      <c r="H1094">
        <v>2</v>
      </c>
      <c r="I1094">
        <v>860</v>
      </c>
      <c r="J1094">
        <v>2001</v>
      </c>
      <c r="K1094" s="4">
        <v>45269</v>
      </c>
      <c r="L1094" t="s">
        <v>20</v>
      </c>
      <c r="M1094" t="s">
        <v>68</v>
      </c>
      <c r="N1094">
        <v>1.79</v>
      </c>
      <c r="O1094">
        <v>1729</v>
      </c>
      <c r="P1094">
        <v>1.82</v>
      </c>
      <c r="Q1094">
        <v>239</v>
      </c>
      <c r="R1094">
        <v>418</v>
      </c>
    </row>
    <row r="1095" spans="1:18" hidden="1" x14ac:dyDescent="0.2">
      <c r="A1095">
        <v>1</v>
      </c>
      <c r="B1095" t="s">
        <v>71</v>
      </c>
      <c r="E1095" t="s">
        <v>51</v>
      </c>
      <c r="F1095">
        <v>1565490</v>
      </c>
      <c r="G1095">
        <v>3</v>
      </c>
      <c r="H1095">
        <v>1</v>
      </c>
      <c r="I1095">
        <v>692</v>
      </c>
      <c r="J1095">
        <v>1995</v>
      </c>
      <c r="K1095" s="4">
        <v>45706</v>
      </c>
      <c r="L1095" t="s">
        <v>26</v>
      </c>
      <c r="M1095" t="s">
        <v>37</v>
      </c>
      <c r="N1095">
        <v>1.69</v>
      </c>
      <c r="O1095">
        <v>1019</v>
      </c>
      <c r="P1095">
        <v>1.99</v>
      </c>
      <c r="Q1095">
        <v>131</v>
      </c>
      <c r="R1095">
        <v>551</v>
      </c>
    </row>
    <row r="1096" spans="1:18" hidden="1" x14ac:dyDescent="0.2">
      <c r="A1096">
        <v>3</v>
      </c>
      <c r="B1096" t="s">
        <v>92</v>
      </c>
      <c r="E1096" t="s">
        <v>19</v>
      </c>
      <c r="F1096">
        <v>2192986</v>
      </c>
      <c r="G1096">
        <v>4</v>
      </c>
      <c r="H1096">
        <v>2</v>
      </c>
      <c r="I1096">
        <v>324</v>
      </c>
      <c r="J1096">
        <v>1956</v>
      </c>
      <c r="K1096" s="4">
        <v>45650</v>
      </c>
      <c r="L1096" t="s">
        <v>20</v>
      </c>
      <c r="M1096" t="s">
        <v>52</v>
      </c>
      <c r="N1096">
        <v>3.11</v>
      </c>
      <c r="O1096">
        <v>2082</v>
      </c>
      <c r="P1096">
        <v>0.34</v>
      </c>
      <c r="Q1096">
        <v>165</v>
      </c>
      <c r="R1096">
        <v>592</v>
      </c>
    </row>
    <row r="1097" spans="1:18" hidden="1" x14ac:dyDescent="0.2">
      <c r="A1097">
        <v>5</v>
      </c>
      <c r="B1097" t="s">
        <v>79</v>
      </c>
      <c r="E1097" t="s">
        <v>29</v>
      </c>
      <c r="F1097">
        <v>1886061</v>
      </c>
      <c r="G1097">
        <v>2</v>
      </c>
      <c r="H1097">
        <v>3</v>
      </c>
      <c r="I1097">
        <v>489</v>
      </c>
      <c r="J1097">
        <v>2021</v>
      </c>
      <c r="K1097" s="4">
        <v>44928</v>
      </c>
      <c r="L1097" t="s">
        <v>20</v>
      </c>
      <c r="M1097" t="s">
        <v>74</v>
      </c>
      <c r="N1097">
        <v>1.6</v>
      </c>
      <c r="O1097">
        <v>2321</v>
      </c>
      <c r="P1097">
        <v>4.2</v>
      </c>
      <c r="Q1097">
        <v>192</v>
      </c>
      <c r="R1097">
        <v>510</v>
      </c>
    </row>
    <row r="1098" spans="1:18" hidden="1" x14ac:dyDescent="0.2">
      <c r="A1098">
        <v>3</v>
      </c>
      <c r="B1098" t="s">
        <v>32</v>
      </c>
      <c r="E1098" t="s">
        <v>51</v>
      </c>
      <c r="F1098">
        <v>2209707</v>
      </c>
      <c r="G1098">
        <v>0</v>
      </c>
      <c r="H1098">
        <v>1</v>
      </c>
      <c r="I1098">
        <v>342</v>
      </c>
      <c r="J1098">
        <v>1981</v>
      </c>
      <c r="K1098" s="4">
        <v>45429</v>
      </c>
      <c r="L1098" t="s">
        <v>20</v>
      </c>
      <c r="M1098" t="s">
        <v>97</v>
      </c>
      <c r="N1098">
        <v>2.88</v>
      </c>
      <c r="O1098">
        <v>1885</v>
      </c>
      <c r="P1098">
        <v>1.99</v>
      </c>
      <c r="Q1098">
        <v>54</v>
      </c>
      <c r="R1098">
        <v>692</v>
      </c>
    </row>
    <row r="1099" spans="1:18" hidden="1" x14ac:dyDescent="0.2">
      <c r="A1099">
        <v>6</v>
      </c>
      <c r="B1099" t="s">
        <v>104</v>
      </c>
      <c r="E1099" t="s">
        <v>19</v>
      </c>
      <c r="F1099">
        <v>2739139</v>
      </c>
      <c r="G1099">
        <v>3</v>
      </c>
      <c r="H1099">
        <v>2</v>
      </c>
      <c r="I1099">
        <v>271</v>
      </c>
      <c r="J1099">
        <v>2006</v>
      </c>
      <c r="K1099" s="4">
        <v>44423</v>
      </c>
      <c r="L1099" t="s">
        <v>23</v>
      </c>
      <c r="M1099" t="s">
        <v>47</v>
      </c>
      <c r="N1099">
        <v>1.96</v>
      </c>
      <c r="O1099">
        <v>2082</v>
      </c>
      <c r="P1099">
        <v>4.2699999999999996</v>
      </c>
      <c r="Q1099">
        <v>145</v>
      </c>
      <c r="R1099">
        <v>561</v>
      </c>
    </row>
    <row r="1100" spans="1:18" hidden="1" x14ac:dyDescent="0.2">
      <c r="A1100">
        <v>7</v>
      </c>
      <c r="B1100" t="s">
        <v>57</v>
      </c>
      <c r="E1100" t="s">
        <v>29</v>
      </c>
      <c r="F1100">
        <v>2226543</v>
      </c>
      <c r="G1100">
        <v>4</v>
      </c>
      <c r="H1100">
        <v>2</v>
      </c>
      <c r="I1100">
        <v>890</v>
      </c>
      <c r="J1100">
        <v>1970</v>
      </c>
      <c r="K1100" s="4">
        <v>44656</v>
      </c>
      <c r="L1100" t="s">
        <v>20</v>
      </c>
      <c r="M1100" t="s">
        <v>33</v>
      </c>
      <c r="N1100">
        <v>2.17</v>
      </c>
      <c r="O1100">
        <v>2490</v>
      </c>
      <c r="P1100">
        <v>1.42</v>
      </c>
      <c r="Q1100">
        <v>179</v>
      </c>
      <c r="R1100">
        <v>683</v>
      </c>
    </row>
    <row r="1101" spans="1:18" hidden="1" x14ac:dyDescent="0.2">
      <c r="A1101">
        <v>1</v>
      </c>
      <c r="B1101" t="s">
        <v>55</v>
      </c>
      <c r="E1101" t="s">
        <v>51</v>
      </c>
      <c r="F1101">
        <v>1736669</v>
      </c>
      <c r="G1101">
        <v>4</v>
      </c>
      <c r="H1101">
        <v>3</v>
      </c>
      <c r="I1101">
        <v>866</v>
      </c>
      <c r="J1101">
        <v>1982</v>
      </c>
      <c r="K1101" s="4">
        <v>45886</v>
      </c>
      <c r="L1101" t="s">
        <v>30</v>
      </c>
      <c r="M1101" t="s">
        <v>33</v>
      </c>
      <c r="N1101">
        <v>1.81</v>
      </c>
      <c r="O1101">
        <v>1429</v>
      </c>
      <c r="P1101">
        <v>4.33</v>
      </c>
      <c r="Q1101">
        <v>215</v>
      </c>
      <c r="R1101">
        <v>326</v>
      </c>
    </row>
    <row r="1102" spans="1:18" hidden="1" x14ac:dyDescent="0.2">
      <c r="A1102">
        <v>2</v>
      </c>
      <c r="B1102" t="s">
        <v>73</v>
      </c>
      <c r="E1102" t="s">
        <v>36</v>
      </c>
      <c r="F1102">
        <v>1932856</v>
      </c>
      <c r="G1102">
        <v>2</v>
      </c>
      <c r="H1102">
        <v>1</v>
      </c>
      <c r="I1102">
        <v>637</v>
      </c>
      <c r="J1102">
        <v>2019</v>
      </c>
      <c r="K1102" s="4">
        <v>44719</v>
      </c>
      <c r="L1102" t="s">
        <v>20</v>
      </c>
      <c r="M1102" t="s">
        <v>89</v>
      </c>
      <c r="N1102">
        <v>1.99</v>
      </c>
      <c r="O1102">
        <v>950</v>
      </c>
      <c r="P1102">
        <v>3.28</v>
      </c>
      <c r="Q1102">
        <v>40</v>
      </c>
      <c r="R1102">
        <v>688</v>
      </c>
    </row>
    <row r="1103" spans="1:18" hidden="1" x14ac:dyDescent="0.2">
      <c r="A1103">
        <v>4</v>
      </c>
      <c r="B1103" t="s">
        <v>55</v>
      </c>
      <c r="E1103" t="s">
        <v>19</v>
      </c>
      <c r="F1103">
        <v>1486298</v>
      </c>
      <c r="G1103">
        <v>3</v>
      </c>
      <c r="H1103">
        <v>3</v>
      </c>
      <c r="I1103">
        <v>534</v>
      </c>
      <c r="J1103">
        <v>1975</v>
      </c>
      <c r="K1103" s="4">
        <v>44620</v>
      </c>
      <c r="L1103" t="s">
        <v>23</v>
      </c>
      <c r="M1103" t="s">
        <v>82</v>
      </c>
      <c r="N1103">
        <v>2.52</v>
      </c>
      <c r="O1103">
        <v>2110</v>
      </c>
      <c r="P1103">
        <v>4.72</v>
      </c>
      <c r="Q1103">
        <v>96</v>
      </c>
      <c r="R1103">
        <v>602</v>
      </c>
    </row>
    <row r="1104" spans="1:18" hidden="1" x14ac:dyDescent="0.2">
      <c r="A1104">
        <v>4</v>
      </c>
      <c r="B1104" t="s">
        <v>67</v>
      </c>
      <c r="E1104" t="s">
        <v>51</v>
      </c>
      <c r="F1104">
        <v>994860</v>
      </c>
      <c r="G1104">
        <v>2</v>
      </c>
      <c r="H1104">
        <v>1</v>
      </c>
      <c r="I1104">
        <v>846</v>
      </c>
      <c r="J1104">
        <v>1963</v>
      </c>
      <c r="K1104" s="4">
        <v>44268</v>
      </c>
      <c r="L1104" t="s">
        <v>20</v>
      </c>
      <c r="M1104" t="s">
        <v>31</v>
      </c>
      <c r="N1104">
        <v>1.91</v>
      </c>
      <c r="O1104">
        <v>1206</v>
      </c>
      <c r="P1104">
        <v>0.34</v>
      </c>
      <c r="Q1104">
        <v>168</v>
      </c>
      <c r="R1104">
        <v>606</v>
      </c>
    </row>
    <row r="1105" spans="1:18" hidden="1" x14ac:dyDescent="0.2">
      <c r="A1105">
        <v>9</v>
      </c>
      <c r="B1105" t="s">
        <v>57</v>
      </c>
      <c r="E1105" t="s">
        <v>29</v>
      </c>
      <c r="F1105">
        <v>1600534</v>
      </c>
      <c r="G1105">
        <v>4</v>
      </c>
      <c r="H1105">
        <v>2</v>
      </c>
      <c r="I1105">
        <v>803</v>
      </c>
      <c r="J1105">
        <v>1998</v>
      </c>
      <c r="K1105" s="4">
        <v>44095</v>
      </c>
      <c r="L1105" t="s">
        <v>23</v>
      </c>
      <c r="M1105" t="s">
        <v>42</v>
      </c>
      <c r="N1105">
        <v>2.76</v>
      </c>
      <c r="O1105">
        <v>1665</v>
      </c>
      <c r="P1105">
        <v>3.32</v>
      </c>
      <c r="Q1105">
        <v>372</v>
      </c>
      <c r="R1105">
        <v>494</v>
      </c>
    </row>
    <row r="1106" spans="1:18" hidden="1" x14ac:dyDescent="0.2">
      <c r="A1106">
        <v>6</v>
      </c>
      <c r="B1106" t="s">
        <v>98</v>
      </c>
      <c r="E1106" t="s">
        <v>19</v>
      </c>
      <c r="F1106">
        <v>955360</v>
      </c>
      <c r="G1106">
        <v>3</v>
      </c>
      <c r="H1106">
        <v>1</v>
      </c>
      <c r="I1106">
        <v>158</v>
      </c>
      <c r="J1106">
        <v>2011</v>
      </c>
      <c r="K1106" s="4">
        <v>45854</v>
      </c>
      <c r="L1106" t="s">
        <v>26</v>
      </c>
      <c r="M1106" t="s">
        <v>66</v>
      </c>
      <c r="N1106">
        <v>3.27</v>
      </c>
      <c r="O1106">
        <v>1211</v>
      </c>
      <c r="P1106">
        <v>0.55000000000000004</v>
      </c>
      <c r="Q1106">
        <v>294</v>
      </c>
      <c r="R1106">
        <v>649</v>
      </c>
    </row>
    <row r="1107" spans="1:18" hidden="1" x14ac:dyDescent="0.2">
      <c r="A1107">
        <v>3</v>
      </c>
      <c r="B1107" t="s">
        <v>55</v>
      </c>
      <c r="E1107" t="s">
        <v>51</v>
      </c>
      <c r="F1107">
        <v>2490306</v>
      </c>
      <c r="G1107">
        <v>1</v>
      </c>
      <c r="H1107">
        <v>1</v>
      </c>
      <c r="I1107">
        <v>888</v>
      </c>
      <c r="J1107">
        <v>1981</v>
      </c>
      <c r="K1107" s="4">
        <v>44916</v>
      </c>
      <c r="L1107" t="s">
        <v>23</v>
      </c>
      <c r="M1107" t="s">
        <v>42</v>
      </c>
      <c r="N1107">
        <v>1.97</v>
      </c>
      <c r="O1107">
        <v>2135</v>
      </c>
      <c r="P1107">
        <v>3.06</v>
      </c>
      <c r="Q1107">
        <v>91</v>
      </c>
      <c r="R1107">
        <v>428</v>
      </c>
    </row>
    <row r="1108" spans="1:18" hidden="1" x14ac:dyDescent="0.2">
      <c r="A1108">
        <v>2</v>
      </c>
      <c r="B1108" t="s">
        <v>44</v>
      </c>
      <c r="E1108" t="s">
        <v>51</v>
      </c>
      <c r="F1108">
        <v>2017092</v>
      </c>
      <c r="G1108">
        <v>1</v>
      </c>
      <c r="H1108">
        <v>1</v>
      </c>
      <c r="I1108">
        <v>155</v>
      </c>
      <c r="J1108">
        <v>1967</v>
      </c>
      <c r="K1108" s="4">
        <v>44952</v>
      </c>
      <c r="L1108" t="s">
        <v>20</v>
      </c>
      <c r="M1108" t="s">
        <v>21</v>
      </c>
      <c r="N1108">
        <v>2.5</v>
      </c>
      <c r="O1108">
        <v>2085</v>
      </c>
      <c r="P1108">
        <v>3.02</v>
      </c>
      <c r="Q1108">
        <v>57</v>
      </c>
      <c r="R1108">
        <v>617</v>
      </c>
    </row>
    <row r="1109" spans="1:18" hidden="1" x14ac:dyDescent="0.2">
      <c r="A1109">
        <v>0</v>
      </c>
      <c r="B1109" t="s">
        <v>64</v>
      </c>
      <c r="E1109" t="s">
        <v>51</v>
      </c>
      <c r="F1109">
        <v>1882234</v>
      </c>
      <c r="G1109">
        <v>3</v>
      </c>
      <c r="H1109">
        <v>1</v>
      </c>
      <c r="I1109">
        <v>344</v>
      </c>
      <c r="J1109">
        <v>2021</v>
      </c>
      <c r="K1109" s="4">
        <v>44351</v>
      </c>
      <c r="L1109" t="s">
        <v>30</v>
      </c>
      <c r="M1109" t="s">
        <v>42</v>
      </c>
      <c r="N1109">
        <v>1.92</v>
      </c>
      <c r="O1109">
        <v>1569</v>
      </c>
      <c r="P1109">
        <v>3.91</v>
      </c>
      <c r="Q1109">
        <v>252</v>
      </c>
      <c r="R1109">
        <v>314</v>
      </c>
    </row>
    <row r="1110" spans="1:18" hidden="1" x14ac:dyDescent="0.2">
      <c r="A1110">
        <v>9</v>
      </c>
      <c r="B1110" t="s">
        <v>53</v>
      </c>
      <c r="E1110" t="s">
        <v>29</v>
      </c>
      <c r="F1110">
        <v>530739</v>
      </c>
      <c r="G1110">
        <v>4</v>
      </c>
      <c r="H1110">
        <v>3</v>
      </c>
      <c r="I1110">
        <v>81</v>
      </c>
      <c r="J1110">
        <v>1961</v>
      </c>
      <c r="K1110" s="4">
        <v>44416</v>
      </c>
      <c r="L1110" t="s">
        <v>30</v>
      </c>
      <c r="M1110" t="s">
        <v>85</v>
      </c>
      <c r="N1110">
        <v>3.14</v>
      </c>
      <c r="O1110">
        <v>1654</v>
      </c>
      <c r="P1110">
        <v>3.47</v>
      </c>
      <c r="Q1110">
        <v>316</v>
      </c>
      <c r="R1110">
        <v>307</v>
      </c>
    </row>
    <row r="1111" spans="1:18" hidden="1" x14ac:dyDescent="0.2">
      <c r="A1111">
        <v>9</v>
      </c>
      <c r="B1111" t="s">
        <v>87</v>
      </c>
      <c r="E1111" t="s">
        <v>19</v>
      </c>
      <c r="F1111">
        <v>1388664</v>
      </c>
      <c r="G1111">
        <v>6</v>
      </c>
      <c r="H1111">
        <v>3</v>
      </c>
      <c r="I1111">
        <v>87</v>
      </c>
      <c r="J1111">
        <v>2022</v>
      </c>
      <c r="K1111" s="4">
        <v>45573</v>
      </c>
      <c r="L1111" t="s">
        <v>20</v>
      </c>
      <c r="M1111" t="s">
        <v>59</v>
      </c>
      <c r="N1111">
        <v>2.92</v>
      </c>
      <c r="O1111">
        <v>1130</v>
      </c>
      <c r="P1111">
        <v>3.89</v>
      </c>
      <c r="Q1111">
        <v>331</v>
      </c>
      <c r="R1111">
        <v>510</v>
      </c>
    </row>
    <row r="1112" spans="1:18" hidden="1" x14ac:dyDescent="0.2">
      <c r="A1112">
        <v>4</v>
      </c>
      <c r="B1112" t="s">
        <v>95</v>
      </c>
      <c r="E1112" t="s">
        <v>51</v>
      </c>
      <c r="F1112">
        <v>1894829</v>
      </c>
      <c r="G1112">
        <v>3</v>
      </c>
      <c r="H1112">
        <v>1</v>
      </c>
      <c r="I1112">
        <v>645</v>
      </c>
      <c r="J1112">
        <v>1951</v>
      </c>
      <c r="K1112" s="4">
        <v>45053</v>
      </c>
      <c r="L1112" t="s">
        <v>23</v>
      </c>
      <c r="M1112" t="s">
        <v>52</v>
      </c>
      <c r="N1112">
        <v>2.74</v>
      </c>
      <c r="O1112">
        <v>831</v>
      </c>
      <c r="P1112">
        <v>4.45</v>
      </c>
      <c r="Q1112">
        <v>137</v>
      </c>
      <c r="R1112">
        <v>314</v>
      </c>
    </row>
    <row r="1113" spans="1:18" hidden="1" x14ac:dyDescent="0.2">
      <c r="A1113">
        <v>5</v>
      </c>
      <c r="B1113" t="s">
        <v>39</v>
      </c>
      <c r="E1113" t="s">
        <v>36</v>
      </c>
      <c r="F1113">
        <v>661085</v>
      </c>
      <c r="G1113">
        <v>1</v>
      </c>
      <c r="H1113">
        <v>3</v>
      </c>
      <c r="I1113">
        <v>150</v>
      </c>
      <c r="J1113">
        <v>2011</v>
      </c>
      <c r="K1113" s="4">
        <v>45548</v>
      </c>
      <c r="L1113" t="s">
        <v>26</v>
      </c>
      <c r="M1113" t="s">
        <v>74</v>
      </c>
      <c r="N1113">
        <v>2.69</v>
      </c>
      <c r="O1113">
        <v>2202</v>
      </c>
      <c r="P1113">
        <v>3.14</v>
      </c>
      <c r="Q1113">
        <v>137</v>
      </c>
      <c r="R1113">
        <v>332</v>
      </c>
    </row>
    <row r="1114" spans="1:18" hidden="1" x14ac:dyDescent="0.2">
      <c r="A1114">
        <v>6</v>
      </c>
      <c r="B1114" t="s">
        <v>32</v>
      </c>
      <c r="E1114" t="s">
        <v>19</v>
      </c>
      <c r="F1114">
        <v>2758893</v>
      </c>
      <c r="G1114">
        <v>4</v>
      </c>
      <c r="H1114">
        <v>1</v>
      </c>
      <c r="I1114">
        <v>85</v>
      </c>
      <c r="J1114">
        <v>1988</v>
      </c>
      <c r="K1114" s="4">
        <v>45403</v>
      </c>
      <c r="L1114" t="s">
        <v>30</v>
      </c>
      <c r="M1114" t="s">
        <v>78</v>
      </c>
      <c r="N1114">
        <v>1.79</v>
      </c>
      <c r="O1114">
        <v>1364</v>
      </c>
      <c r="P1114">
        <v>2.82</v>
      </c>
      <c r="Q1114">
        <v>243</v>
      </c>
      <c r="R1114">
        <v>663</v>
      </c>
    </row>
    <row r="1115" spans="1:18" hidden="1" x14ac:dyDescent="0.2">
      <c r="A1115">
        <v>7</v>
      </c>
      <c r="B1115" t="s">
        <v>48</v>
      </c>
      <c r="E1115" t="s">
        <v>19</v>
      </c>
      <c r="F1115">
        <v>1225930</v>
      </c>
      <c r="G1115">
        <v>1</v>
      </c>
      <c r="H1115">
        <v>3</v>
      </c>
      <c r="I1115">
        <v>101</v>
      </c>
      <c r="J1115">
        <v>2008</v>
      </c>
      <c r="K1115" s="4">
        <v>44987</v>
      </c>
      <c r="L1115" t="s">
        <v>26</v>
      </c>
      <c r="M1115" t="s">
        <v>68</v>
      </c>
      <c r="N1115">
        <v>1.88</v>
      </c>
      <c r="O1115">
        <v>991</v>
      </c>
      <c r="P1115">
        <v>2.58</v>
      </c>
      <c r="Q1115">
        <v>157</v>
      </c>
      <c r="R1115">
        <v>507</v>
      </c>
    </row>
    <row r="1116" spans="1:18" x14ac:dyDescent="0.2">
      <c r="A1116">
        <v>8</v>
      </c>
      <c r="B1116" t="s">
        <v>83</v>
      </c>
      <c r="E1116" t="s">
        <v>51</v>
      </c>
      <c r="F1116">
        <v>834664</v>
      </c>
      <c r="G1116">
        <v>4</v>
      </c>
      <c r="H1116">
        <v>1</v>
      </c>
      <c r="I1116">
        <v>688</v>
      </c>
      <c r="J1116">
        <v>2017</v>
      </c>
      <c r="K1116" s="4">
        <v>45101</v>
      </c>
      <c r="L1116" t="s">
        <v>23</v>
      </c>
      <c r="M1116" t="s">
        <v>54</v>
      </c>
      <c r="N1116">
        <v>2.21</v>
      </c>
      <c r="O1116">
        <v>1022</v>
      </c>
      <c r="P1116">
        <v>0.63</v>
      </c>
      <c r="Q1116">
        <v>371</v>
      </c>
      <c r="R1116">
        <v>568</v>
      </c>
    </row>
    <row r="1117" spans="1:18" hidden="1" x14ac:dyDescent="0.2">
      <c r="A1117">
        <v>0</v>
      </c>
      <c r="B1117" t="s">
        <v>34</v>
      </c>
      <c r="E1117" t="s">
        <v>19</v>
      </c>
      <c r="F1117">
        <v>2139485</v>
      </c>
      <c r="G1117">
        <v>2</v>
      </c>
      <c r="H1117">
        <v>1</v>
      </c>
      <c r="I1117">
        <v>459</v>
      </c>
      <c r="J1117">
        <v>1950</v>
      </c>
      <c r="K1117" s="4">
        <v>44195</v>
      </c>
      <c r="L1117" t="s">
        <v>30</v>
      </c>
      <c r="M1117" t="s">
        <v>59</v>
      </c>
      <c r="N1117">
        <v>2.79</v>
      </c>
      <c r="O1117">
        <v>916</v>
      </c>
      <c r="P1117">
        <v>1.68</v>
      </c>
      <c r="Q1117">
        <v>50</v>
      </c>
      <c r="R1117">
        <v>373</v>
      </c>
    </row>
    <row r="1118" spans="1:18" hidden="1" x14ac:dyDescent="0.2">
      <c r="A1118">
        <v>5</v>
      </c>
      <c r="B1118" t="s">
        <v>102</v>
      </c>
      <c r="E1118" t="s">
        <v>19</v>
      </c>
      <c r="F1118">
        <v>2731087</v>
      </c>
      <c r="G1118">
        <v>5</v>
      </c>
      <c r="H1118">
        <v>1</v>
      </c>
      <c r="I1118">
        <v>365</v>
      </c>
      <c r="J1118">
        <v>1995</v>
      </c>
      <c r="K1118" s="4">
        <v>45360</v>
      </c>
      <c r="L1118" t="s">
        <v>23</v>
      </c>
      <c r="M1118" t="s">
        <v>52</v>
      </c>
      <c r="N1118">
        <v>3.19</v>
      </c>
      <c r="O1118">
        <v>839</v>
      </c>
      <c r="P1118">
        <v>2.33</v>
      </c>
      <c r="Q1118">
        <v>241</v>
      </c>
      <c r="R1118">
        <v>327</v>
      </c>
    </row>
    <row r="1119" spans="1:18" hidden="1" x14ac:dyDescent="0.2">
      <c r="A1119">
        <v>5</v>
      </c>
      <c r="B1119" t="s">
        <v>32</v>
      </c>
      <c r="E1119" t="s">
        <v>29</v>
      </c>
      <c r="F1119">
        <v>2185238</v>
      </c>
      <c r="G1119">
        <v>2</v>
      </c>
      <c r="H1119">
        <v>2</v>
      </c>
      <c r="I1119">
        <v>707</v>
      </c>
      <c r="J1119">
        <v>1981</v>
      </c>
      <c r="K1119" s="4">
        <v>44407</v>
      </c>
      <c r="L1119" t="s">
        <v>30</v>
      </c>
      <c r="M1119" t="s">
        <v>68</v>
      </c>
      <c r="N1119">
        <v>2.1800000000000002</v>
      </c>
      <c r="O1119">
        <v>1707</v>
      </c>
      <c r="P1119">
        <v>0.66</v>
      </c>
      <c r="Q1119">
        <v>217</v>
      </c>
      <c r="R1119">
        <v>311</v>
      </c>
    </row>
    <row r="1120" spans="1:18" hidden="1" x14ac:dyDescent="0.2">
      <c r="A1120">
        <v>4</v>
      </c>
      <c r="B1120" t="s">
        <v>90</v>
      </c>
      <c r="E1120" t="s">
        <v>36</v>
      </c>
      <c r="F1120">
        <v>1476368</v>
      </c>
      <c r="G1120">
        <v>5</v>
      </c>
      <c r="H1120">
        <v>2</v>
      </c>
      <c r="I1120">
        <v>526</v>
      </c>
      <c r="J1120">
        <v>2011</v>
      </c>
      <c r="K1120" s="4">
        <v>45849</v>
      </c>
      <c r="L1120" t="s">
        <v>26</v>
      </c>
      <c r="M1120" t="s">
        <v>77</v>
      </c>
      <c r="N1120">
        <v>3.32</v>
      </c>
      <c r="O1120">
        <v>2093</v>
      </c>
      <c r="P1120">
        <v>1.58</v>
      </c>
      <c r="Q1120">
        <v>360</v>
      </c>
      <c r="R1120">
        <v>405</v>
      </c>
    </row>
    <row r="1121" spans="1:18" hidden="1" x14ac:dyDescent="0.2">
      <c r="A1121">
        <v>6</v>
      </c>
      <c r="B1121" t="s">
        <v>38</v>
      </c>
      <c r="E1121" t="s">
        <v>51</v>
      </c>
      <c r="F1121">
        <v>551452</v>
      </c>
      <c r="G1121">
        <v>2</v>
      </c>
      <c r="H1121">
        <v>2</v>
      </c>
      <c r="I1121">
        <v>836</v>
      </c>
      <c r="J1121">
        <v>1984</v>
      </c>
      <c r="K1121" s="4">
        <v>45057</v>
      </c>
      <c r="L1121" t="s">
        <v>23</v>
      </c>
      <c r="M1121" t="s">
        <v>60</v>
      </c>
      <c r="N1121">
        <v>2.56</v>
      </c>
      <c r="O1121">
        <v>1617</v>
      </c>
      <c r="P1121">
        <v>1.57</v>
      </c>
      <c r="Q1121">
        <v>117</v>
      </c>
      <c r="R1121">
        <v>450</v>
      </c>
    </row>
    <row r="1122" spans="1:18" x14ac:dyDescent="0.2">
      <c r="A1122">
        <v>8</v>
      </c>
      <c r="B1122" t="s">
        <v>88</v>
      </c>
      <c r="E1122" t="s">
        <v>29</v>
      </c>
      <c r="F1122">
        <v>1659623</v>
      </c>
      <c r="G1122">
        <v>2</v>
      </c>
      <c r="H1122">
        <v>3</v>
      </c>
      <c r="I1122">
        <v>595</v>
      </c>
      <c r="J1122">
        <v>2003</v>
      </c>
      <c r="K1122" s="4">
        <v>45734</v>
      </c>
      <c r="L1122" t="s">
        <v>23</v>
      </c>
      <c r="M1122" t="s">
        <v>60</v>
      </c>
      <c r="N1122">
        <v>3</v>
      </c>
      <c r="O1122">
        <v>1013</v>
      </c>
      <c r="P1122">
        <v>2.44</v>
      </c>
      <c r="Q1122">
        <v>111</v>
      </c>
      <c r="R1122">
        <v>469</v>
      </c>
    </row>
    <row r="1123" spans="1:18" hidden="1" x14ac:dyDescent="0.2">
      <c r="A1123">
        <v>1</v>
      </c>
      <c r="B1123" t="s">
        <v>86</v>
      </c>
      <c r="E1123" t="s">
        <v>29</v>
      </c>
      <c r="F1123">
        <v>890672</v>
      </c>
      <c r="G1123">
        <v>4</v>
      </c>
      <c r="H1123">
        <v>2</v>
      </c>
      <c r="I1123">
        <v>872</v>
      </c>
      <c r="J1123">
        <v>1997</v>
      </c>
      <c r="K1123" s="4">
        <v>44583</v>
      </c>
      <c r="L1123" t="s">
        <v>20</v>
      </c>
      <c r="M1123" t="s">
        <v>74</v>
      </c>
      <c r="N1123">
        <v>1.83</v>
      </c>
      <c r="O1123">
        <v>1006</v>
      </c>
      <c r="P1123">
        <v>2.85</v>
      </c>
      <c r="Q1123">
        <v>325</v>
      </c>
      <c r="R1123">
        <v>547</v>
      </c>
    </row>
    <row r="1124" spans="1:18" hidden="1" x14ac:dyDescent="0.2">
      <c r="A1124">
        <v>1</v>
      </c>
      <c r="B1124" t="s">
        <v>43</v>
      </c>
      <c r="E1124" t="s">
        <v>51</v>
      </c>
      <c r="F1124">
        <v>1117953</v>
      </c>
      <c r="G1124">
        <v>3</v>
      </c>
      <c r="H1124">
        <v>2</v>
      </c>
      <c r="I1124">
        <v>107</v>
      </c>
      <c r="J1124">
        <v>1959</v>
      </c>
      <c r="K1124" s="4">
        <v>44575</v>
      </c>
      <c r="L1124" t="s">
        <v>23</v>
      </c>
      <c r="M1124" t="s">
        <v>66</v>
      </c>
      <c r="N1124">
        <v>1.71</v>
      </c>
      <c r="O1124">
        <v>2377</v>
      </c>
      <c r="P1124">
        <v>1.77</v>
      </c>
      <c r="Q1124">
        <v>300</v>
      </c>
      <c r="R1124">
        <v>313</v>
      </c>
    </row>
    <row r="1125" spans="1:18" hidden="1" x14ac:dyDescent="0.2">
      <c r="A1125">
        <v>5</v>
      </c>
      <c r="B1125" t="s">
        <v>46</v>
      </c>
      <c r="E1125" t="s">
        <v>29</v>
      </c>
      <c r="F1125">
        <v>2439588</v>
      </c>
      <c r="G1125">
        <v>5</v>
      </c>
      <c r="H1125">
        <v>3</v>
      </c>
      <c r="I1125">
        <v>147</v>
      </c>
      <c r="J1125">
        <v>1996</v>
      </c>
      <c r="K1125" s="4">
        <v>45717</v>
      </c>
      <c r="L1125" t="s">
        <v>30</v>
      </c>
      <c r="M1125" t="s">
        <v>45</v>
      </c>
      <c r="N1125">
        <v>2.14</v>
      </c>
      <c r="O1125">
        <v>1690</v>
      </c>
      <c r="P1125">
        <v>0.68</v>
      </c>
      <c r="Q1125">
        <v>335</v>
      </c>
      <c r="R1125">
        <v>419</v>
      </c>
    </row>
    <row r="1126" spans="1:18" hidden="1" x14ac:dyDescent="0.2">
      <c r="A1126">
        <v>0</v>
      </c>
      <c r="B1126" t="s">
        <v>75</v>
      </c>
      <c r="E1126" t="s">
        <v>29</v>
      </c>
      <c r="F1126">
        <v>2000661</v>
      </c>
      <c r="G1126">
        <v>5</v>
      </c>
      <c r="H1126">
        <v>2</v>
      </c>
      <c r="I1126">
        <v>716</v>
      </c>
      <c r="J1126">
        <v>1959</v>
      </c>
      <c r="K1126" s="4">
        <v>44520</v>
      </c>
      <c r="L1126" t="s">
        <v>30</v>
      </c>
      <c r="M1126" t="s">
        <v>27</v>
      </c>
      <c r="N1126">
        <v>1.54</v>
      </c>
      <c r="O1126">
        <v>1039</v>
      </c>
      <c r="P1126">
        <v>3.54</v>
      </c>
      <c r="Q1126">
        <v>286</v>
      </c>
      <c r="R1126">
        <v>492</v>
      </c>
    </row>
    <row r="1127" spans="1:18" hidden="1" x14ac:dyDescent="0.2">
      <c r="A1127">
        <v>1</v>
      </c>
      <c r="B1127" t="s">
        <v>55</v>
      </c>
      <c r="E1127" t="s">
        <v>29</v>
      </c>
      <c r="F1127">
        <v>2532949</v>
      </c>
      <c r="G1127">
        <v>4</v>
      </c>
      <c r="H1127">
        <v>2</v>
      </c>
      <c r="I1127">
        <v>413</v>
      </c>
      <c r="J1127">
        <v>1979</v>
      </c>
      <c r="K1127" s="4">
        <v>45799</v>
      </c>
      <c r="L1127" t="s">
        <v>30</v>
      </c>
      <c r="M1127" t="s">
        <v>45</v>
      </c>
      <c r="N1127">
        <v>2.04</v>
      </c>
      <c r="O1127">
        <v>2178</v>
      </c>
      <c r="P1127">
        <v>1.83</v>
      </c>
      <c r="Q1127">
        <v>305</v>
      </c>
      <c r="R1127">
        <v>481</v>
      </c>
    </row>
    <row r="1128" spans="1:18" hidden="1" x14ac:dyDescent="0.2">
      <c r="A1128">
        <v>1</v>
      </c>
      <c r="B1128" t="s">
        <v>57</v>
      </c>
      <c r="E1128" t="s">
        <v>51</v>
      </c>
      <c r="F1128">
        <v>1456586</v>
      </c>
      <c r="G1128">
        <v>4</v>
      </c>
      <c r="H1128">
        <v>1</v>
      </c>
      <c r="I1128">
        <v>978</v>
      </c>
      <c r="J1128">
        <v>1982</v>
      </c>
      <c r="K1128" s="4">
        <v>45754</v>
      </c>
      <c r="L1128" t="s">
        <v>20</v>
      </c>
      <c r="M1128" t="s">
        <v>69</v>
      </c>
      <c r="N1128">
        <v>2.52</v>
      </c>
      <c r="O1128">
        <v>1185</v>
      </c>
      <c r="P1128">
        <v>1.4</v>
      </c>
      <c r="Q1128">
        <v>208</v>
      </c>
      <c r="R1128">
        <v>521</v>
      </c>
    </row>
    <row r="1129" spans="1:18" hidden="1" x14ac:dyDescent="0.2">
      <c r="A1129">
        <v>3</v>
      </c>
      <c r="B1129" t="s">
        <v>86</v>
      </c>
      <c r="E1129" t="s">
        <v>19</v>
      </c>
      <c r="F1129">
        <v>1431029</v>
      </c>
      <c r="G1129">
        <v>3</v>
      </c>
      <c r="H1129">
        <v>3</v>
      </c>
      <c r="I1129">
        <v>152</v>
      </c>
      <c r="J1129">
        <v>1987</v>
      </c>
      <c r="K1129" s="4">
        <v>44972</v>
      </c>
      <c r="L1129" t="s">
        <v>26</v>
      </c>
      <c r="M1129" t="s">
        <v>97</v>
      </c>
      <c r="N1129">
        <v>1.91</v>
      </c>
      <c r="O1129">
        <v>1531</v>
      </c>
      <c r="P1129">
        <v>1.68</v>
      </c>
      <c r="Q1129">
        <v>298</v>
      </c>
      <c r="R1129">
        <v>304</v>
      </c>
    </row>
    <row r="1130" spans="1:18" hidden="1" x14ac:dyDescent="0.2">
      <c r="A1130">
        <v>4</v>
      </c>
      <c r="B1130" t="s">
        <v>71</v>
      </c>
      <c r="E1130" t="s">
        <v>29</v>
      </c>
      <c r="F1130">
        <v>1633813</v>
      </c>
      <c r="G1130">
        <v>3</v>
      </c>
      <c r="H1130">
        <v>1</v>
      </c>
      <c r="I1130">
        <v>102</v>
      </c>
      <c r="J1130">
        <v>2016</v>
      </c>
      <c r="K1130" s="4">
        <v>44546</v>
      </c>
      <c r="L1130" t="s">
        <v>30</v>
      </c>
      <c r="M1130" t="s">
        <v>35</v>
      </c>
      <c r="N1130">
        <v>2.87</v>
      </c>
      <c r="O1130">
        <v>1938</v>
      </c>
      <c r="P1130">
        <v>4.41</v>
      </c>
      <c r="Q1130">
        <v>253</v>
      </c>
      <c r="R1130">
        <v>650</v>
      </c>
    </row>
    <row r="1131" spans="1:18" hidden="1" x14ac:dyDescent="0.2">
      <c r="A1131">
        <v>2</v>
      </c>
      <c r="B1131" t="s">
        <v>83</v>
      </c>
      <c r="E1131" t="s">
        <v>36</v>
      </c>
      <c r="F1131">
        <v>2919704</v>
      </c>
      <c r="G1131">
        <v>3</v>
      </c>
      <c r="H1131">
        <v>2</v>
      </c>
      <c r="I1131">
        <v>759</v>
      </c>
      <c r="J1131">
        <v>1990</v>
      </c>
      <c r="K1131" s="4">
        <v>45627</v>
      </c>
      <c r="L1131" t="s">
        <v>23</v>
      </c>
      <c r="M1131" t="s">
        <v>58</v>
      </c>
      <c r="N1131">
        <v>3.39</v>
      </c>
      <c r="O1131">
        <v>2053</v>
      </c>
      <c r="P1131">
        <v>3.14</v>
      </c>
      <c r="Q1131">
        <v>194</v>
      </c>
      <c r="R1131">
        <v>544</v>
      </c>
    </row>
    <row r="1132" spans="1:18" hidden="1" x14ac:dyDescent="0.2">
      <c r="A1132">
        <v>9</v>
      </c>
      <c r="B1132" t="s">
        <v>53</v>
      </c>
      <c r="E1132" t="s">
        <v>36</v>
      </c>
      <c r="F1132">
        <v>1532789</v>
      </c>
      <c r="G1132">
        <v>1</v>
      </c>
      <c r="H1132">
        <v>3</v>
      </c>
      <c r="I1132">
        <v>895</v>
      </c>
      <c r="J1132">
        <v>1972</v>
      </c>
      <c r="K1132" s="4">
        <v>45202</v>
      </c>
      <c r="L1132" t="s">
        <v>30</v>
      </c>
      <c r="M1132" t="s">
        <v>78</v>
      </c>
      <c r="N1132">
        <v>1.56</v>
      </c>
      <c r="O1132">
        <v>2380</v>
      </c>
      <c r="P1132">
        <v>4.38</v>
      </c>
      <c r="Q1132">
        <v>52</v>
      </c>
      <c r="R1132">
        <v>433</v>
      </c>
    </row>
    <row r="1133" spans="1:18" hidden="1" x14ac:dyDescent="0.2">
      <c r="A1133">
        <v>6</v>
      </c>
      <c r="B1133" t="s">
        <v>22</v>
      </c>
      <c r="E1133" t="s">
        <v>51</v>
      </c>
      <c r="F1133">
        <v>2375996</v>
      </c>
      <c r="G1133">
        <v>6</v>
      </c>
      <c r="H1133">
        <v>3</v>
      </c>
      <c r="I1133">
        <v>563</v>
      </c>
      <c r="J1133">
        <v>1973</v>
      </c>
      <c r="K1133" s="4">
        <v>45564</v>
      </c>
      <c r="L1133" t="s">
        <v>23</v>
      </c>
      <c r="M1133" t="s">
        <v>59</v>
      </c>
      <c r="N1133">
        <v>1.91</v>
      </c>
      <c r="O1133">
        <v>874</v>
      </c>
      <c r="P1133">
        <v>2.65</v>
      </c>
      <c r="Q1133">
        <v>383</v>
      </c>
      <c r="R1133">
        <v>440</v>
      </c>
    </row>
    <row r="1134" spans="1:18" hidden="1" x14ac:dyDescent="0.2">
      <c r="A1134">
        <v>3</v>
      </c>
      <c r="B1134" t="s">
        <v>28</v>
      </c>
      <c r="E1134" t="s">
        <v>51</v>
      </c>
      <c r="F1134">
        <v>2498300</v>
      </c>
      <c r="G1134">
        <v>4</v>
      </c>
      <c r="H1134">
        <v>1</v>
      </c>
      <c r="I1134">
        <v>310</v>
      </c>
      <c r="J1134">
        <v>1990</v>
      </c>
      <c r="K1134" s="4">
        <v>44381</v>
      </c>
      <c r="L1134" t="s">
        <v>26</v>
      </c>
      <c r="M1134" t="s">
        <v>47</v>
      </c>
      <c r="N1134">
        <v>2.94</v>
      </c>
      <c r="O1134">
        <v>2184</v>
      </c>
      <c r="P1134">
        <v>1.18</v>
      </c>
      <c r="Q1134">
        <v>216</v>
      </c>
      <c r="R1134">
        <v>581</v>
      </c>
    </row>
    <row r="1135" spans="1:18" hidden="1" x14ac:dyDescent="0.2">
      <c r="A1135">
        <v>6</v>
      </c>
      <c r="B1135" t="s">
        <v>48</v>
      </c>
      <c r="E1135" t="s">
        <v>29</v>
      </c>
      <c r="F1135">
        <v>561775</v>
      </c>
      <c r="G1135">
        <v>3</v>
      </c>
      <c r="H1135">
        <v>3</v>
      </c>
      <c r="I1135">
        <v>732</v>
      </c>
      <c r="J1135">
        <v>1968</v>
      </c>
      <c r="K1135" s="4">
        <v>45727</v>
      </c>
      <c r="L1135" t="s">
        <v>30</v>
      </c>
      <c r="M1135" t="s">
        <v>31</v>
      </c>
      <c r="N1135">
        <v>2.93</v>
      </c>
      <c r="O1135">
        <v>2126</v>
      </c>
      <c r="P1135">
        <v>1.0900000000000001</v>
      </c>
      <c r="Q1135">
        <v>244</v>
      </c>
      <c r="R1135">
        <v>587</v>
      </c>
    </row>
    <row r="1136" spans="1:18" hidden="1" x14ac:dyDescent="0.2">
      <c r="A1136">
        <v>4</v>
      </c>
      <c r="B1136" t="s">
        <v>61</v>
      </c>
      <c r="E1136" t="s">
        <v>19</v>
      </c>
      <c r="F1136">
        <v>659267</v>
      </c>
      <c r="G1136">
        <v>4</v>
      </c>
      <c r="H1136">
        <v>3</v>
      </c>
      <c r="I1136">
        <v>403</v>
      </c>
      <c r="J1136">
        <v>1969</v>
      </c>
      <c r="K1136" s="4">
        <v>45555</v>
      </c>
      <c r="L1136" t="s">
        <v>30</v>
      </c>
      <c r="M1136" t="s">
        <v>47</v>
      </c>
      <c r="N1136">
        <v>3.07</v>
      </c>
      <c r="O1136">
        <v>992</v>
      </c>
      <c r="P1136">
        <v>0.99</v>
      </c>
      <c r="Q1136">
        <v>187</v>
      </c>
      <c r="R1136">
        <v>404</v>
      </c>
    </row>
    <row r="1137" spans="1:18" hidden="1" x14ac:dyDescent="0.2">
      <c r="A1137">
        <v>3</v>
      </c>
      <c r="B1137" t="s">
        <v>95</v>
      </c>
      <c r="E1137" t="s">
        <v>29</v>
      </c>
      <c r="F1137">
        <v>790392</v>
      </c>
      <c r="G1137">
        <v>3</v>
      </c>
      <c r="H1137">
        <v>1</v>
      </c>
      <c r="I1137">
        <v>321</v>
      </c>
      <c r="J1137">
        <v>1999</v>
      </c>
      <c r="K1137" s="4">
        <v>44668</v>
      </c>
      <c r="L1137" t="s">
        <v>20</v>
      </c>
      <c r="M1137" t="s">
        <v>74</v>
      </c>
      <c r="N1137">
        <v>1.59</v>
      </c>
      <c r="O1137">
        <v>1325</v>
      </c>
      <c r="P1137">
        <v>2.2000000000000002</v>
      </c>
      <c r="Q1137">
        <v>246</v>
      </c>
      <c r="R1137">
        <v>387</v>
      </c>
    </row>
    <row r="1138" spans="1:18" hidden="1" x14ac:dyDescent="0.2">
      <c r="A1138">
        <v>7</v>
      </c>
      <c r="B1138" t="s">
        <v>81</v>
      </c>
      <c r="E1138" t="s">
        <v>29</v>
      </c>
      <c r="F1138">
        <v>596586</v>
      </c>
      <c r="G1138">
        <v>5</v>
      </c>
      <c r="H1138">
        <v>1</v>
      </c>
      <c r="I1138">
        <v>0</v>
      </c>
      <c r="J1138">
        <v>1954</v>
      </c>
      <c r="K1138" s="4">
        <v>44106</v>
      </c>
      <c r="L1138" t="s">
        <v>23</v>
      </c>
      <c r="M1138" t="s">
        <v>52</v>
      </c>
      <c r="N1138">
        <v>2.6</v>
      </c>
      <c r="O1138">
        <v>1943</v>
      </c>
      <c r="P1138">
        <v>2.94</v>
      </c>
      <c r="Q1138">
        <v>112</v>
      </c>
      <c r="R1138">
        <v>407</v>
      </c>
    </row>
    <row r="1139" spans="1:18" hidden="1" x14ac:dyDescent="0.2">
      <c r="A1139">
        <v>6</v>
      </c>
      <c r="B1139" t="s">
        <v>48</v>
      </c>
      <c r="E1139" t="s">
        <v>19</v>
      </c>
      <c r="F1139">
        <v>2087108</v>
      </c>
      <c r="G1139">
        <v>3</v>
      </c>
      <c r="H1139">
        <v>2</v>
      </c>
      <c r="I1139">
        <v>533</v>
      </c>
      <c r="J1139">
        <v>1967</v>
      </c>
      <c r="K1139" s="4">
        <v>44359</v>
      </c>
      <c r="L1139" t="s">
        <v>26</v>
      </c>
      <c r="M1139" t="s">
        <v>45</v>
      </c>
      <c r="N1139">
        <v>2.36</v>
      </c>
      <c r="O1139">
        <v>2322</v>
      </c>
      <c r="P1139">
        <v>0.25</v>
      </c>
      <c r="Q1139">
        <v>208</v>
      </c>
      <c r="R1139">
        <v>551</v>
      </c>
    </row>
    <row r="1140" spans="1:18" hidden="1" x14ac:dyDescent="0.2">
      <c r="A1140">
        <v>3</v>
      </c>
      <c r="B1140" t="s">
        <v>53</v>
      </c>
      <c r="E1140" t="s">
        <v>29</v>
      </c>
      <c r="F1140">
        <v>2037537</v>
      </c>
      <c r="G1140">
        <v>5</v>
      </c>
      <c r="H1140">
        <v>3</v>
      </c>
      <c r="I1140">
        <v>474</v>
      </c>
      <c r="J1140">
        <v>1983</v>
      </c>
      <c r="K1140" s="4">
        <v>45763</v>
      </c>
      <c r="L1140" t="s">
        <v>20</v>
      </c>
      <c r="M1140" t="s">
        <v>78</v>
      </c>
      <c r="N1140">
        <v>3.16</v>
      </c>
      <c r="O1140">
        <v>2041</v>
      </c>
      <c r="P1140">
        <v>2.68</v>
      </c>
      <c r="Q1140">
        <v>392</v>
      </c>
      <c r="R1140">
        <v>620</v>
      </c>
    </row>
    <row r="1141" spans="1:18" hidden="1" x14ac:dyDescent="0.2">
      <c r="A1141">
        <v>4</v>
      </c>
      <c r="B1141" t="s">
        <v>34</v>
      </c>
      <c r="E1141" t="s">
        <v>36</v>
      </c>
      <c r="F1141">
        <v>1888561</v>
      </c>
      <c r="G1141">
        <v>4</v>
      </c>
      <c r="H1141">
        <v>3</v>
      </c>
      <c r="I1141">
        <v>211</v>
      </c>
      <c r="J1141">
        <v>1986</v>
      </c>
      <c r="K1141" s="4">
        <v>44856</v>
      </c>
      <c r="L1141" t="s">
        <v>30</v>
      </c>
      <c r="M1141" t="s">
        <v>74</v>
      </c>
      <c r="N1141">
        <v>2.11</v>
      </c>
      <c r="O1141">
        <v>1400</v>
      </c>
      <c r="P1141">
        <v>3.8</v>
      </c>
      <c r="Q1141">
        <v>373</v>
      </c>
      <c r="R1141">
        <v>302</v>
      </c>
    </row>
    <row r="1142" spans="1:18" hidden="1" x14ac:dyDescent="0.2">
      <c r="A1142">
        <v>1</v>
      </c>
      <c r="B1142" t="s">
        <v>80</v>
      </c>
      <c r="E1142" t="s">
        <v>19</v>
      </c>
      <c r="F1142">
        <v>1468596</v>
      </c>
      <c r="G1142">
        <v>3</v>
      </c>
      <c r="H1142">
        <v>2</v>
      </c>
      <c r="I1142">
        <v>900</v>
      </c>
      <c r="J1142">
        <v>1975</v>
      </c>
      <c r="K1142" s="4">
        <v>44606</v>
      </c>
      <c r="L1142" t="s">
        <v>20</v>
      </c>
      <c r="M1142" t="s">
        <v>70</v>
      </c>
      <c r="N1142">
        <v>2.68</v>
      </c>
      <c r="O1142">
        <v>1025</v>
      </c>
      <c r="P1142">
        <v>2.21</v>
      </c>
      <c r="Q1142">
        <v>311</v>
      </c>
      <c r="R1142">
        <v>316</v>
      </c>
    </row>
    <row r="1143" spans="1:18" hidden="1" x14ac:dyDescent="0.2">
      <c r="A1143">
        <v>0</v>
      </c>
      <c r="B1143" t="s">
        <v>43</v>
      </c>
      <c r="E1143" t="s">
        <v>36</v>
      </c>
      <c r="F1143">
        <v>2793491</v>
      </c>
      <c r="G1143">
        <v>5</v>
      </c>
      <c r="H1143">
        <v>1</v>
      </c>
      <c r="I1143">
        <v>785</v>
      </c>
      <c r="J1143">
        <v>1957</v>
      </c>
      <c r="K1143" s="4">
        <v>44314</v>
      </c>
      <c r="L1143" t="s">
        <v>26</v>
      </c>
      <c r="M1143" t="s">
        <v>63</v>
      </c>
      <c r="N1143">
        <v>2.2200000000000002</v>
      </c>
      <c r="O1143">
        <v>2085</v>
      </c>
      <c r="P1143">
        <v>4.21</v>
      </c>
      <c r="Q1143">
        <v>324</v>
      </c>
      <c r="R1143">
        <v>364</v>
      </c>
    </row>
    <row r="1144" spans="1:18" hidden="1" x14ac:dyDescent="0.2">
      <c r="A1144">
        <v>2</v>
      </c>
      <c r="B1144" t="s">
        <v>32</v>
      </c>
      <c r="E1144" t="s">
        <v>19</v>
      </c>
      <c r="F1144">
        <v>709833</v>
      </c>
      <c r="G1144">
        <v>2</v>
      </c>
      <c r="H1144">
        <v>1</v>
      </c>
      <c r="I1144">
        <v>60</v>
      </c>
      <c r="J1144">
        <v>1976</v>
      </c>
      <c r="K1144" s="4">
        <v>44370</v>
      </c>
      <c r="L1144" t="s">
        <v>30</v>
      </c>
      <c r="M1144" t="s">
        <v>63</v>
      </c>
      <c r="N1144">
        <v>1.8</v>
      </c>
      <c r="O1144">
        <v>2069</v>
      </c>
      <c r="P1144">
        <v>1.45</v>
      </c>
      <c r="Q1144">
        <v>121</v>
      </c>
      <c r="R1144">
        <v>688</v>
      </c>
    </row>
    <row r="1145" spans="1:18" hidden="1" x14ac:dyDescent="0.2">
      <c r="A1145">
        <v>7</v>
      </c>
      <c r="B1145" t="s">
        <v>44</v>
      </c>
      <c r="E1145" t="s">
        <v>29</v>
      </c>
      <c r="F1145">
        <v>2144362</v>
      </c>
      <c r="G1145">
        <v>4</v>
      </c>
      <c r="H1145">
        <v>2</v>
      </c>
      <c r="I1145">
        <v>997</v>
      </c>
      <c r="J1145">
        <v>1959</v>
      </c>
      <c r="K1145" s="4">
        <v>44895</v>
      </c>
      <c r="L1145" t="s">
        <v>30</v>
      </c>
      <c r="M1145" t="s">
        <v>89</v>
      </c>
      <c r="N1145">
        <v>2.92</v>
      </c>
      <c r="O1145">
        <v>1944</v>
      </c>
      <c r="P1145">
        <v>0.98</v>
      </c>
      <c r="Q1145">
        <v>193</v>
      </c>
      <c r="R1145">
        <v>675</v>
      </c>
    </row>
    <row r="1146" spans="1:18" hidden="1" x14ac:dyDescent="0.2">
      <c r="A1146">
        <v>6</v>
      </c>
      <c r="B1146" t="s">
        <v>80</v>
      </c>
      <c r="E1146" t="s">
        <v>36</v>
      </c>
      <c r="F1146">
        <v>2570508</v>
      </c>
      <c r="G1146">
        <v>1</v>
      </c>
      <c r="H1146">
        <v>3</v>
      </c>
      <c r="I1146">
        <v>677</v>
      </c>
      <c r="J1146">
        <v>1990</v>
      </c>
      <c r="K1146" s="4">
        <v>44412</v>
      </c>
      <c r="L1146" t="s">
        <v>26</v>
      </c>
      <c r="M1146" t="s">
        <v>42</v>
      </c>
      <c r="N1146">
        <v>1.65</v>
      </c>
      <c r="O1146">
        <v>2250</v>
      </c>
      <c r="P1146">
        <v>4.6399999999999997</v>
      </c>
      <c r="Q1146">
        <v>134</v>
      </c>
      <c r="R1146">
        <v>449</v>
      </c>
    </row>
    <row r="1147" spans="1:18" hidden="1" x14ac:dyDescent="0.2">
      <c r="A1147">
        <v>3</v>
      </c>
      <c r="B1147" t="s">
        <v>81</v>
      </c>
      <c r="E1147" t="s">
        <v>51</v>
      </c>
      <c r="F1147">
        <v>2853104</v>
      </c>
      <c r="G1147">
        <v>5</v>
      </c>
      <c r="H1147">
        <v>2</v>
      </c>
      <c r="I1147">
        <v>278</v>
      </c>
      <c r="J1147">
        <v>2006</v>
      </c>
      <c r="K1147" s="4">
        <v>44974</v>
      </c>
      <c r="L1147" t="s">
        <v>20</v>
      </c>
      <c r="M1147" t="s">
        <v>27</v>
      </c>
      <c r="N1147">
        <v>2.56</v>
      </c>
      <c r="O1147">
        <v>2161</v>
      </c>
      <c r="P1147">
        <v>2.87</v>
      </c>
      <c r="Q1147">
        <v>316</v>
      </c>
      <c r="R1147">
        <v>617</v>
      </c>
    </row>
    <row r="1148" spans="1:18" hidden="1" x14ac:dyDescent="0.2">
      <c r="A1148">
        <v>9</v>
      </c>
      <c r="B1148" t="s">
        <v>79</v>
      </c>
      <c r="E1148" t="s">
        <v>36</v>
      </c>
      <c r="F1148">
        <v>2483037</v>
      </c>
      <c r="G1148">
        <v>2</v>
      </c>
      <c r="H1148">
        <v>2</v>
      </c>
      <c r="I1148">
        <v>954</v>
      </c>
      <c r="J1148">
        <v>2012</v>
      </c>
      <c r="K1148" s="4">
        <v>44634</v>
      </c>
      <c r="L1148" t="s">
        <v>30</v>
      </c>
      <c r="M1148" t="s">
        <v>59</v>
      </c>
      <c r="N1148">
        <v>2.29</v>
      </c>
      <c r="O1148">
        <v>1362</v>
      </c>
      <c r="P1148">
        <v>4.93</v>
      </c>
      <c r="Q1148">
        <v>40</v>
      </c>
      <c r="R1148">
        <v>652</v>
      </c>
    </row>
    <row r="1149" spans="1:18" hidden="1" x14ac:dyDescent="0.2">
      <c r="A1149">
        <v>5</v>
      </c>
      <c r="B1149" t="s">
        <v>46</v>
      </c>
      <c r="E1149" t="s">
        <v>51</v>
      </c>
      <c r="F1149">
        <v>1117383</v>
      </c>
      <c r="G1149">
        <v>2</v>
      </c>
      <c r="H1149">
        <v>2</v>
      </c>
      <c r="I1149">
        <v>997</v>
      </c>
      <c r="J1149">
        <v>1952</v>
      </c>
      <c r="K1149" s="4">
        <v>45027</v>
      </c>
      <c r="L1149" t="s">
        <v>23</v>
      </c>
      <c r="M1149" t="s">
        <v>42</v>
      </c>
      <c r="N1149">
        <v>2</v>
      </c>
      <c r="O1149">
        <v>880</v>
      </c>
      <c r="P1149">
        <v>2.66</v>
      </c>
      <c r="Q1149">
        <v>178</v>
      </c>
      <c r="R1149">
        <v>333</v>
      </c>
    </row>
    <row r="1150" spans="1:18" hidden="1" x14ac:dyDescent="0.2">
      <c r="A1150">
        <v>5</v>
      </c>
      <c r="B1150" t="s">
        <v>34</v>
      </c>
      <c r="E1150" t="s">
        <v>36</v>
      </c>
      <c r="F1150">
        <v>976452</v>
      </c>
      <c r="G1150">
        <v>2</v>
      </c>
      <c r="H1150">
        <v>1</v>
      </c>
      <c r="I1150">
        <v>638</v>
      </c>
      <c r="J1150">
        <v>1983</v>
      </c>
      <c r="K1150" s="4">
        <v>45624</v>
      </c>
      <c r="L1150" t="s">
        <v>30</v>
      </c>
      <c r="M1150" t="s">
        <v>35</v>
      </c>
      <c r="N1150">
        <v>2.2799999999999998</v>
      </c>
      <c r="O1150">
        <v>1031</v>
      </c>
      <c r="P1150">
        <v>3.39</v>
      </c>
      <c r="Q1150">
        <v>239</v>
      </c>
      <c r="R1150">
        <v>574</v>
      </c>
    </row>
    <row r="1151" spans="1:18" hidden="1" x14ac:dyDescent="0.2">
      <c r="A1151">
        <v>1</v>
      </c>
      <c r="B1151" t="s">
        <v>67</v>
      </c>
      <c r="E1151" t="s">
        <v>36</v>
      </c>
      <c r="F1151">
        <v>445625</v>
      </c>
      <c r="G1151">
        <v>6</v>
      </c>
      <c r="H1151">
        <v>3</v>
      </c>
      <c r="I1151">
        <v>695</v>
      </c>
      <c r="J1151">
        <v>2012</v>
      </c>
      <c r="K1151" s="4">
        <v>44190</v>
      </c>
      <c r="L1151" t="s">
        <v>30</v>
      </c>
      <c r="M1151" t="s">
        <v>59</v>
      </c>
      <c r="N1151">
        <v>1.7</v>
      </c>
      <c r="O1151">
        <v>1775</v>
      </c>
      <c r="P1151">
        <v>4.3600000000000003</v>
      </c>
      <c r="Q1151">
        <v>357</v>
      </c>
      <c r="R1151">
        <v>464</v>
      </c>
    </row>
    <row r="1152" spans="1:18" hidden="1" x14ac:dyDescent="0.2">
      <c r="A1152">
        <v>6</v>
      </c>
      <c r="B1152" t="s">
        <v>95</v>
      </c>
      <c r="E1152" t="s">
        <v>19</v>
      </c>
      <c r="F1152">
        <v>2773601</v>
      </c>
      <c r="G1152">
        <v>5</v>
      </c>
      <c r="H1152">
        <v>2</v>
      </c>
      <c r="I1152">
        <v>612</v>
      </c>
      <c r="J1152">
        <v>2004</v>
      </c>
      <c r="K1152" s="4">
        <v>44330</v>
      </c>
      <c r="L1152" t="s">
        <v>20</v>
      </c>
      <c r="M1152" t="s">
        <v>70</v>
      </c>
      <c r="N1152">
        <v>1.53</v>
      </c>
      <c r="O1152">
        <v>1466</v>
      </c>
      <c r="P1152">
        <v>1.52</v>
      </c>
      <c r="Q1152">
        <v>383</v>
      </c>
      <c r="R1152">
        <v>639</v>
      </c>
    </row>
    <row r="1153" spans="1:18" hidden="1" x14ac:dyDescent="0.2">
      <c r="A1153">
        <v>1</v>
      </c>
      <c r="B1153" t="s">
        <v>80</v>
      </c>
      <c r="E1153" t="s">
        <v>19</v>
      </c>
      <c r="F1153">
        <v>1680214</v>
      </c>
      <c r="G1153">
        <v>1</v>
      </c>
      <c r="H1153">
        <v>1</v>
      </c>
      <c r="I1153">
        <v>395</v>
      </c>
      <c r="J1153">
        <v>1983</v>
      </c>
      <c r="K1153" s="4">
        <v>44857</v>
      </c>
      <c r="L1153" t="s">
        <v>26</v>
      </c>
      <c r="M1153" t="s">
        <v>31</v>
      </c>
      <c r="N1153">
        <v>2.54</v>
      </c>
      <c r="O1153">
        <v>2113</v>
      </c>
      <c r="P1153">
        <v>2.5</v>
      </c>
      <c r="Q1153">
        <v>85</v>
      </c>
      <c r="R1153">
        <v>556</v>
      </c>
    </row>
    <row r="1154" spans="1:18" hidden="1" x14ac:dyDescent="0.2">
      <c r="A1154">
        <v>3</v>
      </c>
      <c r="B1154" t="s">
        <v>28</v>
      </c>
      <c r="E1154" t="s">
        <v>51</v>
      </c>
      <c r="F1154">
        <v>448283</v>
      </c>
      <c r="G1154">
        <v>2</v>
      </c>
      <c r="H1154">
        <v>3</v>
      </c>
      <c r="I1154">
        <v>730</v>
      </c>
      <c r="J1154">
        <v>1954</v>
      </c>
      <c r="K1154" s="4">
        <v>45505</v>
      </c>
      <c r="L1154" t="s">
        <v>30</v>
      </c>
      <c r="M1154" t="s">
        <v>27</v>
      </c>
      <c r="N1154">
        <v>1.63</v>
      </c>
      <c r="O1154">
        <v>1598</v>
      </c>
      <c r="P1154">
        <v>4.3099999999999996</v>
      </c>
      <c r="Q1154">
        <v>72</v>
      </c>
      <c r="R1154">
        <v>502</v>
      </c>
    </row>
    <row r="1155" spans="1:18" hidden="1" x14ac:dyDescent="0.2">
      <c r="A1155">
        <v>5</v>
      </c>
      <c r="B1155" t="s">
        <v>80</v>
      </c>
      <c r="E1155" t="s">
        <v>29</v>
      </c>
      <c r="F1155">
        <v>1938745</v>
      </c>
      <c r="G1155">
        <v>3</v>
      </c>
      <c r="H1155">
        <v>3</v>
      </c>
      <c r="I1155">
        <v>170</v>
      </c>
      <c r="J1155">
        <v>2003</v>
      </c>
      <c r="K1155" s="4">
        <v>44098</v>
      </c>
      <c r="L1155" t="s">
        <v>20</v>
      </c>
      <c r="M1155" t="s">
        <v>47</v>
      </c>
      <c r="N1155">
        <v>2.09</v>
      </c>
      <c r="O1155">
        <v>1876</v>
      </c>
      <c r="P1155">
        <v>0.27</v>
      </c>
      <c r="Q1155">
        <v>158</v>
      </c>
      <c r="R1155">
        <v>466</v>
      </c>
    </row>
    <row r="1156" spans="1:18" hidden="1" x14ac:dyDescent="0.2">
      <c r="A1156">
        <v>4</v>
      </c>
      <c r="B1156" t="s">
        <v>39</v>
      </c>
      <c r="E1156" t="s">
        <v>51</v>
      </c>
      <c r="F1156">
        <v>1774322</v>
      </c>
      <c r="G1156">
        <v>5</v>
      </c>
      <c r="H1156">
        <v>2</v>
      </c>
      <c r="I1156">
        <v>923</v>
      </c>
      <c r="J1156">
        <v>1966</v>
      </c>
      <c r="K1156" s="4">
        <v>45564</v>
      </c>
      <c r="L1156" t="s">
        <v>26</v>
      </c>
      <c r="M1156" t="s">
        <v>63</v>
      </c>
      <c r="N1156">
        <v>2.5</v>
      </c>
      <c r="O1156">
        <v>1513</v>
      </c>
      <c r="P1156">
        <v>3.99</v>
      </c>
      <c r="Q1156">
        <v>367</v>
      </c>
      <c r="R1156">
        <v>423</v>
      </c>
    </row>
    <row r="1157" spans="1:18" hidden="1" x14ac:dyDescent="0.2">
      <c r="A1157">
        <v>7</v>
      </c>
      <c r="B1157" t="s">
        <v>38</v>
      </c>
      <c r="E1157" t="s">
        <v>19</v>
      </c>
      <c r="F1157">
        <v>941591</v>
      </c>
      <c r="G1157">
        <v>3</v>
      </c>
      <c r="H1157">
        <v>2</v>
      </c>
      <c r="I1157">
        <v>601</v>
      </c>
      <c r="J1157">
        <v>1975</v>
      </c>
      <c r="K1157" s="4">
        <v>45100</v>
      </c>
      <c r="L1157" t="s">
        <v>20</v>
      </c>
      <c r="M1157" t="s">
        <v>45</v>
      </c>
      <c r="N1157">
        <v>2.35</v>
      </c>
      <c r="O1157">
        <v>2225</v>
      </c>
      <c r="P1157">
        <v>1.46</v>
      </c>
      <c r="Q1157">
        <v>205</v>
      </c>
      <c r="R1157">
        <v>504</v>
      </c>
    </row>
    <row r="1158" spans="1:18" hidden="1" x14ac:dyDescent="0.2">
      <c r="A1158">
        <v>1</v>
      </c>
      <c r="B1158" t="s">
        <v>61</v>
      </c>
      <c r="E1158" t="s">
        <v>36</v>
      </c>
      <c r="F1158">
        <v>646466</v>
      </c>
      <c r="G1158">
        <v>1</v>
      </c>
      <c r="H1158">
        <v>2</v>
      </c>
      <c r="I1158">
        <v>730</v>
      </c>
      <c r="J1158">
        <v>1952</v>
      </c>
      <c r="K1158" s="4">
        <v>45248</v>
      </c>
      <c r="L1158" t="s">
        <v>23</v>
      </c>
      <c r="M1158" t="s">
        <v>66</v>
      </c>
      <c r="N1158">
        <v>3.38</v>
      </c>
      <c r="O1158">
        <v>1424</v>
      </c>
      <c r="P1158">
        <v>2.6</v>
      </c>
      <c r="Q1158">
        <v>122</v>
      </c>
      <c r="R1158">
        <v>510</v>
      </c>
    </row>
    <row r="1159" spans="1:18" hidden="1" x14ac:dyDescent="0.2">
      <c r="A1159">
        <v>4</v>
      </c>
      <c r="B1159" t="s">
        <v>102</v>
      </c>
      <c r="E1159" t="s">
        <v>29</v>
      </c>
      <c r="F1159">
        <v>2870439</v>
      </c>
      <c r="G1159">
        <v>5</v>
      </c>
      <c r="H1159">
        <v>2</v>
      </c>
      <c r="I1159">
        <v>817</v>
      </c>
      <c r="J1159">
        <v>1971</v>
      </c>
      <c r="K1159" s="4">
        <v>45391</v>
      </c>
      <c r="L1159" t="s">
        <v>30</v>
      </c>
      <c r="M1159" t="s">
        <v>77</v>
      </c>
      <c r="N1159">
        <v>3.47</v>
      </c>
      <c r="O1159">
        <v>1655</v>
      </c>
      <c r="P1159">
        <v>4.96</v>
      </c>
      <c r="Q1159">
        <v>388</v>
      </c>
      <c r="R1159">
        <v>602</v>
      </c>
    </row>
    <row r="1160" spans="1:18" hidden="1" x14ac:dyDescent="0.2">
      <c r="A1160">
        <v>9</v>
      </c>
      <c r="B1160" t="s">
        <v>46</v>
      </c>
      <c r="E1160" t="s">
        <v>19</v>
      </c>
      <c r="F1160">
        <v>992472</v>
      </c>
      <c r="G1160">
        <v>3</v>
      </c>
      <c r="H1160">
        <v>3</v>
      </c>
      <c r="I1160">
        <v>820</v>
      </c>
      <c r="J1160">
        <v>1995</v>
      </c>
      <c r="K1160" s="4">
        <v>45800</v>
      </c>
      <c r="L1160" t="s">
        <v>20</v>
      </c>
      <c r="M1160" t="s">
        <v>58</v>
      </c>
      <c r="N1160">
        <v>1.5</v>
      </c>
      <c r="O1160">
        <v>2240</v>
      </c>
      <c r="P1160">
        <v>0.19</v>
      </c>
      <c r="Q1160">
        <v>195</v>
      </c>
      <c r="R1160">
        <v>494</v>
      </c>
    </row>
    <row r="1161" spans="1:18" hidden="1" x14ac:dyDescent="0.2">
      <c r="A1161">
        <v>3</v>
      </c>
      <c r="B1161" t="s">
        <v>43</v>
      </c>
      <c r="E1161" t="s">
        <v>51</v>
      </c>
      <c r="F1161">
        <v>1488296</v>
      </c>
      <c r="G1161">
        <v>4</v>
      </c>
      <c r="H1161">
        <v>2</v>
      </c>
      <c r="I1161">
        <v>960</v>
      </c>
      <c r="J1161">
        <v>1970</v>
      </c>
      <c r="K1161" s="4">
        <v>45232</v>
      </c>
      <c r="L1161" t="s">
        <v>26</v>
      </c>
      <c r="M1161" t="s">
        <v>70</v>
      </c>
      <c r="N1161">
        <v>3.28</v>
      </c>
      <c r="O1161">
        <v>2051</v>
      </c>
      <c r="P1161">
        <v>4.9800000000000004</v>
      </c>
      <c r="Q1161">
        <v>399</v>
      </c>
      <c r="R1161">
        <v>326</v>
      </c>
    </row>
    <row r="1162" spans="1:18" hidden="1" x14ac:dyDescent="0.2">
      <c r="A1162">
        <v>7</v>
      </c>
      <c r="B1162" t="s">
        <v>62</v>
      </c>
      <c r="E1162" t="s">
        <v>29</v>
      </c>
      <c r="F1162">
        <v>2272938</v>
      </c>
      <c r="G1162">
        <v>2</v>
      </c>
      <c r="H1162">
        <v>3</v>
      </c>
      <c r="I1162">
        <v>748</v>
      </c>
      <c r="J1162">
        <v>1965</v>
      </c>
      <c r="K1162" s="4">
        <v>44206</v>
      </c>
      <c r="L1162" t="s">
        <v>26</v>
      </c>
      <c r="M1162" t="s">
        <v>24</v>
      </c>
      <c r="N1162">
        <v>1.57</v>
      </c>
      <c r="O1162">
        <v>2458</v>
      </c>
      <c r="P1162">
        <v>1.49</v>
      </c>
      <c r="Q1162">
        <v>119</v>
      </c>
      <c r="R1162">
        <v>422</v>
      </c>
    </row>
    <row r="1163" spans="1:18" hidden="1" x14ac:dyDescent="0.2">
      <c r="A1163">
        <v>3</v>
      </c>
      <c r="B1163" t="s">
        <v>43</v>
      </c>
      <c r="E1163" t="s">
        <v>36</v>
      </c>
      <c r="F1163">
        <v>464951</v>
      </c>
      <c r="G1163">
        <v>2</v>
      </c>
      <c r="H1163">
        <v>2</v>
      </c>
      <c r="I1163">
        <v>716</v>
      </c>
      <c r="J1163">
        <v>1999</v>
      </c>
      <c r="K1163" s="4">
        <v>45379</v>
      </c>
      <c r="L1163" t="s">
        <v>20</v>
      </c>
      <c r="M1163" t="s">
        <v>66</v>
      </c>
      <c r="N1163">
        <v>1.68</v>
      </c>
      <c r="O1163">
        <v>1590</v>
      </c>
      <c r="P1163">
        <v>0.27</v>
      </c>
      <c r="Q1163">
        <v>233</v>
      </c>
      <c r="R1163">
        <v>386</v>
      </c>
    </row>
    <row r="1164" spans="1:18" hidden="1" x14ac:dyDescent="0.2">
      <c r="A1164">
        <v>6</v>
      </c>
      <c r="B1164" t="s">
        <v>95</v>
      </c>
      <c r="E1164" t="s">
        <v>19</v>
      </c>
      <c r="F1164">
        <v>545048</v>
      </c>
      <c r="G1164">
        <v>3</v>
      </c>
      <c r="H1164">
        <v>1</v>
      </c>
      <c r="I1164">
        <v>980</v>
      </c>
      <c r="J1164">
        <v>1955</v>
      </c>
      <c r="K1164" s="4">
        <v>44579</v>
      </c>
      <c r="L1164" t="s">
        <v>26</v>
      </c>
      <c r="M1164" t="s">
        <v>21</v>
      </c>
      <c r="N1164">
        <v>2.8</v>
      </c>
      <c r="O1164">
        <v>1217</v>
      </c>
      <c r="P1164">
        <v>0.98</v>
      </c>
      <c r="Q1164">
        <v>231</v>
      </c>
      <c r="R1164">
        <v>572</v>
      </c>
    </row>
    <row r="1165" spans="1:18" hidden="1" x14ac:dyDescent="0.2">
      <c r="A1165">
        <v>7</v>
      </c>
      <c r="B1165" t="s">
        <v>32</v>
      </c>
      <c r="E1165" t="s">
        <v>29</v>
      </c>
      <c r="F1165">
        <v>1068959</v>
      </c>
      <c r="G1165">
        <v>6</v>
      </c>
      <c r="H1165">
        <v>1</v>
      </c>
      <c r="I1165">
        <v>267</v>
      </c>
      <c r="J1165">
        <v>1996</v>
      </c>
      <c r="K1165" s="4">
        <v>45640</v>
      </c>
      <c r="L1165" t="s">
        <v>30</v>
      </c>
      <c r="M1165" t="s">
        <v>89</v>
      </c>
      <c r="N1165">
        <v>2.0299999999999998</v>
      </c>
      <c r="O1165">
        <v>2119</v>
      </c>
      <c r="P1165">
        <v>1.98</v>
      </c>
      <c r="Q1165">
        <v>353</v>
      </c>
      <c r="R1165">
        <v>320</v>
      </c>
    </row>
    <row r="1166" spans="1:18" x14ac:dyDescent="0.2">
      <c r="A1166">
        <v>8</v>
      </c>
      <c r="B1166" t="s">
        <v>73</v>
      </c>
      <c r="E1166" t="s">
        <v>29</v>
      </c>
      <c r="F1166">
        <v>1208118</v>
      </c>
      <c r="G1166">
        <v>1</v>
      </c>
      <c r="H1166">
        <v>1</v>
      </c>
      <c r="I1166">
        <v>668</v>
      </c>
      <c r="J1166">
        <v>1984</v>
      </c>
      <c r="K1166" s="4">
        <v>45611</v>
      </c>
      <c r="L1166" t="s">
        <v>26</v>
      </c>
      <c r="M1166" t="s">
        <v>56</v>
      </c>
      <c r="N1166">
        <v>3.41</v>
      </c>
      <c r="O1166">
        <v>899</v>
      </c>
      <c r="P1166">
        <v>2.37</v>
      </c>
      <c r="Q1166">
        <v>46</v>
      </c>
      <c r="R1166">
        <v>335</v>
      </c>
    </row>
    <row r="1167" spans="1:18" hidden="1" x14ac:dyDescent="0.2">
      <c r="A1167">
        <v>3</v>
      </c>
      <c r="B1167" t="s">
        <v>50</v>
      </c>
      <c r="E1167" t="s">
        <v>51</v>
      </c>
      <c r="F1167">
        <v>1634221</v>
      </c>
      <c r="G1167">
        <v>2</v>
      </c>
      <c r="H1167">
        <v>3</v>
      </c>
      <c r="I1167">
        <v>264</v>
      </c>
      <c r="J1167">
        <v>2015</v>
      </c>
      <c r="K1167" s="4">
        <v>44817</v>
      </c>
      <c r="L1167" t="s">
        <v>20</v>
      </c>
      <c r="M1167" t="s">
        <v>24</v>
      </c>
      <c r="N1167">
        <v>3.45</v>
      </c>
      <c r="O1167">
        <v>1235</v>
      </c>
      <c r="P1167">
        <v>2</v>
      </c>
      <c r="Q1167">
        <v>152</v>
      </c>
      <c r="R1167">
        <v>628</v>
      </c>
    </row>
    <row r="1168" spans="1:18" hidden="1" x14ac:dyDescent="0.2">
      <c r="A1168">
        <v>0</v>
      </c>
      <c r="B1168" t="s">
        <v>94</v>
      </c>
      <c r="E1168" t="s">
        <v>29</v>
      </c>
      <c r="F1168">
        <v>1126969</v>
      </c>
      <c r="G1168">
        <v>4</v>
      </c>
      <c r="H1168">
        <v>2</v>
      </c>
      <c r="I1168">
        <v>73</v>
      </c>
      <c r="J1168">
        <v>1970</v>
      </c>
      <c r="K1168" s="4">
        <v>44594</v>
      </c>
      <c r="L1168" t="s">
        <v>26</v>
      </c>
      <c r="M1168" t="s">
        <v>24</v>
      </c>
      <c r="N1168">
        <v>3.2</v>
      </c>
      <c r="O1168">
        <v>1506</v>
      </c>
      <c r="P1168">
        <v>2.85</v>
      </c>
      <c r="Q1168">
        <v>255</v>
      </c>
      <c r="R1168">
        <v>305</v>
      </c>
    </row>
    <row r="1169" spans="1:18" hidden="1" x14ac:dyDescent="0.2">
      <c r="A1169">
        <v>2</v>
      </c>
      <c r="B1169" t="s">
        <v>104</v>
      </c>
      <c r="E1169" t="s">
        <v>36</v>
      </c>
      <c r="F1169">
        <v>869033</v>
      </c>
      <c r="G1169">
        <v>5</v>
      </c>
      <c r="H1169">
        <v>1</v>
      </c>
      <c r="I1169">
        <v>480</v>
      </c>
      <c r="J1169">
        <v>1985</v>
      </c>
      <c r="K1169" s="4">
        <v>44304</v>
      </c>
      <c r="L1169" t="s">
        <v>23</v>
      </c>
      <c r="M1169" t="s">
        <v>78</v>
      </c>
      <c r="N1169">
        <v>2.44</v>
      </c>
      <c r="O1169">
        <v>1530</v>
      </c>
      <c r="P1169">
        <v>0.9</v>
      </c>
      <c r="Q1169">
        <v>333</v>
      </c>
      <c r="R1169">
        <v>595</v>
      </c>
    </row>
    <row r="1170" spans="1:18" hidden="1" x14ac:dyDescent="0.2">
      <c r="A1170">
        <v>0</v>
      </c>
      <c r="B1170" t="s">
        <v>50</v>
      </c>
      <c r="E1170" t="s">
        <v>19</v>
      </c>
      <c r="F1170">
        <v>2965367</v>
      </c>
      <c r="G1170">
        <v>3</v>
      </c>
      <c r="H1170">
        <v>2</v>
      </c>
      <c r="I1170">
        <v>695</v>
      </c>
      <c r="J1170">
        <v>2014</v>
      </c>
      <c r="K1170" s="4">
        <v>44983</v>
      </c>
      <c r="L1170" t="s">
        <v>20</v>
      </c>
      <c r="M1170" t="s">
        <v>37</v>
      </c>
      <c r="N1170">
        <v>3.24</v>
      </c>
      <c r="O1170">
        <v>1367</v>
      </c>
      <c r="P1170">
        <v>1.1399999999999999</v>
      </c>
      <c r="Q1170">
        <v>119</v>
      </c>
      <c r="R1170">
        <v>411</v>
      </c>
    </row>
    <row r="1171" spans="1:18" hidden="1" x14ac:dyDescent="0.2">
      <c r="A1171">
        <v>9</v>
      </c>
      <c r="B1171" t="s">
        <v>94</v>
      </c>
      <c r="E1171" t="s">
        <v>29</v>
      </c>
      <c r="F1171">
        <v>1981568</v>
      </c>
      <c r="G1171">
        <v>5</v>
      </c>
      <c r="H1171">
        <v>3</v>
      </c>
      <c r="I1171">
        <v>586</v>
      </c>
      <c r="J1171">
        <v>1957</v>
      </c>
      <c r="K1171" s="4">
        <v>44510</v>
      </c>
      <c r="L1171" t="s">
        <v>23</v>
      </c>
      <c r="M1171" t="s">
        <v>45</v>
      </c>
      <c r="N1171">
        <v>2.19</v>
      </c>
      <c r="O1171">
        <v>1174</v>
      </c>
      <c r="P1171">
        <v>1.68</v>
      </c>
      <c r="Q1171">
        <v>383</v>
      </c>
      <c r="R1171">
        <v>463</v>
      </c>
    </row>
    <row r="1172" spans="1:18" hidden="1" x14ac:dyDescent="0.2">
      <c r="A1172">
        <v>6</v>
      </c>
      <c r="B1172" t="s">
        <v>100</v>
      </c>
      <c r="E1172" t="s">
        <v>19</v>
      </c>
      <c r="F1172">
        <v>906647</v>
      </c>
      <c r="G1172">
        <v>2</v>
      </c>
      <c r="H1172">
        <v>3</v>
      </c>
      <c r="I1172">
        <v>312</v>
      </c>
      <c r="J1172">
        <v>2010</v>
      </c>
      <c r="K1172" s="4">
        <v>45391</v>
      </c>
      <c r="L1172" t="s">
        <v>23</v>
      </c>
      <c r="M1172" t="s">
        <v>76</v>
      </c>
      <c r="N1172">
        <v>3.12</v>
      </c>
      <c r="O1172">
        <v>1957</v>
      </c>
      <c r="P1172">
        <v>4.75</v>
      </c>
      <c r="Q1172">
        <v>118</v>
      </c>
      <c r="R1172">
        <v>321</v>
      </c>
    </row>
    <row r="1173" spans="1:18" hidden="1" x14ac:dyDescent="0.2">
      <c r="A1173">
        <v>2</v>
      </c>
      <c r="B1173" t="s">
        <v>104</v>
      </c>
      <c r="E1173" t="s">
        <v>19</v>
      </c>
      <c r="F1173">
        <v>2883216</v>
      </c>
      <c r="G1173">
        <v>2</v>
      </c>
      <c r="H1173">
        <v>2</v>
      </c>
      <c r="I1173">
        <v>543</v>
      </c>
      <c r="J1173">
        <v>2014</v>
      </c>
      <c r="K1173" s="4">
        <v>45244</v>
      </c>
      <c r="L1173" t="s">
        <v>20</v>
      </c>
      <c r="M1173" t="s">
        <v>42</v>
      </c>
      <c r="N1173">
        <v>2.38</v>
      </c>
      <c r="O1173">
        <v>1591</v>
      </c>
      <c r="P1173">
        <v>0.72</v>
      </c>
      <c r="Q1173">
        <v>231</v>
      </c>
      <c r="R1173">
        <v>319</v>
      </c>
    </row>
    <row r="1174" spans="1:18" hidden="1" x14ac:dyDescent="0.2">
      <c r="A1174">
        <v>1</v>
      </c>
      <c r="B1174" t="s">
        <v>46</v>
      </c>
      <c r="E1174" t="s">
        <v>29</v>
      </c>
      <c r="F1174">
        <v>2097973</v>
      </c>
      <c r="G1174">
        <v>5</v>
      </c>
      <c r="H1174">
        <v>1</v>
      </c>
      <c r="I1174">
        <v>494</v>
      </c>
      <c r="J1174">
        <v>1958</v>
      </c>
      <c r="K1174" s="4">
        <v>45406</v>
      </c>
      <c r="L1174" t="s">
        <v>23</v>
      </c>
      <c r="M1174" t="s">
        <v>63</v>
      </c>
      <c r="N1174">
        <v>3.22</v>
      </c>
      <c r="O1174">
        <v>1331</v>
      </c>
      <c r="P1174">
        <v>3.86</v>
      </c>
      <c r="Q1174">
        <v>381</v>
      </c>
      <c r="R1174">
        <v>528</v>
      </c>
    </row>
    <row r="1175" spans="1:18" hidden="1" x14ac:dyDescent="0.2">
      <c r="A1175">
        <v>4</v>
      </c>
      <c r="B1175" t="s">
        <v>91</v>
      </c>
      <c r="E1175" t="s">
        <v>19</v>
      </c>
      <c r="F1175">
        <v>584891</v>
      </c>
      <c r="G1175">
        <v>3</v>
      </c>
      <c r="H1175">
        <v>1</v>
      </c>
      <c r="I1175">
        <v>117</v>
      </c>
      <c r="J1175">
        <v>2005</v>
      </c>
      <c r="K1175" s="4">
        <v>44867</v>
      </c>
      <c r="L1175" t="s">
        <v>30</v>
      </c>
      <c r="M1175" t="s">
        <v>56</v>
      </c>
      <c r="N1175">
        <v>1.81</v>
      </c>
      <c r="O1175">
        <v>1371</v>
      </c>
      <c r="P1175">
        <v>4.51</v>
      </c>
      <c r="Q1175">
        <v>142</v>
      </c>
      <c r="R1175">
        <v>665</v>
      </c>
    </row>
    <row r="1176" spans="1:18" hidden="1" x14ac:dyDescent="0.2">
      <c r="A1176">
        <v>2</v>
      </c>
      <c r="B1176" t="s">
        <v>73</v>
      </c>
      <c r="E1176" t="s">
        <v>51</v>
      </c>
      <c r="F1176">
        <v>2768621</v>
      </c>
      <c r="G1176">
        <v>4</v>
      </c>
      <c r="H1176">
        <v>3</v>
      </c>
      <c r="I1176">
        <v>250</v>
      </c>
      <c r="J1176">
        <v>1990</v>
      </c>
      <c r="K1176" s="4">
        <v>44601</v>
      </c>
      <c r="L1176" t="s">
        <v>30</v>
      </c>
      <c r="M1176" t="s">
        <v>52</v>
      </c>
      <c r="N1176">
        <v>2.0499999999999998</v>
      </c>
      <c r="O1176">
        <v>1221</v>
      </c>
      <c r="P1176">
        <v>2.79</v>
      </c>
      <c r="Q1176">
        <v>214</v>
      </c>
      <c r="R1176">
        <v>418</v>
      </c>
    </row>
    <row r="1177" spans="1:18" hidden="1" x14ac:dyDescent="0.2">
      <c r="A1177">
        <v>6</v>
      </c>
      <c r="B1177" t="s">
        <v>98</v>
      </c>
      <c r="E1177" t="s">
        <v>29</v>
      </c>
      <c r="F1177">
        <v>2384301</v>
      </c>
      <c r="G1177">
        <v>2</v>
      </c>
      <c r="H1177">
        <v>3</v>
      </c>
      <c r="I1177">
        <v>912</v>
      </c>
      <c r="J1177">
        <v>2005</v>
      </c>
      <c r="K1177" s="4">
        <v>45469</v>
      </c>
      <c r="L1177" t="s">
        <v>23</v>
      </c>
      <c r="M1177" t="s">
        <v>42</v>
      </c>
      <c r="N1177">
        <v>2.4500000000000002</v>
      </c>
      <c r="O1177">
        <v>1982</v>
      </c>
      <c r="P1177">
        <v>0.61</v>
      </c>
      <c r="Q1177">
        <v>188</v>
      </c>
      <c r="R1177">
        <v>505</v>
      </c>
    </row>
    <row r="1178" spans="1:18" hidden="1" x14ac:dyDescent="0.2">
      <c r="A1178">
        <v>1</v>
      </c>
      <c r="B1178" t="s">
        <v>41</v>
      </c>
      <c r="E1178" t="s">
        <v>36</v>
      </c>
      <c r="F1178">
        <v>1775498</v>
      </c>
      <c r="G1178">
        <v>2</v>
      </c>
      <c r="H1178">
        <v>1</v>
      </c>
      <c r="I1178">
        <v>86</v>
      </c>
      <c r="J1178">
        <v>1955</v>
      </c>
      <c r="K1178" s="4">
        <v>45550</v>
      </c>
      <c r="L1178" t="s">
        <v>23</v>
      </c>
      <c r="M1178" t="s">
        <v>31</v>
      </c>
      <c r="N1178">
        <v>3.07</v>
      </c>
      <c r="O1178">
        <v>1633</v>
      </c>
      <c r="P1178">
        <v>2.12</v>
      </c>
      <c r="Q1178">
        <v>210</v>
      </c>
      <c r="R1178">
        <v>605</v>
      </c>
    </row>
    <row r="1179" spans="1:18" hidden="1" x14ac:dyDescent="0.2">
      <c r="A1179">
        <v>4</v>
      </c>
      <c r="B1179" t="s">
        <v>102</v>
      </c>
      <c r="E1179" t="s">
        <v>29</v>
      </c>
      <c r="F1179">
        <v>1191602</v>
      </c>
      <c r="G1179">
        <v>3</v>
      </c>
      <c r="H1179">
        <v>1</v>
      </c>
      <c r="I1179">
        <v>595</v>
      </c>
      <c r="J1179">
        <v>1959</v>
      </c>
      <c r="K1179" s="4">
        <v>45343</v>
      </c>
      <c r="L1179" t="s">
        <v>20</v>
      </c>
      <c r="M1179" t="s">
        <v>77</v>
      </c>
      <c r="N1179">
        <v>2.78</v>
      </c>
      <c r="O1179">
        <v>862</v>
      </c>
      <c r="P1179">
        <v>4.6900000000000004</v>
      </c>
      <c r="Q1179">
        <v>225</v>
      </c>
      <c r="R1179">
        <v>692</v>
      </c>
    </row>
    <row r="1180" spans="1:18" hidden="1" x14ac:dyDescent="0.2">
      <c r="A1180">
        <v>4</v>
      </c>
      <c r="B1180" t="s">
        <v>46</v>
      </c>
      <c r="E1180" t="s">
        <v>29</v>
      </c>
      <c r="F1180">
        <v>2421524</v>
      </c>
      <c r="G1180">
        <v>5</v>
      </c>
      <c r="H1180">
        <v>1</v>
      </c>
      <c r="I1180">
        <v>770</v>
      </c>
      <c r="J1180">
        <v>2001</v>
      </c>
      <c r="K1180" s="4">
        <v>45128</v>
      </c>
      <c r="L1180" t="s">
        <v>23</v>
      </c>
      <c r="M1180" t="s">
        <v>77</v>
      </c>
      <c r="N1180">
        <v>1.85</v>
      </c>
      <c r="O1180">
        <v>1830</v>
      </c>
      <c r="P1180">
        <v>4.3600000000000003</v>
      </c>
      <c r="Q1180">
        <v>343</v>
      </c>
      <c r="R1180">
        <v>644</v>
      </c>
    </row>
    <row r="1181" spans="1:18" hidden="1" x14ac:dyDescent="0.2">
      <c r="A1181">
        <v>1</v>
      </c>
      <c r="B1181" t="s">
        <v>88</v>
      </c>
      <c r="E1181" t="s">
        <v>51</v>
      </c>
      <c r="F1181">
        <v>840268</v>
      </c>
      <c r="G1181">
        <v>4</v>
      </c>
      <c r="H1181">
        <v>2</v>
      </c>
      <c r="I1181">
        <v>881</v>
      </c>
      <c r="J1181">
        <v>1973</v>
      </c>
      <c r="K1181" s="4">
        <v>45859</v>
      </c>
      <c r="L1181" t="s">
        <v>26</v>
      </c>
      <c r="M1181" t="s">
        <v>63</v>
      </c>
      <c r="N1181">
        <v>3.16</v>
      </c>
      <c r="O1181">
        <v>856</v>
      </c>
      <c r="P1181">
        <v>3.57</v>
      </c>
      <c r="Q1181">
        <v>287</v>
      </c>
      <c r="R1181">
        <v>540</v>
      </c>
    </row>
    <row r="1182" spans="1:18" x14ac:dyDescent="0.2">
      <c r="A1182">
        <v>8</v>
      </c>
      <c r="B1182" t="s">
        <v>86</v>
      </c>
      <c r="E1182" t="s">
        <v>36</v>
      </c>
      <c r="F1182">
        <v>1840949</v>
      </c>
      <c r="G1182">
        <v>2</v>
      </c>
      <c r="H1182">
        <v>3</v>
      </c>
      <c r="I1182">
        <v>99</v>
      </c>
      <c r="J1182">
        <v>2005</v>
      </c>
      <c r="K1182" s="4">
        <v>45706</v>
      </c>
      <c r="L1182" t="s">
        <v>20</v>
      </c>
      <c r="M1182" t="s">
        <v>66</v>
      </c>
      <c r="N1182">
        <v>1.94</v>
      </c>
      <c r="O1182">
        <v>2210</v>
      </c>
      <c r="P1182">
        <v>1.54</v>
      </c>
      <c r="Q1182">
        <v>177</v>
      </c>
      <c r="R1182">
        <v>577</v>
      </c>
    </row>
    <row r="1183" spans="1:18" x14ac:dyDescent="0.2">
      <c r="A1183">
        <v>8</v>
      </c>
      <c r="B1183" t="s">
        <v>102</v>
      </c>
      <c r="E1183" t="s">
        <v>19</v>
      </c>
      <c r="F1183">
        <v>879288</v>
      </c>
      <c r="G1183">
        <v>6</v>
      </c>
      <c r="H1183">
        <v>1</v>
      </c>
      <c r="I1183">
        <v>580</v>
      </c>
      <c r="J1183">
        <v>2016</v>
      </c>
      <c r="K1183" s="4">
        <v>45064</v>
      </c>
      <c r="L1183" t="s">
        <v>23</v>
      </c>
      <c r="M1183" t="s">
        <v>59</v>
      </c>
      <c r="N1183">
        <v>2.25</v>
      </c>
      <c r="O1183">
        <v>1846</v>
      </c>
      <c r="P1183">
        <v>4.91</v>
      </c>
      <c r="Q1183">
        <v>397</v>
      </c>
      <c r="R1183">
        <v>675</v>
      </c>
    </row>
    <row r="1184" spans="1:18" x14ac:dyDescent="0.2">
      <c r="A1184">
        <v>8</v>
      </c>
      <c r="B1184" t="s">
        <v>22</v>
      </c>
      <c r="E1184" t="s">
        <v>19</v>
      </c>
      <c r="F1184">
        <v>1234229</v>
      </c>
      <c r="G1184">
        <v>3</v>
      </c>
      <c r="H1184">
        <v>1</v>
      </c>
      <c r="I1184">
        <v>645</v>
      </c>
      <c r="J1184">
        <v>1952</v>
      </c>
      <c r="K1184" s="4">
        <v>44165</v>
      </c>
      <c r="L1184" t="s">
        <v>30</v>
      </c>
      <c r="M1184" t="s">
        <v>47</v>
      </c>
      <c r="N1184">
        <v>1.52</v>
      </c>
      <c r="O1184">
        <v>1632</v>
      </c>
      <c r="P1184">
        <v>4.6500000000000004</v>
      </c>
      <c r="Q1184">
        <v>114</v>
      </c>
      <c r="R1184">
        <v>453</v>
      </c>
    </row>
    <row r="1185" spans="1:18" hidden="1" x14ac:dyDescent="0.2">
      <c r="A1185">
        <v>3</v>
      </c>
      <c r="B1185" t="s">
        <v>98</v>
      </c>
      <c r="E1185" t="s">
        <v>103</v>
      </c>
      <c r="F1185">
        <v>834413</v>
      </c>
      <c r="G1185">
        <v>3</v>
      </c>
      <c r="H1185">
        <v>2</v>
      </c>
      <c r="I1185">
        <v>723</v>
      </c>
      <c r="J1185">
        <v>2009</v>
      </c>
      <c r="K1185" s="4">
        <v>44469</v>
      </c>
      <c r="L1185" t="s">
        <v>20</v>
      </c>
      <c r="M1185" t="s">
        <v>85</v>
      </c>
      <c r="N1185">
        <v>3.4</v>
      </c>
      <c r="O1185">
        <v>1899</v>
      </c>
      <c r="P1185">
        <v>2.08</v>
      </c>
      <c r="Q1185">
        <v>225</v>
      </c>
      <c r="R1185">
        <v>558</v>
      </c>
    </row>
    <row r="1186" spans="1:18" hidden="1" x14ac:dyDescent="0.2">
      <c r="A1186">
        <v>3</v>
      </c>
      <c r="B1186" t="s">
        <v>75</v>
      </c>
      <c r="E1186" t="s">
        <v>51</v>
      </c>
      <c r="F1186">
        <v>794337</v>
      </c>
      <c r="G1186">
        <v>2</v>
      </c>
      <c r="H1186">
        <v>1</v>
      </c>
      <c r="I1186">
        <v>656</v>
      </c>
      <c r="J1186">
        <v>1983</v>
      </c>
      <c r="K1186" s="4">
        <v>45520</v>
      </c>
      <c r="L1186" t="s">
        <v>26</v>
      </c>
      <c r="M1186" t="s">
        <v>78</v>
      </c>
      <c r="N1186">
        <v>3.44</v>
      </c>
      <c r="O1186">
        <v>1728</v>
      </c>
      <c r="P1186">
        <v>2.73</v>
      </c>
      <c r="Q1186">
        <v>157</v>
      </c>
      <c r="R1186">
        <v>315</v>
      </c>
    </row>
    <row r="1187" spans="1:18" x14ac:dyDescent="0.2">
      <c r="A1187">
        <v>8</v>
      </c>
      <c r="B1187" t="s">
        <v>98</v>
      </c>
      <c r="E1187" t="s">
        <v>36</v>
      </c>
      <c r="F1187">
        <v>1122563</v>
      </c>
      <c r="G1187">
        <v>3</v>
      </c>
      <c r="H1187">
        <v>1</v>
      </c>
      <c r="I1187">
        <v>674</v>
      </c>
      <c r="J1187">
        <v>1994</v>
      </c>
      <c r="K1187" s="4">
        <v>44634</v>
      </c>
      <c r="L1187" t="s">
        <v>26</v>
      </c>
      <c r="M1187" t="s">
        <v>74</v>
      </c>
      <c r="N1187">
        <v>3.37</v>
      </c>
      <c r="O1187">
        <v>2168</v>
      </c>
      <c r="P1187">
        <v>1.78</v>
      </c>
      <c r="Q1187">
        <v>253</v>
      </c>
      <c r="R1187">
        <v>649</v>
      </c>
    </row>
    <row r="1188" spans="1:18" hidden="1" x14ac:dyDescent="0.2">
      <c r="A1188">
        <v>2</v>
      </c>
      <c r="B1188" t="s">
        <v>102</v>
      </c>
      <c r="E1188" t="s">
        <v>36</v>
      </c>
      <c r="F1188">
        <v>2956357</v>
      </c>
      <c r="G1188">
        <v>3</v>
      </c>
      <c r="H1188">
        <v>1</v>
      </c>
      <c r="I1188">
        <v>719</v>
      </c>
      <c r="J1188">
        <v>1977</v>
      </c>
      <c r="K1188" s="4">
        <v>44400</v>
      </c>
      <c r="L1188" t="s">
        <v>23</v>
      </c>
      <c r="M1188" t="s">
        <v>27</v>
      </c>
      <c r="N1188">
        <v>2.76</v>
      </c>
      <c r="O1188">
        <v>1590</v>
      </c>
      <c r="P1188">
        <v>4</v>
      </c>
      <c r="Q1188">
        <v>124</v>
      </c>
      <c r="R1188">
        <v>607</v>
      </c>
    </row>
    <row r="1189" spans="1:18" hidden="1" x14ac:dyDescent="0.2">
      <c r="A1189">
        <v>4</v>
      </c>
      <c r="B1189" t="s">
        <v>46</v>
      </c>
      <c r="E1189" t="s">
        <v>51</v>
      </c>
      <c r="F1189">
        <v>1772528</v>
      </c>
      <c r="G1189">
        <v>3</v>
      </c>
      <c r="H1189">
        <v>3</v>
      </c>
      <c r="I1189">
        <v>846</v>
      </c>
      <c r="J1189">
        <v>1956</v>
      </c>
      <c r="K1189" s="4">
        <v>44754</v>
      </c>
      <c r="L1189" t="s">
        <v>23</v>
      </c>
      <c r="M1189" t="s">
        <v>82</v>
      </c>
      <c r="N1189">
        <v>2.4700000000000002</v>
      </c>
      <c r="O1189">
        <v>2330</v>
      </c>
      <c r="P1189">
        <v>2.69</v>
      </c>
      <c r="Q1189">
        <v>112</v>
      </c>
      <c r="R1189">
        <v>499</v>
      </c>
    </row>
    <row r="1190" spans="1:18" hidden="1" x14ac:dyDescent="0.2">
      <c r="A1190">
        <v>6</v>
      </c>
      <c r="B1190" t="s">
        <v>50</v>
      </c>
      <c r="E1190" t="s">
        <v>51</v>
      </c>
      <c r="F1190">
        <v>497688</v>
      </c>
      <c r="G1190">
        <v>2</v>
      </c>
      <c r="H1190">
        <v>2</v>
      </c>
      <c r="I1190">
        <v>205</v>
      </c>
      <c r="J1190">
        <v>1979</v>
      </c>
      <c r="K1190" s="4">
        <v>45689</v>
      </c>
      <c r="L1190" t="s">
        <v>23</v>
      </c>
      <c r="M1190" t="s">
        <v>68</v>
      </c>
      <c r="N1190">
        <v>3.05</v>
      </c>
      <c r="O1190">
        <v>1939</v>
      </c>
      <c r="P1190">
        <v>0.16</v>
      </c>
      <c r="Q1190">
        <v>222</v>
      </c>
      <c r="R1190">
        <v>433</v>
      </c>
    </row>
    <row r="1191" spans="1:18" hidden="1" x14ac:dyDescent="0.2">
      <c r="A1191">
        <v>5</v>
      </c>
      <c r="B1191" t="s">
        <v>53</v>
      </c>
      <c r="E1191" t="s">
        <v>51</v>
      </c>
      <c r="F1191">
        <v>1489797</v>
      </c>
      <c r="G1191">
        <v>5</v>
      </c>
      <c r="H1191">
        <v>3</v>
      </c>
      <c r="I1191">
        <v>297</v>
      </c>
      <c r="J1191">
        <v>1964</v>
      </c>
      <c r="K1191" s="4">
        <v>44816</v>
      </c>
      <c r="L1191" t="s">
        <v>30</v>
      </c>
      <c r="M1191" t="s">
        <v>85</v>
      </c>
      <c r="N1191">
        <v>3.07</v>
      </c>
      <c r="O1191">
        <v>1701</v>
      </c>
      <c r="P1191">
        <v>4.08</v>
      </c>
      <c r="Q1191">
        <v>361</v>
      </c>
      <c r="R1191">
        <v>495</v>
      </c>
    </row>
    <row r="1192" spans="1:18" hidden="1" x14ac:dyDescent="0.2">
      <c r="A1192">
        <v>9</v>
      </c>
      <c r="B1192" t="s">
        <v>96</v>
      </c>
      <c r="E1192" t="s">
        <v>29</v>
      </c>
      <c r="F1192">
        <v>2609204</v>
      </c>
      <c r="G1192">
        <v>4</v>
      </c>
      <c r="H1192">
        <v>2</v>
      </c>
      <c r="I1192">
        <v>271</v>
      </c>
      <c r="J1192">
        <v>1964</v>
      </c>
      <c r="K1192" s="4">
        <v>45086</v>
      </c>
      <c r="L1192" t="s">
        <v>20</v>
      </c>
      <c r="M1192" t="s">
        <v>78</v>
      </c>
      <c r="N1192">
        <v>2.3199999999999998</v>
      </c>
      <c r="O1192">
        <v>1850</v>
      </c>
      <c r="P1192">
        <v>1.96</v>
      </c>
      <c r="Q1192">
        <v>304</v>
      </c>
      <c r="R1192">
        <v>393</v>
      </c>
    </row>
    <row r="1193" spans="1:18" hidden="1" x14ac:dyDescent="0.2">
      <c r="A1193">
        <v>1</v>
      </c>
      <c r="B1193" t="s">
        <v>102</v>
      </c>
      <c r="E1193" t="s">
        <v>36</v>
      </c>
      <c r="F1193">
        <v>1035932</v>
      </c>
      <c r="G1193">
        <v>3</v>
      </c>
      <c r="H1193">
        <v>2</v>
      </c>
      <c r="I1193">
        <v>618</v>
      </c>
      <c r="J1193">
        <v>2016</v>
      </c>
      <c r="K1193" s="4">
        <v>44301</v>
      </c>
      <c r="L1193" t="s">
        <v>20</v>
      </c>
      <c r="M1193" t="s">
        <v>56</v>
      </c>
      <c r="N1193">
        <v>2.02</v>
      </c>
      <c r="O1193">
        <v>1675</v>
      </c>
      <c r="P1193">
        <v>3.73</v>
      </c>
      <c r="Q1193">
        <v>96</v>
      </c>
      <c r="R1193">
        <v>633</v>
      </c>
    </row>
    <row r="1194" spans="1:18" hidden="1" x14ac:dyDescent="0.2">
      <c r="A1194">
        <v>4</v>
      </c>
      <c r="B1194" t="s">
        <v>94</v>
      </c>
      <c r="E1194" t="s">
        <v>29</v>
      </c>
      <c r="F1194">
        <v>2035933</v>
      </c>
      <c r="G1194">
        <v>2</v>
      </c>
      <c r="H1194">
        <v>2</v>
      </c>
      <c r="I1194">
        <v>973</v>
      </c>
      <c r="J1194">
        <v>2011</v>
      </c>
      <c r="K1194" s="4">
        <v>45732</v>
      </c>
      <c r="L1194" t="s">
        <v>20</v>
      </c>
      <c r="M1194" t="s">
        <v>69</v>
      </c>
      <c r="N1194">
        <v>3.38</v>
      </c>
      <c r="O1194">
        <v>1834</v>
      </c>
      <c r="P1194">
        <v>1.99</v>
      </c>
      <c r="Q1194">
        <v>69</v>
      </c>
      <c r="R1194">
        <v>418</v>
      </c>
    </row>
    <row r="1195" spans="1:18" hidden="1" x14ac:dyDescent="0.2">
      <c r="A1195">
        <v>6</v>
      </c>
      <c r="B1195" t="s">
        <v>86</v>
      </c>
      <c r="E1195" t="s">
        <v>19</v>
      </c>
      <c r="F1195">
        <v>1316609</v>
      </c>
      <c r="G1195">
        <v>4</v>
      </c>
      <c r="H1195">
        <v>3</v>
      </c>
      <c r="I1195">
        <v>483</v>
      </c>
      <c r="J1195">
        <v>2007</v>
      </c>
      <c r="K1195" s="4">
        <v>45235</v>
      </c>
      <c r="L1195" t="s">
        <v>23</v>
      </c>
      <c r="M1195" t="s">
        <v>60</v>
      </c>
      <c r="N1195">
        <v>2.88</v>
      </c>
      <c r="O1195">
        <v>1771</v>
      </c>
      <c r="P1195">
        <v>3.55</v>
      </c>
      <c r="Q1195">
        <v>254</v>
      </c>
      <c r="R1195">
        <v>561</v>
      </c>
    </row>
    <row r="1196" spans="1:18" hidden="1" x14ac:dyDescent="0.2">
      <c r="A1196">
        <v>2</v>
      </c>
      <c r="B1196" t="s">
        <v>104</v>
      </c>
      <c r="E1196" t="s">
        <v>36</v>
      </c>
      <c r="F1196">
        <v>544951</v>
      </c>
      <c r="G1196">
        <v>4</v>
      </c>
      <c r="H1196">
        <v>1</v>
      </c>
      <c r="I1196">
        <v>537</v>
      </c>
      <c r="J1196">
        <v>1956</v>
      </c>
      <c r="K1196" s="4">
        <v>45457</v>
      </c>
      <c r="L1196" t="s">
        <v>30</v>
      </c>
      <c r="M1196" t="s">
        <v>89</v>
      </c>
      <c r="N1196">
        <v>3.15</v>
      </c>
      <c r="O1196">
        <v>2370</v>
      </c>
      <c r="P1196">
        <v>2.85</v>
      </c>
      <c r="Q1196">
        <v>169</v>
      </c>
      <c r="R1196">
        <v>469</v>
      </c>
    </row>
    <row r="1197" spans="1:18" hidden="1" x14ac:dyDescent="0.2">
      <c r="A1197">
        <v>1</v>
      </c>
      <c r="B1197" t="s">
        <v>95</v>
      </c>
      <c r="E1197" t="s">
        <v>36</v>
      </c>
      <c r="F1197">
        <v>1676826</v>
      </c>
      <c r="G1197">
        <v>1</v>
      </c>
      <c r="H1197">
        <v>3</v>
      </c>
      <c r="I1197">
        <v>653</v>
      </c>
      <c r="J1197">
        <v>1959</v>
      </c>
      <c r="K1197" s="4">
        <v>45257</v>
      </c>
      <c r="L1197" t="s">
        <v>26</v>
      </c>
      <c r="M1197" t="s">
        <v>60</v>
      </c>
      <c r="N1197">
        <v>2.2799999999999998</v>
      </c>
      <c r="O1197">
        <v>1839</v>
      </c>
      <c r="P1197">
        <v>3.89</v>
      </c>
      <c r="Q1197">
        <v>47</v>
      </c>
      <c r="R1197">
        <v>497</v>
      </c>
    </row>
    <row r="1198" spans="1:18" hidden="1" x14ac:dyDescent="0.2">
      <c r="A1198">
        <v>2</v>
      </c>
      <c r="B1198" t="s">
        <v>46</v>
      </c>
      <c r="E1198" t="s">
        <v>36</v>
      </c>
      <c r="F1198">
        <v>2868311</v>
      </c>
      <c r="G1198">
        <v>1</v>
      </c>
      <c r="H1198">
        <v>2</v>
      </c>
      <c r="I1198">
        <v>0</v>
      </c>
      <c r="J1198">
        <v>2014</v>
      </c>
      <c r="K1198" s="4">
        <v>45419</v>
      </c>
      <c r="L1198" t="s">
        <v>30</v>
      </c>
      <c r="M1198" t="s">
        <v>24</v>
      </c>
      <c r="N1198">
        <v>3.25</v>
      </c>
      <c r="O1198">
        <v>1176</v>
      </c>
      <c r="P1198">
        <v>1.02</v>
      </c>
      <c r="Q1198">
        <v>345</v>
      </c>
      <c r="R1198">
        <v>677</v>
      </c>
    </row>
    <row r="1199" spans="1:18" hidden="1" x14ac:dyDescent="0.2">
      <c r="A1199">
        <v>5</v>
      </c>
      <c r="B1199" t="s">
        <v>61</v>
      </c>
      <c r="E1199" t="s">
        <v>36</v>
      </c>
      <c r="F1199">
        <v>2300360</v>
      </c>
      <c r="G1199">
        <v>3</v>
      </c>
      <c r="H1199">
        <v>1</v>
      </c>
      <c r="I1199">
        <v>837</v>
      </c>
      <c r="J1199">
        <v>2026</v>
      </c>
      <c r="K1199" s="4">
        <v>45270</v>
      </c>
      <c r="L1199" t="s">
        <v>20</v>
      </c>
      <c r="M1199" t="s">
        <v>47</v>
      </c>
      <c r="N1199">
        <v>2.48</v>
      </c>
      <c r="O1199">
        <v>1702</v>
      </c>
      <c r="P1199">
        <v>4.8</v>
      </c>
      <c r="Q1199">
        <v>97</v>
      </c>
      <c r="R1199">
        <v>695</v>
      </c>
    </row>
    <row r="1200" spans="1:18" hidden="1" x14ac:dyDescent="0.2">
      <c r="A1200">
        <v>5</v>
      </c>
      <c r="B1200" t="s">
        <v>100</v>
      </c>
      <c r="E1200" t="s">
        <v>29</v>
      </c>
      <c r="F1200">
        <v>2574450</v>
      </c>
      <c r="G1200">
        <v>4</v>
      </c>
      <c r="H1200">
        <v>2</v>
      </c>
      <c r="I1200">
        <v>936</v>
      </c>
      <c r="J1200">
        <v>1960</v>
      </c>
      <c r="K1200" s="4">
        <v>45144</v>
      </c>
      <c r="L1200" t="s">
        <v>26</v>
      </c>
      <c r="M1200" t="s">
        <v>24</v>
      </c>
      <c r="N1200">
        <v>2.93</v>
      </c>
      <c r="O1200">
        <v>1721</v>
      </c>
      <c r="P1200">
        <v>3.06</v>
      </c>
      <c r="Q1200">
        <v>252</v>
      </c>
      <c r="R1200">
        <v>695</v>
      </c>
    </row>
    <row r="1201" spans="1:18" hidden="1" x14ac:dyDescent="0.2">
      <c r="A1201">
        <v>3</v>
      </c>
      <c r="B1201" t="s">
        <v>28</v>
      </c>
      <c r="E1201" t="s">
        <v>51</v>
      </c>
      <c r="F1201">
        <v>2247385</v>
      </c>
      <c r="G1201">
        <v>4</v>
      </c>
      <c r="H1201">
        <v>3</v>
      </c>
      <c r="I1201">
        <v>318</v>
      </c>
      <c r="J1201">
        <v>1999</v>
      </c>
      <c r="K1201" s="4">
        <v>44119</v>
      </c>
      <c r="L1201" t="s">
        <v>23</v>
      </c>
      <c r="M1201" t="s">
        <v>47</v>
      </c>
      <c r="N1201">
        <v>1.64</v>
      </c>
      <c r="O1201">
        <v>965</v>
      </c>
      <c r="P1201">
        <v>2.96</v>
      </c>
      <c r="Q1201">
        <v>183</v>
      </c>
      <c r="R1201">
        <v>320</v>
      </c>
    </row>
    <row r="1202" spans="1:18" hidden="1" x14ac:dyDescent="0.2">
      <c r="A1202">
        <v>7</v>
      </c>
      <c r="B1202" t="s">
        <v>94</v>
      </c>
      <c r="E1202" t="s">
        <v>36</v>
      </c>
      <c r="F1202">
        <v>1949841</v>
      </c>
      <c r="G1202">
        <v>3</v>
      </c>
      <c r="H1202">
        <v>2</v>
      </c>
      <c r="I1202">
        <v>314</v>
      </c>
      <c r="J1202">
        <v>1999</v>
      </c>
      <c r="K1202" s="4">
        <v>45599</v>
      </c>
      <c r="L1202" t="s">
        <v>30</v>
      </c>
      <c r="M1202" t="s">
        <v>78</v>
      </c>
      <c r="N1202">
        <v>2.04</v>
      </c>
      <c r="O1202">
        <v>1249</v>
      </c>
      <c r="P1202">
        <v>3.77</v>
      </c>
      <c r="Q1202">
        <v>221</v>
      </c>
      <c r="R1202">
        <v>359</v>
      </c>
    </row>
    <row r="1203" spans="1:18" hidden="1" x14ac:dyDescent="0.2">
      <c r="A1203">
        <v>3</v>
      </c>
      <c r="B1203" t="s">
        <v>87</v>
      </c>
      <c r="E1203" t="s">
        <v>19</v>
      </c>
      <c r="F1203">
        <v>1582443</v>
      </c>
      <c r="G1203">
        <v>2</v>
      </c>
      <c r="H1203">
        <v>3</v>
      </c>
      <c r="I1203">
        <v>397</v>
      </c>
      <c r="J1203">
        <v>1974</v>
      </c>
      <c r="K1203" s="4">
        <v>44792</v>
      </c>
      <c r="L1203" t="s">
        <v>30</v>
      </c>
      <c r="M1203" t="s">
        <v>82</v>
      </c>
      <c r="N1203">
        <v>2.8</v>
      </c>
      <c r="O1203">
        <v>1447</v>
      </c>
      <c r="P1203">
        <v>1.21</v>
      </c>
      <c r="Q1203">
        <v>76</v>
      </c>
      <c r="R1203">
        <v>368</v>
      </c>
    </row>
    <row r="1204" spans="1:18" hidden="1" x14ac:dyDescent="0.2">
      <c r="A1204">
        <v>1</v>
      </c>
      <c r="B1204" t="s">
        <v>93</v>
      </c>
      <c r="E1204" t="s">
        <v>19</v>
      </c>
      <c r="F1204">
        <v>1417076</v>
      </c>
      <c r="G1204">
        <v>1</v>
      </c>
      <c r="H1204">
        <v>2</v>
      </c>
      <c r="I1204">
        <v>780</v>
      </c>
      <c r="J1204">
        <v>1951</v>
      </c>
      <c r="K1204" s="4">
        <v>44972</v>
      </c>
      <c r="L1204" t="s">
        <v>30</v>
      </c>
      <c r="M1204" t="s">
        <v>31</v>
      </c>
      <c r="N1204">
        <v>2.2799999999999998</v>
      </c>
      <c r="O1204">
        <v>1464</v>
      </c>
      <c r="P1204">
        <v>0.56999999999999995</v>
      </c>
      <c r="Q1204">
        <v>137</v>
      </c>
      <c r="R1204">
        <v>506</v>
      </c>
    </row>
    <row r="1205" spans="1:18" hidden="1" x14ac:dyDescent="0.2">
      <c r="A1205">
        <v>3</v>
      </c>
      <c r="B1205" t="s">
        <v>84</v>
      </c>
      <c r="E1205" t="s">
        <v>51</v>
      </c>
      <c r="F1205">
        <v>737540</v>
      </c>
      <c r="G1205">
        <v>4</v>
      </c>
      <c r="H1205">
        <v>3</v>
      </c>
      <c r="I1205">
        <v>655</v>
      </c>
      <c r="J1205">
        <v>1974</v>
      </c>
      <c r="K1205" s="4">
        <v>45786</v>
      </c>
      <c r="L1205" t="s">
        <v>23</v>
      </c>
      <c r="M1205" t="s">
        <v>45</v>
      </c>
      <c r="N1205">
        <v>2.71</v>
      </c>
      <c r="O1205">
        <v>1750</v>
      </c>
      <c r="P1205">
        <v>2.4</v>
      </c>
      <c r="Q1205">
        <v>276</v>
      </c>
      <c r="R1205">
        <v>477</v>
      </c>
    </row>
    <row r="1206" spans="1:18" hidden="1" x14ac:dyDescent="0.2">
      <c r="A1206">
        <v>0</v>
      </c>
      <c r="B1206" t="s">
        <v>39</v>
      </c>
      <c r="E1206" t="s">
        <v>19</v>
      </c>
      <c r="F1206">
        <v>1408807</v>
      </c>
      <c r="G1206">
        <v>0</v>
      </c>
      <c r="H1206">
        <v>2</v>
      </c>
      <c r="I1206">
        <v>554</v>
      </c>
      <c r="J1206">
        <v>1968</v>
      </c>
      <c r="K1206" s="4">
        <v>45485</v>
      </c>
      <c r="L1206" t="s">
        <v>20</v>
      </c>
      <c r="M1206" t="s">
        <v>74</v>
      </c>
      <c r="N1206">
        <v>3.36</v>
      </c>
      <c r="O1206">
        <v>1843</v>
      </c>
      <c r="P1206">
        <v>2.97</v>
      </c>
      <c r="Q1206">
        <v>74</v>
      </c>
      <c r="R1206">
        <v>448</v>
      </c>
    </row>
    <row r="1207" spans="1:18" hidden="1" x14ac:dyDescent="0.2">
      <c r="A1207">
        <v>9</v>
      </c>
      <c r="B1207" t="s">
        <v>99</v>
      </c>
      <c r="E1207" t="s">
        <v>19</v>
      </c>
      <c r="F1207">
        <v>1036240</v>
      </c>
      <c r="G1207">
        <v>3</v>
      </c>
      <c r="H1207">
        <v>3</v>
      </c>
      <c r="I1207">
        <v>664</v>
      </c>
      <c r="J1207">
        <v>1997</v>
      </c>
      <c r="K1207" s="4">
        <v>45384</v>
      </c>
      <c r="L1207" t="s">
        <v>20</v>
      </c>
      <c r="M1207" t="s">
        <v>37</v>
      </c>
      <c r="N1207">
        <v>2.87</v>
      </c>
      <c r="O1207">
        <v>2098</v>
      </c>
      <c r="P1207">
        <v>3.83</v>
      </c>
      <c r="Q1207">
        <v>84</v>
      </c>
      <c r="R1207">
        <v>429</v>
      </c>
    </row>
    <row r="1208" spans="1:18" hidden="1" x14ac:dyDescent="0.2">
      <c r="A1208">
        <v>4</v>
      </c>
      <c r="B1208" t="s">
        <v>39</v>
      </c>
      <c r="E1208" t="s">
        <v>19</v>
      </c>
      <c r="F1208">
        <v>2027528</v>
      </c>
      <c r="G1208">
        <v>3</v>
      </c>
      <c r="H1208">
        <v>3</v>
      </c>
      <c r="I1208">
        <v>461</v>
      </c>
      <c r="J1208">
        <v>1958</v>
      </c>
      <c r="K1208" s="4">
        <v>45184</v>
      </c>
      <c r="L1208" t="s">
        <v>20</v>
      </c>
      <c r="M1208" t="s">
        <v>33</v>
      </c>
      <c r="N1208">
        <v>3.15</v>
      </c>
      <c r="O1208">
        <v>1227</v>
      </c>
      <c r="P1208">
        <v>2.0099999999999998</v>
      </c>
      <c r="Q1208">
        <v>108</v>
      </c>
      <c r="R1208">
        <v>304</v>
      </c>
    </row>
    <row r="1209" spans="1:18" hidden="1" x14ac:dyDescent="0.2">
      <c r="A1209">
        <v>1</v>
      </c>
      <c r="B1209" t="s">
        <v>95</v>
      </c>
      <c r="E1209" t="s">
        <v>36</v>
      </c>
      <c r="F1209">
        <v>2496866</v>
      </c>
      <c r="G1209">
        <v>1</v>
      </c>
      <c r="H1209">
        <v>3</v>
      </c>
      <c r="I1209">
        <v>80</v>
      </c>
      <c r="J1209">
        <v>1957</v>
      </c>
      <c r="K1209" s="4">
        <v>45084</v>
      </c>
      <c r="L1209" t="s">
        <v>23</v>
      </c>
      <c r="M1209" t="s">
        <v>70</v>
      </c>
      <c r="N1209">
        <v>1.57</v>
      </c>
      <c r="O1209">
        <v>1057</v>
      </c>
      <c r="P1209">
        <v>0.63</v>
      </c>
      <c r="Q1209">
        <v>149</v>
      </c>
      <c r="R1209">
        <v>482</v>
      </c>
    </row>
    <row r="1210" spans="1:18" hidden="1" x14ac:dyDescent="0.2">
      <c r="A1210">
        <v>9</v>
      </c>
      <c r="B1210" t="s">
        <v>44</v>
      </c>
      <c r="E1210" t="s">
        <v>36</v>
      </c>
      <c r="F1210">
        <v>1916647</v>
      </c>
      <c r="G1210">
        <v>3</v>
      </c>
      <c r="H1210">
        <v>1</v>
      </c>
      <c r="I1210">
        <v>136</v>
      </c>
      <c r="J1210">
        <v>1969</v>
      </c>
      <c r="K1210" s="4">
        <v>45461</v>
      </c>
      <c r="L1210" t="s">
        <v>26</v>
      </c>
      <c r="M1210" t="s">
        <v>70</v>
      </c>
      <c r="N1210">
        <v>1.81</v>
      </c>
      <c r="O1210">
        <v>1585</v>
      </c>
      <c r="P1210">
        <v>4.1399999999999997</v>
      </c>
      <c r="Q1210">
        <v>320</v>
      </c>
      <c r="R1210">
        <v>401</v>
      </c>
    </row>
    <row r="1211" spans="1:18" hidden="1" x14ac:dyDescent="0.2">
      <c r="A1211">
        <v>9</v>
      </c>
      <c r="B1211" t="s">
        <v>64</v>
      </c>
      <c r="E1211" t="s">
        <v>29</v>
      </c>
      <c r="F1211">
        <v>594294</v>
      </c>
      <c r="G1211">
        <v>2</v>
      </c>
      <c r="H1211">
        <v>1</v>
      </c>
      <c r="I1211">
        <v>609</v>
      </c>
      <c r="J1211">
        <v>2010</v>
      </c>
      <c r="K1211" s="4">
        <v>44971</v>
      </c>
      <c r="L1211" t="s">
        <v>20</v>
      </c>
      <c r="M1211" t="s">
        <v>27</v>
      </c>
      <c r="N1211">
        <v>3.12</v>
      </c>
      <c r="O1211">
        <v>2004</v>
      </c>
      <c r="P1211">
        <v>3.99</v>
      </c>
      <c r="Q1211">
        <v>47</v>
      </c>
      <c r="R1211">
        <v>539</v>
      </c>
    </row>
    <row r="1212" spans="1:18" x14ac:dyDescent="0.2">
      <c r="A1212">
        <v>8</v>
      </c>
      <c r="B1212" t="s">
        <v>71</v>
      </c>
      <c r="E1212" t="s">
        <v>36</v>
      </c>
      <c r="F1212">
        <v>1879180</v>
      </c>
      <c r="G1212">
        <v>0</v>
      </c>
      <c r="H1212">
        <v>2</v>
      </c>
      <c r="I1212">
        <v>837</v>
      </c>
      <c r="J1212">
        <v>1977</v>
      </c>
      <c r="K1212" s="4">
        <v>45126</v>
      </c>
      <c r="L1212" t="s">
        <v>30</v>
      </c>
      <c r="M1212" t="s">
        <v>42</v>
      </c>
      <c r="N1212">
        <v>2.44</v>
      </c>
      <c r="O1212">
        <v>1492</v>
      </c>
      <c r="P1212">
        <v>3.62</v>
      </c>
      <c r="Q1212">
        <v>59</v>
      </c>
      <c r="R1212">
        <v>527</v>
      </c>
    </row>
    <row r="1213" spans="1:18" hidden="1" x14ac:dyDescent="0.2">
      <c r="A1213">
        <v>5</v>
      </c>
      <c r="B1213" t="s">
        <v>86</v>
      </c>
      <c r="E1213" t="s">
        <v>29</v>
      </c>
      <c r="F1213">
        <v>1357089</v>
      </c>
      <c r="G1213">
        <v>1</v>
      </c>
      <c r="H1213">
        <v>3</v>
      </c>
      <c r="I1213">
        <v>95</v>
      </c>
      <c r="J1213">
        <v>1986</v>
      </c>
      <c r="K1213" s="4">
        <v>44251</v>
      </c>
      <c r="L1213" t="s">
        <v>23</v>
      </c>
      <c r="M1213" t="s">
        <v>54</v>
      </c>
      <c r="N1213">
        <v>3.21</v>
      </c>
      <c r="O1213">
        <v>1062</v>
      </c>
      <c r="P1213">
        <v>1.26</v>
      </c>
      <c r="Q1213">
        <v>140</v>
      </c>
      <c r="R1213">
        <v>468</v>
      </c>
    </row>
    <row r="1214" spans="1:18" hidden="1" x14ac:dyDescent="0.2">
      <c r="A1214">
        <v>4</v>
      </c>
      <c r="B1214" t="s">
        <v>80</v>
      </c>
      <c r="E1214" t="s">
        <v>29</v>
      </c>
      <c r="F1214">
        <v>1328582</v>
      </c>
      <c r="G1214">
        <v>3</v>
      </c>
      <c r="H1214">
        <v>2</v>
      </c>
      <c r="I1214">
        <v>633</v>
      </c>
      <c r="J1214">
        <v>2017</v>
      </c>
      <c r="K1214" s="4">
        <v>44154</v>
      </c>
      <c r="L1214" t="s">
        <v>20</v>
      </c>
      <c r="M1214" t="s">
        <v>68</v>
      </c>
      <c r="N1214">
        <v>2.21</v>
      </c>
      <c r="O1214">
        <v>1592</v>
      </c>
      <c r="P1214">
        <v>0.64</v>
      </c>
      <c r="Q1214">
        <v>307</v>
      </c>
      <c r="R1214">
        <v>357</v>
      </c>
    </row>
    <row r="1215" spans="1:18" hidden="1" x14ac:dyDescent="0.2">
      <c r="A1215">
        <v>1</v>
      </c>
      <c r="B1215" t="s">
        <v>48</v>
      </c>
      <c r="E1215" t="s">
        <v>19</v>
      </c>
      <c r="F1215">
        <v>2207204</v>
      </c>
      <c r="G1215">
        <v>2</v>
      </c>
      <c r="H1215">
        <v>3</v>
      </c>
      <c r="I1215">
        <v>183</v>
      </c>
      <c r="J1215">
        <v>2013</v>
      </c>
      <c r="K1215" s="4">
        <v>44958</v>
      </c>
      <c r="L1215" t="s">
        <v>30</v>
      </c>
      <c r="M1215" t="s">
        <v>52</v>
      </c>
      <c r="N1215">
        <v>3.21</v>
      </c>
      <c r="O1215">
        <v>2262</v>
      </c>
      <c r="P1215">
        <v>1.38</v>
      </c>
      <c r="Q1215">
        <v>65</v>
      </c>
      <c r="R1215">
        <v>537</v>
      </c>
    </row>
    <row r="1216" spans="1:18" hidden="1" x14ac:dyDescent="0.2">
      <c r="A1216">
        <v>0</v>
      </c>
      <c r="B1216" t="s">
        <v>61</v>
      </c>
      <c r="E1216" t="s">
        <v>19</v>
      </c>
      <c r="F1216">
        <v>1601208</v>
      </c>
      <c r="G1216">
        <v>3</v>
      </c>
      <c r="H1216">
        <v>1</v>
      </c>
      <c r="I1216">
        <v>884</v>
      </c>
      <c r="J1216">
        <v>1985</v>
      </c>
      <c r="K1216" s="4">
        <v>44297</v>
      </c>
      <c r="L1216" t="s">
        <v>26</v>
      </c>
      <c r="M1216" t="s">
        <v>24</v>
      </c>
      <c r="N1216">
        <v>2.4</v>
      </c>
      <c r="O1216">
        <v>1895</v>
      </c>
      <c r="P1216">
        <v>1.7</v>
      </c>
      <c r="Q1216">
        <v>166</v>
      </c>
      <c r="R1216">
        <v>308</v>
      </c>
    </row>
    <row r="1217" spans="1:18" hidden="1" x14ac:dyDescent="0.2">
      <c r="A1217">
        <v>6</v>
      </c>
      <c r="B1217" t="s">
        <v>39</v>
      </c>
      <c r="E1217" t="s">
        <v>36</v>
      </c>
      <c r="F1217">
        <v>1848135</v>
      </c>
      <c r="G1217">
        <v>5</v>
      </c>
      <c r="H1217">
        <v>2</v>
      </c>
      <c r="I1217">
        <v>558</v>
      </c>
      <c r="J1217">
        <v>1959</v>
      </c>
      <c r="K1217" s="4">
        <v>45725</v>
      </c>
      <c r="L1217" t="s">
        <v>23</v>
      </c>
      <c r="M1217" t="s">
        <v>63</v>
      </c>
      <c r="N1217">
        <v>2.54</v>
      </c>
      <c r="O1217">
        <v>1345</v>
      </c>
      <c r="P1217">
        <v>4.3899999999999997</v>
      </c>
      <c r="Q1217">
        <v>361</v>
      </c>
      <c r="R1217">
        <v>333</v>
      </c>
    </row>
    <row r="1218" spans="1:18" hidden="1" x14ac:dyDescent="0.2">
      <c r="A1218">
        <v>0</v>
      </c>
      <c r="B1218" t="s">
        <v>38</v>
      </c>
      <c r="E1218" t="s">
        <v>19</v>
      </c>
      <c r="F1218">
        <v>411154</v>
      </c>
      <c r="G1218">
        <v>2</v>
      </c>
      <c r="H1218">
        <v>1</v>
      </c>
      <c r="I1218">
        <v>966</v>
      </c>
      <c r="J1218">
        <v>1980</v>
      </c>
      <c r="K1218" s="4">
        <v>44201</v>
      </c>
      <c r="L1218" t="s">
        <v>30</v>
      </c>
      <c r="M1218" t="s">
        <v>24</v>
      </c>
      <c r="N1218">
        <v>2.1</v>
      </c>
      <c r="O1218">
        <v>2482</v>
      </c>
      <c r="P1218">
        <v>1.1299999999999999</v>
      </c>
      <c r="Q1218">
        <v>145</v>
      </c>
      <c r="R1218">
        <v>520</v>
      </c>
    </row>
    <row r="1219" spans="1:18" x14ac:dyDescent="0.2">
      <c r="A1219">
        <v>8</v>
      </c>
      <c r="B1219" t="s">
        <v>73</v>
      </c>
      <c r="E1219" t="s">
        <v>29</v>
      </c>
      <c r="F1219">
        <v>455574</v>
      </c>
      <c r="G1219">
        <v>1</v>
      </c>
      <c r="H1219">
        <v>1</v>
      </c>
      <c r="I1219">
        <v>425</v>
      </c>
      <c r="J1219">
        <v>1966</v>
      </c>
      <c r="K1219" s="4">
        <v>45662</v>
      </c>
      <c r="L1219" t="s">
        <v>30</v>
      </c>
      <c r="M1219" t="s">
        <v>54</v>
      </c>
      <c r="N1219">
        <v>2.44</v>
      </c>
      <c r="O1219">
        <v>1856</v>
      </c>
      <c r="P1219">
        <v>2.48</v>
      </c>
      <c r="Q1219">
        <v>140</v>
      </c>
      <c r="R1219">
        <v>554</v>
      </c>
    </row>
    <row r="1220" spans="1:18" hidden="1" x14ac:dyDescent="0.2">
      <c r="A1220">
        <v>4</v>
      </c>
      <c r="B1220" t="s">
        <v>87</v>
      </c>
      <c r="E1220" t="s">
        <v>36</v>
      </c>
      <c r="F1220">
        <v>2922160</v>
      </c>
      <c r="G1220">
        <v>4</v>
      </c>
      <c r="H1220">
        <v>2</v>
      </c>
      <c r="I1220">
        <v>828</v>
      </c>
      <c r="J1220">
        <v>1978</v>
      </c>
      <c r="K1220" s="4">
        <v>45004</v>
      </c>
      <c r="L1220" t="s">
        <v>23</v>
      </c>
      <c r="M1220" t="s">
        <v>33</v>
      </c>
      <c r="N1220">
        <v>3.28</v>
      </c>
      <c r="O1220">
        <v>1951</v>
      </c>
      <c r="P1220">
        <v>4.6500000000000004</v>
      </c>
      <c r="Q1220">
        <v>225</v>
      </c>
      <c r="R1220">
        <v>531</v>
      </c>
    </row>
    <row r="1221" spans="1:18" hidden="1" x14ac:dyDescent="0.2">
      <c r="A1221">
        <v>6</v>
      </c>
      <c r="B1221" t="s">
        <v>91</v>
      </c>
      <c r="E1221" t="s">
        <v>51</v>
      </c>
      <c r="F1221">
        <v>1533057</v>
      </c>
      <c r="G1221">
        <v>5</v>
      </c>
      <c r="H1221">
        <v>3</v>
      </c>
      <c r="I1221">
        <v>683</v>
      </c>
      <c r="J1221">
        <v>1992</v>
      </c>
      <c r="K1221" s="4">
        <v>44249</v>
      </c>
      <c r="L1221" t="s">
        <v>20</v>
      </c>
      <c r="M1221" t="s">
        <v>77</v>
      </c>
      <c r="N1221">
        <v>1.55</v>
      </c>
      <c r="O1221">
        <v>2349</v>
      </c>
      <c r="P1221">
        <v>4.91</v>
      </c>
      <c r="Q1221">
        <v>342</v>
      </c>
      <c r="R1221">
        <v>626</v>
      </c>
    </row>
    <row r="1222" spans="1:18" x14ac:dyDescent="0.2">
      <c r="A1222">
        <v>8</v>
      </c>
      <c r="B1222" t="s">
        <v>92</v>
      </c>
      <c r="E1222" t="s">
        <v>36</v>
      </c>
      <c r="F1222">
        <v>1217885</v>
      </c>
      <c r="G1222">
        <v>2</v>
      </c>
      <c r="H1222">
        <v>1</v>
      </c>
      <c r="I1222">
        <v>314</v>
      </c>
      <c r="J1222">
        <v>1962</v>
      </c>
      <c r="K1222" s="4">
        <v>44081</v>
      </c>
      <c r="L1222" t="s">
        <v>30</v>
      </c>
      <c r="M1222" t="s">
        <v>60</v>
      </c>
      <c r="N1222">
        <v>1.5</v>
      </c>
      <c r="O1222">
        <v>1574</v>
      </c>
      <c r="P1222">
        <v>3.36</v>
      </c>
      <c r="Q1222">
        <v>141</v>
      </c>
      <c r="R1222">
        <v>652</v>
      </c>
    </row>
    <row r="1223" spans="1:18" hidden="1" x14ac:dyDescent="0.2">
      <c r="A1223">
        <v>0</v>
      </c>
      <c r="B1223" t="s">
        <v>61</v>
      </c>
      <c r="E1223" t="s">
        <v>51</v>
      </c>
      <c r="F1223">
        <v>1443992</v>
      </c>
      <c r="G1223">
        <v>2</v>
      </c>
      <c r="H1223">
        <v>1</v>
      </c>
      <c r="I1223">
        <v>520</v>
      </c>
      <c r="J1223">
        <v>1997</v>
      </c>
      <c r="K1223" s="4">
        <v>45229</v>
      </c>
      <c r="L1223" t="s">
        <v>30</v>
      </c>
      <c r="M1223" t="s">
        <v>45</v>
      </c>
      <c r="N1223">
        <v>3.26</v>
      </c>
      <c r="O1223">
        <v>1518</v>
      </c>
      <c r="P1223">
        <v>1.23</v>
      </c>
      <c r="Q1223">
        <v>105</v>
      </c>
      <c r="R1223">
        <v>347</v>
      </c>
    </row>
    <row r="1224" spans="1:18" hidden="1" x14ac:dyDescent="0.2">
      <c r="A1224">
        <v>1</v>
      </c>
      <c r="B1224" t="s">
        <v>105</v>
      </c>
      <c r="E1224" t="s">
        <v>51</v>
      </c>
      <c r="F1224">
        <v>1743452</v>
      </c>
      <c r="G1224">
        <v>6</v>
      </c>
      <c r="H1224">
        <v>2</v>
      </c>
      <c r="I1224">
        <v>498</v>
      </c>
      <c r="J1224">
        <v>1989</v>
      </c>
      <c r="K1224" s="4">
        <v>44715</v>
      </c>
      <c r="L1224" t="s">
        <v>26</v>
      </c>
      <c r="M1224" t="s">
        <v>37</v>
      </c>
      <c r="N1224">
        <v>1.54</v>
      </c>
      <c r="O1224">
        <v>1212</v>
      </c>
      <c r="P1224">
        <v>0.69</v>
      </c>
      <c r="Q1224">
        <v>362</v>
      </c>
      <c r="R1224">
        <v>584</v>
      </c>
    </row>
    <row r="1225" spans="1:18" hidden="1" x14ac:dyDescent="0.2">
      <c r="A1225">
        <v>6</v>
      </c>
      <c r="B1225" t="s">
        <v>44</v>
      </c>
      <c r="E1225" t="s">
        <v>29</v>
      </c>
      <c r="F1225">
        <v>2810778</v>
      </c>
      <c r="G1225">
        <v>4</v>
      </c>
      <c r="H1225">
        <v>3</v>
      </c>
      <c r="I1225">
        <v>693</v>
      </c>
      <c r="J1225">
        <v>1970</v>
      </c>
      <c r="K1225" s="4">
        <v>44824</v>
      </c>
      <c r="L1225" t="s">
        <v>20</v>
      </c>
      <c r="M1225" t="s">
        <v>31</v>
      </c>
      <c r="N1225">
        <v>1.83</v>
      </c>
      <c r="O1225">
        <v>1894</v>
      </c>
      <c r="P1225">
        <v>0.21</v>
      </c>
      <c r="Q1225">
        <v>361</v>
      </c>
      <c r="R1225">
        <v>448</v>
      </c>
    </row>
    <row r="1226" spans="1:18" x14ac:dyDescent="0.2">
      <c r="A1226">
        <v>8</v>
      </c>
      <c r="B1226" t="s">
        <v>57</v>
      </c>
      <c r="E1226" t="s">
        <v>19</v>
      </c>
      <c r="F1226">
        <v>821330</v>
      </c>
      <c r="G1226">
        <v>2</v>
      </c>
      <c r="H1226">
        <v>2</v>
      </c>
      <c r="I1226">
        <v>847</v>
      </c>
      <c r="J1226">
        <v>2010</v>
      </c>
      <c r="K1226" s="4">
        <v>44828</v>
      </c>
      <c r="L1226" t="s">
        <v>30</v>
      </c>
      <c r="M1226" t="s">
        <v>78</v>
      </c>
      <c r="N1226">
        <v>2.37</v>
      </c>
      <c r="O1226">
        <v>978</v>
      </c>
      <c r="P1226">
        <v>1.8</v>
      </c>
      <c r="Q1226">
        <v>123</v>
      </c>
      <c r="R1226">
        <v>385</v>
      </c>
    </row>
    <row r="1227" spans="1:18" hidden="1" x14ac:dyDescent="0.2">
      <c r="A1227">
        <v>7</v>
      </c>
      <c r="B1227" t="s">
        <v>50</v>
      </c>
      <c r="E1227" t="s">
        <v>19</v>
      </c>
      <c r="F1227">
        <v>485136</v>
      </c>
      <c r="G1227">
        <v>4</v>
      </c>
      <c r="H1227">
        <v>2</v>
      </c>
      <c r="I1227">
        <v>162</v>
      </c>
      <c r="J1227">
        <v>1952</v>
      </c>
      <c r="K1227" s="4">
        <v>44533</v>
      </c>
      <c r="L1227" t="s">
        <v>23</v>
      </c>
      <c r="M1227" t="s">
        <v>78</v>
      </c>
      <c r="N1227">
        <v>3.34</v>
      </c>
      <c r="O1227">
        <v>1682</v>
      </c>
      <c r="P1227">
        <v>1.97</v>
      </c>
      <c r="Q1227">
        <v>303</v>
      </c>
      <c r="R1227">
        <v>308</v>
      </c>
    </row>
    <row r="1228" spans="1:18" hidden="1" x14ac:dyDescent="0.2">
      <c r="A1228">
        <v>6</v>
      </c>
      <c r="B1228" t="s">
        <v>81</v>
      </c>
      <c r="E1228" t="s">
        <v>51</v>
      </c>
      <c r="F1228">
        <v>1710940</v>
      </c>
      <c r="G1228">
        <v>6</v>
      </c>
      <c r="H1228">
        <v>1</v>
      </c>
      <c r="I1228">
        <v>60</v>
      </c>
      <c r="J1228">
        <v>1967</v>
      </c>
      <c r="K1228" s="4">
        <v>44941</v>
      </c>
      <c r="L1228" t="s">
        <v>26</v>
      </c>
      <c r="M1228" t="s">
        <v>82</v>
      </c>
      <c r="N1228">
        <v>2.15</v>
      </c>
      <c r="O1228">
        <v>2018</v>
      </c>
      <c r="P1228">
        <v>2.81</v>
      </c>
      <c r="Q1228">
        <v>321</v>
      </c>
      <c r="R1228">
        <v>579</v>
      </c>
    </row>
    <row r="1229" spans="1:18" hidden="1" x14ac:dyDescent="0.2">
      <c r="A1229">
        <v>9</v>
      </c>
      <c r="B1229" t="s">
        <v>65</v>
      </c>
      <c r="E1229" t="s">
        <v>36</v>
      </c>
      <c r="F1229">
        <v>1460595</v>
      </c>
      <c r="G1229">
        <v>2</v>
      </c>
      <c r="H1229">
        <v>1</v>
      </c>
      <c r="I1229">
        <v>631</v>
      </c>
      <c r="J1229">
        <v>1994</v>
      </c>
      <c r="K1229" s="4">
        <v>44105</v>
      </c>
      <c r="L1229" t="s">
        <v>23</v>
      </c>
      <c r="M1229" t="s">
        <v>66</v>
      </c>
      <c r="N1229">
        <v>2.04</v>
      </c>
      <c r="O1229">
        <v>2460</v>
      </c>
      <c r="P1229">
        <v>3.82</v>
      </c>
      <c r="Q1229">
        <v>216</v>
      </c>
      <c r="R1229">
        <v>567</v>
      </c>
    </row>
    <row r="1230" spans="1:18" hidden="1" x14ac:dyDescent="0.2">
      <c r="A1230">
        <v>6</v>
      </c>
      <c r="B1230" t="s">
        <v>72</v>
      </c>
      <c r="E1230" t="s">
        <v>29</v>
      </c>
      <c r="F1230">
        <v>835152</v>
      </c>
      <c r="G1230">
        <v>2</v>
      </c>
      <c r="H1230">
        <v>1</v>
      </c>
      <c r="I1230">
        <v>318</v>
      </c>
      <c r="J1230">
        <v>2008</v>
      </c>
      <c r="K1230" s="4">
        <v>44280</v>
      </c>
      <c r="L1230" t="s">
        <v>26</v>
      </c>
      <c r="M1230" t="s">
        <v>77</v>
      </c>
      <c r="N1230">
        <v>3.07</v>
      </c>
      <c r="O1230">
        <v>1006</v>
      </c>
      <c r="P1230">
        <v>0.94</v>
      </c>
      <c r="Q1230">
        <v>132</v>
      </c>
      <c r="R1230">
        <v>551</v>
      </c>
    </row>
    <row r="1231" spans="1:18" hidden="1" x14ac:dyDescent="0.2">
      <c r="A1231">
        <v>4</v>
      </c>
      <c r="B1231" t="s">
        <v>101</v>
      </c>
      <c r="E1231" t="s">
        <v>36</v>
      </c>
      <c r="F1231">
        <v>2112842</v>
      </c>
      <c r="G1231">
        <v>2</v>
      </c>
      <c r="H1231">
        <v>2</v>
      </c>
      <c r="I1231">
        <v>358</v>
      </c>
      <c r="J1231">
        <v>1995</v>
      </c>
      <c r="K1231" s="4">
        <v>44591</v>
      </c>
      <c r="L1231" t="s">
        <v>20</v>
      </c>
      <c r="M1231" t="s">
        <v>21</v>
      </c>
      <c r="N1231">
        <v>2.15</v>
      </c>
      <c r="O1231">
        <v>1186</v>
      </c>
      <c r="P1231">
        <v>1.92</v>
      </c>
      <c r="Q1231">
        <v>105</v>
      </c>
      <c r="R1231">
        <v>437</v>
      </c>
    </row>
    <row r="1232" spans="1:18" hidden="1" x14ac:dyDescent="0.2">
      <c r="A1232">
        <v>2</v>
      </c>
      <c r="B1232" t="s">
        <v>81</v>
      </c>
      <c r="E1232" t="s">
        <v>29</v>
      </c>
      <c r="F1232">
        <v>1325718</v>
      </c>
      <c r="G1232">
        <v>4</v>
      </c>
      <c r="H1232">
        <v>1</v>
      </c>
      <c r="I1232">
        <v>744</v>
      </c>
      <c r="J1232">
        <v>2007</v>
      </c>
      <c r="K1232" s="4">
        <v>44688</v>
      </c>
      <c r="L1232" t="s">
        <v>20</v>
      </c>
      <c r="M1232" t="s">
        <v>40</v>
      </c>
      <c r="N1232">
        <v>1.8</v>
      </c>
      <c r="O1232">
        <v>879</v>
      </c>
      <c r="P1232">
        <v>3.14</v>
      </c>
      <c r="Q1232">
        <v>375</v>
      </c>
      <c r="R1232">
        <v>628</v>
      </c>
    </row>
    <row r="1233" spans="1:18" x14ac:dyDescent="0.2">
      <c r="A1233">
        <v>8</v>
      </c>
      <c r="B1233" t="s">
        <v>44</v>
      </c>
      <c r="E1233" t="s">
        <v>29</v>
      </c>
      <c r="F1233">
        <v>1612427</v>
      </c>
      <c r="G1233">
        <v>5</v>
      </c>
      <c r="H1233">
        <v>2</v>
      </c>
      <c r="I1233">
        <v>712</v>
      </c>
      <c r="J1233">
        <v>1958</v>
      </c>
      <c r="K1233" s="4">
        <v>44373</v>
      </c>
      <c r="L1233" t="s">
        <v>20</v>
      </c>
      <c r="M1233" t="s">
        <v>85</v>
      </c>
      <c r="N1233">
        <v>1.72</v>
      </c>
      <c r="O1233">
        <v>2398</v>
      </c>
      <c r="P1233">
        <v>0.87</v>
      </c>
      <c r="Q1233">
        <v>333</v>
      </c>
      <c r="R1233">
        <v>303</v>
      </c>
    </row>
    <row r="1234" spans="1:18" hidden="1" x14ac:dyDescent="0.2">
      <c r="A1234">
        <v>2</v>
      </c>
      <c r="B1234" t="s">
        <v>55</v>
      </c>
      <c r="E1234" t="s">
        <v>19</v>
      </c>
      <c r="F1234">
        <v>2170843</v>
      </c>
      <c r="G1234">
        <v>2</v>
      </c>
      <c r="H1234">
        <v>1</v>
      </c>
      <c r="I1234">
        <v>842</v>
      </c>
      <c r="J1234">
        <v>1959</v>
      </c>
      <c r="K1234" s="4">
        <v>45334</v>
      </c>
      <c r="L1234" t="s">
        <v>30</v>
      </c>
      <c r="M1234" t="s">
        <v>74</v>
      </c>
      <c r="N1234">
        <v>3.18</v>
      </c>
      <c r="O1234">
        <v>2408</v>
      </c>
      <c r="P1234">
        <v>4.2300000000000004</v>
      </c>
      <c r="Q1234">
        <v>237</v>
      </c>
      <c r="R1234">
        <v>405</v>
      </c>
    </row>
    <row r="1235" spans="1:18" hidden="1" x14ac:dyDescent="0.2">
      <c r="A1235">
        <v>0</v>
      </c>
      <c r="B1235" t="s">
        <v>64</v>
      </c>
      <c r="E1235" t="s">
        <v>19</v>
      </c>
      <c r="F1235">
        <v>2863832</v>
      </c>
      <c r="G1235">
        <v>5</v>
      </c>
      <c r="H1235">
        <v>3</v>
      </c>
      <c r="I1235">
        <v>457</v>
      </c>
      <c r="J1235">
        <v>2013</v>
      </c>
      <c r="K1235" s="4">
        <v>45112</v>
      </c>
      <c r="L1235" t="s">
        <v>26</v>
      </c>
      <c r="M1235" t="s">
        <v>24</v>
      </c>
      <c r="N1235">
        <v>3.42</v>
      </c>
      <c r="O1235">
        <v>1156</v>
      </c>
      <c r="P1235">
        <v>0.69</v>
      </c>
      <c r="Q1235">
        <v>345</v>
      </c>
      <c r="R1235">
        <v>366</v>
      </c>
    </row>
    <row r="1236" spans="1:18" hidden="1" x14ac:dyDescent="0.2">
      <c r="A1236">
        <v>3</v>
      </c>
      <c r="B1236" t="s">
        <v>100</v>
      </c>
      <c r="E1236" t="s">
        <v>29</v>
      </c>
      <c r="F1236">
        <v>2325668</v>
      </c>
      <c r="G1236">
        <v>3</v>
      </c>
      <c r="H1236">
        <v>2</v>
      </c>
      <c r="I1236">
        <v>461</v>
      </c>
      <c r="J1236">
        <v>1965</v>
      </c>
      <c r="K1236" s="4">
        <v>44138</v>
      </c>
      <c r="L1236" t="s">
        <v>23</v>
      </c>
      <c r="M1236" t="s">
        <v>58</v>
      </c>
      <c r="N1236">
        <v>3.27</v>
      </c>
      <c r="O1236">
        <v>2255</v>
      </c>
      <c r="P1236">
        <v>0.66</v>
      </c>
      <c r="Q1236">
        <v>230</v>
      </c>
      <c r="R1236">
        <v>389</v>
      </c>
    </row>
    <row r="1237" spans="1:18" hidden="1" x14ac:dyDescent="0.2">
      <c r="A1237">
        <v>5</v>
      </c>
      <c r="B1237" t="s">
        <v>81</v>
      </c>
      <c r="E1237" t="s">
        <v>36</v>
      </c>
      <c r="F1237">
        <v>1818745</v>
      </c>
      <c r="G1237">
        <v>1</v>
      </c>
      <c r="H1237">
        <v>1</v>
      </c>
      <c r="I1237">
        <v>993</v>
      </c>
      <c r="J1237">
        <v>2006</v>
      </c>
      <c r="K1237" s="4">
        <v>44715</v>
      </c>
      <c r="L1237" t="s">
        <v>23</v>
      </c>
      <c r="M1237" t="s">
        <v>45</v>
      </c>
      <c r="N1237">
        <v>2.64</v>
      </c>
      <c r="O1237">
        <v>2193</v>
      </c>
      <c r="P1237">
        <v>3.86</v>
      </c>
      <c r="Q1237">
        <v>77</v>
      </c>
      <c r="R1237">
        <v>573</v>
      </c>
    </row>
    <row r="1238" spans="1:18" hidden="1" x14ac:dyDescent="0.2">
      <c r="A1238">
        <v>1</v>
      </c>
      <c r="B1238" t="s">
        <v>84</v>
      </c>
      <c r="E1238" t="s">
        <v>29</v>
      </c>
      <c r="F1238">
        <v>1950088</v>
      </c>
      <c r="G1238">
        <v>4</v>
      </c>
      <c r="H1238">
        <v>3</v>
      </c>
      <c r="I1238">
        <v>850</v>
      </c>
      <c r="J1238">
        <v>2012</v>
      </c>
      <c r="K1238" s="4">
        <v>45521</v>
      </c>
      <c r="L1238" t="s">
        <v>23</v>
      </c>
      <c r="M1238" t="s">
        <v>76</v>
      </c>
      <c r="N1238">
        <v>3.08</v>
      </c>
      <c r="O1238">
        <v>1689</v>
      </c>
      <c r="P1238">
        <v>2.21</v>
      </c>
      <c r="Q1238">
        <v>295</v>
      </c>
      <c r="R1238">
        <v>376</v>
      </c>
    </row>
    <row r="1239" spans="1:18" x14ac:dyDescent="0.2">
      <c r="A1239">
        <v>8</v>
      </c>
      <c r="B1239" t="s">
        <v>104</v>
      </c>
      <c r="E1239" t="s">
        <v>51</v>
      </c>
      <c r="F1239">
        <v>2459040</v>
      </c>
      <c r="G1239">
        <v>4</v>
      </c>
      <c r="H1239">
        <v>1</v>
      </c>
      <c r="I1239">
        <v>733</v>
      </c>
      <c r="J1239">
        <v>1991</v>
      </c>
      <c r="K1239" s="4">
        <v>44914</v>
      </c>
      <c r="L1239" t="s">
        <v>23</v>
      </c>
      <c r="M1239" t="s">
        <v>21</v>
      </c>
      <c r="N1239">
        <v>1.93</v>
      </c>
      <c r="O1239">
        <v>1305</v>
      </c>
      <c r="P1239">
        <v>3.74</v>
      </c>
      <c r="Q1239">
        <v>252</v>
      </c>
      <c r="R1239">
        <v>318</v>
      </c>
    </row>
    <row r="1240" spans="1:18" hidden="1" x14ac:dyDescent="0.2">
      <c r="A1240">
        <v>6</v>
      </c>
      <c r="B1240" t="s">
        <v>99</v>
      </c>
      <c r="E1240" t="s">
        <v>29</v>
      </c>
      <c r="F1240">
        <v>899481</v>
      </c>
      <c r="G1240">
        <v>0</v>
      </c>
      <c r="H1240">
        <v>2</v>
      </c>
      <c r="I1240">
        <v>920</v>
      </c>
      <c r="J1240">
        <v>1992</v>
      </c>
      <c r="K1240" s="4">
        <v>44529</v>
      </c>
      <c r="L1240" t="s">
        <v>23</v>
      </c>
      <c r="M1240" t="s">
        <v>66</v>
      </c>
      <c r="N1240">
        <v>2.21</v>
      </c>
      <c r="O1240">
        <v>1442</v>
      </c>
      <c r="P1240">
        <v>4.8600000000000003</v>
      </c>
      <c r="Q1240">
        <v>44</v>
      </c>
      <c r="R1240">
        <v>469</v>
      </c>
    </row>
    <row r="1241" spans="1:18" hidden="1" x14ac:dyDescent="0.2">
      <c r="A1241">
        <v>6</v>
      </c>
      <c r="B1241" t="s">
        <v>80</v>
      </c>
      <c r="E1241" t="s">
        <v>29</v>
      </c>
      <c r="F1241">
        <v>1443712</v>
      </c>
      <c r="G1241">
        <v>4</v>
      </c>
      <c r="H1241">
        <v>2</v>
      </c>
      <c r="I1241">
        <v>809</v>
      </c>
      <c r="J1241">
        <v>1998</v>
      </c>
      <c r="K1241" s="4">
        <v>45416</v>
      </c>
      <c r="L1241" t="s">
        <v>23</v>
      </c>
      <c r="M1241" t="s">
        <v>58</v>
      </c>
      <c r="N1241">
        <v>2.72</v>
      </c>
      <c r="O1241">
        <v>2193</v>
      </c>
      <c r="P1241">
        <v>1.79</v>
      </c>
      <c r="Q1241">
        <v>255</v>
      </c>
      <c r="R1241">
        <v>663</v>
      </c>
    </row>
    <row r="1242" spans="1:18" hidden="1" x14ac:dyDescent="0.2">
      <c r="A1242">
        <v>4</v>
      </c>
      <c r="B1242" t="s">
        <v>72</v>
      </c>
      <c r="E1242" t="s">
        <v>36</v>
      </c>
      <c r="F1242">
        <v>2466458</v>
      </c>
      <c r="G1242">
        <v>1</v>
      </c>
      <c r="H1242">
        <v>1</v>
      </c>
      <c r="I1242">
        <v>526</v>
      </c>
      <c r="J1242">
        <v>1958</v>
      </c>
      <c r="K1242" s="4">
        <v>45594</v>
      </c>
      <c r="L1242" t="s">
        <v>30</v>
      </c>
      <c r="M1242" t="s">
        <v>76</v>
      </c>
      <c r="N1242">
        <v>3.13</v>
      </c>
      <c r="O1242">
        <v>2482</v>
      </c>
      <c r="P1242">
        <v>2.35</v>
      </c>
      <c r="Q1242">
        <v>71</v>
      </c>
      <c r="R1242">
        <v>412</v>
      </c>
    </row>
    <row r="1243" spans="1:18" hidden="1" x14ac:dyDescent="0.2">
      <c r="A1243">
        <v>0</v>
      </c>
      <c r="B1243" t="s">
        <v>81</v>
      </c>
      <c r="E1243" t="s">
        <v>36</v>
      </c>
      <c r="F1243">
        <v>1327774</v>
      </c>
      <c r="G1243">
        <v>4</v>
      </c>
      <c r="H1243">
        <v>2</v>
      </c>
      <c r="I1243">
        <v>808</v>
      </c>
      <c r="J1243">
        <v>1996</v>
      </c>
      <c r="K1243" s="4">
        <v>45824</v>
      </c>
      <c r="L1243" t="s">
        <v>30</v>
      </c>
      <c r="M1243" t="s">
        <v>54</v>
      </c>
      <c r="N1243">
        <v>3.43</v>
      </c>
      <c r="O1243">
        <v>1654</v>
      </c>
      <c r="P1243">
        <v>0.66</v>
      </c>
      <c r="Q1243">
        <v>399</v>
      </c>
      <c r="R1243">
        <v>695</v>
      </c>
    </row>
    <row r="1244" spans="1:18" hidden="1" x14ac:dyDescent="0.2">
      <c r="A1244">
        <v>4</v>
      </c>
      <c r="B1244" t="s">
        <v>95</v>
      </c>
      <c r="E1244" t="s">
        <v>36</v>
      </c>
      <c r="F1244">
        <v>1395239</v>
      </c>
      <c r="G1244">
        <v>3</v>
      </c>
      <c r="H1244">
        <v>2</v>
      </c>
      <c r="I1244">
        <v>808</v>
      </c>
      <c r="J1244">
        <v>1953</v>
      </c>
      <c r="K1244" s="4">
        <v>44246</v>
      </c>
      <c r="L1244" t="s">
        <v>23</v>
      </c>
      <c r="M1244" t="s">
        <v>68</v>
      </c>
      <c r="N1244">
        <v>1.74</v>
      </c>
      <c r="O1244">
        <v>1261</v>
      </c>
      <c r="P1244">
        <v>2.96</v>
      </c>
      <c r="Q1244">
        <v>287</v>
      </c>
      <c r="R1244">
        <v>497</v>
      </c>
    </row>
    <row r="1245" spans="1:18" hidden="1" x14ac:dyDescent="0.2">
      <c r="A1245">
        <v>4</v>
      </c>
      <c r="B1245" t="s">
        <v>73</v>
      </c>
      <c r="E1245" t="s">
        <v>29</v>
      </c>
      <c r="F1245">
        <v>2106237</v>
      </c>
      <c r="G1245">
        <v>4</v>
      </c>
      <c r="H1245">
        <v>3</v>
      </c>
      <c r="I1245">
        <v>511</v>
      </c>
      <c r="J1245">
        <v>1960</v>
      </c>
      <c r="K1245" s="4">
        <v>45261</v>
      </c>
      <c r="L1245" t="s">
        <v>30</v>
      </c>
      <c r="M1245" t="s">
        <v>69</v>
      </c>
      <c r="N1245">
        <v>1.59</v>
      </c>
      <c r="O1245">
        <v>1182</v>
      </c>
      <c r="P1245">
        <v>1.48</v>
      </c>
      <c r="Q1245">
        <v>209</v>
      </c>
      <c r="R1245">
        <v>527</v>
      </c>
    </row>
    <row r="1246" spans="1:18" hidden="1" x14ac:dyDescent="0.2">
      <c r="A1246">
        <v>6</v>
      </c>
      <c r="B1246" t="s">
        <v>67</v>
      </c>
      <c r="E1246" t="s">
        <v>51</v>
      </c>
      <c r="F1246">
        <v>2520969</v>
      </c>
      <c r="G1246">
        <v>4</v>
      </c>
      <c r="H1246">
        <v>3</v>
      </c>
      <c r="I1246">
        <v>556</v>
      </c>
      <c r="J1246">
        <v>1986</v>
      </c>
      <c r="K1246" s="4">
        <v>44855</v>
      </c>
      <c r="L1246" t="s">
        <v>23</v>
      </c>
      <c r="M1246" t="s">
        <v>77</v>
      </c>
      <c r="N1246">
        <v>2.92</v>
      </c>
      <c r="O1246">
        <v>926</v>
      </c>
      <c r="P1246">
        <v>1.1399999999999999</v>
      </c>
      <c r="Q1246">
        <v>248</v>
      </c>
      <c r="R1246">
        <v>422</v>
      </c>
    </row>
    <row r="1247" spans="1:18" hidden="1" x14ac:dyDescent="0.2">
      <c r="A1247">
        <v>3</v>
      </c>
      <c r="B1247" t="s">
        <v>39</v>
      </c>
      <c r="E1247" t="s">
        <v>36</v>
      </c>
      <c r="F1247">
        <v>462818</v>
      </c>
      <c r="G1247">
        <v>4</v>
      </c>
      <c r="H1247">
        <v>1</v>
      </c>
      <c r="I1247">
        <v>843</v>
      </c>
      <c r="J1247">
        <v>2018</v>
      </c>
      <c r="K1247" s="4">
        <v>44416</v>
      </c>
      <c r="L1247" t="s">
        <v>20</v>
      </c>
      <c r="M1247" t="s">
        <v>21</v>
      </c>
      <c r="N1247">
        <v>2.13</v>
      </c>
      <c r="O1247">
        <v>844</v>
      </c>
      <c r="P1247">
        <v>0.16</v>
      </c>
      <c r="Q1247">
        <v>302</v>
      </c>
      <c r="R1247">
        <v>563</v>
      </c>
    </row>
    <row r="1248" spans="1:18" hidden="1" x14ac:dyDescent="0.2">
      <c r="A1248">
        <v>1</v>
      </c>
      <c r="B1248" t="s">
        <v>53</v>
      </c>
      <c r="E1248" t="s">
        <v>36</v>
      </c>
      <c r="F1248">
        <v>2017521</v>
      </c>
      <c r="G1248">
        <v>3</v>
      </c>
      <c r="H1248">
        <v>1</v>
      </c>
      <c r="I1248">
        <v>388</v>
      </c>
      <c r="J1248">
        <v>2004</v>
      </c>
      <c r="K1248" s="4">
        <v>44225</v>
      </c>
      <c r="L1248" t="s">
        <v>26</v>
      </c>
      <c r="M1248" t="s">
        <v>74</v>
      </c>
      <c r="N1248">
        <v>3</v>
      </c>
      <c r="O1248">
        <v>1201</v>
      </c>
      <c r="P1248">
        <v>4.66</v>
      </c>
      <c r="Q1248">
        <v>313</v>
      </c>
      <c r="R1248">
        <v>619</v>
      </c>
    </row>
    <row r="1249" spans="1:18" x14ac:dyDescent="0.2">
      <c r="A1249">
        <v>8</v>
      </c>
      <c r="B1249" t="s">
        <v>87</v>
      </c>
      <c r="E1249" t="s">
        <v>36</v>
      </c>
      <c r="F1249">
        <v>927176</v>
      </c>
      <c r="G1249">
        <v>3</v>
      </c>
      <c r="H1249">
        <v>2</v>
      </c>
      <c r="I1249">
        <v>236</v>
      </c>
      <c r="J1249">
        <v>1984</v>
      </c>
      <c r="K1249" s="4">
        <v>44990</v>
      </c>
      <c r="L1249" t="s">
        <v>30</v>
      </c>
      <c r="M1249" t="s">
        <v>70</v>
      </c>
      <c r="N1249">
        <v>2.66</v>
      </c>
      <c r="O1249">
        <v>1679</v>
      </c>
      <c r="P1249">
        <v>2.2200000000000002</v>
      </c>
      <c r="Q1249">
        <v>304</v>
      </c>
      <c r="R1249">
        <v>479</v>
      </c>
    </row>
    <row r="1250" spans="1:18" hidden="1" x14ac:dyDescent="0.2">
      <c r="A1250">
        <v>1</v>
      </c>
      <c r="B1250" t="s">
        <v>72</v>
      </c>
      <c r="E1250" t="s">
        <v>29</v>
      </c>
      <c r="F1250">
        <v>2821758</v>
      </c>
      <c r="G1250">
        <v>3</v>
      </c>
      <c r="H1250">
        <v>3</v>
      </c>
      <c r="I1250">
        <v>662</v>
      </c>
      <c r="J1250">
        <v>1993</v>
      </c>
      <c r="K1250" s="4">
        <v>44936</v>
      </c>
      <c r="L1250" t="s">
        <v>20</v>
      </c>
      <c r="M1250" t="s">
        <v>35</v>
      </c>
      <c r="N1250">
        <v>2.68</v>
      </c>
      <c r="O1250">
        <v>1957</v>
      </c>
      <c r="P1250">
        <v>2.4700000000000002</v>
      </c>
      <c r="Q1250">
        <v>267</v>
      </c>
      <c r="R1250">
        <v>458</v>
      </c>
    </row>
    <row r="1251" spans="1:18" hidden="1" x14ac:dyDescent="0.2">
      <c r="A1251">
        <v>6</v>
      </c>
      <c r="B1251" t="s">
        <v>49</v>
      </c>
      <c r="E1251" t="s">
        <v>36</v>
      </c>
      <c r="F1251">
        <v>587967</v>
      </c>
      <c r="G1251">
        <v>6</v>
      </c>
      <c r="H1251">
        <v>3</v>
      </c>
      <c r="I1251">
        <v>361</v>
      </c>
      <c r="J1251">
        <v>1952</v>
      </c>
      <c r="K1251" s="4">
        <v>44177</v>
      </c>
      <c r="L1251" t="s">
        <v>20</v>
      </c>
      <c r="M1251" t="s">
        <v>33</v>
      </c>
      <c r="N1251">
        <v>1.97</v>
      </c>
      <c r="O1251">
        <v>1935</v>
      </c>
      <c r="P1251">
        <v>4.03</v>
      </c>
      <c r="Q1251">
        <v>371</v>
      </c>
      <c r="R1251">
        <v>530</v>
      </c>
    </row>
    <row r="1252" spans="1:18" hidden="1" x14ac:dyDescent="0.2">
      <c r="A1252">
        <v>3</v>
      </c>
      <c r="B1252" t="s">
        <v>50</v>
      </c>
      <c r="E1252" t="s">
        <v>19</v>
      </c>
      <c r="F1252">
        <v>999991</v>
      </c>
      <c r="G1252">
        <v>3</v>
      </c>
      <c r="H1252">
        <v>1</v>
      </c>
      <c r="I1252">
        <v>674</v>
      </c>
      <c r="J1252">
        <v>1967</v>
      </c>
      <c r="K1252" s="4">
        <v>44820</v>
      </c>
      <c r="L1252" t="s">
        <v>23</v>
      </c>
      <c r="M1252" t="s">
        <v>21</v>
      </c>
      <c r="N1252">
        <v>2.68</v>
      </c>
      <c r="O1252">
        <v>2017</v>
      </c>
      <c r="P1252">
        <v>4.0199999999999996</v>
      </c>
      <c r="Q1252">
        <v>211</v>
      </c>
      <c r="R1252">
        <v>395</v>
      </c>
    </row>
    <row r="1253" spans="1:18" x14ac:dyDescent="0.2">
      <c r="A1253">
        <v>8</v>
      </c>
      <c r="B1253" t="s">
        <v>98</v>
      </c>
      <c r="E1253" t="s">
        <v>19</v>
      </c>
      <c r="F1253">
        <v>2677009</v>
      </c>
      <c r="G1253">
        <v>4</v>
      </c>
      <c r="H1253">
        <v>3</v>
      </c>
      <c r="I1253">
        <v>499</v>
      </c>
      <c r="J1253">
        <v>1957</v>
      </c>
      <c r="K1253" s="4">
        <v>44097</v>
      </c>
      <c r="L1253" t="s">
        <v>23</v>
      </c>
      <c r="M1253" t="s">
        <v>31</v>
      </c>
      <c r="N1253">
        <v>3.24</v>
      </c>
      <c r="O1253">
        <v>1948</v>
      </c>
      <c r="P1253">
        <v>1.67</v>
      </c>
      <c r="Q1253">
        <v>324</v>
      </c>
      <c r="R1253">
        <v>335</v>
      </c>
    </row>
    <row r="1254" spans="1:18" hidden="1" x14ac:dyDescent="0.2">
      <c r="A1254">
        <v>1</v>
      </c>
      <c r="B1254" t="s">
        <v>98</v>
      </c>
      <c r="E1254" t="s">
        <v>51</v>
      </c>
      <c r="F1254">
        <v>2322171</v>
      </c>
      <c r="G1254">
        <v>2</v>
      </c>
      <c r="H1254">
        <v>3</v>
      </c>
      <c r="I1254">
        <v>579</v>
      </c>
      <c r="J1254">
        <v>1953</v>
      </c>
      <c r="K1254" s="4">
        <v>44926</v>
      </c>
      <c r="L1254" t="s">
        <v>26</v>
      </c>
      <c r="M1254" t="s">
        <v>82</v>
      </c>
      <c r="N1254">
        <v>3.2</v>
      </c>
      <c r="O1254">
        <v>2473</v>
      </c>
      <c r="P1254">
        <v>1.78</v>
      </c>
      <c r="Q1254">
        <v>42</v>
      </c>
      <c r="R1254">
        <v>522</v>
      </c>
    </row>
    <row r="1255" spans="1:18" hidden="1" x14ac:dyDescent="0.2">
      <c r="A1255">
        <v>7</v>
      </c>
      <c r="B1255" t="s">
        <v>105</v>
      </c>
      <c r="E1255" t="s">
        <v>51</v>
      </c>
      <c r="F1255">
        <v>2172832</v>
      </c>
      <c r="G1255">
        <v>1</v>
      </c>
      <c r="H1255">
        <v>1</v>
      </c>
      <c r="I1255">
        <v>792</v>
      </c>
      <c r="J1255">
        <v>1970</v>
      </c>
      <c r="K1255" s="4">
        <v>45508</v>
      </c>
      <c r="L1255" t="s">
        <v>30</v>
      </c>
      <c r="M1255" t="s">
        <v>70</v>
      </c>
      <c r="N1255">
        <v>2.34</v>
      </c>
      <c r="O1255">
        <v>893</v>
      </c>
      <c r="P1255">
        <v>2.42</v>
      </c>
      <c r="Q1255">
        <v>92</v>
      </c>
      <c r="R1255">
        <v>458</v>
      </c>
    </row>
    <row r="1256" spans="1:18" hidden="1" x14ac:dyDescent="0.2">
      <c r="A1256">
        <v>7</v>
      </c>
      <c r="B1256" t="s">
        <v>104</v>
      </c>
      <c r="E1256" t="s">
        <v>51</v>
      </c>
      <c r="F1256">
        <v>469834</v>
      </c>
      <c r="G1256">
        <v>5</v>
      </c>
      <c r="H1256">
        <v>1</v>
      </c>
      <c r="I1256">
        <v>772</v>
      </c>
      <c r="J1256">
        <v>1966</v>
      </c>
      <c r="K1256" s="4">
        <v>44077</v>
      </c>
      <c r="L1256" t="s">
        <v>26</v>
      </c>
      <c r="M1256" t="s">
        <v>59</v>
      </c>
      <c r="N1256">
        <v>1.76</v>
      </c>
      <c r="O1256">
        <v>2230</v>
      </c>
      <c r="P1256">
        <v>0.31</v>
      </c>
      <c r="Q1256">
        <v>268</v>
      </c>
      <c r="R1256">
        <v>688</v>
      </c>
    </row>
    <row r="1257" spans="1:18" hidden="1" x14ac:dyDescent="0.2">
      <c r="A1257">
        <v>4</v>
      </c>
      <c r="B1257" t="s">
        <v>83</v>
      </c>
      <c r="E1257" t="s">
        <v>29</v>
      </c>
      <c r="F1257">
        <v>1911512</v>
      </c>
      <c r="G1257">
        <v>3</v>
      </c>
      <c r="H1257">
        <v>3</v>
      </c>
      <c r="I1257">
        <v>874</v>
      </c>
      <c r="J1257">
        <v>1990</v>
      </c>
      <c r="K1257" s="4">
        <v>44281</v>
      </c>
      <c r="L1257" t="s">
        <v>26</v>
      </c>
      <c r="M1257" t="s">
        <v>56</v>
      </c>
      <c r="N1257">
        <v>2.46</v>
      </c>
      <c r="O1257">
        <v>1557</v>
      </c>
      <c r="P1257">
        <v>4.22</v>
      </c>
      <c r="Q1257">
        <v>92</v>
      </c>
      <c r="R1257">
        <v>689</v>
      </c>
    </row>
    <row r="1258" spans="1:18" hidden="1" x14ac:dyDescent="0.2">
      <c r="A1258">
        <v>7</v>
      </c>
      <c r="B1258" t="s">
        <v>41</v>
      </c>
      <c r="E1258" t="s">
        <v>36</v>
      </c>
      <c r="F1258">
        <v>2257073</v>
      </c>
      <c r="G1258">
        <v>3</v>
      </c>
      <c r="H1258">
        <v>3</v>
      </c>
      <c r="I1258">
        <v>86</v>
      </c>
      <c r="J1258">
        <v>1999</v>
      </c>
      <c r="K1258" s="4">
        <v>45134</v>
      </c>
      <c r="L1258" t="s">
        <v>23</v>
      </c>
      <c r="M1258" t="s">
        <v>85</v>
      </c>
      <c r="N1258">
        <v>1.88</v>
      </c>
      <c r="O1258">
        <v>1752</v>
      </c>
      <c r="P1258">
        <v>1.47</v>
      </c>
      <c r="Q1258">
        <v>186</v>
      </c>
      <c r="R1258">
        <v>609</v>
      </c>
    </row>
    <row r="1259" spans="1:18" hidden="1" x14ac:dyDescent="0.2">
      <c r="A1259">
        <v>2</v>
      </c>
      <c r="B1259" t="s">
        <v>93</v>
      </c>
      <c r="E1259" t="s">
        <v>19</v>
      </c>
      <c r="F1259">
        <v>479321</v>
      </c>
      <c r="G1259">
        <v>3</v>
      </c>
      <c r="H1259">
        <v>2</v>
      </c>
      <c r="I1259">
        <v>127</v>
      </c>
      <c r="J1259">
        <v>2020</v>
      </c>
      <c r="K1259" s="4">
        <v>44873</v>
      </c>
      <c r="L1259" t="s">
        <v>30</v>
      </c>
      <c r="M1259" t="s">
        <v>59</v>
      </c>
      <c r="N1259">
        <v>1.79</v>
      </c>
      <c r="O1259">
        <v>2435</v>
      </c>
      <c r="P1259">
        <v>1.9</v>
      </c>
      <c r="Q1259">
        <v>156</v>
      </c>
      <c r="R1259">
        <v>388</v>
      </c>
    </row>
    <row r="1260" spans="1:18" hidden="1" x14ac:dyDescent="0.2">
      <c r="A1260">
        <v>9</v>
      </c>
      <c r="B1260" t="s">
        <v>95</v>
      </c>
      <c r="E1260" t="s">
        <v>19</v>
      </c>
      <c r="F1260">
        <v>848461</v>
      </c>
      <c r="G1260">
        <v>0</v>
      </c>
      <c r="H1260">
        <v>2</v>
      </c>
      <c r="I1260">
        <v>376</v>
      </c>
      <c r="J1260">
        <v>1991</v>
      </c>
      <c r="K1260" s="4">
        <v>44936</v>
      </c>
      <c r="L1260" t="s">
        <v>30</v>
      </c>
      <c r="M1260" t="s">
        <v>31</v>
      </c>
      <c r="N1260">
        <v>3.14</v>
      </c>
      <c r="O1260">
        <v>2110</v>
      </c>
      <c r="P1260">
        <v>4.45</v>
      </c>
      <c r="Q1260">
        <v>61</v>
      </c>
      <c r="R1260">
        <v>633</v>
      </c>
    </row>
    <row r="1261" spans="1:18" hidden="1" x14ac:dyDescent="0.2">
      <c r="A1261">
        <v>5</v>
      </c>
      <c r="B1261" t="s">
        <v>32</v>
      </c>
      <c r="E1261" t="s">
        <v>29</v>
      </c>
      <c r="F1261">
        <v>1927750</v>
      </c>
      <c r="G1261">
        <v>3</v>
      </c>
      <c r="H1261">
        <v>1</v>
      </c>
      <c r="I1261">
        <v>992</v>
      </c>
      <c r="J1261">
        <v>1988</v>
      </c>
      <c r="K1261" s="4">
        <v>44995</v>
      </c>
      <c r="L1261" t="s">
        <v>23</v>
      </c>
      <c r="M1261" t="s">
        <v>52</v>
      </c>
      <c r="N1261">
        <v>1.97</v>
      </c>
      <c r="O1261">
        <v>2370</v>
      </c>
      <c r="P1261">
        <v>2.39</v>
      </c>
      <c r="Q1261">
        <v>127</v>
      </c>
      <c r="R1261">
        <v>510</v>
      </c>
    </row>
    <row r="1262" spans="1:18" hidden="1" x14ac:dyDescent="0.2">
      <c r="A1262">
        <v>3</v>
      </c>
      <c r="B1262" t="s">
        <v>39</v>
      </c>
      <c r="E1262" t="s">
        <v>19</v>
      </c>
      <c r="F1262">
        <v>1794665</v>
      </c>
      <c r="G1262">
        <v>0</v>
      </c>
      <c r="H1262">
        <v>2</v>
      </c>
      <c r="I1262">
        <v>198</v>
      </c>
      <c r="J1262">
        <v>1951</v>
      </c>
      <c r="K1262" s="4">
        <v>45795</v>
      </c>
      <c r="L1262" t="s">
        <v>30</v>
      </c>
      <c r="M1262" t="s">
        <v>54</v>
      </c>
      <c r="N1262">
        <v>1.83</v>
      </c>
      <c r="O1262">
        <v>1337</v>
      </c>
      <c r="P1262">
        <v>0.48</v>
      </c>
      <c r="Q1262">
        <v>68</v>
      </c>
      <c r="R1262">
        <v>437</v>
      </c>
    </row>
    <row r="1263" spans="1:18" hidden="1" x14ac:dyDescent="0.2">
      <c r="A1263">
        <v>9</v>
      </c>
      <c r="B1263" t="s">
        <v>61</v>
      </c>
      <c r="E1263" t="s">
        <v>36</v>
      </c>
      <c r="F1263">
        <v>1314052</v>
      </c>
      <c r="G1263">
        <v>2</v>
      </c>
      <c r="H1263">
        <v>2</v>
      </c>
      <c r="I1263">
        <v>647</v>
      </c>
      <c r="J1263">
        <v>1991</v>
      </c>
      <c r="K1263" s="4">
        <v>45708</v>
      </c>
      <c r="L1263" t="s">
        <v>23</v>
      </c>
      <c r="M1263" t="s">
        <v>35</v>
      </c>
      <c r="N1263">
        <v>2.33</v>
      </c>
      <c r="O1263">
        <v>915</v>
      </c>
      <c r="P1263">
        <v>4.2</v>
      </c>
      <c r="Q1263">
        <v>189</v>
      </c>
      <c r="R1263">
        <v>529</v>
      </c>
    </row>
    <row r="1264" spans="1:18" hidden="1" x14ac:dyDescent="0.2">
      <c r="A1264">
        <v>9</v>
      </c>
      <c r="B1264" t="s">
        <v>99</v>
      </c>
      <c r="E1264" t="s">
        <v>51</v>
      </c>
      <c r="F1264">
        <v>650166</v>
      </c>
      <c r="G1264">
        <v>2</v>
      </c>
      <c r="H1264">
        <v>2</v>
      </c>
      <c r="I1264">
        <v>156</v>
      </c>
      <c r="J1264">
        <v>1960</v>
      </c>
      <c r="K1264" s="4">
        <v>44239</v>
      </c>
      <c r="L1264" t="s">
        <v>30</v>
      </c>
      <c r="M1264" t="s">
        <v>40</v>
      </c>
      <c r="N1264">
        <v>1.53</v>
      </c>
      <c r="O1264">
        <v>1260</v>
      </c>
      <c r="P1264">
        <v>2.2599999999999998</v>
      </c>
      <c r="Q1264">
        <v>202</v>
      </c>
      <c r="R1264">
        <v>559</v>
      </c>
    </row>
    <row r="1265" spans="1:18" hidden="1" x14ac:dyDescent="0.2">
      <c r="A1265">
        <v>4</v>
      </c>
      <c r="B1265" t="s">
        <v>96</v>
      </c>
      <c r="E1265" t="s">
        <v>51</v>
      </c>
      <c r="F1265">
        <v>783228</v>
      </c>
      <c r="G1265">
        <v>2</v>
      </c>
      <c r="H1265">
        <v>2</v>
      </c>
      <c r="I1265">
        <v>177</v>
      </c>
      <c r="J1265">
        <v>2003</v>
      </c>
      <c r="K1265" s="4">
        <v>45637</v>
      </c>
      <c r="L1265" t="s">
        <v>20</v>
      </c>
      <c r="M1265" t="s">
        <v>69</v>
      </c>
      <c r="N1265">
        <v>3.29</v>
      </c>
      <c r="O1265">
        <v>1866</v>
      </c>
      <c r="P1265">
        <v>2.71</v>
      </c>
      <c r="Q1265">
        <v>51</v>
      </c>
      <c r="R1265">
        <v>590</v>
      </c>
    </row>
    <row r="1266" spans="1:18" hidden="1" x14ac:dyDescent="0.2">
      <c r="A1266">
        <v>6</v>
      </c>
      <c r="B1266" t="s">
        <v>62</v>
      </c>
      <c r="E1266" t="s">
        <v>51</v>
      </c>
      <c r="F1266">
        <v>1358966</v>
      </c>
      <c r="G1266">
        <v>3</v>
      </c>
      <c r="H1266">
        <v>3</v>
      </c>
      <c r="I1266">
        <v>724</v>
      </c>
      <c r="J1266">
        <v>1973</v>
      </c>
      <c r="K1266" s="4">
        <v>44667</v>
      </c>
      <c r="L1266" t="s">
        <v>23</v>
      </c>
      <c r="M1266" t="s">
        <v>45</v>
      </c>
      <c r="N1266">
        <v>2.83</v>
      </c>
      <c r="O1266">
        <v>2095</v>
      </c>
      <c r="P1266">
        <v>4.92</v>
      </c>
      <c r="Q1266">
        <v>207</v>
      </c>
      <c r="R1266">
        <v>605</v>
      </c>
    </row>
    <row r="1267" spans="1:18" hidden="1" x14ac:dyDescent="0.2">
      <c r="A1267">
        <v>9</v>
      </c>
      <c r="B1267" t="s">
        <v>86</v>
      </c>
      <c r="E1267" t="s">
        <v>29</v>
      </c>
      <c r="F1267">
        <v>2500699</v>
      </c>
      <c r="G1267">
        <v>3</v>
      </c>
      <c r="H1267">
        <v>1</v>
      </c>
      <c r="I1267">
        <v>451</v>
      </c>
      <c r="J1267">
        <v>1985</v>
      </c>
      <c r="K1267" s="4">
        <v>44320</v>
      </c>
      <c r="L1267" t="s">
        <v>20</v>
      </c>
      <c r="M1267" t="s">
        <v>31</v>
      </c>
      <c r="N1267">
        <v>3.19</v>
      </c>
      <c r="O1267">
        <v>2363</v>
      </c>
      <c r="P1267">
        <v>3.24</v>
      </c>
      <c r="Q1267">
        <v>255</v>
      </c>
      <c r="R1267">
        <v>637</v>
      </c>
    </row>
    <row r="1268" spans="1:18" hidden="1" x14ac:dyDescent="0.2">
      <c r="A1268">
        <v>3</v>
      </c>
      <c r="B1268" t="s">
        <v>95</v>
      </c>
      <c r="E1268" t="s">
        <v>36</v>
      </c>
      <c r="F1268">
        <v>2244997</v>
      </c>
      <c r="G1268">
        <v>2</v>
      </c>
      <c r="H1268">
        <v>1</v>
      </c>
      <c r="I1268">
        <v>282</v>
      </c>
      <c r="J1268">
        <v>1953</v>
      </c>
      <c r="K1268" s="4">
        <v>44525</v>
      </c>
      <c r="L1268" t="s">
        <v>23</v>
      </c>
      <c r="M1268" t="s">
        <v>35</v>
      </c>
      <c r="N1268">
        <v>1.59</v>
      </c>
      <c r="O1268">
        <v>1223</v>
      </c>
      <c r="P1268">
        <v>3.95</v>
      </c>
      <c r="Q1268">
        <v>201</v>
      </c>
      <c r="R1268">
        <v>476</v>
      </c>
    </row>
    <row r="1269" spans="1:18" x14ac:dyDescent="0.2">
      <c r="A1269">
        <v>8</v>
      </c>
      <c r="B1269" t="s">
        <v>28</v>
      </c>
      <c r="E1269" t="s">
        <v>29</v>
      </c>
      <c r="F1269">
        <v>617768</v>
      </c>
      <c r="G1269">
        <v>2</v>
      </c>
      <c r="H1269">
        <v>2</v>
      </c>
      <c r="I1269">
        <v>299</v>
      </c>
      <c r="J1269">
        <v>1955</v>
      </c>
      <c r="K1269" s="4">
        <v>45826</v>
      </c>
      <c r="L1269" t="s">
        <v>20</v>
      </c>
      <c r="M1269" t="s">
        <v>70</v>
      </c>
      <c r="N1269">
        <v>3.33</v>
      </c>
      <c r="O1269">
        <v>2492</v>
      </c>
      <c r="P1269">
        <v>3.33</v>
      </c>
      <c r="Q1269">
        <v>216</v>
      </c>
      <c r="R1269">
        <v>644</v>
      </c>
    </row>
    <row r="1270" spans="1:18" hidden="1" x14ac:dyDescent="0.2">
      <c r="A1270">
        <v>4</v>
      </c>
      <c r="B1270" t="s">
        <v>75</v>
      </c>
      <c r="E1270" t="s">
        <v>19</v>
      </c>
      <c r="F1270">
        <v>940325</v>
      </c>
      <c r="G1270">
        <v>4</v>
      </c>
      <c r="H1270">
        <v>2</v>
      </c>
      <c r="I1270">
        <v>386</v>
      </c>
      <c r="J1270">
        <v>2004</v>
      </c>
      <c r="K1270" s="4">
        <v>44967</v>
      </c>
      <c r="L1270" t="s">
        <v>23</v>
      </c>
      <c r="M1270" t="s">
        <v>40</v>
      </c>
      <c r="N1270">
        <v>3.32</v>
      </c>
      <c r="O1270">
        <v>2329</v>
      </c>
      <c r="P1270">
        <v>2.64</v>
      </c>
      <c r="Q1270">
        <v>322</v>
      </c>
      <c r="R1270">
        <v>687</v>
      </c>
    </row>
    <row r="1271" spans="1:18" hidden="1" x14ac:dyDescent="0.2">
      <c r="A1271">
        <v>0</v>
      </c>
      <c r="B1271" t="s">
        <v>64</v>
      </c>
      <c r="E1271" t="s">
        <v>36</v>
      </c>
      <c r="F1271">
        <v>2111297</v>
      </c>
      <c r="G1271">
        <v>6</v>
      </c>
      <c r="H1271">
        <v>3</v>
      </c>
      <c r="I1271">
        <v>460</v>
      </c>
      <c r="J1271">
        <v>1988</v>
      </c>
      <c r="K1271" s="4">
        <v>44091</v>
      </c>
      <c r="L1271" t="s">
        <v>26</v>
      </c>
      <c r="M1271" t="s">
        <v>27</v>
      </c>
      <c r="N1271">
        <v>2.71</v>
      </c>
      <c r="O1271">
        <v>1015</v>
      </c>
      <c r="P1271">
        <v>0.25</v>
      </c>
      <c r="Q1271">
        <v>374</v>
      </c>
      <c r="R1271">
        <v>429</v>
      </c>
    </row>
    <row r="1272" spans="1:18" hidden="1" x14ac:dyDescent="0.2">
      <c r="A1272">
        <v>3</v>
      </c>
      <c r="B1272" t="s">
        <v>93</v>
      </c>
      <c r="E1272" t="s">
        <v>29</v>
      </c>
      <c r="F1272">
        <v>2652587</v>
      </c>
      <c r="G1272">
        <v>2</v>
      </c>
      <c r="H1272">
        <v>3</v>
      </c>
      <c r="I1272">
        <v>405</v>
      </c>
      <c r="J1272">
        <v>1994</v>
      </c>
      <c r="K1272" s="4">
        <v>44442</v>
      </c>
      <c r="L1272" t="s">
        <v>20</v>
      </c>
      <c r="M1272" t="s">
        <v>60</v>
      </c>
      <c r="N1272">
        <v>2.09</v>
      </c>
      <c r="O1272">
        <v>2433</v>
      </c>
      <c r="P1272">
        <v>2.0499999999999998</v>
      </c>
      <c r="Q1272">
        <v>141</v>
      </c>
      <c r="R1272">
        <v>444</v>
      </c>
    </row>
    <row r="1273" spans="1:18" hidden="1" x14ac:dyDescent="0.2">
      <c r="A1273">
        <v>1</v>
      </c>
      <c r="B1273" t="s">
        <v>98</v>
      </c>
      <c r="E1273" t="s">
        <v>51</v>
      </c>
      <c r="F1273">
        <v>1623847</v>
      </c>
      <c r="G1273">
        <v>4</v>
      </c>
      <c r="H1273">
        <v>3</v>
      </c>
      <c r="I1273">
        <v>253</v>
      </c>
      <c r="J1273">
        <v>1977</v>
      </c>
      <c r="K1273" s="4">
        <v>45843</v>
      </c>
      <c r="L1273" t="s">
        <v>26</v>
      </c>
      <c r="M1273" t="s">
        <v>45</v>
      </c>
      <c r="N1273">
        <v>2.64</v>
      </c>
      <c r="O1273">
        <v>2170</v>
      </c>
      <c r="P1273">
        <v>2</v>
      </c>
      <c r="Q1273">
        <v>314</v>
      </c>
      <c r="R1273">
        <v>465</v>
      </c>
    </row>
    <row r="1274" spans="1:18" hidden="1" x14ac:dyDescent="0.2">
      <c r="A1274">
        <v>3</v>
      </c>
      <c r="B1274" t="s">
        <v>41</v>
      </c>
      <c r="E1274" t="s">
        <v>29</v>
      </c>
      <c r="F1274">
        <v>2112310</v>
      </c>
      <c r="G1274">
        <v>3</v>
      </c>
      <c r="H1274">
        <v>3</v>
      </c>
      <c r="I1274">
        <v>213</v>
      </c>
      <c r="J1274">
        <v>1951</v>
      </c>
      <c r="K1274" s="4">
        <v>44907</v>
      </c>
      <c r="L1274" t="s">
        <v>20</v>
      </c>
      <c r="M1274" t="s">
        <v>56</v>
      </c>
      <c r="N1274">
        <v>3.19</v>
      </c>
      <c r="O1274">
        <v>885</v>
      </c>
      <c r="P1274">
        <v>2.81</v>
      </c>
      <c r="Q1274">
        <v>82</v>
      </c>
      <c r="R1274">
        <v>610</v>
      </c>
    </row>
    <row r="1275" spans="1:18" hidden="1" x14ac:dyDescent="0.2">
      <c r="A1275">
        <v>3</v>
      </c>
      <c r="B1275" t="s">
        <v>106</v>
      </c>
      <c r="E1275" t="s">
        <v>36</v>
      </c>
      <c r="F1275">
        <v>1440011</v>
      </c>
      <c r="G1275">
        <v>0</v>
      </c>
      <c r="H1275">
        <v>1</v>
      </c>
      <c r="I1275">
        <v>775</v>
      </c>
      <c r="J1275">
        <v>1960</v>
      </c>
      <c r="K1275" s="4">
        <v>45109</v>
      </c>
      <c r="L1275" t="s">
        <v>23</v>
      </c>
      <c r="M1275" t="s">
        <v>31</v>
      </c>
      <c r="N1275">
        <v>2.61</v>
      </c>
      <c r="O1275">
        <v>2241</v>
      </c>
      <c r="P1275">
        <v>4.72</v>
      </c>
      <c r="Q1275">
        <v>67</v>
      </c>
      <c r="R1275">
        <v>646</v>
      </c>
    </row>
    <row r="1276" spans="1:18" hidden="1" x14ac:dyDescent="0.2">
      <c r="A1276">
        <v>4</v>
      </c>
      <c r="B1276" t="s">
        <v>100</v>
      </c>
      <c r="E1276" t="s">
        <v>19</v>
      </c>
      <c r="F1276">
        <v>2653001</v>
      </c>
      <c r="G1276">
        <v>3</v>
      </c>
      <c r="H1276">
        <v>1</v>
      </c>
      <c r="I1276">
        <v>380</v>
      </c>
      <c r="J1276">
        <v>2007</v>
      </c>
      <c r="K1276" s="4">
        <v>44747</v>
      </c>
      <c r="L1276" t="s">
        <v>30</v>
      </c>
      <c r="M1276" t="s">
        <v>56</v>
      </c>
      <c r="N1276">
        <v>2.5499999999999998</v>
      </c>
      <c r="O1276">
        <v>2340</v>
      </c>
      <c r="P1276">
        <v>2.63</v>
      </c>
      <c r="Q1276">
        <v>91</v>
      </c>
      <c r="R1276">
        <v>654</v>
      </c>
    </row>
    <row r="1277" spans="1:18" x14ac:dyDescent="0.2">
      <c r="A1277">
        <v>8</v>
      </c>
      <c r="B1277" t="s">
        <v>46</v>
      </c>
      <c r="E1277" t="s">
        <v>51</v>
      </c>
      <c r="F1277">
        <v>2381021</v>
      </c>
      <c r="G1277">
        <v>2</v>
      </c>
      <c r="H1277">
        <v>2</v>
      </c>
      <c r="I1277">
        <v>634</v>
      </c>
      <c r="J1277">
        <v>1994</v>
      </c>
      <c r="K1277" s="4">
        <v>44998</v>
      </c>
      <c r="L1277" t="s">
        <v>30</v>
      </c>
      <c r="M1277" t="s">
        <v>21</v>
      </c>
      <c r="N1277">
        <v>3.04</v>
      </c>
      <c r="O1277">
        <v>2072</v>
      </c>
      <c r="P1277">
        <v>2.46</v>
      </c>
      <c r="Q1277">
        <v>140</v>
      </c>
      <c r="R1277">
        <v>338</v>
      </c>
    </row>
    <row r="1278" spans="1:18" hidden="1" x14ac:dyDescent="0.2">
      <c r="A1278">
        <v>4</v>
      </c>
      <c r="B1278" t="s">
        <v>105</v>
      </c>
      <c r="E1278" t="s">
        <v>29</v>
      </c>
      <c r="F1278">
        <v>1565795</v>
      </c>
      <c r="G1278">
        <v>3</v>
      </c>
      <c r="H1278">
        <v>1</v>
      </c>
      <c r="I1278">
        <v>358</v>
      </c>
      <c r="J1278">
        <v>1991</v>
      </c>
      <c r="K1278" s="4">
        <v>44737</v>
      </c>
      <c r="L1278" t="s">
        <v>20</v>
      </c>
      <c r="M1278" t="s">
        <v>27</v>
      </c>
      <c r="N1278">
        <v>1.54</v>
      </c>
      <c r="O1278">
        <v>1235</v>
      </c>
      <c r="P1278">
        <v>3.25</v>
      </c>
      <c r="Q1278">
        <v>142</v>
      </c>
      <c r="R1278">
        <v>340</v>
      </c>
    </row>
    <row r="1279" spans="1:18" hidden="1" x14ac:dyDescent="0.2">
      <c r="A1279">
        <v>2</v>
      </c>
      <c r="B1279" t="s">
        <v>81</v>
      </c>
      <c r="E1279" t="s">
        <v>29</v>
      </c>
      <c r="F1279">
        <v>1864482</v>
      </c>
      <c r="G1279">
        <v>2</v>
      </c>
      <c r="H1279">
        <v>3</v>
      </c>
      <c r="I1279">
        <v>861</v>
      </c>
      <c r="J1279">
        <v>1998</v>
      </c>
      <c r="K1279" s="4">
        <v>45561</v>
      </c>
      <c r="L1279" t="s">
        <v>23</v>
      </c>
      <c r="M1279" t="s">
        <v>68</v>
      </c>
      <c r="N1279">
        <v>2.23</v>
      </c>
      <c r="O1279">
        <v>1193</v>
      </c>
      <c r="P1279">
        <v>3.4</v>
      </c>
      <c r="Q1279">
        <v>196</v>
      </c>
      <c r="R1279">
        <v>569</v>
      </c>
    </row>
    <row r="1280" spans="1:18" hidden="1" x14ac:dyDescent="0.2">
      <c r="A1280">
        <v>3</v>
      </c>
      <c r="B1280" t="s">
        <v>98</v>
      </c>
      <c r="E1280" t="s">
        <v>19</v>
      </c>
      <c r="F1280">
        <v>1556025</v>
      </c>
      <c r="G1280">
        <v>3</v>
      </c>
      <c r="H1280">
        <v>1</v>
      </c>
      <c r="I1280">
        <v>657</v>
      </c>
      <c r="J1280">
        <v>1950</v>
      </c>
      <c r="K1280" s="4">
        <v>45652</v>
      </c>
      <c r="L1280" t="s">
        <v>23</v>
      </c>
      <c r="M1280" t="s">
        <v>76</v>
      </c>
      <c r="N1280">
        <v>2.54</v>
      </c>
      <c r="O1280">
        <v>2352</v>
      </c>
      <c r="P1280">
        <v>3.93</v>
      </c>
      <c r="Q1280">
        <v>225</v>
      </c>
      <c r="R1280">
        <v>577</v>
      </c>
    </row>
    <row r="1281" spans="1:18" hidden="1" x14ac:dyDescent="0.2">
      <c r="A1281">
        <v>2</v>
      </c>
      <c r="B1281" t="s">
        <v>101</v>
      </c>
      <c r="E1281" t="s">
        <v>51</v>
      </c>
      <c r="F1281">
        <v>2564031</v>
      </c>
      <c r="G1281">
        <v>2</v>
      </c>
      <c r="H1281">
        <v>2</v>
      </c>
      <c r="I1281">
        <v>417</v>
      </c>
      <c r="J1281">
        <v>1973</v>
      </c>
      <c r="K1281" s="4">
        <v>44799</v>
      </c>
      <c r="L1281" t="s">
        <v>30</v>
      </c>
      <c r="M1281" t="s">
        <v>85</v>
      </c>
      <c r="N1281">
        <v>1.85</v>
      </c>
      <c r="O1281">
        <v>1428</v>
      </c>
      <c r="P1281">
        <v>2.12</v>
      </c>
      <c r="Q1281">
        <v>86</v>
      </c>
      <c r="R1281">
        <v>358</v>
      </c>
    </row>
    <row r="1282" spans="1:18" hidden="1" x14ac:dyDescent="0.2">
      <c r="A1282">
        <v>3</v>
      </c>
      <c r="B1282" t="s">
        <v>94</v>
      </c>
      <c r="E1282" t="s">
        <v>51</v>
      </c>
      <c r="F1282">
        <v>1547314</v>
      </c>
      <c r="G1282">
        <v>4</v>
      </c>
      <c r="H1282">
        <v>1</v>
      </c>
      <c r="I1282">
        <v>712</v>
      </c>
      <c r="J1282">
        <v>2015</v>
      </c>
      <c r="K1282" s="4">
        <v>44554</v>
      </c>
      <c r="L1282" t="s">
        <v>30</v>
      </c>
      <c r="M1282" t="s">
        <v>60</v>
      </c>
      <c r="N1282">
        <v>2.17</v>
      </c>
      <c r="O1282">
        <v>814</v>
      </c>
      <c r="P1282">
        <v>0.45</v>
      </c>
      <c r="Q1282">
        <v>242</v>
      </c>
      <c r="R1282">
        <v>322</v>
      </c>
    </row>
    <row r="1283" spans="1:18" hidden="1" x14ac:dyDescent="0.2">
      <c r="A1283">
        <v>1</v>
      </c>
      <c r="B1283" t="s">
        <v>100</v>
      </c>
      <c r="E1283" t="s">
        <v>29</v>
      </c>
      <c r="F1283">
        <v>2160333</v>
      </c>
      <c r="G1283">
        <v>3</v>
      </c>
      <c r="H1283">
        <v>2</v>
      </c>
      <c r="I1283">
        <v>281</v>
      </c>
      <c r="J1283">
        <v>1955</v>
      </c>
      <c r="K1283" s="4">
        <v>45491</v>
      </c>
      <c r="L1283" t="s">
        <v>23</v>
      </c>
      <c r="M1283" t="s">
        <v>70</v>
      </c>
      <c r="N1283">
        <v>2.04</v>
      </c>
      <c r="O1283">
        <v>2213</v>
      </c>
      <c r="P1283">
        <v>0.55000000000000004</v>
      </c>
      <c r="Q1283">
        <v>255</v>
      </c>
      <c r="R1283">
        <v>448</v>
      </c>
    </row>
    <row r="1284" spans="1:18" hidden="1" x14ac:dyDescent="0.2">
      <c r="A1284">
        <v>6</v>
      </c>
      <c r="B1284" t="s">
        <v>38</v>
      </c>
      <c r="E1284" t="s">
        <v>51</v>
      </c>
      <c r="F1284">
        <v>2661724</v>
      </c>
      <c r="G1284">
        <v>4</v>
      </c>
      <c r="H1284">
        <v>3</v>
      </c>
      <c r="I1284">
        <v>144</v>
      </c>
      <c r="J1284">
        <v>1982</v>
      </c>
      <c r="K1284" s="4">
        <v>44603</v>
      </c>
      <c r="L1284" t="s">
        <v>20</v>
      </c>
      <c r="M1284" t="s">
        <v>69</v>
      </c>
      <c r="N1284">
        <v>2.76</v>
      </c>
      <c r="O1284">
        <v>1255</v>
      </c>
      <c r="P1284">
        <v>1.5</v>
      </c>
      <c r="Q1284">
        <v>195</v>
      </c>
      <c r="R1284">
        <v>322</v>
      </c>
    </row>
    <row r="1285" spans="1:18" hidden="1" x14ac:dyDescent="0.2">
      <c r="A1285">
        <v>1</v>
      </c>
      <c r="B1285" t="s">
        <v>41</v>
      </c>
      <c r="E1285" t="s">
        <v>29</v>
      </c>
      <c r="F1285">
        <v>2084998</v>
      </c>
      <c r="G1285">
        <v>4</v>
      </c>
      <c r="H1285">
        <v>1</v>
      </c>
      <c r="I1285">
        <v>902</v>
      </c>
      <c r="J1285">
        <v>1982</v>
      </c>
      <c r="K1285" s="4">
        <v>44962</v>
      </c>
      <c r="L1285" t="s">
        <v>26</v>
      </c>
      <c r="M1285" t="s">
        <v>21</v>
      </c>
      <c r="N1285">
        <v>1.9</v>
      </c>
      <c r="O1285">
        <v>1350</v>
      </c>
      <c r="P1285">
        <v>1.97</v>
      </c>
      <c r="Q1285">
        <v>305</v>
      </c>
      <c r="R1285">
        <v>510</v>
      </c>
    </row>
    <row r="1286" spans="1:18" x14ac:dyDescent="0.2">
      <c r="A1286">
        <v>8</v>
      </c>
      <c r="B1286" t="s">
        <v>75</v>
      </c>
      <c r="E1286" t="s">
        <v>36</v>
      </c>
      <c r="F1286">
        <v>778488</v>
      </c>
      <c r="G1286">
        <v>2</v>
      </c>
      <c r="H1286">
        <v>2</v>
      </c>
      <c r="I1286">
        <v>907</v>
      </c>
      <c r="J1286">
        <v>1953</v>
      </c>
      <c r="K1286" s="4">
        <v>45683</v>
      </c>
      <c r="L1286" t="s">
        <v>30</v>
      </c>
      <c r="M1286" t="s">
        <v>70</v>
      </c>
      <c r="N1286">
        <v>2.48</v>
      </c>
      <c r="O1286">
        <v>1412</v>
      </c>
      <c r="P1286">
        <v>0.12</v>
      </c>
      <c r="Q1286">
        <v>162</v>
      </c>
      <c r="R1286">
        <v>671</v>
      </c>
    </row>
    <row r="1287" spans="1:18" hidden="1" x14ac:dyDescent="0.2">
      <c r="A1287">
        <v>5</v>
      </c>
      <c r="B1287" t="s">
        <v>18</v>
      </c>
      <c r="E1287" t="s">
        <v>19</v>
      </c>
      <c r="F1287">
        <v>845724</v>
      </c>
      <c r="G1287">
        <v>2</v>
      </c>
      <c r="H1287">
        <v>2</v>
      </c>
      <c r="I1287">
        <v>381</v>
      </c>
      <c r="J1287">
        <v>2011</v>
      </c>
      <c r="K1287" s="4">
        <v>44967</v>
      </c>
      <c r="L1287" t="s">
        <v>20</v>
      </c>
      <c r="M1287" t="s">
        <v>66</v>
      </c>
      <c r="N1287">
        <v>3.31</v>
      </c>
      <c r="O1287">
        <v>2132</v>
      </c>
      <c r="P1287">
        <v>1.65</v>
      </c>
      <c r="Q1287">
        <v>172</v>
      </c>
      <c r="R1287">
        <v>485</v>
      </c>
    </row>
    <row r="1288" spans="1:18" x14ac:dyDescent="0.2">
      <c r="A1288">
        <v>8</v>
      </c>
      <c r="B1288" t="s">
        <v>104</v>
      </c>
      <c r="E1288" t="s">
        <v>51</v>
      </c>
      <c r="F1288">
        <v>2783962</v>
      </c>
      <c r="G1288">
        <v>2</v>
      </c>
      <c r="H1288">
        <v>2</v>
      </c>
      <c r="I1288">
        <v>318</v>
      </c>
      <c r="J1288">
        <v>1958</v>
      </c>
      <c r="K1288" s="4">
        <v>45277</v>
      </c>
      <c r="L1288" t="s">
        <v>30</v>
      </c>
      <c r="M1288" t="s">
        <v>24</v>
      </c>
      <c r="N1288">
        <v>2.88</v>
      </c>
      <c r="O1288">
        <v>1905</v>
      </c>
      <c r="P1288">
        <v>2.2000000000000002</v>
      </c>
      <c r="Q1288">
        <v>123</v>
      </c>
      <c r="R1288">
        <v>414</v>
      </c>
    </row>
    <row r="1289" spans="1:18" hidden="1" x14ac:dyDescent="0.2">
      <c r="A1289">
        <v>7</v>
      </c>
      <c r="B1289" t="s">
        <v>88</v>
      </c>
      <c r="E1289" t="s">
        <v>29</v>
      </c>
      <c r="F1289">
        <v>2945866</v>
      </c>
      <c r="G1289">
        <v>4</v>
      </c>
      <c r="H1289">
        <v>1</v>
      </c>
      <c r="I1289">
        <v>774</v>
      </c>
      <c r="J1289">
        <v>2022</v>
      </c>
      <c r="K1289" s="4">
        <v>44409</v>
      </c>
      <c r="L1289" t="s">
        <v>20</v>
      </c>
      <c r="M1289" t="s">
        <v>45</v>
      </c>
      <c r="N1289">
        <v>1.89</v>
      </c>
      <c r="O1289">
        <v>1399</v>
      </c>
      <c r="P1289">
        <v>1.78</v>
      </c>
      <c r="Q1289">
        <v>241</v>
      </c>
      <c r="R1289">
        <v>348</v>
      </c>
    </row>
    <row r="1290" spans="1:18" hidden="1" x14ac:dyDescent="0.2">
      <c r="A1290">
        <v>1</v>
      </c>
      <c r="B1290" t="s">
        <v>71</v>
      </c>
      <c r="E1290" t="s">
        <v>51</v>
      </c>
      <c r="F1290">
        <v>1311540</v>
      </c>
      <c r="G1290">
        <v>2</v>
      </c>
      <c r="H1290">
        <v>3</v>
      </c>
      <c r="I1290">
        <v>123</v>
      </c>
      <c r="J1290">
        <v>1995</v>
      </c>
      <c r="K1290" s="4">
        <v>45074</v>
      </c>
      <c r="L1290" t="s">
        <v>30</v>
      </c>
      <c r="M1290" t="s">
        <v>31</v>
      </c>
      <c r="N1290">
        <v>2.4300000000000002</v>
      </c>
      <c r="O1290">
        <v>1198</v>
      </c>
      <c r="P1290">
        <v>4.04</v>
      </c>
      <c r="Q1290">
        <v>227</v>
      </c>
      <c r="R1290">
        <v>413</v>
      </c>
    </row>
    <row r="1291" spans="1:18" hidden="1" x14ac:dyDescent="0.2">
      <c r="A1291">
        <v>9</v>
      </c>
      <c r="B1291" t="s">
        <v>79</v>
      </c>
      <c r="E1291" t="s">
        <v>51</v>
      </c>
      <c r="F1291">
        <v>1432601</v>
      </c>
      <c r="G1291">
        <v>4</v>
      </c>
      <c r="H1291">
        <v>2</v>
      </c>
      <c r="I1291">
        <v>618</v>
      </c>
      <c r="J1291">
        <v>1965</v>
      </c>
      <c r="K1291" s="4">
        <v>44351</v>
      </c>
      <c r="L1291" t="s">
        <v>30</v>
      </c>
      <c r="M1291" t="s">
        <v>59</v>
      </c>
      <c r="N1291">
        <v>2.33</v>
      </c>
      <c r="O1291">
        <v>2317</v>
      </c>
      <c r="P1291">
        <v>1.79</v>
      </c>
      <c r="Q1291">
        <v>223</v>
      </c>
      <c r="R1291">
        <v>394</v>
      </c>
    </row>
    <row r="1292" spans="1:18" hidden="1" x14ac:dyDescent="0.2">
      <c r="A1292">
        <v>5</v>
      </c>
      <c r="B1292" t="s">
        <v>106</v>
      </c>
      <c r="E1292" t="s">
        <v>51</v>
      </c>
      <c r="F1292">
        <v>1446059</v>
      </c>
      <c r="G1292">
        <v>4</v>
      </c>
      <c r="H1292">
        <v>3</v>
      </c>
      <c r="I1292">
        <v>212</v>
      </c>
      <c r="J1292">
        <v>1954</v>
      </c>
      <c r="K1292" s="4">
        <v>45865</v>
      </c>
      <c r="L1292" t="s">
        <v>23</v>
      </c>
      <c r="M1292" t="s">
        <v>78</v>
      </c>
      <c r="N1292">
        <v>2.31</v>
      </c>
      <c r="O1292">
        <v>1165</v>
      </c>
      <c r="P1292">
        <v>3.84</v>
      </c>
      <c r="Q1292">
        <v>292</v>
      </c>
      <c r="R1292">
        <v>317</v>
      </c>
    </row>
    <row r="1293" spans="1:18" hidden="1" x14ac:dyDescent="0.2">
      <c r="A1293">
        <v>6</v>
      </c>
      <c r="B1293" t="s">
        <v>88</v>
      </c>
      <c r="E1293" t="s">
        <v>36</v>
      </c>
      <c r="F1293">
        <v>2418717</v>
      </c>
      <c r="G1293">
        <v>1</v>
      </c>
      <c r="H1293">
        <v>1</v>
      </c>
      <c r="I1293">
        <v>155</v>
      </c>
      <c r="J1293">
        <v>1992</v>
      </c>
      <c r="K1293" s="4">
        <v>45207</v>
      </c>
      <c r="L1293" t="s">
        <v>30</v>
      </c>
      <c r="M1293" t="s">
        <v>74</v>
      </c>
      <c r="N1293">
        <v>2.11</v>
      </c>
      <c r="O1293">
        <v>1516</v>
      </c>
      <c r="P1293">
        <v>3.47</v>
      </c>
      <c r="Q1293">
        <v>154</v>
      </c>
      <c r="R1293">
        <v>618</v>
      </c>
    </row>
    <row r="1294" spans="1:18" hidden="1" x14ac:dyDescent="0.2">
      <c r="A1294">
        <v>6</v>
      </c>
      <c r="B1294" t="s">
        <v>22</v>
      </c>
      <c r="E1294" t="s">
        <v>29</v>
      </c>
      <c r="F1294">
        <v>1813126</v>
      </c>
      <c r="G1294">
        <v>2</v>
      </c>
      <c r="H1294">
        <v>3</v>
      </c>
      <c r="I1294">
        <v>113</v>
      </c>
      <c r="J1294">
        <v>2014</v>
      </c>
      <c r="K1294" s="4">
        <v>44482</v>
      </c>
      <c r="L1294" t="s">
        <v>30</v>
      </c>
      <c r="M1294" t="s">
        <v>66</v>
      </c>
      <c r="N1294">
        <v>1.52</v>
      </c>
      <c r="O1294">
        <v>1453</v>
      </c>
      <c r="P1294">
        <v>3.8</v>
      </c>
      <c r="Q1294">
        <v>162</v>
      </c>
      <c r="R1294">
        <v>469</v>
      </c>
    </row>
    <row r="1295" spans="1:18" hidden="1" x14ac:dyDescent="0.2">
      <c r="A1295">
        <v>7</v>
      </c>
      <c r="B1295" t="s">
        <v>95</v>
      </c>
      <c r="E1295" t="s">
        <v>19</v>
      </c>
      <c r="F1295">
        <v>2060772</v>
      </c>
      <c r="G1295">
        <v>2</v>
      </c>
      <c r="H1295">
        <v>2</v>
      </c>
      <c r="I1295">
        <v>145</v>
      </c>
      <c r="J1295">
        <v>1982</v>
      </c>
      <c r="K1295" s="4">
        <v>44679</v>
      </c>
      <c r="L1295" t="s">
        <v>20</v>
      </c>
      <c r="M1295" t="s">
        <v>60</v>
      </c>
      <c r="N1295">
        <v>2.65</v>
      </c>
      <c r="O1295">
        <v>976</v>
      </c>
      <c r="P1295">
        <v>1.56</v>
      </c>
      <c r="Q1295">
        <v>139</v>
      </c>
      <c r="R1295">
        <v>359</v>
      </c>
    </row>
    <row r="1296" spans="1:18" hidden="1" x14ac:dyDescent="0.2">
      <c r="A1296">
        <v>7</v>
      </c>
      <c r="B1296" t="s">
        <v>84</v>
      </c>
      <c r="E1296" t="s">
        <v>29</v>
      </c>
      <c r="F1296">
        <v>2348710</v>
      </c>
      <c r="G1296">
        <v>2</v>
      </c>
      <c r="H1296">
        <v>3</v>
      </c>
      <c r="I1296">
        <v>237</v>
      </c>
      <c r="J1296">
        <v>1959</v>
      </c>
      <c r="K1296" s="4">
        <v>44103</v>
      </c>
      <c r="L1296" t="s">
        <v>23</v>
      </c>
      <c r="M1296" t="s">
        <v>60</v>
      </c>
      <c r="N1296">
        <v>1.58</v>
      </c>
      <c r="O1296">
        <v>803</v>
      </c>
      <c r="P1296">
        <v>2.7</v>
      </c>
      <c r="Q1296">
        <v>81</v>
      </c>
      <c r="R1296">
        <v>640</v>
      </c>
    </row>
    <row r="1297" spans="1:18" hidden="1" x14ac:dyDescent="0.2">
      <c r="A1297">
        <v>0</v>
      </c>
      <c r="B1297" t="s">
        <v>72</v>
      </c>
      <c r="E1297" t="s">
        <v>51</v>
      </c>
      <c r="F1297">
        <v>1845477</v>
      </c>
      <c r="G1297">
        <v>2</v>
      </c>
      <c r="H1297">
        <v>2</v>
      </c>
      <c r="I1297">
        <v>506</v>
      </c>
      <c r="J1297">
        <v>1969</v>
      </c>
      <c r="K1297" s="4">
        <v>44530</v>
      </c>
      <c r="L1297" t="s">
        <v>20</v>
      </c>
      <c r="M1297" t="s">
        <v>70</v>
      </c>
      <c r="N1297">
        <v>3.2</v>
      </c>
      <c r="O1297">
        <v>1865</v>
      </c>
      <c r="P1297">
        <v>3.08</v>
      </c>
      <c r="Q1297">
        <v>112</v>
      </c>
      <c r="R1297">
        <v>332</v>
      </c>
    </row>
    <row r="1298" spans="1:18" hidden="1" x14ac:dyDescent="0.2">
      <c r="A1298">
        <v>3</v>
      </c>
      <c r="B1298" t="s">
        <v>73</v>
      </c>
      <c r="E1298" t="s">
        <v>36</v>
      </c>
      <c r="F1298">
        <v>1102091</v>
      </c>
      <c r="G1298">
        <v>4</v>
      </c>
      <c r="H1298">
        <v>2</v>
      </c>
      <c r="I1298">
        <v>653</v>
      </c>
      <c r="J1298">
        <v>1960</v>
      </c>
      <c r="K1298" s="4">
        <v>44784</v>
      </c>
      <c r="L1298" t="s">
        <v>20</v>
      </c>
      <c r="M1298" t="s">
        <v>74</v>
      </c>
      <c r="N1298">
        <v>3.08</v>
      </c>
      <c r="O1298">
        <v>1758</v>
      </c>
      <c r="P1298">
        <v>3.01</v>
      </c>
      <c r="Q1298">
        <v>360</v>
      </c>
      <c r="R1298">
        <v>640</v>
      </c>
    </row>
    <row r="1299" spans="1:18" hidden="1" x14ac:dyDescent="0.2">
      <c r="A1299">
        <v>5</v>
      </c>
      <c r="B1299" t="s">
        <v>49</v>
      </c>
      <c r="E1299" t="s">
        <v>29</v>
      </c>
      <c r="F1299">
        <v>2585654</v>
      </c>
      <c r="G1299">
        <v>3</v>
      </c>
      <c r="H1299">
        <v>3</v>
      </c>
      <c r="I1299">
        <v>583</v>
      </c>
      <c r="J1299">
        <v>1968</v>
      </c>
      <c r="K1299" s="4">
        <v>45694</v>
      </c>
      <c r="L1299" t="s">
        <v>30</v>
      </c>
      <c r="M1299" t="s">
        <v>85</v>
      </c>
      <c r="N1299">
        <v>1.89</v>
      </c>
      <c r="O1299">
        <v>1199</v>
      </c>
      <c r="P1299">
        <v>0.16</v>
      </c>
      <c r="Q1299">
        <v>196</v>
      </c>
      <c r="R1299">
        <v>624</v>
      </c>
    </row>
    <row r="1300" spans="1:18" hidden="1" x14ac:dyDescent="0.2">
      <c r="A1300">
        <v>3</v>
      </c>
      <c r="B1300" t="s">
        <v>96</v>
      </c>
      <c r="E1300" t="s">
        <v>19</v>
      </c>
      <c r="F1300">
        <v>1217081</v>
      </c>
      <c r="G1300">
        <v>4</v>
      </c>
      <c r="H1300">
        <v>3</v>
      </c>
      <c r="I1300">
        <v>759</v>
      </c>
      <c r="J1300">
        <v>1987</v>
      </c>
      <c r="K1300" s="4">
        <v>45400</v>
      </c>
      <c r="L1300" t="s">
        <v>26</v>
      </c>
      <c r="M1300" t="s">
        <v>78</v>
      </c>
      <c r="N1300">
        <v>3.01</v>
      </c>
      <c r="O1300">
        <v>2427</v>
      </c>
      <c r="P1300">
        <v>1.08</v>
      </c>
      <c r="Q1300">
        <v>270</v>
      </c>
      <c r="R1300">
        <v>400</v>
      </c>
    </row>
    <row r="1301" spans="1:18" hidden="1" x14ac:dyDescent="0.2">
      <c r="A1301">
        <v>4</v>
      </c>
      <c r="B1301" t="s">
        <v>80</v>
      </c>
      <c r="E1301" t="s">
        <v>19</v>
      </c>
      <c r="F1301">
        <v>2713963</v>
      </c>
      <c r="G1301">
        <v>2</v>
      </c>
      <c r="H1301">
        <v>2</v>
      </c>
      <c r="I1301">
        <v>710</v>
      </c>
      <c r="J1301">
        <v>1995</v>
      </c>
      <c r="K1301" s="4">
        <v>45074</v>
      </c>
      <c r="L1301" t="s">
        <v>23</v>
      </c>
      <c r="M1301" t="s">
        <v>60</v>
      </c>
      <c r="N1301">
        <v>1.64</v>
      </c>
      <c r="O1301">
        <v>1785</v>
      </c>
      <c r="P1301">
        <v>3.88</v>
      </c>
      <c r="Q1301">
        <v>90</v>
      </c>
      <c r="R1301">
        <v>459</v>
      </c>
    </row>
    <row r="1302" spans="1:18" hidden="1" x14ac:dyDescent="0.2">
      <c r="A1302">
        <v>1</v>
      </c>
      <c r="B1302" t="s">
        <v>22</v>
      </c>
      <c r="E1302" t="s">
        <v>19</v>
      </c>
      <c r="F1302">
        <v>890514</v>
      </c>
      <c r="G1302">
        <v>2</v>
      </c>
      <c r="H1302">
        <v>2</v>
      </c>
      <c r="I1302">
        <v>156</v>
      </c>
      <c r="J1302">
        <v>1958</v>
      </c>
      <c r="K1302" s="4">
        <v>44261</v>
      </c>
      <c r="L1302" t="s">
        <v>23</v>
      </c>
      <c r="M1302" t="s">
        <v>60</v>
      </c>
      <c r="N1302">
        <v>3.26</v>
      </c>
      <c r="O1302">
        <v>1638</v>
      </c>
      <c r="P1302">
        <v>2.48</v>
      </c>
      <c r="Q1302">
        <v>131</v>
      </c>
      <c r="R1302">
        <v>533</v>
      </c>
    </row>
    <row r="1303" spans="1:18" hidden="1" x14ac:dyDescent="0.2">
      <c r="A1303">
        <v>6</v>
      </c>
      <c r="B1303" t="s">
        <v>100</v>
      </c>
      <c r="E1303" t="s">
        <v>29</v>
      </c>
      <c r="F1303">
        <v>1561297</v>
      </c>
      <c r="G1303">
        <v>3</v>
      </c>
      <c r="H1303">
        <v>1</v>
      </c>
      <c r="I1303">
        <v>94</v>
      </c>
      <c r="J1303">
        <v>1973</v>
      </c>
      <c r="K1303" s="4">
        <v>44577</v>
      </c>
      <c r="L1303" t="s">
        <v>30</v>
      </c>
      <c r="M1303" t="s">
        <v>37</v>
      </c>
      <c r="N1303">
        <v>2.97</v>
      </c>
      <c r="O1303">
        <v>1571</v>
      </c>
      <c r="P1303">
        <v>1.71</v>
      </c>
      <c r="Q1303">
        <v>134</v>
      </c>
      <c r="R1303">
        <v>449</v>
      </c>
    </row>
    <row r="1304" spans="1:18" x14ac:dyDescent="0.2">
      <c r="A1304">
        <v>8</v>
      </c>
      <c r="B1304" t="s">
        <v>101</v>
      </c>
      <c r="E1304" t="s">
        <v>19</v>
      </c>
      <c r="F1304">
        <v>2495977</v>
      </c>
      <c r="G1304">
        <v>4</v>
      </c>
      <c r="H1304">
        <v>1</v>
      </c>
      <c r="I1304">
        <v>810</v>
      </c>
      <c r="J1304">
        <v>1965</v>
      </c>
      <c r="K1304" s="4">
        <v>44835</v>
      </c>
      <c r="L1304" t="s">
        <v>20</v>
      </c>
      <c r="M1304" t="s">
        <v>52</v>
      </c>
      <c r="N1304">
        <v>3.21</v>
      </c>
      <c r="O1304">
        <v>2110</v>
      </c>
      <c r="P1304">
        <v>3.98</v>
      </c>
      <c r="Q1304">
        <v>211</v>
      </c>
      <c r="R1304">
        <v>516</v>
      </c>
    </row>
    <row r="1305" spans="1:18" x14ac:dyDescent="0.2">
      <c r="A1305">
        <v>8</v>
      </c>
      <c r="B1305" t="s">
        <v>90</v>
      </c>
      <c r="E1305" t="s">
        <v>51</v>
      </c>
      <c r="F1305">
        <v>2722791</v>
      </c>
      <c r="G1305">
        <v>4</v>
      </c>
      <c r="H1305">
        <v>1</v>
      </c>
      <c r="I1305">
        <v>850</v>
      </c>
      <c r="J1305">
        <v>2012</v>
      </c>
      <c r="K1305" s="4">
        <v>44437</v>
      </c>
      <c r="L1305" t="s">
        <v>20</v>
      </c>
      <c r="M1305" t="s">
        <v>45</v>
      </c>
      <c r="N1305">
        <v>2.83</v>
      </c>
      <c r="O1305">
        <v>1779</v>
      </c>
      <c r="P1305">
        <v>1.22</v>
      </c>
      <c r="Q1305">
        <v>310</v>
      </c>
      <c r="R1305">
        <v>606</v>
      </c>
    </row>
    <row r="1306" spans="1:18" hidden="1" x14ac:dyDescent="0.2">
      <c r="A1306">
        <v>6</v>
      </c>
      <c r="B1306" t="s">
        <v>65</v>
      </c>
      <c r="E1306" t="s">
        <v>36</v>
      </c>
      <c r="F1306">
        <v>2436940</v>
      </c>
      <c r="G1306">
        <v>3</v>
      </c>
      <c r="H1306">
        <v>3</v>
      </c>
      <c r="I1306">
        <v>53</v>
      </c>
      <c r="J1306">
        <v>1993</v>
      </c>
      <c r="K1306" s="4">
        <v>44687</v>
      </c>
      <c r="L1306" t="s">
        <v>20</v>
      </c>
      <c r="M1306" t="s">
        <v>33</v>
      </c>
      <c r="N1306">
        <v>3.16</v>
      </c>
      <c r="O1306">
        <v>1685</v>
      </c>
      <c r="P1306">
        <v>4.8</v>
      </c>
      <c r="Q1306">
        <v>104</v>
      </c>
      <c r="R1306">
        <v>674</v>
      </c>
    </row>
    <row r="1307" spans="1:18" hidden="1" x14ac:dyDescent="0.2">
      <c r="A1307">
        <v>6</v>
      </c>
      <c r="B1307" t="s">
        <v>99</v>
      </c>
      <c r="E1307" t="s">
        <v>29</v>
      </c>
      <c r="F1307">
        <v>1761867</v>
      </c>
      <c r="G1307">
        <v>3</v>
      </c>
      <c r="H1307">
        <v>3</v>
      </c>
      <c r="I1307">
        <v>558</v>
      </c>
      <c r="J1307">
        <v>1991</v>
      </c>
      <c r="K1307" s="4">
        <v>44659</v>
      </c>
      <c r="L1307" t="s">
        <v>26</v>
      </c>
      <c r="M1307" t="s">
        <v>70</v>
      </c>
      <c r="N1307">
        <v>2.4900000000000002</v>
      </c>
      <c r="O1307">
        <v>1716</v>
      </c>
      <c r="P1307">
        <v>0.26</v>
      </c>
      <c r="Q1307">
        <v>320</v>
      </c>
      <c r="R1307">
        <v>697</v>
      </c>
    </row>
    <row r="1308" spans="1:18" hidden="1" x14ac:dyDescent="0.2">
      <c r="A1308">
        <v>5</v>
      </c>
      <c r="B1308" t="s">
        <v>95</v>
      </c>
      <c r="E1308" t="s">
        <v>51</v>
      </c>
      <c r="F1308">
        <v>2701824</v>
      </c>
      <c r="G1308">
        <v>1</v>
      </c>
      <c r="H1308">
        <v>3</v>
      </c>
      <c r="I1308">
        <v>355</v>
      </c>
      <c r="J1308">
        <v>1966</v>
      </c>
      <c r="K1308" s="4">
        <v>44655</v>
      </c>
      <c r="L1308" t="s">
        <v>20</v>
      </c>
      <c r="M1308" t="s">
        <v>21</v>
      </c>
      <c r="N1308">
        <v>1.56</v>
      </c>
      <c r="O1308">
        <v>2167</v>
      </c>
      <c r="P1308">
        <v>3.72</v>
      </c>
      <c r="Q1308">
        <v>62</v>
      </c>
      <c r="R1308">
        <v>353</v>
      </c>
    </row>
    <row r="1309" spans="1:18" x14ac:dyDescent="0.2">
      <c r="A1309">
        <v>8</v>
      </c>
      <c r="B1309" t="s">
        <v>93</v>
      </c>
      <c r="E1309" t="s">
        <v>36</v>
      </c>
      <c r="F1309">
        <v>866777</v>
      </c>
      <c r="G1309">
        <v>0</v>
      </c>
      <c r="H1309">
        <v>3</v>
      </c>
      <c r="I1309">
        <v>686</v>
      </c>
      <c r="J1309">
        <v>2016</v>
      </c>
      <c r="K1309" s="4">
        <v>45779</v>
      </c>
      <c r="L1309" t="s">
        <v>20</v>
      </c>
      <c r="M1309" t="s">
        <v>97</v>
      </c>
      <c r="N1309">
        <v>1.62</v>
      </c>
      <c r="O1309">
        <v>1717</v>
      </c>
      <c r="P1309">
        <v>3.87</v>
      </c>
      <c r="Q1309">
        <v>43</v>
      </c>
      <c r="R1309">
        <v>637</v>
      </c>
    </row>
    <row r="1310" spans="1:18" hidden="1" x14ac:dyDescent="0.2">
      <c r="A1310">
        <v>0</v>
      </c>
      <c r="B1310" t="s">
        <v>92</v>
      </c>
      <c r="E1310" t="s">
        <v>19</v>
      </c>
      <c r="F1310">
        <v>964762</v>
      </c>
      <c r="G1310">
        <v>5</v>
      </c>
      <c r="H1310">
        <v>2</v>
      </c>
      <c r="I1310">
        <v>441</v>
      </c>
      <c r="J1310">
        <v>1978</v>
      </c>
      <c r="K1310" s="4">
        <v>44111</v>
      </c>
      <c r="L1310" t="s">
        <v>20</v>
      </c>
      <c r="M1310" t="s">
        <v>21</v>
      </c>
      <c r="N1310">
        <v>3.3</v>
      </c>
      <c r="O1310">
        <v>1063</v>
      </c>
      <c r="P1310">
        <v>4.7699999999999996</v>
      </c>
      <c r="Q1310">
        <v>383</v>
      </c>
      <c r="R1310">
        <v>504</v>
      </c>
    </row>
    <row r="1311" spans="1:18" x14ac:dyDescent="0.2">
      <c r="A1311">
        <v>8</v>
      </c>
      <c r="B1311" t="s">
        <v>50</v>
      </c>
      <c r="E1311" t="s">
        <v>19</v>
      </c>
      <c r="F1311">
        <v>1397786</v>
      </c>
      <c r="G1311">
        <v>4</v>
      </c>
      <c r="H1311">
        <v>1</v>
      </c>
      <c r="I1311">
        <v>308</v>
      </c>
      <c r="J1311">
        <v>1964</v>
      </c>
      <c r="K1311" s="4">
        <v>44616</v>
      </c>
      <c r="L1311" t="s">
        <v>20</v>
      </c>
      <c r="M1311" t="s">
        <v>89</v>
      </c>
      <c r="N1311">
        <v>1.6</v>
      </c>
      <c r="O1311">
        <v>2016</v>
      </c>
      <c r="P1311">
        <v>4.51</v>
      </c>
      <c r="Q1311">
        <v>236</v>
      </c>
      <c r="R1311">
        <v>478</v>
      </c>
    </row>
    <row r="1312" spans="1:18" hidden="1" x14ac:dyDescent="0.2">
      <c r="A1312">
        <v>6</v>
      </c>
      <c r="B1312" t="s">
        <v>101</v>
      </c>
      <c r="E1312" t="s">
        <v>29</v>
      </c>
      <c r="F1312">
        <v>1318971</v>
      </c>
      <c r="G1312">
        <v>5</v>
      </c>
      <c r="H1312">
        <v>2</v>
      </c>
      <c r="I1312">
        <v>540</v>
      </c>
      <c r="J1312">
        <v>1985</v>
      </c>
      <c r="K1312" s="4">
        <v>45046</v>
      </c>
      <c r="L1312" t="s">
        <v>23</v>
      </c>
      <c r="M1312" t="s">
        <v>56</v>
      </c>
      <c r="N1312">
        <v>2.74</v>
      </c>
      <c r="O1312">
        <v>883</v>
      </c>
      <c r="P1312">
        <v>1.68</v>
      </c>
      <c r="Q1312">
        <v>292</v>
      </c>
      <c r="R1312">
        <v>394</v>
      </c>
    </row>
    <row r="1313" spans="1:18" hidden="1" x14ac:dyDescent="0.2">
      <c r="A1313">
        <v>5</v>
      </c>
      <c r="B1313" t="s">
        <v>79</v>
      </c>
      <c r="E1313" t="s">
        <v>19</v>
      </c>
      <c r="F1313">
        <v>2091347</v>
      </c>
      <c r="G1313">
        <v>3</v>
      </c>
      <c r="H1313">
        <v>2</v>
      </c>
      <c r="I1313">
        <v>170</v>
      </c>
      <c r="J1313">
        <v>1950</v>
      </c>
      <c r="K1313" s="4">
        <v>44734</v>
      </c>
      <c r="L1313" t="s">
        <v>23</v>
      </c>
      <c r="M1313" t="s">
        <v>37</v>
      </c>
      <c r="N1313">
        <v>2.06</v>
      </c>
      <c r="O1313">
        <v>2405</v>
      </c>
      <c r="P1313">
        <v>3.17</v>
      </c>
      <c r="Q1313">
        <v>149</v>
      </c>
      <c r="R1313">
        <v>544</v>
      </c>
    </row>
    <row r="1314" spans="1:18" hidden="1" x14ac:dyDescent="0.2">
      <c r="A1314">
        <v>1</v>
      </c>
      <c r="B1314" t="s">
        <v>62</v>
      </c>
      <c r="E1314" t="s">
        <v>19</v>
      </c>
      <c r="F1314">
        <v>1445296</v>
      </c>
      <c r="G1314">
        <v>3</v>
      </c>
      <c r="H1314">
        <v>3</v>
      </c>
      <c r="I1314">
        <v>266</v>
      </c>
      <c r="J1314">
        <v>2014</v>
      </c>
      <c r="K1314" s="4">
        <v>45873</v>
      </c>
      <c r="L1314" t="s">
        <v>26</v>
      </c>
      <c r="M1314" t="s">
        <v>33</v>
      </c>
      <c r="N1314">
        <v>1.9</v>
      </c>
      <c r="O1314">
        <v>2176</v>
      </c>
      <c r="P1314">
        <v>2.2200000000000002</v>
      </c>
      <c r="Q1314">
        <v>116</v>
      </c>
      <c r="R1314">
        <v>354</v>
      </c>
    </row>
    <row r="1315" spans="1:18" hidden="1" x14ac:dyDescent="0.2">
      <c r="A1315">
        <v>9</v>
      </c>
      <c r="B1315" t="s">
        <v>32</v>
      </c>
      <c r="E1315" t="s">
        <v>36</v>
      </c>
      <c r="F1315">
        <v>2652724</v>
      </c>
      <c r="G1315">
        <v>2</v>
      </c>
      <c r="H1315">
        <v>3</v>
      </c>
      <c r="I1315">
        <v>530</v>
      </c>
      <c r="J1315">
        <v>1995</v>
      </c>
      <c r="K1315" s="4">
        <v>44816</v>
      </c>
      <c r="L1315" t="s">
        <v>30</v>
      </c>
      <c r="M1315" t="s">
        <v>56</v>
      </c>
      <c r="N1315">
        <v>2.66</v>
      </c>
      <c r="O1315">
        <v>1102</v>
      </c>
      <c r="P1315">
        <v>2.61</v>
      </c>
      <c r="Q1315">
        <v>65</v>
      </c>
      <c r="R1315">
        <v>593</v>
      </c>
    </row>
    <row r="1316" spans="1:18" hidden="1" x14ac:dyDescent="0.2">
      <c r="A1316">
        <v>6</v>
      </c>
      <c r="B1316" t="s">
        <v>62</v>
      </c>
      <c r="E1316" t="s">
        <v>36</v>
      </c>
      <c r="F1316">
        <v>1746174</v>
      </c>
      <c r="G1316">
        <v>3</v>
      </c>
      <c r="H1316">
        <v>1</v>
      </c>
      <c r="I1316">
        <v>831</v>
      </c>
      <c r="J1316">
        <v>2009</v>
      </c>
      <c r="K1316" s="4">
        <v>45217</v>
      </c>
      <c r="L1316" t="s">
        <v>30</v>
      </c>
      <c r="M1316" t="s">
        <v>27</v>
      </c>
      <c r="N1316">
        <v>2.19</v>
      </c>
      <c r="O1316">
        <v>1553</v>
      </c>
      <c r="P1316">
        <v>4.24</v>
      </c>
      <c r="Q1316">
        <v>154</v>
      </c>
      <c r="R1316">
        <v>434</v>
      </c>
    </row>
    <row r="1317" spans="1:18" hidden="1" x14ac:dyDescent="0.2">
      <c r="A1317">
        <v>0</v>
      </c>
      <c r="B1317" t="s">
        <v>106</v>
      </c>
      <c r="E1317" t="s">
        <v>36</v>
      </c>
      <c r="F1317">
        <v>1928718</v>
      </c>
      <c r="G1317">
        <v>2</v>
      </c>
      <c r="H1317">
        <v>2</v>
      </c>
      <c r="I1317">
        <v>474</v>
      </c>
      <c r="J1317">
        <v>1973</v>
      </c>
      <c r="K1317" s="4">
        <v>44520</v>
      </c>
      <c r="L1317" t="s">
        <v>26</v>
      </c>
      <c r="M1317" t="s">
        <v>70</v>
      </c>
      <c r="N1317">
        <v>1.94</v>
      </c>
      <c r="O1317">
        <v>1488</v>
      </c>
      <c r="P1317">
        <v>4.5999999999999996</v>
      </c>
      <c r="Q1317">
        <v>144</v>
      </c>
      <c r="R1317">
        <v>449</v>
      </c>
    </row>
    <row r="1318" spans="1:18" hidden="1" x14ac:dyDescent="0.2">
      <c r="A1318">
        <v>6</v>
      </c>
      <c r="B1318" t="s">
        <v>44</v>
      </c>
      <c r="E1318" t="s">
        <v>19</v>
      </c>
      <c r="F1318">
        <v>581171</v>
      </c>
      <c r="G1318">
        <v>6</v>
      </c>
      <c r="H1318">
        <v>1</v>
      </c>
      <c r="I1318">
        <v>919</v>
      </c>
      <c r="J1318">
        <v>2014</v>
      </c>
      <c r="K1318" s="4">
        <v>44908</v>
      </c>
      <c r="L1318" t="s">
        <v>23</v>
      </c>
      <c r="M1318" t="s">
        <v>82</v>
      </c>
      <c r="N1318">
        <v>2.74</v>
      </c>
      <c r="O1318">
        <v>1154</v>
      </c>
      <c r="P1318">
        <v>0.5</v>
      </c>
      <c r="Q1318">
        <v>373</v>
      </c>
      <c r="R1318">
        <v>664</v>
      </c>
    </row>
    <row r="1319" spans="1:18" hidden="1" x14ac:dyDescent="0.2">
      <c r="A1319">
        <v>9</v>
      </c>
      <c r="B1319" t="s">
        <v>87</v>
      </c>
      <c r="E1319" t="s">
        <v>36</v>
      </c>
      <c r="F1319">
        <v>2432692</v>
      </c>
      <c r="G1319">
        <v>2</v>
      </c>
      <c r="H1319">
        <v>2</v>
      </c>
      <c r="I1319">
        <v>100</v>
      </c>
      <c r="J1319">
        <v>1962</v>
      </c>
      <c r="K1319" s="4">
        <v>44356</v>
      </c>
      <c r="L1319" t="s">
        <v>23</v>
      </c>
      <c r="M1319" t="s">
        <v>24</v>
      </c>
      <c r="N1319">
        <v>2.52</v>
      </c>
      <c r="O1319">
        <v>1797</v>
      </c>
      <c r="P1319">
        <v>2.71</v>
      </c>
      <c r="Q1319">
        <v>102</v>
      </c>
      <c r="R1319">
        <v>412</v>
      </c>
    </row>
    <row r="1320" spans="1:18" hidden="1" x14ac:dyDescent="0.2">
      <c r="A1320">
        <v>2</v>
      </c>
      <c r="B1320" t="s">
        <v>101</v>
      </c>
      <c r="E1320" t="s">
        <v>36</v>
      </c>
      <c r="F1320">
        <v>2036889</v>
      </c>
      <c r="G1320">
        <v>5</v>
      </c>
      <c r="H1320">
        <v>1</v>
      </c>
      <c r="I1320">
        <v>293</v>
      </c>
      <c r="J1320">
        <v>1975</v>
      </c>
      <c r="K1320" s="4">
        <v>44546</v>
      </c>
      <c r="L1320" t="s">
        <v>30</v>
      </c>
      <c r="M1320" t="s">
        <v>24</v>
      </c>
      <c r="N1320">
        <v>2.82</v>
      </c>
      <c r="O1320">
        <v>2002</v>
      </c>
      <c r="P1320">
        <v>3.67</v>
      </c>
      <c r="Q1320">
        <v>355</v>
      </c>
      <c r="R1320">
        <v>580</v>
      </c>
    </row>
    <row r="1321" spans="1:18" hidden="1" x14ac:dyDescent="0.2">
      <c r="A1321">
        <v>9</v>
      </c>
      <c r="B1321" t="s">
        <v>28</v>
      </c>
      <c r="E1321" t="s">
        <v>19</v>
      </c>
      <c r="F1321">
        <v>2329503</v>
      </c>
      <c r="G1321">
        <v>3</v>
      </c>
      <c r="H1321">
        <v>3</v>
      </c>
      <c r="I1321">
        <v>281</v>
      </c>
      <c r="J1321">
        <v>2010</v>
      </c>
      <c r="K1321" s="4">
        <v>44387</v>
      </c>
      <c r="L1321" t="s">
        <v>30</v>
      </c>
      <c r="M1321" t="s">
        <v>82</v>
      </c>
      <c r="N1321">
        <v>1.83</v>
      </c>
      <c r="O1321">
        <v>1246</v>
      </c>
      <c r="P1321">
        <v>1.02</v>
      </c>
      <c r="Q1321">
        <v>86</v>
      </c>
      <c r="R1321">
        <v>496</v>
      </c>
    </row>
    <row r="1322" spans="1:18" hidden="1" x14ac:dyDescent="0.2">
      <c r="A1322">
        <v>3</v>
      </c>
      <c r="B1322" t="s">
        <v>83</v>
      </c>
      <c r="E1322" t="s">
        <v>51</v>
      </c>
      <c r="F1322">
        <v>746543</v>
      </c>
      <c r="G1322">
        <v>4</v>
      </c>
      <c r="H1322">
        <v>1</v>
      </c>
      <c r="I1322">
        <v>952</v>
      </c>
      <c r="J1322">
        <v>1979</v>
      </c>
      <c r="K1322" s="4">
        <v>45630</v>
      </c>
      <c r="L1322" t="s">
        <v>30</v>
      </c>
      <c r="M1322" t="s">
        <v>27</v>
      </c>
      <c r="N1322">
        <v>3.35</v>
      </c>
      <c r="O1322">
        <v>1403</v>
      </c>
      <c r="P1322">
        <v>4.8899999999999997</v>
      </c>
      <c r="Q1322">
        <v>179</v>
      </c>
      <c r="R1322">
        <v>586</v>
      </c>
    </row>
    <row r="1323" spans="1:18" hidden="1" x14ac:dyDescent="0.2">
      <c r="A1323">
        <v>9</v>
      </c>
      <c r="B1323" t="s">
        <v>41</v>
      </c>
      <c r="E1323" t="s">
        <v>29</v>
      </c>
      <c r="F1323">
        <v>2295122</v>
      </c>
      <c r="G1323">
        <v>4</v>
      </c>
      <c r="H1323">
        <v>2</v>
      </c>
      <c r="I1323">
        <v>548</v>
      </c>
      <c r="J1323">
        <v>2018</v>
      </c>
      <c r="K1323" s="4">
        <v>45404</v>
      </c>
      <c r="L1323" t="s">
        <v>30</v>
      </c>
      <c r="M1323" t="s">
        <v>76</v>
      </c>
      <c r="N1323">
        <v>2.39</v>
      </c>
      <c r="O1323">
        <v>1778</v>
      </c>
      <c r="P1323">
        <v>3.64</v>
      </c>
      <c r="Q1323">
        <v>314</v>
      </c>
      <c r="R1323">
        <v>696</v>
      </c>
    </row>
    <row r="1324" spans="1:18" hidden="1" x14ac:dyDescent="0.2">
      <c r="A1324">
        <v>0</v>
      </c>
      <c r="B1324" t="s">
        <v>46</v>
      </c>
      <c r="E1324" t="s">
        <v>36</v>
      </c>
      <c r="F1324">
        <v>2892479</v>
      </c>
      <c r="G1324">
        <v>4</v>
      </c>
      <c r="H1324">
        <v>1</v>
      </c>
      <c r="I1324">
        <v>471</v>
      </c>
      <c r="J1324">
        <v>2001</v>
      </c>
      <c r="K1324" s="4">
        <v>45183</v>
      </c>
      <c r="L1324" t="s">
        <v>23</v>
      </c>
      <c r="M1324" t="s">
        <v>35</v>
      </c>
      <c r="N1324">
        <v>2.73</v>
      </c>
      <c r="O1324">
        <v>1933</v>
      </c>
      <c r="P1324">
        <v>2.13</v>
      </c>
      <c r="Q1324">
        <v>333</v>
      </c>
      <c r="R1324">
        <v>321</v>
      </c>
    </row>
    <row r="1325" spans="1:18" hidden="1" x14ac:dyDescent="0.2">
      <c r="A1325">
        <v>5</v>
      </c>
      <c r="B1325" t="s">
        <v>104</v>
      </c>
      <c r="E1325" t="s">
        <v>51</v>
      </c>
      <c r="F1325">
        <v>902459</v>
      </c>
      <c r="G1325">
        <v>2</v>
      </c>
      <c r="H1325">
        <v>1</v>
      </c>
      <c r="I1325">
        <v>270</v>
      </c>
      <c r="J1325">
        <v>1993</v>
      </c>
      <c r="K1325" s="4">
        <v>44542</v>
      </c>
      <c r="L1325" t="s">
        <v>26</v>
      </c>
      <c r="M1325" t="s">
        <v>56</v>
      </c>
      <c r="N1325">
        <v>2.61</v>
      </c>
      <c r="O1325">
        <v>816</v>
      </c>
      <c r="P1325">
        <v>2.79</v>
      </c>
      <c r="Q1325">
        <v>71</v>
      </c>
      <c r="R1325">
        <v>475</v>
      </c>
    </row>
    <row r="1326" spans="1:18" hidden="1" x14ac:dyDescent="0.2">
      <c r="A1326">
        <v>5</v>
      </c>
      <c r="B1326" t="s">
        <v>104</v>
      </c>
      <c r="E1326" t="s">
        <v>19</v>
      </c>
      <c r="F1326">
        <v>2509736</v>
      </c>
      <c r="G1326">
        <v>3</v>
      </c>
      <c r="H1326">
        <v>2</v>
      </c>
      <c r="I1326">
        <v>788</v>
      </c>
      <c r="J1326">
        <v>2008</v>
      </c>
      <c r="K1326" s="4">
        <v>45767</v>
      </c>
      <c r="L1326" t="s">
        <v>30</v>
      </c>
      <c r="M1326" t="s">
        <v>70</v>
      </c>
      <c r="N1326">
        <v>3.41</v>
      </c>
      <c r="O1326">
        <v>1649</v>
      </c>
      <c r="P1326">
        <v>1.32</v>
      </c>
      <c r="Q1326">
        <v>289</v>
      </c>
      <c r="R1326">
        <v>532</v>
      </c>
    </row>
    <row r="1327" spans="1:18" hidden="1" x14ac:dyDescent="0.2">
      <c r="A1327">
        <v>3</v>
      </c>
      <c r="B1327" t="s">
        <v>49</v>
      </c>
      <c r="E1327" t="s">
        <v>36</v>
      </c>
      <c r="F1327">
        <v>543012</v>
      </c>
      <c r="G1327">
        <v>2</v>
      </c>
      <c r="H1327">
        <v>2</v>
      </c>
      <c r="I1327">
        <v>917</v>
      </c>
      <c r="J1327">
        <v>2018</v>
      </c>
      <c r="K1327" s="4">
        <v>44455</v>
      </c>
      <c r="L1327" t="s">
        <v>30</v>
      </c>
      <c r="M1327" t="s">
        <v>59</v>
      </c>
      <c r="N1327">
        <v>2.12</v>
      </c>
      <c r="O1327">
        <v>1521</v>
      </c>
      <c r="P1327">
        <v>0.36</v>
      </c>
      <c r="Q1327">
        <v>51</v>
      </c>
      <c r="R1327">
        <v>478</v>
      </c>
    </row>
    <row r="1328" spans="1:18" hidden="1" x14ac:dyDescent="0.2">
      <c r="A1328">
        <v>2</v>
      </c>
      <c r="B1328" t="s">
        <v>50</v>
      </c>
      <c r="E1328" t="s">
        <v>19</v>
      </c>
      <c r="F1328">
        <v>2763643</v>
      </c>
      <c r="G1328">
        <v>6</v>
      </c>
      <c r="H1328">
        <v>3</v>
      </c>
      <c r="I1328">
        <v>625</v>
      </c>
      <c r="J1328">
        <v>1993</v>
      </c>
      <c r="K1328" s="4">
        <v>44267</v>
      </c>
      <c r="L1328" t="s">
        <v>26</v>
      </c>
      <c r="M1328" t="s">
        <v>59</v>
      </c>
      <c r="N1328">
        <v>3.06</v>
      </c>
      <c r="O1328">
        <v>2276</v>
      </c>
      <c r="P1328">
        <v>3.87</v>
      </c>
      <c r="Q1328">
        <v>390</v>
      </c>
      <c r="R1328">
        <v>360</v>
      </c>
    </row>
    <row r="1329" spans="1:18" hidden="1" x14ac:dyDescent="0.2">
      <c r="A1329">
        <v>2</v>
      </c>
      <c r="B1329" t="s">
        <v>87</v>
      </c>
      <c r="E1329" t="s">
        <v>51</v>
      </c>
      <c r="F1329">
        <v>2153687</v>
      </c>
      <c r="G1329">
        <v>2</v>
      </c>
      <c r="H1329">
        <v>2</v>
      </c>
      <c r="I1329">
        <v>136</v>
      </c>
      <c r="J1329">
        <v>1993</v>
      </c>
      <c r="K1329" s="4">
        <v>45243</v>
      </c>
      <c r="L1329" t="s">
        <v>26</v>
      </c>
      <c r="M1329" t="s">
        <v>35</v>
      </c>
      <c r="N1329">
        <v>3.05</v>
      </c>
      <c r="O1329">
        <v>1730</v>
      </c>
      <c r="P1329">
        <v>0.62</v>
      </c>
      <c r="Q1329">
        <v>208</v>
      </c>
      <c r="R1329">
        <v>559</v>
      </c>
    </row>
    <row r="1330" spans="1:18" hidden="1" x14ac:dyDescent="0.2">
      <c r="A1330">
        <v>9</v>
      </c>
      <c r="B1330" t="s">
        <v>93</v>
      </c>
      <c r="E1330" t="s">
        <v>36</v>
      </c>
      <c r="F1330">
        <v>644003</v>
      </c>
      <c r="G1330">
        <v>-2</v>
      </c>
      <c r="H1330">
        <v>1</v>
      </c>
      <c r="I1330">
        <v>856</v>
      </c>
      <c r="J1330">
        <v>1972</v>
      </c>
      <c r="K1330" s="4">
        <v>45590</v>
      </c>
      <c r="L1330" t="s">
        <v>20</v>
      </c>
      <c r="M1330" t="s">
        <v>52</v>
      </c>
      <c r="N1330">
        <v>3.34</v>
      </c>
      <c r="O1330">
        <v>1020</v>
      </c>
      <c r="P1330">
        <v>2.2200000000000002</v>
      </c>
      <c r="Q1330">
        <v>333</v>
      </c>
      <c r="R1330">
        <v>304</v>
      </c>
    </row>
    <row r="1331" spans="1:18" hidden="1" x14ac:dyDescent="0.2">
      <c r="A1331">
        <v>0</v>
      </c>
      <c r="B1331" t="s">
        <v>87</v>
      </c>
      <c r="E1331" t="s">
        <v>19</v>
      </c>
      <c r="F1331">
        <v>2699653</v>
      </c>
      <c r="G1331">
        <v>2</v>
      </c>
      <c r="H1331">
        <v>3</v>
      </c>
      <c r="I1331">
        <v>197</v>
      </c>
      <c r="J1331">
        <v>1999</v>
      </c>
      <c r="K1331" s="4">
        <v>45100</v>
      </c>
      <c r="L1331" t="s">
        <v>20</v>
      </c>
      <c r="M1331" t="s">
        <v>35</v>
      </c>
      <c r="N1331">
        <v>3.3</v>
      </c>
      <c r="O1331">
        <v>1092</v>
      </c>
      <c r="P1331">
        <v>2.68</v>
      </c>
      <c r="Q1331">
        <v>211</v>
      </c>
      <c r="R1331">
        <v>409</v>
      </c>
    </row>
    <row r="1332" spans="1:18" x14ac:dyDescent="0.2">
      <c r="A1332">
        <v>8</v>
      </c>
      <c r="B1332" t="s">
        <v>18</v>
      </c>
      <c r="E1332" t="s">
        <v>51</v>
      </c>
      <c r="F1332">
        <v>2925161</v>
      </c>
      <c r="G1332">
        <v>3</v>
      </c>
      <c r="H1332">
        <v>2</v>
      </c>
      <c r="I1332">
        <v>992</v>
      </c>
      <c r="J1332">
        <v>1977</v>
      </c>
      <c r="K1332" s="4">
        <v>44133</v>
      </c>
      <c r="L1332" t="s">
        <v>23</v>
      </c>
      <c r="M1332" t="s">
        <v>66</v>
      </c>
      <c r="N1332">
        <v>2.86</v>
      </c>
      <c r="O1332">
        <v>2093</v>
      </c>
      <c r="P1332">
        <v>2.68</v>
      </c>
      <c r="Q1332">
        <v>299</v>
      </c>
      <c r="R1332">
        <v>381</v>
      </c>
    </row>
    <row r="1333" spans="1:18" hidden="1" x14ac:dyDescent="0.2">
      <c r="A1333">
        <v>2</v>
      </c>
      <c r="B1333" t="s">
        <v>75</v>
      </c>
      <c r="E1333" t="s">
        <v>19</v>
      </c>
      <c r="F1333">
        <v>1660097</v>
      </c>
      <c r="G1333">
        <v>2</v>
      </c>
      <c r="H1333">
        <v>3</v>
      </c>
      <c r="I1333">
        <v>480</v>
      </c>
      <c r="J1333">
        <v>1966</v>
      </c>
      <c r="K1333" s="4">
        <v>44101</v>
      </c>
      <c r="L1333" t="s">
        <v>26</v>
      </c>
      <c r="M1333" t="s">
        <v>82</v>
      </c>
      <c r="N1333">
        <v>1.63</v>
      </c>
      <c r="O1333">
        <v>1139</v>
      </c>
      <c r="P1333">
        <v>0.54</v>
      </c>
      <c r="Q1333">
        <v>78</v>
      </c>
      <c r="R1333">
        <v>517</v>
      </c>
    </row>
    <row r="1334" spans="1:18" hidden="1" x14ac:dyDescent="0.2">
      <c r="A1334">
        <v>3</v>
      </c>
      <c r="B1334" t="s">
        <v>80</v>
      </c>
      <c r="E1334" t="s">
        <v>51</v>
      </c>
      <c r="F1334">
        <v>1880334</v>
      </c>
      <c r="G1334">
        <v>5</v>
      </c>
      <c r="H1334">
        <v>1</v>
      </c>
      <c r="I1334">
        <v>498</v>
      </c>
      <c r="J1334">
        <v>1954</v>
      </c>
      <c r="K1334" s="4">
        <v>44566</v>
      </c>
      <c r="L1334" t="s">
        <v>20</v>
      </c>
      <c r="M1334" t="s">
        <v>47</v>
      </c>
      <c r="N1334">
        <v>3.12</v>
      </c>
      <c r="O1334">
        <v>2404</v>
      </c>
      <c r="P1334">
        <v>0.13</v>
      </c>
      <c r="Q1334">
        <v>248</v>
      </c>
      <c r="R1334">
        <v>650</v>
      </c>
    </row>
    <row r="1335" spans="1:18" hidden="1" x14ac:dyDescent="0.2">
      <c r="A1335">
        <v>6</v>
      </c>
      <c r="B1335" t="s">
        <v>49</v>
      </c>
      <c r="E1335" t="s">
        <v>19</v>
      </c>
      <c r="F1335">
        <v>1240495</v>
      </c>
      <c r="G1335">
        <v>3</v>
      </c>
      <c r="H1335">
        <v>3</v>
      </c>
      <c r="I1335">
        <v>843</v>
      </c>
      <c r="J1335">
        <v>1998</v>
      </c>
      <c r="K1335" s="4">
        <v>45319</v>
      </c>
      <c r="L1335" t="s">
        <v>30</v>
      </c>
      <c r="M1335" t="s">
        <v>52</v>
      </c>
      <c r="N1335">
        <v>2.87</v>
      </c>
      <c r="O1335">
        <v>1838</v>
      </c>
      <c r="P1335">
        <v>1.06</v>
      </c>
      <c r="Q1335">
        <v>118</v>
      </c>
      <c r="R1335">
        <v>597</v>
      </c>
    </row>
    <row r="1336" spans="1:18" x14ac:dyDescent="0.2">
      <c r="A1336">
        <v>8</v>
      </c>
      <c r="B1336" t="s">
        <v>81</v>
      </c>
      <c r="E1336" t="s">
        <v>29</v>
      </c>
      <c r="F1336">
        <v>1750291</v>
      </c>
      <c r="G1336">
        <v>5</v>
      </c>
      <c r="H1336">
        <v>3</v>
      </c>
      <c r="I1336">
        <v>844</v>
      </c>
      <c r="J1336">
        <v>1965</v>
      </c>
      <c r="K1336" s="4">
        <v>44438</v>
      </c>
      <c r="L1336" t="s">
        <v>20</v>
      </c>
      <c r="M1336" t="s">
        <v>59</v>
      </c>
      <c r="N1336">
        <v>1.68</v>
      </c>
      <c r="O1336">
        <v>1164</v>
      </c>
      <c r="P1336">
        <v>1.45</v>
      </c>
      <c r="Q1336">
        <v>283</v>
      </c>
      <c r="R1336">
        <v>363</v>
      </c>
    </row>
    <row r="1337" spans="1:18" x14ac:dyDescent="0.2">
      <c r="A1337">
        <v>8</v>
      </c>
      <c r="B1337" t="s">
        <v>99</v>
      </c>
      <c r="E1337" t="s">
        <v>29</v>
      </c>
      <c r="F1337">
        <v>2504627</v>
      </c>
      <c r="G1337">
        <v>4</v>
      </c>
      <c r="H1337">
        <v>2</v>
      </c>
      <c r="I1337">
        <v>976</v>
      </c>
      <c r="J1337">
        <v>1983</v>
      </c>
      <c r="K1337" s="4">
        <v>44814</v>
      </c>
      <c r="L1337" t="s">
        <v>26</v>
      </c>
      <c r="M1337" t="s">
        <v>60</v>
      </c>
      <c r="N1337">
        <v>2.64</v>
      </c>
      <c r="O1337">
        <v>2033</v>
      </c>
      <c r="P1337">
        <v>2.27</v>
      </c>
      <c r="Q1337">
        <v>304</v>
      </c>
      <c r="R1337">
        <v>319</v>
      </c>
    </row>
    <row r="1338" spans="1:18" hidden="1" x14ac:dyDescent="0.2">
      <c r="A1338">
        <v>1</v>
      </c>
      <c r="B1338" t="s">
        <v>99</v>
      </c>
      <c r="E1338" t="s">
        <v>36</v>
      </c>
      <c r="F1338">
        <v>1577209</v>
      </c>
      <c r="G1338">
        <v>2</v>
      </c>
      <c r="H1338">
        <v>3</v>
      </c>
      <c r="I1338">
        <v>189</v>
      </c>
      <c r="J1338">
        <v>1994</v>
      </c>
      <c r="K1338" s="4">
        <v>44742</v>
      </c>
      <c r="L1338" t="s">
        <v>26</v>
      </c>
      <c r="M1338" t="s">
        <v>33</v>
      </c>
      <c r="N1338">
        <v>3.34</v>
      </c>
      <c r="O1338">
        <v>2342</v>
      </c>
      <c r="P1338">
        <v>0.34</v>
      </c>
      <c r="Q1338">
        <v>65</v>
      </c>
      <c r="R1338">
        <v>610</v>
      </c>
    </row>
    <row r="1339" spans="1:18" hidden="1" x14ac:dyDescent="0.2">
      <c r="A1339">
        <v>6</v>
      </c>
      <c r="B1339" t="s">
        <v>104</v>
      </c>
      <c r="E1339" t="s">
        <v>29</v>
      </c>
      <c r="F1339">
        <v>2013343</v>
      </c>
      <c r="G1339">
        <v>1</v>
      </c>
      <c r="H1339">
        <v>1</v>
      </c>
      <c r="I1339">
        <v>256</v>
      </c>
      <c r="J1339">
        <v>2003</v>
      </c>
      <c r="K1339" s="4">
        <v>45398</v>
      </c>
      <c r="L1339" t="s">
        <v>20</v>
      </c>
      <c r="M1339" t="s">
        <v>66</v>
      </c>
      <c r="N1339">
        <v>3.28</v>
      </c>
      <c r="O1339">
        <v>2285</v>
      </c>
      <c r="P1339">
        <v>2.91</v>
      </c>
      <c r="Q1339">
        <v>82</v>
      </c>
      <c r="R1339">
        <v>332</v>
      </c>
    </row>
    <row r="1340" spans="1:18" hidden="1" x14ac:dyDescent="0.2">
      <c r="A1340">
        <v>4</v>
      </c>
      <c r="B1340" t="s">
        <v>55</v>
      </c>
      <c r="E1340" t="s">
        <v>36</v>
      </c>
      <c r="F1340">
        <v>2015994</v>
      </c>
      <c r="G1340">
        <v>5</v>
      </c>
      <c r="H1340">
        <v>3</v>
      </c>
      <c r="I1340">
        <v>859</v>
      </c>
      <c r="J1340">
        <v>2015</v>
      </c>
      <c r="K1340" s="4">
        <v>45401</v>
      </c>
      <c r="L1340" t="s">
        <v>30</v>
      </c>
      <c r="M1340" t="s">
        <v>45</v>
      </c>
      <c r="N1340">
        <v>3.49</v>
      </c>
      <c r="O1340">
        <v>1867</v>
      </c>
      <c r="P1340">
        <v>0.45</v>
      </c>
      <c r="Q1340">
        <v>321</v>
      </c>
      <c r="R1340">
        <v>674</v>
      </c>
    </row>
    <row r="1341" spans="1:18" hidden="1" x14ac:dyDescent="0.2">
      <c r="A1341">
        <v>2</v>
      </c>
      <c r="B1341" t="s">
        <v>96</v>
      </c>
      <c r="E1341" t="s">
        <v>29</v>
      </c>
      <c r="F1341">
        <v>2507256</v>
      </c>
      <c r="G1341">
        <v>4</v>
      </c>
      <c r="H1341">
        <v>1</v>
      </c>
      <c r="I1341">
        <v>925</v>
      </c>
      <c r="J1341">
        <v>1987</v>
      </c>
      <c r="K1341" s="4">
        <v>45246</v>
      </c>
      <c r="L1341" t="s">
        <v>20</v>
      </c>
      <c r="M1341" t="s">
        <v>27</v>
      </c>
      <c r="N1341">
        <v>1.76</v>
      </c>
      <c r="O1341">
        <v>2411</v>
      </c>
      <c r="P1341">
        <v>3.91</v>
      </c>
      <c r="Q1341">
        <v>191</v>
      </c>
      <c r="R1341">
        <v>313</v>
      </c>
    </row>
    <row r="1342" spans="1:18" hidden="1" x14ac:dyDescent="0.2">
      <c r="A1342">
        <v>0</v>
      </c>
      <c r="B1342" t="s">
        <v>55</v>
      </c>
      <c r="E1342" t="s">
        <v>19</v>
      </c>
      <c r="F1342">
        <v>443982</v>
      </c>
      <c r="G1342">
        <v>6</v>
      </c>
      <c r="H1342">
        <v>2</v>
      </c>
      <c r="I1342">
        <v>246</v>
      </c>
      <c r="J1342">
        <v>1968</v>
      </c>
      <c r="K1342" s="4">
        <v>44775</v>
      </c>
      <c r="L1342" t="s">
        <v>23</v>
      </c>
      <c r="M1342" t="s">
        <v>33</v>
      </c>
      <c r="N1342">
        <v>3.3</v>
      </c>
      <c r="O1342">
        <v>877</v>
      </c>
      <c r="P1342">
        <v>3.87</v>
      </c>
      <c r="Q1342">
        <v>374</v>
      </c>
      <c r="R1342">
        <v>432</v>
      </c>
    </row>
    <row r="1343" spans="1:18" hidden="1" x14ac:dyDescent="0.2">
      <c r="A1343">
        <v>9</v>
      </c>
      <c r="B1343" t="s">
        <v>81</v>
      </c>
      <c r="E1343" t="s">
        <v>36</v>
      </c>
      <c r="F1343">
        <v>862392</v>
      </c>
      <c r="G1343">
        <v>4</v>
      </c>
      <c r="H1343">
        <v>1</v>
      </c>
      <c r="I1343">
        <v>552</v>
      </c>
      <c r="J1343">
        <v>1995</v>
      </c>
      <c r="K1343" s="4">
        <v>45195</v>
      </c>
      <c r="L1343" t="s">
        <v>23</v>
      </c>
      <c r="M1343" t="s">
        <v>60</v>
      </c>
      <c r="N1343">
        <v>2.66</v>
      </c>
      <c r="O1343">
        <v>1961</v>
      </c>
      <c r="P1343">
        <v>4.68</v>
      </c>
      <c r="Q1343">
        <v>296</v>
      </c>
      <c r="R1343">
        <v>674</v>
      </c>
    </row>
    <row r="1344" spans="1:18" hidden="1" x14ac:dyDescent="0.2">
      <c r="A1344">
        <v>6</v>
      </c>
      <c r="B1344" t="s">
        <v>94</v>
      </c>
      <c r="E1344" t="s">
        <v>19</v>
      </c>
      <c r="F1344">
        <v>2940825</v>
      </c>
      <c r="G1344">
        <v>3</v>
      </c>
      <c r="H1344">
        <v>2</v>
      </c>
      <c r="I1344">
        <v>76</v>
      </c>
      <c r="J1344">
        <v>1966</v>
      </c>
      <c r="K1344" s="4">
        <v>44772</v>
      </c>
      <c r="L1344" t="s">
        <v>30</v>
      </c>
      <c r="M1344" t="s">
        <v>68</v>
      </c>
      <c r="N1344">
        <v>2.83</v>
      </c>
      <c r="O1344">
        <v>919</v>
      </c>
      <c r="P1344">
        <v>3.43</v>
      </c>
      <c r="Q1344">
        <v>261</v>
      </c>
      <c r="R1344">
        <v>500</v>
      </c>
    </row>
    <row r="1345" spans="1:18" x14ac:dyDescent="0.2">
      <c r="A1345">
        <v>8</v>
      </c>
      <c r="B1345" t="s">
        <v>48</v>
      </c>
      <c r="E1345" t="s">
        <v>36</v>
      </c>
      <c r="F1345">
        <v>1584463</v>
      </c>
      <c r="G1345">
        <v>3</v>
      </c>
      <c r="H1345">
        <v>2</v>
      </c>
      <c r="I1345">
        <v>977</v>
      </c>
      <c r="J1345">
        <v>1968</v>
      </c>
      <c r="K1345" s="4">
        <v>44265</v>
      </c>
      <c r="L1345" t="s">
        <v>30</v>
      </c>
      <c r="M1345" t="s">
        <v>82</v>
      </c>
      <c r="N1345">
        <v>2.21</v>
      </c>
      <c r="O1345">
        <v>2193</v>
      </c>
      <c r="P1345">
        <v>0.56000000000000005</v>
      </c>
      <c r="Q1345">
        <v>93</v>
      </c>
      <c r="R1345">
        <v>661</v>
      </c>
    </row>
    <row r="1346" spans="1:18" hidden="1" x14ac:dyDescent="0.2">
      <c r="A1346">
        <v>1</v>
      </c>
      <c r="B1346" t="s">
        <v>61</v>
      </c>
      <c r="E1346" t="s">
        <v>29</v>
      </c>
      <c r="F1346">
        <v>1893991</v>
      </c>
      <c r="G1346">
        <v>4</v>
      </c>
      <c r="H1346">
        <v>3</v>
      </c>
      <c r="I1346">
        <v>148</v>
      </c>
      <c r="J1346">
        <v>2004</v>
      </c>
      <c r="K1346" s="4">
        <v>44928</v>
      </c>
      <c r="L1346" t="s">
        <v>20</v>
      </c>
      <c r="M1346" t="s">
        <v>85</v>
      </c>
      <c r="N1346">
        <v>1.52</v>
      </c>
      <c r="O1346">
        <v>1476</v>
      </c>
      <c r="P1346">
        <v>2.35</v>
      </c>
      <c r="Q1346">
        <v>299</v>
      </c>
      <c r="R1346">
        <v>610</v>
      </c>
    </row>
    <row r="1347" spans="1:18" hidden="1" x14ac:dyDescent="0.2">
      <c r="A1347">
        <v>7</v>
      </c>
      <c r="B1347" t="s">
        <v>67</v>
      </c>
      <c r="E1347" t="s">
        <v>51</v>
      </c>
      <c r="F1347">
        <v>949277</v>
      </c>
      <c r="G1347">
        <v>4</v>
      </c>
      <c r="H1347">
        <v>3</v>
      </c>
      <c r="I1347">
        <v>992</v>
      </c>
      <c r="J1347">
        <v>1996</v>
      </c>
      <c r="K1347" s="4">
        <v>45011</v>
      </c>
      <c r="L1347" t="s">
        <v>30</v>
      </c>
      <c r="M1347" t="s">
        <v>70</v>
      </c>
      <c r="N1347">
        <v>3.3</v>
      </c>
      <c r="O1347">
        <v>1484</v>
      </c>
      <c r="P1347">
        <v>2.29</v>
      </c>
      <c r="Q1347">
        <v>321</v>
      </c>
      <c r="R1347">
        <v>567</v>
      </c>
    </row>
    <row r="1348" spans="1:18" hidden="1" x14ac:dyDescent="0.2">
      <c r="A1348">
        <v>7</v>
      </c>
      <c r="B1348" t="s">
        <v>55</v>
      </c>
      <c r="E1348" t="s">
        <v>29</v>
      </c>
      <c r="F1348">
        <v>2278534</v>
      </c>
      <c r="G1348">
        <v>1</v>
      </c>
      <c r="H1348">
        <v>2</v>
      </c>
      <c r="I1348">
        <v>67</v>
      </c>
      <c r="J1348">
        <v>1954</v>
      </c>
      <c r="K1348" s="4">
        <v>44742</v>
      </c>
      <c r="L1348" t="s">
        <v>30</v>
      </c>
      <c r="M1348" t="s">
        <v>40</v>
      </c>
      <c r="N1348">
        <v>1.98</v>
      </c>
      <c r="O1348">
        <v>2149</v>
      </c>
      <c r="P1348">
        <v>4.8</v>
      </c>
      <c r="Q1348">
        <v>160</v>
      </c>
      <c r="R1348">
        <v>368</v>
      </c>
    </row>
    <row r="1349" spans="1:18" hidden="1" x14ac:dyDescent="0.2">
      <c r="A1349">
        <v>9</v>
      </c>
      <c r="B1349" t="s">
        <v>99</v>
      </c>
      <c r="E1349" t="s">
        <v>51</v>
      </c>
      <c r="F1349">
        <v>1533631</v>
      </c>
      <c r="G1349">
        <v>3</v>
      </c>
      <c r="H1349">
        <v>2</v>
      </c>
      <c r="I1349">
        <v>206</v>
      </c>
      <c r="J1349">
        <v>1982</v>
      </c>
      <c r="K1349" s="4">
        <v>44889</v>
      </c>
      <c r="L1349" t="s">
        <v>30</v>
      </c>
      <c r="M1349" t="s">
        <v>54</v>
      </c>
      <c r="N1349">
        <v>2.36</v>
      </c>
      <c r="O1349">
        <v>1065</v>
      </c>
      <c r="P1349">
        <v>0.4</v>
      </c>
      <c r="Q1349">
        <v>255</v>
      </c>
      <c r="R1349">
        <v>445</v>
      </c>
    </row>
    <row r="1350" spans="1:18" x14ac:dyDescent="0.2">
      <c r="A1350">
        <v>8</v>
      </c>
      <c r="B1350" t="s">
        <v>98</v>
      </c>
      <c r="E1350" t="s">
        <v>29</v>
      </c>
      <c r="F1350">
        <v>1027607</v>
      </c>
      <c r="G1350">
        <v>2</v>
      </c>
      <c r="H1350">
        <v>3</v>
      </c>
      <c r="I1350">
        <v>539</v>
      </c>
      <c r="J1350">
        <v>2000</v>
      </c>
      <c r="K1350" s="4">
        <v>44500</v>
      </c>
      <c r="L1350" t="s">
        <v>26</v>
      </c>
      <c r="M1350" t="s">
        <v>40</v>
      </c>
      <c r="N1350">
        <v>1.88</v>
      </c>
      <c r="O1350">
        <v>2059</v>
      </c>
      <c r="P1350">
        <v>3.37</v>
      </c>
      <c r="Q1350">
        <v>225</v>
      </c>
      <c r="R1350">
        <v>669</v>
      </c>
    </row>
    <row r="1351" spans="1:18" hidden="1" x14ac:dyDescent="0.2">
      <c r="A1351">
        <v>9</v>
      </c>
      <c r="B1351" t="s">
        <v>71</v>
      </c>
      <c r="E1351" t="s">
        <v>36</v>
      </c>
      <c r="F1351">
        <v>2842902</v>
      </c>
      <c r="G1351">
        <v>3</v>
      </c>
      <c r="H1351">
        <v>1</v>
      </c>
      <c r="I1351">
        <v>606</v>
      </c>
      <c r="J1351">
        <v>1958</v>
      </c>
      <c r="K1351" s="4">
        <v>45229</v>
      </c>
      <c r="L1351" t="s">
        <v>30</v>
      </c>
      <c r="M1351" t="s">
        <v>85</v>
      </c>
      <c r="N1351">
        <v>2.84</v>
      </c>
      <c r="O1351">
        <v>2369</v>
      </c>
      <c r="P1351">
        <v>1.03</v>
      </c>
      <c r="Q1351">
        <v>162</v>
      </c>
      <c r="R1351">
        <v>389</v>
      </c>
    </row>
    <row r="1352" spans="1:18" hidden="1" x14ac:dyDescent="0.2">
      <c r="A1352">
        <v>4</v>
      </c>
      <c r="B1352" t="s">
        <v>57</v>
      </c>
      <c r="E1352" t="s">
        <v>29</v>
      </c>
      <c r="F1352">
        <v>1997079</v>
      </c>
      <c r="G1352">
        <v>4</v>
      </c>
      <c r="H1352">
        <v>3</v>
      </c>
      <c r="I1352">
        <v>155</v>
      </c>
      <c r="J1352">
        <v>1960</v>
      </c>
      <c r="K1352" s="4">
        <v>45476</v>
      </c>
      <c r="L1352" t="s">
        <v>20</v>
      </c>
      <c r="M1352" t="s">
        <v>54</v>
      </c>
      <c r="N1352">
        <v>3.08</v>
      </c>
      <c r="O1352">
        <v>1134</v>
      </c>
      <c r="P1352">
        <v>0.18</v>
      </c>
      <c r="Q1352">
        <v>342</v>
      </c>
      <c r="R1352">
        <v>379</v>
      </c>
    </row>
    <row r="1353" spans="1:18" hidden="1" x14ac:dyDescent="0.2">
      <c r="A1353">
        <v>9</v>
      </c>
      <c r="B1353" t="s">
        <v>87</v>
      </c>
      <c r="E1353" t="s">
        <v>19</v>
      </c>
      <c r="F1353">
        <v>570182</v>
      </c>
      <c r="G1353">
        <v>4</v>
      </c>
      <c r="H1353">
        <v>2</v>
      </c>
      <c r="I1353">
        <v>842</v>
      </c>
      <c r="J1353">
        <v>1968</v>
      </c>
      <c r="K1353" s="4">
        <v>44799</v>
      </c>
      <c r="L1353" t="s">
        <v>30</v>
      </c>
      <c r="M1353" t="s">
        <v>45</v>
      </c>
      <c r="N1353">
        <v>2.2999999999999998</v>
      </c>
      <c r="O1353">
        <v>1264</v>
      </c>
      <c r="P1353">
        <v>2.29</v>
      </c>
      <c r="Q1353">
        <v>250</v>
      </c>
      <c r="R1353">
        <v>328</v>
      </c>
    </row>
    <row r="1354" spans="1:18" hidden="1" x14ac:dyDescent="0.2">
      <c r="A1354">
        <v>9</v>
      </c>
      <c r="B1354" t="s">
        <v>50</v>
      </c>
      <c r="E1354" t="s">
        <v>36</v>
      </c>
      <c r="F1354">
        <v>765608</v>
      </c>
      <c r="G1354">
        <v>1</v>
      </c>
      <c r="H1354">
        <v>2</v>
      </c>
      <c r="I1354">
        <v>417</v>
      </c>
      <c r="J1354">
        <v>1979</v>
      </c>
      <c r="K1354" s="4">
        <v>44325</v>
      </c>
      <c r="L1354" t="s">
        <v>26</v>
      </c>
      <c r="M1354" t="s">
        <v>74</v>
      </c>
      <c r="N1354">
        <v>1.58</v>
      </c>
      <c r="O1354">
        <v>1077</v>
      </c>
      <c r="P1354">
        <v>4.8499999999999996</v>
      </c>
      <c r="Q1354">
        <v>135</v>
      </c>
      <c r="R1354">
        <v>353</v>
      </c>
    </row>
    <row r="1355" spans="1:18" hidden="1" x14ac:dyDescent="0.2">
      <c r="A1355">
        <v>7</v>
      </c>
      <c r="B1355" t="s">
        <v>93</v>
      </c>
      <c r="E1355" t="s">
        <v>51</v>
      </c>
      <c r="F1355">
        <v>1093756</v>
      </c>
      <c r="G1355">
        <v>5</v>
      </c>
      <c r="H1355">
        <v>3</v>
      </c>
      <c r="I1355">
        <v>97</v>
      </c>
      <c r="J1355">
        <v>1973</v>
      </c>
      <c r="K1355" s="4">
        <v>44552</v>
      </c>
      <c r="L1355" t="s">
        <v>30</v>
      </c>
      <c r="M1355" t="s">
        <v>58</v>
      </c>
      <c r="N1355">
        <v>2.31</v>
      </c>
      <c r="O1355">
        <v>987</v>
      </c>
      <c r="P1355">
        <v>0.3</v>
      </c>
      <c r="Q1355">
        <v>323</v>
      </c>
      <c r="R1355">
        <v>583</v>
      </c>
    </row>
    <row r="1356" spans="1:18" hidden="1" x14ac:dyDescent="0.2">
      <c r="A1356">
        <v>6</v>
      </c>
      <c r="B1356" t="s">
        <v>41</v>
      </c>
      <c r="E1356" t="s">
        <v>19</v>
      </c>
      <c r="F1356">
        <v>880295</v>
      </c>
      <c r="G1356">
        <v>1</v>
      </c>
      <c r="H1356">
        <v>3</v>
      </c>
      <c r="I1356">
        <v>375</v>
      </c>
      <c r="J1356">
        <v>2010</v>
      </c>
      <c r="K1356" s="4">
        <v>44625</v>
      </c>
      <c r="L1356" t="s">
        <v>30</v>
      </c>
      <c r="M1356" t="s">
        <v>97</v>
      </c>
      <c r="N1356">
        <v>2.36</v>
      </c>
      <c r="O1356">
        <v>2310</v>
      </c>
      <c r="P1356">
        <v>4.38</v>
      </c>
      <c r="Q1356">
        <v>132</v>
      </c>
      <c r="R1356">
        <v>653</v>
      </c>
    </row>
    <row r="1357" spans="1:18" x14ac:dyDescent="0.2">
      <c r="A1357">
        <v>8</v>
      </c>
      <c r="B1357" t="s">
        <v>57</v>
      </c>
      <c r="E1357" t="s">
        <v>36</v>
      </c>
      <c r="F1357">
        <v>1928584</v>
      </c>
      <c r="G1357">
        <v>5</v>
      </c>
      <c r="H1357">
        <v>2</v>
      </c>
      <c r="I1357">
        <v>635</v>
      </c>
      <c r="J1357">
        <v>2002</v>
      </c>
      <c r="K1357" s="4">
        <v>44073</v>
      </c>
      <c r="L1357" t="s">
        <v>30</v>
      </c>
      <c r="M1357" t="s">
        <v>58</v>
      </c>
      <c r="N1357">
        <v>3.47</v>
      </c>
      <c r="O1357">
        <v>1706</v>
      </c>
      <c r="P1357">
        <v>1.37</v>
      </c>
      <c r="Q1357">
        <v>400</v>
      </c>
      <c r="R1357">
        <v>379</v>
      </c>
    </row>
    <row r="1358" spans="1:18" hidden="1" x14ac:dyDescent="0.2">
      <c r="A1358">
        <v>3</v>
      </c>
      <c r="B1358" t="s">
        <v>106</v>
      </c>
      <c r="E1358" t="s">
        <v>29</v>
      </c>
      <c r="F1358">
        <v>2115762</v>
      </c>
      <c r="G1358">
        <v>6</v>
      </c>
      <c r="H1358">
        <v>2</v>
      </c>
      <c r="I1358">
        <v>70</v>
      </c>
      <c r="J1358">
        <v>1954</v>
      </c>
      <c r="K1358" s="4">
        <v>44450</v>
      </c>
      <c r="L1358" t="s">
        <v>20</v>
      </c>
      <c r="M1358" t="s">
        <v>59</v>
      </c>
      <c r="N1358">
        <v>2.92</v>
      </c>
      <c r="O1358">
        <v>1219</v>
      </c>
      <c r="P1358">
        <v>0.78</v>
      </c>
      <c r="Q1358">
        <v>374</v>
      </c>
      <c r="R1358">
        <v>535</v>
      </c>
    </row>
    <row r="1359" spans="1:18" hidden="1" x14ac:dyDescent="0.2">
      <c r="A1359">
        <v>6</v>
      </c>
      <c r="B1359" t="s">
        <v>99</v>
      </c>
      <c r="E1359" t="s">
        <v>29</v>
      </c>
      <c r="F1359">
        <v>2659327</v>
      </c>
      <c r="G1359">
        <v>6</v>
      </c>
      <c r="H1359">
        <v>1</v>
      </c>
      <c r="I1359">
        <v>283</v>
      </c>
      <c r="J1359">
        <v>2003</v>
      </c>
      <c r="K1359" s="4">
        <v>44079</v>
      </c>
      <c r="L1359" t="s">
        <v>26</v>
      </c>
      <c r="M1359" t="s">
        <v>82</v>
      </c>
      <c r="N1359">
        <v>2</v>
      </c>
      <c r="O1359">
        <v>1815</v>
      </c>
      <c r="P1359">
        <v>2.76</v>
      </c>
      <c r="Q1359">
        <v>388</v>
      </c>
      <c r="R1359">
        <v>526</v>
      </c>
    </row>
    <row r="1360" spans="1:18" hidden="1" x14ac:dyDescent="0.2">
      <c r="A1360">
        <v>7</v>
      </c>
      <c r="B1360" t="s">
        <v>75</v>
      </c>
      <c r="E1360" t="s">
        <v>29</v>
      </c>
      <c r="F1360">
        <v>1563661</v>
      </c>
      <c r="G1360">
        <v>4</v>
      </c>
      <c r="H1360">
        <v>1</v>
      </c>
      <c r="I1360">
        <v>835</v>
      </c>
      <c r="J1360">
        <v>1950</v>
      </c>
      <c r="K1360" s="4">
        <v>44066</v>
      </c>
      <c r="L1360" t="s">
        <v>26</v>
      </c>
      <c r="M1360" t="s">
        <v>68</v>
      </c>
      <c r="N1360">
        <v>2.75</v>
      </c>
      <c r="O1360">
        <v>815</v>
      </c>
      <c r="P1360">
        <v>0.93</v>
      </c>
      <c r="Q1360">
        <v>331</v>
      </c>
      <c r="R1360">
        <v>317</v>
      </c>
    </row>
    <row r="1361" spans="1:18" hidden="1" x14ac:dyDescent="0.2">
      <c r="A1361">
        <v>5</v>
      </c>
      <c r="B1361" t="s">
        <v>93</v>
      </c>
      <c r="E1361" t="s">
        <v>19</v>
      </c>
      <c r="F1361">
        <v>2979855</v>
      </c>
      <c r="G1361">
        <v>5</v>
      </c>
      <c r="H1361">
        <v>2</v>
      </c>
      <c r="I1361">
        <v>133</v>
      </c>
      <c r="J1361">
        <v>1956</v>
      </c>
      <c r="K1361" s="4">
        <v>44253</v>
      </c>
      <c r="L1361" t="s">
        <v>30</v>
      </c>
      <c r="M1361" t="s">
        <v>63</v>
      </c>
      <c r="N1361">
        <v>2.2799999999999998</v>
      </c>
      <c r="O1361">
        <v>929</v>
      </c>
      <c r="P1361">
        <v>3.68</v>
      </c>
      <c r="Q1361">
        <v>400</v>
      </c>
      <c r="R1361">
        <v>456</v>
      </c>
    </row>
    <row r="1362" spans="1:18" hidden="1" x14ac:dyDescent="0.2">
      <c r="A1362">
        <v>6</v>
      </c>
      <c r="B1362" t="s">
        <v>65</v>
      </c>
      <c r="E1362" t="s">
        <v>19</v>
      </c>
      <c r="F1362">
        <v>730548</v>
      </c>
      <c r="G1362">
        <v>3</v>
      </c>
      <c r="H1362">
        <v>1</v>
      </c>
      <c r="I1362">
        <v>78</v>
      </c>
      <c r="J1362">
        <v>2026</v>
      </c>
      <c r="K1362" s="4">
        <v>44371</v>
      </c>
      <c r="L1362" t="s">
        <v>30</v>
      </c>
      <c r="M1362" t="s">
        <v>56</v>
      </c>
      <c r="N1362">
        <v>1.6</v>
      </c>
      <c r="O1362">
        <v>1929</v>
      </c>
      <c r="P1362">
        <v>4.84</v>
      </c>
      <c r="Q1362">
        <v>120</v>
      </c>
      <c r="R1362">
        <v>623</v>
      </c>
    </row>
    <row r="1363" spans="1:18" hidden="1" x14ac:dyDescent="0.2">
      <c r="A1363">
        <v>7</v>
      </c>
      <c r="B1363" t="s">
        <v>41</v>
      </c>
      <c r="E1363" t="s">
        <v>29</v>
      </c>
      <c r="F1363">
        <v>2296714</v>
      </c>
      <c r="G1363">
        <v>1</v>
      </c>
      <c r="H1363">
        <v>1</v>
      </c>
      <c r="I1363">
        <v>148</v>
      </c>
      <c r="J1363">
        <v>1954</v>
      </c>
      <c r="K1363" s="4">
        <v>45034</v>
      </c>
      <c r="L1363" t="s">
        <v>20</v>
      </c>
      <c r="M1363" t="s">
        <v>31</v>
      </c>
      <c r="N1363">
        <v>2.4300000000000002</v>
      </c>
      <c r="O1363">
        <v>2427</v>
      </c>
      <c r="P1363">
        <v>0.39</v>
      </c>
      <c r="Q1363">
        <v>123</v>
      </c>
      <c r="R1363">
        <v>672</v>
      </c>
    </row>
    <row r="1364" spans="1:18" hidden="1" x14ac:dyDescent="0.2">
      <c r="A1364">
        <v>0</v>
      </c>
      <c r="B1364" t="s">
        <v>53</v>
      </c>
      <c r="E1364" t="s">
        <v>36</v>
      </c>
      <c r="F1364">
        <v>1269223</v>
      </c>
      <c r="G1364">
        <v>5</v>
      </c>
      <c r="H1364">
        <v>2</v>
      </c>
      <c r="I1364">
        <v>332</v>
      </c>
      <c r="J1364">
        <v>2013</v>
      </c>
      <c r="K1364" s="4">
        <v>45436</v>
      </c>
      <c r="L1364" t="s">
        <v>30</v>
      </c>
      <c r="M1364" t="s">
        <v>85</v>
      </c>
      <c r="N1364">
        <v>1.52</v>
      </c>
      <c r="O1364">
        <v>944</v>
      </c>
      <c r="P1364">
        <v>3.91</v>
      </c>
      <c r="Q1364">
        <v>400</v>
      </c>
      <c r="R1364">
        <v>533</v>
      </c>
    </row>
    <row r="1365" spans="1:18" hidden="1" x14ac:dyDescent="0.2">
      <c r="A1365">
        <v>2</v>
      </c>
      <c r="B1365" t="s">
        <v>79</v>
      </c>
      <c r="E1365" t="s">
        <v>19</v>
      </c>
      <c r="F1365">
        <v>2633714</v>
      </c>
      <c r="G1365">
        <v>2</v>
      </c>
      <c r="H1365">
        <v>3</v>
      </c>
      <c r="I1365">
        <v>588</v>
      </c>
      <c r="J1365">
        <v>2022</v>
      </c>
      <c r="K1365" s="4">
        <v>44092</v>
      </c>
      <c r="L1365" t="s">
        <v>20</v>
      </c>
      <c r="M1365" t="s">
        <v>31</v>
      </c>
      <c r="N1365">
        <v>2.88</v>
      </c>
      <c r="O1365">
        <v>1686</v>
      </c>
      <c r="P1365">
        <v>2.89</v>
      </c>
      <c r="Q1365">
        <v>166</v>
      </c>
      <c r="R1365">
        <v>440</v>
      </c>
    </row>
    <row r="1366" spans="1:18" hidden="1" x14ac:dyDescent="0.2">
      <c r="A1366">
        <v>7</v>
      </c>
      <c r="B1366" t="s">
        <v>95</v>
      </c>
      <c r="E1366" t="s">
        <v>51</v>
      </c>
      <c r="F1366">
        <v>2826795</v>
      </c>
      <c r="G1366">
        <v>3</v>
      </c>
      <c r="H1366">
        <v>1</v>
      </c>
      <c r="I1366">
        <v>241</v>
      </c>
      <c r="J1366">
        <v>2011</v>
      </c>
      <c r="K1366" s="4">
        <v>45209</v>
      </c>
      <c r="L1366" t="s">
        <v>20</v>
      </c>
      <c r="M1366" t="s">
        <v>21</v>
      </c>
      <c r="N1366">
        <v>3.48</v>
      </c>
      <c r="O1366">
        <v>2061</v>
      </c>
      <c r="P1366">
        <v>4.6900000000000004</v>
      </c>
      <c r="Q1366">
        <v>172</v>
      </c>
      <c r="R1366">
        <v>557</v>
      </c>
    </row>
    <row r="1367" spans="1:18" hidden="1" x14ac:dyDescent="0.2">
      <c r="A1367">
        <v>5</v>
      </c>
      <c r="B1367" t="s">
        <v>104</v>
      </c>
      <c r="E1367" t="s">
        <v>19</v>
      </c>
      <c r="F1367">
        <v>858872</v>
      </c>
      <c r="G1367">
        <v>2</v>
      </c>
      <c r="H1367">
        <v>1</v>
      </c>
      <c r="I1367">
        <v>454</v>
      </c>
      <c r="J1367">
        <v>2021</v>
      </c>
      <c r="K1367" s="4">
        <v>44963</v>
      </c>
      <c r="L1367" t="s">
        <v>30</v>
      </c>
      <c r="M1367" t="s">
        <v>60</v>
      </c>
      <c r="N1367">
        <v>1.99</v>
      </c>
      <c r="O1367">
        <v>1359</v>
      </c>
      <c r="P1367">
        <v>4.32</v>
      </c>
      <c r="Q1367">
        <v>91</v>
      </c>
      <c r="R1367">
        <v>685</v>
      </c>
    </row>
    <row r="1368" spans="1:18" hidden="1" x14ac:dyDescent="0.2">
      <c r="A1368">
        <v>0</v>
      </c>
      <c r="B1368" t="s">
        <v>83</v>
      </c>
      <c r="E1368" t="s">
        <v>19</v>
      </c>
      <c r="F1368">
        <v>1436896</v>
      </c>
      <c r="G1368">
        <v>3</v>
      </c>
      <c r="H1368">
        <v>3</v>
      </c>
      <c r="I1368">
        <v>823</v>
      </c>
      <c r="J1368">
        <v>2011</v>
      </c>
      <c r="K1368" s="4">
        <v>45152</v>
      </c>
      <c r="L1368" t="s">
        <v>20</v>
      </c>
      <c r="M1368" t="s">
        <v>69</v>
      </c>
      <c r="N1368">
        <v>2.21</v>
      </c>
      <c r="O1368">
        <v>2051</v>
      </c>
      <c r="P1368">
        <v>2.96</v>
      </c>
      <c r="Q1368">
        <v>154</v>
      </c>
      <c r="R1368">
        <v>566</v>
      </c>
    </row>
    <row r="1369" spans="1:18" hidden="1" x14ac:dyDescent="0.2">
      <c r="A1369">
        <v>1</v>
      </c>
      <c r="B1369" t="s">
        <v>105</v>
      </c>
      <c r="E1369" t="s">
        <v>29</v>
      </c>
      <c r="F1369">
        <v>2728061</v>
      </c>
      <c r="G1369">
        <v>3</v>
      </c>
      <c r="H1369">
        <v>3</v>
      </c>
      <c r="I1369">
        <v>584</v>
      </c>
      <c r="J1369">
        <v>2003</v>
      </c>
      <c r="K1369" s="4">
        <v>45072</v>
      </c>
      <c r="L1369" t="s">
        <v>30</v>
      </c>
      <c r="M1369" t="s">
        <v>47</v>
      </c>
      <c r="N1369">
        <v>3.17</v>
      </c>
      <c r="O1369">
        <v>1635</v>
      </c>
      <c r="P1369">
        <v>0.12</v>
      </c>
      <c r="Q1369">
        <v>108</v>
      </c>
      <c r="R1369">
        <v>577</v>
      </c>
    </row>
    <row r="1370" spans="1:18" hidden="1" x14ac:dyDescent="0.2">
      <c r="A1370">
        <v>3</v>
      </c>
      <c r="B1370" t="s">
        <v>87</v>
      </c>
      <c r="E1370" t="s">
        <v>19</v>
      </c>
      <c r="F1370">
        <v>1484280</v>
      </c>
      <c r="G1370">
        <v>2</v>
      </c>
      <c r="H1370">
        <v>1</v>
      </c>
      <c r="I1370">
        <v>511</v>
      </c>
      <c r="J1370">
        <v>1975</v>
      </c>
      <c r="K1370" s="4">
        <v>45372</v>
      </c>
      <c r="L1370" t="s">
        <v>26</v>
      </c>
      <c r="M1370" t="s">
        <v>35</v>
      </c>
      <c r="N1370">
        <v>3.1</v>
      </c>
      <c r="O1370">
        <v>2431</v>
      </c>
      <c r="P1370">
        <v>4.84</v>
      </c>
      <c r="Q1370">
        <v>205</v>
      </c>
      <c r="R1370">
        <v>547</v>
      </c>
    </row>
    <row r="1371" spans="1:18" hidden="1" x14ac:dyDescent="0.2">
      <c r="A1371">
        <v>6</v>
      </c>
      <c r="B1371" t="s">
        <v>99</v>
      </c>
      <c r="E1371" t="s">
        <v>29</v>
      </c>
      <c r="F1371">
        <v>2660424</v>
      </c>
      <c r="G1371">
        <v>1</v>
      </c>
      <c r="H1371">
        <v>1</v>
      </c>
      <c r="I1371">
        <v>119</v>
      </c>
      <c r="J1371">
        <v>1962</v>
      </c>
      <c r="K1371" s="4">
        <v>44874</v>
      </c>
      <c r="L1371" t="s">
        <v>26</v>
      </c>
      <c r="M1371" t="s">
        <v>66</v>
      </c>
      <c r="N1371">
        <v>2.13</v>
      </c>
      <c r="O1371">
        <v>1700</v>
      </c>
      <c r="P1371">
        <v>1.51</v>
      </c>
      <c r="Q1371">
        <v>99</v>
      </c>
      <c r="R1371">
        <v>574</v>
      </c>
    </row>
    <row r="1372" spans="1:18" hidden="1" x14ac:dyDescent="0.2">
      <c r="A1372">
        <v>9</v>
      </c>
      <c r="B1372" t="s">
        <v>64</v>
      </c>
      <c r="E1372" t="s">
        <v>51</v>
      </c>
      <c r="F1372">
        <v>761269</v>
      </c>
      <c r="G1372">
        <v>1</v>
      </c>
      <c r="H1372">
        <v>3</v>
      </c>
      <c r="I1372">
        <v>708</v>
      </c>
      <c r="J1372">
        <v>1950</v>
      </c>
      <c r="K1372" s="4">
        <v>44260</v>
      </c>
      <c r="L1372" t="s">
        <v>30</v>
      </c>
      <c r="M1372" t="s">
        <v>31</v>
      </c>
      <c r="N1372">
        <v>1.82</v>
      </c>
      <c r="O1372">
        <v>1873</v>
      </c>
      <c r="P1372">
        <v>4.7</v>
      </c>
      <c r="Q1372">
        <v>160</v>
      </c>
      <c r="R1372">
        <v>496</v>
      </c>
    </row>
    <row r="1373" spans="1:18" hidden="1" x14ac:dyDescent="0.2">
      <c r="A1373">
        <v>4</v>
      </c>
      <c r="B1373" t="s">
        <v>18</v>
      </c>
      <c r="E1373" t="s">
        <v>36</v>
      </c>
      <c r="F1373">
        <v>704282</v>
      </c>
      <c r="G1373">
        <v>2</v>
      </c>
      <c r="H1373">
        <v>1</v>
      </c>
      <c r="I1373">
        <v>568</v>
      </c>
      <c r="J1373">
        <v>1980</v>
      </c>
      <c r="K1373" s="4">
        <v>44708</v>
      </c>
      <c r="L1373" t="s">
        <v>26</v>
      </c>
      <c r="M1373" t="s">
        <v>78</v>
      </c>
      <c r="N1373">
        <v>2.0299999999999998</v>
      </c>
      <c r="O1373">
        <v>2387</v>
      </c>
      <c r="P1373">
        <v>2.83</v>
      </c>
      <c r="Q1373">
        <v>86</v>
      </c>
      <c r="R1373">
        <v>522</v>
      </c>
    </row>
    <row r="1374" spans="1:18" hidden="1" x14ac:dyDescent="0.2">
      <c r="A1374">
        <v>2</v>
      </c>
      <c r="B1374" t="s">
        <v>67</v>
      </c>
      <c r="E1374" t="s">
        <v>29</v>
      </c>
      <c r="F1374">
        <v>2822577</v>
      </c>
      <c r="G1374">
        <v>3</v>
      </c>
      <c r="H1374">
        <v>1</v>
      </c>
      <c r="I1374">
        <v>483</v>
      </c>
      <c r="J1374">
        <v>2011</v>
      </c>
      <c r="K1374" s="4">
        <v>45470</v>
      </c>
      <c r="L1374" t="s">
        <v>23</v>
      </c>
      <c r="M1374" t="s">
        <v>74</v>
      </c>
      <c r="N1374">
        <v>1.52</v>
      </c>
      <c r="O1374">
        <v>1949</v>
      </c>
      <c r="P1374">
        <v>1.93</v>
      </c>
      <c r="Q1374">
        <v>262</v>
      </c>
      <c r="R1374">
        <v>369</v>
      </c>
    </row>
    <row r="1375" spans="1:18" hidden="1" x14ac:dyDescent="0.2">
      <c r="A1375">
        <v>2</v>
      </c>
      <c r="B1375" t="s">
        <v>71</v>
      </c>
      <c r="E1375" t="s">
        <v>29</v>
      </c>
      <c r="F1375">
        <v>2117233</v>
      </c>
      <c r="G1375">
        <v>2</v>
      </c>
      <c r="H1375">
        <v>2</v>
      </c>
      <c r="I1375">
        <v>281</v>
      </c>
      <c r="J1375">
        <v>1950</v>
      </c>
      <c r="K1375" s="4">
        <v>45779</v>
      </c>
      <c r="L1375" t="s">
        <v>26</v>
      </c>
      <c r="M1375" t="s">
        <v>78</v>
      </c>
      <c r="N1375">
        <v>2.25</v>
      </c>
      <c r="O1375">
        <v>1821</v>
      </c>
      <c r="P1375">
        <v>0.12</v>
      </c>
      <c r="Q1375">
        <v>154</v>
      </c>
      <c r="R1375">
        <v>377</v>
      </c>
    </row>
    <row r="1376" spans="1:18" hidden="1" x14ac:dyDescent="0.2">
      <c r="A1376">
        <v>9</v>
      </c>
      <c r="B1376" t="s">
        <v>104</v>
      </c>
      <c r="E1376" t="s">
        <v>51</v>
      </c>
      <c r="F1376">
        <v>1203948</v>
      </c>
      <c r="G1376">
        <v>6</v>
      </c>
      <c r="H1376">
        <v>3</v>
      </c>
      <c r="I1376">
        <v>679</v>
      </c>
      <c r="J1376">
        <v>2003</v>
      </c>
      <c r="K1376" s="4">
        <v>45136</v>
      </c>
      <c r="L1376" t="s">
        <v>30</v>
      </c>
      <c r="M1376" t="s">
        <v>47</v>
      </c>
      <c r="N1376">
        <v>3.16</v>
      </c>
      <c r="O1376">
        <v>1953</v>
      </c>
      <c r="P1376">
        <v>3.78</v>
      </c>
      <c r="Q1376">
        <v>351</v>
      </c>
      <c r="R1376">
        <v>654</v>
      </c>
    </row>
    <row r="1377" spans="1:18" hidden="1" x14ac:dyDescent="0.2">
      <c r="A1377">
        <v>2</v>
      </c>
      <c r="B1377" t="s">
        <v>53</v>
      </c>
      <c r="E1377" t="s">
        <v>19</v>
      </c>
      <c r="F1377">
        <v>2787279</v>
      </c>
      <c r="G1377">
        <v>2</v>
      </c>
      <c r="H1377">
        <v>3</v>
      </c>
      <c r="I1377">
        <v>395</v>
      </c>
      <c r="J1377">
        <v>1999</v>
      </c>
      <c r="K1377" s="4">
        <v>45280</v>
      </c>
      <c r="L1377" t="s">
        <v>30</v>
      </c>
      <c r="M1377" t="s">
        <v>47</v>
      </c>
      <c r="N1377">
        <v>2.4</v>
      </c>
      <c r="O1377">
        <v>2410</v>
      </c>
      <c r="P1377">
        <v>2.31</v>
      </c>
      <c r="Q1377">
        <v>68</v>
      </c>
      <c r="R1377">
        <v>501</v>
      </c>
    </row>
    <row r="1378" spans="1:18" hidden="1" x14ac:dyDescent="0.2">
      <c r="A1378">
        <v>3</v>
      </c>
      <c r="B1378" t="s">
        <v>90</v>
      </c>
      <c r="E1378" t="s">
        <v>36</v>
      </c>
      <c r="F1378">
        <v>639387</v>
      </c>
      <c r="G1378">
        <v>2</v>
      </c>
      <c r="H1378">
        <v>3</v>
      </c>
      <c r="I1378">
        <v>974</v>
      </c>
      <c r="J1378">
        <v>2022</v>
      </c>
      <c r="K1378" s="4">
        <v>44104</v>
      </c>
      <c r="L1378" t="s">
        <v>26</v>
      </c>
      <c r="M1378" t="s">
        <v>35</v>
      </c>
      <c r="N1378">
        <v>2.27</v>
      </c>
      <c r="O1378">
        <v>1197</v>
      </c>
      <c r="P1378">
        <v>4.74</v>
      </c>
      <c r="Q1378">
        <v>170</v>
      </c>
      <c r="R1378">
        <v>668</v>
      </c>
    </row>
    <row r="1379" spans="1:18" hidden="1" x14ac:dyDescent="0.2">
      <c r="A1379">
        <v>0</v>
      </c>
      <c r="B1379" t="s">
        <v>84</v>
      </c>
      <c r="E1379" t="s">
        <v>19</v>
      </c>
      <c r="F1379">
        <v>1918749</v>
      </c>
      <c r="G1379">
        <v>3</v>
      </c>
      <c r="H1379">
        <v>1</v>
      </c>
      <c r="I1379">
        <v>462</v>
      </c>
      <c r="J1379">
        <v>2022</v>
      </c>
      <c r="K1379" s="4">
        <v>45683</v>
      </c>
      <c r="L1379" t="s">
        <v>20</v>
      </c>
      <c r="M1379" t="s">
        <v>47</v>
      </c>
      <c r="N1379">
        <v>2.25</v>
      </c>
      <c r="O1379">
        <v>1875</v>
      </c>
      <c r="P1379">
        <v>2.36</v>
      </c>
      <c r="Q1379">
        <v>88</v>
      </c>
      <c r="R1379">
        <v>529</v>
      </c>
    </row>
    <row r="1380" spans="1:18" hidden="1" x14ac:dyDescent="0.2">
      <c r="A1380">
        <v>5</v>
      </c>
      <c r="B1380" t="s">
        <v>95</v>
      </c>
      <c r="E1380" t="s">
        <v>19</v>
      </c>
      <c r="F1380">
        <v>1792992</v>
      </c>
      <c r="G1380">
        <v>2</v>
      </c>
      <c r="H1380">
        <v>3</v>
      </c>
      <c r="I1380">
        <v>294</v>
      </c>
      <c r="J1380">
        <v>1973</v>
      </c>
      <c r="K1380" s="4">
        <v>44243</v>
      </c>
      <c r="L1380" t="s">
        <v>26</v>
      </c>
      <c r="M1380" t="s">
        <v>82</v>
      </c>
      <c r="N1380">
        <v>2.0099999999999998</v>
      </c>
      <c r="O1380">
        <v>1764</v>
      </c>
      <c r="P1380">
        <v>4.12</v>
      </c>
      <c r="Q1380">
        <v>64</v>
      </c>
      <c r="R1380">
        <v>562</v>
      </c>
    </row>
    <row r="1381" spans="1:18" hidden="1" x14ac:dyDescent="0.2">
      <c r="A1381">
        <v>2</v>
      </c>
      <c r="B1381" t="s">
        <v>81</v>
      </c>
      <c r="E1381" t="s">
        <v>36</v>
      </c>
      <c r="F1381">
        <v>1618368</v>
      </c>
      <c r="G1381">
        <v>3</v>
      </c>
      <c r="H1381">
        <v>1</v>
      </c>
      <c r="I1381">
        <v>918</v>
      </c>
      <c r="J1381">
        <v>1958</v>
      </c>
      <c r="K1381" s="4">
        <v>44808</v>
      </c>
      <c r="L1381" t="s">
        <v>26</v>
      </c>
      <c r="M1381" t="s">
        <v>82</v>
      </c>
      <c r="N1381">
        <v>3.16</v>
      </c>
      <c r="O1381">
        <v>1607</v>
      </c>
      <c r="P1381">
        <v>2.2599999999999998</v>
      </c>
      <c r="Q1381">
        <v>133</v>
      </c>
      <c r="R1381">
        <v>536</v>
      </c>
    </row>
    <row r="1382" spans="1:18" hidden="1" x14ac:dyDescent="0.2">
      <c r="A1382">
        <v>0</v>
      </c>
      <c r="B1382" t="s">
        <v>73</v>
      </c>
      <c r="E1382" t="s">
        <v>51</v>
      </c>
      <c r="F1382">
        <v>1233999</v>
      </c>
      <c r="G1382">
        <v>3</v>
      </c>
      <c r="H1382">
        <v>3</v>
      </c>
      <c r="I1382">
        <v>849</v>
      </c>
      <c r="J1382">
        <v>1986</v>
      </c>
      <c r="K1382" s="4">
        <v>44819</v>
      </c>
      <c r="L1382" t="s">
        <v>30</v>
      </c>
      <c r="M1382" t="s">
        <v>74</v>
      </c>
      <c r="N1382">
        <v>2.73</v>
      </c>
      <c r="O1382">
        <v>1537</v>
      </c>
      <c r="P1382">
        <v>3.69</v>
      </c>
      <c r="Q1382">
        <v>250</v>
      </c>
      <c r="R1382">
        <v>431</v>
      </c>
    </row>
    <row r="1383" spans="1:18" hidden="1" x14ac:dyDescent="0.2">
      <c r="A1383">
        <v>0</v>
      </c>
      <c r="B1383" t="s">
        <v>32</v>
      </c>
      <c r="E1383" t="s">
        <v>19</v>
      </c>
      <c r="F1383">
        <v>1330761</v>
      </c>
      <c r="G1383">
        <v>5</v>
      </c>
      <c r="H1383">
        <v>2</v>
      </c>
      <c r="I1383">
        <v>721</v>
      </c>
      <c r="J1383">
        <v>1968</v>
      </c>
      <c r="K1383" s="4">
        <v>44863</v>
      </c>
      <c r="L1383" t="s">
        <v>30</v>
      </c>
      <c r="M1383" t="s">
        <v>12</v>
      </c>
      <c r="N1383">
        <v>3.3</v>
      </c>
      <c r="O1383">
        <v>2306</v>
      </c>
      <c r="P1383">
        <v>0.33</v>
      </c>
      <c r="Q1383">
        <v>369</v>
      </c>
      <c r="R1383">
        <v>366</v>
      </c>
    </row>
    <row r="1384" spans="1:18" hidden="1" x14ac:dyDescent="0.2">
      <c r="A1384">
        <v>2</v>
      </c>
      <c r="B1384" t="s">
        <v>55</v>
      </c>
      <c r="E1384" t="s">
        <v>36</v>
      </c>
      <c r="F1384">
        <v>2648029</v>
      </c>
      <c r="G1384">
        <v>3</v>
      </c>
      <c r="H1384">
        <v>1</v>
      </c>
      <c r="I1384">
        <v>805</v>
      </c>
      <c r="J1384">
        <v>1993</v>
      </c>
      <c r="K1384" s="4">
        <v>45647</v>
      </c>
      <c r="L1384" t="s">
        <v>30</v>
      </c>
      <c r="M1384" t="s">
        <v>77</v>
      </c>
      <c r="N1384">
        <v>1.71</v>
      </c>
      <c r="O1384">
        <v>2340</v>
      </c>
      <c r="P1384">
        <v>4.1900000000000004</v>
      </c>
      <c r="Q1384">
        <v>176</v>
      </c>
      <c r="R1384">
        <v>463</v>
      </c>
    </row>
    <row r="1385" spans="1:18" hidden="1" x14ac:dyDescent="0.2">
      <c r="A1385">
        <v>1</v>
      </c>
      <c r="B1385" t="s">
        <v>64</v>
      </c>
      <c r="E1385" t="s">
        <v>36</v>
      </c>
      <c r="F1385">
        <v>2307407</v>
      </c>
      <c r="G1385">
        <v>4</v>
      </c>
      <c r="H1385">
        <v>2</v>
      </c>
      <c r="I1385">
        <v>52</v>
      </c>
      <c r="J1385">
        <v>2000</v>
      </c>
      <c r="K1385" s="4">
        <v>45532</v>
      </c>
      <c r="L1385" t="s">
        <v>23</v>
      </c>
      <c r="M1385" t="s">
        <v>77</v>
      </c>
      <c r="N1385">
        <v>2.7</v>
      </c>
      <c r="O1385">
        <v>1763</v>
      </c>
      <c r="P1385">
        <v>0.56999999999999995</v>
      </c>
      <c r="Q1385">
        <v>285</v>
      </c>
      <c r="R1385">
        <v>552</v>
      </c>
    </row>
    <row r="1386" spans="1:18" hidden="1" x14ac:dyDescent="0.2">
      <c r="A1386">
        <v>7</v>
      </c>
      <c r="B1386" t="s">
        <v>86</v>
      </c>
      <c r="E1386" t="s">
        <v>19</v>
      </c>
      <c r="F1386">
        <v>2141327</v>
      </c>
      <c r="G1386">
        <v>3</v>
      </c>
      <c r="H1386">
        <v>3</v>
      </c>
      <c r="I1386">
        <v>718</v>
      </c>
      <c r="J1386">
        <v>1988</v>
      </c>
      <c r="K1386" s="4">
        <v>44085</v>
      </c>
      <c r="L1386" t="s">
        <v>20</v>
      </c>
      <c r="M1386" t="s">
        <v>60</v>
      </c>
      <c r="N1386">
        <v>2.2200000000000002</v>
      </c>
      <c r="O1386">
        <v>873</v>
      </c>
      <c r="P1386">
        <v>2.17</v>
      </c>
      <c r="Q1386">
        <v>208</v>
      </c>
      <c r="R1386">
        <v>455</v>
      </c>
    </row>
    <row r="1387" spans="1:18" hidden="1" x14ac:dyDescent="0.2">
      <c r="A1387">
        <v>7</v>
      </c>
      <c r="B1387" t="s">
        <v>57</v>
      </c>
      <c r="E1387" t="s">
        <v>36</v>
      </c>
      <c r="F1387">
        <v>1097379</v>
      </c>
      <c r="G1387">
        <v>3</v>
      </c>
      <c r="H1387">
        <v>2</v>
      </c>
      <c r="I1387">
        <v>625</v>
      </c>
      <c r="J1387">
        <v>1989</v>
      </c>
      <c r="K1387" s="4">
        <v>45229</v>
      </c>
      <c r="L1387" t="s">
        <v>23</v>
      </c>
      <c r="M1387" t="s">
        <v>40</v>
      </c>
      <c r="N1387">
        <v>2.95</v>
      </c>
      <c r="O1387">
        <v>1750</v>
      </c>
      <c r="P1387">
        <v>0.27</v>
      </c>
      <c r="Q1387">
        <v>266</v>
      </c>
      <c r="R1387">
        <v>645</v>
      </c>
    </row>
    <row r="1388" spans="1:18" hidden="1" x14ac:dyDescent="0.2">
      <c r="A1388">
        <v>9</v>
      </c>
      <c r="B1388" t="s">
        <v>67</v>
      </c>
      <c r="E1388" t="s">
        <v>19</v>
      </c>
      <c r="F1388">
        <v>1643466</v>
      </c>
      <c r="G1388">
        <v>4</v>
      </c>
      <c r="H1388">
        <v>1</v>
      </c>
      <c r="I1388">
        <v>174</v>
      </c>
      <c r="J1388">
        <v>1975</v>
      </c>
      <c r="K1388" s="4">
        <v>45670</v>
      </c>
      <c r="L1388" t="s">
        <v>20</v>
      </c>
      <c r="M1388" t="s">
        <v>35</v>
      </c>
      <c r="N1388">
        <v>2.0299999999999998</v>
      </c>
      <c r="O1388">
        <v>1274</v>
      </c>
      <c r="P1388">
        <v>1.28</v>
      </c>
      <c r="Q1388">
        <v>354</v>
      </c>
      <c r="R1388">
        <v>513</v>
      </c>
    </row>
    <row r="1389" spans="1:18" hidden="1" x14ac:dyDescent="0.2">
      <c r="A1389">
        <v>7</v>
      </c>
      <c r="B1389" t="s">
        <v>57</v>
      </c>
      <c r="E1389" t="s">
        <v>29</v>
      </c>
      <c r="F1389">
        <v>1027436</v>
      </c>
      <c r="G1389">
        <v>1</v>
      </c>
      <c r="H1389">
        <v>1</v>
      </c>
      <c r="I1389">
        <v>250</v>
      </c>
      <c r="J1389">
        <v>2018</v>
      </c>
      <c r="K1389" s="4">
        <v>44649</v>
      </c>
      <c r="L1389" t="s">
        <v>20</v>
      </c>
      <c r="M1389" t="s">
        <v>68</v>
      </c>
      <c r="N1389">
        <v>3.24</v>
      </c>
      <c r="O1389">
        <v>2430</v>
      </c>
      <c r="P1389">
        <v>1.96</v>
      </c>
      <c r="Q1389">
        <v>143</v>
      </c>
      <c r="R1389">
        <v>576</v>
      </c>
    </row>
    <row r="1390" spans="1:18" hidden="1" x14ac:dyDescent="0.2">
      <c r="A1390">
        <v>2</v>
      </c>
      <c r="B1390" t="s">
        <v>106</v>
      </c>
      <c r="E1390" t="s">
        <v>19</v>
      </c>
      <c r="F1390">
        <v>1556690</v>
      </c>
      <c r="G1390">
        <v>4</v>
      </c>
      <c r="H1390">
        <v>2</v>
      </c>
      <c r="I1390">
        <v>493</v>
      </c>
      <c r="J1390">
        <v>1962</v>
      </c>
      <c r="K1390" s="4">
        <v>45478</v>
      </c>
      <c r="L1390" t="s">
        <v>26</v>
      </c>
      <c r="M1390" t="s">
        <v>59</v>
      </c>
      <c r="N1390">
        <v>1.69</v>
      </c>
      <c r="O1390">
        <v>1555</v>
      </c>
      <c r="P1390">
        <v>0.17</v>
      </c>
      <c r="Q1390">
        <v>177</v>
      </c>
      <c r="R1390">
        <v>520</v>
      </c>
    </row>
    <row r="1391" spans="1:18" hidden="1" x14ac:dyDescent="0.2">
      <c r="A1391">
        <v>2</v>
      </c>
      <c r="B1391" t="s">
        <v>38</v>
      </c>
      <c r="E1391" t="s">
        <v>36</v>
      </c>
      <c r="F1391">
        <v>2043416</v>
      </c>
      <c r="G1391">
        <v>3</v>
      </c>
      <c r="H1391">
        <v>1</v>
      </c>
      <c r="I1391">
        <v>699</v>
      </c>
      <c r="J1391">
        <v>1999</v>
      </c>
      <c r="K1391" s="4">
        <v>44326</v>
      </c>
      <c r="L1391" t="s">
        <v>26</v>
      </c>
      <c r="M1391" t="s">
        <v>42</v>
      </c>
      <c r="N1391">
        <v>1.6</v>
      </c>
      <c r="O1391">
        <v>2036</v>
      </c>
      <c r="P1391">
        <v>4.8099999999999996</v>
      </c>
      <c r="Q1391">
        <v>296</v>
      </c>
      <c r="R1391">
        <v>411</v>
      </c>
    </row>
    <row r="1392" spans="1:18" hidden="1" x14ac:dyDescent="0.2">
      <c r="A1392">
        <v>4</v>
      </c>
      <c r="B1392" t="s">
        <v>83</v>
      </c>
      <c r="E1392" t="s">
        <v>36</v>
      </c>
      <c r="F1392">
        <v>981154</v>
      </c>
      <c r="G1392">
        <v>3</v>
      </c>
      <c r="H1392">
        <v>1</v>
      </c>
      <c r="I1392">
        <v>620</v>
      </c>
      <c r="J1392">
        <v>2015</v>
      </c>
      <c r="K1392" s="4">
        <v>45673</v>
      </c>
      <c r="L1392" t="s">
        <v>23</v>
      </c>
      <c r="M1392" t="s">
        <v>35</v>
      </c>
      <c r="N1392">
        <v>3.39</v>
      </c>
      <c r="O1392">
        <v>2016</v>
      </c>
      <c r="P1392">
        <v>1.4</v>
      </c>
      <c r="Q1392">
        <v>268</v>
      </c>
      <c r="R1392">
        <v>436</v>
      </c>
    </row>
    <row r="1393" spans="1:18" hidden="1" x14ac:dyDescent="0.2">
      <c r="A1393">
        <v>1</v>
      </c>
      <c r="B1393" t="s">
        <v>71</v>
      </c>
      <c r="E1393" t="s">
        <v>51</v>
      </c>
      <c r="F1393">
        <v>1581753</v>
      </c>
      <c r="G1393">
        <v>4</v>
      </c>
      <c r="H1393">
        <v>3</v>
      </c>
      <c r="I1393">
        <v>371</v>
      </c>
      <c r="J1393">
        <v>1999</v>
      </c>
      <c r="K1393" s="4">
        <v>45072</v>
      </c>
      <c r="L1393" t="s">
        <v>23</v>
      </c>
      <c r="M1393" t="s">
        <v>97</v>
      </c>
      <c r="N1393">
        <v>1.81</v>
      </c>
      <c r="O1393">
        <v>2454</v>
      </c>
      <c r="P1393">
        <v>2.37</v>
      </c>
      <c r="Q1393">
        <v>325</v>
      </c>
      <c r="R1393">
        <v>317</v>
      </c>
    </row>
    <row r="1394" spans="1:18" x14ac:dyDescent="0.2">
      <c r="A1394">
        <v>8</v>
      </c>
      <c r="B1394" t="s">
        <v>98</v>
      </c>
      <c r="E1394" t="s">
        <v>36</v>
      </c>
      <c r="F1394">
        <v>1727068</v>
      </c>
      <c r="G1394">
        <v>2</v>
      </c>
      <c r="H1394">
        <v>2</v>
      </c>
      <c r="I1394">
        <v>180</v>
      </c>
      <c r="J1394">
        <v>1974</v>
      </c>
      <c r="K1394" s="4">
        <v>44598</v>
      </c>
      <c r="L1394" t="s">
        <v>26</v>
      </c>
      <c r="M1394" t="s">
        <v>54</v>
      </c>
      <c r="N1394">
        <v>2.0699999999999998</v>
      </c>
      <c r="O1394">
        <v>1292</v>
      </c>
      <c r="P1394">
        <v>3.82</v>
      </c>
      <c r="Q1394">
        <v>238</v>
      </c>
      <c r="R1394">
        <v>459</v>
      </c>
    </row>
    <row r="1395" spans="1:18" hidden="1" x14ac:dyDescent="0.2">
      <c r="A1395">
        <v>5</v>
      </c>
      <c r="B1395" t="s">
        <v>88</v>
      </c>
      <c r="E1395" t="s">
        <v>51</v>
      </c>
      <c r="F1395">
        <v>2160202</v>
      </c>
      <c r="G1395">
        <v>3</v>
      </c>
      <c r="H1395">
        <v>1</v>
      </c>
      <c r="I1395">
        <v>727</v>
      </c>
      <c r="J1395">
        <v>2004</v>
      </c>
      <c r="K1395" s="4">
        <v>45473</v>
      </c>
      <c r="L1395" t="s">
        <v>30</v>
      </c>
      <c r="M1395" t="s">
        <v>21</v>
      </c>
      <c r="N1395">
        <v>1.51</v>
      </c>
      <c r="O1395">
        <v>1659</v>
      </c>
      <c r="P1395">
        <v>0.13</v>
      </c>
      <c r="Q1395">
        <v>225</v>
      </c>
      <c r="R1395">
        <v>668</v>
      </c>
    </row>
    <row r="1396" spans="1:18" hidden="1" x14ac:dyDescent="0.2">
      <c r="A1396">
        <v>5</v>
      </c>
      <c r="B1396" t="s">
        <v>34</v>
      </c>
      <c r="E1396" t="s">
        <v>51</v>
      </c>
      <c r="F1396">
        <v>2039904</v>
      </c>
      <c r="G1396">
        <v>4</v>
      </c>
      <c r="H1396">
        <v>1</v>
      </c>
      <c r="I1396">
        <v>831</v>
      </c>
      <c r="J1396">
        <v>2021</v>
      </c>
      <c r="K1396" s="4">
        <v>45125</v>
      </c>
      <c r="L1396" t="s">
        <v>20</v>
      </c>
      <c r="M1396" t="s">
        <v>82</v>
      </c>
      <c r="N1396">
        <v>3.24</v>
      </c>
      <c r="O1396">
        <v>1211</v>
      </c>
      <c r="P1396">
        <v>4.87</v>
      </c>
      <c r="Q1396">
        <v>238</v>
      </c>
      <c r="R1396">
        <v>506</v>
      </c>
    </row>
    <row r="1397" spans="1:18" hidden="1" x14ac:dyDescent="0.2">
      <c r="A1397">
        <v>4</v>
      </c>
      <c r="B1397" t="s">
        <v>61</v>
      </c>
      <c r="E1397" t="s">
        <v>51</v>
      </c>
      <c r="F1397">
        <v>789469</v>
      </c>
      <c r="G1397">
        <v>1</v>
      </c>
      <c r="H1397">
        <v>2</v>
      </c>
      <c r="I1397">
        <v>671</v>
      </c>
      <c r="J1397">
        <v>2003</v>
      </c>
      <c r="K1397" s="4">
        <v>45186</v>
      </c>
      <c r="L1397" t="s">
        <v>26</v>
      </c>
      <c r="M1397" t="s">
        <v>77</v>
      </c>
      <c r="N1397">
        <v>2.09</v>
      </c>
      <c r="O1397">
        <v>913</v>
      </c>
      <c r="P1397">
        <v>4.7300000000000004</v>
      </c>
      <c r="Q1397">
        <v>65</v>
      </c>
      <c r="R1397">
        <v>554</v>
      </c>
    </row>
    <row r="1398" spans="1:18" hidden="1" x14ac:dyDescent="0.2">
      <c r="A1398">
        <v>0</v>
      </c>
      <c r="B1398" t="s">
        <v>91</v>
      </c>
      <c r="E1398" t="s">
        <v>51</v>
      </c>
      <c r="F1398">
        <v>1480104</v>
      </c>
      <c r="G1398">
        <v>0</v>
      </c>
      <c r="H1398">
        <v>3</v>
      </c>
      <c r="I1398">
        <v>471</v>
      </c>
      <c r="J1398">
        <v>2005</v>
      </c>
      <c r="K1398" s="4">
        <v>45844</v>
      </c>
      <c r="L1398" t="s">
        <v>26</v>
      </c>
      <c r="M1398" t="s">
        <v>68</v>
      </c>
      <c r="N1398">
        <v>2.58</v>
      </c>
      <c r="O1398">
        <v>1329</v>
      </c>
      <c r="P1398">
        <v>4.05</v>
      </c>
      <c r="Q1398">
        <v>63</v>
      </c>
      <c r="R1398">
        <v>578</v>
      </c>
    </row>
    <row r="1399" spans="1:18" hidden="1" x14ac:dyDescent="0.2">
      <c r="A1399">
        <v>5</v>
      </c>
      <c r="B1399" t="s">
        <v>101</v>
      </c>
      <c r="E1399" t="s">
        <v>19</v>
      </c>
      <c r="F1399">
        <v>2279406</v>
      </c>
      <c r="G1399">
        <v>3</v>
      </c>
      <c r="H1399">
        <v>1</v>
      </c>
      <c r="I1399">
        <v>130</v>
      </c>
      <c r="J1399">
        <v>1954</v>
      </c>
      <c r="K1399" s="4">
        <v>45064</v>
      </c>
      <c r="L1399" t="s">
        <v>23</v>
      </c>
      <c r="M1399" t="s">
        <v>33</v>
      </c>
      <c r="N1399">
        <v>1.69</v>
      </c>
      <c r="O1399">
        <v>2398</v>
      </c>
      <c r="P1399">
        <v>2.58</v>
      </c>
      <c r="Q1399">
        <v>104</v>
      </c>
      <c r="R1399">
        <v>322</v>
      </c>
    </row>
    <row r="1400" spans="1:18" hidden="1" x14ac:dyDescent="0.2">
      <c r="A1400">
        <v>3</v>
      </c>
      <c r="B1400" t="s">
        <v>93</v>
      </c>
      <c r="E1400" t="s">
        <v>51</v>
      </c>
      <c r="F1400">
        <v>2049506</v>
      </c>
      <c r="G1400">
        <v>4</v>
      </c>
      <c r="H1400">
        <v>1</v>
      </c>
      <c r="I1400">
        <v>479</v>
      </c>
      <c r="J1400">
        <v>1978</v>
      </c>
      <c r="K1400" s="4">
        <v>44387</v>
      </c>
      <c r="L1400" t="s">
        <v>23</v>
      </c>
      <c r="M1400" t="s">
        <v>69</v>
      </c>
      <c r="N1400">
        <v>2.1800000000000002</v>
      </c>
      <c r="O1400">
        <v>1374</v>
      </c>
      <c r="P1400">
        <v>2.3199999999999998</v>
      </c>
      <c r="Q1400">
        <v>181</v>
      </c>
      <c r="R1400">
        <v>426</v>
      </c>
    </row>
    <row r="1401" spans="1:18" x14ac:dyDescent="0.2">
      <c r="A1401">
        <v>8</v>
      </c>
      <c r="B1401" t="s">
        <v>105</v>
      </c>
      <c r="E1401" t="s">
        <v>19</v>
      </c>
      <c r="F1401">
        <v>752101</v>
      </c>
      <c r="G1401">
        <v>4</v>
      </c>
      <c r="H1401">
        <v>2</v>
      </c>
      <c r="I1401">
        <v>669</v>
      </c>
      <c r="J1401">
        <v>2009</v>
      </c>
      <c r="K1401" s="4">
        <v>44472</v>
      </c>
      <c r="L1401" t="s">
        <v>23</v>
      </c>
      <c r="M1401" t="s">
        <v>60</v>
      </c>
      <c r="N1401">
        <v>1.8</v>
      </c>
      <c r="O1401">
        <v>1175</v>
      </c>
      <c r="P1401">
        <v>2.79</v>
      </c>
      <c r="Q1401">
        <v>280</v>
      </c>
      <c r="R1401">
        <v>495</v>
      </c>
    </row>
    <row r="1402" spans="1:18" hidden="1" x14ac:dyDescent="0.2">
      <c r="A1402">
        <v>6</v>
      </c>
      <c r="B1402" t="s">
        <v>88</v>
      </c>
      <c r="E1402" t="s">
        <v>29</v>
      </c>
      <c r="F1402">
        <v>751355</v>
      </c>
      <c r="G1402">
        <v>5</v>
      </c>
      <c r="H1402">
        <v>3</v>
      </c>
      <c r="I1402">
        <v>124</v>
      </c>
      <c r="J1402">
        <v>1985</v>
      </c>
      <c r="K1402" s="4">
        <v>45362</v>
      </c>
      <c r="L1402" t="s">
        <v>26</v>
      </c>
      <c r="M1402" t="s">
        <v>60</v>
      </c>
      <c r="N1402">
        <v>3.36</v>
      </c>
      <c r="O1402">
        <v>1466</v>
      </c>
      <c r="P1402">
        <v>1.64</v>
      </c>
      <c r="Q1402">
        <v>342</v>
      </c>
      <c r="R1402">
        <v>479</v>
      </c>
    </row>
    <row r="1403" spans="1:18" hidden="1" x14ac:dyDescent="0.2">
      <c r="A1403">
        <v>4</v>
      </c>
      <c r="B1403" t="s">
        <v>104</v>
      </c>
      <c r="E1403" t="s">
        <v>29</v>
      </c>
      <c r="F1403">
        <v>956438</v>
      </c>
      <c r="G1403">
        <v>3</v>
      </c>
      <c r="H1403">
        <v>2</v>
      </c>
      <c r="I1403">
        <v>87</v>
      </c>
      <c r="J1403">
        <v>1979</v>
      </c>
      <c r="K1403" s="4">
        <v>44944</v>
      </c>
      <c r="L1403" t="s">
        <v>26</v>
      </c>
      <c r="M1403" t="s">
        <v>59</v>
      </c>
      <c r="N1403">
        <v>2.79</v>
      </c>
      <c r="O1403">
        <v>1758</v>
      </c>
      <c r="P1403">
        <v>0.12</v>
      </c>
      <c r="Q1403">
        <v>106</v>
      </c>
      <c r="R1403">
        <v>324</v>
      </c>
    </row>
    <row r="1404" spans="1:18" hidden="1" x14ac:dyDescent="0.2">
      <c r="A1404">
        <v>2</v>
      </c>
      <c r="B1404" t="s">
        <v>41</v>
      </c>
      <c r="E1404" t="s">
        <v>19</v>
      </c>
      <c r="F1404">
        <v>1014995</v>
      </c>
      <c r="G1404">
        <v>2</v>
      </c>
      <c r="H1404">
        <v>1</v>
      </c>
      <c r="I1404">
        <v>969</v>
      </c>
      <c r="J1404">
        <v>1963</v>
      </c>
      <c r="K1404" s="4">
        <v>44942</v>
      </c>
      <c r="L1404" t="s">
        <v>23</v>
      </c>
      <c r="M1404" t="s">
        <v>85</v>
      </c>
      <c r="N1404">
        <v>2.69</v>
      </c>
      <c r="O1404">
        <v>1524</v>
      </c>
      <c r="P1404">
        <v>2.5299999999999998</v>
      </c>
      <c r="Q1404">
        <v>142</v>
      </c>
      <c r="R1404">
        <v>404</v>
      </c>
    </row>
    <row r="1405" spans="1:18" hidden="1" x14ac:dyDescent="0.2">
      <c r="A1405">
        <v>2</v>
      </c>
      <c r="B1405" t="s">
        <v>104</v>
      </c>
      <c r="E1405" t="s">
        <v>51</v>
      </c>
      <c r="F1405">
        <v>1051781</v>
      </c>
      <c r="G1405">
        <v>2</v>
      </c>
      <c r="H1405">
        <v>3</v>
      </c>
      <c r="I1405">
        <v>655</v>
      </c>
      <c r="J1405">
        <v>1950</v>
      </c>
      <c r="K1405" s="4">
        <v>44800</v>
      </c>
      <c r="L1405" t="s">
        <v>26</v>
      </c>
      <c r="M1405" t="s">
        <v>60</v>
      </c>
      <c r="N1405">
        <v>3.23</v>
      </c>
      <c r="O1405">
        <v>1251</v>
      </c>
      <c r="P1405">
        <v>3.65</v>
      </c>
      <c r="Q1405">
        <v>95</v>
      </c>
      <c r="R1405">
        <v>302</v>
      </c>
    </row>
    <row r="1406" spans="1:18" hidden="1" x14ac:dyDescent="0.2">
      <c r="A1406">
        <v>1</v>
      </c>
      <c r="B1406" t="s">
        <v>18</v>
      </c>
      <c r="E1406" t="s">
        <v>29</v>
      </c>
      <c r="F1406">
        <v>1642704</v>
      </c>
      <c r="G1406">
        <v>3</v>
      </c>
      <c r="H1406">
        <v>1</v>
      </c>
      <c r="I1406">
        <v>793</v>
      </c>
      <c r="J1406">
        <v>1992</v>
      </c>
      <c r="K1406" s="4">
        <v>45399</v>
      </c>
      <c r="L1406" t="s">
        <v>26</v>
      </c>
      <c r="M1406" t="s">
        <v>40</v>
      </c>
      <c r="N1406">
        <v>3.22</v>
      </c>
      <c r="O1406">
        <v>1480</v>
      </c>
      <c r="P1406">
        <v>4.1100000000000003</v>
      </c>
      <c r="Q1406">
        <v>294</v>
      </c>
      <c r="R1406">
        <v>629</v>
      </c>
    </row>
    <row r="1407" spans="1:18" hidden="1" x14ac:dyDescent="0.2">
      <c r="A1407">
        <v>9</v>
      </c>
      <c r="B1407" t="s">
        <v>80</v>
      </c>
      <c r="E1407" t="s">
        <v>29</v>
      </c>
      <c r="F1407">
        <v>1072348</v>
      </c>
      <c r="G1407">
        <v>2</v>
      </c>
      <c r="H1407">
        <v>1</v>
      </c>
      <c r="I1407">
        <v>377</v>
      </c>
      <c r="J1407">
        <v>1998</v>
      </c>
      <c r="K1407" s="4">
        <v>44128</v>
      </c>
      <c r="L1407" t="s">
        <v>23</v>
      </c>
      <c r="M1407" t="s">
        <v>68</v>
      </c>
      <c r="N1407">
        <v>2.34</v>
      </c>
      <c r="O1407">
        <v>1655</v>
      </c>
      <c r="P1407">
        <v>3.27</v>
      </c>
      <c r="Q1407">
        <v>210</v>
      </c>
      <c r="R1407">
        <v>509</v>
      </c>
    </row>
    <row r="1408" spans="1:18" hidden="1" x14ac:dyDescent="0.2">
      <c r="A1408">
        <v>0</v>
      </c>
      <c r="B1408" t="s">
        <v>90</v>
      </c>
      <c r="E1408" t="s">
        <v>19</v>
      </c>
      <c r="F1408">
        <v>930121</v>
      </c>
      <c r="G1408">
        <v>4</v>
      </c>
      <c r="H1408">
        <v>3</v>
      </c>
      <c r="I1408">
        <v>780</v>
      </c>
      <c r="J1408">
        <v>1971</v>
      </c>
      <c r="K1408" s="4">
        <v>44091</v>
      </c>
      <c r="L1408" t="s">
        <v>20</v>
      </c>
      <c r="M1408" t="s">
        <v>42</v>
      </c>
      <c r="N1408">
        <v>2.48</v>
      </c>
      <c r="O1408">
        <v>1551</v>
      </c>
      <c r="P1408">
        <v>4.83</v>
      </c>
      <c r="Q1408">
        <v>343</v>
      </c>
      <c r="R1408">
        <v>556</v>
      </c>
    </row>
    <row r="1409" spans="1:18" hidden="1" x14ac:dyDescent="0.2">
      <c r="A1409">
        <v>9</v>
      </c>
      <c r="B1409" t="s">
        <v>44</v>
      </c>
      <c r="E1409" t="s">
        <v>36</v>
      </c>
      <c r="F1409">
        <v>1260423</v>
      </c>
      <c r="G1409">
        <v>3</v>
      </c>
      <c r="H1409">
        <v>1</v>
      </c>
      <c r="I1409">
        <v>530</v>
      </c>
      <c r="J1409">
        <v>1963</v>
      </c>
      <c r="K1409" s="4">
        <v>45638</v>
      </c>
      <c r="L1409" t="s">
        <v>20</v>
      </c>
      <c r="M1409" t="s">
        <v>59</v>
      </c>
      <c r="N1409">
        <v>2.2200000000000002</v>
      </c>
      <c r="O1409">
        <v>1636</v>
      </c>
      <c r="P1409">
        <v>4.97</v>
      </c>
      <c r="Q1409">
        <v>104</v>
      </c>
      <c r="R1409">
        <v>559</v>
      </c>
    </row>
    <row r="1410" spans="1:18" hidden="1" x14ac:dyDescent="0.2">
      <c r="A1410">
        <v>7</v>
      </c>
      <c r="B1410" t="s">
        <v>92</v>
      </c>
      <c r="E1410" t="s">
        <v>29</v>
      </c>
      <c r="F1410">
        <v>1012378</v>
      </c>
      <c r="G1410">
        <v>2</v>
      </c>
      <c r="H1410">
        <v>3</v>
      </c>
      <c r="I1410">
        <v>209</v>
      </c>
      <c r="J1410">
        <v>1999</v>
      </c>
      <c r="K1410" s="4">
        <v>44809</v>
      </c>
      <c r="L1410" t="s">
        <v>30</v>
      </c>
      <c r="M1410" t="s">
        <v>70</v>
      </c>
      <c r="N1410">
        <v>2.69</v>
      </c>
      <c r="O1410">
        <v>1020</v>
      </c>
      <c r="P1410">
        <v>2.29</v>
      </c>
      <c r="Q1410">
        <v>196</v>
      </c>
      <c r="R1410">
        <v>386</v>
      </c>
    </row>
    <row r="1411" spans="1:18" hidden="1" x14ac:dyDescent="0.2">
      <c r="A1411">
        <v>0</v>
      </c>
      <c r="B1411" t="s">
        <v>22</v>
      </c>
      <c r="E1411" t="s">
        <v>36</v>
      </c>
      <c r="F1411">
        <v>1676234</v>
      </c>
      <c r="G1411">
        <v>5</v>
      </c>
      <c r="H1411">
        <v>1</v>
      </c>
      <c r="I1411">
        <v>973</v>
      </c>
      <c r="J1411">
        <v>1990</v>
      </c>
      <c r="K1411" s="4">
        <v>44591</v>
      </c>
      <c r="L1411" t="s">
        <v>20</v>
      </c>
      <c r="M1411" t="s">
        <v>37</v>
      </c>
      <c r="N1411">
        <v>1.81</v>
      </c>
      <c r="O1411">
        <v>1527</v>
      </c>
      <c r="P1411">
        <v>3.89</v>
      </c>
      <c r="Q1411">
        <v>318</v>
      </c>
      <c r="R1411">
        <v>468</v>
      </c>
    </row>
    <row r="1412" spans="1:18" hidden="1" x14ac:dyDescent="0.2">
      <c r="A1412">
        <v>3</v>
      </c>
      <c r="B1412" t="s">
        <v>100</v>
      </c>
      <c r="E1412" t="s">
        <v>19</v>
      </c>
      <c r="F1412">
        <v>980250</v>
      </c>
      <c r="G1412">
        <v>5</v>
      </c>
      <c r="H1412">
        <v>1</v>
      </c>
      <c r="I1412">
        <v>527</v>
      </c>
      <c r="J1412">
        <v>1965</v>
      </c>
      <c r="K1412" s="4">
        <v>44345</v>
      </c>
      <c r="L1412" t="s">
        <v>26</v>
      </c>
      <c r="M1412" t="s">
        <v>77</v>
      </c>
      <c r="N1412">
        <v>1.57</v>
      </c>
      <c r="O1412">
        <v>1943</v>
      </c>
      <c r="P1412">
        <v>2.97</v>
      </c>
      <c r="Q1412">
        <v>329</v>
      </c>
      <c r="R1412">
        <v>366</v>
      </c>
    </row>
    <row r="1413" spans="1:18" hidden="1" x14ac:dyDescent="0.2">
      <c r="A1413">
        <v>1</v>
      </c>
      <c r="B1413" t="s">
        <v>41</v>
      </c>
      <c r="E1413" t="s">
        <v>29</v>
      </c>
      <c r="F1413">
        <v>1939867</v>
      </c>
      <c r="G1413">
        <v>3</v>
      </c>
      <c r="H1413">
        <v>3</v>
      </c>
      <c r="I1413">
        <v>523</v>
      </c>
      <c r="J1413">
        <v>1990</v>
      </c>
      <c r="K1413" s="4">
        <v>44669</v>
      </c>
      <c r="L1413" t="s">
        <v>20</v>
      </c>
      <c r="M1413" t="s">
        <v>60</v>
      </c>
      <c r="N1413">
        <v>2.21</v>
      </c>
      <c r="O1413">
        <v>1831</v>
      </c>
      <c r="P1413">
        <v>1.86</v>
      </c>
      <c r="Q1413">
        <v>203</v>
      </c>
      <c r="R1413">
        <v>690</v>
      </c>
    </row>
    <row r="1414" spans="1:18" hidden="1" x14ac:dyDescent="0.2">
      <c r="A1414">
        <v>1</v>
      </c>
      <c r="B1414" t="s">
        <v>95</v>
      </c>
      <c r="E1414" t="s">
        <v>29</v>
      </c>
      <c r="F1414">
        <v>2134606</v>
      </c>
      <c r="G1414">
        <v>4</v>
      </c>
      <c r="H1414">
        <v>3</v>
      </c>
      <c r="I1414">
        <v>781</v>
      </c>
      <c r="J1414">
        <v>1988</v>
      </c>
      <c r="K1414" s="4">
        <v>45532</v>
      </c>
      <c r="L1414" t="s">
        <v>26</v>
      </c>
      <c r="M1414" t="s">
        <v>35</v>
      </c>
      <c r="N1414">
        <v>3.45</v>
      </c>
      <c r="O1414">
        <v>1765</v>
      </c>
      <c r="P1414">
        <v>1.2</v>
      </c>
      <c r="Q1414">
        <v>368</v>
      </c>
      <c r="R1414">
        <v>551</v>
      </c>
    </row>
    <row r="1415" spans="1:18" hidden="1" x14ac:dyDescent="0.2">
      <c r="A1415">
        <v>6</v>
      </c>
      <c r="B1415" t="s">
        <v>71</v>
      </c>
      <c r="E1415" t="s">
        <v>36</v>
      </c>
      <c r="F1415">
        <v>1372360</v>
      </c>
      <c r="G1415">
        <v>1</v>
      </c>
      <c r="H1415">
        <v>3</v>
      </c>
      <c r="I1415">
        <v>868</v>
      </c>
      <c r="J1415">
        <v>2020</v>
      </c>
      <c r="K1415" s="4">
        <v>45642</v>
      </c>
      <c r="L1415" t="s">
        <v>20</v>
      </c>
      <c r="M1415" t="s">
        <v>74</v>
      </c>
      <c r="N1415">
        <v>2.85</v>
      </c>
      <c r="O1415">
        <v>1782</v>
      </c>
      <c r="P1415">
        <v>3.56</v>
      </c>
      <c r="Q1415">
        <v>134</v>
      </c>
      <c r="R1415">
        <v>476</v>
      </c>
    </row>
    <row r="1416" spans="1:18" x14ac:dyDescent="0.2">
      <c r="A1416">
        <v>8</v>
      </c>
      <c r="B1416" t="s">
        <v>41</v>
      </c>
      <c r="E1416" t="s">
        <v>36</v>
      </c>
      <c r="F1416">
        <v>2959291</v>
      </c>
      <c r="G1416">
        <v>5</v>
      </c>
      <c r="H1416">
        <v>3</v>
      </c>
      <c r="I1416">
        <v>413</v>
      </c>
      <c r="J1416">
        <v>2015</v>
      </c>
      <c r="K1416" s="4">
        <v>45185</v>
      </c>
      <c r="L1416" t="s">
        <v>23</v>
      </c>
      <c r="M1416" t="s">
        <v>78</v>
      </c>
      <c r="N1416">
        <v>1.78</v>
      </c>
      <c r="O1416">
        <v>1263</v>
      </c>
      <c r="P1416">
        <v>4.83</v>
      </c>
      <c r="Q1416">
        <v>346</v>
      </c>
      <c r="R1416">
        <v>690</v>
      </c>
    </row>
    <row r="1417" spans="1:18" hidden="1" x14ac:dyDescent="0.2">
      <c r="A1417">
        <v>0</v>
      </c>
      <c r="B1417" t="s">
        <v>80</v>
      </c>
      <c r="E1417" t="s">
        <v>36</v>
      </c>
      <c r="F1417">
        <v>412633</v>
      </c>
      <c r="G1417">
        <v>5</v>
      </c>
      <c r="H1417">
        <v>2</v>
      </c>
      <c r="I1417">
        <v>583</v>
      </c>
      <c r="J1417">
        <v>2026</v>
      </c>
      <c r="K1417" s="4">
        <v>45865</v>
      </c>
      <c r="L1417" t="s">
        <v>26</v>
      </c>
      <c r="M1417" t="s">
        <v>21</v>
      </c>
      <c r="N1417">
        <v>3.38</v>
      </c>
      <c r="O1417">
        <v>1186</v>
      </c>
      <c r="P1417">
        <v>3.8</v>
      </c>
      <c r="Q1417">
        <v>375</v>
      </c>
      <c r="R1417">
        <v>587</v>
      </c>
    </row>
    <row r="1418" spans="1:18" hidden="1" x14ac:dyDescent="0.2">
      <c r="A1418">
        <v>1</v>
      </c>
      <c r="B1418" t="s">
        <v>65</v>
      </c>
      <c r="E1418" t="s">
        <v>19</v>
      </c>
      <c r="F1418">
        <v>580184</v>
      </c>
      <c r="G1418">
        <v>4</v>
      </c>
      <c r="H1418">
        <v>3</v>
      </c>
      <c r="I1418">
        <v>627</v>
      </c>
      <c r="J1418">
        <v>1975</v>
      </c>
      <c r="K1418" s="4">
        <v>44895</v>
      </c>
      <c r="L1418" t="s">
        <v>20</v>
      </c>
      <c r="M1418" t="s">
        <v>69</v>
      </c>
      <c r="N1418">
        <v>3.12</v>
      </c>
      <c r="O1418">
        <v>1384</v>
      </c>
      <c r="P1418">
        <v>0.73</v>
      </c>
      <c r="Q1418">
        <v>181</v>
      </c>
      <c r="R1418">
        <v>606</v>
      </c>
    </row>
    <row r="1419" spans="1:18" hidden="1" x14ac:dyDescent="0.2">
      <c r="A1419">
        <v>6</v>
      </c>
      <c r="B1419" t="s">
        <v>90</v>
      </c>
      <c r="E1419" t="s">
        <v>19</v>
      </c>
      <c r="F1419">
        <v>994297</v>
      </c>
      <c r="G1419">
        <v>0</v>
      </c>
      <c r="H1419">
        <v>3</v>
      </c>
      <c r="I1419">
        <v>292</v>
      </c>
      <c r="J1419">
        <v>1979</v>
      </c>
      <c r="K1419" s="4">
        <v>44221</v>
      </c>
      <c r="L1419" t="s">
        <v>20</v>
      </c>
      <c r="M1419" t="s">
        <v>42</v>
      </c>
      <c r="N1419">
        <v>3.37</v>
      </c>
      <c r="O1419">
        <v>1030</v>
      </c>
      <c r="P1419">
        <v>3.49</v>
      </c>
      <c r="Q1419">
        <v>80</v>
      </c>
      <c r="R1419">
        <v>500</v>
      </c>
    </row>
    <row r="1420" spans="1:18" hidden="1" x14ac:dyDescent="0.2">
      <c r="A1420">
        <v>2</v>
      </c>
      <c r="B1420" t="s">
        <v>48</v>
      </c>
      <c r="E1420" t="s">
        <v>29</v>
      </c>
      <c r="F1420">
        <v>1940741</v>
      </c>
      <c r="G1420">
        <v>3</v>
      </c>
      <c r="H1420">
        <v>1</v>
      </c>
      <c r="I1420">
        <v>831</v>
      </c>
      <c r="J1420">
        <v>1960</v>
      </c>
      <c r="K1420" s="4">
        <v>44595</v>
      </c>
      <c r="L1420" t="s">
        <v>30</v>
      </c>
      <c r="M1420" t="s">
        <v>63</v>
      </c>
      <c r="N1420">
        <v>2.78</v>
      </c>
      <c r="O1420">
        <v>2157</v>
      </c>
      <c r="P1420">
        <v>3.27</v>
      </c>
      <c r="Q1420">
        <v>224</v>
      </c>
      <c r="R1420">
        <v>330</v>
      </c>
    </row>
    <row r="1421" spans="1:18" hidden="1" x14ac:dyDescent="0.2">
      <c r="A1421">
        <v>1</v>
      </c>
      <c r="B1421" t="s">
        <v>75</v>
      </c>
      <c r="E1421" t="s">
        <v>19</v>
      </c>
      <c r="F1421">
        <v>2470765</v>
      </c>
      <c r="G1421">
        <v>2</v>
      </c>
      <c r="H1421">
        <v>1</v>
      </c>
      <c r="I1421">
        <v>749</v>
      </c>
      <c r="J1421">
        <v>1975</v>
      </c>
      <c r="K1421" s="4">
        <v>44932</v>
      </c>
      <c r="L1421" t="s">
        <v>20</v>
      </c>
      <c r="M1421" t="s">
        <v>47</v>
      </c>
      <c r="N1421">
        <v>2.0699999999999998</v>
      </c>
      <c r="O1421">
        <v>1518</v>
      </c>
      <c r="P1421">
        <v>4.09</v>
      </c>
      <c r="Q1421">
        <v>61</v>
      </c>
      <c r="R1421">
        <v>578</v>
      </c>
    </row>
    <row r="1422" spans="1:18" hidden="1" x14ac:dyDescent="0.2">
      <c r="A1422">
        <v>6</v>
      </c>
      <c r="B1422" t="s">
        <v>75</v>
      </c>
      <c r="E1422" t="s">
        <v>19</v>
      </c>
      <c r="F1422">
        <v>2112147</v>
      </c>
      <c r="G1422">
        <v>4</v>
      </c>
      <c r="H1422">
        <v>2</v>
      </c>
      <c r="I1422">
        <v>567</v>
      </c>
      <c r="J1422">
        <v>1983</v>
      </c>
      <c r="K1422" s="4">
        <v>44294</v>
      </c>
      <c r="L1422" t="s">
        <v>30</v>
      </c>
      <c r="M1422" t="s">
        <v>63</v>
      </c>
      <c r="N1422">
        <v>2.56</v>
      </c>
      <c r="O1422">
        <v>1962</v>
      </c>
      <c r="P1422">
        <v>3.46</v>
      </c>
      <c r="Q1422">
        <v>309</v>
      </c>
      <c r="R1422">
        <v>339</v>
      </c>
    </row>
    <row r="1423" spans="1:18" hidden="1" x14ac:dyDescent="0.2">
      <c r="A1423">
        <v>5</v>
      </c>
      <c r="B1423" t="s">
        <v>50</v>
      </c>
      <c r="E1423" t="s">
        <v>29</v>
      </c>
      <c r="F1423">
        <v>457440</v>
      </c>
      <c r="G1423">
        <v>3</v>
      </c>
      <c r="H1423">
        <v>2</v>
      </c>
      <c r="I1423">
        <v>67</v>
      </c>
      <c r="J1423">
        <v>2008</v>
      </c>
      <c r="K1423" s="4">
        <v>44515</v>
      </c>
      <c r="L1423" t="s">
        <v>20</v>
      </c>
      <c r="M1423" t="s">
        <v>40</v>
      </c>
      <c r="N1423">
        <v>3.04</v>
      </c>
      <c r="O1423">
        <v>1510</v>
      </c>
      <c r="P1423">
        <v>0.71</v>
      </c>
      <c r="Q1423">
        <v>308</v>
      </c>
      <c r="R1423">
        <v>496</v>
      </c>
    </row>
    <row r="1424" spans="1:18" hidden="1" x14ac:dyDescent="0.2">
      <c r="A1424">
        <v>1</v>
      </c>
      <c r="B1424" t="s">
        <v>79</v>
      </c>
      <c r="E1424" t="s">
        <v>51</v>
      </c>
      <c r="F1424">
        <v>2509423</v>
      </c>
      <c r="G1424">
        <v>3</v>
      </c>
      <c r="H1424">
        <v>3</v>
      </c>
      <c r="I1424">
        <v>249</v>
      </c>
      <c r="J1424">
        <v>1984</v>
      </c>
      <c r="K1424" s="4">
        <v>45830</v>
      </c>
      <c r="L1424" t="s">
        <v>20</v>
      </c>
      <c r="M1424" t="s">
        <v>89</v>
      </c>
      <c r="N1424">
        <v>2.96</v>
      </c>
      <c r="O1424">
        <v>1493</v>
      </c>
      <c r="P1424">
        <v>0.74</v>
      </c>
      <c r="Q1424">
        <v>93</v>
      </c>
      <c r="R1424">
        <v>670</v>
      </c>
    </row>
    <row r="1425" spans="1:18" hidden="1" x14ac:dyDescent="0.2">
      <c r="A1425">
        <v>4</v>
      </c>
      <c r="B1425" t="s">
        <v>80</v>
      </c>
      <c r="E1425" t="s">
        <v>36</v>
      </c>
      <c r="F1425">
        <v>1901954</v>
      </c>
      <c r="G1425">
        <v>2</v>
      </c>
      <c r="H1425">
        <v>2</v>
      </c>
      <c r="I1425">
        <v>802</v>
      </c>
      <c r="J1425">
        <v>1987</v>
      </c>
      <c r="K1425" s="4">
        <v>44846</v>
      </c>
      <c r="L1425" t="s">
        <v>20</v>
      </c>
      <c r="M1425" t="s">
        <v>24</v>
      </c>
      <c r="N1425">
        <v>2.76</v>
      </c>
      <c r="O1425">
        <v>2151</v>
      </c>
      <c r="P1425">
        <v>0.67</v>
      </c>
      <c r="Q1425">
        <v>157</v>
      </c>
      <c r="R1425">
        <v>571</v>
      </c>
    </row>
    <row r="1426" spans="1:18" hidden="1" x14ac:dyDescent="0.2">
      <c r="A1426">
        <v>7</v>
      </c>
      <c r="B1426" t="s">
        <v>95</v>
      </c>
      <c r="E1426" t="s">
        <v>19</v>
      </c>
      <c r="F1426">
        <v>2131968</v>
      </c>
      <c r="G1426">
        <v>2</v>
      </c>
      <c r="H1426">
        <v>3</v>
      </c>
      <c r="I1426">
        <v>320</v>
      </c>
      <c r="J1426">
        <v>2005</v>
      </c>
      <c r="K1426" s="4">
        <v>45543</v>
      </c>
      <c r="L1426" t="s">
        <v>20</v>
      </c>
      <c r="M1426" t="s">
        <v>78</v>
      </c>
      <c r="N1426">
        <v>2.66</v>
      </c>
      <c r="O1426">
        <v>1491</v>
      </c>
      <c r="P1426">
        <v>4</v>
      </c>
      <c r="Q1426">
        <v>85</v>
      </c>
      <c r="R1426">
        <v>389</v>
      </c>
    </row>
    <row r="1427" spans="1:18" hidden="1" x14ac:dyDescent="0.2">
      <c r="A1427">
        <v>6</v>
      </c>
      <c r="B1427" t="s">
        <v>100</v>
      </c>
      <c r="E1427" t="s">
        <v>29</v>
      </c>
      <c r="F1427">
        <v>2385022</v>
      </c>
      <c r="G1427">
        <v>4</v>
      </c>
      <c r="H1427">
        <v>3</v>
      </c>
      <c r="I1427">
        <v>327</v>
      </c>
      <c r="J1427">
        <v>1956</v>
      </c>
      <c r="K1427" s="4">
        <v>45389</v>
      </c>
      <c r="L1427" t="s">
        <v>20</v>
      </c>
      <c r="M1427" t="s">
        <v>35</v>
      </c>
      <c r="N1427">
        <v>3.49</v>
      </c>
      <c r="O1427">
        <v>1183</v>
      </c>
      <c r="P1427">
        <v>3.34</v>
      </c>
      <c r="Q1427">
        <v>343</v>
      </c>
      <c r="R1427">
        <v>591</v>
      </c>
    </row>
    <row r="1428" spans="1:18" x14ac:dyDescent="0.2">
      <c r="A1428">
        <v>8</v>
      </c>
      <c r="B1428" t="s">
        <v>46</v>
      </c>
      <c r="E1428" t="s">
        <v>36</v>
      </c>
      <c r="F1428">
        <v>2077138</v>
      </c>
      <c r="G1428">
        <v>0</v>
      </c>
      <c r="H1428">
        <v>3</v>
      </c>
      <c r="I1428">
        <v>965</v>
      </c>
      <c r="J1428">
        <v>1970</v>
      </c>
      <c r="K1428" s="4">
        <v>45654</v>
      </c>
      <c r="L1428" t="s">
        <v>20</v>
      </c>
      <c r="M1428" t="s">
        <v>68</v>
      </c>
      <c r="N1428">
        <v>2.74</v>
      </c>
      <c r="O1428">
        <v>1381</v>
      </c>
      <c r="P1428">
        <v>4.29</v>
      </c>
      <c r="Q1428">
        <v>60</v>
      </c>
      <c r="R1428">
        <v>327</v>
      </c>
    </row>
    <row r="1429" spans="1:18" hidden="1" x14ac:dyDescent="0.2">
      <c r="A1429">
        <v>2</v>
      </c>
      <c r="B1429" t="s">
        <v>38</v>
      </c>
      <c r="E1429" t="s">
        <v>36</v>
      </c>
      <c r="F1429">
        <v>526231</v>
      </c>
      <c r="G1429">
        <v>2</v>
      </c>
      <c r="H1429">
        <v>3</v>
      </c>
      <c r="I1429">
        <v>618</v>
      </c>
      <c r="J1429">
        <v>1982</v>
      </c>
      <c r="K1429" s="4">
        <v>44961</v>
      </c>
      <c r="L1429" t="s">
        <v>23</v>
      </c>
      <c r="M1429" t="s">
        <v>37</v>
      </c>
      <c r="N1429">
        <v>3.05</v>
      </c>
      <c r="O1429">
        <v>2354</v>
      </c>
      <c r="P1429">
        <v>4.8899999999999997</v>
      </c>
      <c r="Q1429">
        <v>50</v>
      </c>
      <c r="R1429">
        <v>504</v>
      </c>
    </row>
    <row r="1430" spans="1:18" hidden="1" x14ac:dyDescent="0.2">
      <c r="A1430">
        <v>2</v>
      </c>
      <c r="B1430" t="s">
        <v>83</v>
      </c>
      <c r="E1430" t="s">
        <v>19</v>
      </c>
      <c r="F1430">
        <v>807077</v>
      </c>
      <c r="G1430">
        <v>5</v>
      </c>
      <c r="H1430">
        <v>2</v>
      </c>
      <c r="I1430">
        <v>239</v>
      </c>
      <c r="J1430">
        <v>1997</v>
      </c>
      <c r="K1430" s="4">
        <v>45601</v>
      </c>
      <c r="L1430" t="s">
        <v>26</v>
      </c>
      <c r="M1430" t="s">
        <v>37</v>
      </c>
      <c r="N1430">
        <v>2.4</v>
      </c>
      <c r="O1430">
        <v>2116</v>
      </c>
      <c r="P1430">
        <v>3.18</v>
      </c>
      <c r="Q1430">
        <v>293</v>
      </c>
      <c r="R1430">
        <v>649</v>
      </c>
    </row>
    <row r="1431" spans="1:18" hidden="1" x14ac:dyDescent="0.2">
      <c r="A1431">
        <v>2</v>
      </c>
      <c r="B1431" t="s">
        <v>91</v>
      </c>
      <c r="E1431" t="s">
        <v>29</v>
      </c>
      <c r="F1431">
        <v>1946717</v>
      </c>
      <c r="G1431">
        <v>1</v>
      </c>
      <c r="H1431">
        <v>2</v>
      </c>
      <c r="I1431">
        <v>499</v>
      </c>
      <c r="J1431">
        <v>1981</v>
      </c>
      <c r="K1431" s="4">
        <v>44703</v>
      </c>
      <c r="L1431" t="s">
        <v>23</v>
      </c>
      <c r="M1431" t="s">
        <v>63</v>
      </c>
      <c r="N1431">
        <v>2.62</v>
      </c>
      <c r="O1431">
        <v>1094</v>
      </c>
      <c r="P1431">
        <v>2.7</v>
      </c>
      <c r="Q1431">
        <v>64</v>
      </c>
      <c r="R1431">
        <v>437</v>
      </c>
    </row>
    <row r="1432" spans="1:18" hidden="1" x14ac:dyDescent="0.2">
      <c r="A1432">
        <v>9</v>
      </c>
      <c r="B1432" t="s">
        <v>86</v>
      </c>
      <c r="E1432" t="s">
        <v>29</v>
      </c>
      <c r="F1432">
        <v>2976971</v>
      </c>
      <c r="G1432">
        <v>0</v>
      </c>
      <c r="H1432">
        <v>1</v>
      </c>
      <c r="I1432">
        <v>905</v>
      </c>
      <c r="J1432">
        <v>1995</v>
      </c>
      <c r="K1432" s="4">
        <v>45867</v>
      </c>
      <c r="L1432" t="s">
        <v>30</v>
      </c>
      <c r="M1432" t="s">
        <v>74</v>
      </c>
      <c r="N1432">
        <v>3.06</v>
      </c>
      <c r="O1432">
        <v>2033</v>
      </c>
      <c r="P1432">
        <v>1.0900000000000001</v>
      </c>
      <c r="Q1432">
        <v>50</v>
      </c>
      <c r="R1432">
        <v>523</v>
      </c>
    </row>
    <row r="1433" spans="1:18" hidden="1" x14ac:dyDescent="0.2">
      <c r="A1433">
        <v>2</v>
      </c>
      <c r="B1433" t="s">
        <v>53</v>
      </c>
      <c r="E1433" t="s">
        <v>36</v>
      </c>
      <c r="F1433">
        <v>2527058</v>
      </c>
      <c r="G1433">
        <v>3</v>
      </c>
      <c r="H1433">
        <v>3</v>
      </c>
      <c r="I1433">
        <v>610</v>
      </c>
      <c r="J1433">
        <v>1981</v>
      </c>
      <c r="K1433" s="4">
        <v>44191</v>
      </c>
      <c r="L1433" t="s">
        <v>30</v>
      </c>
      <c r="M1433" t="s">
        <v>59</v>
      </c>
      <c r="N1433">
        <v>3.04</v>
      </c>
      <c r="O1433">
        <v>2495</v>
      </c>
      <c r="P1433">
        <v>2.21</v>
      </c>
      <c r="Q1433">
        <v>117</v>
      </c>
      <c r="R1433">
        <v>306</v>
      </c>
    </row>
    <row r="1434" spans="1:18" hidden="1" x14ac:dyDescent="0.2">
      <c r="A1434">
        <v>0</v>
      </c>
      <c r="B1434" t="s">
        <v>92</v>
      </c>
      <c r="E1434" t="s">
        <v>36</v>
      </c>
      <c r="F1434">
        <v>1150844</v>
      </c>
      <c r="G1434">
        <v>5</v>
      </c>
      <c r="H1434">
        <v>3</v>
      </c>
      <c r="I1434">
        <v>553</v>
      </c>
      <c r="J1434">
        <v>1987</v>
      </c>
      <c r="K1434" s="4">
        <v>45436</v>
      </c>
      <c r="L1434" t="s">
        <v>30</v>
      </c>
      <c r="M1434" t="s">
        <v>82</v>
      </c>
      <c r="N1434">
        <v>1.83</v>
      </c>
      <c r="O1434">
        <v>980</v>
      </c>
      <c r="P1434">
        <v>0.87</v>
      </c>
      <c r="Q1434">
        <v>276</v>
      </c>
      <c r="R1434">
        <v>406</v>
      </c>
    </row>
    <row r="1435" spans="1:18" hidden="1" x14ac:dyDescent="0.2">
      <c r="A1435">
        <v>9</v>
      </c>
      <c r="B1435" t="s">
        <v>43</v>
      </c>
      <c r="E1435" t="s">
        <v>51</v>
      </c>
      <c r="F1435">
        <v>989129</v>
      </c>
      <c r="G1435">
        <v>1</v>
      </c>
      <c r="H1435">
        <v>2</v>
      </c>
      <c r="I1435">
        <v>506</v>
      </c>
      <c r="J1435">
        <v>1957</v>
      </c>
      <c r="K1435" s="4">
        <v>45514</v>
      </c>
      <c r="L1435" t="s">
        <v>30</v>
      </c>
      <c r="M1435" t="s">
        <v>63</v>
      </c>
      <c r="N1435">
        <v>2.76</v>
      </c>
      <c r="O1435">
        <v>981</v>
      </c>
      <c r="P1435">
        <v>4.6500000000000004</v>
      </c>
      <c r="Q1435">
        <v>79</v>
      </c>
      <c r="R1435">
        <v>537</v>
      </c>
    </row>
    <row r="1436" spans="1:18" hidden="1" x14ac:dyDescent="0.2">
      <c r="A1436">
        <v>0</v>
      </c>
      <c r="B1436" t="s">
        <v>95</v>
      </c>
      <c r="E1436" t="s">
        <v>36</v>
      </c>
      <c r="F1436">
        <v>2538615</v>
      </c>
      <c r="G1436">
        <v>0</v>
      </c>
      <c r="H1436">
        <v>1</v>
      </c>
      <c r="I1436">
        <v>351</v>
      </c>
      <c r="J1436">
        <v>1992</v>
      </c>
      <c r="K1436" s="4">
        <v>45633</v>
      </c>
      <c r="L1436" t="s">
        <v>20</v>
      </c>
      <c r="M1436" t="s">
        <v>42</v>
      </c>
      <c r="N1436">
        <v>2.29</v>
      </c>
      <c r="O1436">
        <v>1806</v>
      </c>
      <c r="P1436">
        <v>3.25</v>
      </c>
      <c r="Q1436">
        <v>42</v>
      </c>
      <c r="R1436">
        <v>472</v>
      </c>
    </row>
    <row r="1437" spans="1:18" hidden="1" x14ac:dyDescent="0.2">
      <c r="A1437">
        <v>6</v>
      </c>
      <c r="B1437" t="s">
        <v>96</v>
      </c>
      <c r="E1437" t="s">
        <v>51</v>
      </c>
      <c r="F1437">
        <v>1060128</v>
      </c>
      <c r="G1437">
        <v>5</v>
      </c>
      <c r="H1437">
        <v>2</v>
      </c>
      <c r="I1437">
        <v>911</v>
      </c>
      <c r="J1437">
        <v>1969</v>
      </c>
      <c r="K1437" s="4">
        <v>44396</v>
      </c>
      <c r="L1437" t="s">
        <v>26</v>
      </c>
      <c r="M1437" t="s">
        <v>82</v>
      </c>
      <c r="N1437">
        <v>2.19</v>
      </c>
      <c r="O1437">
        <v>2083</v>
      </c>
      <c r="P1437">
        <v>4.7</v>
      </c>
      <c r="Q1437">
        <v>279</v>
      </c>
      <c r="R1437">
        <v>356</v>
      </c>
    </row>
    <row r="1438" spans="1:18" hidden="1" x14ac:dyDescent="0.2">
      <c r="A1438">
        <v>4</v>
      </c>
      <c r="B1438" t="s">
        <v>72</v>
      </c>
      <c r="E1438" t="s">
        <v>51</v>
      </c>
      <c r="F1438">
        <v>719490</v>
      </c>
      <c r="G1438">
        <v>1</v>
      </c>
      <c r="H1438">
        <v>3</v>
      </c>
      <c r="I1438">
        <v>368</v>
      </c>
      <c r="J1438">
        <v>1996</v>
      </c>
      <c r="K1438" s="4">
        <v>45278</v>
      </c>
      <c r="L1438" t="s">
        <v>23</v>
      </c>
      <c r="M1438" t="s">
        <v>74</v>
      </c>
      <c r="N1438">
        <v>2.74</v>
      </c>
      <c r="O1438">
        <v>2119</v>
      </c>
      <c r="P1438">
        <v>2.84</v>
      </c>
      <c r="Q1438">
        <v>102</v>
      </c>
      <c r="R1438">
        <v>367</v>
      </c>
    </row>
    <row r="1439" spans="1:18" hidden="1" x14ac:dyDescent="0.2">
      <c r="A1439">
        <v>2</v>
      </c>
      <c r="B1439" t="s">
        <v>41</v>
      </c>
      <c r="E1439" t="s">
        <v>51</v>
      </c>
      <c r="F1439">
        <v>1340139</v>
      </c>
      <c r="G1439">
        <v>2</v>
      </c>
      <c r="H1439">
        <v>3</v>
      </c>
      <c r="I1439">
        <v>684</v>
      </c>
      <c r="J1439">
        <v>1950</v>
      </c>
      <c r="K1439" s="4">
        <v>44828</v>
      </c>
      <c r="L1439" t="s">
        <v>20</v>
      </c>
      <c r="M1439" t="s">
        <v>63</v>
      </c>
      <c r="N1439">
        <v>1.93</v>
      </c>
      <c r="O1439">
        <v>1256</v>
      </c>
      <c r="P1439">
        <v>0.79</v>
      </c>
      <c r="Q1439">
        <v>114</v>
      </c>
      <c r="R1439">
        <v>622</v>
      </c>
    </row>
    <row r="1440" spans="1:18" hidden="1" x14ac:dyDescent="0.2">
      <c r="A1440">
        <v>6</v>
      </c>
      <c r="B1440" t="s">
        <v>43</v>
      </c>
      <c r="E1440" t="s">
        <v>36</v>
      </c>
      <c r="F1440">
        <v>695478</v>
      </c>
      <c r="G1440">
        <v>4</v>
      </c>
      <c r="H1440">
        <v>2</v>
      </c>
      <c r="I1440">
        <v>484</v>
      </c>
      <c r="J1440">
        <v>1959</v>
      </c>
      <c r="K1440" s="4">
        <v>45310</v>
      </c>
      <c r="L1440" t="s">
        <v>26</v>
      </c>
      <c r="M1440" t="s">
        <v>45</v>
      </c>
      <c r="N1440">
        <v>3.15</v>
      </c>
      <c r="O1440">
        <v>1173</v>
      </c>
      <c r="P1440">
        <v>4.16</v>
      </c>
      <c r="Q1440">
        <v>295</v>
      </c>
      <c r="R1440">
        <v>576</v>
      </c>
    </row>
    <row r="1441" spans="1:18" hidden="1" x14ac:dyDescent="0.2">
      <c r="A1441">
        <v>0</v>
      </c>
      <c r="B1441" t="s">
        <v>65</v>
      </c>
      <c r="E1441" t="s">
        <v>51</v>
      </c>
      <c r="F1441">
        <v>2414302</v>
      </c>
      <c r="G1441">
        <v>2</v>
      </c>
      <c r="H1441">
        <v>3</v>
      </c>
      <c r="I1441">
        <v>627</v>
      </c>
      <c r="J1441">
        <v>1997</v>
      </c>
      <c r="K1441" s="4">
        <v>45791</v>
      </c>
      <c r="L1441" t="s">
        <v>20</v>
      </c>
      <c r="M1441" t="s">
        <v>27</v>
      </c>
      <c r="N1441">
        <v>1.84</v>
      </c>
      <c r="O1441">
        <v>2259</v>
      </c>
      <c r="P1441">
        <v>0.91</v>
      </c>
      <c r="Q1441">
        <v>73</v>
      </c>
      <c r="R1441">
        <v>370</v>
      </c>
    </row>
    <row r="1442" spans="1:18" hidden="1" x14ac:dyDescent="0.2">
      <c r="A1442">
        <v>2</v>
      </c>
      <c r="B1442" t="s">
        <v>101</v>
      </c>
      <c r="E1442" t="s">
        <v>51</v>
      </c>
      <c r="F1442">
        <v>1472900</v>
      </c>
      <c r="G1442">
        <v>2</v>
      </c>
      <c r="H1442">
        <v>1</v>
      </c>
      <c r="I1442">
        <v>710</v>
      </c>
      <c r="J1442">
        <v>1951</v>
      </c>
      <c r="K1442" s="4">
        <v>44258</v>
      </c>
      <c r="L1442" t="s">
        <v>26</v>
      </c>
      <c r="M1442" t="s">
        <v>68</v>
      </c>
      <c r="N1442">
        <v>3.19</v>
      </c>
      <c r="O1442">
        <v>1883</v>
      </c>
      <c r="P1442">
        <v>1.46</v>
      </c>
      <c r="Q1442">
        <v>172</v>
      </c>
      <c r="R1442">
        <v>645</v>
      </c>
    </row>
    <row r="1443" spans="1:18" hidden="1" x14ac:dyDescent="0.2">
      <c r="A1443">
        <v>4</v>
      </c>
      <c r="B1443" t="s">
        <v>22</v>
      </c>
      <c r="E1443" t="s">
        <v>36</v>
      </c>
      <c r="F1443">
        <v>1947106</v>
      </c>
      <c r="G1443">
        <v>1</v>
      </c>
      <c r="H1443">
        <v>2</v>
      </c>
      <c r="I1443">
        <v>278</v>
      </c>
      <c r="J1443">
        <v>1990</v>
      </c>
      <c r="K1443" s="4">
        <v>44125</v>
      </c>
      <c r="L1443" t="s">
        <v>30</v>
      </c>
      <c r="M1443" t="s">
        <v>78</v>
      </c>
      <c r="N1443">
        <v>2.52</v>
      </c>
      <c r="O1443">
        <v>2197</v>
      </c>
      <c r="P1443">
        <v>4</v>
      </c>
      <c r="Q1443">
        <v>77</v>
      </c>
      <c r="R1443">
        <v>317</v>
      </c>
    </row>
    <row r="1444" spans="1:18" hidden="1" x14ac:dyDescent="0.2">
      <c r="A1444">
        <v>0</v>
      </c>
      <c r="B1444" t="s">
        <v>22</v>
      </c>
      <c r="E1444" t="s">
        <v>29</v>
      </c>
      <c r="F1444">
        <v>693800</v>
      </c>
      <c r="G1444">
        <v>2</v>
      </c>
      <c r="H1444">
        <v>1</v>
      </c>
      <c r="I1444">
        <v>904</v>
      </c>
      <c r="J1444">
        <v>1993</v>
      </c>
      <c r="K1444" s="4">
        <v>45458</v>
      </c>
      <c r="L1444" t="s">
        <v>20</v>
      </c>
      <c r="M1444" t="s">
        <v>60</v>
      </c>
      <c r="N1444">
        <v>1.59</v>
      </c>
      <c r="O1444">
        <v>1814</v>
      </c>
      <c r="P1444">
        <v>2.66</v>
      </c>
      <c r="Q1444">
        <v>130</v>
      </c>
      <c r="R1444">
        <v>452</v>
      </c>
    </row>
    <row r="1445" spans="1:18" hidden="1" x14ac:dyDescent="0.2">
      <c r="A1445">
        <v>7</v>
      </c>
      <c r="B1445" t="s">
        <v>72</v>
      </c>
      <c r="E1445" t="s">
        <v>36</v>
      </c>
      <c r="F1445">
        <v>2685264</v>
      </c>
      <c r="G1445">
        <v>2</v>
      </c>
      <c r="H1445">
        <v>3</v>
      </c>
      <c r="I1445">
        <v>762</v>
      </c>
      <c r="J1445">
        <v>1975</v>
      </c>
      <c r="K1445" s="4">
        <v>45729</v>
      </c>
      <c r="L1445" t="s">
        <v>20</v>
      </c>
      <c r="M1445" t="s">
        <v>76</v>
      </c>
      <c r="N1445">
        <v>3.18</v>
      </c>
      <c r="O1445">
        <v>1869</v>
      </c>
      <c r="P1445">
        <v>0.38</v>
      </c>
      <c r="Q1445">
        <v>107</v>
      </c>
      <c r="R1445">
        <v>514</v>
      </c>
    </row>
    <row r="1446" spans="1:18" hidden="1" x14ac:dyDescent="0.2">
      <c r="A1446">
        <v>0</v>
      </c>
      <c r="B1446" t="s">
        <v>46</v>
      </c>
      <c r="E1446" t="s">
        <v>19</v>
      </c>
      <c r="F1446">
        <v>529464</v>
      </c>
      <c r="G1446">
        <v>4</v>
      </c>
      <c r="H1446">
        <v>3</v>
      </c>
      <c r="I1446">
        <v>707</v>
      </c>
      <c r="J1446">
        <v>1959</v>
      </c>
      <c r="K1446" s="4">
        <v>45748</v>
      </c>
      <c r="L1446" t="s">
        <v>23</v>
      </c>
      <c r="M1446" t="s">
        <v>47</v>
      </c>
      <c r="N1446">
        <v>2.6</v>
      </c>
      <c r="O1446">
        <v>2444</v>
      </c>
      <c r="P1446">
        <v>3.02</v>
      </c>
      <c r="Q1446">
        <v>175</v>
      </c>
      <c r="R1446">
        <v>667</v>
      </c>
    </row>
    <row r="1447" spans="1:18" hidden="1" x14ac:dyDescent="0.2">
      <c r="A1447">
        <v>5</v>
      </c>
      <c r="B1447" t="s">
        <v>50</v>
      </c>
      <c r="E1447" t="s">
        <v>29</v>
      </c>
      <c r="F1447">
        <v>1095404</v>
      </c>
      <c r="G1447">
        <v>4</v>
      </c>
      <c r="H1447">
        <v>3</v>
      </c>
      <c r="I1447">
        <v>397</v>
      </c>
      <c r="J1447">
        <v>1996</v>
      </c>
      <c r="K1447" s="4">
        <v>45114</v>
      </c>
      <c r="L1447" t="s">
        <v>30</v>
      </c>
      <c r="M1447" t="s">
        <v>77</v>
      </c>
      <c r="N1447">
        <v>1.88</v>
      </c>
      <c r="O1447">
        <v>1382</v>
      </c>
      <c r="P1447">
        <v>0.61</v>
      </c>
      <c r="Q1447">
        <v>260</v>
      </c>
      <c r="R1447">
        <v>455</v>
      </c>
    </row>
    <row r="1448" spans="1:18" x14ac:dyDescent="0.2">
      <c r="A1448">
        <v>8</v>
      </c>
      <c r="B1448" t="s">
        <v>87</v>
      </c>
      <c r="E1448" t="s">
        <v>19</v>
      </c>
      <c r="F1448">
        <v>817935</v>
      </c>
      <c r="G1448">
        <v>5</v>
      </c>
      <c r="H1448">
        <v>1</v>
      </c>
      <c r="I1448">
        <v>473</v>
      </c>
      <c r="J1448">
        <v>2004</v>
      </c>
      <c r="K1448" s="4">
        <v>45207</v>
      </c>
      <c r="L1448" t="s">
        <v>26</v>
      </c>
      <c r="M1448" t="s">
        <v>85</v>
      </c>
      <c r="N1448">
        <v>3.47</v>
      </c>
      <c r="O1448">
        <v>1044</v>
      </c>
      <c r="P1448">
        <v>1.35</v>
      </c>
      <c r="Q1448">
        <v>366</v>
      </c>
      <c r="R1448">
        <v>614</v>
      </c>
    </row>
    <row r="1449" spans="1:18" hidden="1" x14ac:dyDescent="0.2">
      <c r="A1449">
        <v>5</v>
      </c>
      <c r="B1449" t="s">
        <v>48</v>
      </c>
      <c r="E1449" t="s">
        <v>19</v>
      </c>
      <c r="F1449">
        <v>892427</v>
      </c>
      <c r="G1449">
        <v>2</v>
      </c>
      <c r="H1449">
        <v>3</v>
      </c>
      <c r="I1449">
        <v>424</v>
      </c>
      <c r="J1449">
        <v>2007</v>
      </c>
      <c r="K1449" s="4">
        <v>44664</v>
      </c>
      <c r="L1449" t="s">
        <v>26</v>
      </c>
      <c r="M1449" t="s">
        <v>31</v>
      </c>
      <c r="N1449">
        <v>2.2200000000000002</v>
      </c>
      <c r="O1449">
        <v>1637</v>
      </c>
      <c r="P1449">
        <v>4.4800000000000004</v>
      </c>
      <c r="Q1449">
        <v>163</v>
      </c>
      <c r="R1449">
        <v>549</v>
      </c>
    </row>
    <row r="1450" spans="1:18" hidden="1" x14ac:dyDescent="0.2">
      <c r="A1450">
        <v>5</v>
      </c>
      <c r="B1450" t="s">
        <v>50</v>
      </c>
      <c r="E1450" t="s">
        <v>51</v>
      </c>
      <c r="F1450">
        <v>1207491</v>
      </c>
      <c r="G1450">
        <v>5</v>
      </c>
      <c r="H1450">
        <v>2</v>
      </c>
      <c r="I1450">
        <v>666</v>
      </c>
      <c r="J1450">
        <v>1989</v>
      </c>
      <c r="K1450" s="4">
        <v>45358</v>
      </c>
      <c r="L1450" t="s">
        <v>23</v>
      </c>
      <c r="M1450" t="s">
        <v>56</v>
      </c>
      <c r="N1450">
        <v>2.19</v>
      </c>
      <c r="O1450">
        <v>1235</v>
      </c>
      <c r="P1450">
        <v>3.68</v>
      </c>
      <c r="Q1450">
        <v>274</v>
      </c>
      <c r="R1450">
        <v>560</v>
      </c>
    </row>
    <row r="1451" spans="1:18" hidden="1" x14ac:dyDescent="0.2">
      <c r="A1451">
        <v>7</v>
      </c>
      <c r="B1451" t="s">
        <v>62</v>
      </c>
      <c r="E1451" t="s">
        <v>36</v>
      </c>
      <c r="F1451">
        <v>566250</v>
      </c>
      <c r="G1451">
        <v>5</v>
      </c>
      <c r="H1451">
        <v>1</v>
      </c>
      <c r="I1451">
        <v>809</v>
      </c>
      <c r="J1451">
        <v>1977</v>
      </c>
      <c r="K1451" s="4">
        <v>45132</v>
      </c>
      <c r="L1451" t="s">
        <v>30</v>
      </c>
      <c r="M1451" t="s">
        <v>63</v>
      </c>
      <c r="N1451">
        <v>1.88</v>
      </c>
      <c r="O1451">
        <v>1472</v>
      </c>
      <c r="P1451">
        <v>3.1</v>
      </c>
      <c r="Q1451">
        <v>395</v>
      </c>
      <c r="R1451">
        <v>558</v>
      </c>
    </row>
    <row r="1452" spans="1:18" hidden="1" x14ac:dyDescent="0.2">
      <c r="A1452">
        <v>9</v>
      </c>
      <c r="B1452" t="s">
        <v>86</v>
      </c>
      <c r="E1452" t="s">
        <v>19</v>
      </c>
      <c r="F1452">
        <v>1895251</v>
      </c>
      <c r="G1452">
        <v>4</v>
      </c>
      <c r="H1452">
        <v>3</v>
      </c>
      <c r="I1452">
        <v>564</v>
      </c>
      <c r="J1452">
        <v>1990</v>
      </c>
      <c r="K1452" s="4">
        <v>45657</v>
      </c>
      <c r="L1452" t="s">
        <v>23</v>
      </c>
      <c r="M1452" t="s">
        <v>33</v>
      </c>
      <c r="N1452">
        <v>1.67</v>
      </c>
      <c r="O1452">
        <v>1236</v>
      </c>
      <c r="P1452">
        <v>1.28</v>
      </c>
      <c r="Q1452">
        <v>202</v>
      </c>
      <c r="R1452">
        <v>475</v>
      </c>
    </row>
    <row r="1453" spans="1:18" hidden="1" x14ac:dyDescent="0.2">
      <c r="A1453">
        <v>2</v>
      </c>
      <c r="B1453" t="s">
        <v>72</v>
      </c>
      <c r="E1453" t="s">
        <v>29</v>
      </c>
      <c r="F1453">
        <v>1456981</v>
      </c>
      <c r="G1453">
        <v>2</v>
      </c>
      <c r="H1453">
        <v>3</v>
      </c>
      <c r="I1453">
        <v>188</v>
      </c>
      <c r="J1453">
        <v>1990</v>
      </c>
      <c r="K1453" s="4">
        <v>45289</v>
      </c>
      <c r="L1453" t="s">
        <v>23</v>
      </c>
      <c r="M1453" t="s">
        <v>69</v>
      </c>
      <c r="N1453">
        <v>1.64</v>
      </c>
      <c r="O1453">
        <v>2364</v>
      </c>
      <c r="P1453">
        <v>1.1200000000000001</v>
      </c>
      <c r="Q1453">
        <v>45</v>
      </c>
      <c r="R1453">
        <v>530</v>
      </c>
    </row>
    <row r="1454" spans="1:18" hidden="1" x14ac:dyDescent="0.2">
      <c r="A1454">
        <v>2</v>
      </c>
      <c r="B1454" t="s">
        <v>55</v>
      </c>
      <c r="E1454" t="s">
        <v>29</v>
      </c>
      <c r="F1454">
        <v>730074</v>
      </c>
      <c r="G1454">
        <v>3</v>
      </c>
      <c r="H1454">
        <v>1</v>
      </c>
      <c r="I1454">
        <v>657</v>
      </c>
      <c r="J1454">
        <v>1958</v>
      </c>
      <c r="K1454" s="4">
        <v>44730</v>
      </c>
      <c r="L1454" t="s">
        <v>26</v>
      </c>
      <c r="M1454" t="s">
        <v>68</v>
      </c>
      <c r="N1454">
        <v>3.1</v>
      </c>
      <c r="O1454">
        <v>1223</v>
      </c>
      <c r="P1454">
        <v>4.9800000000000004</v>
      </c>
      <c r="Q1454">
        <v>267</v>
      </c>
      <c r="R1454">
        <v>571</v>
      </c>
    </row>
    <row r="1455" spans="1:18" hidden="1" x14ac:dyDescent="0.2">
      <c r="A1455">
        <v>7</v>
      </c>
      <c r="B1455" t="s">
        <v>72</v>
      </c>
      <c r="E1455" t="s">
        <v>36</v>
      </c>
      <c r="F1455">
        <v>1657343</v>
      </c>
      <c r="G1455">
        <v>3</v>
      </c>
      <c r="H1455">
        <v>2</v>
      </c>
      <c r="I1455">
        <v>980</v>
      </c>
      <c r="J1455">
        <v>1987</v>
      </c>
      <c r="K1455" s="4">
        <v>45069</v>
      </c>
      <c r="L1455" t="s">
        <v>20</v>
      </c>
      <c r="M1455" t="s">
        <v>21</v>
      </c>
      <c r="N1455">
        <v>2.25</v>
      </c>
      <c r="O1455">
        <v>2113</v>
      </c>
      <c r="P1455">
        <v>2.75</v>
      </c>
      <c r="Q1455">
        <v>211</v>
      </c>
      <c r="R1455">
        <v>581</v>
      </c>
    </row>
    <row r="1456" spans="1:18" hidden="1" x14ac:dyDescent="0.2">
      <c r="A1456">
        <v>3</v>
      </c>
      <c r="B1456" t="s">
        <v>57</v>
      </c>
      <c r="E1456" t="s">
        <v>51</v>
      </c>
      <c r="F1456">
        <v>2166500</v>
      </c>
      <c r="G1456">
        <v>6</v>
      </c>
      <c r="H1456">
        <v>2</v>
      </c>
      <c r="I1456">
        <v>439</v>
      </c>
      <c r="J1456">
        <v>1989</v>
      </c>
      <c r="K1456" s="4">
        <v>44867</v>
      </c>
      <c r="L1456" t="s">
        <v>26</v>
      </c>
      <c r="M1456" t="s">
        <v>37</v>
      </c>
      <c r="N1456">
        <v>2.63</v>
      </c>
      <c r="O1456">
        <v>1031</v>
      </c>
      <c r="P1456">
        <v>0.73</v>
      </c>
      <c r="Q1456">
        <v>333</v>
      </c>
      <c r="R1456">
        <v>530</v>
      </c>
    </row>
    <row r="1457" spans="1:18" hidden="1" x14ac:dyDescent="0.2">
      <c r="A1457">
        <v>7</v>
      </c>
      <c r="B1457" t="s">
        <v>49</v>
      </c>
      <c r="E1457" t="s">
        <v>29</v>
      </c>
      <c r="F1457">
        <v>1103763</v>
      </c>
      <c r="G1457">
        <v>4</v>
      </c>
      <c r="H1457">
        <v>1</v>
      </c>
      <c r="I1457">
        <v>756</v>
      </c>
      <c r="J1457">
        <v>1982</v>
      </c>
      <c r="K1457" s="4">
        <v>44649</v>
      </c>
      <c r="L1457" t="s">
        <v>23</v>
      </c>
      <c r="M1457" t="s">
        <v>78</v>
      </c>
      <c r="N1457">
        <v>2.29</v>
      </c>
      <c r="O1457">
        <v>2222</v>
      </c>
      <c r="P1457">
        <v>0.81</v>
      </c>
      <c r="Q1457">
        <v>284</v>
      </c>
      <c r="R1457">
        <v>617</v>
      </c>
    </row>
    <row r="1458" spans="1:18" hidden="1" x14ac:dyDescent="0.2">
      <c r="A1458">
        <v>1</v>
      </c>
      <c r="B1458" t="s">
        <v>83</v>
      </c>
      <c r="E1458" t="s">
        <v>36</v>
      </c>
      <c r="F1458">
        <v>911591</v>
      </c>
      <c r="G1458">
        <v>3</v>
      </c>
      <c r="H1458">
        <v>1</v>
      </c>
      <c r="I1458">
        <v>318</v>
      </c>
      <c r="J1458">
        <v>1956</v>
      </c>
      <c r="K1458" s="4">
        <v>44227</v>
      </c>
      <c r="L1458" t="s">
        <v>26</v>
      </c>
      <c r="M1458" t="s">
        <v>82</v>
      </c>
      <c r="N1458">
        <v>3.33</v>
      </c>
      <c r="O1458">
        <v>2454</v>
      </c>
      <c r="P1458">
        <v>2.98</v>
      </c>
      <c r="Q1458">
        <v>129</v>
      </c>
      <c r="R1458">
        <v>378</v>
      </c>
    </row>
    <row r="1459" spans="1:18" hidden="1" x14ac:dyDescent="0.2">
      <c r="A1459">
        <v>2</v>
      </c>
      <c r="B1459" t="s">
        <v>65</v>
      </c>
      <c r="E1459" t="s">
        <v>19</v>
      </c>
      <c r="F1459">
        <v>502155</v>
      </c>
      <c r="G1459">
        <v>5</v>
      </c>
      <c r="H1459">
        <v>3</v>
      </c>
      <c r="I1459">
        <v>72</v>
      </c>
      <c r="J1459">
        <v>2004</v>
      </c>
      <c r="K1459" s="4">
        <v>44602</v>
      </c>
      <c r="L1459" t="s">
        <v>30</v>
      </c>
      <c r="M1459" t="s">
        <v>59</v>
      </c>
      <c r="N1459">
        <v>3.31</v>
      </c>
      <c r="O1459">
        <v>1584</v>
      </c>
      <c r="P1459">
        <v>0.65</v>
      </c>
      <c r="Q1459">
        <v>248</v>
      </c>
      <c r="R1459">
        <v>454</v>
      </c>
    </row>
    <row r="1460" spans="1:18" hidden="1" x14ac:dyDescent="0.2">
      <c r="A1460">
        <v>2</v>
      </c>
      <c r="B1460" t="s">
        <v>53</v>
      </c>
      <c r="E1460" t="s">
        <v>51</v>
      </c>
      <c r="F1460">
        <v>2407893</v>
      </c>
      <c r="G1460">
        <v>2</v>
      </c>
      <c r="H1460">
        <v>2</v>
      </c>
      <c r="I1460">
        <v>932</v>
      </c>
      <c r="J1460">
        <v>2008</v>
      </c>
      <c r="K1460" s="4">
        <v>44652</v>
      </c>
      <c r="L1460" t="s">
        <v>20</v>
      </c>
      <c r="M1460" t="s">
        <v>66</v>
      </c>
      <c r="N1460">
        <v>1.61</v>
      </c>
      <c r="O1460">
        <v>2430</v>
      </c>
      <c r="P1460">
        <v>0.71</v>
      </c>
      <c r="Q1460">
        <v>178</v>
      </c>
      <c r="R1460">
        <v>632</v>
      </c>
    </row>
    <row r="1461" spans="1:18" hidden="1" x14ac:dyDescent="0.2">
      <c r="A1461">
        <v>9</v>
      </c>
      <c r="B1461" t="s">
        <v>49</v>
      </c>
      <c r="E1461" t="s">
        <v>29</v>
      </c>
      <c r="F1461">
        <v>1483780</v>
      </c>
      <c r="G1461">
        <v>4</v>
      </c>
      <c r="H1461">
        <v>2</v>
      </c>
      <c r="I1461">
        <v>595</v>
      </c>
      <c r="J1461">
        <v>1988</v>
      </c>
      <c r="K1461" s="4">
        <v>44224</v>
      </c>
      <c r="L1461" t="s">
        <v>23</v>
      </c>
      <c r="M1461" t="s">
        <v>47</v>
      </c>
      <c r="N1461">
        <v>1.53</v>
      </c>
      <c r="O1461">
        <v>1514</v>
      </c>
      <c r="P1461">
        <v>3.24</v>
      </c>
      <c r="Q1461">
        <v>180</v>
      </c>
      <c r="R1461">
        <v>412</v>
      </c>
    </row>
    <row r="1462" spans="1:18" hidden="1" x14ac:dyDescent="0.2">
      <c r="A1462">
        <v>0</v>
      </c>
      <c r="B1462" t="s">
        <v>80</v>
      </c>
      <c r="E1462" t="s">
        <v>36</v>
      </c>
      <c r="F1462">
        <v>762664</v>
      </c>
      <c r="G1462">
        <v>3</v>
      </c>
      <c r="H1462">
        <v>1</v>
      </c>
      <c r="I1462">
        <v>838</v>
      </c>
      <c r="J1462">
        <v>2008</v>
      </c>
      <c r="K1462" s="4">
        <v>44619</v>
      </c>
      <c r="L1462" t="s">
        <v>23</v>
      </c>
      <c r="M1462" t="s">
        <v>76</v>
      </c>
      <c r="N1462">
        <v>1.85</v>
      </c>
      <c r="O1462">
        <v>1948</v>
      </c>
      <c r="P1462">
        <v>3.74</v>
      </c>
      <c r="Q1462">
        <v>234</v>
      </c>
      <c r="R1462">
        <v>579</v>
      </c>
    </row>
    <row r="1463" spans="1:18" hidden="1" x14ac:dyDescent="0.2">
      <c r="A1463">
        <v>7</v>
      </c>
      <c r="B1463" t="s">
        <v>90</v>
      </c>
      <c r="E1463" t="s">
        <v>51</v>
      </c>
      <c r="F1463">
        <v>1098525</v>
      </c>
      <c r="G1463">
        <v>4</v>
      </c>
      <c r="H1463">
        <v>2</v>
      </c>
      <c r="I1463">
        <v>600</v>
      </c>
      <c r="J1463">
        <v>2020</v>
      </c>
      <c r="K1463" s="4">
        <v>45427</v>
      </c>
      <c r="L1463" t="s">
        <v>23</v>
      </c>
      <c r="M1463" t="s">
        <v>37</v>
      </c>
      <c r="N1463">
        <v>1.62</v>
      </c>
      <c r="O1463">
        <v>848</v>
      </c>
      <c r="P1463">
        <v>4.32</v>
      </c>
      <c r="Q1463">
        <v>226</v>
      </c>
      <c r="R1463">
        <v>567</v>
      </c>
    </row>
    <row r="1464" spans="1:18" hidden="1" x14ac:dyDescent="0.2">
      <c r="A1464">
        <v>1</v>
      </c>
      <c r="B1464" t="s">
        <v>55</v>
      </c>
      <c r="E1464" t="s">
        <v>51</v>
      </c>
      <c r="F1464">
        <v>1860768</v>
      </c>
      <c r="G1464">
        <v>3</v>
      </c>
      <c r="H1464">
        <v>1</v>
      </c>
      <c r="I1464">
        <v>431</v>
      </c>
      <c r="J1464">
        <v>1966</v>
      </c>
      <c r="K1464" s="4">
        <v>45733</v>
      </c>
      <c r="L1464" t="s">
        <v>26</v>
      </c>
      <c r="M1464" t="s">
        <v>97</v>
      </c>
      <c r="N1464">
        <v>3.2</v>
      </c>
      <c r="O1464">
        <v>2162</v>
      </c>
      <c r="P1464">
        <v>0.71</v>
      </c>
      <c r="Q1464">
        <v>244</v>
      </c>
      <c r="R1464">
        <v>610</v>
      </c>
    </row>
    <row r="1465" spans="1:18" hidden="1" x14ac:dyDescent="0.2">
      <c r="A1465">
        <v>4</v>
      </c>
      <c r="B1465" t="s">
        <v>96</v>
      </c>
      <c r="E1465" t="s">
        <v>36</v>
      </c>
      <c r="F1465">
        <v>1540676</v>
      </c>
      <c r="G1465">
        <v>4</v>
      </c>
      <c r="H1465">
        <v>1</v>
      </c>
      <c r="I1465">
        <v>245</v>
      </c>
      <c r="J1465">
        <v>2012</v>
      </c>
      <c r="K1465" s="4">
        <v>44077</v>
      </c>
      <c r="L1465" t="s">
        <v>30</v>
      </c>
      <c r="M1465" t="s">
        <v>56</v>
      </c>
      <c r="N1465">
        <v>1.75</v>
      </c>
      <c r="O1465">
        <v>1719</v>
      </c>
      <c r="P1465">
        <v>4</v>
      </c>
      <c r="Q1465">
        <v>167</v>
      </c>
      <c r="R1465">
        <v>466</v>
      </c>
    </row>
    <row r="1466" spans="1:18" hidden="1" x14ac:dyDescent="0.2">
      <c r="A1466">
        <v>4</v>
      </c>
      <c r="B1466" t="s">
        <v>83</v>
      </c>
      <c r="E1466" t="s">
        <v>29</v>
      </c>
      <c r="F1466">
        <v>1125672</v>
      </c>
      <c r="G1466">
        <v>4</v>
      </c>
      <c r="H1466">
        <v>2</v>
      </c>
      <c r="I1466">
        <v>295</v>
      </c>
      <c r="J1466">
        <v>2020</v>
      </c>
      <c r="K1466" s="4">
        <v>44489</v>
      </c>
      <c r="L1466" t="s">
        <v>23</v>
      </c>
      <c r="M1466" t="s">
        <v>85</v>
      </c>
      <c r="N1466">
        <v>3.18</v>
      </c>
      <c r="O1466">
        <v>2431</v>
      </c>
      <c r="P1466">
        <v>2.29</v>
      </c>
      <c r="Q1466">
        <v>283</v>
      </c>
      <c r="R1466">
        <v>448</v>
      </c>
    </row>
    <row r="1467" spans="1:18" hidden="1" x14ac:dyDescent="0.2">
      <c r="A1467">
        <v>0</v>
      </c>
      <c r="B1467" t="s">
        <v>38</v>
      </c>
      <c r="E1467" t="s">
        <v>36</v>
      </c>
      <c r="F1467">
        <v>538173</v>
      </c>
      <c r="G1467">
        <v>2</v>
      </c>
      <c r="H1467">
        <v>1</v>
      </c>
      <c r="I1467">
        <v>717</v>
      </c>
      <c r="J1467">
        <v>1998</v>
      </c>
      <c r="K1467" s="4">
        <v>45864</v>
      </c>
      <c r="L1467" t="s">
        <v>20</v>
      </c>
      <c r="M1467" t="s">
        <v>45</v>
      </c>
      <c r="N1467">
        <v>2.27</v>
      </c>
      <c r="O1467">
        <v>847</v>
      </c>
      <c r="P1467">
        <v>0.84</v>
      </c>
      <c r="Q1467">
        <v>137</v>
      </c>
      <c r="R1467">
        <v>496</v>
      </c>
    </row>
    <row r="1468" spans="1:18" hidden="1" x14ac:dyDescent="0.2">
      <c r="A1468">
        <v>2</v>
      </c>
      <c r="B1468" t="s">
        <v>79</v>
      </c>
      <c r="E1468" t="s">
        <v>36</v>
      </c>
      <c r="F1468">
        <v>695697</v>
      </c>
      <c r="G1468">
        <v>4</v>
      </c>
      <c r="H1468">
        <v>3</v>
      </c>
      <c r="I1468">
        <v>947</v>
      </c>
      <c r="J1468">
        <v>1984</v>
      </c>
      <c r="K1468" s="4">
        <v>45496</v>
      </c>
      <c r="L1468" t="s">
        <v>26</v>
      </c>
      <c r="M1468" t="s">
        <v>59</v>
      </c>
      <c r="N1468">
        <v>2.09</v>
      </c>
      <c r="O1468">
        <v>1356</v>
      </c>
      <c r="P1468">
        <v>1.32</v>
      </c>
      <c r="Q1468">
        <v>219</v>
      </c>
      <c r="R1468">
        <v>517</v>
      </c>
    </row>
    <row r="1469" spans="1:18" hidden="1" x14ac:dyDescent="0.2">
      <c r="A1469">
        <v>2</v>
      </c>
      <c r="B1469" t="s">
        <v>65</v>
      </c>
      <c r="E1469" t="s">
        <v>51</v>
      </c>
      <c r="F1469">
        <v>729049</v>
      </c>
      <c r="G1469">
        <v>0</v>
      </c>
      <c r="H1469">
        <v>1</v>
      </c>
      <c r="I1469">
        <v>500</v>
      </c>
      <c r="J1469">
        <v>1959</v>
      </c>
      <c r="K1469" s="4">
        <v>44614</v>
      </c>
      <c r="L1469" t="s">
        <v>20</v>
      </c>
      <c r="M1469" t="s">
        <v>68</v>
      </c>
      <c r="N1469">
        <v>1.77</v>
      </c>
      <c r="O1469">
        <v>1970</v>
      </c>
      <c r="P1469">
        <v>0.69</v>
      </c>
      <c r="Q1469">
        <v>58</v>
      </c>
      <c r="R1469">
        <v>324</v>
      </c>
    </row>
    <row r="1470" spans="1:18" hidden="1" x14ac:dyDescent="0.2">
      <c r="A1470">
        <v>4</v>
      </c>
      <c r="B1470" t="s">
        <v>57</v>
      </c>
      <c r="E1470" t="s">
        <v>51</v>
      </c>
      <c r="F1470">
        <v>2664227</v>
      </c>
      <c r="G1470">
        <v>1</v>
      </c>
      <c r="H1470">
        <v>3</v>
      </c>
      <c r="I1470">
        <v>900</v>
      </c>
      <c r="J1470">
        <v>1988</v>
      </c>
      <c r="K1470" s="4">
        <v>44603</v>
      </c>
      <c r="L1470" t="s">
        <v>30</v>
      </c>
      <c r="M1470" t="s">
        <v>77</v>
      </c>
      <c r="N1470">
        <v>2.04</v>
      </c>
      <c r="O1470">
        <v>1615</v>
      </c>
      <c r="P1470">
        <v>4.49</v>
      </c>
      <c r="Q1470">
        <v>56</v>
      </c>
      <c r="R1470">
        <v>567</v>
      </c>
    </row>
    <row r="1471" spans="1:18" hidden="1" x14ac:dyDescent="0.2">
      <c r="A1471">
        <v>3</v>
      </c>
      <c r="B1471" t="s">
        <v>102</v>
      </c>
      <c r="E1471" t="s">
        <v>19</v>
      </c>
      <c r="F1471">
        <v>1921013</v>
      </c>
      <c r="G1471">
        <v>3</v>
      </c>
      <c r="H1471">
        <v>3</v>
      </c>
      <c r="I1471">
        <v>890</v>
      </c>
      <c r="J1471">
        <v>1961</v>
      </c>
      <c r="K1471" s="4">
        <v>44303</v>
      </c>
      <c r="L1471" t="s">
        <v>26</v>
      </c>
      <c r="M1471" t="s">
        <v>85</v>
      </c>
      <c r="N1471">
        <v>2.34</v>
      </c>
      <c r="O1471">
        <v>2499</v>
      </c>
      <c r="P1471">
        <v>4.4400000000000004</v>
      </c>
      <c r="Q1471">
        <v>199</v>
      </c>
      <c r="R1471">
        <v>375</v>
      </c>
    </row>
    <row r="1472" spans="1:18" hidden="1" x14ac:dyDescent="0.2">
      <c r="A1472">
        <v>9</v>
      </c>
      <c r="B1472" t="s">
        <v>34</v>
      </c>
      <c r="E1472" t="s">
        <v>51</v>
      </c>
      <c r="F1472">
        <v>1298137</v>
      </c>
      <c r="G1472">
        <v>4</v>
      </c>
      <c r="H1472">
        <v>1</v>
      </c>
      <c r="I1472">
        <v>318</v>
      </c>
      <c r="J1472">
        <v>1975</v>
      </c>
      <c r="K1472" s="4">
        <v>45323</v>
      </c>
      <c r="L1472" t="s">
        <v>23</v>
      </c>
      <c r="M1472" t="s">
        <v>70</v>
      </c>
      <c r="N1472">
        <v>1.68</v>
      </c>
      <c r="O1472">
        <v>818</v>
      </c>
      <c r="P1472">
        <v>2.69</v>
      </c>
      <c r="Q1472">
        <v>392</v>
      </c>
      <c r="R1472">
        <v>356</v>
      </c>
    </row>
    <row r="1473" spans="1:18" hidden="1" x14ac:dyDescent="0.2">
      <c r="A1473">
        <v>1</v>
      </c>
      <c r="B1473" t="s">
        <v>64</v>
      </c>
      <c r="E1473" t="s">
        <v>19</v>
      </c>
      <c r="F1473">
        <v>2371127</v>
      </c>
      <c r="G1473">
        <v>2</v>
      </c>
      <c r="H1473">
        <v>2</v>
      </c>
      <c r="I1473">
        <v>129</v>
      </c>
      <c r="J1473">
        <v>1977</v>
      </c>
      <c r="K1473" s="4">
        <v>44836</v>
      </c>
      <c r="L1473" t="s">
        <v>23</v>
      </c>
      <c r="M1473" t="s">
        <v>54</v>
      </c>
      <c r="N1473">
        <v>2.52</v>
      </c>
      <c r="O1473">
        <v>1816</v>
      </c>
      <c r="P1473">
        <v>4.07</v>
      </c>
      <c r="Q1473">
        <v>225</v>
      </c>
      <c r="R1473">
        <v>448</v>
      </c>
    </row>
    <row r="1474" spans="1:18" hidden="1" x14ac:dyDescent="0.2">
      <c r="A1474">
        <v>0</v>
      </c>
      <c r="B1474" t="s">
        <v>18</v>
      </c>
      <c r="E1474" t="s">
        <v>19</v>
      </c>
      <c r="F1474">
        <v>1796848</v>
      </c>
      <c r="G1474">
        <v>1</v>
      </c>
      <c r="H1474">
        <v>2</v>
      </c>
      <c r="I1474">
        <v>264</v>
      </c>
      <c r="J1474">
        <v>1995</v>
      </c>
      <c r="K1474" s="4">
        <v>44615</v>
      </c>
      <c r="L1474" t="s">
        <v>20</v>
      </c>
      <c r="M1474" t="s">
        <v>45</v>
      </c>
      <c r="N1474">
        <v>1.73</v>
      </c>
      <c r="O1474">
        <v>1343</v>
      </c>
      <c r="P1474">
        <v>4.38</v>
      </c>
      <c r="Q1474">
        <v>66</v>
      </c>
      <c r="R1474">
        <v>380</v>
      </c>
    </row>
    <row r="1475" spans="1:18" hidden="1" x14ac:dyDescent="0.2">
      <c r="A1475">
        <v>9</v>
      </c>
      <c r="B1475" t="s">
        <v>95</v>
      </c>
      <c r="E1475" t="s">
        <v>29</v>
      </c>
      <c r="F1475">
        <v>2953738</v>
      </c>
      <c r="G1475">
        <v>5</v>
      </c>
      <c r="H1475">
        <v>2</v>
      </c>
      <c r="I1475">
        <v>232</v>
      </c>
      <c r="J1475">
        <v>2009</v>
      </c>
      <c r="K1475" s="4">
        <v>44746</v>
      </c>
      <c r="L1475" t="s">
        <v>26</v>
      </c>
      <c r="M1475" t="s">
        <v>78</v>
      </c>
      <c r="N1475">
        <v>2.0299999999999998</v>
      </c>
      <c r="O1475">
        <v>824</v>
      </c>
      <c r="P1475">
        <v>4.75</v>
      </c>
      <c r="Q1475">
        <v>393</v>
      </c>
      <c r="R1475">
        <v>474</v>
      </c>
    </row>
    <row r="1476" spans="1:18" hidden="1" x14ac:dyDescent="0.2">
      <c r="A1476">
        <v>9</v>
      </c>
      <c r="B1476" t="s">
        <v>102</v>
      </c>
      <c r="E1476" t="s">
        <v>51</v>
      </c>
      <c r="F1476">
        <v>2075787</v>
      </c>
      <c r="G1476">
        <v>3</v>
      </c>
      <c r="H1476">
        <v>2</v>
      </c>
      <c r="I1476">
        <v>369</v>
      </c>
      <c r="J1476">
        <v>1956</v>
      </c>
      <c r="K1476" s="4">
        <v>44958</v>
      </c>
      <c r="L1476" t="s">
        <v>26</v>
      </c>
      <c r="M1476" t="s">
        <v>70</v>
      </c>
      <c r="N1476">
        <v>2.17</v>
      </c>
      <c r="O1476">
        <v>982</v>
      </c>
      <c r="P1476">
        <v>3.09</v>
      </c>
      <c r="Q1476">
        <v>275</v>
      </c>
      <c r="R1476">
        <v>588</v>
      </c>
    </row>
    <row r="1477" spans="1:18" hidden="1" x14ac:dyDescent="0.2">
      <c r="A1477">
        <v>6</v>
      </c>
      <c r="B1477" t="s">
        <v>75</v>
      </c>
      <c r="E1477" t="s">
        <v>19</v>
      </c>
      <c r="F1477">
        <v>994775</v>
      </c>
      <c r="G1477">
        <v>2</v>
      </c>
      <c r="H1477">
        <v>3</v>
      </c>
      <c r="I1477">
        <v>888</v>
      </c>
      <c r="J1477">
        <v>2020</v>
      </c>
      <c r="K1477" s="4">
        <v>44731</v>
      </c>
      <c r="L1477" t="s">
        <v>20</v>
      </c>
      <c r="M1477" t="s">
        <v>78</v>
      </c>
      <c r="N1477">
        <v>2.8</v>
      </c>
      <c r="O1477">
        <v>1360</v>
      </c>
      <c r="P1477">
        <v>1.02</v>
      </c>
      <c r="Q1477">
        <v>114</v>
      </c>
      <c r="R1477">
        <v>566</v>
      </c>
    </row>
    <row r="1478" spans="1:18" hidden="1" x14ac:dyDescent="0.2">
      <c r="A1478">
        <v>3</v>
      </c>
      <c r="B1478" t="s">
        <v>84</v>
      </c>
      <c r="E1478" t="s">
        <v>51</v>
      </c>
      <c r="F1478">
        <v>953116</v>
      </c>
      <c r="G1478">
        <v>3</v>
      </c>
      <c r="H1478">
        <v>3</v>
      </c>
      <c r="I1478">
        <v>802</v>
      </c>
      <c r="J1478">
        <v>2009</v>
      </c>
      <c r="K1478" s="4">
        <v>45034</v>
      </c>
      <c r="L1478" t="s">
        <v>26</v>
      </c>
      <c r="M1478" t="s">
        <v>40</v>
      </c>
      <c r="N1478">
        <v>1.91</v>
      </c>
      <c r="O1478">
        <v>1523</v>
      </c>
      <c r="P1478">
        <v>4.9400000000000004</v>
      </c>
      <c r="Q1478">
        <v>283</v>
      </c>
      <c r="R1478">
        <v>637</v>
      </c>
    </row>
    <row r="1479" spans="1:18" hidden="1" x14ac:dyDescent="0.2">
      <c r="A1479">
        <v>0</v>
      </c>
      <c r="B1479" t="s">
        <v>100</v>
      </c>
      <c r="E1479" t="s">
        <v>19</v>
      </c>
      <c r="F1479">
        <v>2709488</v>
      </c>
      <c r="G1479">
        <v>3</v>
      </c>
      <c r="H1479">
        <v>1</v>
      </c>
      <c r="I1479">
        <v>161</v>
      </c>
      <c r="J1479">
        <v>1954</v>
      </c>
      <c r="K1479" s="4">
        <v>45572</v>
      </c>
      <c r="L1479" t="s">
        <v>26</v>
      </c>
      <c r="M1479" t="s">
        <v>52</v>
      </c>
      <c r="N1479">
        <v>2.61</v>
      </c>
      <c r="O1479">
        <v>2278</v>
      </c>
      <c r="P1479">
        <v>4.3</v>
      </c>
      <c r="Q1479">
        <v>133</v>
      </c>
      <c r="R1479">
        <v>405</v>
      </c>
    </row>
    <row r="1480" spans="1:18" hidden="1" x14ac:dyDescent="0.2">
      <c r="A1480">
        <v>1</v>
      </c>
      <c r="B1480" t="s">
        <v>18</v>
      </c>
      <c r="E1480" t="s">
        <v>36</v>
      </c>
      <c r="F1480">
        <v>1967167</v>
      </c>
      <c r="G1480">
        <v>2</v>
      </c>
      <c r="H1480">
        <v>3</v>
      </c>
      <c r="I1480">
        <v>632</v>
      </c>
      <c r="J1480">
        <v>1981</v>
      </c>
      <c r="K1480" s="4">
        <v>44173</v>
      </c>
      <c r="L1480" t="s">
        <v>26</v>
      </c>
      <c r="M1480" t="s">
        <v>97</v>
      </c>
      <c r="N1480">
        <v>2.96</v>
      </c>
      <c r="O1480">
        <v>854</v>
      </c>
      <c r="P1480">
        <v>1.73</v>
      </c>
      <c r="Q1480">
        <v>174</v>
      </c>
      <c r="R1480">
        <v>650</v>
      </c>
    </row>
    <row r="1481" spans="1:18" hidden="1" x14ac:dyDescent="0.2">
      <c r="A1481">
        <v>7</v>
      </c>
      <c r="B1481" t="s">
        <v>93</v>
      </c>
      <c r="E1481" t="s">
        <v>51</v>
      </c>
      <c r="F1481">
        <v>2502464</v>
      </c>
      <c r="G1481">
        <v>2</v>
      </c>
      <c r="H1481">
        <v>3</v>
      </c>
      <c r="I1481">
        <v>585</v>
      </c>
      <c r="J1481">
        <v>1992</v>
      </c>
      <c r="K1481" s="4">
        <v>44691</v>
      </c>
      <c r="L1481" t="s">
        <v>23</v>
      </c>
      <c r="M1481" t="s">
        <v>77</v>
      </c>
      <c r="N1481">
        <v>3.23</v>
      </c>
      <c r="O1481">
        <v>1911</v>
      </c>
      <c r="P1481">
        <v>0.64</v>
      </c>
      <c r="Q1481">
        <v>138</v>
      </c>
      <c r="R1481">
        <v>571</v>
      </c>
    </row>
    <row r="1482" spans="1:18" hidden="1" x14ac:dyDescent="0.2">
      <c r="A1482">
        <v>6</v>
      </c>
      <c r="B1482" t="s">
        <v>92</v>
      </c>
      <c r="E1482" t="s">
        <v>51</v>
      </c>
      <c r="F1482">
        <v>1269182</v>
      </c>
      <c r="G1482">
        <v>2</v>
      </c>
      <c r="H1482">
        <v>3</v>
      </c>
      <c r="I1482">
        <v>253</v>
      </c>
      <c r="J1482">
        <v>2001</v>
      </c>
      <c r="K1482" s="4">
        <v>45098</v>
      </c>
      <c r="L1482" t="s">
        <v>20</v>
      </c>
      <c r="M1482" t="s">
        <v>68</v>
      </c>
      <c r="N1482">
        <v>2.65</v>
      </c>
      <c r="O1482">
        <v>2258</v>
      </c>
      <c r="P1482">
        <v>0.59</v>
      </c>
      <c r="Q1482">
        <v>209</v>
      </c>
      <c r="R1482">
        <v>457</v>
      </c>
    </row>
    <row r="1483" spans="1:18" hidden="1" x14ac:dyDescent="0.2">
      <c r="A1483">
        <v>1</v>
      </c>
      <c r="B1483" t="s">
        <v>81</v>
      </c>
      <c r="E1483" t="s">
        <v>29</v>
      </c>
      <c r="F1483">
        <v>661980</v>
      </c>
      <c r="G1483">
        <v>2</v>
      </c>
      <c r="H1483">
        <v>1</v>
      </c>
      <c r="I1483">
        <v>391</v>
      </c>
      <c r="J1483">
        <v>1999</v>
      </c>
      <c r="K1483" s="4">
        <v>44598</v>
      </c>
      <c r="L1483" t="s">
        <v>26</v>
      </c>
      <c r="M1483" t="s">
        <v>47</v>
      </c>
      <c r="N1483">
        <v>1.67</v>
      </c>
      <c r="O1483">
        <v>2039</v>
      </c>
      <c r="P1483">
        <v>3.88</v>
      </c>
      <c r="Q1483">
        <v>41</v>
      </c>
      <c r="R1483">
        <v>343</v>
      </c>
    </row>
    <row r="1484" spans="1:18" x14ac:dyDescent="0.2">
      <c r="A1484">
        <v>8</v>
      </c>
      <c r="B1484" t="s">
        <v>86</v>
      </c>
      <c r="E1484" t="s">
        <v>19</v>
      </c>
      <c r="F1484">
        <v>1748043</v>
      </c>
      <c r="G1484">
        <v>3</v>
      </c>
      <c r="H1484">
        <v>2</v>
      </c>
      <c r="I1484">
        <v>437</v>
      </c>
      <c r="J1484">
        <v>2005</v>
      </c>
      <c r="K1484" s="4">
        <v>45405</v>
      </c>
      <c r="L1484" t="s">
        <v>23</v>
      </c>
      <c r="M1484" t="s">
        <v>76</v>
      </c>
      <c r="N1484">
        <v>2.97</v>
      </c>
      <c r="O1484">
        <v>1276</v>
      </c>
      <c r="P1484">
        <v>0.69</v>
      </c>
      <c r="Q1484">
        <v>216</v>
      </c>
      <c r="R1484">
        <v>309</v>
      </c>
    </row>
    <row r="1485" spans="1:18" hidden="1" x14ac:dyDescent="0.2">
      <c r="A1485">
        <v>2</v>
      </c>
      <c r="B1485" t="s">
        <v>83</v>
      </c>
      <c r="E1485" t="s">
        <v>19</v>
      </c>
      <c r="F1485">
        <v>1148586</v>
      </c>
      <c r="G1485">
        <v>1</v>
      </c>
      <c r="H1485">
        <v>3</v>
      </c>
      <c r="I1485">
        <v>972</v>
      </c>
      <c r="J1485">
        <v>2005</v>
      </c>
      <c r="K1485" s="4">
        <v>45382</v>
      </c>
      <c r="L1485" t="s">
        <v>30</v>
      </c>
      <c r="M1485" t="s">
        <v>54</v>
      </c>
      <c r="N1485">
        <v>1.99</v>
      </c>
      <c r="O1485">
        <v>1929</v>
      </c>
      <c r="P1485">
        <v>3.84</v>
      </c>
      <c r="Q1485">
        <v>88</v>
      </c>
      <c r="R1485">
        <v>431</v>
      </c>
    </row>
    <row r="1486" spans="1:18" hidden="1" x14ac:dyDescent="0.2">
      <c r="A1486">
        <v>6</v>
      </c>
      <c r="B1486" t="s">
        <v>25</v>
      </c>
      <c r="E1486" t="s">
        <v>36</v>
      </c>
      <c r="F1486">
        <v>2705447</v>
      </c>
      <c r="G1486">
        <v>6</v>
      </c>
      <c r="H1486">
        <v>1</v>
      </c>
      <c r="I1486">
        <v>509</v>
      </c>
      <c r="J1486">
        <v>2022</v>
      </c>
      <c r="K1486" s="4">
        <v>45711</v>
      </c>
      <c r="L1486" t="s">
        <v>20</v>
      </c>
      <c r="M1486" t="s">
        <v>69</v>
      </c>
      <c r="N1486">
        <v>2.6</v>
      </c>
      <c r="O1486">
        <v>1652</v>
      </c>
      <c r="P1486">
        <v>0.74</v>
      </c>
      <c r="Q1486">
        <v>340</v>
      </c>
      <c r="R1486">
        <v>439</v>
      </c>
    </row>
    <row r="1487" spans="1:18" hidden="1" x14ac:dyDescent="0.2">
      <c r="A1487">
        <v>1</v>
      </c>
      <c r="B1487" t="s">
        <v>22</v>
      </c>
      <c r="E1487" t="s">
        <v>51</v>
      </c>
      <c r="F1487">
        <v>1651618</v>
      </c>
      <c r="G1487">
        <v>3</v>
      </c>
      <c r="H1487">
        <v>3</v>
      </c>
      <c r="I1487">
        <v>271</v>
      </c>
      <c r="J1487">
        <v>1991</v>
      </c>
      <c r="K1487" s="4">
        <v>45326</v>
      </c>
      <c r="L1487" t="s">
        <v>20</v>
      </c>
      <c r="M1487" t="s">
        <v>47</v>
      </c>
      <c r="N1487">
        <v>2.68</v>
      </c>
      <c r="O1487">
        <v>1870</v>
      </c>
      <c r="P1487">
        <v>2.79</v>
      </c>
      <c r="Q1487">
        <v>115</v>
      </c>
      <c r="R1487">
        <v>499</v>
      </c>
    </row>
    <row r="1488" spans="1:18" hidden="1" x14ac:dyDescent="0.2">
      <c r="A1488">
        <v>3</v>
      </c>
      <c r="B1488" t="s">
        <v>46</v>
      </c>
      <c r="E1488" t="s">
        <v>36</v>
      </c>
      <c r="F1488">
        <v>1898380</v>
      </c>
      <c r="G1488">
        <v>4</v>
      </c>
      <c r="H1488">
        <v>1</v>
      </c>
      <c r="I1488">
        <v>689</v>
      </c>
      <c r="J1488">
        <v>1966</v>
      </c>
      <c r="K1488" s="4">
        <v>44936</v>
      </c>
      <c r="L1488" t="s">
        <v>20</v>
      </c>
      <c r="M1488" t="s">
        <v>42</v>
      </c>
      <c r="N1488">
        <v>3.16</v>
      </c>
      <c r="O1488">
        <v>1916</v>
      </c>
      <c r="P1488">
        <v>3.88</v>
      </c>
      <c r="Q1488">
        <v>333</v>
      </c>
      <c r="R1488">
        <v>351</v>
      </c>
    </row>
    <row r="1489" spans="1:18" hidden="1" x14ac:dyDescent="0.2">
      <c r="A1489">
        <v>9</v>
      </c>
      <c r="B1489" t="s">
        <v>99</v>
      </c>
      <c r="E1489" t="s">
        <v>51</v>
      </c>
      <c r="F1489">
        <v>1722986</v>
      </c>
      <c r="G1489">
        <v>1</v>
      </c>
      <c r="H1489">
        <v>2</v>
      </c>
      <c r="I1489">
        <v>458</v>
      </c>
      <c r="J1489">
        <v>1964</v>
      </c>
      <c r="K1489" s="4">
        <v>45822</v>
      </c>
      <c r="L1489" t="s">
        <v>26</v>
      </c>
      <c r="M1489" t="s">
        <v>31</v>
      </c>
      <c r="N1489">
        <v>1.94</v>
      </c>
      <c r="O1489">
        <v>1482</v>
      </c>
      <c r="P1489">
        <v>0.26</v>
      </c>
      <c r="Q1489">
        <v>127</v>
      </c>
      <c r="R1489">
        <v>450</v>
      </c>
    </row>
    <row r="1490" spans="1:18" hidden="1" x14ac:dyDescent="0.2">
      <c r="A1490">
        <v>2</v>
      </c>
      <c r="B1490" t="s">
        <v>55</v>
      </c>
      <c r="E1490" t="s">
        <v>36</v>
      </c>
      <c r="F1490">
        <v>915515</v>
      </c>
      <c r="G1490">
        <v>1</v>
      </c>
      <c r="H1490">
        <v>1</v>
      </c>
      <c r="I1490">
        <v>405</v>
      </c>
      <c r="J1490">
        <v>2022</v>
      </c>
      <c r="K1490" s="4">
        <v>44962</v>
      </c>
      <c r="L1490" t="s">
        <v>30</v>
      </c>
      <c r="M1490" t="s">
        <v>97</v>
      </c>
      <c r="N1490">
        <v>2.93</v>
      </c>
      <c r="O1490">
        <v>2004</v>
      </c>
      <c r="P1490">
        <v>4.03</v>
      </c>
      <c r="Q1490">
        <v>127</v>
      </c>
      <c r="R1490">
        <v>499</v>
      </c>
    </row>
    <row r="1491" spans="1:18" hidden="1" x14ac:dyDescent="0.2">
      <c r="A1491">
        <v>9</v>
      </c>
      <c r="B1491" t="s">
        <v>25</v>
      </c>
      <c r="E1491" t="s">
        <v>19</v>
      </c>
      <c r="F1491">
        <v>1210682</v>
      </c>
      <c r="G1491">
        <v>2</v>
      </c>
      <c r="H1491">
        <v>1</v>
      </c>
      <c r="I1491">
        <v>935</v>
      </c>
      <c r="J1491">
        <v>1986</v>
      </c>
      <c r="K1491" s="4">
        <v>44181</v>
      </c>
      <c r="L1491" t="s">
        <v>26</v>
      </c>
      <c r="M1491" t="s">
        <v>45</v>
      </c>
      <c r="N1491">
        <v>1.87</v>
      </c>
      <c r="O1491">
        <v>2253</v>
      </c>
      <c r="P1491">
        <v>4.54</v>
      </c>
      <c r="Q1491">
        <v>141</v>
      </c>
      <c r="R1491">
        <v>523</v>
      </c>
    </row>
    <row r="1492" spans="1:18" hidden="1" x14ac:dyDescent="0.2">
      <c r="A1492">
        <v>2</v>
      </c>
      <c r="B1492" t="s">
        <v>105</v>
      </c>
      <c r="E1492" t="s">
        <v>19</v>
      </c>
      <c r="F1492">
        <v>668809</v>
      </c>
      <c r="G1492">
        <v>2</v>
      </c>
      <c r="H1492">
        <v>2</v>
      </c>
      <c r="I1492">
        <v>641</v>
      </c>
      <c r="J1492">
        <v>1980</v>
      </c>
      <c r="K1492" s="4">
        <v>45705</v>
      </c>
      <c r="L1492" t="s">
        <v>23</v>
      </c>
      <c r="M1492" t="s">
        <v>78</v>
      </c>
      <c r="N1492">
        <v>1.96</v>
      </c>
      <c r="O1492">
        <v>884</v>
      </c>
      <c r="P1492">
        <v>2.6</v>
      </c>
      <c r="Q1492">
        <v>130</v>
      </c>
      <c r="R1492">
        <v>660</v>
      </c>
    </row>
    <row r="1493" spans="1:18" hidden="1" x14ac:dyDescent="0.2">
      <c r="A1493">
        <v>9</v>
      </c>
      <c r="B1493" t="s">
        <v>93</v>
      </c>
      <c r="E1493" t="s">
        <v>29</v>
      </c>
      <c r="F1493">
        <v>2393073</v>
      </c>
      <c r="G1493">
        <v>2</v>
      </c>
      <c r="H1493">
        <v>1</v>
      </c>
      <c r="I1493">
        <v>304</v>
      </c>
      <c r="J1493">
        <v>1994</v>
      </c>
      <c r="K1493" s="4">
        <v>45246</v>
      </c>
      <c r="L1493" t="s">
        <v>23</v>
      </c>
      <c r="M1493" t="s">
        <v>76</v>
      </c>
      <c r="N1493">
        <v>2.06</v>
      </c>
      <c r="O1493">
        <v>2490</v>
      </c>
      <c r="P1493">
        <v>1.37</v>
      </c>
      <c r="Q1493">
        <v>134</v>
      </c>
      <c r="R1493">
        <v>580</v>
      </c>
    </row>
    <row r="1494" spans="1:18" hidden="1" x14ac:dyDescent="0.2">
      <c r="A1494">
        <v>5</v>
      </c>
      <c r="B1494" t="s">
        <v>64</v>
      </c>
      <c r="E1494" t="s">
        <v>29</v>
      </c>
      <c r="F1494">
        <v>796856</v>
      </c>
      <c r="G1494">
        <v>4</v>
      </c>
      <c r="H1494">
        <v>2</v>
      </c>
      <c r="I1494">
        <v>296</v>
      </c>
      <c r="J1494">
        <v>1974</v>
      </c>
      <c r="K1494" s="4">
        <v>44806</v>
      </c>
      <c r="L1494" t="s">
        <v>26</v>
      </c>
      <c r="M1494" t="s">
        <v>77</v>
      </c>
      <c r="N1494">
        <v>2.95</v>
      </c>
      <c r="O1494">
        <v>1707</v>
      </c>
      <c r="P1494">
        <v>3.61</v>
      </c>
      <c r="Q1494">
        <v>250</v>
      </c>
      <c r="R1494">
        <v>381</v>
      </c>
    </row>
    <row r="1495" spans="1:18" hidden="1" x14ac:dyDescent="0.2">
      <c r="A1495">
        <v>2</v>
      </c>
      <c r="B1495" t="s">
        <v>104</v>
      </c>
      <c r="E1495" t="s">
        <v>29</v>
      </c>
      <c r="F1495">
        <v>1001326</v>
      </c>
      <c r="G1495">
        <v>2</v>
      </c>
      <c r="H1495">
        <v>2</v>
      </c>
      <c r="I1495">
        <v>66</v>
      </c>
      <c r="J1495">
        <v>1955</v>
      </c>
      <c r="K1495" s="4">
        <v>45063</v>
      </c>
      <c r="L1495" t="s">
        <v>30</v>
      </c>
      <c r="M1495" t="s">
        <v>24</v>
      </c>
      <c r="N1495">
        <v>1.87</v>
      </c>
      <c r="O1495">
        <v>1237</v>
      </c>
      <c r="P1495">
        <v>3.25</v>
      </c>
      <c r="Q1495">
        <v>115</v>
      </c>
      <c r="R1495">
        <v>364</v>
      </c>
    </row>
    <row r="1496" spans="1:18" hidden="1" x14ac:dyDescent="0.2">
      <c r="A1496">
        <v>3</v>
      </c>
      <c r="B1496" t="s">
        <v>55</v>
      </c>
      <c r="E1496" t="s">
        <v>19</v>
      </c>
      <c r="F1496">
        <v>407069</v>
      </c>
      <c r="G1496">
        <v>2</v>
      </c>
      <c r="H1496">
        <v>2</v>
      </c>
      <c r="I1496">
        <v>100</v>
      </c>
      <c r="J1496">
        <v>1996</v>
      </c>
      <c r="K1496" s="4">
        <v>44555</v>
      </c>
      <c r="L1496" t="s">
        <v>30</v>
      </c>
      <c r="M1496" t="s">
        <v>35</v>
      </c>
      <c r="N1496">
        <v>2.96</v>
      </c>
      <c r="O1496">
        <v>1317</v>
      </c>
      <c r="P1496">
        <v>4.9000000000000004</v>
      </c>
      <c r="Q1496">
        <v>166</v>
      </c>
      <c r="R1496">
        <v>512</v>
      </c>
    </row>
    <row r="1497" spans="1:18" hidden="1" x14ac:dyDescent="0.2">
      <c r="A1497">
        <v>9</v>
      </c>
      <c r="B1497" t="s">
        <v>71</v>
      </c>
      <c r="E1497" t="s">
        <v>29</v>
      </c>
      <c r="F1497">
        <v>1574345</v>
      </c>
      <c r="G1497">
        <v>0</v>
      </c>
      <c r="H1497">
        <v>2</v>
      </c>
      <c r="I1497">
        <v>1000</v>
      </c>
      <c r="J1497">
        <v>2014</v>
      </c>
      <c r="K1497" s="4">
        <v>44165</v>
      </c>
      <c r="L1497" t="s">
        <v>30</v>
      </c>
      <c r="M1497" t="s">
        <v>68</v>
      </c>
      <c r="N1497">
        <v>3.25</v>
      </c>
      <c r="O1497">
        <v>1368</v>
      </c>
      <c r="P1497">
        <v>2.75</v>
      </c>
      <c r="Q1497">
        <v>60</v>
      </c>
      <c r="R1497">
        <v>472</v>
      </c>
    </row>
    <row r="1498" spans="1:18" hidden="1" x14ac:dyDescent="0.2">
      <c r="A1498">
        <v>1</v>
      </c>
      <c r="B1498" t="s">
        <v>91</v>
      </c>
      <c r="E1498" t="s">
        <v>36</v>
      </c>
      <c r="F1498">
        <v>1054572</v>
      </c>
      <c r="G1498">
        <v>3</v>
      </c>
      <c r="H1498">
        <v>2</v>
      </c>
      <c r="I1498">
        <v>701</v>
      </c>
      <c r="J1498">
        <v>1986</v>
      </c>
      <c r="K1498" s="4">
        <v>44587</v>
      </c>
      <c r="L1498" t="s">
        <v>26</v>
      </c>
      <c r="M1498" t="s">
        <v>24</v>
      </c>
      <c r="N1498">
        <v>3.09</v>
      </c>
      <c r="O1498">
        <v>2145</v>
      </c>
      <c r="P1498">
        <v>4.4800000000000004</v>
      </c>
      <c r="Q1498">
        <v>163</v>
      </c>
      <c r="R1498">
        <v>562</v>
      </c>
    </row>
    <row r="1499" spans="1:18" hidden="1" x14ac:dyDescent="0.2">
      <c r="A1499">
        <v>2</v>
      </c>
      <c r="B1499" t="s">
        <v>53</v>
      </c>
      <c r="E1499" t="s">
        <v>36</v>
      </c>
      <c r="F1499">
        <v>2809214</v>
      </c>
      <c r="G1499">
        <v>1</v>
      </c>
      <c r="H1499">
        <v>2</v>
      </c>
      <c r="I1499">
        <v>471</v>
      </c>
      <c r="J1499">
        <v>2004</v>
      </c>
      <c r="K1499" s="4">
        <v>45602</v>
      </c>
      <c r="L1499" t="s">
        <v>26</v>
      </c>
      <c r="M1499" t="s">
        <v>24</v>
      </c>
      <c r="N1499">
        <v>1.74</v>
      </c>
      <c r="O1499">
        <v>2430</v>
      </c>
      <c r="P1499">
        <v>1.65</v>
      </c>
      <c r="Q1499">
        <v>50</v>
      </c>
      <c r="R1499">
        <v>680</v>
      </c>
    </row>
    <row r="1500" spans="1:18" x14ac:dyDescent="0.2">
      <c r="A1500">
        <v>8</v>
      </c>
      <c r="B1500" t="s">
        <v>96</v>
      </c>
      <c r="E1500" t="s">
        <v>51</v>
      </c>
      <c r="F1500">
        <v>2371277</v>
      </c>
      <c r="G1500">
        <v>2</v>
      </c>
      <c r="H1500">
        <v>3</v>
      </c>
      <c r="I1500">
        <v>734</v>
      </c>
      <c r="J1500">
        <v>1983</v>
      </c>
      <c r="K1500" s="4">
        <v>44907</v>
      </c>
      <c r="L1500" t="s">
        <v>26</v>
      </c>
      <c r="M1500" t="s">
        <v>45</v>
      </c>
      <c r="N1500">
        <v>1.89</v>
      </c>
      <c r="O1500">
        <v>980</v>
      </c>
      <c r="P1500">
        <v>0.65</v>
      </c>
      <c r="Q1500">
        <v>111</v>
      </c>
      <c r="R1500">
        <v>683</v>
      </c>
    </row>
    <row r="1501" spans="1:18" hidden="1" x14ac:dyDescent="0.2">
      <c r="A1501">
        <v>7</v>
      </c>
      <c r="B1501" t="s">
        <v>83</v>
      </c>
      <c r="E1501" t="s">
        <v>19</v>
      </c>
      <c r="F1501">
        <v>2803283</v>
      </c>
      <c r="G1501">
        <v>4</v>
      </c>
      <c r="H1501">
        <v>2</v>
      </c>
      <c r="I1501">
        <v>152</v>
      </c>
      <c r="J1501">
        <v>1975</v>
      </c>
      <c r="K1501" s="4">
        <v>45328</v>
      </c>
      <c r="L1501" t="s">
        <v>26</v>
      </c>
      <c r="M1501" t="s">
        <v>54</v>
      </c>
      <c r="N1501">
        <v>1.71</v>
      </c>
      <c r="O1501">
        <v>2293</v>
      </c>
      <c r="P1501">
        <v>2.41</v>
      </c>
      <c r="Q1501">
        <v>373</v>
      </c>
      <c r="R1501">
        <v>337</v>
      </c>
    </row>
    <row r="1502" spans="1:18" hidden="1" x14ac:dyDescent="0.2">
      <c r="A1502">
        <v>5</v>
      </c>
      <c r="B1502" t="s">
        <v>88</v>
      </c>
      <c r="E1502" t="s">
        <v>29</v>
      </c>
      <c r="F1502">
        <v>1378724</v>
      </c>
      <c r="G1502">
        <v>3</v>
      </c>
      <c r="H1502">
        <v>3</v>
      </c>
      <c r="I1502">
        <v>362</v>
      </c>
      <c r="J1502">
        <v>1998</v>
      </c>
      <c r="K1502" s="4">
        <v>45580</v>
      </c>
      <c r="L1502" t="s">
        <v>30</v>
      </c>
      <c r="M1502" t="s">
        <v>68</v>
      </c>
      <c r="N1502">
        <v>2.69</v>
      </c>
      <c r="O1502">
        <v>1970</v>
      </c>
      <c r="P1502">
        <v>3.66</v>
      </c>
      <c r="Q1502">
        <v>280</v>
      </c>
      <c r="R1502">
        <v>520</v>
      </c>
    </row>
    <row r="1503" spans="1:18" hidden="1" x14ac:dyDescent="0.2">
      <c r="A1503">
        <v>3</v>
      </c>
      <c r="B1503" t="s">
        <v>101</v>
      </c>
      <c r="E1503" t="s">
        <v>36</v>
      </c>
      <c r="F1503">
        <v>1543327</v>
      </c>
      <c r="G1503">
        <v>0</v>
      </c>
      <c r="H1503">
        <v>2</v>
      </c>
      <c r="I1503">
        <v>162</v>
      </c>
      <c r="J1503">
        <v>1957</v>
      </c>
      <c r="K1503" s="4">
        <v>44357</v>
      </c>
      <c r="L1503" t="s">
        <v>30</v>
      </c>
      <c r="M1503" t="s">
        <v>40</v>
      </c>
      <c r="N1503">
        <v>3.19</v>
      </c>
      <c r="O1503">
        <v>1256</v>
      </c>
      <c r="P1503">
        <v>0.69</v>
      </c>
      <c r="Q1503">
        <v>77</v>
      </c>
      <c r="R1503">
        <v>447</v>
      </c>
    </row>
    <row r="1504" spans="1:18" hidden="1" x14ac:dyDescent="0.2">
      <c r="A1504">
        <v>2</v>
      </c>
      <c r="B1504" t="s">
        <v>71</v>
      </c>
      <c r="E1504" t="s">
        <v>19</v>
      </c>
      <c r="F1504">
        <v>2686332</v>
      </c>
      <c r="G1504">
        <v>4</v>
      </c>
      <c r="H1504">
        <v>3</v>
      </c>
      <c r="I1504">
        <v>833</v>
      </c>
      <c r="J1504">
        <v>1952</v>
      </c>
      <c r="K1504" s="4">
        <v>45004</v>
      </c>
      <c r="L1504" t="s">
        <v>20</v>
      </c>
      <c r="M1504" t="s">
        <v>59</v>
      </c>
      <c r="N1504">
        <v>1.72</v>
      </c>
      <c r="O1504">
        <v>904</v>
      </c>
      <c r="P1504">
        <v>2.13</v>
      </c>
      <c r="Q1504">
        <v>235</v>
      </c>
      <c r="R1504">
        <v>690</v>
      </c>
    </row>
    <row r="1505" spans="1:18" hidden="1" x14ac:dyDescent="0.2">
      <c r="A1505">
        <v>0</v>
      </c>
      <c r="B1505" t="s">
        <v>105</v>
      </c>
      <c r="E1505" t="s">
        <v>51</v>
      </c>
      <c r="F1505">
        <v>2287433</v>
      </c>
      <c r="G1505">
        <v>2</v>
      </c>
      <c r="H1505">
        <v>1</v>
      </c>
      <c r="I1505">
        <v>522</v>
      </c>
      <c r="J1505">
        <v>1953</v>
      </c>
      <c r="K1505" s="4">
        <v>44978</v>
      </c>
      <c r="L1505" t="s">
        <v>26</v>
      </c>
      <c r="M1505" t="s">
        <v>42</v>
      </c>
      <c r="N1505">
        <v>2.79</v>
      </c>
      <c r="O1505">
        <v>845</v>
      </c>
      <c r="P1505">
        <v>1.79</v>
      </c>
      <c r="Q1505">
        <v>170</v>
      </c>
      <c r="R1505">
        <v>649</v>
      </c>
    </row>
    <row r="1506" spans="1:18" hidden="1" x14ac:dyDescent="0.2">
      <c r="A1506">
        <v>3</v>
      </c>
      <c r="B1506" t="s">
        <v>84</v>
      </c>
      <c r="E1506" t="s">
        <v>51</v>
      </c>
      <c r="F1506">
        <v>1271800</v>
      </c>
      <c r="G1506">
        <v>2</v>
      </c>
      <c r="H1506">
        <v>2</v>
      </c>
      <c r="I1506">
        <v>499</v>
      </c>
      <c r="J1506">
        <v>2004</v>
      </c>
      <c r="K1506" s="4">
        <v>44882</v>
      </c>
      <c r="L1506" t="s">
        <v>26</v>
      </c>
      <c r="M1506" t="s">
        <v>77</v>
      </c>
      <c r="N1506">
        <v>2.59</v>
      </c>
      <c r="O1506">
        <v>1365</v>
      </c>
      <c r="P1506">
        <v>2.54</v>
      </c>
      <c r="Q1506">
        <v>117</v>
      </c>
      <c r="R1506">
        <v>314</v>
      </c>
    </row>
    <row r="1507" spans="1:18" hidden="1" x14ac:dyDescent="0.2">
      <c r="A1507">
        <v>6</v>
      </c>
      <c r="B1507" t="s">
        <v>48</v>
      </c>
      <c r="E1507" t="s">
        <v>36</v>
      </c>
      <c r="F1507">
        <v>667414</v>
      </c>
      <c r="G1507">
        <v>2</v>
      </c>
      <c r="H1507">
        <v>1</v>
      </c>
      <c r="I1507">
        <v>111</v>
      </c>
      <c r="J1507">
        <v>1974</v>
      </c>
      <c r="K1507" s="4">
        <v>45400</v>
      </c>
      <c r="L1507" t="s">
        <v>23</v>
      </c>
      <c r="M1507" t="s">
        <v>77</v>
      </c>
      <c r="N1507">
        <v>3.38</v>
      </c>
      <c r="O1507">
        <v>1007</v>
      </c>
      <c r="P1507">
        <v>3.59</v>
      </c>
      <c r="Q1507">
        <v>132</v>
      </c>
      <c r="R1507">
        <v>345</v>
      </c>
    </row>
    <row r="1508" spans="1:18" hidden="1" x14ac:dyDescent="0.2">
      <c r="A1508">
        <v>4</v>
      </c>
      <c r="B1508" t="s">
        <v>96</v>
      </c>
      <c r="E1508" t="s">
        <v>29</v>
      </c>
      <c r="F1508">
        <v>465519</v>
      </c>
      <c r="G1508">
        <v>5</v>
      </c>
      <c r="H1508">
        <v>1</v>
      </c>
      <c r="I1508">
        <v>801</v>
      </c>
      <c r="J1508">
        <v>1960</v>
      </c>
      <c r="K1508" s="4">
        <v>45118</v>
      </c>
      <c r="L1508" t="s">
        <v>30</v>
      </c>
      <c r="M1508" t="s">
        <v>12</v>
      </c>
      <c r="N1508">
        <v>3.15</v>
      </c>
      <c r="O1508">
        <v>1443</v>
      </c>
      <c r="P1508">
        <v>4.9800000000000004</v>
      </c>
      <c r="Q1508">
        <v>381</v>
      </c>
      <c r="R1508">
        <v>430</v>
      </c>
    </row>
    <row r="1509" spans="1:18" hidden="1" x14ac:dyDescent="0.2">
      <c r="A1509">
        <v>1</v>
      </c>
      <c r="B1509" t="s">
        <v>87</v>
      </c>
      <c r="E1509" t="s">
        <v>51</v>
      </c>
      <c r="F1509">
        <v>1753338</v>
      </c>
      <c r="G1509">
        <v>4</v>
      </c>
      <c r="H1509">
        <v>1</v>
      </c>
      <c r="I1509">
        <v>675</v>
      </c>
      <c r="J1509">
        <v>1988</v>
      </c>
      <c r="K1509" s="4">
        <v>44094</v>
      </c>
      <c r="L1509" t="s">
        <v>30</v>
      </c>
      <c r="M1509" t="s">
        <v>37</v>
      </c>
      <c r="N1509">
        <v>2.5</v>
      </c>
      <c r="O1509">
        <v>908</v>
      </c>
      <c r="P1509">
        <v>4.0999999999999996</v>
      </c>
      <c r="Q1509">
        <v>217</v>
      </c>
      <c r="R1509">
        <v>687</v>
      </c>
    </row>
    <row r="1510" spans="1:18" hidden="1" x14ac:dyDescent="0.2">
      <c r="A1510">
        <v>2</v>
      </c>
      <c r="B1510" t="s">
        <v>48</v>
      </c>
      <c r="E1510" t="s">
        <v>36</v>
      </c>
      <c r="F1510">
        <v>1357555</v>
      </c>
      <c r="G1510">
        <v>2</v>
      </c>
      <c r="H1510">
        <v>2</v>
      </c>
      <c r="I1510">
        <v>903</v>
      </c>
      <c r="J1510">
        <v>1998</v>
      </c>
      <c r="K1510" s="4">
        <v>45408</v>
      </c>
      <c r="L1510" t="s">
        <v>20</v>
      </c>
      <c r="M1510" t="s">
        <v>89</v>
      </c>
      <c r="N1510">
        <v>2.2000000000000002</v>
      </c>
      <c r="O1510">
        <v>896</v>
      </c>
      <c r="P1510">
        <v>2.0499999999999998</v>
      </c>
      <c r="Q1510">
        <v>58</v>
      </c>
      <c r="R1510">
        <v>483</v>
      </c>
    </row>
    <row r="1511" spans="1:18" hidden="1" x14ac:dyDescent="0.2">
      <c r="A1511">
        <v>4</v>
      </c>
      <c r="B1511" t="s">
        <v>95</v>
      </c>
      <c r="E1511" t="s">
        <v>19</v>
      </c>
      <c r="F1511">
        <v>1349439</v>
      </c>
      <c r="G1511">
        <v>2</v>
      </c>
      <c r="H1511">
        <v>3</v>
      </c>
      <c r="I1511">
        <v>422</v>
      </c>
      <c r="J1511">
        <v>1979</v>
      </c>
      <c r="K1511" s="4">
        <v>44774</v>
      </c>
      <c r="L1511" t="s">
        <v>20</v>
      </c>
      <c r="M1511" t="s">
        <v>42</v>
      </c>
      <c r="N1511">
        <v>2.12</v>
      </c>
      <c r="O1511">
        <v>994</v>
      </c>
      <c r="P1511">
        <v>1.71</v>
      </c>
      <c r="Q1511">
        <v>174</v>
      </c>
      <c r="R1511">
        <v>641</v>
      </c>
    </row>
    <row r="1512" spans="1:18" hidden="1" x14ac:dyDescent="0.2">
      <c r="A1512">
        <v>9</v>
      </c>
      <c r="B1512" t="s">
        <v>49</v>
      </c>
      <c r="E1512" t="s">
        <v>29</v>
      </c>
      <c r="F1512">
        <v>1733601</v>
      </c>
      <c r="G1512">
        <v>4</v>
      </c>
      <c r="H1512">
        <v>3</v>
      </c>
      <c r="I1512">
        <v>972</v>
      </c>
      <c r="J1512">
        <v>1988</v>
      </c>
      <c r="K1512" s="4">
        <v>44842</v>
      </c>
      <c r="L1512" t="s">
        <v>20</v>
      </c>
      <c r="M1512" t="s">
        <v>47</v>
      </c>
      <c r="N1512">
        <v>2.0299999999999998</v>
      </c>
      <c r="O1512">
        <v>2124</v>
      </c>
      <c r="P1512">
        <v>0.75</v>
      </c>
      <c r="Q1512">
        <v>199</v>
      </c>
      <c r="R1512">
        <v>585</v>
      </c>
    </row>
    <row r="1513" spans="1:18" hidden="1" x14ac:dyDescent="0.2">
      <c r="A1513">
        <v>5</v>
      </c>
      <c r="B1513" t="s">
        <v>22</v>
      </c>
      <c r="E1513" t="s">
        <v>36</v>
      </c>
      <c r="F1513">
        <v>1599238</v>
      </c>
      <c r="G1513">
        <v>2</v>
      </c>
      <c r="H1513">
        <v>1</v>
      </c>
      <c r="I1513">
        <v>463</v>
      </c>
      <c r="J1513">
        <v>2005</v>
      </c>
      <c r="K1513" s="4">
        <v>44978</v>
      </c>
      <c r="L1513" t="s">
        <v>30</v>
      </c>
      <c r="M1513" t="s">
        <v>54</v>
      </c>
      <c r="N1513">
        <v>3.39</v>
      </c>
      <c r="O1513">
        <v>1671</v>
      </c>
      <c r="P1513">
        <v>0.84</v>
      </c>
      <c r="Q1513">
        <v>230</v>
      </c>
      <c r="R1513">
        <v>685</v>
      </c>
    </row>
    <row r="1514" spans="1:18" hidden="1" x14ac:dyDescent="0.2">
      <c r="A1514">
        <v>4</v>
      </c>
      <c r="B1514" t="s">
        <v>46</v>
      </c>
      <c r="E1514" t="s">
        <v>19</v>
      </c>
      <c r="F1514">
        <v>1864416</v>
      </c>
      <c r="G1514">
        <v>4</v>
      </c>
      <c r="H1514">
        <v>2</v>
      </c>
      <c r="I1514">
        <v>712</v>
      </c>
      <c r="J1514">
        <v>2013</v>
      </c>
      <c r="K1514" s="4">
        <v>44429</v>
      </c>
      <c r="L1514" t="s">
        <v>20</v>
      </c>
      <c r="M1514" t="s">
        <v>52</v>
      </c>
      <c r="N1514">
        <v>2.02</v>
      </c>
      <c r="O1514">
        <v>1876</v>
      </c>
      <c r="P1514">
        <v>0.57999999999999996</v>
      </c>
      <c r="Q1514">
        <v>184</v>
      </c>
      <c r="R1514">
        <v>484</v>
      </c>
    </row>
    <row r="1515" spans="1:18" x14ac:dyDescent="0.2">
      <c r="A1515">
        <v>8</v>
      </c>
      <c r="B1515" t="s">
        <v>102</v>
      </c>
      <c r="E1515" t="s">
        <v>19</v>
      </c>
      <c r="F1515">
        <v>2861761</v>
      </c>
      <c r="G1515">
        <v>0</v>
      </c>
      <c r="H1515">
        <v>3</v>
      </c>
      <c r="I1515">
        <v>549</v>
      </c>
      <c r="J1515">
        <v>1992</v>
      </c>
      <c r="K1515" s="4">
        <v>44771</v>
      </c>
      <c r="L1515" t="s">
        <v>30</v>
      </c>
      <c r="M1515" t="s">
        <v>42</v>
      </c>
      <c r="N1515">
        <v>1.62</v>
      </c>
      <c r="O1515">
        <v>2238</v>
      </c>
      <c r="P1515">
        <v>2</v>
      </c>
      <c r="Q1515">
        <v>62</v>
      </c>
      <c r="R1515">
        <v>390</v>
      </c>
    </row>
    <row r="1516" spans="1:18" hidden="1" x14ac:dyDescent="0.2">
      <c r="A1516">
        <v>2</v>
      </c>
      <c r="B1516" t="s">
        <v>64</v>
      </c>
      <c r="E1516" t="s">
        <v>29</v>
      </c>
      <c r="F1516">
        <v>1715911</v>
      </c>
      <c r="G1516">
        <v>3</v>
      </c>
      <c r="H1516">
        <v>2</v>
      </c>
      <c r="I1516">
        <v>811</v>
      </c>
      <c r="J1516">
        <v>2017</v>
      </c>
      <c r="K1516" s="4">
        <v>44899</v>
      </c>
      <c r="L1516" t="s">
        <v>30</v>
      </c>
      <c r="M1516" t="s">
        <v>78</v>
      </c>
      <c r="N1516">
        <v>3.21</v>
      </c>
      <c r="O1516">
        <v>1586</v>
      </c>
      <c r="P1516">
        <v>2.36</v>
      </c>
      <c r="Q1516">
        <v>208</v>
      </c>
      <c r="R1516">
        <v>341</v>
      </c>
    </row>
    <row r="1517" spans="1:18" hidden="1" x14ac:dyDescent="0.2">
      <c r="A1517">
        <v>3</v>
      </c>
      <c r="B1517" t="s">
        <v>83</v>
      </c>
      <c r="E1517" t="s">
        <v>29</v>
      </c>
      <c r="F1517">
        <v>2944823</v>
      </c>
      <c r="G1517">
        <v>4</v>
      </c>
      <c r="H1517">
        <v>1</v>
      </c>
      <c r="I1517">
        <v>123</v>
      </c>
      <c r="J1517">
        <v>2021</v>
      </c>
      <c r="K1517" s="4">
        <v>44872</v>
      </c>
      <c r="L1517" t="s">
        <v>26</v>
      </c>
      <c r="M1517" t="s">
        <v>89</v>
      </c>
      <c r="N1517">
        <v>1.78</v>
      </c>
      <c r="O1517">
        <v>1722</v>
      </c>
      <c r="P1517">
        <v>2.6</v>
      </c>
      <c r="Q1517">
        <v>201</v>
      </c>
      <c r="R1517">
        <v>424</v>
      </c>
    </row>
    <row r="1518" spans="1:18" hidden="1" x14ac:dyDescent="0.2">
      <c r="A1518">
        <v>9</v>
      </c>
      <c r="B1518" t="s">
        <v>84</v>
      </c>
      <c r="E1518" t="s">
        <v>36</v>
      </c>
      <c r="F1518">
        <v>1902153</v>
      </c>
      <c r="G1518">
        <v>1</v>
      </c>
      <c r="H1518">
        <v>3</v>
      </c>
      <c r="I1518">
        <v>589</v>
      </c>
      <c r="J1518">
        <v>1958</v>
      </c>
      <c r="K1518" s="4">
        <v>45497</v>
      </c>
      <c r="L1518" t="s">
        <v>20</v>
      </c>
      <c r="M1518" t="s">
        <v>66</v>
      </c>
      <c r="N1518">
        <v>1.79</v>
      </c>
      <c r="O1518">
        <v>1929</v>
      </c>
      <c r="P1518">
        <v>3.39</v>
      </c>
      <c r="Q1518">
        <v>82</v>
      </c>
      <c r="R1518">
        <v>311</v>
      </c>
    </row>
    <row r="1519" spans="1:18" hidden="1" x14ac:dyDescent="0.2">
      <c r="A1519">
        <v>0</v>
      </c>
      <c r="B1519" t="s">
        <v>95</v>
      </c>
      <c r="E1519" t="s">
        <v>29</v>
      </c>
      <c r="F1519">
        <v>646952</v>
      </c>
      <c r="G1519">
        <v>0</v>
      </c>
      <c r="H1519">
        <v>1</v>
      </c>
      <c r="I1519">
        <v>724</v>
      </c>
      <c r="J1519">
        <v>2009</v>
      </c>
      <c r="K1519" s="4">
        <v>44558</v>
      </c>
      <c r="L1519" t="s">
        <v>20</v>
      </c>
      <c r="M1519" t="s">
        <v>31</v>
      </c>
      <c r="N1519">
        <v>2.92</v>
      </c>
      <c r="O1519">
        <v>1231</v>
      </c>
      <c r="P1519">
        <v>3.73</v>
      </c>
      <c r="Q1519">
        <v>69</v>
      </c>
      <c r="R1519">
        <v>337</v>
      </c>
    </row>
    <row r="1520" spans="1:18" hidden="1" x14ac:dyDescent="0.2">
      <c r="A1520">
        <v>1</v>
      </c>
      <c r="B1520" t="s">
        <v>75</v>
      </c>
      <c r="E1520" t="s">
        <v>29</v>
      </c>
      <c r="F1520">
        <v>2391703</v>
      </c>
      <c r="G1520">
        <v>0</v>
      </c>
      <c r="H1520">
        <v>3</v>
      </c>
      <c r="I1520">
        <v>780</v>
      </c>
      <c r="J1520">
        <v>2000</v>
      </c>
      <c r="K1520" s="4">
        <v>44529</v>
      </c>
      <c r="L1520" t="s">
        <v>20</v>
      </c>
      <c r="M1520" t="s">
        <v>68</v>
      </c>
      <c r="N1520">
        <v>2.72</v>
      </c>
      <c r="O1520">
        <v>2440</v>
      </c>
      <c r="P1520">
        <v>2.85</v>
      </c>
      <c r="Q1520">
        <v>66</v>
      </c>
      <c r="R1520">
        <v>532</v>
      </c>
    </row>
    <row r="1521" spans="1:18" hidden="1" x14ac:dyDescent="0.2">
      <c r="A1521">
        <v>3</v>
      </c>
      <c r="B1521" t="s">
        <v>88</v>
      </c>
      <c r="E1521" t="s">
        <v>19</v>
      </c>
      <c r="F1521">
        <v>1521326</v>
      </c>
      <c r="G1521">
        <v>5</v>
      </c>
      <c r="H1521">
        <v>1</v>
      </c>
      <c r="I1521">
        <v>288</v>
      </c>
      <c r="J1521">
        <v>1990</v>
      </c>
      <c r="K1521" s="4">
        <v>44566</v>
      </c>
      <c r="L1521" t="s">
        <v>20</v>
      </c>
      <c r="M1521" t="s">
        <v>77</v>
      </c>
      <c r="N1521">
        <v>2.04</v>
      </c>
      <c r="O1521">
        <v>2458</v>
      </c>
      <c r="P1521">
        <v>4.54</v>
      </c>
      <c r="Q1521">
        <v>384</v>
      </c>
      <c r="R1521">
        <v>678</v>
      </c>
    </row>
    <row r="1522" spans="1:18" hidden="1" x14ac:dyDescent="0.2">
      <c r="A1522">
        <v>0</v>
      </c>
      <c r="B1522" t="s">
        <v>57</v>
      </c>
      <c r="E1522" t="s">
        <v>36</v>
      </c>
      <c r="F1522">
        <v>2554157</v>
      </c>
      <c r="G1522">
        <v>1</v>
      </c>
      <c r="H1522">
        <v>3</v>
      </c>
      <c r="I1522">
        <v>236</v>
      </c>
      <c r="J1522">
        <v>1990</v>
      </c>
      <c r="K1522" s="4">
        <v>44551</v>
      </c>
      <c r="L1522" t="s">
        <v>20</v>
      </c>
      <c r="M1522" t="s">
        <v>31</v>
      </c>
      <c r="N1522">
        <v>1.74</v>
      </c>
      <c r="O1522">
        <v>2145</v>
      </c>
      <c r="P1522">
        <v>2.04</v>
      </c>
      <c r="Q1522">
        <v>144</v>
      </c>
      <c r="R1522">
        <v>635</v>
      </c>
    </row>
    <row r="1523" spans="1:18" x14ac:dyDescent="0.2">
      <c r="A1523">
        <v>8</v>
      </c>
      <c r="B1523" t="s">
        <v>38</v>
      </c>
      <c r="E1523" t="s">
        <v>29</v>
      </c>
      <c r="F1523">
        <v>1473454</v>
      </c>
      <c r="G1523">
        <v>2</v>
      </c>
      <c r="H1523">
        <v>1</v>
      </c>
      <c r="I1523">
        <v>909</v>
      </c>
      <c r="J1523">
        <v>1953</v>
      </c>
      <c r="K1523" s="4">
        <v>44406</v>
      </c>
      <c r="L1523" t="s">
        <v>23</v>
      </c>
      <c r="M1523" t="s">
        <v>35</v>
      </c>
      <c r="N1523">
        <v>1.67</v>
      </c>
      <c r="O1523">
        <v>2058</v>
      </c>
      <c r="P1523">
        <v>1.2</v>
      </c>
      <c r="Q1523">
        <v>212</v>
      </c>
      <c r="R1523">
        <v>477</v>
      </c>
    </row>
    <row r="1524" spans="1:18" hidden="1" x14ac:dyDescent="0.2">
      <c r="A1524">
        <v>9</v>
      </c>
      <c r="B1524" t="s">
        <v>86</v>
      </c>
      <c r="E1524" t="s">
        <v>36</v>
      </c>
      <c r="F1524">
        <v>695432</v>
      </c>
      <c r="G1524">
        <v>4</v>
      </c>
      <c r="H1524">
        <v>2</v>
      </c>
      <c r="I1524">
        <v>257</v>
      </c>
      <c r="J1524">
        <v>2022</v>
      </c>
      <c r="K1524" s="4">
        <v>45827</v>
      </c>
      <c r="L1524" t="s">
        <v>23</v>
      </c>
      <c r="M1524" t="s">
        <v>33</v>
      </c>
      <c r="N1524">
        <v>2.57</v>
      </c>
      <c r="O1524">
        <v>1682</v>
      </c>
      <c r="P1524">
        <v>3.94</v>
      </c>
      <c r="Q1524">
        <v>218</v>
      </c>
      <c r="R1524">
        <v>614</v>
      </c>
    </row>
    <row r="1525" spans="1:18" hidden="1" x14ac:dyDescent="0.2">
      <c r="A1525">
        <v>2</v>
      </c>
      <c r="B1525" t="s">
        <v>50</v>
      </c>
      <c r="E1525" t="s">
        <v>29</v>
      </c>
      <c r="F1525">
        <v>940988</v>
      </c>
      <c r="G1525">
        <v>4</v>
      </c>
      <c r="H1525">
        <v>2</v>
      </c>
      <c r="I1525">
        <v>129</v>
      </c>
      <c r="J1525">
        <v>1950</v>
      </c>
      <c r="K1525" s="4">
        <v>44241</v>
      </c>
      <c r="L1525" t="s">
        <v>23</v>
      </c>
      <c r="M1525" t="s">
        <v>89</v>
      </c>
      <c r="N1525">
        <v>2.25</v>
      </c>
      <c r="O1525">
        <v>2422</v>
      </c>
      <c r="P1525">
        <v>4.55</v>
      </c>
      <c r="Q1525">
        <v>197</v>
      </c>
      <c r="R1525">
        <v>325</v>
      </c>
    </row>
    <row r="1526" spans="1:18" hidden="1" x14ac:dyDescent="0.2">
      <c r="A1526">
        <v>7</v>
      </c>
      <c r="B1526" t="s">
        <v>50</v>
      </c>
      <c r="E1526" t="s">
        <v>51</v>
      </c>
      <c r="F1526">
        <v>2364043</v>
      </c>
      <c r="G1526">
        <v>5</v>
      </c>
      <c r="H1526">
        <v>2</v>
      </c>
      <c r="I1526">
        <v>851</v>
      </c>
      <c r="J1526">
        <v>1953</v>
      </c>
      <c r="K1526" s="4">
        <v>44087</v>
      </c>
      <c r="L1526" t="s">
        <v>26</v>
      </c>
      <c r="M1526" t="s">
        <v>82</v>
      </c>
      <c r="N1526">
        <v>3.06</v>
      </c>
      <c r="O1526">
        <v>1042</v>
      </c>
      <c r="P1526">
        <v>0.3</v>
      </c>
      <c r="Q1526">
        <v>301</v>
      </c>
      <c r="R1526">
        <v>638</v>
      </c>
    </row>
    <row r="1527" spans="1:18" hidden="1" x14ac:dyDescent="0.2">
      <c r="A1527">
        <v>1</v>
      </c>
      <c r="B1527" t="s">
        <v>57</v>
      </c>
      <c r="E1527" t="s">
        <v>19</v>
      </c>
      <c r="F1527">
        <v>1410345</v>
      </c>
      <c r="G1527">
        <v>2</v>
      </c>
      <c r="H1527">
        <v>2</v>
      </c>
      <c r="I1527">
        <v>468</v>
      </c>
      <c r="J1527">
        <v>2002</v>
      </c>
      <c r="K1527" s="4">
        <v>45739</v>
      </c>
      <c r="L1527" t="s">
        <v>30</v>
      </c>
      <c r="M1527" t="s">
        <v>21</v>
      </c>
      <c r="N1527">
        <v>1.57</v>
      </c>
      <c r="O1527">
        <v>1830</v>
      </c>
      <c r="P1527">
        <v>4.0599999999999996</v>
      </c>
      <c r="Q1527">
        <v>134</v>
      </c>
      <c r="R1527">
        <v>322</v>
      </c>
    </row>
    <row r="1528" spans="1:18" hidden="1" x14ac:dyDescent="0.2">
      <c r="A1528">
        <v>5</v>
      </c>
      <c r="B1528" t="s">
        <v>86</v>
      </c>
      <c r="E1528" t="s">
        <v>36</v>
      </c>
      <c r="F1528">
        <v>490765</v>
      </c>
      <c r="G1528">
        <v>4</v>
      </c>
      <c r="H1528">
        <v>3</v>
      </c>
      <c r="I1528">
        <v>621</v>
      </c>
      <c r="J1528">
        <v>1976</v>
      </c>
      <c r="K1528" s="4">
        <v>45852</v>
      </c>
      <c r="L1528" t="s">
        <v>23</v>
      </c>
      <c r="M1528" t="s">
        <v>42</v>
      </c>
      <c r="N1528">
        <v>3.39</v>
      </c>
      <c r="O1528">
        <v>1968</v>
      </c>
      <c r="P1528">
        <v>4.8099999999999996</v>
      </c>
      <c r="Q1528">
        <v>356</v>
      </c>
      <c r="R1528">
        <v>565</v>
      </c>
    </row>
    <row r="1529" spans="1:18" hidden="1" x14ac:dyDescent="0.2">
      <c r="A1529">
        <v>6</v>
      </c>
      <c r="B1529" t="s">
        <v>91</v>
      </c>
      <c r="E1529" t="s">
        <v>51</v>
      </c>
      <c r="F1529">
        <v>939025</v>
      </c>
      <c r="G1529">
        <v>6</v>
      </c>
      <c r="H1529">
        <v>3</v>
      </c>
      <c r="I1529">
        <v>919</v>
      </c>
      <c r="J1529">
        <v>2021</v>
      </c>
      <c r="K1529" s="4">
        <v>45123</v>
      </c>
      <c r="L1529" t="s">
        <v>26</v>
      </c>
      <c r="M1529" t="s">
        <v>82</v>
      </c>
      <c r="N1529">
        <v>3.38</v>
      </c>
      <c r="O1529">
        <v>2476</v>
      </c>
      <c r="P1529">
        <v>3.36</v>
      </c>
      <c r="Q1529">
        <v>334</v>
      </c>
      <c r="R1529">
        <v>559</v>
      </c>
    </row>
    <row r="1530" spans="1:18" hidden="1" x14ac:dyDescent="0.2">
      <c r="A1530">
        <v>6</v>
      </c>
      <c r="B1530" t="s">
        <v>49</v>
      </c>
      <c r="E1530" t="s">
        <v>19</v>
      </c>
      <c r="F1530">
        <v>844972</v>
      </c>
      <c r="G1530">
        <v>6</v>
      </c>
      <c r="H1530">
        <v>3</v>
      </c>
      <c r="I1530">
        <v>822</v>
      </c>
      <c r="J1530">
        <v>2015</v>
      </c>
      <c r="K1530" s="4">
        <v>44936</v>
      </c>
      <c r="L1530" t="s">
        <v>23</v>
      </c>
      <c r="M1530" t="s">
        <v>59</v>
      </c>
      <c r="N1530">
        <v>3.27</v>
      </c>
      <c r="O1530">
        <v>2117</v>
      </c>
      <c r="P1530">
        <v>0.42</v>
      </c>
      <c r="Q1530">
        <v>336</v>
      </c>
      <c r="R1530">
        <v>490</v>
      </c>
    </row>
    <row r="1531" spans="1:18" hidden="1" x14ac:dyDescent="0.2">
      <c r="A1531">
        <v>4</v>
      </c>
      <c r="B1531" t="s">
        <v>106</v>
      </c>
      <c r="E1531" t="s">
        <v>19</v>
      </c>
      <c r="F1531">
        <v>2289955</v>
      </c>
      <c r="G1531">
        <v>2</v>
      </c>
      <c r="H1531">
        <v>1</v>
      </c>
      <c r="I1531">
        <v>596</v>
      </c>
      <c r="J1531">
        <v>1950</v>
      </c>
      <c r="K1531" s="4">
        <v>45383</v>
      </c>
      <c r="L1531" t="s">
        <v>20</v>
      </c>
      <c r="M1531" t="s">
        <v>33</v>
      </c>
      <c r="N1531">
        <v>1.78</v>
      </c>
      <c r="O1531">
        <v>1709</v>
      </c>
      <c r="P1531">
        <v>3.26</v>
      </c>
      <c r="Q1531">
        <v>44</v>
      </c>
      <c r="R1531">
        <v>485</v>
      </c>
    </row>
    <row r="1532" spans="1:18" x14ac:dyDescent="0.2">
      <c r="A1532">
        <v>8</v>
      </c>
      <c r="B1532" t="s">
        <v>106</v>
      </c>
      <c r="E1532" t="s">
        <v>19</v>
      </c>
      <c r="F1532">
        <v>2260335</v>
      </c>
      <c r="G1532">
        <v>3</v>
      </c>
      <c r="H1532">
        <v>1</v>
      </c>
      <c r="I1532">
        <v>601</v>
      </c>
      <c r="J1532">
        <v>1969</v>
      </c>
      <c r="K1532" s="4">
        <v>44511</v>
      </c>
      <c r="L1532" t="s">
        <v>20</v>
      </c>
      <c r="M1532" t="s">
        <v>82</v>
      </c>
      <c r="N1532">
        <v>2.77</v>
      </c>
      <c r="O1532">
        <v>1835</v>
      </c>
      <c r="P1532">
        <v>4.08</v>
      </c>
      <c r="Q1532">
        <v>155</v>
      </c>
      <c r="R1532">
        <v>321</v>
      </c>
    </row>
    <row r="1533" spans="1:18" hidden="1" x14ac:dyDescent="0.2">
      <c r="A1533">
        <v>2</v>
      </c>
      <c r="B1533" t="s">
        <v>41</v>
      </c>
      <c r="E1533" t="s">
        <v>36</v>
      </c>
      <c r="F1533">
        <v>1720693</v>
      </c>
      <c r="G1533">
        <v>2</v>
      </c>
      <c r="H1533">
        <v>1</v>
      </c>
      <c r="I1533">
        <v>202</v>
      </c>
      <c r="J1533">
        <v>1960</v>
      </c>
      <c r="K1533" s="4">
        <v>45606</v>
      </c>
      <c r="L1533" t="s">
        <v>23</v>
      </c>
      <c r="M1533" t="s">
        <v>56</v>
      </c>
      <c r="N1533">
        <v>1.89</v>
      </c>
      <c r="O1533">
        <v>1786</v>
      </c>
      <c r="P1533">
        <v>3.55</v>
      </c>
      <c r="Q1533">
        <v>156</v>
      </c>
      <c r="R1533">
        <v>331</v>
      </c>
    </row>
    <row r="1534" spans="1:18" x14ac:dyDescent="0.2">
      <c r="A1534">
        <v>8</v>
      </c>
      <c r="B1534" t="s">
        <v>49</v>
      </c>
      <c r="E1534" t="s">
        <v>51</v>
      </c>
      <c r="F1534">
        <v>1369360</v>
      </c>
      <c r="G1534">
        <v>3</v>
      </c>
      <c r="H1534">
        <v>2</v>
      </c>
      <c r="I1534">
        <v>56</v>
      </c>
      <c r="J1534">
        <v>2016</v>
      </c>
      <c r="K1534" s="4">
        <v>45482</v>
      </c>
      <c r="L1534" t="s">
        <v>20</v>
      </c>
      <c r="M1534" t="s">
        <v>24</v>
      </c>
      <c r="N1534">
        <v>1.72</v>
      </c>
      <c r="O1534">
        <v>1481</v>
      </c>
      <c r="P1534">
        <v>2.67</v>
      </c>
      <c r="Q1534">
        <v>227</v>
      </c>
      <c r="R1534">
        <v>564</v>
      </c>
    </row>
    <row r="1535" spans="1:18" hidden="1" x14ac:dyDescent="0.2">
      <c r="A1535">
        <v>9</v>
      </c>
      <c r="B1535" t="s">
        <v>75</v>
      </c>
      <c r="E1535" t="s">
        <v>29</v>
      </c>
      <c r="F1535">
        <v>1548610</v>
      </c>
      <c r="G1535">
        <v>0</v>
      </c>
      <c r="H1535">
        <v>1</v>
      </c>
      <c r="I1535">
        <v>793</v>
      </c>
      <c r="J1535">
        <v>1957</v>
      </c>
      <c r="K1535" s="4">
        <v>45817</v>
      </c>
      <c r="L1535" t="s">
        <v>20</v>
      </c>
      <c r="M1535" t="s">
        <v>31</v>
      </c>
      <c r="N1535">
        <v>2.69</v>
      </c>
      <c r="O1535">
        <v>2038</v>
      </c>
      <c r="P1535">
        <v>2.58</v>
      </c>
      <c r="Q1535">
        <v>50</v>
      </c>
      <c r="R1535">
        <v>432</v>
      </c>
    </row>
    <row r="1536" spans="1:18" hidden="1" x14ac:dyDescent="0.2">
      <c r="A1536">
        <v>5</v>
      </c>
      <c r="B1536" t="s">
        <v>48</v>
      </c>
      <c r="E1536" t="s">
        <v>19</v>
      </c>
      <c r="F1536">
        <v>1930993</v>
      </c>
      <c r="G1536">
        <v>5</v>
      </c>
      <c r="H1536">
        <v>3</v>
      </c>
      <c r="I1536">
        <v>464</v>
      </c>
      <c r="J1536">
        <v>1999</v>
      </c>
      <c r="K1536" s="4">
        <v>44601</v>
      </c>
      <c r="L1536" t="s">
        <v>20</v>
      </c>
      <c r="M1536" t="s">
        <v>58</v>
      </c>
      <c r="N1536">
        <v>2.85</v>
      </c>
      <c r="O1536">
        <v>1145</v>
      </c>
      <c r="P1536">
        <v>4.66</v>
      </c>
      <c r="Q1536">
        <v>396</v>
      </c>
      <c r="R1536">
        <v>623</v>
      </c>
    </row>
    <row r="1537" spans="1:18" x14ac:dyDescent="0.2">
      <c r="A1537">
        <v>8</v>
      </c>
      <c r="B1537" t="s">
        <v>98</v>
      </c>
      <c r="E1537" t="s">
        <v>36</v>
      </c>
      <c r="F1537">
        <v>738346</v>
      </c>
      <c r="G1537">
        <v>2</v>
      </c>
      <c r="H1537">
        <v>2</v>
      </c>
      <c r="I1537">
        <v>191</v>
      </c>
      <c r="J1537">
        <v>1953</v>
      </c>
      <c r="K1537" s="4">
        <v>45294</v>
      </c>
      <c r="L1537" t="s">
        <v>20</v>
      </c>
      <c r="M1537" t="s">
        <v>66</v>
      </c>
      <c r="N1537">
        <v>2.63</v>
      </c>
      <c r="O1537">
        <v>1606</v>
      </c>
      <c r="P1537">
        <v>2.13</v>
      </c>
      <c r="Q1537">
        <v>183</v>
      </c>
      <c r="R1537">
        <v>531</v>
      </c>
    </row>
    <row r="1538" spans="1:18" hidden="1" x14ac:dyDescent="0.2">
      <c r="A1538">
        <v>0</v>
      </c>
      <c r="B1538" t="s">
        <v>46</v>
      </c>
      <c r="E1538" t="s">
        <v>51</v>
      </c>
      <c r="F1538">
        <v>985162</v>
      </c>
      <c r="G1538">
        <v>5</v>
      </c>
      <c r="H1538">
        <v>1</v>
      </c>
      <c r="I1538">
        <v>341</v>
      </c>
      <c r="J1538">
        <v>2009</v>
      </c>
      <c r="K1538" s="4">
        <v>44313</v>
      </c>
      <c r="L1538" t="s">
        <v>20</v>
      </c>
      <c r="M1538" t="s">
        <v>47</v>
      </c>
      <c r="N1538">
        <v>3.09</v>
      </c>
      <c r="O1538">
        <v>842</v>
      </c>
      <c r="P1538">
        <v>4.53</v>
      </c>
      <c r="Q1538">
        <v>267</v>
      </c>
      <c r="R1538">
        <v>646</v>
      </c>
    </row>
    <row r="1539" spans="1:18" hidden="1" x14ac:dyDescent="0.2">
      <c r="A1539">
        <v>7</v>
      </c>
      <c r="B1539" t="s">
        <v>57</v>
      </c>
      <c r="E1539" t="s">
        <v>36</v>
      </c>
      <c r="F1539">
        <v>807845</v>
      </c>
      <c r="G1539">
        <v>5</v>
      </c>
      <c r="H1539">
        <v>2</v>
      </c>
      <c r="I1539">
        <v>876</v>
      </c>
      <c r="J1539">
        <v>2002</v>
      </c>
      <c r="K1539" s="4">
        <v>44951</v>
      </c>
      <c r="L1539" t="s">
        <v>30</v>
      </c>
      <c r="M1539" t="s">
        <v>47</v>
      </c>
      <c r="N1539">
        <v>3.44</v>
      </c>
      <c r="O1539">
        <v>1038</v>
      </c>
      <c r="P1539">
        <v>1.96</v>
      </c>
      <c r="Q1539">
        <v>274</v>
      </c>
      <c r="R1539">
        <v>348</v>
      </c>
    </row>
    <row r="1540" spans="1:18" hidden="1" x14ac:dyDescent="0.2">
      <c r="A1540">
        <v>9</v>
      </c>
      <c r="B1540" t="s">
        <v>102</v>
      </c>
      <c r="E1540" t="s">
        <v>29</v>
      </c>
      <c r="F1540">
        <v>2580302</v>
      </c>
      <c r="G1540">
        <v>3</v>
      </c>
      <c r="H1540">
        <v>2</v>
      </c>
      <c r="I1540">
        <v>394</v>
      </c>
      <c r="J1540">
        <v>1958</v>
      </c>
      <c r="K1540" s="4">
        <v>44857</v>
      </c>
      <c r="L1540" t="s">
        <v>30</v>
      </c>
      <c r="M1540" t="s">
        <v>52</v>
      </c>
      <c r="N1540">
        <v>2.0499999999999998</v>
      </c>
      <c r="O1540">
        <v>1807</v>
      </c>
      <c r="P1540">
        <v>4.33</v>
      </c>
      <c r="Q1540">
        <v>127</v>
      </c>
      <c r="R1540">
        <v>624</v>
      </c>
    </row>
    <row r="1541" spans="1:18" hidden="1" x14ac:dyDescent="0.2">
      <c r="A1541">
        <v>5</v>
      </c>
      <c r="B1541" t="s">
        <v>50</v>
      </c>
      <c r="E1541" t="s">
        <v>51</v>
      </c>
      <c r="F1541">
        <v>1115791</v>
      </c>
      <c r="G1541">
        <v>6</v>
      </c>
      <c r="H1541">
        <v>1</v>
      </c>
      <c r="I1541">
        <v>723</v>
      </c>
      <c r="J1541">
        <v>2003</v>
      </c>
      <c r="K1541" s="4">
        <v>45570</v>
      </c>
      <c r="L1541" t="s">
        <v>20</v>
      </c>
      <c r="M1541" t="s">
        <v>89</v>
      </c>
      <c r="N1541">
        <v>3.49</v>
      </c>
      <c r="O1541">
        <v>1556</v>
      </c>
      <c r="P1541">
        <v>0.73</v>
      </c>
      <c r="Q1541">
        <v>361</v>
      </c>
      <c r="R1541">
        <v>619</v>
      </c>
    </row>
    <row r="1542" spans="1:18" x14ac:dyDescent="0.2">
      <c r="A1542">
        <v>8</v>
      </c>
      <c r="B1542" t="s">
        <v>79</v>
      </c>
      <c r="E1542" t="s">
        <v>51</v>
      </c>
      <c r="F1542">
        <v>1158395</v>
      </c>
      <c r="G1542">
        <v>6</v>
      </c>
      <c r="H1542">
        <v>1</v>
      </c>
      <c r="I1542">
        <v>144</v>
      </c>
      <c r="J1542">
        <v>1994</v>
      </c>
      <c r="K1542" s="4">
        <v>44761</v>
      </c>
      <c r="L1542" t="s">
        <v>26</v>
      </c>
      <c r="M1542" t="s">
        <v>27</v>
      </c>
      <c r="N1542">
        <v>1.96</v>
      </c>
      <c r="O1542">
        <v>1226</v>
      </c>
      <c r="P1542">
        <v>1.4</v>
      </c>
      <c r="Q1542">
        <v>340</v>
      </c>
      <c r="R1542">
        <v>451</v>
      </c>
    </row>
    <row r="1543" spans="1:18" hidden="1" x14ac:dyDescent="0.2">
      <c r="A1543">
        <v>4</v>
      </c>
      <c r="B1543" t="s">
        <v>79</v>
      </c>
      <c r="E1543" t="s">
        <v>29</v>
      </c>
      <c r="F1543">
        <v>581577</v>
      </c>
      <c r="G1543">
        <v>3</v>
      </c>
      <c r="H1543">
        <v>3</v>
      </c>
      <c r="I1543">
        <v>521</v>
      </c>
      <c r="J1543">
        <v>1952</v>
      </c>
      <c r="K1543" s="4">
        <v>44439</v>
      </c>
      <c r="L1543" t="s">
        <v>20</v>
      </c>
      <c r="M1543" t="s">
        <v>31</v>
      </c>
      <c r="N1543">
        <v>3.01</v>
      </c>
      <c r="O1543">
        <v>2348</v>
      </c>
      <c r="P1543">
        <v>0.35</v>
      </c>
      <c r="Q1543">
        <v>258</v>
      </c>
      <c r="R1543">
        <v>417</v>
      </c>
    </row>
    <row r="1544" spans="1:18" hidden="1" x14ac:dyDescent="0.2">
      <c r="A1544">
        <v>0</v>
      </c>
      <c r="B1544" t="s">
        <v>38</v>
      </c>
      <c r="E1544" t="s">
        <v>36</v>
      </c>
      <c r="F1544">
        <v>420052</v>
      </c>
      <c r="G1544">
        <v>3</v>
      </c>
      <c r="H1544">
        <v>2</v>
      </c>
      <c r="I1544">
        <v>939</v>
      </c>
      <c r="J1544">
        <v>1958</v>
      </c>
      <c r="K1544" s="4">
        <v>45206</v>
      </c>
      <c r="L1544" t="s">
        <v>30</v>
      </c>
      <c r="M1544" t="s">
        <v>47</v>
      </c>
      <c r="N1544">
        <v>2.08</v>
      </c>
      <c r="O1544">
        <v>2413</v>
      </c>
      <c r="P1544">
        <v>3.49</v>
      </c>
      <c r="Q1544">
        <v>87</v>
      </c>
      <c r="R1544">
        <v>322</v>
      </c>
    </row>
    <row r="1545" spans="1:18" hidden="1" x14ac:dyDescent="0.2">
      <c r="A1545">
        <v>9</v>
      </c>
      <c r="B1545" t="s">
        <v>53</v>
      </c>
      <c r="E1545" t="s">
        <v>51</v>
      </c>
      <c r="F1545">
        <v>858798</v>
      </c>
      <c r="G1545">
        <v>2</v>
      </c>
      <c r="H1545">
        <v>2</v>
      </c>
      <c r="I1545">
        <v>572</v>
      </c>
      <c r="J1545">
        <v>1953</v>
      </c>
      <c r="K1545" s="4">
        <v>45411</v>
      </c>
      <c r="L1545" t="s">
        <v>23</v>
      </c>
      <c r="M1545" t="s">
        <v>68</v>
      </c>
      <c r="N1545">
        <v>1.87</v>
      </c>
      <c r="O1545">
        <v>939</v>
      </c>
      <c r="P1545">
        <v>2.77</v>
      </c>
      <c r="Q1545">
        <v>196</v>
      </c>
      <c r="R1545">
        <v>378</v>
      </c>
    </row>
    <row r="1546" spans="1:18" hidden="1" x14ac:dyDescent="0.2">
      <c r="A1546">
        <v>7</v>
      </c>
      <c r="B1546" t="s">
        <v>86</v>
      </c>
      <c r="E1546" t="s">
        <v>36</v>
      </c>
      <c r="F1546">
        <v>1031533</v>
      </c>
      <c r="G1546">
        <v>1</v>
      </c>
      <c r="H1546">
        <v>1</v>
      </c>
      <c r="I1546">
        <v>733</v>
      </c>
      <c r="J1546">
        <v>1968</v>
      </c>
      <c r="K1546" s="4">
        <v>44165</v>
      </c>
      <c r="L1546" t="s">
        <v>20</v>
      </c>
      <c r="M1546" t="s">
        <v>60</v>
      </c>
      <c r="N1546">
        <v>2.63</v>
      </c>
      <c r="O1546">
        <v>2045</v>
      </c>
      <c r="P1546">
        <v>1.44</v>
      </c>
      <c r="Q1546">
        <v>43</v>
      </c>
      <c r="R1546">
        <v>306</v>
      </c>
    </row>
    <row r="1547" spans="1:18" hidden="1" x14ac:dyDescent="0.2">
      <c r="A1547">
        <v>5</v>
      </c>
      <c r="B1547" t="s">
        <v>44</v>
      </c>
      <c r="E1547" t="s">
        <v>51</v>
      </c>
      <c r="F1547">
        <v>797792</v>
      </c>
      <c r="G1547">
        <v>4</v>
      </c>
      <c r="H1547">
        <v>2</v>
      </c>
      <c r="I1547">
        <v>831</v>
      </c>
      <c r="J1547">
        <v>1956</v>
      </c>
      <c r="K1547" s="4">
        <v>45561</v>
      </c>
      <c r="L1547" t="s">
        <v>26</v>
      </c>
      <c r="M1547" t="s">
        <v>37</v>
      </c>
      <c r="N1547">
        <v>2.46</v>
      </c>
      <c r="O1547">
        <v>1425</v>
      </c>
      <c r="P1547">
        <v>3.46</v>
      </c>
      <c r="Q1547">
        <v>218</v>
      </c>
      <c r="R1547">
        <v>498</v>
      </c>
    </row>
    <row r="1548" spans="1:18" hidden="1" x14ac:dyDescent="0.2">
      <c r="A1548">
        <v>1</v>
      </c>
      <c r="B1548" t="s">
        <v>50</v>
      </c>
      <c r="E1548" t="s">
        <v>36</v>
      </c>
      <c r="F1548">
        <v>2763955</v>
      </c>
      <c r="G1548">
        <v>3</v>
      </c>
      <c r="H1548">
        <v>3</v>
      </c>
      <c r="I1548">
        <v>569</v>
      </c>
      <c r="J1548">
        <v>2007</v>
      </c>
      <c r="K1548" s="4">
        <v>44229</v>
      </c>
      <c r="L1548" t="s">
        <v>30</v>
      </c>
      <c r="M1548" t="s">
        <v>54</v>
      </c>
      <c r="N1548">
        <v>2.78</v>
      </c>
      <c r="O1548">
        <v>1651</v>
      </c>
      <c r="P1548">
        <v>2.36</v>
      </c>
      <c r="Q1548">
        <v>291</v>
      </c>
      <c r="R1548">
        <v>537</v>
      </c>
    </row>
    <row r="1549" spans="1:18" hidden="1" x14ac:dyDescent="0.2">
      <c r="A1549">
        <v>2</v>
      </c>
      <c r="B1549" t="s">
        <v>104</v>
      </c>
      <c r="E1549" t="s">
        <v>19</v>
      </c>
      <c r="F1549">
        <v>1277885</v>
      </c>
      <c r="G1549">
        <v>4</v>
      </c>
      <c r="H1549">
        <v>1</v>
      </c>
      <c r="I1549">
        <v>894</v>
      </c>
      <c r="J1549">
        <v>2015</v>
      </c>
      <c r="K1549" s="4">
        <v>44658</v>
      </c>
      <c r="L1549" t="s">
        <v>23</v>
      </c>
      <c r="M1549" t="s">
        <v>59</v>
      </c>
      <c r="N1549">
        <v>3.02</v>
      </c>
      <c r="O1549">
        <v>1199</v>
      </c>
      <c r="P1549">
        <v>0.14000000000000001</v>
      </c>
      <c r="Q1549">
        <v>193</v>
      </c>
      <c r="R1549">
        <v>452</v>
      </c>
    </row>
    <row r="1550" spans="1:18" hidden="1" x14ac:dyDescent="0.2">
      <c r="A1550">
        <v>9</v>
      </c>
      <c r="B1550" t="s">
        <v>72</v>
      </c>
      <c r="E1550" t="s">
        <v>29</v>
      </c>
      <c r="F1550">
        <v>1848814</v>
      </c>
      <c r="G1550">
        <v>1</v>
      </c>
      <c r="H1550">
        <v>2</v>
      </c>
      <c r="I1550">
        <v>995</v>
      </c>
      <c r="J1550">
        <v>1957</v>
      </c>
      <c r="K1550" s="4">
        <v>44929</v>
      </c>
      <c r="L1550" t="s">
        <v>26</v>
      </c>
      <c r="M1550" t="s">
        <v>35</v>
      </c>
      <c r="N1550">
        <v>2.77</v>
      </c>
      <c r="O1550">
        <v>2385</v>
      </c>
      <c r="P1550">
        <v>0.49</v>
      </c>
      <c r="Q1550">
        <v>93</v>
      </c>
      <c r="R1550">
        <v>529</v>
      </c>
    </row>
    <row r="1551" spans="1:18" hidden="1" x14ac:dyDescent="0.2">
      <c r="A1551">
        <v>3</v>
      </c>
      <c r="B1551" t="s">
        <v>49</v>
      </c>
      <c r="E1551" t="s">
        <v>29</v>
      </c>
      <c r="F1551">
        <v>1495296</v>
      </c>
      <c r="G1551">
        <v>4</v>
      </c>
      <c r="H1551">
        <v>3</v>
      </c>
      <c r="I1551">
        <v>120</v>
      </c>
      <c r="J1551">
        <v>2022</v>
      </c>
      <c r="K1551" s="4">
        <v>45605</v>
      </c>
      <c r="L1551" t="s">
        <v>26</v>
      </c>
      <c r="M1551" t="s">
        <v>31</v>
      </c>
      <c r="N1551">
        <v>2.4500000000000002</v>
      </c>
      <c r="O1551">
        <v>1610</v>
      </c>
      <c r="P1551">
        <v>0.37</v>
      </c>
      <c r="Q1551">
        <v>334</v>
      </c>
      <c r="R1551">
        <v>555</v>
      </c>
    </row>
    <row r="1552" spans="1:18" x14ac:dyDescent="0.2">
      <c r="A1552">
        <v>8</v>
      </c>
      <c r="B1552" t="s">
        <v>43</v>
      </c>
      <c r="E1552" t="s">
        <v>29</v>
      </c>
      <c r="F1552">
        <v>413596</v>
      </c>
      <c r="G1552">
        <v>4</v>
      </c>
      <c r="H1552">
        <v>2</v>
      </c>
      <c r="I1552">
        <v>223</v>
      </c>
      <c r="J1552">
        <v>1974</v>
      </c>
      <c r="K1552" s="4">
        <v>44368</v>
      </c>
      <c r="L1552" t="s">
        <v>30</v>
      </c>
      <c r="M1552" t="s">
        <v>21</v>
      </c>
      <c r="N1552">
        <v>2.5</v>
      </c>
      <c r="O1552">
        <v>1192</v>
      </c>
      <c r="P1552">
        <v>2.5099999999999998</v>
      </c>
      <c r="Q1552">
        <v>308</v>
      </c>
      <c r="R1552">
        <v>409</v>
      </c>
    </row>
    <row r="1553" spans="1:18" hidden="1" x14ac:dyDescent="0.2">
      <c r="A1553">
        <v>0</v>
      </c>
      <c r="B1553" t="s">
        <v>83</v>
      </c>
      <c r="E1553" t="s">
        <v>29</v>
      </c>
      <c r="F1553">
        <v>569268</v>
      </c>
      <c r="G1553">
        <v>3</v>
      </c>
      <c r="H1553">
        <v>2</v>
      </c>
      <c r="I1553">
        <v>178</v>
      </c>
      <c r="J1553">
        <v>2004</v>
      </c>
      <c r="K1553" s="4">
        <v>44621</v>
      </c>
      <c r="L1553" t="s">
        <v>20</v>
      </c>
      <c r="M1553" t="s">
        <v>89</v>
      </c>
      <c r="N1553">
        <v>2.3199999999999998</v>
      </c>
      <c r="O1553">
        <v>1080</v>
      </c>
      <c r="P1553">
        <v>1.77</v>
      </c>
      <c r="Q1553">
        <v>137</v>
      </c>
      <c r="R1553">
        <v>507</v>
      </c>
    </row>
    <row r="1554" spans="1:18" x14ac:dyDescent="0.2">
      <c r="A1554">
        <v>8</v>
      </c>
      <c r="B1554" t="s">
        <v>95</v>
      </c>
      <c r="E1554" t="s">
        <v>36</v>
      </c>
      <c r="F1554">
        <v>1477525</v>
      </c>
      <c r="G1554">
        <v>4</v>
      </c>
      <c r="H1554">
        <v>1</v>
      </c>
      <c r="I1554">
        <v>771</v>
      </c>
      <c r="J1554">
        <v>2011</v>
      </c>
      <c r="K1554" s="4">
        <v>44286</v>
      </c>
      <c r="L1554" t="s">
        <v>23</v>
      </c>
      <c r="M1554" t="s">
        <v>89</v>
      </c>
      <c r="N1554">
        <v>1.82</v>
      </c>
      <c r="O1554">
        <v>1502</v>
      </c>
      <c r="P1554">
        <v>4.9000000000000004</v>
      </c>
      <c r="Q1554">
        <v>205</v>
      </c>
      <c r="R1554">
        <v>645</v>
      </c>
    </row>
    <row r="1555" spans="1:18" hidden="1" x14ac:dyDescent="0.2">
      <c r="A1555">
        <v>7</v>
      </c>
      <c r="B1555" t="s">
        <v>95</v>
      </c>
      <c r="E1555" t="s">
        <v>19</v>
      </c>
      <c r="F1555">
        <v>2176880</v>
      </c>
      <c r="G1555">
        <v>3</v>
      </c>
      <c r="H1555">
        <v>1</v>
      </c>
      <c r="I1555">
        <v>238</v>
      </c>
      <c r="J1555">
        <v>1998</v>
      </c>
      <c r="K1555" s="4">
        <v>45024</v>
      </c>
      <c r="L1555" t="s">
        <v>26</v>
      </c>
      <c r="M1555" t="s">
        <v>69</v>
      </c>
      <c r="N1555">
        <v>2.34</v>
      </c>
      <c r="O1555">
        <v>2101</v>
      </c>
      <c r="P1555">
        <v>2.65</v>
      </c>
      <c r="Q1555">
        <v>109</v>
      </c>
      <c r="R1555">
        <v>393</v>
      </c>
    </row>
    <row r="1556" spans="1:18" hidden="1" x14ac:dyDescent="0.2">
      <c r="A1556">
        <v>2</v>
      </c>
      <c r="B1556" t="s">
        <v>105</v>
      </c>
      <c r="E1556" t="s">
        <v>51</v>
      </c>
      <c r="F1556">
        <v>2975817</v>
      </c>
      <c r="G1556">
        <v>4</v>
      </c>
      <c r="H1556">
        <v>1</v>
      </c>
      <c r="I1556">
        <v>510</v>
      </c>
      <c r="J1556">
        <v>1999</v>
      </c>
      <c r="K1556" s="4">
        <v>44360</v>
      </c>
      <c r="L1556" t="s">
        <v>30</v>
      </c>
      <c r="M1556" t="s">
        <v>37</v>
      </c>
      <c r="N1556">
        <v>1.6</v>
      </c>
      <c r="O1556">
        <v>1151</v>
      </c>
      <c r="P1556">
        <v>2.58</v>
      </c>
      <c r="Q1556">
        <v>170</v>
      </c>
      <c r="R1556">
        <v>578</v>
      </c>
    </row>
    <row r="1557" spans="1:18" hidden="1" x14ac:dyDescent="0.2">
      <c r="A1557">
        <v>0</v>
      </c>
      <c r="B1557" t="s">
        <v>87</v>
      </c>
      <c r="E1557" t="s">
        <v>29</v>
      </c>
      <c r="F1557">
        <v>2033174</v>
      </c>
      <c r="G1557">
        <v>6</v>
      </c>
      <c r="H1557">
        <v>1</v>
      </c>
      <c r="I1557">
        <v>656</v>
      </c>
      <c r="J1557">
        <v>1986</v>
      </c>
      <c r="K1557" s="4">
        <v>44133</v>
      </c>
      <c r="L1557" t="s">
        <v>23</v>
      </c>
      <c r="M1557" t="s">
        <v>33</v>
      </c>
      <c r="N1557">
        <v>2.02</v>
      </c>
      <c r="O1557">
        <v>1679</v>
      </c>
      <c r="P1557">
        <v>2.61</v>
      </c>
      <c r="Q1557">
        <v>378</v>
      </c>
      <c r="R1557">
        <v>547</v>
      </c>
    </row>
    <row r="1558" spans="1:18" hidden="1" x14ac:dyDescent="0.2">
      <c r="A1558">
        <v>5</v>
      </c>
      <c r="B1558" t="s">
        <v>43</v>
      </c>
      <c r="E1558" t="s">
        <v>36</v>
      </c>
      <c r="F1558">
        <v>609020</v>
      </c>
      <c r="G1558">
        <v>4</v>
      </c>
      <c r="H1558">
        <v>2</v>
      </c>
      <c r="I1558">
        <v>488</v>
      </c>
      <c r="J1558">
        <v>1952</v>
      </c>
      <c r="K1558" s="4">
        <v>45682</v>
      </c>
      <c r="L1558" t="s">
        <v>30</v>
      </c>
      <c r="M1558" t="s">
        <v>33</v>
      </c>
      <c r="N1558">
        <v>2.86</v>
      </c>
      <c r="O1558">
        <v>1178</v>
      </c>
      <c r="P1558">
        <v>3.12</v>
      </c>
      <c r="Q1558">
        <v>182</v>
      </c>
      <c r="R1558">
        <v>572</v>
      </c>
    </row>
    <row r="1559" spans="1:18" hidden="1" x14ac:dyDescent="0.2">
      <c r="A1559">
        <v>6</v>
      </c>
      <c r="B1559" t="s">
        <v>48</v>
      </c>
      <c r="E1559" t="s">
        <v>36</v>
      </c>
      <c r="F1559">
        <v>2560014</v>
      </c>
      <c r="G1559">
        <v>5</v>
      </c>
      <c r="H1559">
        <v>1</v>
      </c>
      <c r="I1559">
        <v>211</v>
      </c>
      <c r="J1559">
        <v>1961</v>
      </c>
      <c r="K1559" s="4">
        <v>45612</v>
      </c>
      <c r="L1559" t="s">
        <v>26</v>
      </c>
      <c r="M1559" t="s">
        <v>85</v>
      </c>
      <c r="N1559">
        <v>1.68</v>
      </c>
      <c r="O1559">
        <v>1316</v>
      </c>
      <c r="P1559">
        <v>2.96</v>
      </c>
      <c r="Q1559">
        <v>352</v>
      </c>
      <c r="R1559">
        <v>335</v>
      </c>
    </row>
    <row r="1560" spans="1:18" hidden="1" x14ac:dyDescent="0.2">
      <c r="A1560">
        <v>1</v>
      </c>
      <c r="B1560" t="s">
        <v>62</v>
      </c>
      <c r="E1560" t="s">
        <v>19</v>
      </c>
      <c r="F1560">
        <v>789517</v>
      </c>
      <c r="G1560">
        <v>6</v>
      </c>
      <c r="H1560">
        <v>2</v>
      </c>
      <c r="I1560">
        <v>846</v>
      </c>
      <c r="J1560">
        <v>1982</v>
      </c>
      <c r="K1560" s="4">
        <v>45266</v>
      </c>
      <c r="L1560" t="s">
        <v>20</v>
      </c>
      <c r="M1560" t="s">
        <v>69</v>
      </c>
      <c r="N1560">
        <v>1.51</v>
      </c>
      <c r="O1560">
        <v>2145</v>
      </c>
      <c r="P1560">
        <v>3.93</v>
      </c>
      <c r="Q1560">
        <v>385</v>
      </c>
      <c r="R1560">
        <v>345</v>
      </c>
    </row>
    <row r="1561" spans="1:18" hidden="1" x14ac:dyDescent="0.2">
      <c r="A1561">
        <v>0</v>
      </c>
      <c r="B1561" t="s">
        <v>90</v>
      </c>
      <c r="E1561" t="s">
        <v>36</v>
      </c>
      <c r="F1561">
        <v>566920</v>
      </c>
      <c r="G1561">
        <v>5</v>
      </c>
      <c r="H1561">
        <v>1</v>
      </c>
      <c r="I1561">
        <v>680</v>
      </c>
      <c r="J1561">
        <v>1966</v>
      </c>
      <c r="K1561" s="4">
        <v>44166</v>
      </c>
      <c r="L1561" t="s">
        <v>20</v>
      </c>
      <c r="M1561" t="s">
        <v>37</v>
      </c>
      <c r="N1561">
        <v>2.2599999999999998</v>
      </c>
      <c r="O1561">
        <v>2258</v>
      </c>
      <c r="P1561">
        <v>1.55</v>
      </c>
      <c r="Q1561">
        <v>313</v>
      </c>
      <c r="R1561">
        <v>607</v>
      </c>
    </row>
    <row r="1562" spans="1:18" hidden="1" x14ac:dyDescent="0.2">
      <c r="A1562">
        <v>6</v>
      </c>
      <c r="B1562" t="s">
        <v>28</v>
      </c>
      <c r="E1562" t="s">
        <v>29</v>
      </c>
      <c r="F1562">
        <v>539127</v>
      </c>
      <c r="G1562">
        <v>2</v>
      </c>
      <c r="H1562">
        <v>2</v>
      </c>
      <c r="I1562">
        <v>252</v>
      </c>
      <c r="J1562">
        <v>1973</v>
      </c>
      <c r="K1562" s="4">
        <v>45408</v>
      </c>
      <c r="L1562" t="s">
        <v>23</v>
      </c>
      <c r="M1562" t="s">
        <v>78</v>
      </c>
      <c r="N1562">
        <v>2.2799999999999998</v>
      </c>
      <c r="O1562">
        <v>1194</v>
      </c>
      <c r="P1562">
        <v>4.43</v>
      </c>
      <c r="Q1562">
        <v>110</v>
      </c>
      <c r="R1562">
        <v>360</v>
      </c>
    </row>
    <row r="1563" spans="1:18" hidden="1" x14ac:dyDescent="0.2">
      <c r="A1563">
        <v>7</v>
      </c>
      <c r="B1563" t="s">
        <v>80</v>
      </c>
      <c r="E1563" t="s">
        <v>36</v>
      </c>
      <c r="F1563">
        <v>482230</v>
      </c>
      <c r="G1563">
        <v>0</v>
      </c>
      <c r="H1563">
        <v>3</v>
      </c>
      <c r="I1563">
        <v>770</v>
      </c>
      <c r="J1563">
        <v>2022</v>
      </c>
      <c r="K1563" s="4">
        <v>45132</v>
      </c>
      <c r="L1563" t="s">
        <v>20</v>
      </c>
      <c r="M1563" t="s">
        <v>74</v>
      </c>
      <c r="N1563">
        <v>1.99</v>
      </c>
      <c r="O1563">
        <v>2145</v>
      </c>
      <c r="P1563">
        <v>3.1</v>
      </c>
      <c r="Q1563">
        <v>62</v>
      </c>
      <c r="R1563">
        <v>535</v>
      </c>
    </row>
    <row r="1564" spans="1:18" hidden="1" x14ac:dyDescent="0.2">
      <c r="A1564">
        <v>2</v>
      </c>
      <c r="B1564" t="s">
        <v>84</v>
      </c>
      <c r="E1564" t="s">
        <v>29</v>
      </c>
      <c r="F1564">
        <v>1385811</v>
      </c>
      <c r="G1564">
        <v>2</v>
      </c>
      <c r="H1564">
        <v>1</v>
      </c>
      <c r="I1564">
        <v>415</v>
      </c>
      <c r="J1564">
        <v>1988</v>
      </c>
      <c r="K1564" s="4">
        <v>44525</v>
      </c>
      <c r="L1564" t="s">
        <v>30</v>
      </c>
      <c r="M1564" t="s">
        <v>40</v>
      </c>
      <c r="N1564">
        <v>3.31</v>
      </c>
      <c r="O1564">
        <v>966</v>
      </c>
      <c r="P1564">
        <v>3.55</v>
      </c>
      <c r="Q1564">
        <v>236</v>
      </c>
      <c r="R1564">
        <v>437</v>
      </c>
    </row>
    <row r="1565" spans="1:18" x14ac:dyDescent="0.2">
      <c r="A1565">
        <v>8</v>
      </c>
      <c r="B1565" t="s">
        <v>43</v>
      </c>
      <c r="E1565" t="s">
        <v>36</v>
      </c>
      <c r="F1565">
        <v>2187034</v>
      </c>
      <c r="G1565">
        <v>2</v>
      </c>
      <c r="H1565">
        <v>1</v>
      </c>
      <c r="I1565">
        <v>703</v>
      </c>
      <c r="J1565">
        <v>1965</v>
      </c>
      <c r="K1565" s="4">
        <v>44526</v>
      </c>
      <c r="L1565" t="s">
        <v>23</v>
      </c>
      <c r="M1565" t="s">
        <v>31</v>
      </c>
      <c r="N1565">
        <v>2.5499999999999998</v>
      </c>
      <c r="O1565">
        <v>1042</v>
      </c>
      <c r="P1565">
        <v>0.55000000000000004</v>
      </c>
      <c r="Q1565">
        <v>235</v>
      </c>
      <c r="R1565">
        <v>463</v>
      </c>
    </row>
    <row r="1566" spans="1:18" hidden="1" x14ac:dyDescent="0.2">
      <c r="A1566">
        <v>2</v>
      </c>
      <c r="B1566" t="s">
        <v>105</v>
      </c>
      <c r="E1566" t="s">
        <v>36</v>
      </c>
      <c r="F1566">
        <v>1394981</v>
      </c>
      <c r="G1566">
        <v>4</v>
      </c>
      <c r="H1566">
        <v>3</v>
      </c>
      <c r="I1566">
        <v>948</v>
      </c>
      <c r="J1566">
        <v>1977</v>
      </c>
      <c r="K1566" s="4">
        <v>45515</v>
      </c>
      <c r="L1566" t="s">
        <v>20</v>
      </c>
      <c r="M1566" t="s">
        <v>89</v>
      </c>
      <c r="N1566">
        <v>3.32</v>
      </c>
      <c r="O1566">
        <v>834</v>
      </c>
      <c r="P1566">
        <v>3.88</v>
      </c>
      <c r="Q1566">
        <v>219</v>
      </c>
      <c r="R1566">
        <v>346</v>
      </c>
    </row>
    <row r="1567" spans="1:18" x14ac:dyDescent="0.2">
      <c r="A1567">
        <v>8</v>
      </c>
      <c r="B1567" t="s">
        <v>93</v>
      </c>
      <c r="E1567" t="s">
        <v>29</v>
      </c>
      <c r="F1567">
        <v>2432390</v>
      </c>
      <c r="G1567">
        <v>5</v>
      </c>
      <c r="H1567">
        <v>1</v>
      </c>
      <c r="I1567">
        <v>781</v>
      </c>
      <c r="J1567">
        <v>2012</v>
      </c>
      <c r="K1567" s="4">
        <v>45886</v>
      </c>
      <c r="L1567" t="s">
        <v>30</v>
      </c>
      <c r="M1567" t="s">
        <v>24</v>
      </c>
      <c r="N1567">
        <v>3.45</v>
      </c>
      <c r="O1567">
        <v>1069</v>
      </c>
      <c r="P1567">
        <v>0.87</v>
      </c>
      <c r="Q1567">
        <v>336</v>
      </c>
      <c r="R1567">
        <v>335</v>
      </c>
    </row>
    <row r="1568" spans="1:18" hidden="1" x14ac:dyDescent="0.2">
      <c r="A1568">
        <v>7</v>
      </c>
      <c r="B1568" t="s">
        <v>39</v>
      </c>
      <c r="E1568" t="s">
        <v>29</v>
      </c>
      <c r="F1568">
        <v>2881669</v>
      </c>
      <c r="G1568">
        <v>6</v>
      </c>
      <c r="H1568">
        <v>1</v>
      </c>
      <c r="I1568">
        <v>831</v>
      </c>
      <c r="J1568">
        <v>1981</v>
      </c>
      <c r="K1568" s="4">
        <v>44598</v>
      </c>
      <c r="L1568" t="s">
        <v>23</v>
      </c>
      <c r="M1568" t="s">
        <v>82</v>
      </c>
      <c r="N1568">
        <v>3.1</v>
      </c>
      <c r="O1568">
        <v>1786</v>
      </c>
      <c r="P1568">
        <v>0.43</v>
      </c>
      <c r="Q1568">
        <v>368</v>
      </c>
      <c r="R1568">
        <v>639</v>
      </c>
    </row>
    <row r="1569" spans="1:18" hidden="1" x14ac:dyDescent="0.2">
      <c r="A1569">
        <v>5</v>
      </c>
      <c r="B1569" t="s">
        <v>72</v>
      </c>
      <c r="E1569" t="s">
        <v>51</v>
      </c>
      <c r="F1569">
        <v>2558044</v>
      </c>
      <c r="G1569">
        <v>2</v>
      </c>
      <c r="H1569">
        <v>2</v>
      </c>
      <c r="I1569">
        <v>185</v>
      </c>
      <c r="J1569">
        <v>1967</v>
      </c>
      <c r="K1569" s="4">
        <v>45133</v>
      </c>
      <c r="L1569" t="s">
        <v>26</v>
      </c>
      <c r="M1569" t="s">
        <v>60</v>
      </c>
      <c r="N1569">
        <v>3.22</v>
      </c>
      <c r="O1569">
        <v>1367</v>
      </c>
      <c r="P1569">
        <v>1.87</v>
      </c>
      <c r="Q1569">
        <v>145</v>
      </c>
      <c r="R1569">
        <v>415</v>
      </c>
    </row>
    <row r="1570" spans="1:18" hidden="1" x14ac:dyDescent="0.2">
      <c r="A1570">
        <v>3</v>
      </c>
      <c r="B1570" t="s">
        <v>25</v>
      </c>
      <c r="E1570" t="s">
        <v>36</v>
      </c>
      <c r="F1570">
        <v>2295703</v>
      </c>
      <c r="G1570">
        <v>5</v>
      </c>
      <c r="H1570">
        <v>3</v>
      </c>
      <c r="I1570">
        <v>498</v>
      </c>
      <c r="J1570">
        <v>1971</v>
      </c>
      <c r="K1570" s="4">
        <v>44202</v>
      </c>
      <c r="L1570" t="s">
        <v>20</v>
      </c>
      <c r="M1570" t="s">
        <v>47</v>
      </c>
      <c r="N1570">
        <v>1.69</v>
      </c>
      <c r="O1570">
        <v>1030</v>
      </c>
      <c r="P1570">
        <v>3.67</v>
      </c>
      <c r="Q1570">
        <v>258</v>
      </c>
      <c r="R1570">
        <v>502</v>
      </c>
    </row>
    <row r="1571" spans="1:18" x14ac:dyDescent="0.2">
      <c r="A1571">
        <v>8</v>
      </c>
      <c r="B1571" t="s">
        <v>38</v>
      </c>
      <c r="E1571" t="s">
        <v>19</v>
      </c>
      <c r="F1571">
        <v>1041941</v>
      </c>
      <c r="G1571">
        <v>0</v>
      </c>
      <c r="H1571">
        <v>3</v>
      </c>
      <c r="I1571">
        <v>459</v>
      </c>
      <c r="J1571">
        <v>2006</v>
      </c>
      <c r="K1571" s="4">
        <v>45093</v>
      </c>
      <c r="L1571" t="s">
        <v>20</v>
      </c>
      <c r="M1571" t="s">
        <v>66</v>
      </c>
      <c r="N1571">
        <v>2.34</v>
      </c>
      <c r="O1571">
        <v>853</v>
      </c>
      <c r="P1571">
        <v>2.83</v>
      </c>
      <c r="Q1571">
        <v>66</v>
      </c>
      <c r="R1571">
        <v>594</v>
      </c>
    </row>
    <row r="1572" spans="1:18" hidden="1" x14ac:dyDescent="0.2">
      <c r="A1572">
        <v>6</v>
      </c>
      <c r="B1572" t="s">
        <v>81</v>
      </c>
      <c r="E1572" t="s">
        <v>19</v>
      </c>
      <c r="F1572">
        <v>2551388</v>
      </c>
      <c r="G1572">
        <v>3</v>
      </c>
      <c r="H1572">
        <v>2</v>
      </c>
      <c r="I1572">
        <v>970</v>
      </c>
      <c r="J1572">
        <v>1958</v>
      </c>
      <c r="K1572" s="4">
        <v>44887</v>
      </c>
      <c r="L1572" t="s">
        <v>20</v>
      </c>
      <c r="M1572" t="s">
        <v>69</v>
      </c>
      <c r="N1572">
        <v>2.97</v>
      </c>
      <c r="O1572">
        <v>2011</v>
      </c>
      <c r="P1572">
        <v>4.59</v>
      </c>
      <c r="Q1572">
        <v>132</v>
      </c>
      <c r="R1572">
        <v>369</v>
      </c>
    </row>
    <row r="1573" spans="1:18" hidden="1" x14ac:dyDescent="0.2">
      <c r="A1573">
        <v>9</v>
      </c>
      <c r="B1573" t="s">
        <v>96</v>
      </c>
      <c r="E1573" t="s">
        <v>29</v>
      </c>
      <c r="F1573">
        <v>633599</v>
      </c>
      <c r="G1573">
        <v>3</v>
      </c>
      <c r="H1573">
        <v>1</v>
      </c>
      <c r="I1573">
        <v>447</v>
      </c>
      <c r="J1573">
        <v>1981</v>
      </c>
      <c r="K1573" s="4">
        <v>44917</v>
      </c>
      <c r="L1573" t="s">
        <v>20</v>
      </c>
      <c r="M1573" t="s">
        <v>66</v>
      </c>
      <c r="N1573">
        <v>1.56</v>
      </c>
      <c r="O1573">
        <v>1464</v>
      </c>
      <c r="P1573">
        <v>2.17</v>
      </c>
      <c r="Q1573">
        <v>306</v>
      </c>
      <c r="R1573">
        <v>599</v>
      </c>
    </row>
    <row r="1574" spans="1:18" hidden="1" x14ac:dyDescent="0.2">
      <c r="A1574">
        <v>3</v>
      </c>
      <c r="B1574" t="s">
        <v>61</v>
      </c>
      <c r="E1574" t="s">
        <v>29</v>
      </c>
      <c r="F1574">
        <v>1347656</v>
      </c>
      <c r="G1574">
        <v>1</v>
      </c>
      <c r="H1574">
        <v>2</v>
      </c>
      <c r="I1574">
        <v>156</v>
      </c>
      <c r="J1574">
        <v>2002</v>
      </c>
      <c r="K1574" s="4">
        <v>44648</v>
      </c>
      <c r="L1574" t="s">
        <v>30</v>
      </c>
      <c r="M1574" t="s">
        <v>68</v>
      </c>
      <c r="N1574">
        <v>3.47</v>
      </c>
      <c r="O1574">
        <v>2096</v>
      </c>
      <c r="P1574">
        <v>2.92</v>
      </c>
      <c r="Q1574">
        <v>135</v>
      </c>
      <c r="R1574">
        <v>321</v>
      </c>
    </row>
    <row r="1575" spans="1:18" hidden="1" x14ac:dyDescent="0.2">
      <c r="A1575">
        <v>9</v>
      </c>
      <c r="B1575" t="s">
        <v>32</v>
      </c>
      <c r="E1575" t="s">
        <v>51</v>
      </c>
      <c r="F1575">
        <v>1350104</v>
      </c>
      <c r="G1575">
        <v>2</v>
      </c>
      <c r="H1575">
        <v>2</v>
      </c>
      <c r="I1575">
        <v>688</v>
      </c>
      <c r="J1575">
        <v>1990</v>
      </c>
      <c r="K1575" s="4">
        <v>45233</v>
      </c>
      <c r="L1575" t="s">
        <v>26</v>
      </c>
      <c r="M1575" t="s">
        <v>31</v>
      </c>
      <c r="N1575">
        <v>2.93</v>
      </c>
      <c r="O1575">
        <v>1841</v>
      </c>
      <c r="P1575">
        <v>4.2300000000000004</v>
      </c>
      <c r="Q1575">
        <v>238</v>
      </c>
      <c r="R1575">
        <v>458</v>
      </c>
    </row>
    <row r="1576" spans="1:18" hidden="1" x14ac:dyDescent="0.2">
      <c r="A1576">
        <v>3</v>
      </c>
      <c r="B1576" t="s">
        <v>73</v>
      </c>
      <c r="E1576" t="s">
        <v>51</v>
      </c>
      <c r="F1576">
        <v>2689408</v>
      </c>
      <c r="G1576">
        <v>4</v>
      </c>
      <c r="H1576">
        <v>2</v>
      </c>
      <c r="I1576">
        <v>247</v>
      </c>
      <c r="J1576">
        <v>1996</v>
      </c>
      <c r="K1576" s="4">
        <v>44550</v>
      </c>
      <c r="L1576" t="s">
        <v>20</v>
      </c>
      <c r="M1576" t="s">
        <v>56</v>
      </c>
      <c r="N1576">
        <v>2.14</v>
      </c>
      <c r="O1576">
        <v>1635</v>
      </c>
      <c r="P1576">
        <v>2.27</v>
      </c>
      <c r="Q1576">
        <v>235</v>
      </c>
      <c r="R1576">
        <v>392</v>
      </c>
    </row>
    <row r="1577" spans="1:18" hidden="1" x14ac:dyDescent="0.2">
      <c r="A1577">
        <v>4</v>
      </c>
      <c r="B1577" t="s">
        <v>46</v>
      </c>
      <c r="E1577" t="s">
        <v>36</v>
      </c>
      <c r="F1577">
        <v>2049505</v>
      </c>
      <c r="G1577">
        <v>0</v>
      </c>
      <c r="H1577">
        <v>1</v>
      </c>
      <c r="I1577">
        <v>483</v>
      </c>
      <c r="J1577">
        <v>2022</v>
      </c>
      <c r="K1577" s="4">
        <v>44824</v>
      </c>
      <c r="L1577" t="s">
        <v>23</v>
      </c>
      <c r="M1577" t="s">
        <v>97</v>
      </c>
      <c r="N1577">
        <v>2.56</v>
      </c>
      <c r="O1577">
        <v>2329</v>
      </c>
      <c r="P1577">
        <v>3.91</v>
      </c>
      <c r="Q1577">
        <v>61</v>
      </c>
      <c r="R1577">
        <v>650</v>
      </c>
    </row>
    <row r="1578" spans="1:18" hidden="1" x14ac:dyDescent="0.2">
      <c r="A1578">
        <v>5</v>
      </c>
      <c r="B1578" t="s">
        <v>106</v>
      </c>
      <c r="E1578" t="s">
        <v>19</v>
      </c>
      <c r="F1578">
        <v>2006805</v>
      </c>
      <c r="G1578">
        <v>2</v>
      </c>
      <c r="H1578">
        <v>2</v>
      </c>
      <c r="I1578">
        <v>651</v>
      </c>
      <c r="J1578">
        <v>1955</v>
      </c>
      <c r="K1578" s="4">
        <v>44313</v>
      </c>
      <c r="L1578" t="s">
        <v>30</v>
      </c>
      <c r="M1578" t="s">
        <v>54</v>
      </c>
      <c r="N1578">
        <v>2.54</v>
      </c>
      <c r="O1578">
        <v>2464</v>
      </c>
      <c r="P1578">
        <v>2.35</v>
      </c>
      <c r="Q1578">
        <v>197</v>
      </c>
      <c r="R1578">
        <v>341</v>
      </c>
    </row>
    <row r="1579" spans="1:18" x14ac:dyDescent="0.2">
      <c r="A1579">
        <v>8</v>
      </c>
      <c r="B1579" t="s">
        <v>44</v>
      </c>
      <c r="E1579" t="s">
        <v>51</v>
      </c>
      <c r="F1579">
        <v>2121859</v>
      </c>
      <c r="G1579">
        <v>5</v>
      </c>
      <c r="H1579">
        <v>3</v>
      </c>
      <c r="I1579">
        <v>530</v>
      </c>
      <c r="J1579">
        <v>1961</v>
      </c>
      <c r="K1579" s="4">
        <v>45681</v>
      </c>
      <c r="L1579" t="s">
        <v>23</v>
      </c>
      <c r="M1579" t="s">
        <v>77</v>
      </c>
      <c r="N1579">
        <v>2.04</v>
      </c>
      <c r="O1579">
        <v>2238</v>
      </c>
      <c r="P1579">
        <v>2.71</v>
      </c>
      <c r="Q1579">
        <v>394</v>
      </c>
      <c r="R1579">
        <v>370</v>
      </c>
    </row>
    <row r="1580" spans="1:18" hidden="1" x14ac:dyDescent="0.2">
      <c r="A1580">
        <v>2</v>
      </c>
      <c r="B1580" t="s">
        <v>87</v>
      </c>
      <c r="E1580" t="s">
        <v>36</v>
      </c>
      <c r="F1580">
        <v>2288835</v>
      </c>
      <c r="G1580">
        <v>1</v>
      </c>
      <c r="H1580">
        <v>1</v>
      </c>
      <c r="I1580">
        <v>842</v>
      </c>
      <c r="J1580">
        <v>2005</v>
      </c>
      <c r="K1580" s="4">
        <v>44534</v>
      </c>
      <c r="L1580" t="s">
        <v>23</v>
      </c>
      <c r="M1580" t="s">
        <v>78</v>
      </c>
      <c r="N1580">
        <v>2.57</v>
      </c>
      <c r="O1580">
        <v>1300</v>
      </c>
      <c r="P1580">
        <v>3.57</v>
      </c>
      <c r="Q1580">
        <v>56</v>
      </c>
      <c r="R1580">
        <v>511</v>
      </c>
    </row>
    <row r="1581" spans="1:18" hidden="1" x14ac:dyDescent="0.2">
      <c r="A1581">
        <v>6</v>
      </c>
      <c r="B1581" t="s">
        <v>34</v>
      </c>
      <c r="E1581" t="s">
        <v>19</v>
      </c>
      <c r="F1581">
        <v>2962904</v>
      </c>
      <c r="G1581">
        <v>-2</v>
      </c>
      <c r="H1581">
        <v>2</v>
      </c>
      <c r="I1581">
        <v>880</v>
      </c>
      <c r="J1581">
        <v>1958</v>
      </c>
      <c r="K1581" s="4">
        <v>44334</v>
      </c>
      <c r="L1581" t="s">
        <v>30</v>
      </c>
      <c r="M1581" t="s">
        <v>27</v>
      </c>
      <c r="N1581">
        <v>2.27</v>
      </c>
      <c r="O1581">
        <v>1021</v>
      </c>
      <c r="P1581">
        <v>0.23</v>
      </c>
      <c r="Q1581">
        <v>101</v>
      </c>
      <c r="R1581">
        <v>595</v>
      </c>
    </row>
    <row r="1582" spans="1:18" hidden="1" x14ac:dyDescent="0.2">
      <c r="A1582">
        <v>4</v>
      </c>
      <c r="B1582" t="s">
        <v>100</v>
      </c>
      <c r="E1582" t="s">
        <v>36</v>
      </c>
      <c r="F1582">
        <v>2407365</v>
      </c>
      <c r="G1582">
        <v>5</v>
      </c>
      <c r="H1582">
        <v>3</v>
      </c>
      <c r="I1582">
        <v>110</v>
      </c>
      <c r="J1582">
        <v>1974</v>
      </c>
      <c r="K1582" s="4">
        <v>45214</v>
      </c>
      <c r="L1582" t="s">
        <v>20</v>
      </c>
      <c r="M1582" t="s">
        <v>24</v>
      </c>
      <c r="N1582">
        <v>2.44</v>
      </c>
      <c r="O1582">
        <v>1902</v>
      </c>
      <c r="P1582">
        <v>2.0299999999999998</v>
      </c>
      <c r="Q1582">
        <v>341</v>
      </c>
      <c r="R1582">
        <v>497</v>
      </c>
    </row>
    <row r="1583" spans="1:18" hidden="1" x14ac:dyDescent="0.2">
      <c r="A1583">
        <v>1</v>
      </c>
      <c r="B1583" t="s">
        <v>48</v>
      </c>
      <c r="E1583" t="s">
        <v>51</v>
      </c>
      <c r="F1583">
        <v>608858</v>
      </c>
      <c r="G1583">
        <v>3</v>
      </c>
      <c r="H1583">
        <v>2</v>
      </c>
      <c r="I1583">
        <v>506</v>
      </c>
      <c r="J1583">
        <v>1981</v>
      </c>
      <c r="K1583" s="4">
        <v>44919</v>
      </c>
      <c r="L1583" t="s">
        <v>26</v>
      </c>
      <c r="M1583" t="s">
        <v>12</v>
      </c>
      <c r="N1583">
        <v>2.5499999999999998</v>
      </c>
      <c r="O1583">
        <v>1805</v>
      </c>
      <c r="P1583">
        <v>0.35</v>
      </c>
      <c r="Q1583">
        <v>204</v>
      </c>
      <c r="R1583">
        <v>561</v>
      </c>
    </row>
    <row r="1584" spans="1:18" hidden="1" x14ac:dyDescent="0.2">
      <c r="A1584">
        <v>9</v>
      </c>
      <c r="B1584" t="s">
        <v>38</v>
      </c>
      <c r="E1584" t="s">
        <v>29</v>
      </c>
      <c r="F1584">
        <v>629961</v>
      </c>
      <c r="G1584">
        <v>5</v>
      </c>
      <c r="H1584">
        <v>3</v>
      </c>
      <c r="I1584">
        <v>952</v>
      </c>
      <c r="J1584">
        <v>1959</v>
      </c>
      <c r="K1584" s="4">
        <v>45157</v>
      </c>
      <c r="L1584" t="s">
        <v>26</v>
      </c>
      <c r="M1584" t="s">
        <v>45</v>
      </c>
      <c r="N1584">
        <v>1.83</v>
      </c>
      <c r="O1584">
        <v>1618</v>
      </c>
      <c r="P1584">
        <v>2.5099999999999998</v>
      </c>
      <c r="Q1584">
        <v>356</v>
      </c>
      <c r="R1584">
        <v>323</v>
      </c>
    </row>
    <row r="1585" spans="1:18" x14ac:dyDescent="0.2">
      <c r="A1585">
        <v>8</v>
      </c>
      <c r="B1585" t="s">
        <v>64</v>
      </c>
      <c r="E1585" t="s">
        <v>51</v>
      </c>
      <c r="F1585">
        <v>1777008</v>
      </c>
      <c r="G1585">
        <v>6</v>
      </c>
      <c r="H1585">
        <v>2</v>
      </c>
      <c r="I1585">
        <v>499</v>
      </c>
      <c r="J1585">
        <v>1974</v>
      </c>
      <c r="K1585" s="4">
        <v>45852</v>
      </c>
      <c r="L1585" t="s">
        <v>23</v>
      </c>
      <c r="M1585" t="s">
        <v>59</v>
      </c>
      <c r="N1585">
        <v>2.83</v>
      </c>
      <c r="O1585">
        <v>1071</v>
      </c>
      <c r="P1585">
        <v>3.72</v>
      </c>
      <c r="Q1585">
        <v>335</v>
      </c>
      <c r="R1585">
        <v>620</v>
      </c>
    </row>
    <row r="1586" spans="1:18" hidden="1" x14ac:dyDescent="0.2">
      <c r="A1586">
        <v>6</v>
      </c>
      <c r="B1586" t="s">
        <v>88</v>
      </c>
      <c r="E1586" t="s">
        <v>36</v>
      </c>
      <c r="F1586">
        <v>1618957</v>
      </c>
      <c r="G1586">
        <v>5</v>
      </c>
      <c r="H1586">
        <v>1</v>
      </c>
      <c r="I1586">
        <v>986</v>
      </c>
      <c r="J1586">
        <v>1977</v>
      </c>
      <c r="K1586" s="4">
        <v>45018</v>
      </c>
      <c r="L1586" t="s">
        <v>23</v>
      </c>
      <c r="M1586" t="s">
        <v>33</v>
      </c>
      <c r="N1586">
        <v>1.87</v>
      </c>
      <c r="O1586">
        <v>2236</v>
      </c>
      <c r="P1586">
        <v>1.01</v>
      </c>
      <c r="Q1586">
        <v>266</v>
      </c>
      <c r="R1586">
        <v>319</v>
      </c>
    </row>
    <row r="1587" spans="1:18" hidden="1" x14ac:dyDescent="0.2">
      <c r="A1587">
        <v>1</v>
      </c>
      <c r="B1587" t="s">
        <v>55</v>
      </c>
      <c r="E1587" t="s">
        <v>29</v>
      </c>
      <c r="F1587">
        <v>2010995</v>
      </c>
      <c r="G1587">
        <v>5</v>
      </c>
      <c r="H1587">
        <v>2</v>
      </c>
      <c r="I1587">
        <v>671</v>
      </c>
      <c r="J1587">
        <v>1985</v>
      </c>
      <c r="K1587" s="4">
        <v>44948</v>
      </c>
      <c r="L1587" t="s">
        <v>26</v>
      </c>
      <c r="M1587" t="s">
        <v>45</v>
      </c>
      <c r="N1587">
        <v>3.16</v>
      </c>
      <c r="O1587">
        <v>2404</v>
      </c>
      <c r="P1587">
        <v>1.05</v>
      </c>
      <c r="Q1587">
        <v>371</v>
      </c>
      <c r="R1587">
        <v>540</v>
      </c>
    </row>
    <row r="1588" spans="1:18" hidden="1" x14ac:dyDescent="0.2">
      <c r="A1588">
        <v>4</v>
      </c>
      <c r="B1588" t="s">
        <v>99</v>
      </c>
      <c r="E1588" t="s">
        <v>29</v>
      </c>
      <c r="F1588">
        <v>2123500</v>
      </c>
      <c r="G1588">
        <v>3</v>
      </c>
      <c r="H1588">
        <v>3</v>
      </c>
      <c r="I1588">
        <v>63</v>
      </c>
      <c r="J1588">
        <v>1959</v>
      </c>
      <c r="K1588" s="4">
        <v>45540</v>
      </c>
      <c r="L1588" t="s">
        <v>30</v>
      </c>
      <c r="M1588" t="s">
        <v>60</v>
      </c>
      <c r="N1588">
        <v>2.75</v>
      </c>
      <c r="O1588">
        <v>2392</v>
      </c>
      <c r="P1588">
        <v>4.21</v>
      </c>
      <c r="Q1588">
        <v>199</v>
      </c>
      <c r="R1588">
        <v>628</v>
      </c>
    </row>
    <row r="1589" spans="1:18" hidden="1" x14ac:dyDescent="0.2">
      <c r="A1589">
        <v>1</v>
      </c>
      <c r="B1589" t="s">
        <v>96</v>
      </c>
      <c r="E1589" t="s">
        <v>51</v>
      </c>
      <c r="F1589">
        <v>2692555</v>
      </c>
      <c r="G1589">
        <v>4</v>
      </c>
      <c r="H1589">
        <v>1</v>
      </c>
      <c r="I1589">
        <v>883</v>
      </c>
      <c r="J1589">
        <v>1962</v>
      </c>
      <c r="K1589" s="4">
        <v>45211</v>
      </c>
      <c r="L1589" t="s">
        <v>20</v>
      </c>
      <c r="M1589" t="s">
        <v>70</v>
      </c>
      <c r="N1589">
        <v>2.21</v>
      </c>
      <c r="O1589">
        <v>1614</v>
      </c>
      <c r="P1589">
        <v>1.27</v>
      </c>
      <c r="Q1589">
        <v>396</v>
      </c>
      <c r="R1589">
        <v>383</v>
      </c>
    </row>
    <row r="1590" spans="1:18" x14ac:dyDescent="0.2">
      <c r="A1590">
        <v>8</v>
      </c>
      <c r="B1590" t="s">
        <v>28</v>
      </c>
      <c r="E1590" t="s">
        <v>51</v>
      </c>
      <c r="F1590">
        <v>1682397</v>
      </c>
      <c r="G1590">
        <v>4</v>
      </c>
      <c r="H1590">
        <v>2</v>
      </c>
      <c r="I1590">
        <v>451</v>
      </c>
      <c r="J1590">
        <v>2001</v>
      </c>
      <c r="K1590" s="4">
        <v>45823</v>
      </c>
      <c r="L1590" t="s">
        <v>20</v>
      </c>
      <c r="M1590" t="s">
        <v>27</v>
      </c>
      <c r="N1590">
        <v>2.42</v>
      </c>
      <c r="O1590">
        <v>1621</v>
      </c>
      <c r="P1590">
        <v>2.6</v>
      </c>
      <c r="Q1590">
        <v>240</v>
      </c>
      <c r="R1590">
        <v>454</v>
      </c>
    </row>
    <row r="1591" spans="1:18" hidden="1" x14ac:dyDescent="0.2">
      <c r="A1591">
        <v>3</v>
      </c>
      <c r="B1591" t="s">
        <v>92</v>
      </c>
      <c r="E1591" t="s">
        <v>36</v>
      </c>
      <c r="F1591">
        <v>1230709</v>
      </c>
      <c r="G1591">
        <v>4</v>
      </c>
      <c r="H1591">
        <v>2</v>
      </c>
      <c r="I1591">
        <v>233</v>
      </c>
      <c r="J1591">
        <v>1966</v>
      </c>
      <c r="K1591" s="4">
        <v>45735</v>
      </c>
      <c r="L1591" t="s">
        <v>30</v>
      </c>
      <c r="M1591" t="s">
        <v>27</v>
      </c>
      <c r="N1591">
        <v>1.78</v>
      </c>
      <c r="O1591">
        <v>2098</v>
      </c>
      <c r="P1591">
        <v>2.9</v>
      </c>
      <c r="Q1591">
        <v>191</v>
      </c>
      <c r="R1591">
        <v>380</v>
      </c>
    </row>
    <row r="1592" spans="1:18" hidden="1" x14ac:dyDescent="0.2">
      <c r="A1592">
        <v>6</v>
      </c>
      <c r="B1592" t="s">
        <v>62</v>
      </c>
      <c r="E1592" t="s">
        <v>36</v>
      </c>
      <c r="F1592">
        <v>700887</v>
      </c>
      <c r="G1592">
        <v>4</v>
      </c>
      <c r="H1592">
        <v>2</v>
      </c>
      <c r="I1592">
        <v>649</v>
      </c>
      <c r="J1592">
        <v>1962</v>
      </c>
      <c r="K1592" s="4">
        <v>44158</v>
      </c>
      <c r="L1592" t="s">
        <v>23</v>
      </c>
      <c r="M1592" t="s">
        <v>33</v>
      </c>
      <c r="N1592">
        <v>3.24</v>
      </c>
      <c r="O1592">
        <v>2342</v>
      </c>
      <c r="P1592">
        <v>4.8</v>
      </c>
      <c r="Q1592">
        <v>192</v>
      </c>
      <c r="R1592">
        <v>674</v>
      </c>
    </row>
    <row r="1593" spans="1:18" hidden="1" x14ac:dyDescent="0.2">
      <c r="A1593">
        <v>4</v>
      </c>
      <c r="B1593" t="s">
        <v>95</v>
      </c>
      <c r="E1593" t="s">
        <v>19</v>
      </c>
      <c r="F1593">
        <v>487869</v>
      </c>
      <c r="G1593">
        <v>3</v>
      </c>
      <c r="H1593">
        <v>2</v>
      </c>
      <c r="I1593">
        <v>834</v>
      </c>
      <c r="J1593">
        <v>1997</v>
      </c>
      <c r="K1593" s="4">
        <v>44910</v>
      </c>
      <c r="L1593" t="s">
        <v>26</v>
      </c>
      <c r="M1593" t="s">
        <v>56</v>
      </c>
      <c r="N1593">
        <v>2.16</v>
      </c>
      <c r="O1593">
        <v>1162</v>
      </c>
      <c r="P1593">
        <v>1.42</v>
      </c>
      <c r="Q1593">
        <v>83</v>
      </c>
      <c r="R1593">
        <v>639</v>
      </c>
    </row>
    <row r="1594" spans="1:18" hidden="1" x14ac:dyDescent="0.2">
      <c r="A1594">
        <v>3</v>
      </c>
      <c r="B1594" t="s">
        <v>95</v>
      </c>
      <c r="E1594" t="s">
        <v>19</v>
      </c>
      <c r="F1594">
        <v>2963982</v>
      </c>
      <c r="G1594">
        <v>3</v>
      </c>
      <c r="H1594">
        <v>1</v>
      </c>
      <c r="I1594">
        <v>227</v>
      </c>
      <c r="J1594">
        <v>2003</v>
      </c>
      <c r="K1594" s="4">
        <v>44406</v>
      </c>
      <c r="L1594" t="s">
        <v>23</v>
      </c>
      <c r="M1594" t="s">
        <v>66</v>
      </c>
      <c r="N1594">
        <v>1.9</v>
      </c>
      <c r="O1594">
        <v>1525</v>
      </c>
      <c r="P1594">
        <v>0.55000000000000004</v>
      </c>
      <c r="Q1594">
        <v>285</v>
      </c>
      <c r="R1594">
        <v>640</v>
      </c>
    </row>
    <row r="1595" spans="1:18" hidden="1" x14ac:dyDescent="0.2">
      <c r="A1595">
        <v>9</v>
      </c>
      <c r="B1595" t="s">
        <v>73</v>
      </c>
      <c r="E1595" t="s">
        <v>36</v>
      </c>
      <c r="F1595">
        <v>2679545</v>
      </c>
      <c r="G1595">
        <v>1</v>
      </c>
      <c r="H1595">
        <v>1</v>
      </c>
      <c r="I1595">
        <v>606</v>
      </c>
      <c r="J1595">
        <v>2017</v>
      </c>
      <c r="K1595" s="4">
        <v>45217</v>
      </c>
      <c r="L1595" t="s">
        <v>20</v>
      </c>
      <c r="M1595" t="s">
        <v>42</v>
      </c>
      <c r="N1595">
        <v>3.42</v>
      </c>
      <c r="O1595">
        <v>2316</v>
      </c>
      <c r="P1595">
        <v>2.56</v>
      </c>
      <c r="Q1595">
        <v>132</v>
      </c>
      <c r="R1595">
        <v>487</v>
      </c>
    </row>
    <row r="1596" spans="1:18" hidden="1" x14ac:dyDescent="0.2">
      <c r="A1596">
        <v>5</v>
      </c>
      <c r="B1596" t="s">
        <v>83</v>
      </c>
      <c r="E1596" t="s">
        <v>19</v>
      </c>
      <c r="F1596">
        <v>2006863</v>
      </c>
      <c r="G1596">
        <v>2</v>
      </c>
      <c r="H1596">
        <v>3</v>
      </c>
      <c r="I1596">
        <v>758</v>
      </c>
      <c r="J1596">
        <v>1960</v>
      </c>
      <c r="K1596" s="4">
        <v>44994</v>
      </c>
      <c r="L1596" t="s">
        <v>23</v>
      </c>
      <c r="M1596" t="s">
        <v>77</v>
      </c>
      <c r="N1596">
        <v>3.07</v>
      </c>
      <c r="O1596">
        <v>1344</v>
      </c>
      <c r="P1596">
        <v>1.8</v>
      </c>
      <c r="Q1596">
        <v>158</v>
      </c>
      <c r="R1596">
        <v>633</v>
      </c>
    </row>
    <row r="1597" spans="1:18" hidden="1" x14ac:dyDescent="0.2">
      <c r="A1597">
        <v>2</v>
      </c>
      <c r="B1597" t="s">
        <v>18</v>
      </c>
      <c r="E1597" t="s">
        <v>36</v>
      </c>
      <c r="F1597">
        <v>863047</v>
      </c>
      <c r="G1597">
        <v>2</v>
      </c>
      <c r="H1597">
        <v>1</v>
      </c>
      <c r="I1597">
        <v>712</v>
      </c>
      <c r="J1597">
        <v>1995</v>
      </c>
      <c r="K1597" s="4">
        <v>44221</v>
      </c>
      <c r="L1597" t="s">
        <v>26</v>
      </c>
      <c r="M1597" t="s">
        <v>69</v>
      </c>
      <c r="N1597">
        <v>3.42</v>
      </c>
      <c r="O1597">
        <v>1679</v>
      </c>
      <c r="P1597">
        <v>3.49</v>
      </c>
      <c r="Q1597">
        <v>77</v>
      </c>
      <c r="R1597">
        <v>310</v>
      </c>
    </row>
    <row r="1598" spans="1:18" hidden="1" x14ac:dyDescent="0.2">
      <c r="A1598">
        <v>3</v>
      </c>
      <c r="B1598" t="s">
        <v>81</v>
      </c>
      <c r="E1598" t="s">
        <v>36</v>
      </c>
      <c r="F1598">
        <v>2825104</v>
      </c>
      <c r="G1598">
        <v>5</v>
      </c>
      <c r="H1598">
        <v>2</v>
      </c>
      <c r="I1598">
        <v>355</v>
      </c>
      <c r="J1598">
        <v>2026</v>
      </c>
      <c r="K1598" s="4">
        <v>44617</v>
      </c>
      <c r="L1598" t="s">
        <v>20</v>
      </c>
      <c r="M1598" t="s">
        <v>82</v>
      </c>
      <c r="N1598">
        <v>2.63</v>
      </c>
      <c r="O1598">
        <v>993</v>
      </c>
      <c r="P1598">
        <v>2.79</v>
      </c>
      <c r="Q1598">
        <v>290</v>
      </c>
      <c r="R1598">
        <v>666</v>
      </c>
    </row>
    <row r="1599" spans="1:18" hidden="1" x14ac:dyDescent="0.2">
      <c r="A1599">
        <v>1</v>
      </c>
      <c r="B1599" t="s">
        <v>72</v>
      </c>
      <c r="E1599" t="s">
        <v>36</v>
      </c>
      <c r="F1599">
        <v>1465455</v>
      </c>
      <c r="G1599">
        <v>3</v>
      </c>
      <c r="H1599">
        <v>1</v>
      </c>
      <c r="I1599">
        <v>852</v>
      </c>
      <c r="J1599">
        <v>1986</v>
      </c>
      <c r="K1599" s="4">
        <v>45702</v>
      </c>
      <c r="L1599" t="s">
        <v>30</v>
      </c>
      <c r="M1599" t="s">
        <v>68</v>
      </c>
      <c r="N1599">
        <v>3.44</v>
      </c>
      <c r="O1599">
        <v>1433</v>
      </c>
      <c r="P1599">
        <v>1.4</v>
      </c>
      <c r="Q1599">
        <v>294</v>
      </c>
      <c r="R1599">
        <v>430</v>
      </c>
    </row>
    <row r="1600" spans="1:18" hidden="1" x14ac:dyDescent="0.2">
      <c r="A1600">
        <v>0</v>
      </c>
      <c r="B1600" t="s">
        <v>104</v>
      </c>
      <c r="E1600" t="s">
        <v>29</v>
      </c>
      <c r="F1600">
        <v>1748586</v>
      </c>
      <c r="G1600">
        <v>4</v>
      </c>
      <c r="H1600">
        <v>2</v>
      </c>
      <c r="I1600">
        <v>399</v>
      </c>
      <c r="J1600">
        <v>1965</v>
      </c>
      <c r="K1600" s="4">
        <v>44897</v>
      </c>
      <c r="L1600" t="s">
        <v>26</v>
      </c>
      <c r="M1600" t="s">
        <v>63</v>
      </c>
      <c r="N1600">
        <v>2.4500000000000002</v>
      </c>
      <c r="O1600">
        <v>1586</v>
      </c>
      <c r="P1600">
        <v>3.75</v>
      </c>
      <c r="Q1600">
        <v>285</v>
      </c>
      <c r="R1600">
        <v>346</v>
      </c>
    </row>
    <row r="1601" spans="1:18" hidden="1" x14ac:dyDescent="0.2">
      <c r="A1601">
        <v>4</v>
      </c>
      <c r="B1601" t="s">
        <v>67</v>
      </c>
      <c r="E1601" t="s">
        <v>19</v>
      </c>
      <c r="F1601">
        <v>1084381</v>
      </c>
      <c r="G1601">
        <v>3</v>
      </c>
      <c r="H1601">
        <v>2</v>
      </c>
      <c r="I1601">
        <v>274</v>
      </c>
      <c r="J1601">
        <v>2008</v>
      </c>
      <c r="K1601" s="4">
        <v>45771</v>
      </c>
      <c r="L1601" t="s">
        <v>20</v>
      </c>
      <c r="M1601" t="s">
        <v>33</v>
      </c>
      <c r="N1601">
        <v>3</v>
      </c>
      <c r="O1601">
        <v>2376</v>
      </c>
      <c r="P1601">
        <v>1.55</v>
      </c>
      <c r="Q1601">
        <v>131</v>
      </c>
      <c r="R1601">
        <v>499</v>
      </c>
    </row>
    <row r="1602" spans="1:18" hidden="1" x14ac:dyDescent="0.2">
      <c r="A1602">
        <v>0</v>
      </c>
      <c r="B1602" t="s">
        <v>49</v>
      </c>
      <c r="E1602" t="s">
        <v>51</v>
      </c>
      <c r="F1602">
        <v>1241706</v>
      </c>
      <c r="G1602">
        <v>4</v>
      </c>
      <c r="H1602">
        <v>3</v>
      </c>
      <c r="I1602">
        <v>914</v>
      </c>
      <c r="J1602">
        <v>1959</v>
      </c>
      <c r="K1602" s="4">
        <v>45557</v>
      </c>
      <c r="L1602" t="s">
        <v>26</v>
      </c>
      <c r="M1602" t="s">
        <v>37</v>
      </c>
      <c r="N1602">
        <v>2.27</v>
      </c>
      <c r="O1602">
        <v>2181</v>
      </c>
      <c r="P1602">
        <v>4.55</v>
      </c>
      <c r="Q1602">
        <v>193</v>
      </c>
      <c r="R1602">
        <v>676</v>
      </c>
    </row>
    <row r="1603" spans="1:18" hidden="1" x14ac:dyDescent="0.2">
      <c r="A1603">
        <v>6</v>
      </c>
      <c r="B1603" t="s">
        <v>81</v>
      </c>
      <c r="E1603" t="s">
        <v>36</v>
      </c>
      <c r="F1603">
        <v>464475</v>
      </c>
      <c r="G1603">
        <v>5</v>
      </c>
      <c r="H1603">
        <v>1</v>
      </c>
      <c r="I1603">
        <v>816</v>
      </c>
      <c r="J1603">
        <v>2003</v>
      </c>
      <c r="K1603" s="4">
        <v>44914</v>
      </c>
      <c r="L1603" t="s">
        <v>20</v>
      </c>
      <c r="M1603" t="s">
        <v>89</v>
      </c>
      <c r="N1603">
        <v>2.1</v>
      </c>
      <c r="O1603">
        <v>2132</v>
      </c>
      <c r="P1603">
        <v>4.24</v>
      </c>
      <c r="Q1603">
        <v>298</v>
      </c>
      <c r="R1603">
        <v>440</v>
      </c>
    </row>
    <row r="1604" spans="1:18" hidden="1" x14ac:dyDescent="0.2">
      <c r="A1604">
        <v>4</v>
      </c>
      <c r="B1604" t="s">
        <v>34</v>
      </c>
      <c r="E1604" t="s">
        <v>19</v>
      </c>
      <c r="F1604">
        <v>1080741</v>
      </c>
      <c r="G1604">
        <v>6</v>
      </c>
      <c r="H1604">
        <v>2</v>
      </c>
      <c r="I1604">
        <v>495</v>
      </c>
      <c r="J1604">
        <v>1996</v>
      </c>
      <c r="K1604" s="4">
        <v>45359</v>
      </c>
      <c r="L1604" t="s">
        <v>20</v>
      </c>
      <c r="M1604" t="s">
        <v>59</v>
      </c>
      <c r="N1604">
        <v>2.4</v>
      </c>
      <c r="O1604">
        <v>1653</v>
      </c>
      <c r="P1604">
        <v>2.63</v>
      </c>
      <c r="Q1604">
        <v>397</v>
      </c>
      <c r="R1604">
        <v>334</v>
      </c>
    </row>
    <row r="1605" spans="1:18" hidden="1" x14ac:dyDescent="0.2">
      <c r="A1605">
        <v>4</v>
      </c>
      <c r="B1605" t="s">
        <v>83</v>
      </c>
      <c r="E1605" t="s">
        <v>19</v>
      </c>
      <c r="F1605">
        <v>2604427</v>
      </c>
      <c r="G1605">
        <v>2</v>
      </c>
      <c r="H1605">
        <v>3</v>
      </c>
      <c r="I1605">
        <v>222</v>
      </c>
      <c r="J1605">
        <v>1991</v>
      </c>
      <c r="K1605" s="4">
        <v>44737</v>
      </c>
      <c r="L1605" t="s">
        <v>26</v>
      </c>
      <c r="M1605" t="s">
        <v>31</v>
      </c>
      <c r="N1605">
        <v>1.95</v>
      </c>
      <c r="O1605">
        <v>1906</v>
      </c>
      <c r="P1605">
        <v>4.04</v>
      </c>
      <c r="Q1605">
        <v>163</v>
      </c>
      <c r="R1605">
        <v>355</v>
      </c>
    </row>
    <row r="1606" spans="1:18" hidden="1" x14ac:dyDescent="0.2">
      <c r="A1606">
        <v>2</v>
      </c>
      <c r="B1606" t="s">
        <v>32</v>
      </c>
      <c r="E1606" t="s">
        <v>19</v>
      </c>
      <c r="F1606">
        <v>944519</v>
      </c>
      <c r="G1606">
        <v>4</v>
      </c>
      <c r="H1606">
        <v>3</v>
      </c>
      <c r="I1606">
        <v>741</v>
      </c>
      <c r="J1606">
        <v>2004</v>
      </c>
      <c r="K1606" s="4">
        <v>45337</v>
      </c>
      <c r="L1606" t="s">
        <v>20</v>
      </c>
      <c r="M1606" t="s">
        <v>40</v>
      </c>
      <c r="N1606">
        <v>2</v>
      </c>
      <c r="O1606">
        <v>1048</v>
      </c>
      <c r="P1606">
        <v>2.98</v>
      </c>
      <c r="Q1606">
        <v>395</v>
      </c>
      <c r="R1606">
        <v>330</v>
      </c>
    </row>
    <row r="1607" spans="1:18" x14ac:dyDescent="0.2">
      <c r="A1607">
        <v>8</v>
      </c>
      <c r="B1607" t="s">
        <v>79</v>
      </c>
      <c r="E1607" t="s">
        <v>51</v>
      </c>
      <c r="F1607">
        <v>1466220</v>
      </c>
      <c r="G1607">
        <v>2</v>
      </c>
      <c r="H1607">
        <v>3</v>
      </c>
      <c r="I1607">
        <v>323</v>
      </c>
      <c r="J1607">
        <v>1993</v>
      </c>
      <c r="K1607" s="4">
        <v>44624</v>
      </c>
      <c r="L1607" t="s">
        <v>23</v>
      </c>
      <c r="M1607" t="s">
        <v>69</v>
      </c>
      <c r="N1607">
        <v>1.56</v>
      </c>
      <c r="O1607">
        <v>1826</v>
      </c>
      <c r="P1607">
        <v>4.46</v>
      </c>
      <c r="Q1607">
        <v>44</v>
      </c>
      <c r="R1607">
        <v>309</v>
      </c>
    </row>
    <row r="1608" spans="1:18" hidden="1" x14ac:dyDescent="0.2">
      <c r="A1608">
        <v>3</v>
      </c>
      <c r="B1608" t="s">
        <v>49</v>
      </c>
      <c r="E1608" t="s">
        <v>36</v>
      </c>
      <c r="F1608">
        <v>2144249</v>
      </c>
      <c r="G1608">
        <v>3</v>
      </c>
      <c r="H1608">
        <v>1</v>
      </c>
      <c r="I1608">
        <v>109</v>
      </c>
      <c r="J1608">
        <v>2012</v>
      </c>
      <c r="K1608" s="4">
        <v>44439</v>
      </c>
      <c r="L1608" t="s">
        <v>20</v>
      </c>
      <c r="M1608" t="s">
        <v>69</v>
      </c>
      <c r="N1608">
        <v>2.0099999999999998</v>
      </c>
      <c r="O1608">
        <v>2398</v>
      </c>
      <c r="P1608">
        <v>3.55</v>
      </c>
      <c r="Q1608">
        <v>117</v>
      </c>
      <c r="R1608">
        <v>402</v>
      </c>
    </row>
    <row r="1609" spans="1:18" hidden="1" x14ac:dyDescent="0.2">
      <c r="A1609">
        <v>5</v>
      </c>
      <c r="B1609" t="s">
        <v>83</v>
      </c>
      <c r="E1609" t="s">
        <v>29</v>
      </c>
      <c r="F1609">
        <v>2169645</v>
      </c>
      <c r="G1609">
        <v>4</v>
      </c>
      <c r="H1609">
        <v>3</v>
      </c>
      <c r="I1609">
        <v>902</v>
      </c>
      <c r="J1609">
        <v>1973</v>
      </c>
      <c r="K1609" s="4">
        <v>44094</v>
      </c>
      <c r="L1609" t="s">
        <v>23</v>
      </c>
      <c r="M1609" t="s">
        <v>66</v>
      </c>
      <c r="N1609">
        <v>3.39</v>
      </c>
      <c r="O1609">
        <v>2327</v>
      </c>
      <c r="P1609">
        <v>0.1</v>
      </c>
      <c r="Q1609">
        <v>327</v>
      </c>
      <c r="R1609">
        <v>617</v>
      </c>
    </row>
    <row r="1610" spans="1:18" hidden="1" x14ac:dyDescent="0.2">
      <c r="A1610">
        <v>7</v>
      </c>
      <c r="B1610" t="s">
        <v>90</v>
      </c>
      <c r="E1610" t="s">
        <v>51</v>
      </c>
      <c r="F1610">
        <v>1593933</v>
      </c>
      <c r="G1610">
        <v>5</v>
      </c>
      <c r="H1610">
        <v>2</v>
      </c>
      <c r="I1610">
        <v>179</v>
      </c>
      <c r="J1610">
        <v>1978</v>
      </c>
      <c r="K1610" s="4">
        <v>45045</v>
      </c>
      <c r="L1610" t="s">
        <v>30</v>
      </c>
      <c r="M1610" t="s">
        <v>78</v>
      </c>
      <c r="N1610">
        <v>2.0499999999999998</v>
      </c>
      <c r="O1610">
        <v>1000</v>
      </c>
      <c r="P1610">
        <v>0.65</v>
      </c>
      <c r="Q1610">
        <v>324</v>
      </c>
      <c r="R1610">
        <v>489</v>
      </c>
    </row>
    <row r="1611" spans="1:18" hidden="1" x14ac:dyDescent="0.2">
      <c r="A1611">
        <v>5</v>
      </c>
      <c r="B1611" t="s">
        <v>98</v>
      </c>
      <c r="E1611" t="s">
        <v>29</v>
      </c>
      <c r="F1611">
        <v>679392</v>
      </c>
      <c r="G1611">
        <v>3</v>
      </c>
      <c r="H1611">
        <v>3</v>
      </c>
      <c r="I1611">
        <v>657</v>
      </c>
      <c r="J1611">
        <v>2015</v>
      </c>
      <c r="K1611" s="4">
        <v>45526</v>
      </c>
      <c r="L1611" t="s">
        <v>30</v>
      </c>
      <c r="M1611" t="s">
        <v>77</v>
      </c>
      <c r="N1611">
        <v>1.85</v>
      </c>
      <c r="O1611">
        <v>1177</v>
      </c>
      <c r="P1611">
        <v>1.17</v>
      </c>
      <c r="Q1611">
        <v>165</v>
      </c>
      <c r="R1611">
        <v>668</v>
      </c>
    </row>
    <row r="1612" spans="1:18" hidden="1" x14ac:dyDescent="0.2">
      <c r="A1612">
        <v>9</v>
      </c>
      <c r="B1612" t="s">
        <v>49</v>
      </c>
      <c r="E1612" t="s">
        <v>19</v>
      </c>
      <c r="F1612">
        <v>1847400</v>
      </c>
      <c r="G1612">
        <v>6</v>
      </c>
      <c r="H1612">
        <v>1</v>
      </c>
      <c r="I1612">
        <v>84</v>
      </c>
      <c r="J1612">
        <v>1957</v>
      </c>
      <c r="K1612" s="4">
        <v>44589</v>
      </c>
      <c r="L1612" t="s">
        <v>26</v>
      </c>
      <c r="M1612" t="s">
        <v>59</v>
      </c>
      <c r="N1612">
        <v>2.5499999999999998</v>
      </c>
      <c r="O1612">
        <v>919</v>
      </c>
      <c r="P1612">
        <v>0.72</v>
      </c>
      <c r="Q1612">
        <v>367</v>
      </c>
      <c r="R1612">
        <v>354</v>
      </c>
    </row>
    <row r="1613" spans="1:18" hidden="1" x14ac:dyDescent="0.2">
      <c r="A1613">
        <v>7</v>
      </c>
      <c r="B1613" t="s">
        <v>99</v>
      </c>
      <c r="E1613" t="s">
        <v>36</v>
      </c>
      <c r="F1613">
        <v>2995602</v>
      </c>
      <c r="G1613">
        <v>6</v>
      </c>
      <c r="H1613">
        <v>1</v>
      </c>
      <c r="I1613">
        <v>589</v>
      </c>
      <c r="J1613">
        <v>2018</v>
      </c>
      <c r="K1613" s="4">
        <v>45085</v>
      </c>
      <c r="L1613" t="s">
        <v>23</v>
      </c>
      <c r="M1613" t="s">
        <v>59</v>
      </c>
      <c r="N1613">
        <v>3.07</v>
      </c>
      <c r="O1613">
        <v>1242</v>
      </c>
      <c r="P1613">
        <v>1.78</v>
      </c>
      <c r="Q1613">
        <v>330</v>
      </c>
      <c r="R1613">
        <v>620</v>
      </c>
    </row>
    <row r="1614" spans="1:18" hidden="1" x14ac:dyDescent="0.2">
      <c r="A1614">
        <v>6</v>
      </c>
      <c r="B1614" t="s">
        <v>93</v>
      </c>
      <c r="E1614" t="s">
        <v>29</v>
      </c>
      <c r="F1614">
        <v>787062</v>
      </c>
      <c r="G1614">
        <v>3</v>
      </c>
      <c r="H1614">
        <v>3</v>
      </c>
      <c r="I1614">
        <v>102</v>
      </c>
      <c r="J1614">
        <v>1977</v>
      </c>
      <c r="K1614" s="4">
        <v>45115</v>
      </c>
      <c r="L1614" t="s">
        <v>30</v>
      </c>
      <c r="M1614" t="s">
        <v>70</v>
      </c>
      <c r="N1614">
        <v>1.63</v>
      </c>
      <c r="O1614">
        <v>1265</v>
      </c>
      <c r="P1614">
        <v>0.28000000000000003</v>
      </c>
      <c r="Q1614">
        <v>260</v>
      </c>
      <c r="R1614">
        <v>613</v>
      </c>
    </row>
    <row r="1615" spans="1:18" hidden="1" x14ac:dyDescent="0.2">
      <c r="A1615">
        <v>1</v>
      </c>
      <c r="B1615" t="s">
        <v>43</v>
      </c>
      <c r="E1615" t="s">
        <v>29</v>
      </c>
      <c r="F1615">
        <v>2248872</v>
      </c>
      <c r="G1615">
        <v>5</v>
      </c>
      <c r="H1615">
        <v>2</v>
      </c>
      <c r="I1615">
        <v>886</v>
      </c>
      <c r="J1615">
        <v>2009</v>
      </c>
      <c r="K1615" s="4">
        <v>44166</v>
      </c>
      <c r="L1615" t="s">
        <v>26</v>
      </c>
      <c r="M1615" t="s">
        <v>21</v>
      </c>
      <c r="N1615">
        <v>1.56</v>
      </c>
      <c r="O1615">
        <v>2044</v>
      </c>
      <c r="P1615">
        <v>1.01</v>
      </c>
      <c r="Q1615">
        <v>376</v>
      </c>
      <c r="R1615">
        <v>316</v>
      </c>
    </row>
    <row r="1616" spans="1:18" hidden="1" x14ac:dyDescent="0.2">
      <c r="A1616">
        <v>2</v>
      </c>
      <c r="B1616" t="s">
        <v>62</v>
      </c>
      <c r="E1616" t="s">
        <v>19</v>
      </c>
      <c r="F1616">
        <v>1425448</v>
      </c>
      <c r="G1616">
        <v>2</v>
      </c>
      <c r="H1616">
        <v>1</v>
      </c>
      <c r="I1616">
        <v>781</v>
      </c>
      <c r="J1616">
        <v>1968</v>
      </c>
      <c r="K1616" s="4">
        <v>44572</v>
      </c>
      <c r="L1616" t="s">
        <v>20</v>
      </c>
      <c r="M1616" t="s">
        <v>89</v>
      </c>
      <c r="N1616">
        <v>1.73</v>
      </c>
      <c r="O1616">
        <v>2390</v>
      </c>
      <c r="P1616">
        <v>4.6100000000000003</v>
      </c>
      <c r="Q1616">
        <v>52</v>
      </c>
      <c r="R1616">
        <v>509</v>
      </c>
    </row>
    <row r="1617" spans="1:18" hidden="1" x14ac:dyDescent="0.2">
      <c r="A1617">
        <v>9</v>
      </c>
      <c r="B1617" t="s">
        <v>72</v>
      </c>
      <c r="E1617" t="s">
        <v>51</v>
      </c>
      <c r="F1617">
        <v>1303599</v>
      </c>
      <c r="G1617">
        <v>6</v>
      </c>
      <c r="H1617">
        <v>2</v>
      </c>
      <c r="I1617">
        <v>915</v>
      </c>
      <c r="J1617">
        <v>1999</v>
      </c>
      <c r="K1617" s="4">
        <v>45720</v>
      </c>
      <c r="L1617" t="s">
        <v>23</v>
      </c>
      <c r="M1617" t="s">
        <v>37</v>
      </c>
      <c r="N1617">
        <v>2.77</v>
      </c>
      <c r="O1617">
        <v>2492</v>
      </c>
      <c r="P1617">
        <v>3.99</v>
      </c>
      <c r="Q1617">
        <v>378</v>
      </c>
      <c r="R1617">
        <v>512</v>
      </c>
    </row>
    <row r="1618" spans="1:18" hidden="1" x14ac:dyDescent="0.2">
      <c r="A1618">
        <v>7</v>
      </c>
      <c r="B1618" t="s">
        <v>55</v>
      </c>
      <c r="E1618" t="s">
        <v>51</v>
      </c>
      <c r="F1618">
        <v>2421396</v>
      </c>
      <c r="G1618">
        <v>1</v>
      </c>
      <c r="H1618">
        <v>2</v>
      </c>
      <c r="I1618">
        <v>653</v>
      </c>
      <c r="J1618">
        <v>2001</v>
      </c>
      <c r="K1618" s="4">
        <v>44126</v>
      </c>
      <c r="L1618" t="s">
        <v>26</v>
      </c>
      <c r="M1618" t="s">
        <v>68</v>
      </c>
      <c r="N1618">
        <v>3.11</v>
      </c>
      <c r="O1618">
        <v>2452</v>
      </c>
      <c r="P1618">
        <v>2.54</v>
      </c>
      <c r="Q1618">
        <v>123</v>
      </c>
      <c r="R1618">
        <v>502</v>
      </c>
    </row>
    <row r="1619" spans="1:18" x14ac:dyDescent="0.2">
      <c r="A1619">
        <v>8</v>
      </c>
      <c r="B1619" t="s">
        <v>83</v>
      </c>
      <c r="E1619" t="s">
        <v>51</v>
      </c>
      <c r="F1619">
        <v>1606604</v>
      </c>
      <c r="G1619">
        <v>4</v>
      </c>
      <c r="H1619">
        <v>1</v>
      </c>
      <c r="I1619">
        <v>676</v>
      </c>
      <c r="J1619">
        <v>1986</v>
      </c>
      <c r="K1619" s="4">
        <v>45349</v>
      </c>
      <c r="L1619" t="s">
        <v>26</v>
      </c>
      <c r="M1619" t="s">
        <v>63</v>
      </c>
      <c r="N1619">
        <v>2.23</v>
      </c>
      <c r="O1619">
        <v>2143</v>
      </c>
      <c r="P1619">
        <v>3.94</v>
      </c>
      <c r="Q1619">
        <v>244</v>
      </c>
      <c r="R1619">
        <v>544</v>
      </c>
    </row>
    <row r="1620" spans="1:18" hidden="1" x14ac:dyDescent="0.2">
      <c r="A1620">
        <v>5</v>
      </c>
      <c r="B1620" t="s">
        <v>105</v>
      </c>
      <c r="E1620" t="s">
        <v>51</v>
      </c>
      <c r="F1620">
        <v>2474686</v>
      </c>
      <c r="G1620">
        <v>4</v>
      </c>
      <c r="H1620">
        <v>3</v>
      </c>
      <c r="I1620">
        <v>936</v>
      </c>
      <c r="J1620">
        <v>2017</v>
      </c>
      <c r="K1620" s="4">
        <v>44544</v>
      </c>
      <c r="L1620" t="s">
        <v>20</v>
      </c>
      <c r="M1620" t="s">
        <v>45</v>
      </c>
      <c r="N1620">
        <v>2.48</v>
      </c>
      <c r="O1620">
        <v>1330</v>
      </c>
      <c r="P1620">
        <v>4.18</v>
      </c>
      <c r="Q1620">
        <v>291</v>
      </c>
      <c r="R1620">
        <v>562</v>
      </c>
    </row>
    <row r="1621" spans="1:18" hidden="1" x14ac:dyDescent="0.2">
      <c r="A1621">
        <v>7</v>
      </c>
      <c r="B1621" t="s">
        <v>86</v>
      </c>
      <c r="E1621" t="s">
        <v>19</v>
      </c>
      <c r="F1621">
        <v>2337372</v>
      </c>
      <c r="G1621">
        <v>2</v>
      </c>
      <c r="H1621">
        <v>3</v>
      </c>
      <c r="I1621">
        <v>335</v>
      </c>
      <c r="J1621">
        <v>1957</v>
      </c>
      <c r="K1621" s="4">
        <v>44997</v>
      </c>
      <c r="L1621" t="s">
        <v>20</v>
      </c>
      <c r="M1621" t="s">
        <v>56</v>
      </c>
      <c r="N1621">
        <v>3.19</v>
      </c>
      <c r="O1621">
        <v>968</v>
      </c>
      <c r="P1621">
        <v>4.93</v>
      </c>
      <c r="Q1621">
        <v>50</v>
      </c>
      <c r="R1621">
        <v>598</v>
      </c>
    </row>
    <row r="1622" spans="1:18" hidden="1" x14ac:dyDescent="0.2">
      <c r="A1622">
        <v>0</v>
      </c>
      <c r="B1622" t="s">
        <v>92</v>
      </c>
      <c r="E1622" t="s">
        <v>36</v>
      </c>
      <c r="F1622">
        <v>1284454</v>
      </c>
      <c r="G1622">
        <v>3</v>
      </c>
      <c r="H1622">
        <v>3</v>
      </c>
      <c r="I1622">
        <v>700</v>
      </c>
      <c r="J1622">
        <v>1966</v>
      </c>
      <c r="K1622" s="4">
        <v>45289</v>
      </c>
      <c r="L1622" t="s">
        <v>20</v>
      </c>
      <c r="M1622" t="s">
        <v>21</v>
      </c>
      <c r="N1622">
        <v>2.31</v>
      </c>
      <c r="O1622">
        <v>2182</v>
      </c>
      <c r="P1622">
        <v>1.94</v>
      </c>
      <c r="Q1622">
        <v>230</v>
      </c>
      <c r="R1622">
        <v>414</v>
      </c>
    </row>
    <row r="1623" spans="1:18" hidden="1" x14ac:dyDescent="0.2">
      <c r="A1623">
        <v>7</v>
      </c>
      <c r="B1623" t="s">
        <v>90</v>
      </c>
      <c r="E1623" t="s">
        <v>51</v>
      </c>
      <c r="F1623">
        <v>1590001</v>
      </c>
      <c r="G1623">
        <v>6</v>
      </c>
      <c r="H1623">
        <v>2</v>
      </c>
      <c r="I1623">
        <v>500</v>
      </c>
      <c r="J1623">
        <v>1966</v>
      </c>
      <c r="K1623" s="4">
        <v>45056</v>
      </c>
      <c r="L1623" t="s">
        <v>30</v>
      </c>
      <c r="M1623" t="s">
        <v>69</v>
      </c>
      <c r="N1623">
        <v>3.4</v>
      </c>
      <c r="O1623">
        <v>2459</v>
      </c>
      <c r="P1623">
        <v>1.49</v>
      </c>
      <c r="Q1623">
        <v>387</v>
      </c>
      <c r="R1623">
        <v>637</v>
      </c>
    </row>
    <row r="1624" spans="1:18" hidden="1" x14ac:dyDescent="0.2">
      <c r="A1624">
        <v>6</v>
      </c>
      <c r="B1624" t="s">
        <v>75</v>
      </c>
      <c r="E1624" t="s">
        <v>29</v>
      </c>
      <c r="F1624">
        <v>1915809</v>
      </c>
      <c r="G1624">
        <v>3</v>
      </c>
      <c r="H1624">
        <v>1</v>
      </c>
      <c r="I1624">
        <v>116</v>
      </c>
      <c r="J1624">
        <v>2008</v>
      </c>
      <c r="K1624" s="4">
        <v>45387</v>
      </c>
      <c r="L1624" t="s">
        <v>26</v>
      </c>
      <c r="M1624" t="s">
        <v>35</v>
      </c>
      <c r="N1624">
        <v>1.51</v>
      </c>
      <c r="O1624">
        <v>1215</v>
      </c>
      <c r="P1624">
        <v>4.4400000000000004</v>
      </c>
      <c r="Q1624">
        <v>246</v>
      </c>
      <c r="R1624">
        <v>400</v>
      </c>
    </row>
    <row r="1625" spans="1:18" hidden="1" x14ac:dyDescent="0.2">
      <c r="A1625">
        <v>3</v>
      </c>
      <c r="B1625" t="s">
        <v>94</v>
      </c>
      <c r="E1625" t="s">
        <v>36</v>
      </c>
      <c r="F1625">
        <v>675010</v>
      </c>
      <c r="G1625">
        <v>4</v>
      </c>
      <c r="H1625">
        <v>2</v>
      </c>
      <c r="I1625">
        <v>233</v>
      </c>
      <c r="J1625">
        <v>1987</v>
      </c>
      <c r="K1625" s="4">
        <v>45622</v>
      </c>
      <c r="L1625" t="s">
        <v>30</v>
      </c>
      <c r="M1625" t="s">
        <v>60</v>
      </c>
      <c r="N1625">
        <v>2.71</v>
      </c>
      <c r="O1625">
        <v>2258</v>
      </c>
      <c r="P1625">
        <v>2.27</v>
      </c>
      <c r="Q1625">
        <v>247</v>
      </c>
      <c r="R1625">
        <v>306</v>
      </c>
    </row>
    <row r="1626" spans="1:18" hidden="1" x14ac:dyDescent="0.2">
      <c r="A1626">
        <v>2</v>
      </c>
      <c r="B1626" t="s">
        <v>50</v>
      </c>
      <c r="E1626" t="s">
        <v>36</v>
      </c>
      <c r="F1626">
        <v>452545</v>
      </c>
      <c r="G1626">
        <v>4</v>
      </c>
      <c r="H1626">
        <v>1</v>
      </c>
      <c r="I1626">
        <v>861</v>
      </c>
      <c r="J1626">
        <v>1964</v>
      </c>
      <c r="K1626" s="4">
        <v>44100</v>
      </c>
      <c r="L1626" t="s">
        <v>20</v>
      </c>
      <c r="M1626" t="s">
        <v>78</v>
      </c>
      <c r="N1626">
        <v>1.83</v>
      </c>
      <c r="O1626">
        <v>1339</v>
      </c>
      <c r="P1626">
        <v>1.07</v>
      </c>
      <c r="Q1626">
        <v>286</v>
      </c>
      <c r="R1626">
        <v>643</v>
      </c>
    </row>
    <row r="1627" spans="1:18" hidden="1" x14ac:dyDescent="0.2">
      <c r="A1627">
        <v>5</v>
      </c>
      <c r="B1627" t="s">
        <v>25</v>
      </c>
      <c r="E1627" t="s">
        <v>29</v>
      </c>
      <c r="F1627">
        <v>2316919</v>
      </c>
      <c r="G1627">
        <v>3</v>
      </c>
      <c r="H1627">
        <v>3</v>
      </c>
      <c r="I1627">
        <v>461</v>
      </c>
      <c r="J1627">
        <v>1959</v>
      </c>
      <c r="K1627" s="4">
        <v>44292</v>
      </c>
      <c r="L1627" t="s">
        <v>23</v>
      </c>
      <c r="M1627" t="s">
        <v>24</v>
      </c>
      <c r="N1627">
        <v>1.55</v>
      </c>
      <c r="O1627">
        <v>1310</v>
      </c>
      <c r="P1627">
        <v>1.0900000000000001</v>
      </c>
      <c r="Q1627">
        <v>233</v>
      </c>
      <c r="R1627">
        <v>369</v>
      </c>
    </row>
    <row r="1628" spans="1:18" hidden="1" x14ac:dyDescent="0.2">
      <c r="A1628">
        <v>7</v>
      </c>
      <c r="B1628" t="s">
        <v>39</v>
      </c>
      <c r="E1628" t="s">
        <v>19</v>
      </c>
      <c r="F1628">
        <v>1524124</v>
      </c>
      <c r="G1628">
        <v>6</v>
      </c>
      <c r="H1628">
        <v>1</v>
      </c>
      <c r="I1628">
        <v>250</v>
      </c>
      <c r="J1628">
        <v>2012</v>
      </c>
      <c r="K1628" s="4">
        <v>45456</v>
      </c>
      <c r="L1628" t="s">
        <v>26</v>
      </c>
      <c r="M1628" t="s">
        <v>47</v>
      </c>
      <c r="N1628">
        <v>1.56</v>
      </c>
      <c r="O1628">
        <v>1967</v>
      </c>
      <c r="P1628">
        <v>3.23</v>
      </c>
      <c r="Q1628">
        <v>344</v>
      </c>
      <c r="R1628">
        <v>467</v>
      </c>
    </row>
    <row r="1629" spans="1:18" hidden="1" x14ac:dyDescent="0.2">
      <c r="A1629">
        <v>9</v>
      </c>
      <c r="B1629" t="s">
        <v>79</v>
      </c>
      <c r="E1629" t="s">
        <v>19</v>
      </c>
      <c r="F1629">
        <v>1851494</v>
      </c>
      <c r="G1629">
        <v>0</v>
      </c>
      <c r="H1629">
        <v>1</v>
      </c>
      <c r="I1629">
        <v>418</v>
      </c>
      <c r="J1629">
        <v>1997</v>
      </c>
      <c r="K1629" s="4">
        <v>44891</v>
      </c>
      <c r="L1629" t="s">
        <v>26</v>
      </c>
      <c r="M1629" t="s">
        <v>74</v>
      </c>
      <c r="N1629">
        <v>2.73</v>
      </c>
      <c r="O1629">
        <v>1746</v>
      </c>
      <c r="P1629">
        <v>3.7</v>
      </c>
      <c r="Q1629">
        <v>51</v>
      </c>
      <c r="R1629">
        <v>652</v>
      </c>
    </row>
    <row r="1630" spans="1:18" hidden="1" x14ac:dyDescent="0.2">
      <c r="A1630">
        <v>5</v>
      </c>
      <c r="B1630" t="s">
        <v>94</v>
      </c>
      <c r="E1630" t="s">
        <v>19</v>
      </c>
      <c r="F1630">
        <v>2147783</v>
      </c>
      <c r="G1630">
        <v>3</v>
      </c>
      <c r="H1630">
        <v>3</v>
      </c>
      <c r="I1630">
        <v>138</v>
      </c>
      <c r="J1630">
        <v>2016</v>
      </c>
      <c r="K1630" s="4">
        <v>45769</v>
      </c>
      <c r="L1630" t="s">
        <v>26</v>
      </c>
      <c r="M1630" t="s">
        <v>76</v>
      </c>
      <c r="N1630">
        <v>3.09</v>
      </c>
      <c r="O1630">
        <v>1836</v>
      </c>
      <c r="P1630">
        <v>3.1</v>
      </c>
      <c r="Q1630">
        <v>168</v>
      </c>
      <c r="R1630">
        <v>364</v>
      </c>
    </row>
    <row r="1631" spans="1:18" hidden="1" x14ac:dyDescent="0.2">
      <c r="A1631">
        <v>1</v>
      </c>
      <c r="B1631" t="s">
        <v>38</v>
      </c>
      <c r="E1631" t="s">
        <v>51</v>
      </c>
      <c r="F1631">
        <v>2524811</v>
      </c>
      <c r="G1631">
        <v>4</v>
      </c>
      <c r="H1631">
        <v>1</v>
      </c>
      <c r="I1631">
        <v>361</v>
      </c>
      <c r="J1631">
        <v>1996</v>
      </c>
      <c r="K1631" s="4">
        <v>45712</v>
      </c>
      <c r="L1631" t="s">
        <v>20</v>
      </c>
      <c r="M1631" t="s">
        <v>42</v>
      </c>
      <c r="N1631">
        <v>2.17</v>
      </c>
      <c r="O1631">
        <v>2074</v>
      </c>
      <c r="P1631">
        <v>0.32</v>
      </c>
      <c r="Q1631">
        <v>342</v>
      </c>
      <c r="R1631">
        <v>473</v>
      </c>
    </row>
    <row r="1632" spans="1:18" hidden="1" x14ac:dyDescent="0.2">
      <c r="A1632">
        <v>4</v>
      </c>
      <c r="B1632" t="s">
        <v>34</v>
      </c>
      <c r="E1632" t="s">
        <v>51</v>
      </c>
      <c r="F1632">
        <v>591230</v>
      </c>
      <c r="G1632">
        <v>3</v>
      </c>
      <c r="H1632">
        <v>3</v>
      </c>
      <c r="I1632">
        <v>385</v>
      </c>
      <c r="J1632">
        <v>2004</v>
      </c>
      <c r="K1632" s="4">
        <v>44474</v>
      </c>
      <c r="L1632" t="s">
        <v>26</v>
      </c>
      <c r="M1632" t="s">
        <v>89</v>
      </c>
      <c r="N1632">
        <v>1.96</v>
      </c>
      <c r="O1632">
        <v>1518</v>
      </c>
      <c r="P1632">
        <v>4.5999999999999996</v>
      </c>
      <c r="Q1632">
        <v>109</v>
      </c>
      <c r="R1632">
        <v>569</v>
      </c>
    </row>
    <row r="1633" spans="1:18" hidden="1" x14ac:dyDescent="0.2">
      <c r="A1633">
        <v>6</v>
      </c>
      <c r="B1633" t="s">
        <v>94</v>
      </c>
      <c r="E1633" t="s">
        <v>36</v>
      </c>
      <c r="F1633">
        <v>537605</v>
      </c>
      <c r="G1633">
        <v>2</v>
      </c>
      <c r="H1633">
        <v>1</v>
      </c>
      <c r="I1633">
        <v>384</v>
      </c>
      <c r="J1633">
        <v>1973</v>
      </c>
      <c r="K1633" s="4">
        <v>45209</v>
      </c>
      <c r="L1633" t="s">
        <v>20</v>
      </c>
      <c r="M1633" t="s">
        <v>33</v>
      </c>
      <c r="N1633">
        <v>2.81</v>
      </c>
      <c r="O1633">
        <v>1481</v>
      </c>
      <c r="P1633">
        <v>2.67</v>
      </c>
      <c r="Q1633">
        <v>40</v>
      </c>
      <c r="R1633">
        <v>439</v>
      </c>
    </row>
    <row r="1634" spans="1:18" hidden="1" x14ac:dyDescent="0.2">
      <c r="A1634">
        <v>3</v>
      </c>
      <c r="B1634" t="s">
        <v>25</v>
      </c>
      <c r="E1634" t="s">
        <v>19</v>
      </c>
      <c r="F1634">
        <v>2782300</v>
      </c>
      <c r="G1634">
        <v>6</v>
      </c>
      <c r="H1634">
        <v>3</v>
      </c>
      <c r="I1634">
        <v>553</v>
      </c>
      <c r="J1634">
        <v>1955</v>
      </c>
      <c r="K1634" s="4">
        <v>45153</v>
      </c>
      <c r="L1634" t="s">
        <v>30</v>
      </c>
      <c r="M1634" t="s">
        <v>52</v>
      </c>
      <c r="N1634">
        <v>3.06</v>
      </c>
      <c r="O1634">
        <v>1456</v>
      </c>
      <c r="P1634">
        <v>3.64</v>
      </c>
      <c r="Q1634">
        <v>339</v>
      </c>
      <c r="R1634">
        <v>654</v>
      </c>
    </row>
    <row r="1635" spans="1:18" hidden="1" x14ac:dyDescent="0.2">
      <c r="A1635">
        <v>9</v>
      </c>
      <c r="B1635" t="s">
        <v>43</v>
      </c>
      <c r="E1635" t="s">
        <v>29</v>
      </c>
      <c r="F1635">
        <v>414713</v>
      </c>
      <c r="G1635">
        <v>6</v>
      </c>
      <c r="H1635">
        <v>2</v>
      </c>
      <c r="I1635">
        <v>615</v>
      </c>
      <c r="J1635">
        <v>1969</v>
      </c>
      <c r="K1635" s="4">
        <v>45442</v>
      </c>
      <c r="L1635" t="s">
        <v>30</v>
      </c>
      <c r="M1635" t="s">
        <v>69</v>
      </c>
      <c r="N1635">
        <v>2.69</v>
      </c>
      <c r="O1635">
        <v>1058</v>
      </c>
      <c r="P1635">
        <v>4.74</v>
      </c>
      <c r="Q1635">
        <v>361</v>
      </c>
      <c r="R1635">
        <v>594</v>
      </c>
    </row>
    <row r="1636" spans="1:18" hidden="1" x14ac:dyDescent="0.2">
      <c r="A1636">
        <v>0</v>
      </c>
      <c r="B1636" t="s">
        <v>25</v>
      </c>
      <c r="E1636" t="s">
        <v>19</v>
      </c>
      <c r="F1636">
        <v>2244831</v>
      </c>
      <c r="G1636">
        <v>5</v>
      </c>
      <c r="H1636">
        <v>3</v>
      </c>
      <c r="I1636">
        <v>320</v>
      </c>
      <c r="J1636">
        <v>1993</v>
      </c>
      <c r="K1636" s="4">
        <v>44552</v>
      </c>
      <c r="L1636" t="s">
        <v>23</v>
      </c>
      <c r="M1636" t="s">
        <v>58</v>
      </c>
      <c r="N1636">
        <v>2.72</v>
      </c>
      <c r="O1636">
        <v>1019</v>
      </c>
      <c r="P1636">
        <v>2.2000000000000002</v>
      </c>
      <c r="Q1636">
        <v>358</v>
      </c>
      <c r="R1636">
        <v>659</v>
      </c>
    </row>
    <row r="1637" spans="1:18" hidden="1" x14ac:dyDescent="0.2">
      <c r="A1637">
        <v>5</v>
      </c>
      <c r="B1637" t="s">
        <v>71</v>
      </c>
      <c r="E1637" t="s">
        <v>51</v>
      </c>
      <c r="F1637">
        <v>2763860</v>
      </c>
      <c r="G1637">
        <v>3</v>
      </c>
      <c r="H1637">
        <v>2</v>
      </c>
      <c r="I1637">
        <v>474</v>
      </c>
      <c r="J1637">
        <v>1996</v>
      </c>
      <c r="K1637" s="4">
        <v>45624</v>
      </c>
      <c r="L1637" t="s">
        <v>23</v>
      </c>
      <c r="M1637" t="s">
        <v>77</v>
      </c>
      <c r="N1637">
        <v>3.16</v>
      </c>
      <c r="O1637">
        <v>2485</v>
      </c>
      <c r="P1637">
        <v>0.36</v>
      </c>
      <c r="Q1637">
        <v>212</v>
      </c>
      <c r="R1637">
        <v>467</v>
      </c>
    </row>
    <row r="1638" spans="1:18" hidden="1" x14ac:dyDescent="0.2">
      <c r="A1638">
        <v>3</v>
      </c>
      <c r="B1638" t="s">
        <v>96</v>
      </c>
      <c r="E1638" t="s">
        <v>51</v>
      </c>
      <c r="F1638">
        <v>1868032</v>
      </c>
      <c r="G1638">
        <v>1</v>
      </c>
      <c r="H1638">
        <v>2</v>
      </c>
      <c r="I1638">
        <v>155</v>
      </c>
      <c r="J1638">
        <v>2018</v>
      </c>
      <c r="K1638" s="4">
        <v>45816</v>
      </c>
      <c r="L1638" t="s">
        <v>26</v>
      </c>
      <c r="M1638" t="s">
        <v>40</v>
      </c>
      <c r="N1638">
        <v>1.69</v>
      </c>
      <c r="O1638">
        <v>1844</v>
      </c>
      <c r="P1638">
        <v>0.51</v>
      </c>
      <c r="Q1638">
        <v>148</v>
      </c>
      <c r="R1638">
        <v>400</v>
      </c>
    </row>
    <row r="1639" spans="1:18" x14ac:dyDescent="0.2">
      <c r="A1639">
        <v>8</v>
      </c>
      <c r="B1639" t="s">
        <v>93</v>
      </c>
      <c r="E1639" t="s">
        <v>19</v>
      </c>
      <c r="F1639">
        <v>1697146</v>
      </c>
      <c r="G1639">
        <v>5</v>
      </c>
      <c r="H1639">
        <v>1</v>
      </c>
      <c r="I1639">
        <v>284</v>
      </c>
      <c r="J1639">
        <v>1983</v>
      </c>
      <c r="K1639" s="4">
        <v>44372</v>
      </c>
      <c r="L1639" t="s">
        <v>20</v>
      </c>
      <c r="M1639" t="s">
        <v>82</v>
      </c>
      <c r="N1639">
        <v>2.78</v>
      </c>
      <c r="O1639">
        <v>915</v>
      </c>
      <c r="P1639">
        <v>1.86</v>
      </c>
      <c r="Q1639">
        <v>259</v>
      </c>
      <c r="R1639">
        <v>352</v>
      </c>
    </row>
    <row r="1640" spans="1:18" hidden="1" x14ac:dyDescent="0.2">
      <c r="A1640">
        <v>6</v>
      </c>
      <c r="B1640" t="s">
        <v>53</v>
      </c>
      <c r="E1640" t="s">
        <v>36</v>
      </c>
      <c r="F1640">
        <v>2291309</v>
      </c>
      <c r="G1640">
        <v>5</v>
      </c>
      <c r="H1640">
        <v>2</v>
      </c>
      <c r="I1640">
        <v>826</v>
      </c>
      <c r="J1640">
        <v>2015</v>
      </c>
      <c r="K1640" s="4">
        <v>44492</v>
      </c>
      <c r="L1640" t="s">
        <v>23</v>
      </c>
      <c r="M1640" t="s">
        <v>69</v>
      </c>
      <c r="N1640">
        <v>2.4900000000000002</v>
      </c>
      <c r="O1640">
        <v>1449</v>
      </c>
      <c r="P1640">
        <v>4.7300000000000004</v>
      </c>
      <c r="Q1640">
        <v>270</v>
      </c>
      <c r="R1640">
        <v>430</v>
      </c>
    </row>
    <row r="1641" spans="1:18" hidden="1" x14ac:dyDescent="0.2">
      <c r="A1641">
        <v>5</v>
      </c>
      <c r="B1641" t="s">
        <v>86</v>
      </c>
      <c r="E1641" t="s">
        <v>29</v>
      </c>
      <c r="F1641">
        <v>2457076</v>
      </c>
      <c r="G1641">
        <v>3</v>
      </c>
      <c r="H1641">
        <v>1</v>
      </c>
      <c r="I1641">
        <v>629</v>
      </c>
      <c r="J1641">
        <v>1964</v>
      </c>
      <c r="K1641" s="4">
        <v>44682</v>
      </c>
      <c r="L1641" t="s">
        <v>20</v>
      </c>
      <c r="M1641" t="s">
        <v>70</v>
      </c>
      <c r="N1641">
        <v>2.97</v>
      </c>
      <c r="O1641">
        <v>1105</v>
      </c>
      <c r="P1641">
        <v>0.64</v>
      </c>
      <c r="Q1641">
        <v>257</v>
      </c>
      <c r="R1641">
        <v>504</v>
      </c>
    </row>
    <row r="1642" spans="1:18" hidden="1" x14ac:dyDescent="0.2">
      <c r="A1642">
        <v>9</v>
      </c>
      <c r="B1642" t="s">
        <v>28</v>
      </c>
      <c r="E1642" t="s">
        <v>19</v>
      </c>
      <c r="F1642">
        <v>2580758</v>
      </c>
      <c r="G1642">
        <v>5</v>
      </c>
      <c r="H1642">
        <v>2</v>
      </c>
      <c r="I1642">
        <v>895</v>
      </c>
      <c r="J1642">
        <v>1965</v>
      </c>
      <c r="K1642" s="4">
        <v>44464</v>
      </c>
      <c r="L1642" t="s">
        <v>23</v>
      </c>
      <c r="M1642" t="s">
        <v>78</v>
      </c>
      <c r="N1642">
        <v>1.58</v>
      </c>
      <c r="O1642">
        <v>1896</v>
      </c>
      <c r="P1642">
        <v>4.4400000000000004</v>
      </c>
      <c r="Q1642">
        <v>363</v>
      </c>
      <c r="R1642">
        <v>317</v>
      </c>
    </row>
    <row r="1643" spans="1:18" hidden="1" x14ac:dyDescent="0.2">
      <c r="A1643">
        <v>4</v>
      </c>
      <c r="B1643" t="s">
        <v>80</v>
      </c>
      <c r="E1643" t="s">
        <v>19</v>
      </c>
      <c r="F1643">
        <v>2508700</v>
      </c>
      <c r="G1643">
        <v>6</v>
      </c>
      <c r="H1643">
        <v>3</v>
      </c>
      <c r="I1643">
        <v>93</v>
      </c>
      <c r="J1643">
        <v>2007</v>
      </c>
      <c r="K1643" s="4">
        <v>45829</v>
      </c>
      <c r="L1643" t="s">
        <v>20</v>
      </c>
      <c r="M1643" t="s">
        <v>59</v>
      </c>
      <c r="N1643">
        <v>1.71</v>
      </c>
      <c r="O1643">
        <v>1611</v>
      </c>
      <c r="P1643">
        <v>2.37</v>
      </c>
      <c r="Q1643">
        <v>327</v>
      </c>
      <c r="R1643">
        <v>319</v>
      </c>
    </row>
    <row r="1644" spans="1:18" hidden="1" x14ac:dyDescent="0.2">
      <c r="A1644">
        <v>7</v>
      </c>
      <c r="B1644" t="s">
        <v>53</v>
      </c>
      <c r="E1644" t="s">
        <v>51</v>
      </c>
      <c r="F1644">
        <v>2821487</v>
      </c>
      <c r="G1644">
        <v>3</v>
      </c>
      <c r="H1644">
        <v>2</v>
      </c>
      <c r="I1644">
        <v>948</v>
      </c>
      <c r="J1644">
        <v>1967</v>
      </c>
      <c r="K1644" s="4">
        <v>44780</v>
      </c>
      <c r="L1644" t="s">
        <v>20</v>
      </c>
      <c r="M1644" t="s">
        <v>58</v>
      </c>
      <c r="N1644">
        <v>2.62</v>
      </c>
      <c r="O1644">
        <v>1673</v>
      </c>
      <c r="P1644">
        <v>1.3</v>
      </c>
      <c r="Q1644">
        <v>225</v>
      </c>
      <c r="R1644">
        <v>442</v>
      </c>
    </row>
    <row r="1645" spans="1:18" hidden="1" x14ac:dyDescent="0.2">
      <c r="A1645">
        <v>3</v>
      </c>
      <c r="B1645" t="s">
        <v>48</v>
      </c>
      <c r="E1645" t="s">
        <v>29</v>
      </c>
      <c r="F1645">
        <v>429132</v>
      </c>
      <c r="G1645">
        <v>2</v>
      </c>
      <c r="H1645">
        <v>2</v>
      </c>
      <c r="I1645">
        <v>503</v>
      </c>
      <c r="J1645">
        <v>2003</v>
      </c>
      <c r="K1645" s="4">
        <v>45063</v>
      </c>
      <c r="L1645" t="s">
        <v>26</v>
      </c>
      <c r="M1645" t="s">
        <v>24</v>
      </c>
      <c r="N1645">
        <v>2.2599999999999998</v>
      </c>
      <c r="O1645">
        <v>898</v>
      </c>
      <c r="P1645">
        <v>2.4900000000000002</v>
      </c>
      <c r="Q1645">
        <v>106</v>
      </c>
      <c r="R1645">
        <v>614</v>
      </c>
    </row>
    <row r="1646" spans="1:18" hidden="1" x14ac:dyDescent="0.2">
      <c r="A1646">
        <v>2</v>
      </c>
      <c r="B1646" t="s">
        <v>73</v>
      </c>
      <c r="E1646" t="s">
        <v>29</v>
      </c>
      <c r="F1646">
        <v>1405191</v>
      </c>
      <c r="G1646">
        <v>2</v>
      </c>
      <c r="H1646">
        <v>2</v>
      </c>
      <c r="I1646">
        <v>478</v>
      </c>
      <c r="J1646">
        <v>2010</v>
      </c>
      <c r="K1646" s="4">
        <v>45321</v>
      </c>
      <c r="L1646" t="s">
        <v>23</v>
      </c>
      <c r="M1646" t="s">
        <v>24</v>
      </c>
      <c r="N1646">
        <v>1.71</v>
      </c>
      <c r="O1646">
        <v>1275</v>
      </c>
      <c r="P1646">
        <v>3.18</v>
      </c>
      <c r="Q1646">
        <v>131</v>
      </c>
      <c r="R1646">
        <v>448</v>
      </c>
    </row>
    <row r="1647" spans="1:18" x14ac:dyDescent="0.2">
      <c r="A1647">
        <v>8</v>
      </c>
      <c r="B1647" t="s">
        <v>96</v>
      </c>
      <c r="E1647" t="s">
        <v>29</v>
      </c>
      <c r="F1647">
        <v>2762094</v>
      </c>
      <c r="G1647">
        <v>3</v>
      </c>
      <c r="H1647">
        <v>3</v>
      </c>
      <c r="I1647">
        <v>973</v>
      </c>
      <c r="J1647">
        <v>1998</v>
      </c>
      <c r="K1647" s="4">
        <v>44657</v>
      </c>
      <c r="L1647" t="s">
        <v>26</v>
      </c>
      <c r="M1647" t="s">
        <v>47</v>
      </c>
      <c r="N1647">
        <v>2.94</v>
      </c>
      <c r="O1647">
        <v>1241</v>
      </c>
      <c r="P1647">
        <v>3.63</v>
      </c>
      <c r="Q1647">
        <v>146</v>
      </c>
      <c r="R1647">
        <v>460</v>
      </c>
    </row>
    <row r="1648" spans="1:18" hidden="1" x14ac:dyDescent="0.2">
      <c r="A1648">
        <v>6</v>
      </c>
      <c r="B1648" t="s">
        <v>61</v>
      </c>
      <c r="E1648" t="s">
        <v>19</v>
      </c>
      <c r="F1648">
        <v>2669384</v>
      </c>
      <c r="G1648">
        <v>6</v>
      </c>
      <c r="H1648">
        <v>3</v>
      </c>
      <c r="I1648">
        <v>664</v>
      </c>
      <c r="J1648">
        <v>1959</v>
      </c>
      <c r="K1648" s="4">
        <v>44348</v>
      </c>
      <c r="L1648" t="s">
        <v>23</v>
      </c>
      <c r="M1648" t="s">
        <v>69</v>
      </c>
      <c r="N1648">
        <v>2.38</v>
      </c>
      <c r="O1648">
        <v>2334</v>
      </c>
      <c r="P1648">
        <v>0.3</v>
      </c>
      <c r="Q1648">
        <v>352</v>
      </c>
      <c r="R1648">
        <v>376</v>
      </c>
    </row>
    <row r="1649" spans="1:18" x14ac:dyDescent="0.2">
      <c r="A1649">
        <v>8</v>
      </c>
      <c r="B1649" t="s">
        <v>80</v>
      </c>
      <c r="E1649" t="s">
        <v>19</v>
      </c>
      <c r="F1649">
        <v>1126904</v>
      </c>
      <c r="G1649">
        <v>3</v>
      </c>
      <c r="H1649">
        <v>3</v>
      </c>
      <c r="I1649">
        <v>334</v>
      </c>
      <c r="J1649">
        <v>2017</v>
      </c>
      <c r="K1649" s="4">
        <v>45656</v>
      </c>
      <c r="L1649" t="s">
        <v>23</v>
      </c>
      <c r="M1649" t="s">
        <v>70</v>
      </c>
      <c r="N1649">
        <v>1.52</v>
      </c>
      <c r="O1649">
        <v>845</v>
      </c>
      <c r="P1649">
        <v>3.25</v>
      </c>
      <c r="Q1649">
        <v>249</v>
      </c>
      <c r="R1649">
        <v>652</v>
      </c>
    </row>
    <row r="1650" spans="1:18" hidden="1" x14ac:dyDescent="0.2">
      <c r="A1650">
        <v>3</v>
      </c>
      <c r="B1650" t="s">
        <v>32</v>
      </c>
      <c r="E1650" t="s">
        <v>51</v>
      </c>
      <c r="F1650">
        <v>459298</v>
      </c>
      <c r="G1650">
        <v>4</v>
      </c>
      <c r="H1650">
        <v>3</v>
      </c>
      <c r="I1650">
        <v>365</v>
      </c>
      <c r="J1650">
        <v>1953</v>
      </c>
      <c r="K1650" s="4">
        <v>44191</v>
      </c>
      <c r="L1650" t="s">
        <v>30</v>
      </c>
      <c r="M1650" t="s">
        <v>52</v>
      </c>
      <c r="N1650">
        <v>3.1</v>
      </c>
      <c r="O1650">
        <v>2057</v>
      </c>
      <c r="P1650">
        <v>4.88</v>
      </c>
      <c r="Q1650">
        <v>170</v>
      </c>
      <c r="R1650">
        <v>333</v>
      </c>
    </row>
    <row r="1651" spans="1:18" hidden="1" x14ac:dyDescent="0.2">
      <c r="A1651">
        <v>1</v>
      </c>
      <c r="B1651" t="s">
        <v>93</v>
      </c>
      <c r="E1651" t="s">
        <v>103</v>
      </c>
      <c r="F1651">
        <v>860488</v>
      </c>
      <c r="G1651">
        <v>4</v>
      </c>
      <c r="H1651">
        <v>3</v>
      </c>
      <c r="I1651">
        <v>148</v>
      </c>
      <c r="J1651">
        <v>1999</v>
      </c>
      <c r="K1651" s="4">
        <v>44509</v>
      </c>
      <c r="L1651" t="s">
        <v>26</v>
      </c>
      <c r="M1651" t="s">
        <v>60</v>
      </c>
      <c r="N1651">
        <v>3.06</v>
      </c>
      <c r="O1651">
        <v>1884</v>
      </c>
      <c r="P1651">
        <v>3.39</v>
      </c>
      <c r="Q1651">
        <v>271</v>
      </c>
      <c r="R1651">
        <v>448</v>
      </c>
    </row>
    <row r="1652" spans="1:18" x14ac:dyDescent="0.2">
      <c r="A1652">
        <v>8</v>
      </c>
      <c r="B1652" t="s">
        <v>18</v>
      </c>
      <c r="E1652" t="s">
        <v>19</v>
      </c>
      <c r="F1652">
        <v>766730</v>
      </c>
      <c r="G1652">
        <v>4</v>
      </c>
      <c r="H1652">
        <v>3</v>
      </c>
      <c r="I1652">
        <v>357</v>
      </c>
      <c r="J1652">
        <v>1974</v>
      </c>
      <c r="K1652" s="4">
        <v>44551</v>
      </c>
      <c r="L1652" t="s">
        <v>20</v>
      </c>
      <c r="M1652" t="s">
        <v>69</v>
      </c>
      <c r="N1652">
        <v>2.09</v>
      </c>
      <c r="O1652">
        <v>858</v>
      </c>
      <c r="P1652">
        <v>4.87</v>
      </c>
      <c r="Q1652">
        <v>173</v>
      </c>
      <c r="R1652">
        <v>631</v>
      </c>
    </row>
    <row r="1653" spans="1:18" hidden="1" x14ac:dyDescent="0.2">
      <c r="A1653">
        <v>6</v>
      </c>
      <c r="B1653" t="s">
        <v>104</v>
      </c>
      <c r="E1653" t="s">
        <v>36</v>
      </c>
      <c r="F1653">
        <v>1924978</v>
      </c>
      <c r="G1653">
        <v>1</v>
      </c>
      <c r="H1653">
        <v>2</v>
      </c>
      <c r="I1653">
        <v>189</v>
      </c>
      <c r="J1653">
        <v>1995</v>
      </c>
      <c r="K1653" s="4">
        <v>44296</v>
      </c>
      <c r="L1653" t="s">
        <v>30</v>
      </c>
      <c r="M1653" t="s">
        <v>68</v>
      </c>
      <c r="N1653">
        <v>2.76</v>
      </c>
      <c r="O1653">
        <v>2188</v>
      </c>
      <c r="P1653">
        <v>0.12</v>
      </c>
      <c r="Q1653">
        <v>95</v>
      </c>
      <c r="R1653">
        <v>310</v>
      </c>
    </row>
    <row r="1654" spans="1:18" x14ac:dyDescent="0.2">
      <c r="A1654">
        <v>8</v>
      </c>
      <c r="B1654" t="s">
        <v>92</v>
      </c>
      <c r="E1654" t="s">
        <v>29</v>
      </c>
      <c r="F1654">
        <v>2812581</v>
      </c>
      <c r="G1654">
        <v>3</v>
      </c>
      <c r="H1654">
        <v>1</v>
      </c>
      <c r="I1654">
        <v>635</v>
      </c>
      <c r="J1654">
        <v>2019</v>
      </c>
      <c r="K1654" s="4">
        <v>44277</v>
      </c>
      <c r="L1654" t="s">
        <v>23</v>
      </c>
      <c r="M1654" t="s">
        <v>54</v>
      </c>
      <c r="N1654">
        <v>2.44</v>
      </c>
      <c r="O1654">
        <v>1397</v>
      </c>
      <c r="P1654">
        <v>1.42</v>
      </c>
      <c r="Q1654">
        <v>278</v>
      </c>
      <c r="R1654">
        <v>563</v>
      </c>
    </row>
    <row r="1655" spans="1:18" hidden="1" x14ac:dyDescent="0.2">
      <c r="A1655">
        <v>2</v>
      </c>
      <c r="B1655" t="s">
        <v>50</v>
      </c>
      <c r="E1655" t="s">
        <v>51</v>
      </c>
      <c r="F1655">
        <v>2912671</v>
      </c>
      <c r="G1655">
        <v>4</v>
      </c>
      <c r="H1655">
        <v>1</v>
      </c>
      <c r="I1655">
        <v>794</v>
      </c>
      <c r="J1655">
        <v>2010</v>
      </c>
      <c r="K1655" s="4">
        <v>44213</v>
      </c>
      <c r="L1655" t="s">
        <v>23</v>
      </c>
      <c r="M1655" t="s">
        <v>85</v>
      </c>
      <c r="N1655">
        <v>3.37</v>
      </c>
      <c r="O1655">
        <v>1129</v>
      </c>
      <c r="P1655">
        <v>1.53</v>
      </c>
      <c r="Q1655">
        <v>245</v>
      </c>
      <c r="R1655">
        <v>532</v>
      </c>
    </row>
    <row r="1656" spans="1:18" hidden="1" x14ac:dyDescent="0.2">
      <c r="A1656">
        <v>2</v>
      </c>
      <c r="B1656" t="s">
        <v>95</v>
      </c>
      <c r="E1656" t="s">
        <v>29</v>
      </c>
      <c r="F1656">
        <v>2288272</v>
      </c>
      <c r="G1656">
        <v>4</v>
      </c>
      <c r="H1656">
        <v>1</v>
      </c>
      <c r="I1656">
        <v>193</v>
      </c>
      <c r="J1656">
        <v>2009</v>
      </c>
      <c r="K1656" s="4">
        <v>44091</v>
      </c>
      <c r="L1656" t="s">
        <v>20</v>
      </c>
      <c r="M1656" t="s">
        <v>68</v>
      </c>
      <c r="N1656">
        <v>2.0299999999999998</v>
      </c>
      <c r="O1656">
        <v>1739</v>
      </c>
      <c r="P1656">
        <v>4.12</v>
      </c>
      <c r="Q1656">
        <v>333</v>
      </c>
      <c r="R1656">
        <v>329</v>
      </c>
    </row>
    <row r="1657" spans="1:18" hidden="1" x14ac:dyDescent="0.2">
      <c r="A1657">
        <v>0</v>
      </c>
      <c r="B1657" t="s">
        <v>73</v>
      </c>
      <c r="E1657" t="s">
        <v>36</v>
      </c>
      <c r="F1657">
        <v>2776021</v>
      </c>
      <c r="G1657">
        <v>0</v>
      </c>
      <c r="H1657">
        <v>3</v>
      </c>
      <c r="I1657">
        <v>669</v>
      </c>
      <c r="J1657">
        <v>1987</v>
      </c>
      <c r="K1657" s="4">
        <v>45501</v>
      </c>
      <c r="L1657" t="s">
        <v>30</v>
      </c>
      <c r="M1657" t="s">
        <v>70</v>
      </c>
      <c r="N1657">
        <v>1.64</v>
      </c>
      <c r="O1657">
        <v>2140</v>
      </c>
      <c r="P1657">
        <v>3.49</v>
      </c>
      <c r="Q1657">
        <v>52</v>
      </c>
      <c r="R1657">
        <v>574</v>
      </c>
    </row>
    <row r="1658" spans="1:18" hidden="1" x14ac:dyDescent="0.2">
      <c r="A1658">
        <v>4</v>
      </c>
      <c r="B1658" t="s">
        <v>39</v>
      </c>
      <c r="E1658" t="s">
        <v>51</v>
      </c>
      <c r="F1658">
        <v>1130359</v>
      </c>
      <c r="G1658">
        <v>5</v>
      </c>
      <c r="H1658">
        <v>3</v>
      </c>
      <c r="I1658">
        <v>82</v>
      </c>
      <c r="J1658">
        <v>1985</v>
      </c>
      <c r="K1658" s="4">
        <v>44975</v>
      </c>
      <c r="L1658" t="s">
        <v>20</v>
      </c>
      <c r="M1658" t="s">
        <v>82</v>
      </c>
      <c r="N1658">
        <v>1.59</v>
      </c>
      <c r="O1658">
        <v>859</v>
      </c>
      <c r="P1658">
        <v>3.08</v>
      </c>
      <c r="Q1658">
        <v>281</v>
      </c>
      <c r="R1658">
        <v>330</v>
      </c>
    </row>
    <row r="1659" spans="1:18" x14ac:dyDescent="0.2">
      <c r="A1659">
        <v>8</v>
      </c>
      <c r="B1659" t="s">
        <v>73</v>
      </c>
      <c r="E1659" t="s">
        <v>36</v>
      </c>
      <c r="F1659">
        <v>1968020</v>
      </c>
      <c r="G1659">
        <v>3</v>
      </c>
      <c r="H1659">
        <v>2</v>
      </c>
      <c r="I1659">
        <v>801</v>
      </c>
      <c r="J1659">
        <v>1989</v>
      </c>
      <c r="K1659" s="4">
        <v>44400</v>
      </c>
      <c r="L1659" t="s">
        <v>26</v>
      </c>
      <c r="M1659" t="s">
        <v>56</v>
      </c>
      <c r="N1659">
        <v>2.68</v>
      </c>
      <c r="O1659">
        <v>1391</v>
      </c>
      <c r="P1659">
        <v>3.47</v>
      </c>
      <c r="Q1659">
        <v>160</v>
      </c>
      <c r="R1659">
        <v>569</v>
      </c>
    </row>
    <row r="1660" spans="1:18" hidden="1" x14ac:dyDescent="0.2">
      <c r="A1660">
        <v>1</v>
      </c>
      <c r="B1660" t="s">
        <v>88</v>
      </c>
      <c r="E1660" t="s">
        <v>19</v>
      </c>
      <c r="F1660">
        <v>814611</v>
      </c>
      <c r="G1660">
        <v>4</v>
      </c>
      <c r="H1660">
        <v>1</v>
      </c>
      <c r="I1660">
        <v>183</v>
      </c>
      <c r="J1660">
        <v>1976</v>
      </c>
      <c r="K1660" s="4">
        <v>44557</v>
      </c>
      <c r="L1660" t="s">
        <v>23</v>
      </c>
      <c r="M1660" t="s">
        <v>45</v>
      </c>
      <c r="N1660">
        <v>3.39</v>
      </c>
      <c r="O1660">
        <v>2248</v>
      </c>
      <c r="P1660">
        <v>4.01</v>
      </c>
      <c r="Q1660">
        <v>247</v>
      </c>
      <c r="R1660">
        <v>325</v>
      </c>
    </row>
    <row r="1661" spans="1:18" hidden="1" x14ac:dyDescent="0.2">
      <c r="A1661">
        <v>2</v>
      </c>
      <c r="B1661" t="s">
        <v>90</v>
      </c>
      <c r="E1661" t="s">
        <v>29</v>
      </c>
      <c r="F1661">
        <v>1607475</v>
      </c>
      <c r="G1661">
        <v>1</v>
      </c>
      <c r="H1661">
        <v>1</v>
      </c>
      <c r="I1661">
        <v>377</v>
      </c>
      <c r="J1661">
        <v>1965</v>
      </c>
      <c r="K1661" s="4">
        <v>44347</v>
      </c>
      <c r="L1661" t="s">
        <v>30</v>
      </c>
      <c r="M1661" t="s">
        <v>97</v>
      </c>
      <c r="N1661">
        <v>2.16</v>
      </c>
      <c r="O1661">
        <v>1351</v>
      </c>
      <c r="P1661">
        <v>3.28</v>
      </c>
      <c r="Q1661">
        <v>160</v>
      </c>
      <c r="R1661">
        <v>345</v>
      </c>
    </row>
    <row r="1662" spans="1:18" hidden="1" x14ac:dyDescent="0.2">
      <c r="A1662">
        <v>9</v>
      </c>
      <c r="B1662" t="s">
        <v>92</v>
      </c>
      <c r="E1662" t="s">
        <v>36</v>
      </c>
      <c r="F1662">
        <v>2849130</v>
      </c>
      <c r="G1662">
        <v>3</v>
      </c>
      <c r="H1662">
        <v>3</v>
      </c>
      <c r="I1662">
        <v>244</v>
      </c>
      <c r="J1662">
        <v>2014</v>
      </c>
      <c r="K1662" s="4">
        <v>44418</v>
      </c>
      <c r="L1662" t="s">
        <v>23</v>
      </c>
      <c r="M1662" t="s">
        <v>40</v>
      </c>
      <c r="N1662">
        <v>2.7</v>
      </c>
      <c r="O1662">
        <v>1880</v>
      </c>
      <c r="P1662">
        <v>1.79</v>
      </c>
      <c r="Q1662">
        <v>262</v>
      </c>
      <c r="R1662">
        <v>644</v>
      </c>
    </row>
    <row r="1663" spans="1:18" hidden="1" x14ac:dyDescent="0.2">
      <c r="A1663">
        <v>7</v>
      </c>
      <c r="B1663" t="s">
        <v>67</v>
      </c>
      <c r="E1663" t="s">
        <v>36</v>
      </c>
      <c r="F1663">
        <v>1402505</v>
      </c>
      <c r="G1663">
        <v>4</v>
      </c>
      <c r="H1663">
        <v>3</v>
      </c>
      <c r="I1663">
        <v>785</v>
      </c>
      <c r="J1663">
        <v>1983</v>
      </c>
      <c r="K1663" s="4">
        <v>44095</v>
      </c>
      <c r="L1663" t="s">
        <v>26</v>
      </c>
      <c r="M1663" t="s">
        <v>27</v>
      </c>
      <c r="N1663">
        <v>2.4500000000000002</v>
      </c>
      <c r="O1663">
        <v>1501</v>
      </c>
      <c r="P1663">
        <v>0.39</v>
      </c>
      <c r="Q1663">
        <v>173</v>
      </c>
      <c r="R1663">
        <v>356</v>
      </c>
    </row>
    <row r="1664" spans="1:18" hidden="1" x14ac:dyDescent="0.2">
      <c r="A1664">
        <v>6</v>
      </c>
      <c r="B1664" t="s">
        <v>39</v>
      </c>
      <c r="E1664" t="s">
        <v>36</v>
      </c>
      <c r="F1664">
        <v>1785279</v>
      </c>
      <c r="G1664">
        <v>6</v>
      </c>
      <c r="H1664">
        <v>1</v>
      </c>
      <c r="I1664">
        <v>62</v>
      </c>
      <c r="J1664">
        <v>1989</v>
      </c>
      <c r="K1664" s="4">
        <v>44163</v>
      </c>
      <c r="L1664" t="s">
        <v>23</v>
      </c>
      <c r="M1664" t="s">
        <v>33</v>
      </c>
      <c r="N1664">
        <v>2.3199999999999998</v>
      </c>
      <c r="O1664">
        <v>2476</v>
      </c>
      <c r="P1664">
        <v>3.12</v>
      </c>
      <c r="Q1664">
        <v>374</v>
      </c>
      <c r="R1664">
        <v>514</v>
      </c>
    </row>
    <row r="1665" spans="1:18" hidden="1" x14ac:dyDescent="0.2">
      <c r="A1665">
        <v>1</v>
      </c>
      <c r="B1665" t="s">
        <v>32</v>
      </c>
      <c r="E1665" t="s">
        <v>29</v>
      </c>
      <c r="F1665">
        <v>977165</v>
      </c>
      <c r="G1665">
        <v>1</v>
      </c>
      <c r="H1665">
        <v>3</v>
      </c>
      <c r="I1665">
        <v>530</v>
      </c>
      <c r="J1665">
        <v>1960</v>
      </c>
      <c r="K1665" s="4">
        <v>45861</v>
      </c>
      <c r="L1665" t="s">
        <v>20</v>
      </c>
      <c r="M1665" t="s">
        <v>63</v>
      </c>
      <c r="N1665">
        <v>1.82</v>
      </c>
      <c r="O1665">
        <v>1613</v>
      </c>
      <c r="P1665">
        <v>4.9400000000000004</v>
      </c>
      <c r="Q1665">
        <v>61</v>
      </c>
      <c r="R1665">
        <v>665</v>
      </c>
    </row>
    <row r="1666" spans="1:18" hidden="1" x14ac:dyDescent="0.2">
      <c r="A1666">
        <v>9</v>
      </c>
      <c r="B1666" t="s">
        <v>28</v>
      </c>
      <c r="E1666" t="s">
        <v>29</v>
      </c>
      <c r="F1666">
        <v>1144201</v>
      </c>
      <c r="G1666">
        <v>3</v>
      </c>
      <c r="H1666">
        <v>1</v>
      </c>
      <c r="I1666">
        <v>134</v>
      </c>
      <c r="J1666">
        <v>1982</v>
      </c>
      <c r="K1666" s="4">
        <v>44638</v>
      </c>
      <c r="L1666" t="s">
        <v>20</v>
      </c>
      <c r="M1666" t="s">
        <v>45</v>
      </c>
      <c r="N1666">
        <v>2.69</v>
      </c>
      <c r="O1666">
        <v>1504</v>
      </c>
      <c r="P1666">
        <v>3.21</v>
      </c>
      <c r="Q1666">
        <v>199</v>
      </c>
      <c r="R1666">
        <v>602</v>
      </c>
    </row>
    <row r="1667" spans="1:18" hidden="1" x14ac:dyDescent="0.2">
      <c r="A1667">
        <v>3</v>
      </c>
      <c r="B1667" t="s">
        <v>87</v>
      </c>
      <c r="E1667" t="s">
        <v>19</v>
      </c>
      <c r="F1667">
        <v>568409</v>
      </c>
      <c r="G1667">
        <v>3</v>
      </c>
      <c r="H1667">
        <v>2</v>
      </c>
      <c r="I1667">
        <v>874</v>
      </c>
      <c r="J1667">
        <v>2015</v>
      </c>
      <c r="K1667" s="4">
        <v>44577</v>
      </c>
      <c r="L1667" t="s">
        <v>30</v>
      </c>
      <c r="M1667" t="s">
        <v>74</v>
      </c>
      <c r="N1667">
        <v>1.66</v>
      </c>
      <c r="O1667">
        <v>1576</v>
      </c>
      <c r="P1667">
        <v>2.98</v>
      </c>
      <c r="Q1667">
        <v>281</v>
      </c>
      <c r="R1667">
        <v>439</v>
      </c>
    </row>
    <row r="1668" spans="1:18" hidden="1" x14ac:dyDescent="0.2">
      <c r="A1668">
        <v>0</v>
      </c>
      <c r="B1668" t="s">
        <v>49</v>
      </c>
      <c r="E1668" t="s">
        <v>51</v>
      </c>
      <c r="F1668">
        <v>2284394</v>
      </c>
      <c r="G1668">
        <v>5</v>
      </c>
      <c r="H1668">
        <v>3</v>
      </c>
      <c r="I1668">
        <v>352</v>
      </c>
      <c r="J1668">
        <v>1981</v>
      </c>
      <c r="K1668" s="4">
        <v>45358</v>
      </c>
      <c r="L1668" t="s">
        <v>23</v>
      </c>
      <c r="M1668" t="s">
        <v>60</v>
      </c>
      <c r="N1668">
        <v>2.0699999999999998</v>
      </c>
      <c r="O1668">
        <v>1939</v>
      </c>
      <c r="P1668">
        <v>2.2799999999999998</v>
      </c>
      <c r="Q1668">
        <v>358</v>
      </c>
      <c r="R1668">
        <v>410</v>
      </c>
    </row>
    <row r="1669" spans="1:18" hidden="1" x14ac:dyDescent="0.2">
      <c r="A1669">
        <v>1</v>
      </c>
      <c r="B1669" t="s">
        <v>22</v>
      </c>
      <c r="E1669" t="s">
        <v>51</v>
      </c>
      <c r="F1669">
        <v>1875122</v>
      </c>
      <c r="G1669">
        <v>4</v>
      </c>
      <c r="H1669">
        <v>1</v>
      </c>
      <c r="I1669">
        <v>615</v>
      </c>
      <c r="J1669">
        <v>1971</v>
      </c>
      <c r="K1669" s="4">
        <v>45682</v>
      </c>
      <c r="L1669" t="s">
        <v>23</v>
      </c>
      <c r="M1669" t="s">
        <v>27</v>
      </c>
      <c r="N1669">
        <v>3.05</v>
      </c>
      <c r="O1669">
        <v>1648</v>
      </c>
      <c r="P1669">
        <v>4.2300000000000004</v>
      </c>
      <c r="Q1669">
        <v>209</v>
      </c>
      <c r="R1669">
        <v>497</v>
      </c>
    </row>
    <row r="1670" spans="1:18" hidden="1" x14ac:dyDescent="0.2">
      <c r="A1670">
        <v>3</v>
      </c>
      <c r="B1670" t="s">
        <v>34</v>
      </c>
      <c r="E1670" t="s">
        <v>19</v>
      </c>
      <c r="F1670">
        <v>2050341</v>
      </c>
      <c r="G1670">
        <v>3</v>
      </c>
      <c r="H1670">
        <v>2</v>
      </c>
      <c r="I1670">
        <v>729</v>
      </c>
      <c r="J1670">
        <v>1972</v>
      </c>
      <c r="K1670" s="4">
        <v>44733</v>
      </c>
      <c r="L1670" t="s">
        <v>26</v>
      </c>
      <c r="M1670" t="s">
        <v>77</v>
      </c>
      <c r="N1670">
        <v>1.6</v>
      </c>
      <c r="O1670">
        <v>1759</v>
      </c>
      <c r="P1670">
        <v>3.62</v>
      </c>
      <c r="Q1670">
        <v>188</v>
      </c>
      <c r="R1670">
        <v>508</v>
      </c>
    </row>
    <row r="1671" spans="1:18" hidden="1" x14ac:dyDescent="0.2">
      <c r="A1671">
        <v>4</v>
      </c>
      <c r="B1671" t="s">
        <v>71</v>
      </c>
      <c r="E1671" t="s">
        <v>19</v>
      </c>
      <c r="F1671">
        <v>2927580</v>
      </c>
      <c r="G1671">
        <v>2</v>
      </c>
      <c r="H1671">
        <v>3</v>
      </c>
      <c r="I1671">
        <v>241</v>
      </c>
      <c r="J1671">
        <v>2022</v>
      </c>
      <c r="K1671" s="4">
        <v>45428</v>
      </c>
      <c r="L1671" t="s">
        <v>30</v>
      </c>
      <c r="M1671" t="s">
        <v>85</v>
      </c>
      <c r="N1671">
        <v>2.02</v>
      </c>
      <c r="O1671">
        <v>2268</v>
      </c>
      <c r="P1671">
        <v>3.48</v>
      </c>
      <c r="Q1671">
        <v>93</v>
      </c>
      <c r="R1671">
        <v>692</v>
      </c>
    </row>
    <row r="1672" spans="1:18" hidden="1" x14ac:dyDescent="0.2">
      <c r="A1672">
        <v>3</v>
      </c>
      <c r="B1672" t="s">
        <v>44</v>
      </c>
      <c r="E1672" t="s">
        <v>29</v>
      </c>
      <c r="F1672">
        <v>458074</v>
      </c>
      <c r="G1672">
        <v>4</v>
      </c>
      <c r="H1672">
        <v>3</v>
      </c>
      <c r="I1672">
        <v>952</v>
      </c>
      <c r="J1672">
        <v>1987</v>
      </c>
      <c r="K1672" s="4">
        <v>44138</v>
      </c>
      <c r="L1672" t="s">
        <v>26</v>
      </c>
      <c r="M1672" t="s">
        <v>35</v>
      </c>
      <c r="N1672">
        <v>2.92</v>
      </c>
      <c r="O1672">
        <v>1637</v>
      </c>
      <c r="P1672">
        <v>4.16</v>
      </c>
      <c r="Q1672">
        <v>357</v>
      </c>
      <c r="R1672">
        <v>397</v>
      </c>
    </row>
    <row r="1673" spans="1:18" hidden="1" x14ac:dyDescent="0.2">
      <c r="A1673">
        <v>3</v>
      </c>
      <c r="B1673" t="s">
        <v>25</v>
      </c>
      <c r="E1673" t="s">
        <v>19</v>
      </c>
      <c r="F1673">
        <v>616046</v>
      </c>
      <c r="G1673">
        <v>2</v>
      </c>
      <c r="H1673">
        <v>2</v>
      </c>
      <c r="I1673">
        <v>145</v>
      </c>
      <c r="J1673">
        <v>1994</v>
      </c>
      <c r="K1673" s="4">
        <v>45732</v>
      </c>
      <c r="L1673" t="s">
        <v>26</v>
      </c>
      <c r="M1673" t="s">
        <v>56</v>
      </c>
      <c r="N1673">
        <v>2.29</v>
      </c>
      <c r="O1673">
        <v>847</v>
      </c>
      <c r="P1673">
        <v>3.74</v>
      </c>
      <c r="Q1673">
        <v>159</v>
      </c>
      <c r="R1673">
        <v>548</v>
      </c>
    </row>
    <row r="1674" spans="1:18" hidden="1" x14ac:dyDescent="0.2">
      <c r="A1674">
        <v>0</v>
      </c>
      <c r="B1674" t="s">
        <v>79</v>
      </c>
      <c r="E1674" t="s">
        <v>19</v>
      </c>
      <c r="F1674">
        <v>1948163</v>
      </c>
      <c r="G1674">
        <v>6</v>
      </c>
      <c r="H1674">
        <v>2</v>
      </c>
      <c r="I1674">
        <v>118</v>
      </c>
      <c r="J1674">
        <v>1975</v>
      </c>
      <c r="K1674" s="4">
        <v>45133</v>
      </c>
      <c r="L1674" t="s">
        <v>26</v>
      </c>
      <c r="M1674" t="s">
        <v>47</v>
      </c>
      <c r="N1674">
        <v>2.88</v>
      </c>
      <c r="O1674">
        <v>1482</v>
      </c>
      <c r="P1674">
        <v>1.07</v>
      </c>
      <c r="Q1674">
        <v>393</v>
      </c>
      <c r="R1674">
        <v>316</v>
      </c>
    </row>
    <row r="1675" spans="1:18" hidden="1" x14ac:dyDescent="0.2">
      <c r="A1675">
        <v>0</v>
      </c>
      <c r="B1675" t="s">
        <v>32</v>
      </c>
      <c r="E1675" t="s">
        <v>29</v>
      </c>
      <c r="F1675">
        <v>629862</v>
      </c>
      <c r="G1675">
        <v>1</v>
      </c>
      <c r="H1675">
        <v>3</v>
      </c>
      <c r="I1675">
        <v>842</v>
      </c>
      <c r="J1675">
        <v>1985</v>
      </c>
      <c r="K1675" s="4">
        <v>44853</v>
      </c>
      <c r="L1675" t="s">
        <v>30</v>
      </c>
      <c r="M1675" t="s">
        <v>78</v>
      </c>
      <c r="N1675">
        <v>1.99</v>
      </c>
      <c r="O1675">
        <v>1986</v>
      </c>
      <c r="P1675">
        <v>0.24</v>
      </c>
      <c r="Q1675">
        <v>41</v>
      </c>
      <c r="R1675">
        <v>666</v>
      </c>
    </row>
    <row r="1676" spans="1:18" x14ac:dyDescent="0.2">
      <c r="A1676">
        <v>8</v>
      </c>
      <c r="B1676" t="s">
        <v>55</v>
      </c>
      <c r="E1676" t="s">
        <v>36</v>
      </c>
      <c r="F1676">
        <v>2978886</v>
      </c>
      <c r="G1676">
        <v>2</v>
      </c>
      <c r="H1676">
        <v>1</v>
      </c>
      <c r="I1676">
        <v>397</v>
      </c>
      <c r="J1676">
        <v>1992</v>
      </c>
      <c r="K1676" s="4">
        <v>44263</v>
      </c>
      <c r="L1676" t="s">
        <v>23</v>
      </c>
      <c r="M1676" t="s">
        <v>40</v>
      </c>
      <c r="N1676">
        <v>1.93</v>
      </c>
      <c r="O1676">
        <v>2353</v>
      </c>
      <c r="P1676">
        <v>1.25</v>
      </c>
      <c r="Q1676">
        <v>224</v>
      </c>
      <c r="R1676">
        <v>385</v>
      </c>
    </row>
    <row r="1677" spans="1:18" hidden="1" x14ac:dyDescent="0.2">
      <c r="A1677">
        <v>7</v>
      </c>
      <c r="B1677" t="s">
        <v>38</v>
      </c>
      <c r="E1677" t="s">
        <v>19</v>
      </c>
      <c r="F1677">
        <v>707693</v>
      </c>
      <c r="G1677">
        <v>4</v>
      </c>
      <c r="H1677">
        <v>1</v>
      </c>
      <c r="I1677">
        <v>612</v>
      </c>
      <c r="J1677">
        <v>1963</v>
      </c>
      <c r="K1677" s="4">
        <v>45513</v>
      </c>
      <c r="L1677" t="s">
        <v>20</v>
      </c>
      <c r="M1677" t="s">
        <v>60</v>
      </c>
      <c r="N1677">
        <v>3.22</v>
      </c>
      <c r="O1677">
        <v>1716</v>
      </c>
      <c r="P1677">
        <v>4.5199999999999996</v>
      </c>
      <c r="Q1677">
        <v>272</v>
      </c>
      <c r="R1677">
        <v>320</v>
      </c>
    </row>
    <row r="1678" spans="1:18" hidden="1" x14ac:dyDescent="0.2">
      <c r="A1678">
        <v>4</v>
      </c>
      <c r="B1678" t="s">
        <v>49</v>
      </c>
      <c r="E1678" t="s">
        <v>51</v>
      </c>
      <c r="F1678">
        <v>905096</v>
      </c>
      <c r="G1678">
        <v>4</v>
      </c>
      <c r="H1678">
        <v>3</v>
      </c>
      <c r="I1678">
        <v>407</v>
      </c>
      <c r="J1678">
        <v>2020</v>
      </c>
      <c r="K1678" s="4">
        <v>45038</v>
      </c>
      <c r="L1678" t="s">
        <v>30</v>
      </c>
      <c r="M1678" t="s">
        <v>74</v>
      </c>
      <c r="N1678">
        <v>2.85</v>
      </c>
      <c r="O1678">
        <v>2198</v>
      </c>
      <c r="P1678">
        <v>0.97</v>
      </c>
      <c r="Q1678">
        <v>333</v>
      </c>
      <c r="R1678">
        <v>556</v>
      </c>
    </row>
    <row r="1679" spans="1:18" hidden="1" x14ac:dyDescent="0.2">
      <c r="A1679">
        <v>0</v>
      </c>
      <c r="B1679" t="s">
        <v>55</v>
      </c>
      <c r="E1679" t="s">
        <v>51</v>
      </c>
      <c r="F1679">
        <v>1903306</v>
      </c>
      <c r="G1679">
        <v>1</v>
      </c>
      <c r="H1679">
        <v>1</v>
      </c>
      <c r="I1679">
        <v>423</v>
      </c>
      <c r="J1679">
        <v>2020</v>
      </c>
      <c r="K1679" s="4">
        <v>44286</v>
      </c>
      <c r="L1679" t="s">
        <v>26</v>
      </c>
      <c r="M1679" t="s">
        <v>85</v>
      </c>
      <c r="N1679">
        <v>2.73</v>
      </c>
      <c r="O1679">
        <v>1969</v>
      </c>
      <c r="P1679">
        <v>1.72</v>
      </c>
      <c r="Q1679">
        <v>46</v>
      </c>
      <c r="R1679">
        <v>406</v>
      </c>
    </row>
    <row r="1680" spans="1:18" hidden="1" x14ac:dyDescent="0.2">
      <c r="A1680">
        <v>6</v>
      </c>
      <c r="B1680" t="s">
        <v>101</v>
      </c>
      <c r="E1680" t="s">
        <v>19</v>
      </c>
      <c r="F1680">
        <v>2692995</v>
      </c>
      <c r="G1680">
        <v>3</v>
      </c>
      <c r="H1680">
        <v>1</v>
      </c>
      <c r="I1680">
        <v>555</v>
      </c>
      <c r="J1680">
        <v>1973</v>
      </c>
      <c r="K1680" s="4">
        <v>44347</v>
      </c>
      <c r="L1680" t="s">
        <v>23</v>
      </c>
      <c r="M1680" t="s">
        <v>74</v>
      </c>
      <c r="N1680">
        <v>1.98</v>
      </c>
      <c r="O1680">
        <v>1866</v>
      </c>
      <c r="P1680">
        <v>0.76</v>
      </c>
      <c r="Q1680">
        <v>251</v>
      </c>
      <c r="R1680">
        <v>590</v>
      </c>
    </row>
    <row r="1681" spans="1:18" hidden="1" x14ac:dyDescent="0.2">
      <c r="A1681">
        <v>4</v>
      </c>
      <c r="B1681" t="s">
        <v>72</v>
      </c>
      <c r="E1681" t="s">
        <v>36</v>
      </c>
      <c r="F1681">
        <v>2893168</v>
      </c>
      <c r="G1681">
        <v>2</v>
      </c>
      <c r="H1681">
        <v>3</v>
      </c>
      <c r="I1681">
        <v>997</v>
      </c>
      <c r="J1681">
        <v>1981</v>
      </c>
      <c r="K1681" s="4">
        <v>44171</v>
      </c>
      <c r="L1681" t="s">
        <v>26</v>
      </c>
      <c r="M1681" t="s">
        <v>60</v>
      </c>
      <c r="N1681">
        <v>2.3199999999999998</v>
      </c>
      <c r="O1681">
        <v>2012</v>
      </c>
      <c r="P1681">
        <v>3.17</v>
      </c>
      <c r="Q1681">
        <v>105</v>
      </c>
      <c r="R1681">
        <v>630</v>
      </c>
    </row>
    <row r="1682" spans="1:18" hidden="1" x14ac:dyDescent="0.2">
      <c r="A1682">
        <v>3</v>
      </c>
      <c r="B1682" t="s">
        <v>18</v>
      </c>
      <c r="E1682" t="s">
        <v>51</v>
      </c>
      <c r="F1682">
        <v>454910</v>
      </c>
      <c r="G1682">
        <v>1</v>
      </c>
      <c r="H1682">
        <v>3</v>
      </c>
      <c r="I1682">
        <v>809</v>
      </c>
      <c r="J1682">
        <v>1994</v>
      </c>
      <c r="K1682" s="4">
        <v>44923</v>
      </c>
      <c r="L1682" t="s">
        <v>20</v>
      </c>
      <c r="M1682" t="s">
        <v>66</v>
      </c>
      <c r="N1682">
        <v>2.99</v>
      </c>
      <c r="O1682">
        <v>904</v>
      </c>
      <c r="P1682">
        <v>0.48</v>
      </c>
      <c r="Q1682">
        <v>147</v>
      </c>
      <c r="R1682">
        <v>578</v>
      </c>
    </row>
    <row r="1683" spans="1:18" hidden="1" x14ac:dyDescent="0.2">
      <c r="A1683">
        <v>2</v>
      </c>
      <c r="B1683" t="s">
        <v>65</v>
      </c>
      <c r="E1683" t="s">
        <v>29</v>
      </c>
      <c r="F1683">
        <v>2394330</v>
      </c>
      <c r="G1683">
        <v>4</v>
      </c>
      <c r="H1683">
        <v>2</v>
      </c>
      <c r="I1683">
        <v>835</v>
      </c>
      <c r="J1683">
        <v>1976</v>
      </c>
      <c r="K1683" s="4">
        <v>44600</v>
      </c>
      <c r="L1683" t="s">
        <v>20</v>
      </c>
      <c r="M1683" t="s">
        <v>70</v>
      </c>
      <c r="N1683">
        <v>1.51</v>
      </c>
      <c r="O1683">
        <v>1691</v>
      </c>
      <c r="P1683">
        <v>0.71</v>
      </c>
      <c r="Q1683">
        <v>244</v>
      </c>
      <c r="R1683">
        <v>697</v>
      </c>
    </row>
    <row r="1684" spans="1:18" hidden="1" x14ac:dyDescent="0.2">
      <c r="A1684">
        <v>7</v>
      </c>
      <c r="B1684" t="s">
        <v>72</v>
      </c>
      <c r="E1684" t="s">
        <v>19</v>
      </c>
      <c r="F1684">
        <v>1419838</v>
      </c>
      <c r="G1684">
        <v>2</v>
      </c>
      <c r="H1684">
        <v>3</v>
      </c>
      <c r="I1684">
        <v>451</v>
      </c>
      <c r="J1684">
        <v>2022</v>
      </c>
      <c r="K1684" s="4">
        <v>44839</v>
      </c>
      <c r="L1684" t="s">
        <v>26</v>
      </c>
      <c r="M1684" t="s">
        <v>56</v>
      </c>
      <c r="N1684">
        <v>2.78</v>
      </c>
      <c r="O1684">
        <v>2082</v>
      </c>
      <c r="P1684">
        <v>2.21</v>
      </c>
      <c r="Q1684">
        <v>43</v>
      </c>
      <c r="R1684">
        <v>450</v>
      </c>
    </row>
    <row r="1685" spans="1:18" hidden="1" x14ac:dyDescent="0.2">
      <c r="A1685">
        <v>5</v>
      </c>
      <c r="B1685" t="s">
        <v>87</v>
      </c>
      <c r="E1685" t="s">
        <v>36</v>
      </c>
      <c r="F1685">
        <v>1663734</v>
      </c>
      <c r="G1685">
        <v>6</v>
      </c>
      <c r="H1685">
        <v>2</v>
      </c>
      <c r="I1685">
        <v>177</v>
      </c>
      <c r="J1685">
        <v>1977</v>
      </c>
      <c r="K1685" s="4">
        <v>44814</v>
      </c>
      <c r="L1685" t="s">
        <v>30</v>
      </c>
      <c r="M1685" t="s">
        <v>27</v>
      </c>
      <c r="N1685">
        <v>1.58</v>
      </c>
      <c r="O1685">
        <v>1901</v>
      </c>
      <c r="P1685">
        <v>2.38</v>
      </c>
      <c r="Q1685">
        <v>363</v>
      </c>
      <c r="R1685">
        <v>549</v>
      </c>
    </row>
    <row r="1686" spans="1:18" hidden="1" x14ac:dyDescent="0.2">
      <c r="A1686">
        <v>9</v>
      </c>
      <c r="B1686" t="s">
        <v>55</v>
      </c>
      <c r="E1686" t="s">
        <v>19</v>
      </c>
      <c r="F1686">
        <v>2664274</v>
      </c>
      <c r="G1686">
        <v>4</v>
      </c>
      <c r="H1686">
        <v>1</v>
      </c>
      <c r="I1686">
        <v>351</v>
      </c>
      <c r="J1686">
        <v>1975</v>
      </c>
      <c r="K1686" s="4">
        <v>45289</v>
      </c>
      <c r="L1686" t="s">
        <v>30</v>
      </c>
      <c r="M1686" t="s">
        <v>85</v>
      </c>
      <c r="N1686">
        <v>3.3</v>
      </c>
      <c r="O1686">
        <v>1353</v>
      </c>
      <c r="P1686">
        <v>2.04</v>
      </c>
      <c r="Q1686">
        <v>316</v>
      </c>
      <c r="R1686">
        <v>401</v>
      </c>
    </row>
    <row r="1687" spans="1:18" hidden="1" x14ac:dyDescent="0.2">
      <c r="A1687">
        <v>4</v>
      </c>
      <c r="B1687" t="s">
        <v>44</v>
      </c>
      <c r="E1687" t="s">
        <v>19</v>
      </c>
      <c r="F1687">
        <v>1101237</v>
      </c>
      <c r="G1687">
        <v>5</v>
      </c>
      <c r="H1687">
        <v>1</v>
      </c>
      <c r="I1687">
        <v>313</v>
      </c>
      <c r="J1687">
        <v>1992</v>
      </c>
      <c r="K1687" s="4">
        <v>44241</v>
      </c>
      <c r="L1687" t="s">
        <v>23</v>
      </c>
      <c r="M1687" t="s">
        <v>69</v>
      </c>
      <c r="N1687">
        <v>2.54</v>
      </c>
      <c r="O1687">
        <v>1542</v>
      </c>
      <c r="P1687">
        <v>1.76</v>
      </c>
      <c r="Q1687">
        <v>279</v>
      </c>
      <c r="R1687">
        <v>420</v>
      </c>
    </row>
    <row r="1688" spans="1:18" x14ac:dyDescent="0.2">
      <c r="A1688">
        <v>8</v>
      </c>
      <c r="B1688" t="s">
        <v>106</v>
      </c>
      <c r="E1688" t="s">
        <v>19</v>
      </c>
      <c r="F1688">
        <v>462412</v>
      </c>
      <c r="G1688">
        <v>5</v>
      </c>
      <c r="H1688">
        <v>3</v>
      </c>
      <c r="I1688">
        <v>111</v>
      </c>
      <c r="J1688">
        <v>1994</v>
      </c>
      <c r="K1688" s="4">
        <v>45533</v>
      </c>
      <c r="L1688" t="s">
        <v>26</v>
      </c>
      <c r="M1688" t="s">
        <v>59</v>
      </c>
      <c r="N1688">
        <v>3.49</v>
      </c>
      <c r="O1688">
        <v>1482</v>
      </c>
      <c r="P1688">
        <v>0.79</v>
      </c>
      <c r="Q1688">
        <v>278</v>
      </c>
      <c r="R1688">
        <v>488</v>
      </c>
    </row>
    <row r="1689" spans="1:18" hidden="1" x14ac:dyDescent="0.2">
      <c r="A1689">
        <v>7</v>
      </c>
      <c r="B1689" t="s">
        <v>87</v>
      </c>
      <c r="E1689" t="s">
        <v>51</v>
      </c>
      <c r="F1689">
        <v>489337</v>
      </c>
      <c r="G1689">
        <v>2</v>
      </c>
      <c r="H1689">
        <v>1</v>
      </c>
      <c r="I1689">
        <v>116</v>
      </c>
      <c r="J1689">
        <v>1994</v>
      </c>
      <c r="K1689" s="4">
        <v>44524</v>
      </c>
      <c r="L1689" t="s">
        <v>23</v>
      </c>
      <c r="M1689" t="s">
        <v>40</v>
      </c>
      <c r="N1689">
        <v>2.56</v>
      </c>
      <c r="O1689">
        <v>1497</v>
      </c>
      <c r="P1689">
        <v>2.5099999999999998</v>
      </c>
      <c r="Q1689">
        <v>208</v>
      </c>
      <c r="R1689">
        <v>425</v>
      </c>
    </row>
    <row r="1690" spans="1:18" hidden="1" x14ac:dyDescent="0.2">
      <c r="A1690">
        <v>3</v>
      </c>
      <c r="B1690" t="s">
        <v>44</v>
      </c>
      <c r="E1690" t="s">
        <v>29</v>
      </c>
      <c r="F1690">
        <v>436819</v>
      </c>
      <c r="G1690">
        <v>5</v>
      </c>
      <c r="H1690">
        <v>3</v>
      </c>
      <c r="I1690">
        <v>503</v>
      </c>
      <c r="J1690">
        <v>2008</v>
      </c>
      <c r="K1690" s="4">
        <v>45133</v>
      </c>
      <c r="L1690" t="s">
        <v>30</v>
      </c>
      <c r="M1690" t="s">
        <v>58</v>
      </c>
      <c r="N1690">
        <v>3</v>
      </c>
      <c r="O1690">
        <v>1542</v>
      </c>
      <c r="P1690">
        <v>0.45</v>
      </c>
      <c r="Q1690">
        <v>351</v>
      </c>
      <c r="R1690">
        <v>307</v>
      </c>
    </row>
    <row r="1691" spans="1:18" hidden="1" x14ac:dyDescent="0.2">
      <c r="A1691">
        <v>2</v>
      </c>
      <c r="B1691" t="s">
        <v>39</v>
      </c>
      <c r="E1691" t="s">
        <v>51</v>
      </c>
      <c r="F1691">
        <v>2891482</v>
      </c>
      <c r="G1691">
        <v>4</v>
      </c>
      <c r="H1691">
        <v>1</v>
      </c>
      <c r="I1691">
        <v>55</v>
      </c>
      <c r="J1691">
        <v>2020</v>
      </c>
      <c r="K1691" s="4">
        <v>44242</v>
      </c>
      <c r="L1691" t="s">
        <v>20</v>
      </c>
      <c r="M1691" t="s">
        <v>77</v>
      </c>
      <c r="N1691">
        <v>3.02</v>
      </c>
      <c r="O1691">
        <v>1414</v>
      </c>
      <c r="P1691">
        <v>1.95</v>
      </c>
      <c r="Q1691">
        <v>296</v>
      </c>
      <c r="R1691">
        <v>335</v>
      </c>
    </row>
    <row r="1692" spans="1:18" hidden="1" x14ac:dyDescent="0.2">
      <c r="A1692">
        <v>9</v>
      </c>
      <c r="B1692" t="s">
        <v>39</v>
      </c>
      <c r="E1692" t="s">
        <v>36</v>
      </c>
      <c r="F1692">
        <v>2608664</v>
      </c>
      <c r="G1692">
        <v>2</v>
      </c>
      <c r="H1692">
        <v>3</v>
      </c>
      <c r="I1692">
        <v>344</v>
      </c>
      <c r="J1692">
        <v>1997</v>
      </c>
      <c r="K1692" s="4">
        <v>45350</v>
      </c>
      <c r="L1692" t="s">
        <v>30</v>
      </c>
      <c r="M1692" t="s">
        <v>45</v>
      </c>
      <c r="N1692">
        <v>2.4900000000000002</v>
      </c>
      <c r="O1692">
        <v>1882</v>
      </c>
      <c r="P1692">
        <v>1.65</v>
      </c>
      <c r="Q1692">
        <v>97</v>
      </c>
      <c r="R1692">
        <v>598</v>
      </c>
    </row>
    <row r="1693" spans="1:18" hidden="1" x14ac:dyDescent="0.2">
      <c r="A1693">
        <v>5</v>
      </c>
      <c r="B1693" t="s">
        <v>46</v>
      </c>
      <c r="E1693" t="s">
        <v>51</v>
      </c>
      <c r="F1693">
        <v>2881017</v>
      </c>
      <c r="G1693">
        <v>3</v>
      </c>
      <c r="H1693">
        <v>2</v>
      </c>
      <c r="I1693">
        <v>627</v>
      </c>
      <c r="J1693">
        <v>1956</v>
      </c>
      <c r="K1693" s="4">
        <v>44106</v>
      </c>
      <c r="L1693" t="s">
        <v>26</v>
      </c>
      <c r="M1693" t="s">
        <v>27</v>
      </c>
      <c r="N1693">
        <v>1.79</v>
      </c>
      <c r="O1693">
        <v>968</v>
      </c>
      <c r="P1693">
        <v>0.74</v>
      </c>
      <c r="Q1693">
        <v>83</v>
      </c>
      <c r="R1693">
        <v>682</v>
      </c>
    </row>
    <row r="1694" spans="1:18" hidden="1" x14ac:dyDescent="0.2">
      <c r="A1694">
        <v>1</v>
      </c>
      <c r="B1694" t="s">
        <v>95</v>
      </c>
      <c r="E1694" t="s">
        <v>19</v>
      </c>
      <c r="F1694">
        <v>1513953</v>
      </c>
      <c r="G1694">
        <v>5</v>
      </c>
      <c r="H1694">
        <v>1</v>
      </c>
      <c r="I1694">
        <v>832</v>
      </c>
      <c r="J1694">
        <v>1953</v>
      </c>
      <c r="K1694" s="4">
        <v>45426</v>
      </c>
      <c r="L1694" t="s">
        <v>26</v>
      </c>
      <c r="M1694" t="s">
        <v>59</v>
      </c>
      <c r="N1694">
        <v>1.78</v>
      </c>
      <c r="O1694">
        <v>1579</v>
      </c>
      <c r="P1694">
        <v>1.32</v>
      </c>
      <c r="Q1694">
        <v>272</v>
      </c>
      <c r="R1694">
        <v>631</v>
      </c>
    </row>
    <row r="1695" spans="1:18" hidden="1" x14ac:dyDescent="0.2">
      <c r="A1695">
        <v>4</v>
      </c>
      <c r="B1695" t="s">
        <v>86</v>
      </c>
      <c r="E1695" t="s">
        <v>29</v>
      </c>
      <c r="F1695">
        <v>576632</v>
      </c>
      <c r="G1695">
        <v>3</v>
      </c>
      <c r="H1695">
        <v>1</v>
      </c>
      <c r="I1695">
        <v>194</v>
      </c>
      <c r="J1695">
        <v>1977</v>
      </c>
      <c r="K1695" s="4">
        <v>44848</v>
      </c>
      <c r="L1695" t="s">
        <v>23</v>
      </c>
      <c r="M1695" t="s">
        <v>60</v>
      </c>
      <c r="N1695">
        <v>2.93</v>
      </c>
      <c r="O1695">
        <v>1146</v>
      </c>
      <c r="P1695">
        <v>1.4</v>
      </c>
      <c r="Q1695">
        <v>185</v>
      </c>
      <c r="R1695">
        <v>347</v>
      </c>
    </row>
    <row r="1696" spans="1:18" hidden="1" x14ac:dyDescent="0.2">
      <c r="A1696">
        <v>4</v>
      </c>
      <c r="B1696" t="s">
        <v>25</v>
      </c>
      <c r="E1696" t="s">
        <v>19</v>
      </c>
      <c r="F1696">
        <v>1158989</v>
      </c>
      <c r="G1696">
        <v>2</v>
      </c>
      <c r="H1696">
        <v>1</v>
      </c>
      <c r="I1696">
        <v>896</v>
      </c>
      <c r="J1696">
        <v>1994</v>
      </c>
      <c r="K1696" s="4">
        <v>44323</v>
      </c>
      <c r="L1696" t="s">
        <v>20</v>
      </c>
      <c r="M1696" t="s">
        <v>45</v>
      </c>
      <c r="N1696">
        <v>1.86</v>
      </c>
      <c r="O1696">
        <v>1548</v>
      </c>
      <c r="P1696">
        <v>3.44</v>
      </c>
      <c r="Q1696">
        <v>134</v>
      </c>
      <c r="R1696">
        <v>433</v>
      </c>
    </row>
    <row r="1697" spans="1:18" hidden="1" x14ac:dyDescent="0.2">
      <c r="A1697">
        <v>6</v>
      </c>
      <c r="B1697" t="s">
        <v>83</v>
      </c>
      <c r="E1697" t="s">
        <v>51</v>
      </c>
      <c r="F1697">
        <v>1884249</v>
      </c>
      <c r="G1697">
        <v>2</v>
      </c>
      <c r="H1697">
        <v>2</v>
      </c>
      <c r="I1697">
        <v>784</v>
      </c>
      <c r="J1697">
        <v>1974</v>
      </c>
      <c r="K1697" s="4">
        <v>45535</v>
      </c>
      <c r="L1697" t="s">
        <v>26</v>
      </c>
      <c r="M1697" t="s">
        <v>60</v>
      </c>
      <c r="N1697">
        <v>1.88</v>
      </c>
      <c r="O1697">
        <v>2281</v>
      </c>
      <c r="P1697">
        <v>2.19</v>
      </c>
      <c r="Q1697">
        <v>143</v>
      </c>
      <c r="R1697">
        <v>661</v>
      </c>
    </row>
    <row r="1698" spans="1:18" hidden="1" x14ac:dyDescent="0.2">
      <c r="A1698">
        <v>1</v>
      </c>
      <c r="B1698" t="s">
        <v>92</v>
      </c>
      <c r="E1698" t="s">
        <v>36</v>
      </c>
      <c r="F1698">
        <v>1871529</v>
      </c>
      <c r="G1698">
        <v>5</v>
      </c>
      <c r="H1698">
        <v>2</v>
      </c>
      <c r="I1698">
        <v>601</v>
      </c>
      <c r="J1698">
        <v>1955</v>
      </c>
      <c r="K1698" s="4">
        <v>44348</v>
      </c>
      <c r="L1698" t="s">
        <v>23</v>
      </c>
      <c r="M1698" t="s">
        <v>76</v>
      </c>
      <c r="N1698">
        <v>2.62</v>
      </c>
      <c r="O1698">
        <v>2278</v>
      </c>
      <c r="P1698">
        <v>3.34</v>
      </c>
      <c r="Q1698">
        <v>392</v>
      </c>
      <c r="R1698">
        <v>580</v>
      </c>
    </row>
    <row r="1699" spans="1:18" hidden="1" x14ac:dyDescent="0.2">
      <c r="A1699">
        <v>2</v>
      </c>
      <c r="B1699" t="s">
        <v>41</v>
      </c>
      <c r="E1699" t="s">
        <v>51</v>
      </c>
      <c r="F1699">
        <v>1531086</v>
      </c>
      <c r="G1699">
        <v>4</v>
      </c>
      <c r="H1699">
        <v>1</v>
      </c>
      <c r="I1699">
        <v>208</v>
      </c>
      <c r="J1699">
        <v>1989</v>
      </c>
      <c r="K1699" s="4">
        <v>44891</v>
      </c>
      <c r="L1699" t="s">
        <v>23</v>
      </c>
      <c r="M1699" t="s">
        <v>56</v>
      </c>
      <c r="N1699">
        <v>2.48</v>
      </c>
      <c r="O1699">
        <v>1583</v>
      </c>
      <c r="P1699">
        <v>4.3</v>
      </c>
      <c r="Q1699">
        <v>168</v>
      </c>
      <c r="R1699">
        <v>686</v>
      </c>
    </row>
    <row r="1700" spans="1:18" hidden="1" x14ac:dyDescent="0.2">
      <c r="A1700">
        <v>0</v>
      </c>
      <c r="B1700" t="s">
        <v>84</v>
      </c>
      <c r="E1700" t="s">
        <v>51</v>
      </c>
      <c r="F1700">
        <v>1044945</v>
      </c>
      <c r="G1700">
        <v>2</v>
      </c>
      <c r="H1700">
        <v>2</v>
      </c>
      <c r="I1700">
        <v>815</v>
      </c>
      <c r="J1700">
        <v>1964</v>
      </c>
      <c r="K1700" s="4">
        <v>45567</v>
      </c>
      <c r="L1700" t="s">
        <v>30</v>
      </c>
      <c r="M1700" t="s">
        <v>31</v>
      </c>
      <c r="N1700">
        <v>2.89</v>
      </c>
      <c r="O1700">
        <v>1203</v>
      </c>
      <c r="P1700">
        <v>4.25</v>
      </c>
      <c r="Q1700">
        <v>168</v>
      </c>
      <c r="R1700">
        <v>463</v>
      </c>
    </row>
    <row r="1701" spans="1:18" hidden="1" x14ac:dyDescent="0.2">
      <c r="A1701">
        <v>5</v>
      </c>
      <c r="B1701" t="s">
        <v>86</v>
      </c>
      <c r="E1701" t="s">
        <v>36</v>
      </c>
      <c r="F1701">
        <v>1840338</v>
      </c>
      <c r="G1701">
        <v>4</v>
      </c>
      <c r="H1701">
        <v>2</v>
      </c>
      <c r="I1701">
        <v>617</v>
      </c>
      <c r="J1701">
        <v>1988</v>
      </c>
      <c r="K1701" s="4">
        <v>44081</v>
      </c>
      <c r="L1701" t="s">
        <v>23</v>
      </c>
      <c r="M1701" t="s">
        <v>63</v>
      </c>
      <c r="N1701">
        <v>2.4</v>
      </c>
      <c r="O1701">
        <v>2457</v>
      </c>
      <c r="P1701">
        <v>2.23</v>
      </c>
      <c r="Q1701">
        <v>241</v>
      </c>
      <c r="R1701">
        <v>330</v>
      </c>
    </row>
    <row r="1702" spans="1:18" hidden="1" x14ac:dyDescent="0.2">
      <c r="A1702">
        <v>0</v>
      </c>
      <c r="B1702" t="s">
        <v>65</v>
      </c>
      <c r="E1702" t="s">
        <v>19</v>
      </c>
      <c r="F1702">
        <v>2210496</v>
      </c>
      <c r="G1702">
        <v>1</v>
      </c>
      <c r="H1702">
        <v>1</v>
      </c>
      <c r="I1702">
        <v>881</v>
      </c>
      <c r="J1702">
        <v>1979</v>
      </c>
      <c r="K1702" s="4">
        <v>45191</v>
      </c>
      <c r="L1702" t="s">
        <v>26</v>
      </c>
      <c r="M1702" t="s">
        <v>66</v>
      </c>
      <c r="N1702">
        <v>2.08</v>
      </c>
      <c r="O1702">
        <v>1925</v>
      </c>
      <c r="P1702">
        <v>3.2</v>
      </c>
      <c r="Q1702">
        <v>147</v>
      </c>
      <c r="R1702">
        <v>686</v>
      </c>
    </row>
    <row r="1703" spans="1:18" hidden="1" x14ac:dyDescent="0.2">
      <c r="A1703">
        <v>0</v>
      </c>
      <c r="B1703" t="s">
        <v>101</v>
      </c>
      <c r="E1703" t="s">
        <v>36</v>
      </c>
      <c r="F1703">
        <v>2315924</v>
      </c>
      <c r="G1703">
        <v>4</v>
      </c>
      <c r="H1703">
        <v>1</v>
      </c>
      <c r="I1703">
        <v>426</v>
      </c>
      <c r="J1703">
        <v>1955</v>
      </c>
      <c r="K1703" s="4">
        <v>45598</v>
      </c>
      <c r="L1703" t="s">
        <v>26</v>
      </c>
      <c r="M1703" t="s">
        <v>35</v>
      </c>
      <c r="N1703">
        <v>1.65</v>
      </c>
      <c r="O1703">
        <v>1872</v>
      </c>
      <c r="P1703">
        <v>1.33</v>
      </c>
      <c r="Q1703">
        <v>374</v>
      </c>
      <c r="R1703">
        <v>334</v>
      </c>
    </row>
    <row r="1704" spans="1:18" hidden="1" x14ac:dyDescent="0.2">
      <c r="A1704">
        <v>9</v>
      </c>
      <c r="B1704" t="s">
        <v>75</v>
      </c>
      <c r="E1704" t="s">
        <v>19</v>
      </c>
      <c r="F1704">
        <v>2067547</v>
      </c>
      <c r="G1704">
        <v>5</v>
      </c>
      <c r="H1704">
        <v>1</v>
      </c>
      <c r="I1704">
        <v>831</v>
      </c>
      <c r="J1704">
        <v>1969</v>
      </c>
      <c r="K1704" s="4">
        <v>44723</v>
      </c>
      <c r="L1704" t="s">
        <v>20</v>
      </c>
      <c r="M1704" t="s">
        <v>85</v>
      </c>
      <c r="N1704">
        <v>2.4700000000000002</v>
      </c>
      <c r="O1704">
        <v>1971</v>
      </c>
      <c r="P1704">
        <v>1.26</v>
      </c>
      <c r="Q1704">
        <v>364</v>
      </c>
      <c r="R1704">
        <v>312</v>
      </c>
    </row>
    <row r="1705" spans="1:18" hidden="1" x14ac:dyDescent="0.2">
      <c r="A1705">
        <v>0</v>
      </c>
      <c r="B1705" t="s">
        <v>94</v>
      </c>
      <c r="E1705" t="s">
        <v>29</v>
      </c>
      <c r="F1705">
        <v>1610254</v>
      </c>
      <c r="G1705">
        <v>5</v>
      </c>
      <c r="H1705">
        <v>2</v>
      </c>
      <c r="I1705">
        <v>350</v>
      </c>
      <c r="J1705">
        <v>1968</v>
      </c>
      <c r="K1705" s="4">
        <v>45633</v>
      </c>
      <c r="L1705" t="s">
        <v>23</v>
      </c>
      <c r="M1705" t="s">
        <v>33</v>
      </c>
      <c r="N1705">
        <v>2.3199999999999998</v>
      </c>
      <c r="O1705">
        <v>1813</v>
      </c>
      <c r="P1705">
        <v>2.25</v>
      </c>
      <c r="Q1705">
        <v>308</v>
      </c>
      <c r="R1705">
        <v>651</v>
      </c>
    </row>
    <row r="1706" spans="1:18" hidden="1" x14ac:dyDescent="0.2">
      <c r="A1706">
        <v>7</v>
      </c>
      <c r="B1706" t="s">
        <v>55</v>
      </c>
      <c r="E1706" t="s">
        <v>19</v>
      </c>
      <c r="F1706">
        <v>635125</v>
      </c>
      <c r="G1706">
        <v>3</v>
      </c>
      <c r="H1706">
        <v>3</v>
      </c>
      <c r="I1706">
        <v>896</v>
      </c>
      <c r="J1706">
        <v>1953</v>
      </c>
      <c r="K1706" s="4">
        <v>44493</v>
      </c>
      <c r="L1706" t="s">
        <v>23</v>
      </c>
      <c r="M1706" t="s">
        <v>42</v>
      </c>
      <c r="N1706">
        <v>2.38</v>
      </c>
      <c r="O1706">
        <v>1983</v>
      </c>
      <c r="P1706">
        <v>2.3199999999999998</v>
      </c>
      <c r="Q1706">
        <v>299</v>
      </c>
      <c r="R1706">
        <v>422</v>
      </c>
    </row>
    <row r="1707" spans="1:18" hidden="1" x14ac:dyDescent="0.2">
      <c r="A1707">
        <v>5</v>
      </c>
      <c r="B1707" t="s">
        <v>62</v>
      </c>
      <c r="E1707" t="s">
        <v>19</v>
      </c>
      <c r="F1707">
        <v>2312877</v>
      </c>
      <c r="G1707">
        <v>2</v>
      </c>
      <c r="H1707">
        <v>1</v>
      </c>
      <c r="I1707">
        <v>706</v>
      </c>
      <c r="J1707">
        <v>1983</v>
      </c>
      <c r="K1707" s="4">
        <v>45198</v>
      </c>
      <c r="L1707" t="s">
        <v>20</v>
      </c>
      <c r="M1707" t="s">
        <v>76</v>
      </c>
      <c r="N1707">
        <v>1.95</v>
      </c>
      <c r="O1707">
        <v>2374</v>
      </c>
      <c r="P1707">
        <v>4.7300000000000004</v>
      </c>
      <c r="Q1707">
        <v>137</v>
      </c>
      <c r="R1707">
        <v>615</v>
      </c>
    </row>
    <row r="1708" spans="1:18" hidden="1" x14ac:dyDescent="0.2">
      <c r="A1708">
        <v>1</v>
      </c>
      <c r="B1708" t="s">
        <v>25</v>
      </c>
      <c r="E1708" t="s">
        <v>29</v>
      </c>
      <c r="F1708">
        <v>2481371</v>
      </c>
      <c r="G1708">
        <v>6</v>
      </c>
      <c r="H1708">
        <v>1</v>
      </c>
      <c r="I1708">
        <v>222</v>
      </c>
      <c r="J1708">
        <v>1987</v>
      </c>
      <c r="K1708" s="4">
        <v>44438</v>
      </c>
      <c r="L1708" t="s">
        <v>26</v>
      </c>
      <c r="M1708" t="s">
        <v>52</v>
      </c>
      <c r="N1708">
        <v>2.86</v>
      </c>
      <c r="O1708">
        <v>1290</v>
      </c>
      <c r="P1708">
        <v>2.81</v>
      </c>
      <c r="Q1708">
        <v>337</v>
      </c>
      <c r="R1708">
        <v>516</v>
      </c>
    </row>
    <row r="1709" spans="1:18" hidden="1" x14ac:dyDescent="0.2">
      <c r="A1709">
        <v>0</v>
      </c>
      <c r="B1709" t="s">
        <v>50</v>
      </c>
      <c r="E1709" t="s">
        <v>19</v>
      </c>
      <c r="F1709">
        <v>456619</v>
      </c>
      <c r="G1709">
        <v>4</v>
      </c>
      <c r="H1709">
        <v>1</v>
      </c>
      <c r="I1709">
        <v>510</v>
      </c>
      <c r="J1709">
        <v>2006</v>
      </c>
      <c r="K1709" s="4">
        <v>45394</v>
      </c>
      <c r="L1709" t="s">
        <v>26</v>
      </c>
      <c r="M1709" t="s">
        <v>97</v>
      </c>
      <c r="N1709">
        <v>2.97</v>
      </c>
      <c r="O1709">
        <v>1772</v>
      </c>
      <c r="P1709">
        <v>3.05</v>
      </c>
      <c r="Q1709">
        <v>399</v>
      </c>
      <c r="R1709">
        <v>487</v>
      </c>
    </row>
    <row r="1710" spans="1:18" hidden="1" x14ac:dyDescent="0.2">
      <c r="A1710">
        <v>7</v>
      </c>
      <c r="B1710" t="s">
        <v>92</v>
      </c>
      <c r="E1710" t="s">
        <v>36</v>
      </c>
      <c r="F1710">
        <v>2864644</v>
      </c>
      <c r="G1710">
        <v>4</v>
      </c>
      <c r="H1710">
        <v>3</v>
      </c>
      <c r="I1710">
        <v>192</v>
      </c>
      <c r="J1710">
        <v>1979</v>
      </c>
      <c r="K1710" s="4">
        <v>45332</v>
      </c>
      <c r="L1710" t="s">
        <v>30</v>
      </c>
      <c r="M1710" t="s">
        <v>33</v>
      </c>
      <c r="N1710">
        <v>1.63</v>
      </c>
      <c r="O1710">
        <v>923</v>
      </c>
      <c r="P1710">
        <v>0.82</v>
      </c>
      <c r="Q1710">
        <v>223</v>
      </c>
      <c r="R1710">
        <v>504</v>
      </c>
    </row>
    <row r="1711" spans="1:18" hidden="1" x14ac:dyDescent="0.2">
      <c r="A1711">
        <v>2</v>
      </c>
      <c r="B1711" t="s">
        <v>43</v>
      </c>
      <c r="E1711" t="s">
        <v>51</v>
      </c>
      <c r="F1711">
        <v>432606</v>
      </c>
      <c r="G1711">
        <v>5</v>
      </c>
      <c r="H1711">
        <v>1</v>
      </c>
      <c r="I1711">
        <v>957</v>
      </c>
      <c r="J1711">
        <v>1964</v>
      </c>
      <c r="K1711" s="4">
        <v>45586</v>
      </c>
      <c r="L1711" t="s">
        <v>20</v>
      </c>
      <c r="M1711" t="s">
        <v>47</v>
      </c>
      <c r="N1711">
        <v>3.44</v>
      </c>
      <c r="O1711">
        <v>1156</v>
      </c>
      <c r="P1711">
        <v>3.14</v>
      </c>
      <c r="Q1711">
        <v>268</v>
      </c>
      <c r="R1711">
        <v>592</v>
      </c>
    </row>
    <row r="1712" spans="1:18" hidden="1" x14ac:dyDescent="0.2">
      <c r="A1712">
        <v>2</v>
      </c>
      <c r="B1712" t="s">
        <v>25</v>
      </c>
      <c r="E1712" t="s">
        <v>36</v>
      </c>
      <c r="F1712">
        <v>1295825</v>
      </c>
      <c r="G1712">
        <v>5</v>
      </c>
      <c r="H1712">
        <v>1</v>
      </c>
      <c r="I1712">
        <v>526</v>
      </c>
      <c r="J1712">
        <v>1968</v>
      </c>
      <c r="K1712" s="4">
        <v>45753</v>
      </c>
      <c r="L1712" t="s">
        <v>26</v>
      </c>
      <c r="M1712" t="s">
        <v>60</v>
      </c>
      <c r="N1712">
        <v>1.93</v>
      </c>
      <c r="O1712">
        <v>831</v>
      </c>
      <c r="P1712">
        <v>1.06</v>
      </c>
      <c r="Q1712">
        <v>343</v>
      </c>
      <c r="R1712">
        <v>480</v>
      </c>
    </row>
    <row r="1713" spans="1:18" hidden="1" x14ac:dyDescent="0.2">
      <c r="A1713">
        <v>7</v>
      </c>
      <c r="B1713" t="s">
        <v>93</v>
      </c>
      <c r="E1713" t="s">
        <v>19</v>
      </c>
      <c r="F1713">
        <v>1464266</v>
      </c>
      <c r="G1713">
        <v>3</v>
      </c>
      <c r="H1713">
        <v>2</v>
      </c>
      <c r="I1713">
        <v>819</v>
      </c>
      <c r="J1713">
        <v>1974</v>
      </c>
      <c r="K1713" s="4">
        <v>45102</v>
      </c>
      <c r="L1713" t="s">
        <v>26</v>
      </c>
      <c r="M1713" t="s">
        <v>56</v>
      </c>
      <c r="N1713">
        <v>1.59</v>
      </c>
      <c r="O1713">
        <v>1125</v>
      </c>
      <c r="P1713">
        <v>2.37</v>
      </c>
      <c r="Q1713">
        <v>95</v>
      </c>
      <c r="R1713">
        <v>674</v>
      </c>
    </row>
    <row r="1714" spans="1:18" hidden="1" x14ac:dyDescent="0.2">
      <c r="A1714">
        <v>5</v>
      </c>
      <c r="B1714" t="s">
        <v>61</v>
      </c>
      <c r="E1714" t="s">
        <v>19</v>
      </c>
      <c r="F1714">
        <v>889097</v>
      </c>
      <c r="G1714">
        <v>4</v>
      </c>
      <c r="H1714">
        <v>3</v>
      </c>
      <c r="I1714">
        <v>768</v>
      </c>
      <c r="J1714">
        <v>2014</v>
      </c>
      <c r="K1714" s="4">
        <v>45163</v>
      </c>
      <c r="L1714" t="s">
        <v>30</v>
      </c>
      <c r="M1714" t="s">
        <v>40</v>
      </c>
      <c r="N1714">
        <v>3.24</v>
      </c>
      <c r="O1714">
        <v>1650</v>
      </c>
      <c r="P1714">
        <v>0.65</v>
      </c>
      <c r="Q1714">
        <v>370</v>
      </c>
      <c r="R1714">
        <v>323</v>
      </c>
    </row>
    <row r="1715" spans="1:18" hidden="1" x14ac:dyDescent="0.2">
      <c r="A1715">
        <v>5</v>
      </c>
      <c r="B1715" t="s">
        <v>46</v>
      </c>
      <c r="E1715" t="s">
        <v>51</v>
      </c>
      <c r="F1715">
        <v>618662</v>
      </c>
      <c r="G1715">
        <v>2</v>
      </c>
      <c r="H1715">
        <v>2</v>
      </c>
      <c r="I1715">
        <v>699</v>
      </c>
      <c r="J1715">
        <v>1965</v>
      </c>
      <c r="K1715" s="4">
        <v>44133</v>
      </c>
      <c r="L1715" t="s">
        <v>23</v>
      </c>
      <c r="M1715" t="s">
        <v>40</v>
      </c>
      <c r="N1715">
        <v>3.37</v>
      </c>
      <c r="O1715">
        <v>1661</v>
      </c>
      <c r="P1715">
        <v>0.28000000000000003</v>
      </c>
      <c r="Q1715">
        <v>164</v>
      </c>
      <c r="R1715">
        <v>687</v>
      </c>
    </row>
    <row r="1716" spans="1:18" hidden="1" x14ac:dyDescent="0.2">
      <c r="A1716">
        <v>5</v>
      </c>
      <c r="B1716" t="s">
        <v>83</v>
      </c>
      <c r="E1716" t="s">
        <v>19</v>
      </c>
      <c r="F1716">
        <v>2773533</v>
      </c>
      <c r="G1716">
        <v>3</v>
      </c>
      <c r="H1716">
        <v>3</v>
      </c>
      <c r="I1716">
        <v>527</v>
      </c>
      <c r="J1716">
        <v>1996</v>
      </c>
      <c r="K1716" s="4">
        <v>45036</v>
      </c>
      <c r="L1716" t="s">
        <v>20</v>
      </c>
      <c r="M1716" t="s">
        <v>56</v>
      </c>
      <c r="N1716">
        <v>1.87</v>
      </c>
      <c r="O1716">
        <v>2008</v>
      </c>
      <c r="P1716">
        <v>4.54</v>
      </c>
      <c r="Q1716">
        <v>92</v>
      </c>
      <c r="R1716">
        <v>464</v>
      </c>
    </row>
    <row r="1717" spans="1:18" hidden="1" x14ac:dyDescent="0.2">
      <c r="A1717">
        <v>7</v>
      </c>
      <c r="B1717" t="s">
        <v>84</v>
      </c>
      <c r="E1717" t="s">
        <v>51</v>
      </c>
      <c r="F1717">
        <v>461847</v>
      </c>
      <c r="G1717">
        <v>4</v>
      </c>
      <c r="H1717">
        <v>3</v>
      </c>
      <c r="I1717">
        <v>275</v>
      </c>
      <c r="J1717">
        <v>2020</v>
      </c>
      <c r="K1717" s="4">
        <v>44774</v>
      </c>
      <c r="L1717" t="s">
        <v>30</v>
      </c>
      <c r="M1717" t="s">
        <v>24</v>
      </c>
      <c r="N1717">
        <v>3.38</v>
      </c>
      <c r="O1717">
        <v>1477</v>
      </c>
      <c r="P1717">
        <v>3.74</v>
      </c>
      <c r="Q1717">
        <v>249</v>
      </c>
      <c r="R1717">
        <v>467</v>
      </c>
    </row>
    <row r="1718" spans="1:18" hidden="1" x14ac:dyDescent="0.2">
      <c r="A1718">
        <v>4</v>
      </c>
      <c r="B1718" t="s">
        <v>100</v>
      </c>
      <c r="E1718" t="s">
        <v>29</v>
      </c>
      <c r="F1718">
        <v>2961924</v>
      </c>
      <c r="G1718">
        <v>4</v>
      </c>
      <c r="H1718">
        <v>2</v>
      </c>
      <c r="I1718">
        <v>854</v>
      </c>
      <c r="J1718">
        <v>1979</v>
      </c>
      <c r="K1718" s="4">
        <v>45672</v>
      </c>
      <c r="L1718" t="s">
        <v>23</v>
      </c>
      <c r="M1718" t="s">
        <v>21</v>
      </c>
      <c r="N1718">
        <v>2.0699999999999998</v>
      </c>
      <c r="O1718">
        <v>869</v>
      </c>
      <c r="P1718">
        <v>0.28000000000000003</v>
      </c>
      <c r="Q1718">
        <v>261</v>
      </c>
      <c r="R1718">
        <v>426</v>
      </c>
    </row>
    <row r="1719" spans="1:18" hidden="1" x14ac:dyDescent="0.2">
      <c r="A1719">
        <v>5</v>
      </c>
      <c r="B1719" t="s">
        <v>100</v>
      </c>
      <c r="E1719" t="s">
        <v>19</v>
      </c>
      <c r="F1719">
        <v>1711482</v>
      </c>
      <c r="G1719">
        <v>5</v>
      </c>
      <c r="H1719">
        <v>2</v>
      </c>
      <c r="I1719">
        <v>386</v>
      </c>
      <c r="J1719">
        <v>1996</v>
      </c>
      <c r="K1719" s="4">
        <v>45730</v>
      </c>
      <c r="L1719" t="s">
        <v>20</v>
      </c>
      <c r="M1719" t="s">
        <v>76</v>
      </c>
      <c r="N1719">
        <v>2.1</v>
      </c>
      <c r="O1719">
        <v>1964</v>
      </c>
      <c r="P1719">
        <v>0.59</v>
      </c>
      <c r="Q1719">
        <v>329</v>
      </c>
      <c r="R1719">
        <v>466</v>
      </c>
    </row>
    <row r="1720" spans="1:18" x14ac:dyDescent="0.2">
      <c r="A1720">
        <v>8</v>
      </c>
      <c r="B1720" t="s">
        <v>22</v>
      </c>
      <c r="E1720" t="s">
        <v>29</v>
      </c>
      <c r="F1720">
        <v>2676755</v>
      </c>
      <c r="G1720">
        <v>5</v>
      </c>
      <c r="H1720">
        <v>3</v>
      </c>
      <c r="I1720">
        <v>194</v>
      </c>
      <c r="J1720">
        <v>1996</v>
      </c>
      <c r="K1720" s="4">
        <v>44553</v>
      </c>
      <c r="L1720" t="s">
        <v>26</v>
      </c>
      <c r="M1720" t="s">
        <v>85</v>
      </c>
      <c r="N1720">
        <v>2.5299999999999998</v>
      </c>
      <c r="O1720">
        <v>1506</v>
      </c>
      <c r="P1720">
        <v>0.66</v>
      </c>
      <c r="Q1720">
        <v>335</v>
      </c>
      <c r="R1720">
        <v>697</v>
      </c>
    </row>
    <row r="1721" spans="1:18" hidden="1" x14ac:dyDescent="0.2">
      <c r="A1721">
        <v>6</v>
      </c>
      <c r="B1721" t="s">
        <v>94</v>
      </c>
      <c r="E1721" t="s">
        <v>51</v>
      </c>
      <c r="F1721">
        <v>2353989</v>
      </c>
      <c r="G1721">
        <v>3</v>
      </c>
      <c r="H1721">
        <v>2</v>
      </c>
      <c r="I1721">
        <v>843</v>
      </c>
      <c r="J1721">
        <v>2003</v>
      </c>
      <c r="K1721" s="4">
        <v>45889</v>
      </c>
      <c r="L1721" t="s">
        <v>20</v>
      </c>
      <c r="M1721" t="s">
        <v>69</v>
      </c>
      <c r="N1721">
        <v>1.69</v>
      </c>
      <c r="O1721">
        <v>1070</v>
      </c>
      <c r="P1721">
        <v>1.08</v>
      </c>
      <c r="Q1721">
        <v>111</v>
      </c>
      <c r="R1721">
        <v>453</v>
      </c>
    </row>
    <row r="1722" spans="1:18" hidden="1" x14ac:dyDescent="0.2">
      <c r="A1722">
        <v>5</v>
      </c>
      <c r="B1722" t="s">
        <v>71</v>
      </c>
      <c r="E1722" t="s">
        <v>19</v>
      </c>
      <c r="F1722">
        <v>930390</v>
      </c>
      <c r="G1722">
        <v>4</v>
      </c>
      <c r="H1722">
        <v>1</v>
      </c>
      <c r="I1722">
        <v>707</v>
      </c>
      <c r="J1722">
        <v>1985</v>
      </c>
      <c r="K1722" s="4">
        <v>45548</v>
      </c>
      <c r="L1722" t="s">
        <v>30</v>
      </c>
      <c r="M1722" t="s">
        <v>31</v>
      </c>
      <c r="N1722">
        <v>2.71</v>
      </c>
      <c r="O1722">
        <v>1644</v>
      </c>
      <c r="P1722">
        <v>0.36</v>
      </c>
      <c r="Q1722">
        <v>380</v>
      </c>
      <c r="R1722">
        <v>363</v>
      </c>
    </row>
    <row r="1723" spans="1:18" hidden="1" x14ac:dyDescent="0.2">
      <c r="A1723">
        <v>0</v>
      </c>
      <c r="B1723" t="s">
        <v>65</v>
      </c>
      <c r="E1723" t="s">
        <v>51</v>
      </c>
      <c r="F1723">
        <v>920209</v>
      </c>
      <c r="G1723">
        <v>2</v>
      </c>
      <c r="H1723">
        <v>1</v>
      </c>
      <c r="I1723">
        <v>569</v>
      </c>
      <c r="J1723">
        <v>1987</v>
      </c>
      <c r="K1723" s="4">
        <v>44530</v>
      </c>
      <c r="L1723" t="s">
        <v>26</v>
      </c>
      <c r="M1723" t="s">
        <v>35</v>
      </c>
      <c r="N1723">
        <v>1.98</v>
      </c>
      <c r="O1723">
        <v>1958</v>
      </c>
      <c r="P1723">
        <v>1.93</v>
      </c>
      <c r="Q1723">
        <v>173</v>
      </c>
      <c r="R1723">
        <v>508</v>
      </c>
    </row>
    <row r="1724" spans="1:18" hidden="1" x14ac:dyDescent="0.2">
      <c r="A1724">
        <v>2</v>
      </c>
      <c r="B1724" t="s">
        <v>41</v>
      </c>
      <c r="E1724" t="s">
        <v>29</v>
      </c>
      <c r="F1724">
        <v>1795343</v>
      </c>
      <c r="G1724">
        <v>3</v>
      </c>
      <c r="H1724">
        <v>1</v>
      </c>
      <c r="I1724">
        <v>453</v>
      </c>
      <c r="J1724">
        <v>1994</v>
      </c>
      <c r="K1724" s="4">
        <v>45519</v>
      </c>
      <c r="L1724" t="s">
        <v>26</v>
      </c>
      <c r="M1724" t="s">
        <v>85</v>
      </c>
      <c r="N1724">
        <v>3.03</v>
      </c>
      <c r="O1724">
        <v>987</v>
      </c>
      <c r="P1724">
        <v>1.4</v>
      </c>
      <c r="Q1724">
        <v>209</v>
      </c>
      <c r="R1724">
        <v>438</v>
      </c>
    </row>
    <row r="1725" spans="1:18" hidden="1" x14ac:dyDescent="0.2">
      <c r="A1725">
        <v>0</v>
      </c>
      <c r="B1725" t="s">
        <v>53</v>
      </c>
      <c r="E1725" t="s">
        <v>29</v>
      </c>
      <c r="F1725">
        <v>1265290</v>
      </c>
      <c r="G1725">
        <v>2</v>
      </c>
      <c r="H1725">
        <v>2</v>
      </c>
      <c r="I1725">
        <v>928</v>
      </c>
      <c r="J1725">
        <v>1979</v>
      </c>
      <c r="K1725" s="4">
        <v>44066</v>
      </c>
      <c r="L1725" t="s">
        <v>26</v>
      </c>
      <c r="M1725" t="s">
        <v>54</v>
      </c>
      <c r="N1725">
        <v>3.28</v>
      </c>
      <c r="O1725">
        <v>1979</v>
      </c>
      <c r="P1725">
        <v>3.37</v>
      </c>
      <c r="Q1725">
        <v>228</v>
      </c>
      <c r="R1725">
        <v>610</v>
      </c>
    </row>
    <row r="1726" spans="1:18" hidden="1" x14ac:dyDescent="0.2">
      <c r="A1726">
        <v>3</v>
      </c>
      <c r="B1726" t="s">
        <v>64</v>
      </c>
      <c r="E1726" t="s">
        <v>29</v>
      </c>
      <c r="F1726">
        <v>1249679</v>
      </c>
      <c r="G1726">
        <v>4</v>
      </c>
      <c r="H1726">
        <v>1</v>
      </c>
      <c r="I1726">
        <v>264</v>
      </c>
      <c r="J1726">
        <v>1964</v>
      </c>
      <c r="K1726" s="4">
        <v>45594</v>
      </c>
      <c r="L1726" t="s">
        <v>30</v>
      </c>
      <c r="M1726" t="s">
        <v>45</v>
      </c>
      <c r="N1726">
        <v>2.4300000000000002</v>
      </c>
      <c r="O1726">
        <v>1169</v>
      </c>
      <c r="P1726">
        <v>3.23</v>
      </c>
      <c r="Q1726">
        <v>270</v>
      </c>
      <c r="R1726">
        <v>400</v>
      </c>
    </row>
    <row r="1727" spans="1:18" hidden="1" x14ac:dyDescent="0.2">
      <c r="A1727">
        <v>0</v>
      </c>
      <c r="B1727" t="s">
        <v>34</v>
      </c>
      <c r="E1727" t="s">
        <v>36</v>
      </c>
      <c r="F1727">
        <v>1894500</v>
      </c>
      <c r="G1727">
        <v>5</v>
      </c>
      <c r="H1727">
        <v>2</v>
      </c>
      <c r="I1727">
        <v>400</v>
      </c>
      <c r="J1727">
        <v>1969</v>
      </c>
      <c r="K1727" s="4">
        <v>44812</v>
      </c>
      <c r="L1727" t="s">
        <v>26</v>
      </c>
      <c r="M1727" t="s">
        <v>24</v>
      </c>
      <c r="N1727">
        <v>1.55</v>
      </c>
      <c r="O1727">
        <v>1204</v>
      </c>
      <c r="P1727">
        <v>2.25</v>
      </c>
      <c r="Q1727">
        <v>365</v>
      </c>
      <c r="R1727">
        <v>409</v>
      </c>
    </row>
    <row r="1728" spans="1:18" hidden="1" x14ac:dyDescent="0.2">
      <c r="A1728">
        <v>6</v>
      </c>
      <c r="B1728" t="s">
        <v>71</v>
      </c>
      <c r="E1728" t="s">
        <v>19</v>
      </c>
      <c r="F1728">
        <v>1560229</v>
      </c>
      <c r="G1728">
        <v>4</v>
      </c>
      <c r="H1728">
        <v>3</v>
      </c>
      <c r="I1728">
        <v>161</v>
      </c>
      <c r="J1728">
        <v>1986</v>
      </c>
      <c r="K1728" s="4">
        <v>45286</v>
      </c>
      <c r="L1728" t="s">
        <v>30</v>
      </c>
      <c r="M1728" t="s">
        <v>78</v>
      </c>
      <c r="N1728">
        <v>2.0699999999999998</v>
      </c>
      <c r="O1728">
        <v>1882</v>
      </c>
      <c r="P1728">
        <v>2.64</v>
      </c>
      <c r="Q1728">
        <v>286</v>
      </c>
      <c r="R1728">
        <v>600</v>
      </c>
    </row>
    <row r="1729" spans="1:18" x14ac:dyDescent="0.2">
      <c r="A1729">
        <v>8</v>
      </c>
      <c r="B1729" t="s">
        <v>25</v>
      </c>
      <c r="E1729" t="s">
        <v>36</v>
      </c>
      <c r="F1729">
        <v>1499966</v>
      </c>
      <c r="G1729">
        <v>4</v>
      </c>
      <c r="H1729">
        <v>2</v>
      </c>
      <c r="I1729">
        <v>153</v>
      </c>
      <c r="J1729">
        <v>2018</v>
      </c>
      <c r="K1729" s="4">
        <v>44530</v>
      </c>
      <c r="L1729" t="s">
        <v>30</v>
      </c>
      <c r="M1729" t="s">
        <v>97</v>
      </c>
      <c r="N1729">
        <v>3.3</v>
      </c>
      <c r="O1729">
        <v>1812</v>
      </c>
      <c r="P1729">
        <v>1.62</v>
      </c>
      <c r="Q1729">
        <v>387</v>
      </c>
      <c r="R1729">
        <v>535</v>
      </c>
    </row>
    <row r="1730" spans="1:18" hidden="1" x14ac:dyDescent="0.2">
      <c r="A1730">
        <v>2</v>
      </c>
      <c r="B1730" t="s">
        <v>53</v>
      </c>
      <c r="E1730" t="s">
        <v>19</v>
      </c>
      <c r="F1730">
        <v>841428</v>
      </c>
      <c r="G1730">
        <v>4</v>
      </c>
      <c r="H1730">
        <v>2</v>
      </c>
      <c r="I1730">
        <v>887</v>
      </c>
      <c r="J1730">
        <v>1989</v>
      </c>
      <c r="K1730" s="4">
        <v>44472</v>
      </c>
      <c r="L1730" t="s">
        <v>20</v>
      </c>
      <c r="M1730" t="s">
        <v>60</v>
      </c>
      <c r="N1730">
        <v>3.06</v>
      </c>
      <c r="O1730">
        <v>1208</v>
      </c>
      <c r="P1730">
        <v>3.99</v>
      </c>
      <c r="Q1730">
        <v>268</v>
      </c>
      <c r="R1730">
        <v>436</v>
      </c>
    </row>
    <row r="1731" spans="1:18" hidden="1" x14ac:dyDescent="0.2">
      <c r="A1731">
        <v>5</v>
      </c>
      <c r="B1731" t="s">
        <v>99</v>
      </c>
      <c r="E1731" t="s">
        <v>29</v>
      </c>
      <c r="F1731">
        <v>1092174</v>
      </c>
      <c r="G1731">
        <v>4</v>
      </c>
      <c r="H1731">
        <v>2</v>
      </c>
      <c r="I1731">
        <v>212</v>
      </c>
      <c r="J1731">
        <v>1993</v>
      </c>
      <c r="K1731" s="4">
        <v>44526</v>
      </c>
      <c r="L1731" t="s">
        <v>26</v>
      </c>
      <c r="M1731" t="s">
        <v>47</v>
      </c>
      <c r="N1731">
        <v>2.92</v>
      </c>
      <c r="O1731">
        <v>2213</v>
      </c>
      <c r="P1731">
        <v>3.48</v>
      </c>
      <c r="Q1731">
        <v>190</v>
      </c>
      <c r="R1731">
        <v>526</v>
      </c>
    </row>
    <row r="1732" spans="1:18" x14ac:dyDescent="0.2">
      <c r="A1732">
        <v>8</v>
      </c>
      <c r="B1732" t="s">
        <v>92</v>
      </c>
      <c r="E1732" t="s">
        <v>19</v>
      </c>
      <c r="F1732">
        <v>1526099</v>
      </c>
      <c r="G1732">
        <v>4</v>
      </c>
      <c r="H1732">
        <v>1</v>
      </c>
      <c r="I1732">
        <v>864</v>
      </c>
      <c r="J1732">
        <v>1962</v>
      </c>
      <c r="K1732" s="4">
        <v>45809</v>
      </c>
      <c r="L1732" t="s">
        <v>23</v>
      </c>
      <c r="M1732" t="s">
        <v>35</v>
      </c>
      <c r="N1732">
        <v>2.31</v>
      </c>
      <c r="O1732">
        <v>2491</v>
      </c>
      <c r="P1732">
        <v>0.9</v>
      </c>
      <c r="Q1732">
        <v>342</v>
      </c>
      <c r="R1732">
        <v>601</v>
      </c>
    </row>
    <row r="1733" spans="1:18" hidden="1" x14ac:dyDescent="0.2">
      <c r="A1733">
        <v>7</v>
      </c>
      <c r="B1733" t="s">
        <v>84</v>
      </c>
      <c r="E1733" t="s">
        <v>36</v>
      </c>
      <c r="F1733">
        <v>1272430</v>
      </c>
      <c r="G1733">
        <v>3</v>
      </c>
      <c r="H1733">
        <v>1</v>
      </c>
      <c r="I1733">
        <v>478</v>
      </c>
      <c r="J1733">
        <v>1992</v>
      </c>
      <c r="K1733" s="4">
        <v>44443</v>
      </c>
      <c r="L1733" t="s">
        <v>20</v>
      </c>
      <c r="M1733" t="s">
        <v>47</v>
      </c>
      <c r="N1733">
        <v>3.43</v>
      </c>
      <c r="O1733">
        <v>1476</v>
      </c>
      <c r="P1733">
        <v>1.25</v>
      </c>
      <c r="Q1733">
        <v>91</v>
      </c>
      <c r="R1733">
        <v>660</v>
      </c>
    </row>
    <row r="1734" spans="1:18" hidden="1" x14ac:dyDescent="0.2">
      <c r="A1734">
        <v>0</v>
      </c>
      <c r="B1734" t="s">
        <v>84</v>
      </c>
      <c r="E1734" t="s">
        <v>19</v>
      </c>
      <c r="F1734">
        <v>1776901</v>
      </c>
      <c r="G1734">
        <v>3</v>
      </c>
      <c r="H1734">
        <v>1</v>
      </c>
      <c r="I1734">
        <v>556</v>
      </c>
      <c r="J1734">
        <v>2015</v>
      </c>
      <c r="K1734" s="4">
        <v>44724</v>
      </c>
      <c r="L1734" t="s">
        <v>23</v>
      </c>
      <c r="M1734" t="s">
        <v>42</v>
      </c>
      <c r="N1734">
        <v>1.94</v>
      </c>
      <c r="O1734">
        <v>2286</v>
      </c>
      <c r="P1734">
        <v>3.16</v>
      </c>
      <c r="Q1734">
        <v>263</v>
      </c>
      <c r="R1734">
        <v>322</v>
      </c>
    </row>
    <row r="1735" spans="1:18" hidden="1" x14ac:dyDescent="0.2">
      <c r="A1735">
        <v>4</v>
      </c>
      <c r="B1735" t="s">
        <v>73</v>
      </c>
      <c r="E1735" t="s">
        <v>51</v>
      </c>
      <c r="F1735">
        <v>567088</v>
      </c>
      <c r="G1735">
        <v>5</v>
      </c>
      <c r="H1735">
        <v>1</v>
      </c>
      <c r="I1735">
        <v>773</v>
      </c>
      <c r="J1735">
        <v>2014</v>
      </c>
      <c r="K1735" s="4">
        <v>44373</v>
      </c>
      <c r="L1735" t="s">
        <v>26</v>
      </c>
      <c r="M1735" t="s">
        <v>59</v>
      </c>
      <c r="N1735">
        <v>3.2</v>
      </c>
      <c r="O1735">
        <v>1987</v>
      </c>
      <c r="P1735">
        <v>2.0299999999999998</v>
      </c>
      <c r="Q1735">
        <v>258</v>
      </c>
      <c r="R1735">
        <v>463</v>
      </c>
    </row>
    <row r="1736" spans="1:18" hidden="1" x14ac:dyDescent="0.2">
      <c r="A1736">
        <v>6</v>
      </c>
      <c r="B1736" t="s">
        <v>73</v>
      </c>
      <c r="E1736" t="s">
        <v>19</v>
      </c>
      <c r="F1736">
        <v>2646811</v>
      </c>
      <c r="G1736">
        <v>4</v>
      </c>
      <c r="H1736">
        <v>1</v>
      </c>
      <c r="I1736">
        <v>769</v>
      </c>
      <c r="J1736">
        <v>1979</v>
      </c>
      <c r="K1736" s="4">
        <v>44522</v>
      </c>
      <c r="L1736" t="s">
        <v>23</v>
      </c>
      <c r="M1736" t="s">
        <v>52</v>
      </c>
      <c r="N1736">
        <v>2.61</v>
      </c>
      <c r="O1736">
        <v>2325</v>
      </c>
      <c r="P1736">
        <v>3.71</v>
      </c>
      <c r="Q1736">
        <v>194</v>
      </c>
      <c r="R1736">
        <v>320</v>
      </c>
    </row>
    <row r="1737" spans="1:18" hidden="1" x14ac:dyDescent="0.2">
      <c r="A1737">
        <v>6</v>
      </c>
      <c r="B1737" t="s">
        <v>43</v>
      </c>
      <c r="E1737" t="s">
        <v>36</v>
      </c>
      <c r="F1737">
        <v>2796740</v>
      </c>
      <c r="G1737">
        <v>3</v>
      </c>
      <c r="H1737">
        <v>1</v>
      </c>
      <c r="I1737">
        <v>439</v>
      </c>
      <c r="J1737">
        <v>2013</v>
      </c>
      <c r="K1737" s="4">
        <v>44431</v>
      </c>
      <c r="L1737" t="s">
        <v>20</v>
      </c>
      <c r="M1737" t="s">
        <v>47</v>
      </c>
      <c r="N1737">
        <v>3.18</v>
      </c>
      <c r="O1737">
        <v>2307</v>
      </c>
      <c r="P1737">
        <v>3.47</v>
      </c>
      <c r="Q1737">
        <v>119</v>
      </c>
      <c r="R1737">
        <v>504</v>
      </c>
    </row>
    <row r="1738" spans="1:18" hidden="1" x14ac:dyDescent="0.2">
      <c r="A1738">
        <v>2</v>
      </c>
      <c r="B1738" t="s">
        <v>87</v>
      </c>
      <c r="E1738" t="s">
        <v>29</v>
      </c>
      <c r="F1738">
        <v>668772</v>
      </c>
      <c r="G1738">
        <v>3</v>
      </c>
      <c r="H1738">
        <v>2</v>
      </c>
      <c r="I1738">
        <v>802</v>
      </c>
      <c r="J1738">
        <v>1996</v>
      </c>
      <c r="K1738" s="4">
        <v>45580</v>
      </c>
      <c r="L1738" t="s">
        <v>20</v>
      </c>
      <c r="M1738" t="s">
        <v>82</v>
      </c>
      <c r="N1738">
        <v>2.0699999999999998</v>
      </c>
      <c r="O1738">
        <v>1350</v>
      </c>
      <c r="P1738">
        <v>1.99</v>
      </c>
      <c r="Q1738">
        <v>135</v>
      </c>
      <c r="R1738">
        <v>488</v>
      </c>
    </row>
    <row r="1739" spans="1:18" hidden="1" x14ac:dyDescent="0.2">
      <c r="A1739">
        <v>0</v>
      </c>
      <c r="B1739" t="s">
        <v>32</v>
      </c>
      <c r="E1739" t="s">
        <v>51</v>
      </c>
      <c r="F1739">
        <v>1106232</v>
      </c>
      <c r="G1739">
        <v>2</v>
      </c>
      <c r="H1739">
        <v>1</v>
      </c>
      <c r="I1739">
        <v>874</v>
      </c>
      <c r="J1739">
        <v>1956</v>
      </c>
      <c r="K1739" s="4">
        <v>45383</v>
      </c>
      <c r="L1739" t="s">
        <v>26</v>
      </c>
      <c r="M1739" t="s">
        <v>70</v>
      </c>
      <c r="N1739">
        <v>3.45</v>
      </c>
      <c r="O1739">
        <v>1416</v>
      </c>
      <c r="P1739">
        <v>3.46</v>
      </c>
      <c r="Q1739">
        <v>169</v>
      </c>
      <c r="R1739">
        <v>475</v>
      </c>
    </row>
    <row r="1740" spans="1:18" hidden="1" x14ac:dyDescent="0.2">
      <c r="A1740">
        <v>3</v>
      </c>
      <c r="B1740" t="s">
        <v>18</v>
      </c>
      <c r="E1740" t="s">
        <v>51</v>
      </c>
      <c r="F1740">
        <v>2236695</v>
      </c>
      <c r="G1740">
        <v>5</v>
      </c>
      <c r="H1740">
        <v>1</v>
      </c>
      <c r="I1740">
        <v>510</v>
      </c>
      <c r="J1740">
        <v>1979</v>
      </c>
      <c r="K1740" s="4">
        <v>44130</v>
      </c>
      <c r="L1740" t="s">
        <v>30</v>
      </c>
      <c r="M1740" t="s">
        <v>37</v>
      </c>
      <c r="N1740">
        <v>1.94</v>
      </c>
      <c r="O1740">
        <v>1877</v>
      </c>
      <c r="P1740">
        <v>3.11</v>
      </c>
      <c r="Q1740">
        <v>313</v>
      </c>
      <c r="R1740">
        <v>356</v>
      </c>
    </row>
    <row r="1741" spans="1:18" hidden="1" x14ac:dyDescent="0.2">
      <c r="A1741">
        <v>7</v>
      </c>
      <c r="B1741" t="s">
        <v>98</v>
      </c>
      <c r="E1741" t="s">
        <v>19</v>
      </c>
      <c r="F1741">
        <v>1103668</v>
      </c>
      <c r="G1741">
        <v>4</v>
      </c>
      <c r="H1741">
        <v>3</v>
      </c>
      <c r="I1741">
        <v>818</v>
      </c>
      <c r="J1741">
        <v>2003</v>
      </c>
      <c r="K1741" s="4">
        <v>45023</v>
      </c>
      <c r="L1741" t="s">
        <v>26</v>
      </c>
      <c r="M1741" t="s">
        <v>40</v>
      </c>
      <c r="N1741">
        <v>3.25</v>
      </c>
      <c r="O1741">
        <v>1910</v>
      </c>
      <c r="P1741">
        <v>3.37</v>
      </c>
      <c r="Q1741">
        <v>357</v>
      </c>
      <c r="R1741">
        <v>397</v>
      </c>
    </row>
    <row r="1742" spans="1:18" hidden="1" x14ac:dyDescent="0.2">
      <c r="A1742">
        <v>7</v>
      </c>
      <c r="B1742" t="s">
        <v>88</v>
      </c>
      <c r="E1742" t="s">
        <v>19</v>
      </c>
      <c r="F1742">
        <v>574267</v>
      </c>
      <c r="G1742">
        <v>5</v>
      </c>
      <c r="H1742">
        <v>2</v>
      </c>
      <c r="I1742">
        <v>719</v>
      </c>
      <c r="J1742">
        <v>2005</v>
      </c>
      <c r="K1742" s="4">
        <v>44564</v>
      </c>
      <c r="L1742" t="s">
        <v>26</v>
      </c>
      <c r="M1742" t="s">
        <v>24</v>
      </c>
      <c r="N1742">
        <v>1.61</v>
      </c>
      <c r="O1742">
        <v>990</v>
      </c>
      <c r="P1742">
        <v>3.72</v>
      </c>
      <c r="Q1742">
        <v>375</v>
      </c>
      <c r="R1742">
        <v>512</v>
      </c>
    </row>
    <row r="1743" spans="1:18" hidden="1" x14ac:dyDescent="0.2">
      <c r="A1743">
        <v>5</v>
      </c>
      <c r="B1743" t="s">
        <v>80</v>
      </c>
      <c r="E1743" t="s">
        <v>19</v>
      </c>
      <c r="F1743">
        <v>1501819</v>
      </c>
      <c r="G1743">
        <v>4</v>
      </c>
      <c r="H1743">
        <v>1</v>
      </c>
      <c r="I1743">
        <v>76</v>
      </c>
      <c r="J1743">
        <v>1956</v>
      </c>
      <c r="K1743" s="4">
        <v>44873</v>
      </c>
      <c r="L1743" t="s">
        <v>23</v>
      </c>
      <c r="M1743" t="s">
        <v>35</v>
      </c>
      <c r="N1743">
        <v>2.2000000000000002</v>
      </c>
      <c r="O1743">
        <v>1071</v>
      </c>
      <c r="P1743">
        <v>2.06</v>
      </c>
      <c r="Q1743">
        <v>344</v>
      </c>
      <c r="R1743">
        <v>520</v>
      </c>
    </row>
    <row r="1744" spans="1:18" hidden="1" x14ac:dyDescent="0.2">
      <c r="A1744">
        <v>0</v>
      </c>
      <c r="B1744" t="s">
        <v>88</v>
      </c>
      <c r="E1744" t="s">
        <v>51</v>
      </c>
      <c r="F1744">
        <v>1583659</v>
      </c>
      <c r="G1744">
        <v>4</v>
      </c>
      <c r="H1744">
        <v>2</v>
      </c>
      <c r="I1744">
        <v>497</v>
      </c>
      <c r="J1744">
        <v>1970</v>
      </c>
      <c r="K1744" s="4">
        <v>45617</v>
      </c>
      <c r="L1744" t="s">
        <v>30</v>
      </c>
      <c r="M1744" t="s">
        <v>70</v>
      </c>
      <c r="N1744">
        <v>1.67</v>
      </c>
      <c r="O1744">
        <v>1724</v>
      </c>
      <c r="P1744">
        <v>2.35</v>
      </c>
      <c r="Q1744">
        <v>388</v>
      </c>
      <c r="R1744">
        <v>436</v>
      </c>
    </row>
    <row r="1745" spans="1:18" hidden="1" x14ac:dyDescent="0.2">
      <c r="A1745">
        <v>4</v>
      </c>
      <c r="B1745" t="s">
        <v>93</v>
      </c>
      <c r="E1745" t="s">
        <v>19</v>
      </c>
      <c r="F1745">
        <v>1147681</v>
      </c>
      <c r="G1745">
        <v>1</v>
      </c>
      <c r="H1745">
        <v>1</v>
      </c>
      <c r="I1745">
        <v>242</v>
      </c>
      <c r="J1745">
        <v>1995</v>
      </c>
      <c r="K1745" s="4">
        <v>45207</v>
      </c>
      <c r="L1745" t="s">
        <v>20</v>
      </c>
      <c r="M1745" t="s">
        <v>97</v>
      </c>
      <c r="N1745">
        <v>2.62</v>
      </c>
      <c r="O1745">
        <v>1384</v>
      </c>
      <c r="P1745">
        <v>3.4</v>
      </c>
      <c r="Q1745">
        <v>110</v>
      </c>
      <c r="R1745">
        <v>469</v>
      </c>
    </row>
    <row r="1746" spans="1:18" hidden="1" x14ac:dyDescent="0.2">
      <c r="A1746">
        <v>5</v>
      </c>
      <c r="B1746" t="s">
        <v>84</v>
      </c>
      <c r="E1746" t="s">
        <v>51</v>
      </c>
      <c r="F1746">
        <v>1674287</v>
      </c>
      <c r="G1746">
        <v>3</v>
      </c>
      <c r="H1746">
        <v>1</v>
      </c>
      <c r="I1746">
        <v>716</v>
      </c>
      <c r="J1746">
        <v>1991</v>
      </c>
      <c r="K1746" s="4">
        <v>45115</v>
      </c>
      <c r="L1746" t="s">
        <v>26</v>
      </c>
      <c r="M1746" t="s">
        <v>82</v>
      </c>
      <c r="N1746">
        <v>2.48</v>
      </c>
      <c r="O1746">
        <v>2220</v>
      </c>
      <c r="P1746">
        <v>1.99</v>
      </c>
      <c r="Q1746">
        <v>160</v>
      </c>
      <c r="R1746">
        <v>402</v>
      </c>
    </row>
    <row r="1747" spans="1:18" x14ac:dyDescent="0.2">
      <c r="A1747">
        <v>8</v>
      </c>
      <c r="B1747" t="s">
        <v>46</v>
      </c>
      <c r="E1747" t="s">
        <v>29</v>
      </c>
      <c r="F1747">
        <v>1982374</v>
      </c>
      <c r="G1747">
        <v>4</v>
      </c>
      <c r="H1747">
        <v>3</v>
      </c>
      <c r="I1747">
        <v>712</v>
      </c>
      <c r="J1747">
        <v>2017</v>
      </c>
      <c r="K1747" s="4">
        <v>45239</v>
      </c>
      <c r="L1747" t="s">
        <v>20</v>
      </c>
      <c r="M1747" t="s">
        <v>42</v>
      </c>
      <c r="N1747">
        <v>3</v>
      </c>
      <c r="O1747">
        <v>1014</v>
      </c>
      <c r="P1747">
        <v>4.5199999999999996</v>
      </c>
      <c r="Q1747">
        <v>400</v>
      </c>
      <c r="R1747">
        <v>390</v>
      </c>
    </row>
    <row r="1748" spans="1:18" hidden="1" x14ac:dyDescent="0.2">
      <c r="A1748">
        <v>7</v>
      </c>
      <c r="B1748" t="s">
        <v>48</v>
      </c>
      <c r="E1748" t="s">
        <v>19</v>
      </c>
      <c r="F1748">
        <v>2801370</v>
      </c>
      <c r="G1748">
        <v>2</v>
      </c>
      <c r="H1748">
        <v>1</v>
      </c>
      <c r="I1748">
        <v>645</v>
      </c>
      <c r="J1748">
        <v>1959</v>
      </c>
      <c r="K1748" s="4">
        <v>45832</v>
      </c>
      <c r="L1748" t="s">
        <v>26</v>
      </c>
      <c r="M1748" t="s">
        <v>21</v>
      </c>
      <c r="N1748">
        <v>2.99</v>
      </c>
      <c r="O1748">
        <v>2341</v>
      </c>
      <c r="P1748">
        <v>1.8</v>
      </c>
      <c r="Q1748">
        <v>160</v>
      </c>
      <c r="R1748">
        <v>440</v>
      </c>
    </row>
    <row r="1749" spans="1:18" hidden="1" x14ac:dyDescent="0.2">
      <c r="A1749">
        <v>4</v>
      </c>
      <c r="B1749" t="s">
        <v>73</v>
      </c>
      <c r="E1749" t="s">
        <v>29</v>
      </c>
      <c r="F1749">
        <v>421871</v>
      </c>
      <c r="G1749">
        <v>5</v>
      </c>
      <c r="H1749">
        <v>2</v>
      </c>
      <c r="I1749">
        <v>55</v>
      </c>
      <c r="J1749">
        <v>1973</v>
      </c>
      <c r="K1749" s="4">
        <v>45158</v>
      </c>
      <c r="L1749" t="s">
        <v>23</v>
      </c>
      <c r="M1749" t="s">
        <v>85</v>
      </c>
      <c r="N1749">
        <v>2.19</v>
      </c>
      <c r="O1749">
        <v>1806</v>
      </c>
      <c r="P1749">
        <v>2.97</v>
      </c>
      <c r="Q1749">
        <v>332</v>
      </c>
      <c r="R1749">
        <v>386</v>
      </c>
    </row>
    <row r="1750" spans="1:18" hidden="1" x14ac:dyDescent="0.2">
      <c r="A1750">
        <v>4</v>
      </c>
      <c r="B1750" t="s">
        <v>50</v>
      </c>
      <c r="E1750" t="s">
        <v>29</v>
      </c>
      <c r="F1750">
        <v>2377929</v>
      </c>
      <c r="G1750">
        <v>3</v>
      </c>
      <c r="H1750">
        <v>3</v>
      </c>
      <c r="I1750">
        <v>286</v>
      </c>
      <c r="J1750">
        <v>2012</v>
      </c>
      <c r="K1750" s="4">
        <v>45336</v>
      </c>
      <c r="L1750" t="s">
        <v>26</v>
      </c>
      <c r="M1750" t="s">
        <v>66</v>
      </c>
      <c r="N1750">
        <v>2.16</v>
      </c>
      <c r="O1750">
        <v>2390</v>
      </c>
      <c r="P1750">
        <v>2.5299999999999998</v>
      </c>
      <c r="Q1750">
        <v>269</v>
      </c>
      <c r="R1750">
        <v>618</v>
      </c>
    </row>
    <row r="1751" spans="1:18" hidden="1" x14ac:dyDescent="0.2">
      <c r="A1751">
        <v>2</v>
      </c>
      <c r="B1751" t="s">
        <v>94</v>
      </c>
      <c r="E1751" t="s">
        <v>51</v>
      </c>
      <c r="F1751">
        <v>934762</v>
      </c>
      <c r="G1751">
        <v>2</v>
      </c>
      <c r="H1751">
        <v>3</v>
      </c>
      <c r="I1751">
        <v>143</v>
      </c>
      <c r="J1751">
        <v>2001</v>
      </c>
      <c r="K1751" s="4">
        <v>44343</v>
      </c>
      <c r="L1751" t="s">
        <v>30</v>
      </c>
      <c r="M1751" t="s">
        <v>56</v>
      </c>
      <c r="N1751">
        <v>2.83</v>
      </c>
      <c r="O1751">
        <v>1549</v>
      </c>
      <c r="P1751">
        <v>1.41</v>
      </c>
      <c r="Q1751">
        <v>49</v>
      </c>
      <c r="R1751">
        <v>605</v>
      </c>
    </row>
    <row r="1752" spans="1:18" hidden="1" x14ac:dyDescent="0.2">
      <c r="A1752">
        <v>0</v>
      </c>
      <c r="B1752" t="s">
        <v>95</v>
      </c>
      <c r="E1752" t="s">
        <v>36</v>
      </c>
      <c r="F1752">
        <v>440706</v>
      </c>
      <c r="G1752">
        <v>3</v>
      </c>
      <c r="H1752">
        <v>2</v>
      </c>
      <c r="I1752">
        <v>425</v>
      </c>
      <c r="J1752">
        <v>1996</v>
      </c>
      <c r="K1752" s="4">
        <v>44082</v>
      </c>
      <c r="L1752" t="s">
        <v>30</v>
      </c>
      <c r="M1752" t="s">
        <v>56</v>
      </c>
      <c r="N1752">
        <v>2.2799999999999998</v>
      </c>
      <c r="O1752">
        <v>1413</v>
      </c>
      <c r="P1752">
        <v>2.16</v>
      </c>
      <c r="Q1752">
        <v>121</v>
      </c>
      <c r="R1752">
        <v>304</v>
      </c>
    </row>
    <row r="1753" spans="1:18" hidden="1" x14ac:dyDescent="0.2">
      <c r="A1753">
        <v>6</v>
      </c>
      <c r="B1753" t="s">
        <v>46</v>
      </c>
      <c r="E1753" t="s">
        <v>19</v>
      </c>
      <c r="F1753">
        <v>1217006</v>
      </c>
      <c r="G1753">
        <v>5</v>
      </c>
      <c r="H1753">
        <v>1</v>
      </c>
      <c r="I1753">
        <v>979</v>
      </c>
      <c r="J1753">
        <v>2006</v>
      </c>
      <c r="K1753" s="4">
        <v>44186</v>
      </c>
      <c r="L1753" t="s">
        <v>20</v>
      </c>
      <c r="M1753" t="s">
        <v>82</v>
      </c>
      <c r="N1753">
        <v>1.53</v>
      </c>
      <c r="O1753">
        <v>1957</v>
      </c>
      <c r="P1753">
        <v>1.65</v>
      </c>
      <c r="Q1753">
        <v>315</v>
      </c>
      <c r="R1753">
        <v>340</v>
      </c>
    </row>
    <row r="1754" spans="1:18" hidden="1" x14ac:dyDescent="0.2">
      <c r="A1754">
        <v>6</v>
      </c>
      <c r="B1754" t="s">
        <v>62</v>
      </c>
      <c r="E1754" t="s">
        <v>19</v>
      </c>
      <c r="F1754">
        <v>1718725</v>
      </c>
      <c r="G1754">
        <v>3</v>
      </c>
      <c r="H1754">
        <v>3</v>
      </c>
      <c r="I1754">
        <v>915</v>
      </c>
      <c r="J1754">
        <v>2016</v>
      </c>
      <c r="K1754" s="4">
        <v>44858</v>
      </c>
      <c r="L1754" t="s">
        <v>26</v>
      </c>
      <c r="M1754" t="s">
        <v>37</v>
      </c>
      <c r="N1754">
        <v>1.85</v>
      </c>
      <c r="O1754">
        <v>979</v>
      </c>
      <c r="P1754">
        <v>3.82</v>
      </c>
      <c r="Q1754">
        <v>146</v>
      </c>
      <c r="R1754">
        <v>446</v>
      </c>
    </row>
    <row r="1755" spans="1:18" hidden="1" x14ac:dyDescent="0.2">
      <c r="A1755">
        <v>2</v>
      </c>
      <c r="B1755" t="s">
        <v>92</v>
      </c>
      <c r="E1755" t="s">
        <v>29</v>
      </c>
      <c r="F1755">
        <v>1281103</v>
      </c>
      <c r="G1755">
        <v>5</v>
      </c>
      <c r="H1755">
        <v>2</v>
      </c>
      <c r="I1755">
        <v>349</v>
      </c>
      <c r="J1755">
        <v>1971</v>
      </c>
      <c r="K1755" s="4">
        <v>45401</v>
      </c>
      <c r="L1755" t="s">
        <v>30</v>
      </c>
      <c r="M1755" t="s">
        <v>45</v>
      </c>
      <c r="N1755">
        <v>2.94</v>
      </c>
      <c r="O1755">
        <v>1776</v>
      </c>
      <c r="P1755">
        <v>2.69</v>
      </c>
      <c r="Q1755">
        <v>357</v>
      </c>
      <c r="R1755">
        <v>576</v>
      </c>
    </row>
    <row r="1756" spans="1:18" hidden="1" x14ac:dyDescent="0.2">
      <c r="A1756">
        <v>3</v>
      </c>
      <c r="B1756" t="s">
        <v>80</v>
      </c>
      <c r="E1756" t="s">
        <v>29</v>
      </c>
      <c r="F1756">
        <v>931631</v>
      </c>
      <c r="G1756">
        <v>4</v>
      </c>
      <c r="H1756">
        <v>1</v>
      </c>
      <c r="I1756">
        <v>919</v>
      </c>
      <c r="J1756">
        <v>2020</v>
      </c>
      <c r="K1756" s="4">
        <v>45338</v>
      </c>
      <c r="L1756" t="s">
        <v>23</v>
      </c>
      <c r="M1756" t="s">
        <v>35</v>
      </c>
      <c r="N1756">
        <v>3.22</v>
      </c>
      <c r="O1756">
        <v>1780</v>
      </c>
      <c r="P1756">
        <v>2.5499999999999998</v>
      </c>
      <c r="Q1756">
        <v>368</v>
      </c>
      <c r="R1756">
        <v>582</v>
      </c>
    </row>
    <row r="1757" spans="1:18" hidden="1" x14ac:dyDescent="0.2">
      <c r="A1757">
        <v>3</v>
      </c>
      <c r="B1757" t="s">
        <v>83</v>
      </c>
      <c r="E1757" t="s">
        <v>51</v>
      </c>
      <c r="F1757">
        <v>2101216</v>
      </c>
      <c r="G1757">
        <v>0</v>
      </c>
      <c r="H1757">
        <v>3</v>
      </c>
      <c r="I1757">
        <v>322</v>
      </c>
      <c r="J1757">
        <v>2008</v>
      </c>
      <c r="K1757" s="4">
        <v>45460</v>
      </c>
      <c r="L1757" t="s">
        <v>30</v>
      </c>
      <c r="M1757" t="s">
        <v>70</v>
      </c>
      <c r="N1757">
        <v>3.47</v>
      </c>
      <c r="O1757">
        <v>817</v>
      </c>
      <c r="P1757">
        <v>3</v>
      </c>
      <c r="Q1757">
        <v>68</v>
      </c>
      <c r="R1757">
        <v>336</v>
      </c>
    </row>
    <row r="1758" spans="1:18" hidden="1" x14ac:dyDescent="0.2">
      <c r="A1758">
        <v>7</v>
      </c>
      <c r="B1758" t="s">
        <v>99</v>
      </c>
      <c r="E1758" t="s">
        <v>51</v>
      </c>
      <c r="F1758">
        <v>2807758</v>
      </c>
      <c r="G1758">
        <v>2</v>
      </c>
      <c r="H1758">
        <v>3</v>
      </c>
      <c r="I1758">
        <v>926</v>
      </c>
      <c r="J1758">
        <v>1962</v>
      </c>
      <c r="K1758" s="4">
        <v>44823</v>
      </c>
      <c r="L1758" t="s">
        <v>23</v>
      </c>
      <c r="M1758" t="s">
        <v>54</v>
      </c>
      <c r="N1758">
        <v>3.41</v>
      </c>
      <c r="O1758">
        <v>1066</v>
      </c>
      <c r="P1758">
        <v>4.42</v>
      </c>
      <c r="Q1758">
        <v>189</v>
      </c>
      <c r="R1758">
        <v>353</v>
      </c>
    </row>
    <row r="1759" spans="1:18" hidden="1" x14ac:dyDescent="0.2">
      <c r="A1759">
        <v>1</v>
      </c>
      <c r="B1759" t="s">
        <v>80</v>
      </c>
      <c r="E1759" t="s">
        <v>29</v>
      </c>
      <c r="F1759">
        <v>1389673</v>
      </c>
      <c r="G1759">
        <v>2</v>
      </c>
      <c r="H1759">
        <v>3</v>
      </c>
      <c r="I1759">
        <v>778</v>
      </c>
      <c r="J1759">
        <v>2000</v>
      </c>
      <c r="K1759" s="4">
        <v>44414</v>
      </c>
      <c r="L1759" t="s">
        <v>30</v>
      </c>
      <c r="M1759" t="s">
        <v>74</v>
      </c>
      <c r="N1759">
        <v>1.61</v>
      </c>
      <c r="O1759">
        <v>2060</v>
      </c>
      <c r="P1759">
        <v>1.62</v>
      </c>
      <c r="Q1759">
        <v>178</v>
      </c>
      <c r="R1759">
        <v>690</v>
      </c>
    </row>
    <row r="1760" spans="1:18" hidden="1" x14ac:dyDescent="0.2">
      <c r="A1760">
        <v>0</v>
      </c>
      <c r="B1760" t="s">
        <v>75</v>
      </c>
      <c r="E1760" t="s">
        <v>29</v>
      </c>
      <c r="F1760">
        <v>1716047</v>
      </c>
      <c r="G1760">
        <v>2</v>
      </c>
      <c r="H1760">
        <v>1</v>
      </c>
      <c r="I1760">
        <v>696</v>
      </c>
      <c r="J1760">
        <v>1987</v>
      </c>
      <c r="K1760" s="4">
        <v>45106</v>
      </c>
      <c r="L1760" t="s">
        <v>26</v>
      </c>
      <c r="M1760" t="s">
        <v>59</v>
      </c>
      <c r="N1760">
        <v>2.2000000000000002</v>
      </c>
      <c r="O1760">
        <v>1572</v>
      </c>
      <c r="P1760">
        <v>1.45</v>
      </c>
      <c r="Q1760">
        <v>68</v>
      </c>
      <c r="R1760">
        <v>436</v>
      </c>
    </row>
    <row r="1761" spans="1:18" hidden="1" x14ac:dyDescent="0.2">
      <c r="A1761">
        <v>3</v>
      </c>
      <c r="B1761" t="s">
        <v>81</v>
      </c>
      <c r="E1761" t="s">
        <v>19</v>
      </c>
      <c r="F1761">
        <v>1594153</v>
      </c>
      <c r="G1761">
        <v>6</v>
      </c>
      <c r="H1761">
        <v>1</v>
      </c>
      <c r="I1761">
        <v>960</v>
      </c>
      <c r="J1761">
        <v>2016</v>
      </c>
      <c r="K1761" s="4">
        <v>44223</v>
      </c>
      <c r="L1761" t="s">
        <v>23</v>
      </c>
      <c r="M1761" t="s">
        <v>33</v>
      </c>
      <c r="N1761">
        <v>2.2000000000000002</v>
      </c>
      <c r="O1761">
        <v>920</v>
      </c>
      <c r="P1761">
        <v>3.37</v>
      </c>
      <c r="Q1761">
        <v>338</v>
      </c>
      <c r="R1761">
        <v>675</v>
      </c>
    </row>
    <row r="1762" spans="1:18" hidden="1" x14ac:dyDescent="0.2">
      <c r="A1762">
        <v>0</v>
      </c>
      <c r="B1762" t="s">
        <v>67</v>
      </c>
      <c r="E1762" t="s">
        <v>51</v>
      </c>
      <c r="F1762">
        <v>1599430</v>
      </c>
      <c r="G1762">
        <v>6</v>
      </c>
      <c r="H1762">
        <v>2</v>
      </c>
      <c r="I1762">
        <v>183</v>
      </c>
      <c r="J1762">
        <v>2016</v>
      </c>
      <c r="K1762" s="4">
        <v>45334</v>
      </c>
      <c r="L1762" t="s">
        <v>20</v>
      </c>
      <c r="M1762" t="s">
        <v>59</v>
      </c>
      <c r="N1762">
        <v>1.58</v>
      </c>
      <c r="O1762">
        <v>1539</v>
      </c>
      <c r="P1762">
        <v>2.4500000000000002</v>
      </c>
      <c r="Q1762">
        <v>368</v>
      </c>
      <c r="R1762">
        <v>608</v>
      </c>
    </row>
    <row r="1763" spans="1:18" hidden="1" x14ac:dyDescent="0.2">
      <c r="A1763">
        <v>3</v>
      </c>
      <c r="B1763" t="s">
        <v>94</v>
      </c>
      <c r="E1763" t="s">
        <v>36</v>
      </c>
      <c r="F1763">
        <v>2858560</v>
      </c>
      <c r="G1763">
        <v>6</v>
      </c>
      <c r="H1763">
        <v>1</v>
      </c>
      <c r="I1763">
        <v>230</v>
      </c>
      <c r="J1763">
        <v>1981</v>
      </c>
      <c r="K1763" s="4">
        <v>45820</v>
      </c>
      <c r="L1763" t="s">
        <v>23</v>
      </c>
      <c r="M1763" t="s">
        <v>33</v>
      </c>
      <c r="N1763">
        <v>2.25</v>
      </c>
      <c r="O1763">
        <v>2325</v>
      </c>
      <c r="P1763">
        <v>4.67</v>
      </c>
      <c r="Q1763">
        <v>395</v>
      </c>
      <c r="R1763">
        <v>577</v>
      </c>
    </row>
    <row r="1764" spans="1:18" hidden="1" x14ac:dyDescent="0.2">
      <c r="A1764">
        <v>5</v>
      </c>
      <c r="B1764" t="s">
        <v>28</v>
      </c>
      <c r="E1764" t="s">
        <v>36</v>
      </c>
      <c r="F1764">
        <v>944152</v>
      </c>
      <c r="G1764">
        <v>4</v>
      </c>
      <c r="H1764">
        <v>3</v>
      </c>
      <c r="I1764">
        <v>115</v>
      </c>
      <c r="J1764">
        <v>1951</v>
      </c>
      <c r="K1764" s="4">
        <v>44360</v>
      </c>
      <c r="L1764" t="s">
        <v>20</v>
      </c>
      <c r="M1764" t="s">
        <v>42</v>
      </c>
      <c r="N1764">
        <v>3.2</v>
      </c>
      <c r="O1764">
        <v>2223</v>
      </c>
      <c r="P1764">
        <v>0.44</v>
      </c>
      <c r="Q1764">
        <v>332</v>
      </c>
      <c r="R1764">
        <v>389</v>
      </c>
    </row>
    <row r="1765" spans="1:18" hidden="1" x14ac:dyDescent="0.2">
      <c r="A1765">
        <v>2</v>
      </c>
      <c r="B1765" t="s">
        <v>38</v>
      </c>
      <c r="E1765" t="s">
        <v>29</v>
      </c>
      <c r="F1765">
        <v>2167315</v>
      </c>
      <c r="G1765">
        <v>2</v>
      </c>
      <c r="H1765">
        <v>2</v>
      </c>
      <c r="I1765">
        <v>166</v>
      </c>
      <c r="J1765">
        <v>1982</v>
      </c>
      <c r="K1765" s="4">
        <v>44993</v>
      </c>
      <c r="L1765" t="s">
        <v>23</v>
      </c>
      <c r="M1765" t="s">
        <v>63</v>
      </c>
      <c r="N1765">
        <v>3.11</v>
      </c>
      <c r="O1765">
        <v>898</v>
      </c>
      <c r="P1765">
        <v>1.72</v>
      </c>
      <c r="Q1765">
        <v>98</v>
      </c>
      <c r="R1765">
        <v>463</v>
      </c>
    </row>
    <row r="1766" spans="1:18" hidden="1" x14ac:dyDescent="0.2">
      <c r="A1766">
        <v>9</v>
      </c>
      <c r="B1766" t="s">
        <v>65</v>
      </c>
      <c r="E1766" t="s">
        <v>29</v>
      </c>
      <c r="F1766">
        <v>2241933</v>
      </c>
      <c r="G1766">
        <v>5</v>
      </c>
      <c r="H1766">
        <v>3</v>
      </c>
      <c r="I1766">
        <v>817</v>
      </c>
      <c r="J1766">
        <v>1982</v>
      </c>
      <c r="K1766" s="4">
        <v>45098</v>
      </c>
      <c r="L1766" t="s">
        <v>20</v>
      </c>
      <c r="M1766" t="s">
        <v>52</v>
      </c>
      <c r="N1766">
        <v>2.52</v>
      </c>
      <c r="O1766">
        <v>1781</v>
      </c>
      <c r="P1766">
        <v>3.37</v>
      </c>
      <c r="Q1766">
        <v>242</v>
      </c>
      <c r="R1766">
        <v>556</v>
      </c>
    </row>
    <row r="1767" spans="1:18" hidden="1" x14ac:dyDescent="0.2">
      <c r="A1767">
        <v>3</v>
      </c>
      <c r="B1767" t="s">
        <v>32</v>
      </c>
      <c r="E1767" t="s">
        <v>19</v>
      </c>
      <c r="F1767">
        <v>494597</v>
      </c>
      <c r="G1767">
        <v>1</v>
      </c>
      <c r="H1767">
        <v>1</v>
      </c>
      <c r="I1767">
        <v>318</v>
      </c>
      <c r="J1767">
        <v>1951</v>
      </c>
      <c r="K1767" s="4">
        <v>45045</v>
      </c>
      <c r="L1767" t="s">
        <v>30</v>
      </c>
      <c r="M1767" t="s">
        <v>66</v>
      </c>
      <c r="N1767">
        <v>2.91</v>
      </c>
      <c r="O1767">
        <v>953</v>
      </c>
      <c r="P1767">
        <v>0.89</v>
      </c>
      <c r="Q1767">
        <v>94</v>
      </c>
      <c r="R1767">
        <v>412</v>
      </c>
    </row>
    <row r="1768" spans="1:18" hidden="1" x14ac:dyDescent="0.2">
      <c r="A1768">
        <v>4</v>
      </c>
      <c r="B1768" t="s">
        <v>86</v>
      </c>
      <c r="E1768" t="s">
        <v>36</v>
      </c>
      <c r="F1768">
        <v>2851816</v>
      </c>
      <c r="G1768">
        <v>4</v>
      </c>
      <c r="H1768">
        <v>2</v>
      </c>
      <c r="I1768">
        <v>475</v>
      </c>
      <c r="J1768">
        <v>2002</v>
      </c>
      <c r="K1768" s="4">
        <v>44507</v>
      </c>
      <c r="L1768" t="s">
        <v>23</v>
      </c>
      <c r="M1768" t="s">
        <v>47</v>
      </c>
      <c r="N1768">
        <v>1.54</v>
      </c>
      <c r="O1768">
        <v>1486</v>
      </c>
      <c r="P1768">
        <v>1.02</v>
      </c>
      <c r="Q1768">
        <v>170</v>
      </c>
      <c r="R1768">
        <v>586</v>
      </c>
    </row>
    <row r="1769" spans="1:18" hidden="1" x14ac:dyDescent="0.2">
      <c r="A1769">
        <v>6</v>
      </c>
      <c r="B1769" t="s">
        <v>49</v>
      </c>
      <c r="E1769" t="s">
        <v>51</v>
      </c>
      <c r="F1769">
        <v>1680459</v>
      </c>
      <c r="G1769">
        <v>6</v>
      </c>
      <c r="H1769">
        <v>2</v>
      </c>
      <c r="I1769">
        <v>185</v>
      </c>
      <c r="J1769">
        <v>1980</v>
      </c>
      <c r="K1769" s="4">
        <v>45476</v>
      </c>
      <c r="L1769" t="s">
        <v>23</v>
      </c>
      <c r="M1769" t="s">
        <v>56</v>
      </c>
      <c r="N1769">
        <v>2.2400000000000002</v>
      </c>
      <c r="O1769">
        <v>1437</v>
      </c>
      <c r="P1769">
        <v>3.86</v>
      </c>
      <c r="Q1769">
        <v>355</v>
      </c>
      <c r="R1769">
        <v>673</v>
      </c>
    </row>
    <row r="1770" spans="1:18" x14ac:dyDescent="0.2">
      <c r="A1770">
        <v>8</v>
      </c>
      <c r="B1770" t="s">
        <v>84</v>
      </c>
      <c r="E1770" t="s">
        <v>19</v>
      </c>
      <c r="F1770">
        <v>838292</v>
      </c>
      <c r="G1770">
        <v>6</v>
      </c>
      <c r="H1770">
        <v>3</v>
      </c>
      <c r="I1770">
        <v>752</v>
      </c>
      <c r="J1770">
        <v>1971</v>
      </c>
      <c r="K1770" s="4">
        <v>44537</v>
      </c>
      <c r="L1770" t="s">
        <v>20</v>
      </c>
      <c r="M1770" t="s">
        <v>27</v>
      </c>
      <c r="N1770">
        <v>2.39</v>
      </c>
      <c r="O1770">
        <v>1201</v>
      </c>
      <c r="P1770">
        <v>2.29</v>
      </c>
      <c r="Q1770">
        <v>356</v>
      </c>
      <c r="R1770">
        <v>406</v>
      </c>
    </row>
    <row r="1771" spans="1:18" hidden="1" x14ac:dyDescent="0.2">
      <c r="A1771">
        <v>6</v>
      </c>
      <c r="B1771" t="s">
        <v>53</v>
      </c>
      <c r="E1771" t="s">
        <v>29</v>
      </c>
      <c r="F1771">
        <v>2650283</v>
      </c>
      <c r="G1771">
        <v>5</v>
      </c>
      <c r="H1771">
        <v>3</v>
      </c>
      <c r="I1771">
        <v>139</v>
      </c>
      <c r="J1771">
        <v>1995</v>
      </c>
      <c r="K1771" s="4">
        <v>44716</v>
      </c>
      <c r="L1771" t="s">
        <v>23</v>
      </c>
      <c r="M1771" t="s">
        <v>76</v>
      </c>
      <c r="N1771">
        <v>3.19</v>
      </c>
      <c r="O1771">
        <v>1643</v>
      </c>
      <c r="P1771">
        <v>0.61</v>
      </c>
      <c r="Q1771">
        <v>325</v>
      </c>
      <c r="R1771">
        <v>535</v>
      </c>
    </row>
    <row r="1772" spans="1:18" hidden="1" x14ac:dyDescent="0.2">
      <c r="A1772">
        <v>7</v>
      </c>
      <c r="B1772" t="s">
        <v>41</v>
      </c>
      <c r="E1772" t="s">
        <v>51</v>
      </c>
      <c r="F1772">
        <v>862542</v>
      </c>
      <c r="G1772">
        <v>1</v>
      </c>
      <c r="H1772">
        <v>3</v>
      </c>
      <c r="I1772">
        <v>783</v>
      </c>
      <c r="J1772">
        <v>2013</v>
      </c>
      <c r="K1772" s="4">
        <v>45734</v>
      </c>
      <c r="L1772" t="s">
        <v>20</v>
      </c>
      <c r="M1772" t="s">
        <v>31</v>
      </c>
      <c r="N1772">
        <v>2.58</v>
      </c>
      <c r="O1772">
        <v>2060</v>
      </c>
      <c r="P1772">
        <v>4.8899999999999997</v>
      </c>
      <c r="Q1772">
        <v>117</v>
      </c>
      <c r="R1772">
        <v>661</v>
      </c>
    </row>
    <row r="1773" spans="1:18" hidden="1" x14ac:dyDescent="0.2">
      <c r="A1773">
        <v>0</v>
      </c>
      <c r="B1773" t="s">
        <v>44</v>
      </c>
      <c r="E1773" t="s">
        <v>19</v>
      </c>
      <c r="F1773">
        <v>402035</v>
      </c>
      <c r="G1773">
        <v>4</v>
      </c>
      <c r="H1773">
        <v>3</v>
      </c>
      <c r="I1773">
        <v>872</v>
      </c>
      <c r="J1773">
        <v>1952</v>
      </c>
      <c r="K1773" s="4">
        <v>45045</v>
      </c>
      <c r="L1773" t="s">
        <v>23</v>
      </c>
      <c r="M1773" t="s">
        <v>52</v>
      </c>
      <c r="N1773">
        <v>2.11</v>
      </c>
      <c r="O1773">
        <v>2113</v>
      </c>
      <c r="P1773">
        <v>1.33</v>
      </c>
      <c r="Q1773">
        <v>220</v>
      </c>
      <c r="R1773">
        <v>374</v>
      </c>
    </row>
    <row r="1774" spans="1:18" hidden="1" x14ac:dyDescent="0.2">
      <c r="A1774">
        <v>4</v>
      </c>
      <c r="B1774" t="s">
        <v>93</v>
      </c>
      <c r="E1774" t="s">
        <v>19</v>
      </c>
      <c r="F1774">
        <v>766917</v>
      </c>
      <c r="G1774">
        <v>3</v>
      </c>
      <c r="H1774">
        <v>1</v>
      </c>
      <c r="I1774">
        <v>388</v>
      </c>
      <c r="J1774">
        <v>1988</v>
      </c>
      <c r="K1774" s="4">
        <v>45684</v>
      </c>
      <c r="L1774" t="s">
        <v>20</v>
      </c>
      <c r="M1774" t="s">
        <v>78</v>
      </c>
      <c r="N1774">
        <v>3.09</v>
      </c>
      <c r="O1774">
        <v>1011</v>
      </c>
      <c r="P1774">
        <v>2.42</v>
      </c>
      <c r="Q1774">
        <v>187</v>
      </c>
      <c r="R1774">
        <v>366</v>
      </c>
    </row>
    <row r="1775" spans="1:18" hidden="1" x14ac:dyDescent="0.2">
      <c r="A1775">
        <v>0</v>
      </c>
      <c r="B1775" t="s">
        <v>91</v>
      </c>
      <c r="E1775" t="s">
        <v>19</v>
      </c>
      <c r="F1775">
        <v>2056119</v>
      </c>
      <c r="G1775">
        <v>6</v>
      </c>
      <c r="H1775">
        <v>2</v>
      </c>
      <c r="I1775">
        <v>740</v>
      </c>
      <c r="J1775">
        <v>2015</v>
      </c>
      <c r="K1775" s="4">
        <v>44303</v>
      </c>
      <c r="L1775" t="s">
        <v>20</v>
      </c>
      <c r="M1775" t="s">
        <v>89</v>
      </c>
      <c r="N1775">
        <v>3.1</v>
      </c>
      <c r="O1775">
        <v>1892</v>
      </c>
      <c r="P1775">
        <v>1.26</v>
      </c>
      <c r="Q1775">
        <v>322</v>
      </c>
      <c r="R1775">
        <v>595</v>
      </c>
    </row>
    <row r="1776" spans="1:18" hidden="1" x14ac:dyDescent="0.2">
      <c r="A1776">
        <v>3</v>
      </c>
      <c r="B1776" t="s">
        <v>18</v>
      </c>
      <c r="E1776" t="s">
        <v>29</v>
      </c>
      <c r="F1776">
        <v>1584315</v>
      </c>
      <c r="G1776">
        <v>5</v>
      </c>
      <c r="H1776">
        <v>2</v>
      </c>
      <c r="I1776">
        <v>678</v>
      </c>
      <c r="J1776">
        <v>1980</v>
      </c>
      <c r="K1776" s="4">
        <v>45047</v>
      </c>
      <c r="L1776" t="s">
        <v>23</v>
      </c>
      <c r="M1776" t="s">
        <v>37</v>
      </c>
      <c r="N1776">
        <v>2.12</v>
      </c>
      <c r="O1776">
        <v>1768</v>
      </c>
      <c r="P1776">
        <v>2.09</v>
      </c>
      <c r="Q1776">
        <v>305</v>
      </c>
      <c r="R1776">
        <v>625</v>
      </c>
    </row>
    <row r="1777" spans="1:18" hidden="1" x14ac:dyDescent="0.2">
      <c r="A1777">
        <v>0</v>
      </c>
      <c r="B1777" t="s">
        <v>92</v>
      </c>
      <c r="E1777" t="s">
        <v>19</v>
      </c>
      <c r="F1777">
        <v>642888</v>
      </c>
      <c r="G1777">
        <v>3</v>
      </c>
      <c r="H1777">
        <v>1</v>
      </c>
      <c r="I1777">
        <v>343</v>
      </c>
      <c r="J1777">
        <v>2004</v>
      </c>
      <c r="K1777" s="4">
        <v>45484</v>
      </c>
      <c r="L1777" t="s">
        <v>30</v>
      </c>
      <c r="M1777" t="s">
        <v>69</v>
      </c>
      <c r="N1777">
        <v>2.2799999999999998</v>
      </c>
      <c r="O1777">
        <v>1676</v>
      </c>
      <c r="P1777">
        <v>4.79</v>
      </c>
      <c r="Q1777">
        <v>138</v>
      </c>
      <c r="R1777">
        <v>613</v>
      </c>
    </row>
    <row r="1778" spans="1:18" hidden="1" x14ac:dyDescent="0.2">
      <c r="A1778">
        <v>9</v>
      </c>
      <c r="B1778" t="s">
        <v>22</v>
      </c>
      <c r="E1778" t="s">
        <v>29</v>
      </c>
      <c r="F1778">
        <v>1165226</v>
      </c>
      <c r="G1778">
        <v>3</v>
      </c>
      <c r="H1778">
        <v>3</v>
      </c>
      <c r="I1778">
        <v>920</v>
      </c>
      <c r="J1778">
        <v>2007</v>
      </c>
      <c r="K1778" s="4">
        <v>44507</v>
      </c>
      <c r="L1778" t="s">
        <v>20</v>
      </c>
      <c r="M1778" t="s">
        <v>35</v>
      </c>
      <c r="N1778">
        <v>1.93</v>
      </c>
      <c r="O1778">
        <v>1507</v>
      </c>
      <c r="P1778">
        <v>2.13</v>
      </c>
      <c r="Q1778">
        <v>305</v>
      </c>
      <c r="R1778">
        <v>458</v>
      </c>
    </row>
    <row r="1779" spans="1:18" hidden="1" x14ac:dyDescent="0.2">
      <c r="A1779">
        <v>4</v>
      </c>
      <c r="B1779" t="s">
        <v>83</v>
      </c>
      <c r="E1779" t="s">
        <v>19</v>
      </c>
      <c r="F1779">
        <v>1619870</v>
      </c>
      <c r="G1779">
        <v>2</v>
      </c>
      <c r="H1779">
        <v>3</v>
      </c>
      <c r="I1779">
        <v>911</v>
      </c>
      <c r="J1779">
        <v>2002</v>
      </c>
      <c r="K1779" s="4">
        <v>45548</v>
      </c>
      <c r="L1779" t="s">
        <v>26</v>
      </c>
      <c r="M1779" t="s">
        <v>68</v>
      </c>
      <c r="N1779">
        <v>2.0299999999999998</v>
      </c>
      <c r="O1779">
        <v>2227</v>
      </c>
      <c r="P1779">
        <v>0.11</v>
      </c>
      <c r="Q1779">
        <v>225</v>
      </c>
      <c r="R1779">
        <v>644</v>
      </c>
    </row>
    <row r="1780" spans="1:18" hidden="1" x14ac:dyDescent="0.2">
      <c r="A1780">
        <v>6</v>
      </c>
      <c r="B1780" t="s">
        <v>88</v>
      </c>
      <c r="E1780" t="s">
        <v>51</v>
      </c>
      <c r="F1780">
        <v>646798</v>
      </c>
      <c r="G1780">
        <v>3</v>
      </c>
      <c r="H1780">
        <v>1</v>
      </c>
      <c r="I1780">
        <v>651</v>
      </c>
      <c r="J1780">
        <v>1957</v>
      </c>
      <c r="K1780" s="4">
        <v>45255</v>
      </c>
      <c r="L1780" t="s">
        <v>26</v>
      </c>
      <c r="M1780" t="s">
        <v>40</v>
      </c>
      <c r="N1780">
        <v>3.22</v>
      </c>
      <c r="O1780">
        <v>1673</v>
      </c>
      <c r="P1780">
        <v>3.37</v>
      </c>
      <c r="Q1780">
        <v>315</v>
      </c>
      <c r="R1780">
        <v>525</v>
      </c>
    </row>
    <row r="1781" spans="1:18" hidden="1" x14ac:dyDescent="0.2">
      <c r="A1781">
        <v>3</v>
      </c>
      <c r="B1781" t="s">
        <v>50</v>
      </c>
      <c r="E1781" t="s">
        <v>36</v>
      </c>
      <c r="F1781">
        <v>1482429</v>
      </c>
      <c r="G1781">
        <v>1</v>
      </c>
      <c r="H1781">
        <v>1</v>
      </c>
      <c r="I1781">
        <v>580</v>
      </c>
      <c r="J1781">
        <v>1995</v>
      </c>
      <c r="K1781" s="4">
        <v>45078</v>
      </c>
      <c r="L1781" t="s">
        <v>23</v>
      </c>
      <c r="M1781" t="s">
        <v>97</v>
      </c>
      <c r="N1781">
        <v>3.13</v>
      </c>
      <c r="O1781">
        <v>946</v>
      </c>
      <c r="P1781">
        <v>3.62</v>
      </c>
      <c r="Q1781">
        <v>89</v>
      </c>
      <c r="R1781">
        <v>672</v>
      </c>
    </row>
    <row r="1782" spans="1:18" x14ac:dyDescent="0.2">
      <c r="A1782">
        <v>8</v>
      </c>
      <c r="B1782" t="s">
        <v>88</v>
      </c>
      <c r="E1782" t="s">
        <v>36</v>
      </c>
      <c r="F1782">
        <v>827508</v>
      </c>
      <c r="G1782">
        <v>4</v>
      </c>
      <c r="H1782">
        <v>3</v>
      </c>
      <c r="I1782">
        <v>647</v>
      </c>
      <c r="J1782">
        <v>1976</v>
      </c>
      <c r="K1782" s="4">
        <v>45742</v>
      </c>
      <c r="L1782" t="s">
        <v>26</v>
      </c>
      <c r="M1782" t="s">
        <v>40</v>
      </c>
      <c r="N1782">
        <v>2.79</v>
      </c>
      <c r="O1782">
        <v>2398</v>
      </c>
      <c r="P1782">
        <v>1.1599999999999999</v>
      </c>
      <c r="Q1782">
        <v>352</v>
      </c>
      <c r="R1782">
        <v>330</v>
      </c>
    </row>
    <row r="1783" spans="1:18" hidden="1" x14ac:dyDescent="0.2">
      <c r="A1783">
        <v>2</v>
      </c>
      <c r="B1783" t="s">
        <v>104</v>
      </c>
      <c r="E1783" t="s">
        <v>51</v>
      </c>
      <c r="F1783">
        <v>2615436</v>
      </c>
      <c r="G1783">
        <v>3</v>
      </c>
      <c r="H1783">
        <v>1</v>
      </c>
      <c r="I1783">
        <v>145</v>
      </c>
      <c r="J1783">
        <v>1962</v>
      </c>
      <c r="K1783" s="4">
        <v>44519</v>
      </c>
      <c r="L1783" t="s">
        <v>30</v>
      </c>
      <c r="M1783" t="s">
        <v>24</v>
      </c>
      <c r="N1783">
        <v>1.77</v>
      </c>
      <c r="O1783">
        <v>1152</v>
      </c>
      <c r="P1783">
        <v>1.31</v>
      </c>
      <c r="Q1783">
        <v>169</v>
      </c>
      <c r="R1783">
        <v>517</v>
      </c>
    </row>
    <row r="1784" spans="1:18" x14ac:dyDescent="0.2">
      <c r="A1784">
        <v>8</v>
      </c>
      <c r="B1784" t="s">
        <v>102</v>
      </c>
      <c r="E1784" t="s">
        <v>51</v>
      </c>
      <c r="F1784">
        <v>686700</v>
      </c>
      <c r="G1784">
        <v>4</v>
      </c>
      <c r="H1784">
        <v>2</v>
      </c>
      <c r="I1784">
        <v>858</v>
      </c>
      <c r="J1784">
        <v>1979</v>
      </c>
      <c r="K1784" s="4">
        <v>45321</v>
      </c>
      <c r="L1784" t="s">
        <v>30</v>
      </c>
      <c r="M1784" t="s">
        <v>27</v>
      </c>
      <c r="N1784">
        <v>2.42</v>
      </c>
      <c r="O1784">
        <v>1189</v>
      </c>
      <c r="P1784">
        <v>2.12</v>
      </c>
      <c r="Q1784">
        <v>161</v>
      </c>
      <c r="R1784">
        <v>469</v>
      </c>
    </row>
    <row r="1785" spans="1:18" hidden="1" x14ac:dyDescent="0.2">
      <c r="A1785">
        <v>2</v>
      </c>
      <c r="B1785" t="s">
        <v>106</v>
      </c>
      <c r="E1785" t="s">
        <v>36</v>
      </c>
      <c r="F1785">
        <v>2340341</v>
      </c>
      <c r="G1785">
        <v>4</v>
      </c>
      <c r="H1785">
        <v>1</v>
      </c>
      <c r="I1785">
        <v>932</v>
      </c>
      <c r="J1785">
        <v>1964</v>
      </c>
      <c r="K1785" s="4">
        <v>45725</v>
      </c>
      <c r="L1785" t="s">
        <v>23</v>
      </c>
      <c r="M1785" t="s">
        <v>85</v>
      </c>
      <c r="N1785">
        <v>3.22</v>
      </c>
      <c r="O1785">
        <v>1167</v>
      </c>
      <c r="P1785">
        <v>3.14</v>
      </c>
      <c r="Q1785">
        <v>278</v>
      </c>
      <c r="R1785">
        <v>460</v>
      </c>
    </row>
    <row r="1786" spans="1:18" hidden="1" x14ac:dyDescent="0.2">
      <c r="A1786">
        <v>9</v>
      </c>
      <c r="B1786" t="s">
        <v>104</v>
      </c>
      <c r="E1786" t="s">
        <v>19</v>
      </c>
      <c r="F1786">
        <v>1279435</v>
      </c>
      <c r="G1786">
        <v>5</v>
      </c>
      <c r="H1786">
        <v>2</v>
      </c>
      <c r="I1786">
        <v>856</v>
      </c>
      <c r="J1786">
        <v>1975</v>
      </c>
      <c r="K1786" s="4">
        <v>44081</v>
      </c>
      <c r="L1786" t="s">
        <v>20</v>
      </c>
      <c r="M1786" t="s">
        <v>47</v>
      </c>
      <c r="N1786">
        <v>2.93</v>
      </c>
      <c r="O1786">
        <v>1197</v>
      </c>
      <c r="P1786">
        <v>0.52</v>
      </c>
      <c r="Q1786">
        <v>300</v>
      </c>
      <c r="R1786">
        <v>314</v>
      </c>
    </row>
    <row r="1787" spans="1:18" hidden="1" x14ac:dyDescent="0.2">
      <c r="A1787">
        <v>4</v>
      </c>
      <c r="B1787" t="s">
        <v>71</v>
      </c>
      <c r="E1787" t="s">
        <v>19</v>
      </c>
      <c r="F1787">
        <v>1709830</v>
      </c>
      <c r="G1787">
        <v>3</v>
      </c>
      <c r="H1787">
        <v>1</v>
      </c>
      <c r="I1787">
        <v>172</v>
      </c>
      <c r="J1787">
        <v>1972</v>
      </c>
      <c r="K1787" s="4">
        <v>44591</v>
      </c>
      <c r="L1787" t="s">
        <v>20</v>
      </c>
      <c r="M1787" t="s">
        <v>85</v>
      </c>
      <c r="N1787">
        <v>2.35</v>
      </c>
      <c r="O1787">
        <v>1588</v>
      </c>
      <c r="P1787">
        <v>1.82</v>
      </c>
      <c r="Q1787">
        <v>168</v>
      </c>
      <c r="R1787">
        <v>613</v>
      </c>
    </row>
    <row r="1788" spans="1:18" hidden="1" x14ac:dyDescent="0.2">
      <c r="A1788">
        <v>1</v>
      </c>
      <c r="B1788" t="s">
        <v>102</v>
      </c>
      <c r="E1788" t="s">
        <v>51</v>
      </c>
      <c r="F1788">
        <v>2056111</v>
      </c>
      <c r="G1788">
        <v>3</v>
      </c>
      <c r="H1788">
        <v>3</v>
      </c>
      <c r="I1788">
        <v>942</v>
      </c>
      <c r="J1788">
        <v>1981</v>
      </c>
      <c r="K1788" s="4">
        <v>45818</v>
      </c>
      <c r="L1788" t="s">
        <v>23</v>
      </c>
      <c r="M1788" t="s">
        <v>82</v>
      </c>
      <c r="N1788">
        <v>2.78</v>
      </c>
      <c r="O1788">
        <v>1532</v>
      </c>
      <c r="P1788">
        <v>3.35</v>
      </c>
      <c r="Q1788">
        <v>113</v>
      </c>
      <c r="R1788">
        <v>681</v>
      </c>
    </row>
    <row r="1789" spans="1:18" hidden="1" x14ac:dyDescent="0.2">
      <c r="A1789">
        <v>0</v>
      </c>
      <c r="B1789" t="s">
        <v>101</v>
      </c>
      <c r="E1789" t="s">
        <v>51</v>
      </c>
      <c r="F1789">
        <v>747185</v>
      </c>
      <c r="G1789">
        <v>3</v>
      </c>
      <c r="H1789">
        <v>3</v>
      </c>
      <c r="I1789">
        <v>468</v>
      </c>
      <c r="J1789">
        <v>2001</v>
      </c>
      <c r="K1789" s="4">
        <v>45421</v>
      </c>
      <c r="L1789" t="s">
        <v>30</v>
      </c>
      <c r="M1789" t="s">
        <v>40</v>
      </c>
      <c r="N1789">
        <v>2.41</v>
      </c>
      <c r="O1789">
        <v>1373</v>
      </c>
      <c r="P1789">
        <v>2.17</v>
      </c>
      <c r="Q1789">
        <v>297</v>
      </c>
      <c r="R1789">
        <v>307</v>
      </c>
    </row>
    <row r="1790" spans="1:18" x14ac:dyDescent="0.2">
      <c r="A1790">
        <v>8</v>
      </c>
      <c r="B1790" t="s">
        <v>83</v>
      </c>
      <c r="E1790" t="s">
        <v>19</v>
      </c>
      <c r="F1790">
        <v>1513624</v>
      </c>
      <c r="G1790">
        <v>2</v>
      </c>
      <c r="H1790">
        <v>2</v>
      </c>
      <c r="I1790">
        <v>727</v>
      </c>
      <c r="J1790">
        <v>1965</v>
      </c>
      <c r="K1790" s="4">
        <v>44283</v>
      </c>
      <c r="L1790" t="s">
        <v>30</v>
      </c>
      <c r="M1790" t="s">
        <v>59</v>
      </c>
      <c r="N1790">
        <v>2.02</v>
      </c>
      <c r="O1790">
        <v>1156</v>
      </c>
      <c r="P1790">
        <v>2.44</v>
      </c>
      <c r="Q1790">
        <v>57</v>
      </c>
      <c r="R1790">
        <v>394</v>
      </c>
    </row>
    <row r="1791" spans="1:18" hidden="1" x14ac:dyDescent="0.2">
      <c r="A1791">
        <v>9</v>
      </c>
      <c r="B1791" t="s">
        <v>91</v>
      </c>
      <c r="E1791" t="s">
        <v>19</v>
      </c>
      <c r="F1791">
        <v>2134237</v>
      </c>
      <c r="G1791">
        <v>2</v>
      </c>
      <c r="H1791">
        <v>1</v>
      </c>
      <c r="I1791">
        <v>894</v>
      </c>
      <c r="J1791">
        <v>1999</v>
      </c>
      <c r="K1791" s="4">
        <v>45783</v>
      </c>
      <c r="L1791" t="s">
        <v>30</v>
      </c>
      <c r="M1791" t="s">
        <v>40</v>
      </c>
      <c r="N1791">
        <v>3.24</v>
      </c>
      <c r="O1791">
        <v>1244</v>
      </c>
      <c r="P1791">
        <v>4.34</v>
      </c>
      <c r="Q1791">
        <v>180</v>
      </c>
      <c r="R1791">
        <v>674</v>
      </c>
    </row>
    <row r="1792" spans="1:18" hidden="1" x14ac:dyDescent="0.2">
      <c r="A1792">
        <v>3</v>
      </c>
      <c r="B1792" t="s">
        <v>86</v>
      </c>
      <c r="E1792" t="s">
        <v>36</v>
      </c>
      <c r="F1792">
        <v>741807</v>
      </c>
      <c r="G1792">
        <v>5</v>
      </c>
      <c r="H1792">
        <v>1</v>
      </c>
      <c r="I1792">
        <v>575</v>
      </c>
      <c r="J1792">
        <v>2012</v>
      </c>
      <c r="K1792" s="4">
        <v>45763</v>
      </c>
      <c r="L1792" t="s">
        <v>23</v>
      </c>
      <c r="M1792" t="s">
        <v>78</v>
      </c>
      <c r="N1792">
        <v>2.78</v>
      </c>
      <c r="O1792">
        <v>1841</v>
      </c>
      <c r="P1792">
        <v>2.68</v>
      </c>
      <c r="Q1792">
        <v>397</v>
      </c>
      <c r="R1792">
        <v>583</v>
      </c>
    </row>
    <row r="1793" spans="1:18" hidden="1" x14ac:dyDescent="0.2">
      <c r="A1793">
        <v>7</v>
      </c>
      <c r="B1793" t="s">
        <v>81</v>
      </c>
      <c r="E1793" t="s">
        <v>29</v>
      </c>
      <c r="F1793">
        <v>1820720</v>
      </c>
      <c r="G1793">
        <v>5</v>
      </c>
      <c r="H1793">
        <v>1</v>
      </c>
      <c r="I1793">
        <v>912</v>
      </c>
      <c r="J1793">
        <v>2009</v>
      </c>
      <c r="K1793" s="4">
        <v>44655</v>
      </c>
      <c r="L1793" t="s">
        <v>23</v>
      </c>
      <c r="M1793" t="s">
        <v>60</v>
      </c>
      <c r="N1793">
        <v>2.54</v>
      </c>
      <c r="O1793">
        <v>2005</v>
      </c>
      <c r="P1793">
        <v>2.6</v>
      </c>
      <c r="Q1793">
        <v>321</v>
      </c>
      <c r="R1793">
        <v>336</v>
      </c>
    </row>
    <row r="1794" spans="1:18" hidden="1" x14ac:dyDescent="0.2">
      <c r="A1794">
        <v>4</v>
      </c>
      <c r="B1794" t="s">
        <v>88</v>
      </c>
      <c r="E1794" t="s">
        <v>51</v>
      </c>
      <c r="F1794">
        <v>2018732</v>
      </c>
      <c r="G1794">
        <v>1</v>
      </c>
      <c r="H1794">
        <v>3</v>
      </c>
      <c r="I1794">
        <v>986</v>
      </c>
      <c r="J1794">
        <v>1991</v>
      </c>
      <c r="K1794" s="4">
        <v>44411</v>
      </c>
      <c r="L1794" t="s">
        <v>30</v>
      </c>
      <c r="M1794" t="s">
        <v>76</v>
      </c>
      <c r="N1794">
        <v>2.71</v>
      </c>
      <c r="O1794">
        <v>1821</v>
      </c>
      <c r="P1794">
        <v>4.42</v>
      </c>
      <c r="Q1794">
        <v>51</v>
      </c>
      <c r="R1794">
        <v>542</v>
      </c>
    </row>
    <row r="1795" spans="1:18" hidden="1" x14ac:dyDescent="0.2">
      <c r="A1795">
        <v>5</v>
      </c>
      <c r="B1795" t="s">
        <v>100</v>
      </c>
      <c r="E1795" t="s">
        <v>51</v>
      </c>
      <c r="F1795">
        <v>1179431</v>
      </c>
      <c r="G1795">
        <v>4</v>
      </c>
      <c r="H1795">
        <v>3</v>
      </c>
      <c r="I1795">
        <v>965</v>
      </c>
      <c r="J1795">
        <v>2021</v>
      </c>
      <c r="K1795" s="4">
        <v>44221</v>
      </c>
      <c r="L1795" t="s">
        <v>20</v>
      </c>
      <c r="M1795" t="s">
        <v>78</v>
      </c>
      <c r="N1795">
        <v>2.67</v>
      </c>
      <c r="O1795">
        <v>2317</v>
      </c>
      <c r="P1795">
        <v>3.85</v>
      </c>
      <c r="Q1795">
        <v>264</v>
      </c>
      <c r="R1795">
        <v>654</v>
      </c>
    </row>
    <row r="1796" spans="1:18" hidden="1" x14ac:dyDescent="0.2">
      <c r="A1796">
        <v>1</v>
      </c>
      <c r="B1796" t="s">
        <v>79</v>
      </c>
      <c r="E1796" t="s">
        <v>36</v>
      </c>
      <c r="F1796">
        <v>1160349</v>
      </c>
      <c r="G1796">
        <v>1</v>
      </c>
      <c r="H1796">
        <v>1</v>
      </c>
      <c r="I1796">
        <v>369</v>
      </c>
      <c r="J1796">
        <v>1997</v>
      </c>
      <c r="K1796" s="4">
        <v>45812</v>
      </c>
      <c r="L1796" t="s">
        <v>30</v>
      </c>
      <c r="M1796" t="s">
        <v>54</v>
      </c>
      <c r="N1796">
        <v>2.83</v>
      </c>
      <c r="O1796">
        <v>2150</v>
      </c>
      <c r="P1796">
        <v>2.4700000000000002</v>
      </c>
      <c r="Q1796">
        <v>106</v>
      </c>
      <c r="R1796">
        <v>373</v>
      </c>
    </row>
    <row r="1797" spans="1:18" hidden="1" x14ac:dyDescent="0.2">
      <c r="A1797">
        <v>3</v>
      </c>
      <c r="B1797" t="s">
        <v>75</v>
      </c>
      <c r="E1797" t="s">
        <v>29</v>
      </c>
      <c r="F1797">
        <v>740575</v>
      </c>
      <c r="G1797">
        <v>3</v>
      </c>
      <c r="H1797">
        <v>1</v>
      </c>
      <c r="I1797">
        <v>123</v>
      </c>
      <c r="J1797">
        <v>2014</v>
      </c>
      <c r="K1797" s="4">
        <v>45256</v>
      </c>
      <c r="L1797" t="s">
        <v>23</v>
      </c>
      <c r="M1797" t="s">
        <v>69</v>
      </c>
      <c r="N1797">
        <v>1.82</v>
      </c>
      <c r="O1797">
        <v>2469</v>
      </c>
      <c r="P1797">
        <v>4.9000000000000004</v>
      </c>
      <c r="Q1797">
        <v>104</v>
      </c>
      <c r="R1797">
        <v>685</v>
      </c>
    </row>
    <row r="1798" spans="1:18" x14ac:dyDescent="0.2">
      <c r="A1798">
        <v>8</v>
      </c>
      <c r="B1798" t="s">
        <v>105</v>
      </c>
      <c r="E1798" t="s">
        <v>19</v>
      </c>
      <c r="F1798">
        <v>2504956</v>
      </c>
      <c r="G1798">
        <v>1</v>
      </c>
      <c r="H1798">
        <v>1</v>
      </c>
      <c r="I1798">
        <v>911</v>
      </c>
      <c r="J1798">
        <v>1953</v>
      </c>
      <c r="K1798" s="4">
        <v>45789</v>
      </c>
      <c r="L1798" t="s">
        <v>26</v>
      </c>
      <c r="M1798" t="s">
        <v>35</v>
      </c>
      <c r="N1798">
        <v>2.44</v>
      </c>
      <c r="O1798">
        <v>1759</v>
      </c>
      <c r="P1798">
        <v>2.09</v>
      </c>
      <c r="Q1798">
        <v>126</v>
      </c>
      <c r="R1798">
        <v>518</v>
      </c>
    </row>
    <row r="1799" spans="1:18" x14ac:dyDescent="0.2">
      <c r="A1799">
        <v>8</v>
      </c>
      <c r="B1799" t="s">
        <v>94</v>
      </c>
      <c r="E1799" t="s">
        <v>19</v>
      </c>
      <c r="F1799">
        <v>944979</v>
      </c>
      <c r="G1799">
        <v>0</v>
      </c>
      <c r="H1799">
        <v>2</v>
      </c>
      <c r="I1799">
        <v>869</v>
      </c>
      <c r="J1799">
        <v>1984</v>
      </c>
      <c r="K1799" s="4">
        <v>44906</v>
      </c>
      <c r="L1799" t="s">
        <v>20</v>
      </c>
      <c r="M1799" t="s">
        <v>70</v>
      </c>
      <c r="N1799">
        <v>3.09</v>
      </c>
      <c r="O1799">
        <v>2026</v>
      </c>
      <c r="P1799">
        <v>0.92</v>
      </c>
      <c r="Q1799">
        <v>79</v>
      </c>
      <c r="R1799">
        <v>491</v>
      </c>
    </row>
    <row r="1800" spans="1:18" hidden="1" x14ac:dyDescent="0.2">
      <c r="A1800">
        <v>6</v>
      </c>
      <c r="B1800" t="s">
        <v>75</v>
      </c>
      <c r="E1800" t="s">
        <v>29</v>
      </c>
      <c r="F1800">
        <v>2024528</v>
      </c>
      <c r="G1800">
        <v>4</v>
      </c>
      <c r="H1800">
        <v>3</v>
      </c>
      <c r="I1800">
        <v>248</v>
      </c>
      <c r="J1800">
        <v>1960</v>
      </c>
      <c r="K1800" s="4">
        <v>45093</v>
      </c>
      <c r="L1800" t="s">
        <v>20</v>
      </c>
      <c r="M1800" t="s">
        <v>54</v>
      </c>
      <c r="N1800">
        <v>3.32</v>
      </c>
      <c r="O1800">
        <v>1867</v>
      </c>
      <c r="P1800">
        <v>4.45</v>
      </c>
      <c r="Q1800">
        <v>333</v>
      </c>
      <c r="R1800">
        <v>404</v>
      </c>
    </row>
    <row r="1801" spans="1:18" hidden="1" x14ac:dyDescent="0.2">
      <c r="A1801">
        <v>2</v>
      </c>
      <c r="B1801" t="s">
        <v>32</v>
      </c>
      <c r="E1801" t="s">
        <v>36</v>
      </c>
      <c r="F1801">
        <v>412991</v>
      </c>
      <c r="G1801">
        <v>4</v>
      </c>
      <c r="H1801">
        <v>3</v>
      </c>
      <c r="I1801">
        <v>637</v>
      </c>
      <c r="J1801">
        <v>1990</v>
      </c>
      <c r="K1801" s="4">
        <v>45193</v>
      </c>
      <c r="L1801" t="s">
        <v>30</v>
      </c>
      <c r="M1801" t="s">
        <v>45</v>
      </c>
      <c r="N1801">
        <v>1.72</v>
      </c>
      <c r="O1801">
        <v>2371</v>
      </c>
      <c r="P1801">
        <v>1.85</v>
      </c>
      <c r="Q1801">
        <v>298</v>
      </c>
      <c r="R1801">
        <v>577</v>
      </c>
    </row>
    <row r="1802" spans="1:18" hidden="1" x14ac:dyDescent="0.2">
      <c r="A1802">
        <v>4</v>
      </c>
      <c r="B1802" t="s">
        <v>28</v>
      </c>
      <c r="E1802" t="s">
        <v>29</v>
      </c>
      <c r="F1802">
        <v>2003631</v>
      </c>
      <c r="G1802">
        <v>5</v>
      </c>
      <c r="H1802">
        <v>2</v>
      </c>
      <c r="I1802">
        <v>422</v>
      </c>
      <c r="J1802">
        <v>1967</v>
      </c>
      <c r="K1802" s="4">
        <v>45214</v>
      </c>
      <c r="L1802" t="s">
        <v>23</v>
      </c>
      <c r="M1802" t="s">
        <v>56</v>
      </c>
      <c r="N1802">
        <v>3.25</v>
      </c>
      <c r="O1802">
        <v>1771</v>
      </c>
      <c r="P1802">
        <v>3.13</v>
      </c>
      <c r="Q1802">
        <v>250</v>
      </c>
      <c r="R1802">
        <v>379</v>
      </c>
    </row>
    <row r="1803" spans="1:18" hidden="1" x14ac:dyDescent="0.2">
      <c r="A1803">
        <v>3</v>
      </c>
      <c r="B1803" t="s">
        <v>46</v>
      </c>
      <c r="E1803" t="s">
        <v>36</v>
      </c>
      <c r="F1803">
        <v>486278</v>
      </c>
      <c r="G1803">
        <v>2</v>
      </c>
      <c r="H1803">
        <v>3</v>
      </c>
      <c r="I1803">
        <v>403</v>
      </c>
      <c r="J1803">
        <v>2006</v>
      </c>
      <c r="K1803" s="4">
        <v>44183</v>
      </c>
      <c r="L1803" t="s">
        <v>23</v>
      </c>
      <c r="M1803" t="s">
        <v>21</v>
      </c>
      <c r="N1803">
        <v>3.33</v>
      </c>
      <c r="O1803">
        <v>2447</v>
      </c>
      <c r="P1803">
        <v>3.85</v>
      </c>
      <c r="Q1803">
        <v>158</v>
      </c>
      <c r="R1803">
        <v>592</v>
      </c>
    </row>
    <row r="1804" spans="1:18" hidden="1" x14ac:dyDescent="0.2">
      <c r="A1804">
        <v>0</v>
      </c>
      <c r="B1804" t="s">
        <v>34</v>
      </c>
      <c r="E1804" t="s">
        <v>51</v>
      </c>
      <c r="F1804">
        <v>1784265</v>
      </c>
      <c r="G1804">
        <v>4</v>
      </c>
      <c r="H1804">
        <v>3</v>
      </c>
      <c r="I1804">
        <v>438</v>
      </c>
      <c r="J1804">
        <v>1964</v>
      </c>
      <c r="K1804" s="4">
        <v>44788</v>
      </c>
      <c r="L1804" t="s">
        <v>23</v>
      </c>
      <c r="M1804" t="s">
        <v>27</v>
      </c>
      <c r="N1804">
        <v>2.4</v>
      </c>
      <c r="O1804">
        <v>1827</v>
      </c>
      <c r="P1804">
        <v>2.1800000000000002</v>
      </c>
      <c r="Q1804">
        <v>236</v>
      </c>
      <c r="R1804">
        <v>633</v>
      </c>
    </row>
    <row r="1805" spans="1:18" x14ac:dyDescent="0.2">
      <c r="A1805">
        <v>8</v>
      </c>
      <c r="B1805" t="s">
        <v>28</v>
      </c>
      <c r="E1805" t="s">
        <v>36</v>
      </c>
      <c r="F1805">
        <v>1394949</v>
      </c>
      <c r="G1805">
        <v>1</v>
      </c>
      <c r="H1805">
        <v>1</v>
      </c>
      <c r="I1805">
        <v>66</v>
      </c>
      <c r="J1805">
        <v>1956</v>
      </c>
      <c r="K1805" s="4">
        <v>45216</v>
      </c>
      <c r="L1805" t="s">
        <v>26</v>
      </c>
      <c r="M1805" t="s">
        <v>40</v>
      </c>
      <c r="N1805">
        <v>1.66</v>
      </c>
      <c r="O1805">
        <v>1129</v>
      </c>
      <c r="P1805">
        <v>4.49</v>
      </c>
      <c r="Q1805">
        <v>125</v>
      </c>
      <c r="R1805">
        <v>418</v>
      </c>
    </row>
    <row r="1806" spans="1:18" x14ac:dyDescent="0.2">
      <c r="A1806">
        <v>8</v>
      </c>
      <c r="B1806" t="s">
        <v>28</v>
      </c>
      <c r="E1806" t="s">
        <v>29</v>
      </c>
      <c r="F1806">
        <v>2569606</v>
      </c>
      <c r="G1806">
        <v>4</v>
      </c>
      <c r="H1806">
        <v>2</v>
      </c>
      <c r="I1806">
        <v>228</v>
      </c>
      <c r="J1806">
        <v>1996</v>
      </c>
      <c r="K1806" s="4">
        <v>45567</v>
      </c>
      <c r="L1806" t="s">
        <v>23</v>
      </c>
      <c r="M1806" t="s">
        <v>74</v>
      </c>
      <c r="N1806">
        <v>2.42</v>
      </c>
      <c r="O1806">
        <v>1076</v>
      </c>
      <c r="P1806">
        <v>1.1299999999999999</v>
      </c>
      <c r="Q1806">
        <v>398</v>
      </c>
      <c r="R1806">
        <v>578</v>
      </c>
    </row>
    <row r="1807" spans="1:18" hidden="1" x14ac:dyDescent="0.2">
      <c r="A1807">
        <v>1</v>
      </c>
      <c r="B1807" t="s">
        <v>50</v>
      </c>
      <c r="E1807" t="s">
        <v>51</v>
      </c>
      <c r="F1807">
        <v>2202412</v>
      </c>
      <c r="G1807">
        <v>4</v>
      </c>
      <c r="H1807">
        <v>1</v>
      </c>
      <c r="I1807">
        <v>667</v>
      </c>
      <c r="J1807">
        <v>1962</v>
      </c>
      <c r="K1807" s="4">
        <v>45552</v>
      </c>
      <c r="L1807" t="s">
        <v>26</v>
      </c>
      <c r="M1807" t="s">
        <v>76</v>
      </c>
      <c r="N1807">
        <v>2.71</v>
      </c>
      <c r="O1807">
        <v>1314</v>
      </c>
      <c r="P1807">
        <v>2.73</v>
      </c>
      <c r="Q1807">
        <v>282</v>
      </c>
      <c r="R1807">
        <v>528</v>
      </c>
    </row>
    <row r="1808" spans="1:18" hidden="1" x14ac:dyDescent="0.2">
      <c r="A1808">
        <v>6</v>
      </c>
      <c r="B1808" t="s">
        <v>80</v>
      </c>
      <c r="E1808" t="s">
        <v>36</v>
      </c>
      <c r="F1808">
        <v>1650030</v>
      </c>
      <c r="G1808">
        <v>1</v>
      </c>
      <c r="H1808">
        <v>2</v>
      </c>
      <c r="I1808">
        <v>92</v>
      </c>
      <c r="J1808">
        <v>1994</v>
      </c>
      <c r="K1808" s="4">
        <v>44675</v>
      </c>
      <c r="L1808" t="s">
        <v>23</v>
      </c>
      <c r="M1808" t="s">
        <v>68</v>
      </c>
      <c r="N1808">
        <v>1.62</v>
      </c>
      <c r="O1808">
        <v>1578</v>
      </c>
      <c r="P1808">
        <v>0.42</v>
      </c>
      <c r="Q1808">
        <v>106</v>
      </c>
      <c r="R1808">
        <v>612</v>
      </c>
    </row>
    <row r="1809" spans="1:18" hidden="1" x14ac:dyDescent="0.2">
      <c r="A1809">
        <v>5</v>
      </c>
      <c r="B1809" t="s">
        <v>71</v>
      </c>
      <c r="E1809" t="s">
        <v>19</v>
      </c>
      <c r="F1809">
        <v>2537538</v>
      </c>
      <c r="G1809">
        <v>5</v>
      </c>
      <c r="H1809">
        <v>1</v>
      </c>
      <c r="I1809">
        <v>168</v>
      </c>
      <c r="J1809">
        <v>2000</v>
      </c>
      <c r="K1809" s="4">
        <v>45239</v>
      </c>
      <c r="L1809" t="s">
        <v>26</v>
      </c>
      <c r="M1809" t="s">
        <v>33</v>
      </c>
      <c r="N1809">
        <v>1.77</v>
      </c>
      <c r="O1809">
        <v>1021</v>
      </c>
      <c r="P1809">
        <v>2.75</v>
      </c>
      <c r="Q1809">
        <v>246</v>
      </c>
      <c r="R1809">
        <v>446</v>
      </c>
    </row>
    <row r="1810" spans="1:18" hidden="1" x14ac:dyDescent="0.2">
      <c r="A1810">
        <v>5</v>
      </c>
      <c r="B1810" t="s">
        <v>18</v>
      </c>
      <c r="E1810" t="s">
        <v>36</v>
      </c>
      <c r="F1810">
        <v>2782874</v>
      </c>
      <c r="G1810">
        <v>2</v>
      </c>
      <c r="H1810">
        <v>1</v>
      </c>
      <c r="I1810">
        <v>971</v>
      </c>
      <c r="J1810">
        <v>1956</v>
      </c>
      <c r="K1810" s="4">
        <v>44565</v>
      </c>
      <c r="L1810" t="s">
        <v>26</v>
      </c>
      <c r="M1810" t="s">
        <v>37</v>
      </c>
      <c r="N1810">
        <v>1.62</v>
      </c>
      <c r="O1810">
        <v>1553</v>
      </c>
      <c r="P1810">
        <v>2.2200000000000002</v>
      </c>
      <c r="Q1810">
        <v>69</v>
      </c>
      <c r="R1810">
        <v>459</v>
      </c>
    </row>
    <row r="1811" spans="1:18" hidden="1" x14ac:dyDescent="0.2">
      <c r="A1811">
        <v>9</v>
      </c>
      <c r="B1811" t="s">
        <v>86</v>
      </c>
      <c r="E1811" t="s">
        <v>19</v>
      </c>
      <c r="F1811">
        <v>2133059</v>
      </c>
      <c r="G1811">
        <v>1</v>
      </c>
      <c r="H1811">
        <v>1</v>
      </c>
      <c r="I1811">
        <v>502</v>
      </c>
      <c r="J1811">
        <v>1958</v>
      </c>
      <c r="K1811" s="4">
        <v>44486</v>
      </c>
      <c r="L1811" t="s">
        <v>26</v>
      </c>
      <c r="M1811" t="s">
        <v>31</v>
      </c>
      <c r="N1811">
        <v>2.42</v>
      </c>
      <c r="O1811">
        <v>2309</v>
      </c>
      <c r="P1811">
        <v>1.63</v>
      </c>
      <c r="Q1811">
        <v>85</v>
      </c>
      <c r="R1811">
        <v>348</v>
      </c>
    </row>
    <row r="1812" spans="1:18" x14ac:dyDescent="0.2">
      <c r="A1812">
        <v>8</v>
      </c>
      <c r="B1812" t="s">
        <v>75</v>
      </c>
      <c r="E1812" t="s">
        <v>36</v>
      </c>
      <c r="F1812">
        <v>2573825</v>
      </c>
      <c r="G1812">
        <v>4</v>
      </c>
      <c r="H1812">
        <v>3</v>
      </c>
      <c r="I1812">
        <v>506</v>
      </c>
      <c r="J1812">
        <v>2010</v>
      </c>
      <c r="K1812" s="4">
        <v>45553</v>
      </c>
      <c r="L1812" t="s">
        <v>23</v>
      </c>
      <c r="M1812" t="s">
        <v>45</v>
      </c>
      <c r="N1812">
        <v>2.96</v>
      </c>
      <c r="O1812">
        <v>2205</v>
      </c>
      <c r="P1812">
        <v>1.96</v>
      </c>
      <c r="Q1812">
        <v>310</v>
      </c>
      <c r="R1812">
        <v>541</v>
      </c>
    </row>
    <row r="1813" spans="1:18" hidden="1" x14ac:dyDescent="0.2">
      <c r="A1813">
        <v>4</v>
      </c>
      <c r="B1813" t="s">
        <v>55</v>
      </c>
      <c r="E1813" t="s">
        <v>29</v>
      </c>
      <c r="F1813">
        <v>2760146</v>
      </c>
      <c r="G1813">
        <v>4</v>
      </c>
      <c r="H1813">
        <v>3</v>
      </c>
      <c r="I1813">
        <v>850</v>
      </c>
      <c r="J1813">
        <v>2002</v>
      </c>
      <c r="K1813" s="4">
        <v>44173</v>
      </c>
      <c r="L1813" t="s">
        <v>20</v>
      </c>
      <c r="M1813" t="s">
        <v>58</v>
      </c>
      <c r="N1813">
        <v>2.08</v>
      </c>
      <c r="O1813">
        <v>1818</v>
      </c>
      <c r="P1813">
        <v>3.25</v>
      </c>
      <c r="Q1813">
        <v>270</v>
      </c>
      <c r="R1813">
        <v>367</v>
      </c>
    </row>
    <row r="1814" spans="1:18" hidden="1" x14ac:dyDescent="0.2">
      <c r="A1814">
        <v>1</v>
      </c>
      <c r="B1814" t="s">
        <v>98</v>
      </c>
      <c r="E1814" t="s">
        <v>29</v>
      </c>
      <c r="F1814">
        <v>1391015</v>
      </c>
      <c r="G1814">
        <v>2</v>
      </c>
      <c r="H1814">
        <v>1</v>
      </c>
      <c r="I1814">
        <v>448</v>
      </c>
      <c r="J1814">
        <v>1964</v>
      </c>
      <c r="K1814" s="4">
        <v>45546</v>
      </c>
      <c r="L1814" t="s">
        <v>26</v>
      </c>
      <c r="M1814" t="s">
        <v>76</v>
      </c>
      <c r="N1814">
        <v>2.99</v>
      </c>
      <c r="O1814">
        <v>956</v>
      </c>
      <c r="P1814">
        <v>3.96</v>
      </c>
      <c r="Q1814">
        <v>160</v>
      </c>
      <c r="R1814">
        <v>434</v>
      </c>
    </row>
    <row r="1815" spans="1:18" hidden="1" x14ac:dyDescent="0.2">
      <c r="A1815">
        <v>6</v>
      </c>
      <c r="B1815" t="s">
        <v>87</v>
      </c>
      <c r="E1815" t="s">
        <v>29</v>
      </c>
      <c r="F1815">
        <v>2322760</v>
      </c>
      <c r="G1815">
        <v>4</v>
      </c>
      <c r="H1815">
        <v>1</v>
      </c>
      <c r="I1815">
        <v>670</v>
      </c>
      <c r="J1815">
        <v>1981</v>
      </c>
      <c r="K1815" s="4">
        <v>45785</v>
      </c>
      <c r="L1815" t="s">
        <v>23</v>
      </c>
      <c r="M1815" t="s">
        <v>45</v>
      </c>
      <c r="N1815">
        <v>1.89</v>
      </c>
      <c r="O1815">
        <v>2127</v>
      </c>
      <c r="P1815">
        <v>4.88</v>
      </c>
      <c r="Q1815">
        <v>246</v>
      </c>
      <c r="R1815">
        <v>414</v>
      </c>
    </row>
    <row r="1816" spans="1:18" hidden="1" x14ac:dyDescent="0.2">
      <c r="A1816">
        <v>9</v>
      </c>
      <c r="B1816" t="s">
        <v>53</v>
      </c>
      <c r="E1816" t="s">
        <v>36</v>
      </c>
      <c r="F1816">
        <v>1121014</v>
      </c>
      <c r="G1816">
        <v>5</v>
      </c>
      <c r="H1816">
        <v>2</v>
      </c>
      <c r="I1816">
        <v>208</v>
      </c>
      <c r="J1816">
        <v>1971</v>
      </c>
      <c r="K1816" s="4">
        <v>44279</v>
      </c>
      <c r="L1816" t="s">
        <v>20</v>
      </c>
      <c r="M1816" t="s">
        <v>70</v>
      </c>
      <c r="N1816">
        <v>1.85</v>
      </c>
      <c r="O1816">
        <v>1250</v>
      </c>
      <c r="P1816">
        <v>1.03</v>
      </c>
      <c r="Q1816">
        <v>351</v>
      </c>
      <c r="R1816">
        <v>518</v>
      </c>
    </row>
    <row r="1817" spans="1:18" hidden="1" x14ac:dyDescent="0.2">
      <c r="A1817">
        <v>7</v>
      </c>
      <c r="B1817" t="s">
        <v>100</v>
      </c>
      <c r="E1817" t="s">
        <v>36</v>
      </c>
      <c r="F1817">
        <v>692106</v>
      </c>
      <c r="G1817">
        <v>5</v>
      </c>
      <c r="H1817">
        <v>3</v>
      </c>
      <c r="I1817">
        <v>454</v>
      </c>
      <c r="J1817">
        <v>1962</v>
      </c>
      <c r="K1817" s="4">
        <v>45503</v>
      </c>
      <c r="L1817" t="s">
        <v>23</v>
      </c>
      <c r="M1817" t="s">
        <v>27</v>
      </c>
      <c r="N1817">
        <v>3.26</v>
      </c>
      <c r="O1817">
        <v>2080</v>
      </c>
      <c r="P1817">
        <v>2.2000000000000002</v>
      </c>
      <c r="Q1817">
        <v>300</v>
      </c>
      <c r="R1817">
        <v>544</v>
      </c>
    </row>
    <row r="1818" spans="1:18" hidden="1" x14ac:dyDescent="0.2">
      <c r="A1818">
        <v>9</v>
      </c>
      <c r="B1818" t="s">
        <v>91</v>
      </c>
      <c r="E1818" t="s">
        <v>19</v>
      </c>
      <c r="F1818">
        <v>2797204</v>
      </c>
      <c r="G1818">
        <v>5</v>
      </c>
      <c r="H1818">
        <v>2</v>
      </c>
      <c r="I1818">
        <v>91</v>
      </c>
      <c r="J1818">
        <v>2007</v>
      </c>
      <c r="K1818" s="4">
        <v>45710</v>
      </c>
      <c r="L1818" t="s">
        <v>26</v>
      </c>
      <c r="M1818" t="s">
        <v>21</v>
      </c>
      <c r="N1818">
        <v>3.25</v>
      </c>
      <c r="O1818">
        <v>1954</v>
      </c>
      <c r="P1818">
        <v>2.42</v>
      </c>
      <c r="Q1818">
        <v>361</v>
      </c>
      <c r="R1818">
        <v>553</v>
      </c>
    </row>
    <row r="1819" spans="1:18" hidden="1" x14ac:dyDescent="0.2">
      <c r="A1819">
        <v>5</v>
      </c>
      <c r="B1819" t="s">
        <v>99</v>
      </c>
      <c r="E1819" t="s">
        <v>19</v>
      </c>
      <c r="F1819">
        <v>2654916</v>
      </c>
      <c r="G1819">
        <v>2</v>
      </c>
      <c r="H1819">
        <v>1</v>
      </c>
      <c r="I1819">
        <v>992</v>
      </c>
      <c r="J1819">
        <v>1965</v>
      </c>
      <c r="K1819" s="4">
        <v>44422</v>
      </c>
      <c r="L1819" t="s">
        <v>20</v>
      </c>
      <c r="M1819" t="s">
        <v>77</v>
      </c>
      <c r="N1819">
        <v>1.88</v>
      </c>
      <c r="O1819">
        <v>1342</v>
      </c>
      <c r="P1819">
        <v>1.81</v>
      </c>
      <c r="Q1819">
        <v>131</v>
      </c>
      <c r="R1819">
        <v>590</v>
      </c>
    </row>
    <row r="1820" spans="1:18" hidden="1" x14ac:dyDescent="0.2">
      <c r="A1820">
        <v>3</v>
      </c>
      <c r="B1820" t="s">
        <v>32</v>
      </c>
      <c r="E1820" t="s">
        <v>19</v>
      </c>
      <c r="F1820">
        <v>1043720</v>
      </c>
      <c r="G1820">
        <v>4</v>
      </c>
      <c r="H1820">
        <v>3</v>
      </c>
      <c r="I1820">
        <v>660</v>
      </c>
      <c r="J1820">
        <v>1978</v>
      </c>
      <c r="K1820" s="4">
        <v>45541</v>
      </c>
      <c r="L1820" t="s">
        <v>20</v>
      </c>
      <c r="M1820" t="s">
        <v>60</v>
      </c>
      <c r="N1820">
        <v>1.74</v>
      </c>
      <c r="O1820">
        <v>893</v>
      </c>
      <c r="P1820">
        <v>1.94</v>
      </c>
      <c r="Q1820">
        <v>283</v>
      </c>
      <c r="R1820">
        <v>636</v>
      </c>
    </row>
    <row r="1821" spans="1:18" hidden="1" x14ac:dyDescent="0.2">
      <c r="A1821">
        <v>7</v>
      </c>
      <c r="B1821" t="s">
        <v>72</v>
      </c>
      <c r="E1821" t="s">
        <v>51</v>
      </c>
      <c r="F1821">
        <v>931362</v>
      </c>
      <c r="G1821">
        <v>4</v>
      </c>
      <c r="H1821">
        <v>2</v>
      </c>
      <c r="I1821">
        <v>774</v>
      </c>
      <c r="J1821">
        <v>1966</v>
      </c>
      <c r="K1821" s="4">
        <v>44174</v>
      </c>
      <c r="L1821" t="s">
        <v>20</v>
      </c>
      <c r="M1821" t="s">
        <v>42</v>
      </c>
      <c r="N1821">
        <v>2.37</v>
      </c>
      <c r="O1821">
        <v>915</v>
      </c>
      <c r="P1821">
        <v>0.59</v>
      </c>
      <c r="Q1821">
        <v>365</v>
      </c>
      <c r="R1821">
        <v>664</v>
      </c>
    </row>
    <row r="1822" spans="1:18" hidden="1" x14ac:dyDescent="0.2">
      <c r="A1822">
        <v>1</v>
      </c>
      <c r="B1822" t="s">
        <v>34</v>
      </c>
      <c r="E1822" t="s">
        <v>51</v>
      </c>
      <c r="F1822">
        <v>1089638</v>
      </c>
      <c r="G1822">
        <v>4</v>
      </c>
      <c r="H1822">
        <v>2</v>
      </c>
      <c r="I1822">
        <v>569</v>
      </c>
      <c r="J1822">
        <v>2007</v>
      </c>
      <c r="K1822" s="4">
        <v>45433</v>
      </c>
      <c r="L1822" t="s">
        <v>20</v>
      </c>
      <c r="M1822" t="s">
        <v>74</v>
      </c>
      <c r="N1822">
        <v>3.45</v>
      </c>
      <c r="O1822">
        <v>1147</v>
      </c>
      <c r="P1822">
        <v>2.1</v>
      </c>
      <c r="Q1822">
        <v>380</v>
      </c>
      <c r="R1822">
        <v>490</v>
      </c>
    </row>
    <row r="1823" spans="1:18" hidden="1" x14ac:dyDescent="0.2">
      <c r="A1823">
        <v>4</v>
      </c>
      <c r="B1823" t="s">
        <v>57</v>
      </c>
      <c r="E1823" t="s">
        <v>36</v>
      </c>
      <c r="F1823">
        <v>2326347</v>
      </c>
      <c r="G1823">
        <v>1</v>
      </c>
      <c r="H1823">
        <v>3</v>
      </c>
      <c r="I1823">
        <v>504</v>
      </c>
      <c r="J1823">
        <v>2008</v>
      </c>
      <c r="K1823" s="4">
        <v>45842</v>
      </c>
      <c r="L1823" t="s">
        <v>20</v>
      </c>
      <c r="M1823" t="s">
        <v>40</v>
      </c>
      <c r="N1823">
        <v>2.2999999999999998</v>
      </c>
      <c r="O1823">
        <v>2215</v>
      </c>
      <c r="P1823">
        <v>0.78</v>
      </c>
      <c r="Q1823">
        <v>120</v>
      </c>
      <c r="R1823">
        <v>698</v>
      </c>
    </row>
    <row r="1824" spans="1:18" hidden="1" x14ac:dyDescent="0.2">
      <c r="A1824">
        <v>1</v>
      </c>
      <c r="B1824" t="s">
        <v>67</v>
      </c>
      <c r="E1824" t="s">
        <v>36</v>
      </c>
      <c r="F1824">
        <v>941823</v>
      </c>
      <c r="G1824">
        <v>3</v>
      </c>
      <c r="H1824">
        <v>1</v>
      </c>
      <c r="I1824">
        <v>281</v>
      </c>
      <c r="J1824">
        <v>1991</v>
      </c>
      <c r="K1824" s="4">
        <v>44369</v>
      </c>
      <c r="L1824" t="s">
        <v>23</v>
      </c>
      <c r="M1824" t="s">
        <v>97</v>
      </c>
      <c r="N1824">
        <v>2.79</v>
      </c>
      <c r="O1824">
        <v>1944</v>
      </c>
      <c r="P1824">
        <v>1.39</v>
      </c>
      <c r="Q1824">
        <v>244</v>
      </c>
      <c r="R1824">
        <v>674</v>
      </c>
    </row>
    <row r="1825" spans="1:18" hidden="1" x14ac:dyDescent="0.2">
      <c r="A1825">
        <v>5</v>
      </c>
      <c r="B1825" t="s">
        <v>25</v>
      </c>
      <c r="E1825" t="s">
        <v>19</v>
      </c>
      <c r="F1825">
        <v>636047</v>
      </c>
      <c r="G1825">
        <v>4</v>
      </c>
      <c r="H1825">
        <v>1</v>
      </c>
      <c r="I1825">
        <v>714</v>
      </c>
      <c r="J1825">
        <v>2006</v>
      </c>
      <c r="K1825" s="4">
        <v>45157</v>
      </c>
      <c r="L1825" t="s">
        <v>30</v>
      </c>
      <c r="M1825" t="s">
        <v>35</v>
      </c>
      <c r="N1825">
        <v>2.36</v>
      </c>
      <c r="O1825">
        <v>1459</v>
      </c>
      <c r="P1825">
        <v>0.65</v>
      </c>
      <c r="Q1825">
        <v>378</v>
      </c>
      <c r="R1825">
        <v>619</v>
      </c>
    </row>
    <row r="1826" spans="1:18" hidden="1" x14ac:dyDescent="0.2">
      <c r="A1826">
        <v>9</v>
      </c>
      <c r="B1826" t="s">
        <v>71</v>
      </c>
      <c r="E1826" t="s">
        <v>29</v>
      </c>
      <c r="F1826">
        <v>1728101</v>
      </c>
      <c r="G1826">
        <v>4</v>
      </c>
      <c r="H1826">
        <v>3</v>
      </c>
      <c r="I1826">
        <v>897</v>
      </c>
      <c r="J1826">
        <v>2019</v>
      </c>
      <c r="K1826" s="4">
        <v>45537</v>
      </c>
      <c r="L1826" t="s">
        <v>26</v>
      </c>
      <c r="M1826" t="s">
        <v>47</v>
      </c>
      <c r="N1826">
        <v>3.11</v>
      </c>
      <c r="O1826">
        <v>1933</v>
      </c>
      <c r="P1826">
        <v>4.46</v>
      </c>
      <c r="Q1826">
        <v>192</v>
      </c>
      <c r="R1826">
        <v>575</v>
      </c>
    </row>
    <row r="1827" spans="1:18" hidden="1" x14ac:dyDescent="0.2">
      <c r="A1827">
        <v>1</v>
      </c>
      <c r="B1827" t="s">
        <v>90</v>
      </c>
      <c r="E1827" t="s">
        <v>51</v>
      </c>
      <c r="F1827">
        <v>2320115</v>
      </c>
      <c r="G1827">
        <v>2</v>
      </c>
      <c r="H1827">
        <v>2</v>
      </c>
      <c r="I1827">
        <v>697</v>
      </c>
      <c r="J1827">
        <v>1952</v>
      </c>
      <c r="K1827" s="4">
        <v>44324</v>
      </c>
      <c r="L1827" t="s">
        <v>30</v>
      </c>
      <c r="M1827" t="s">
        <v>85</v>
      </c>
      <c r="N1827">
        <v>1.87</v>
      </c>
      <c r="O1827">
        <v>1202</v>
      </c>
      <c r="P1827">
        <v>3.79</v>
      </c>
      <c r="Q1827">
        <v>139</v>
      </c>
      <c r="R1827">
        <v>428</v>
      </c>
    </row>
    <row r="1828" spans="1:18" hidden="1" x14ac:dyDescent="0.2">
      <c r="A1828">
        <v>1</v>
      </c>
      <c r="B1828" t="s">
        <v>105</v>
      </c>
      <c r="E1828" t="s">
        <v>29</v>
      </c>
      <c r="F1828">
        <v>1717421</v>
      </c>
      <c r="G1828">
        <v>2</v>
      </c>
      <c r="H1828">
        <v>2</v>
      </c>
      <c r="I1828">
        <v>194</v>
      </c>
      <c r="J1828">
        <v>2004</v>
      </c>
      <c r="K1828" s="4">
        <v>44966</v>
      </c>
      <c r="L1828" t="s">
        <v>20</v>
      </c>
      <c r="M1828" t="s">
        <v>70</v>
      </c>
      <c r="N1828">
        <v>2.14</v>
      </c>
      <c r="O1828">
        <v>1705</v>
      </c>
      <c r="P1828">
        <v>4.83</v>
      </c>
      <c r="Q1828">
        <v>217</v>
      </c>
      <c r="R1828">
        <v>580</v>
      </c>
    </row>
    <row r="1829" spans="1:18" hidden="1" x14ac:dyDescent="0.2">
      <c r="A1829">
        <v>0</v>
      </c>
      <c r="B1829" t="s">
        <v>72</v>
      </c>
      <c r="E1829" t="s">
        <v>29</v>
      </c>
      <c r="F1829">
        <v>580228</v>
      </c>
      <c r="G1829">
        <v>4</v>
      </c>
      <c r="H1829">
        <v>2</v>
      </c>
      <c r="I1829">
        <v>648</v>
      </c>
      <c r="J1829">
        <v>1952</v>
      </c>
      <c r="K1829" s="4">
        <v>44340</v>
      </c>
      <c r="L1829" t="s">
        <v>30</v>
      </c>
      <c r="M1829" t="s">
        <v>47</v>
      </c>
      <c r="N1829">
        <v>2.94</v>
      </c>
      <c r="O1829">
        <v>1517</v>
      </c>
      <c r="P1829">
        <v>2.0499999999999998</v>
      </c>
      <c r="Q1829">
        <v>197</v>
      </c>
      <c r="R1829">
        <v>325</v>
      </c>
    </row>
    <row r="1830" spans="1:18" hidden="1" x14ac:dyDescent="0.2">
      <c r="A1830">
        <v>3</v>
      </c>
      <c r="B1830" t="s">
        <v>75</v>
      </c>
      <c r="E1830" t="s">
        <v>19</v>
      </c>
      <c r="F1830">
        <v>1210592</v>
      </c>
      <c r="G1830">
        <v>5</v>
      </c>
      <c r="H1830">
        <v>3</v>
      </c>
      <c r="I1830">
        <v>403</v>
      </c>
      <c r="J1830">
        <v>1963</v>
      </c>
      <c r="K1830" s="4">
        <v>44402</v>
      </c>
      <c r="L1830" t="s">
        <v>30</v>
      </c>
      <c r="M1830" t="s">
        <v>63</v>
      </c>
      <c r="N1830">
        <v>2.99</v>
      </c>
      <c r="O1830">
        <v>900</v>
      </c>
      <c r="P1830">
        <v>0.38</v>
      </c>
      <c r="Q1830">
        <v>385</v>
      </c>
      <c r="R1830">
        <v>665</v>
      </c>
    </row>
    <row r="1831" spans="1:18" hidden="1" x14ac:dyDescent="0.2">
      <c r="A1831">
        <v>1</v>
      </c>
      <c r="B1831" t="s">
        <v>38</v>
      </c>
      <c r="E1831" t="s">
        <v>29</v>
      </c>
      <c r="F1831">
        <v>1143952</v>
      </c>
      <c r="G1831">
        <v>3</v>
      </c>
      <c r="H1831">
        <v>1</v>
      </c>
      <c r="I1831">
        <v>655</v>
      </c>
      <c r="J1831">
        <v>1962</v>
      </c>
      <c r="K1831" s="4">
        <v>45215</v>
      </c>
      <c r="L1831" t="s">
        <v>26</v>
      </c>
      <c r="M1831" t="s">
        <v>76</v>
      </c>
      <c r="N1831">
        <v>1.81</v>
      </c>
      <c r="O1831">
        <v>1347</v>
      </c>
      <c r="P1831">
        <v>0.16</v>
      </c>
      <c r="Q1831">
        <v>228</v>
      </c>
      <c r="R1831">
        <v>395</v>
      </c>
    </row>
    <row r="1832" spans="1:18" hidden="1" x14ac:dyDescent="0.2">
      <c r="A1832">
        <v>6</v>
      </c>
      <c r="B1832" t="s">
        <v>50</v>
      </c>
      <c r="E1832" t="s">
        <v>51</v>
      </c>
      <c r="F1832">
        <v>1161592</v>
      </c>
      <c r="G1832">
        <v>0</v>
      </c>
      <c r="H1832">
        <v>1</v>
      </c>
      <c r="I1832">
        <v>481</v>
      </c>
      <c r="J1832">
        <v>1998</v>
      </c>
      <c r="K1832" s="4">
        <v>44318</v>
      </c>
      <c r="L1832" t="s">
        <v>20</v>
      </c>
      <c r="M1832" t="s">
        <v>54</v>
      </c>
      <c r="N1832">
        <v>2.78</v>
      </c>
      <c r="O1832">
        <v>1006</v>
      </c>
      <c r="P1832">
        <v>1.52</v>
      </c>
      <c r="Q1832">
        <v>44</v>
      </c>
      <c r="R1832">
        <v>344</v>
      </c>
    </row>
    <row r="1833" spans="1:18" hidden="1" x14ac:dyDescent="0.2">
      <c r="A1833">
        <v>0</v>
      </c>
      <c r="B1833" t="s">
        <v>25</v>
      </c>
      <c r="E1833" t="s">
        <v>29</v>
      </c>
      <c r="F1833">
        <v>2482269</v>
      </c>
      <c r="G1833">
        <v>3</v>
      </c>
      <c r="H1833">
        <v>3</v>
      </c>
      <c r="I1833">
        <v>498</v>
      </c>
      <c r="J1833">
        <v>1986</v>
      </c>
      <c r="K1833" s="4">
        <v>44561</v>
      </c>
      <c r="L1833" t="s">
        <v>20</v>
      </c>
      <c r="M1833" t="s">
        <v>40</v>
      </c>
      <c r="N1833">
        <v>3.3</v>
      </c>
      <c r="O1833">
        <v>1654</v>
      </c>
      <c r="P1833">
        <v>2.61</v>
      </c>
      <c r="Q1833">
        <v>278</v>
      </c>
      <c r="R1833">
        <v>335</v>
      </c>
    </row>
    <row r="1834" spans="1:18" hidden="1" x14ac:dyDescent="0.2">
      <c r="A1834">
        <v>9</v>
      </c>
      <c r="B1834" t="s">
        <v>57</v>
      </c>
      <c r="E1834" t="s">
        <v>36</v>
      </c>
      <c r="F1834">
        <v>2968704</v>
      </c>
      <c r="G1834">
        <v>5</v>
      </c>
      <c r="H1834">
        <v>1</v>
      </c>
      <c r="I1834">
        <v>284</v>
      </c>
      <c r="J1834">
        <v>1978</v>
      </c>
      <c r="K1834" s="4">
        <v>45614</v>
      </c>
      <c r="L1834" t="s">
        <v>20</v>
      </c>
      <c r="M1834" t="s">
        <v>69</v>
      </c>
      <c r="N1834">
        <v>2.93</v>
      </c>
      <c r="O1834">
        <v>883</v>
      </c>
      <c r="P1834">
        <v>3.15</v>
      </c>
      <c r="Q1834">
        <v>268</v>
      </c>
      <c r="R1834">
        <v>316</v>
      </c>
    </row>
    <row r="1835" spans="1:18" hidden="1" x14ac:dyDescent="0.2">
      <c r="A1835">
        <v>7</v>
      </c>
      <c r="B1835" t="s">
        <v>32</v>
      </c>
      <c r="E1835" t="s">
        <v>19</v>
      </c>
      <c r="F1835">
        <v>2714010</v>
      </c>
      <c r="G1835">
        <v>5</v>
      </c>
      <c r="H1835">
        <v>2</v>
      </c>
      <c r="I1835">
        <v>478</v>
      </c>
      <c r="J1835">
        <v>2017</v>
      </c>
      <c r="K1835" s="4">
        <v>45033</v>
      </c>
      <c r="L1835" t="s">
        <v>30</v>
      </c>
      <c r="M1835" t="s">
        <v>45</v>
      </c>
      <c r="N1835">
        <v>2.66</v>
      </c>
      <c r="O1835">
        <v>1520</v>
      </c>
      <c r="P1835">
        <v>4.92</v>
      </c>
      <c r="Q1835">
        <v>344</v>
      </c>
      <c r="R1835">
        <v>469</v>
      </c>
    </row>
    <row r="1836" spans="1:18" hidden="1" x14ac:dyDescent="0.2">
      <c r="A1836">
        <v>3</v>
      </c>
      <c r="B1836" t="s">
        <v>90</v>
      </c>
      <c r="E1836" t="s">
        <v>19</v>
      </c>
      <c r="F1836">
        <v>1640668</v>
      </c>
      <c r="G1836">
        <v>5</v>
      </c>
      <c r="H1836">
        <v>1</v>
      </c>
      <c r="I1836">
        <v>115</v>
      </c>
      <c r="J1836">
        <v>1974</v>
      </c>
      <c r="K1836" s="4">
        <v>44079</v>
      </c>
      <c r="L1836" t="s">
        <v>20</v>
      </c>
      <c r="M1836" t="s">
        <v>63</v>
      </c>
      <c r="N1836">
        <v>2.09</v>
      </c>
      <c r="O1836">
        <v>1431</v>
      </c>
      <c r="P1836">
        <v>3.83</v>
      </c>
      <c r="Q1836">
        <v>325</v>
      </c>
      <c r="R1836">
        <v>446</v>
      </c>
    </row>
    <row r="1837" spans="1:18" hidden="1" x14ac:dyDescent="0.2">
      <c r="A1837">
        <v>4</v>
      </c>
      <c r="B1837" t="s">
        <v>55</v>
      </c>
      <c r="E1837" t="s">
        <v>51</v>
      </c>
      <c r="F1837">
        <v>2596307</v>
      </c>
      <c r="G1837">
        <v>4</v>
      </c>
      <c r="H1837">
        <v>2</v>
      </c>
      <c r="I1837">
        <v>256</v>
      </c>
      <c r="J1837">
        <v>2007</v>
      </c>
      <c r="K1837" s="4">
        <v>45273</v>
      </c>
      <c r="L1837" t="s">
        <v>20</v>
      </c>
      <c r="M1837" t="s">
        <v>85</v>
      </c>
      <c r="N1837">
        <v>3.15</v>
      </c>
      <c r="O1837">
        <v>804</v>
      </c>
      <c r="P1837">
        <v>3.18</v>
      </c>
      <c r="Q1837">
        <v>302</v>
      </c>
      <c r="R1837">
        <v>675</v>
      </c>
    </row>
    <row r="1838" spans="1:18" hidden="1" x14ac:dyDescent="0.2">
      <c r="A1838">
        <v>6</v>
      </c>
      <c r="B1838" t="s">
        <v>73</v>
      </c>
      <c r="E1838" t="s">
        <v>51</v>
      </c>
      <c r="F1838">
        <v>917181</v>
      </c>
      <c r="G1838">
        <v>4</v>
      </c>
      <c r="H1838">
        <v>2</v>
      </c>
      <c r="I1838">
        <v>681</v>
      </c>
      <c r="J1838">
        <v>1987</v>
      </c>
      <c r="K1838" s="4">
        <v>45291</v>
      </c>
      <c r="L1838" t="s">
        <v>23</v>
      </c>
      <c r="M1838" t="s">
        <v>24</v>
      </c>
      <c r="N1838">
        <v>3.21</v>
      </c>
      <c r="O1838">
        <v>1743</v>
      </c>
      <c r="P1838">
        <v>4.7699999999999996</v>
      </c>
      <c r="Q1838">
        <v>290</v>
      </c>
      <c r="R1838">
        <v>687</v>
      </c>
    </row>
    <row r="1839" spans="1:18" hidden="1" x14ac:dyDescent="0.2">
      <c r="A1839">
        <v>9</v>
      </c>
      <c r="B1839" t="s">
        <v>92</v>
      </c>
      <c r="E1839" t="s">
        <v>29</v>
      </c>
      <c r="F1839">
        <v>2289836</v>
      </c>
      <c r="G1839">
        <v>3</v>
      </c>
      <c r="H1839">
        <v>2</v>
      </c>
      <c r="I1839">
        <v>547</v>
      </c>
      <c r="J1839">
        <v>1962</v>
      </c>
      <c r="K1839" s="4">
        <v>45687</v>
      </c>
      <c r="L1839" t="s">
        <v>30</v>
      </c>
      <c r="M1839" t="s">
        <v>24</v>
      </c>
      <c r="N1839">
        <v>2.38</v>
      </c>
      <c r="O1839">
        <v>1897</v>
      </c>
      <c r="P1839">
        <v>4.6900000000000004</v>
      </c>
      <c r="Q1839">
        <v>233</v>
      </c>
      <c r="R1839">
        <v>623</v>
      </c>
    </row>
    <row r="1840" spans="1:18" hidden="1" x14ac:dyDescent="0.2">
      <c r="A1840">
        <v>5</v>
      </c>
      <c r="B1840" t="s">
        <v>99</v>
      </c>
      <c r="E1840" t="s">
        <v>19</v>
      </c>
      <c r="F1840">
        <v>2246431</v>
      </c>
      <c r="G1840">
        <v>0</v>
      </c>
      <c r="H1840">
        <v>2</v>
      </c>
      <c r="I1840">
        <v>0</v>
      </c>
      <c r="J1840">
        <v>1989</v>
      </c>
      <c r="K1840" s="4">
        <v>45033</v>
      </c>
      <c r="L1840" t="s">
        <v>23</v>
      </c>
      <c r="M1840" t="s">
        <v>35</v>
      </c>
      <c r="N1840">
        <v>2.06</v>
      </c>
      <c r="O1840">
        <v>2394</v>
      </c>
      <c r="P1840">
        <v>2.04</v>
      </c>
      <c r="Q1840">
        <v>78</v>
      </c>
      <c r="R1840">
        <v>446</v>
      </c>
    </row>
    <row r="1841" spans="1:18" hidden="1" x14ac:dyDescent="0.2">
      <c r="A1841">
        <v>9</v>
      </c>
      <c r="B1841" t="s">
        <v>18</v>
      </c>
      <c r="E1841" t="s">
        <v>29</v>
      </c>
      <c r="F1841">
        <v>533388</v>
      </c>
      <c r="G1841">
        <v>4</v>
      </c>
      <c r="H1841">
        <v>2</v>
      </c>
      <c r="I1841">
        <v>294</v>
      </c>
      <c r="J1841">
        <v>2000</v>
      </c>
      <c r="K1841" s="4">
        <v>44566</v>
      </c>
      <c r="L1841" t="s">
        <v>20</v>
      </c>
      <c r="M1841" t="s">
        <v>69</v>
      </c>
      <c r="N1841">
        <v>3.01</v>
      </c>
      <c r="O1841">
        <v>2035</v>
      </c>
      <c r="P1841">
        <v>2.92</v>
      </c>
      <c r="Q1841">
        <v>184</v>
      </c>
      <c r="R1841">
        <v>614</v>
      </c>
    </row>
    <row r="1842" spans="1:18" hidden="1" x14ac:dyDescent="0.2">
      <c r="A1842">
        <v>9</v>
      </c>
      <c r="B1842" t="s">
        <v>67</v>
      </c>
      <c r="E1842" t="s">
        <v>51</v>
      </c>
      <c r="F1842">
        <v>2877259</v>
      </c>
      <c r="G1842">
        <v>4</v>
      </c>
      <c r="H1842">
        <v>1</v>
      </c>
      <c r="I1842">
        <v>242</v>
      </c>
      <c r="J1842">
        <v>1999</v>
      </c>
      <c r="K1842" s="4">
        <v>44507</v>
      </c>
      <c r="L1842" t="s">
        <v>26</v>
      </c>
      <c r="M1842" t="s">
        <v>33</v>
      </c>
      <c r="N1842">
        <v>3.29</v>
      </c>
      <c r="O1842">
        <v>807</v>
      </c>
      <c r="P1842">
        <v>3.56</v>
      </c>
      <c r="Q1842">
        <v>217</v>
      </c>
      <c r="R1842">
        <v>425</v>
      </c>
    </row>
    <row r="1843" spans="1:18" hidden="1" x14ac:dyDescent="0.2">
      <c r="A1843">
        <v>7</v>
      </c>
      <c r="B1843" t="s">
        <v>41</v>
      </c>
      <c r="E1843" t="s">
        <v>36</v>
      </c>
      <c r="F1843">
        <v>2501548</v>
      </c>
      <c r="G1843">
        <v>2</v>
      </c>
      <c r="H1843">
        <v>3</v>
      </c>
      <c r="I1843">
        <v>934</v>
      </c>
      <c r="J1843">
        <v>1970</v>
      </c>
      <c r="K1843" s="4">
        <v>44623</v>
      </c>
      <c r="L1843" t="s">
        <v>20</v>
      </c>
      <c r="M1843" t="s">
        <v>74</v>
      </c>
      <c r="N1843">
        <v>1.55</v>
      </c>
      <c r="O1843">
        <v>1062</v>
      </c>
      <c r="P1843">
        <v>1.96</v>
      </c>
      <c r="Q1843">
        <v>181</v>
      </c>
      <c r="R1843">
        <v>359</v>
      </c>
    </row>
    <row r="1844" spans="1:18" hidden="1" x14ac:dyDescent="0.2">
      <c r="A1844">
        <v>2</v>
      </c>
      <c r="B1844" t="s">
        <v>43</v>
      </c>
      <c r="E1844" t="s">
        <v>19</v>
      </c>
      <c r="F1844">
        <v>1995984</v>
      </c>
      <c r="G1844">
        <v>4</v>
      </c>
      <c r="H1844">
        <v>3</v>
      </c>
      <c r="I1844">
        <v>940</v>
      </c>
      <c r="J1844">
        <v>1963</v>
      </c>
      <c r="K1844" s="4">
        <v>44934</v>
      </c>
      <c r="L1844" t="s">
        <v>26</v>
      </c>
      <c r="M1844" t="s">
        <v>56</v>
      </c>
      <c r="N1844">
        <v>3.49</v>
      </c>
      <c r="O1844">
        <v>1240</v>
      </c>
      <c r="P1844">
        <v>0.32</v>
      </c>
      <c r="Q1844">
        <v>205</v>
      </c>
      <c r="R1844">
        <v>359</v>
      </c>
    </row>
    <row r="1845" spans="1:18" hidden="1" x14ac:dyDescent="0.2">
      <c r="A1845">
        <v>6</v>
      </c>
      <c r="B1845" t="s">
        <v>38</v>
      </c>
      <c r="E1845" t="s">
        <v>29</v>
      </c>
      <c r="F1845">
        <v>2717612</v>
      </c>
      <c r="G1845">
        <v>3</v>
      </c>
      <c r="H1845">
        <v>1</v>
      </c>
      <c r="I1845">
        <v>109</v>
      </c>
      <c r="J1845">
        <v>2018</v>
      </c>
      <c r="K1845" s="4">
        <v>44924</v>
      </c>
      <c r="L1845" t="s">
        <v>26</v>
      </c>
      <c r="M1845" t="s">
        <v>59</v>
      </c>
      <c r="N1845">
        <v>2.95</v>
      </c>
      <c r="O1845">
        <v>1646</v>
      </c>
      <c r="P1845">
        <v>4.8099999999999996</v>
      </c>
      <c r="Q1845">
        <v>83</v>
      </c>
      <c r="R1845">
        <v>469</v>
      </c>
    </row>
    <row r="1846" spans="1:18" hidden="1" x14ac:dyDescent="0.2">
      <c r="A1846">
        <v>9</v>
      </c>
      <c r="B1846" t="s">
        <v>100</v>
      </c>
      <c r="E1846" t="s">
        <v>19</v>
      </c>
      <c r="F1846">
        <v>1249869</v>
      </c>
      <c r="G1846">
        <v>3</v>
      </c>
      <c r="H1846">
        <v>2</v>
      </c>
      <c r="I1846">
        <v>503</v>
      </c>
      <c r="J1846">
        <v>1966</v>
      </c>
      <c r="K1846" s="4">
        <v>45453</v>
      </c>
      <c r="L1846" t="s">
        <v>30</v>
      </c>
      <c r="M1846" t="s">
        <v>58</v>
      </c>
      <c r="N1846">
        <v>2.41</v>
      </c>
      <c r="O1846">
        <v>2378</v>
      </c>
      <c r="P1846">
        <v>1.1100000000000001</v>
      </c>
      <c r="Q1846">
        <v>210</v>
      </c>
      <c r="R1846">
        <v>598</v>
      </c>
    </row>
    <row r="1847" spans="1:18" x14ac:dyDescent="0.2">
      <c r="A1847">
        <v>8</v>
      </c>
      <c r="B1847" t="s">
        <v>100</v>
      </c>
      <c r="E1847" t="s">
        <v>51</v>
      </c>
      <c r="F1847">
        <v>457197</v>
      </c>
      <c r="G1847">
        <v>2</v>
      </c>
      <c r="H1847">
        <v>3</v>
      </c>
      <c r="I1847">
        <v>191</v>
      </c>
      <c r="J1847">
        <v>1966</v>
      </c>
      <c r="K1847" s="4">
        <v>45307</v>
      </c>
      <c r="L1847" t="s">
        <v>23</v>
      </c>
      <c r="M1847" t="s">
        <v>74</v>
      </c>
      <c r="N1847">
        <v>3.21</v>
      </c>
      <c r="O1847">
        <v>1399</v>
      </c>
      <c r="P1847">
        <v>0.19</v>
      </c>
      <c r="Q1847">
        <v>196</v>
      </c>
      <c r="R1847">
        <v>695</v>
      </c>
    </row>
    <row r="1848" spans="1:18" x14ac:dyDescent="0.2">
      <c r="A1848">
        <v>8</v>
      </c>
      <c r="B1848" t="s">
        <v>55</v>
      </c>
      <c r="E1848" t="s">
        <v>29</v>
      </c>
      <c r="F1848">
        <v>869046</v>
      </c>
      <c r="G1848">
        <v>1</v>
      </c>
      <c r="H1848">
        <v>1</v>
      </c>
      <c r="I1848">
        <v>403</v>
      </c>
      <c r="J1848">
        <v>2019</v>
      </c>
      <c r="K1848" s="4">
        <v>45340</v>
      </c>
      <c r="L1848" t="s">
        <v>26</v>
      </c>
      <c r="M1848" t="s">
        <v>78</v>
      </c>
      <c r="N1848">
        <v>2.14</v>
      </c>
      <c r="O1848">
        <v>1000</v>
      </c>
      <c r="P1848">
        <v>0.71</v>
      </c>
      <c r="Q1848">
        <v>55</v>
      </c>
      <c r="R1848">
        <v>635</v>
      </c>
    </row>
    <row r="1849" spans="1:18" hidden="1" x14ac:dyDescent="0.2">
      <c r="A1849">
        <v>5</v>
      </c>
      <c r="B1849" t="s">
        <v>48</v>
      </c>
      <c r="E1849" t="s">
        <v>19</v>
      </c>
      <c r="F1849">
        <v>950466</v>
      </c>
      <c r="G1849">
        <v>1</v>
      </c>
      <c r="H1849">
        <v>3</v>
      </c>
      <c r="I1849">
        <v>298</v>
      </c>
      <c r="J1849">
        <v>1960</v>
      </c>
      <c r="K1849" s="4">
        <v>45284</v>
      </c>
      <c r="L1849" t="s">
        <v>23</v>
      </c>
      <c r="M1849" t="s">
        <v>74</v>
      </c>
      <c r="N1849">
        <v>3.44</v>
      </c>
      <c r="O1849">
        <v>2314</v>
      </c>
      <c r="P1849">
        <v>2.06</v>
      </c>
      <c r="Q1849">
        <v>148</v>
      </c>
      <c r="R1849">
        <v>487</v>
      </c>
    </row>
    <row r="1850" spans="1:18" hidden="1" x14ac:dyDescent="0.2">
      <c r="A1850">
        <v>0</v>
      </c>
      <c r="B1850" t="s">
        <v>28</v>
      </c>
      <c r="E1850" t="s">
        <v>36</v>
      </c>
      <c r="F1850">
        <v>2254652</v>
      </c>
      <c r="G1850">
        <v>6</v>
      </c>
      <c r="H1850">
        <v>3</v>
      </c>
      <c r="I1850">
        <v>442</v>
      </c>
      <c r="J1850">
        <v>1957</v>
      </c>
      <c r="K1850" s="4">
        <v>44424</v>
      </c>
      <c r="L1850" t="s">
        <v>23</v>
      </c>
      <c r="M1850" t="s">
        <v>33</v>
      </c>
      <c r="N1850">
        <v>1.63</v>
      </c>
      <c r="O1850">
        <v>2287</v>
      </c>
      <c r="P1850">
        <v>3.25</v>
      </c>
      <c r="Q1850">
        <v>373</v>
      </c>
      <c r="R1850">
        <v>562</v>
      </c>
    </row>
    <row r="1851" spans="1:18" hidden="1" x14ac:dyDescent="0.2">
      <c r="A1851">
        <v>4</v>
      </c>
      <c r="B1851" t="s">
        <v>98</v>
      </c>
      <c r="E1851" t="s">
        <v>51</v>
      </c>
      <c r="F1851">
        <v>853801</v>
      </c>
      <c r="G1851">
        <v>4</v>
      </c>
      <c r="H1851">
        <v>3</v>
      </c>
      <c r="I1851">
        <v>511</v>
      </c>
      <c r="J1851">
        <v>1951</v>
      </c>
      <c r="K1851" s="4">
        <v>45781</v>
      </c>
      <c r="L1851" t="s">
        <v>30</v>
      </c>
      <c r="M1851" t="s">
        <v>74</v>
      </c>
      <c r="N1851">
        <v>2.64</v>
      </c>
      <c r="O1851">
        <v>911</v>
      </c>
      <c r="P1851">
        <v>1.46</v>
      </c>
      <c r="Q1851">
        <v>350</v>
      </c>
      <c r="R1851">
        <v>398</v>
      </c>
    </row>
    <row r="1852" spans="1:18" hidden="1" x14ac:dyDescent="0.2">
      <c r="A1852">
        <v>0</v>
      </c>
      <c r="B1852" t="s">
        <v>90</v>
      </c>
      <c r="E1852" t="s">
        <v>51</v>
      </c>
      <c r="F1852">
        <v>2239713</v>
      </c>
      <c r="G1852">
        <v>5</v>
      </c>
      <c r="H1852">
        <v>3</v>
      </c>
      <c r="I1852">
        <v>498</v>
      </c>
      <c r="J1852">
        <v>2014</v>
      </c>
      <c r="K1852" s="4">
        <v>45649</v>
      </c>
      <c r="L1852" t="s">
        <v>20</v>
      </c>
      <c r="M1852" t="s">
        <v>85</v>
      </c>
      <c r="N1852">
        <v>2.96</v>
      </c>
      <c r="O1852">
        <v>1861</v>
      </c>
      <c r="P1852">
        <v>4.1900000000000004</v>
      </c>
      <c r="Q1852">
        <v>394</v>
      </c>
      <c r="R1852">
        <v>377</v>
      </c>
    </row>
    <row r="1853" spans="1:18" hidden="1" x14ac:dyDescent="0.2">
      <c r="A1853">
        <v>0</v>
      </c>
      <c r="B1853" t="s">
        <v>87</v>
      </c>
      <c r="E1853" t="s">
        <v>51</v>
      </c>
      <c r="F1853">
        <v>677729</v>
      </c>
      <c r="G1853">
        <v>5</v>
      </c>
      <c r="H1853">
        <v>3</v>
      </c>
      <c r="I1853">
        <v>783</v>
      </c>
      <c r="J1853">
        <v>1995</v>
      </c>
      <c r="K1853" s="4">
        <v>45222</v>
      </c>
      <c r="L1853" t="s">
        <v>23</v>
      </c>
      <c r="M1853" t="s">
        <v>37</v>
      </c>
      <c r="N1853">
        <v>2.91</v>
      </c>
      <c r="O1853">
        <v>1468</v>
      </c>
      <c r="P1853">
        <v>3.27</v>
      </c>
      <c r="Q1853">
        <v>319</v>
      </c>
      <c r="R1853">
        <v>684</v>
      </c>
    </row>
    <row r="1854" spans="1:18" hidden="1" x14ac:dyDescent="0.2">
      <c r="A1854">
        <v>6</v>
      </c>
      <c r="B1854" t="s">
        <v>98</v>
      </c>
      <c r="E1854" t="s">
        <v>29</v>
      </c>
      <c r="F1854">
        <v>1934649</v>
      </c>
      <c r="G1854">
        <v>2</v>
      </c>
      <c r="H1854">
        <v>3</v>
      </c>
      <c r="I1854">
        <v>759</v>
      </c>
      <c r="J1854">
        <v>1952</v>
      </c>
      <c r="K1854" s="4">
        <v>44715</v>
      </c>
      <c r="L1854" t="s">
        <v>23</v>
      </c>
      <c r="M1854" t="s">
        <v>85</v>
      </c>
      <c r="N1854">
        <v>2.83</v>
      </c>
      <c r="O1854">
        <v>1019</v>
      </c>
      <c r="P1854">
        <v>0.26</v>
      </c>
      <c r="Q1854">
        <v>127</v>
      </c>
      <c r="R1854">
        <v>452</v>
      </c>
    </row>
    <row r="1855" spans="1:18" hidden="1" x14ac:dyDescent="0.2">
      <c r="A1855">
        <v>1</v>
      </c>
      <c r="B1855" t="s">
        <v>64</v>
      </c>
      <c r="E1855" t="s">
        <v>19</v>
      </c>
      <c r="F1855">
        <v>833027</v>
      </c>
      <c r="G1855">
        <v>3</v>
      </c>
      <c r="H1855">
        <v>3</v>
      </c>
      <c r="I1855">
        <v>162</v>
      </c>
      <c r="J1855">
        <v>1953</v>
      </c>
      <c r="K1855" s="4">
        <v>45248</v>
      </c>
      <c r="L1855" t="s">
        <v>26</v>
      </c>
      <c r="M1855" t="s">
        <v>82</v>
      </c>
      <c r="N1855">
        <v>2.91</v>
      </c>
      <c r="O1855">
        <v>2138</v>
      </c>
      <c r="P1855">
        <v>1.24</v>
      </c>
      <c r="Q1855">
        <v>97</v>
      </c>
      <c r="R1855">
        <v>536</v>
      </c>
    </row>
    <row r="1856" spans="1:18" hidden="1" x14ac:dyDescent="0.2">
      <c r="A1856">
        <v>9</v>
      </c>
      <c r="B1856" t="s">
        <v>53</v>
      </c>
      <c r="E1856" t="s">
        <v>51</v>
      </c>
      <c r="F1856">
        <v>2239878</v>
      </c>
      <c r="G1856">
        <v>5</v>
      </c>
      <c r="H1856">
        <v>3</v>
      </c>
      <c r="I1856">
        <v>312</v>
      </c>
      <c r="J1856">
        <v>1974</v>
      </c>
      <c r="K1856" s="4">
        <v>44559</v>
      </c>
      <c r="L1856" t="s">
        <v>26</v>
      </c>
      <c r="M1856" t="s">
        <v>33</v>
      </c>
      <c r="N1856">
        <v>1.61</v>
      </c>
      <c r="O1856">
        <v>1077</v>
      </c>
      <c r="P1856">
        <v>2.91</v>
      </c>
      <c r="Q1856">
        <v>244</v>
      </c>
      <c r="R1856">
        <v>422</v>
      </c>
    </row>
    <row r="1857" spans="1:18" hidden="1" x14ac:dyDescent="0.2">
      <c r="A1857">
        <v>5</v>
      </c>
      <c r="B1857" t="s">
        <v>57</v>
      </c>
      <c r="E1857" t="s">
        <v>51</v>
      </c>
      <c r="F1857">
        <v>2307785</v>
      </c>
      <c r="G1857">
        <v>2</v>
      </c>
      <c r="H1857">
        <v>2</v>
      </c>
      <c r="I1857">
        <v>916</v>
      </c>
      <c r="J1857">
        <v>2017</v>
      </c>
      <c r="K1857" s="4">
        <v>44526</v>
      </c>
      <c r="L1857" t="s">
        <v>26</v>
      </c>
      <c r="M1857" t="s">
        <v>45</v>
      </c>
      <c r="N1857">
        <v>3.24</v>
      </c>
      <c r="O1857">
        <v>1272</v>
      </c>
      <c r="P1857">
        <v>4.01</v>
      </c>
      <c r="Q1857">
        <v>87</v>
      </c>
      <c r="R1857">
        <v>589</v>
      </c>
    </row>
    <row r="1858" spans="1:18" x14ac:dyDescent="0.2">
      <c r="A1858">
        <v>8</v>
      </c>
      <c r="B1858" t="s">
        <v>87</v>
      </c>
      <c r="E1858" t="s">
        <v>29</v>
      </c>
      <c r="F1858">
        <v>1368586</v>
      </c>
      <c r="G1858">
        <v>4</v>
      </c>
      <c r="H1858">
        <v>2</v>
      </c>
      <c r="I1858">
        <v>508</v>
      </c>
      <c r="J1858">
        <v>1962</v>
      </c>
      <c r="K1858" s="4">
        <v>45177</v>
      </c>
      <c r="L1858" t="s">
        <v>26</v>
      </c>
      <c r="M1858" t="s">
        <v>37</v>
      </c>
      <c r="N1858">
        <v>1.78</v>
      </c>
      <c r="O1858">
        <v>1975</v>
      </c>
      <c r="P1858">
        <v>0.48</v>
      </c>
      <c r="Q1858">
        <v>227</v>
      </c>
      <c r="R1858">
        <v>432</v>
      </c>
    </row>
    <row r="1859" spans="1:18" hidden="1" x14ac:dyDescent="0.2">
      <c r="A1859">
        <v>2</v>
      </c>
      <c r="B1859" t="s">
        <v>28</v>
      </c>
      <c r="E1859" t="s">
        <v>51</v>
      </c>
      <c r="F1859">
        <v>1623442</v>
      </c>
      <c r="G1859">
        <v>1</v>
      </c>
      <c r="H1859">
        <v>3</v>
      </c>
      <c r="I1859">
        <v>592</v>
      </c>
      <c r="J1859">
        <v>1964</v>
      </c>
      <c r="K1859" s="4">
        <v>45125</v>
      </c>
      <c r="L1859" t="s">
        <v>26</v>
      </c>
      <c r="M1859" t="s">
        <v>74</v>
      </c>
      <c r="N1859">
        <v>1.92</v>
      </c>
      <c r="O1859">
        <v>1452</v>
      </c>
      <c r="P1859">
        <v>1.1399999999999999</v>
      </c>
      <c r="Q1859">
        <v>93</v>
      </c>
      <c r="R1859">
        <v>615</v>
      </c>
    </row>
    <row r="1860" spans="1:18" hidden="1" x14ac:dyDescent="0.2">
      <c r="A1860">
        <v>5</v>
      </c>
      <c r="B1860" t="s">
        <v>88</v>
      </c>
      <c r="E1860" t="s">
        <v>36</v>
      </c>
      <c r="F1860">
        <v>2913168</v>
      </c>
      <c r="G1860">
        <v>4</v>
      </c>
      <c r="H1860">
        <v>1</v>
      </c>
      <c r="I1860">
        <v>673</v>
      </c>
      <c r="J1860">
        <v>1993</v>
      </c>
      <c r="K1860" s="4">
        <v>44226</v>
      </c>
      <c r="L1860" t="s">
        <v>20</v>
      </c>
      <c r="M1860" t="s">
        <v>56</v>
      </c>
      <c r="N1860">
        <v>1.58</v>
      </c>
      <c r="O1860">
        <v>1360</v>
      </c>
      <c r="P1860">
        <v>1.68</v>
      </c>
      <c r="Q1860">
        <v>198</v>
      </c>
      <c r="R1860">
        <v>572</v>
      </c>
    </row>
    <row r="1861" spans="1:18" hidden="1" x14ac:dyDescent="0.2">
      <c r="A1861">
        <v>1</v>
      </c>
      <c r="B1861" t="s">
        <v>84</v>
      </c>
      <c r="E1861" t="s">
        <v>19</v>
      </c>
      <c r="F1861">
        <v>794230</v>
      </c>
      <c r="G1861">
        <v>4</v>
      </c>
      <c r="H1861">
        <v>1</v>
      </c>
      <c r="I1861">
        <v>967</v>
      </c>
      <c r="J1861">
        <v>2003</v>
      </c>
      <c r="K1861" s="4">
        <v>44804</v>
      </c>
      <c r="L1861" t="s">
        <v>23</v>
      </c>
      <c r="M1861" t="s">
        <v>31</v>
      </c>
      <c r="N1861">
        <v>3.25</v>
      </c>
      <c r="O1861">
        <v>1339</v>
      </c>
      <c r="P1861">
        <v>2.96</v>
      </c>
      <c r="Q1861">
        <v>323</v>
      </c>
      <c r="R1861">
        <v>400</v>
      </c>
    </row>
    <row r="1862" spans="1:18" hidden="1" x14ac:dyDescent="0.2">
      <c r="A1862">
        <v>9</v>
      </c>
      <c r="B1862" t="s">
        <v>106</v>
      </c>
      <c r="E1862" t="s">
        <v>51</v>
      </c>
      <c r="F1862">
        <v>1883867</v>
      </c>
      <c r="G1862">
        <v>2</v>
      </c>
      <c r="H1862">
        <v>3</v>
      </c>
      <c r="I1862">
        <v>300</v>
      </c>
      <c r="J1862">
        <v>2012</v>
      </c>
      <c r="K1862" s="4">
        <v>44238</v>
      </c>
      <c r="L1862" t="s">
        <v>30</v>
      </c>
      <c r="M1862" t="s">
        <v>60</v>
      </c>
      <c r="N1862">
        <v>3.12</v>
      </c>
      <c r="O1862">
        <v>1150</v>
      </c>
      <c r="P1862">
        <v>2.12</v>
      </c>
      <c r="Q1862">
        <v>138</v>
      </c>
      <c r="R1862">
        <v>611</v>
      </c>
    </row>
    <row r="1863" spans="1:18" hidden="1" x14ac:dyDescent="0.2">
      <c r="A1863">
        <v>6</v>
      </c>
      <c r="B1863" t="s">
        <v>57</v>
      </c>
      <c r="E1863" t="s">
        <v>51</v>
      </c>
      <c r="F1863">
        <v>2868163</v>
      </c>
      <c r="G1863">
        <v>2</v>
      </c>
      <c r="H1863">
        <v>1</v>
      </c>
      <c r="I1863">
        <v>520</v>
      </c>
      <c r="J1863">
        <v>2020</v>
      </c>
      <c r="K1863" s="4">
        <v>45623</v>
      </c>
      <c r="L1863" t="s">
        <v>30</v>
      </c>
      <c r="M1863" t="s">
        <v>45</v>
      </c>
      <c r="N1863">
        <v>2.5</v>
      </c>
      <c r="O1863">
        <v>950</v>
      </c>
      <c r="P1863">
        <v>0.83</v>
      </c>
      <c r="Q1863">
        <v>130</v>
      </c>
      <c r="R1863">
        <v>390</v>
      </c>
    </row>
    <row r="1864" spans="1:18" hidden="1" x14ac:dyDescent="0.2">
      <c r="A1864">
        <v>5</v>
      </c>
      <c r="B1864" t="s">
        <v>75</v>
      </c>
      <c r="E1864" t="s">
        <v>29</v>
      </c>
      <c r="F1864">
        <v>1454205</v>
      </c>
      <c r="G1864">
        <v>5</v>
      </c>
      <c r="H1864">
        <v>3</v>
      </c>
      <c r="I1864">
        <v>592</v>
      </c>
      <c r="J1864">
        <v>1997</v>
      </c>
      <c r="K1864" s="4">
        <v>44845</v>
      </c>
      <c r="L1864" t="s">
        <v>20</v>
      </c>
      <c r="M1864" t="s">
        <v>33</v>
      </c>
      <c r="N1864">
        <v>2.97</v>
      </c>
      <c r="O1864">
        <v>2094</v>
      </c>
      <c r="P1864">
        <v>1.08</v>
      </c>
      <c r="Q1864">
        <v>294</v>
      </c>
      <c r="R1864">
        <v>676</v>
      </c>
    </row>
    <row r="1865" spans="1:18" hidden="1" x14ac:dyDescent="0.2">
      <c r="A1865">
        <v>2</v>
      </c>
      <c r="B1865" t="s">
        <v>38</v>
      </c>
      <c r="E1865" t="s">
        <v>51</v>
      </c>
      <c r="F1865">
        <v>517139</v>
      </c>
      <c r="G1865">
        <v>1</v>
      </c>
      <c r="H1865">
        <v>3</v>
      </c>
      <c r="I1865">
        <v>867</v>
      </c>
      <c r="J1865">
        <v>2015</v>
      </c>
      <c r="K1865" s="4">
        <v>45182</v>
      </c>
      <c r="L1865" t="s">
        <v>26</v>
      </c>
      <c r="M1865" t="s">
        <v>40</v>
      </c>
      <c r="N1865">
        <v>3.03</v>
      </c>
      <c r="O1865">
        <v>1629</v>
      </c>
      <c r="P1865">
        <v>4.91</v>
      </c>
      <c r="Q1865">
        <v>136</v>
      </c>
      <c r="R1865">
        <v>567</v>
      </c>
    </row>
    <row r="1866" spans="1:18" hidden="1" x14ac:dyDescent="0.2">
      <c r="A1866">
        <v>6</v>
      </c>
      <c r="B1866" t="s">
        <v>98</v>
      </c>
      <c r="E1866" t="s">
        <v>51</v>
      </c>
      <c r="F1866">
        <v>2875820</v>
      </c>
      <c r="G1866">
        <v>5</v>
      </c>
      <c r="H1866">
        <v>1</v>
      </c>
      <c r="I1866">
        <v>731</v>
      </c>
      <c r="J1866">
        <v>2014</v>
      </c>
      <c r="K1866" s="4">
        <v>44135</v>
      </c>
      <c r="L1866" t="s">
        <v>23</v>
      </c>
      <c r="M1866" t="s">
        <v>63</v>
      </c>
      <c r="N1866">
        <v>2.42</v>
      </c>
      <c r="O1866">
        <v>2094</v>
      </c>
      <c r="P1866">
        <v>1.41</v>
      </c>
      <c r="Q1866">
        <v>392</v>
      </c>
      <c r="R1866">
        <v>461</v>
      </c>
    </row>
    <row r="1867" spans="1:18" hidden="1" x14ac:dyDescent="0.2">
      <c r="A1867">
        <v>4</v>
      </c>
      <c r="B1867" t="s">
        <v>44</v>
      </c>
      <c r="E1867" t="s">
        <v>29</v>
      </c>
      <c r="F1867">
        <v>1567999</v>
      </c>
      <c r="G1867">
        <v>0</v>
      </c>
      <c r="H1867">
        <v>2</v>
      </c>
      <c r="I1867">
        <v>406</v>
      </c>
      <c r="J1867">
        <v>2016</v>
      </c>
      <c r="K1867" s="4">
        <v>45185</v>
      </c>
      <c r="L1867" t="s">
        <v>30</v>
      </c>
      <c r="M1867" t="s">
        <v>70</v>
      </c>
      <c r="N1867">
        <v>2.02</v>
      </c>
      <c r="O1867">
        <v>1148</v>
      </c>
      <c r="P1867">
        <v>2.35</v>
      </c>
      <c r="Q1867">
        <v>60</v>
      </c>
      <c r="R1867">
        <v>323</v>
      </c>
    </row>
    <row r="1868" spans="1:18" hidden="1" x14ac:dyDescent="0.2">
      <c r="A1868">
        <v>9</v>
      </c>
      <c r="B1868" t="s">
        <v>32</v>
      </c>
      <c r="E1868" t="s">
        <v>36</v>
      </c>
      <c r="F1868">
        <v>843113</v>
      </c>
      <c r="G1868">
        <v>4</v>
      </c>
      <c r="H1868">
        <v>3</v>
      </c>
      <c r="I1868">
        <v>311</v>
      </c>
      <c r="J1868">
        <v>2008</v>
      </c>
      <c r="K1868" s="4">
        <v>45672</v>
      </c>
      <c r="L1868" t="s">
        <v>20</v>
      </c>
      <c r="M1868" t="s">
        <v>40</v>
      </c>
      <c r="N1868">
        <v>1.58</v>
      </c>
      <c r="O1868">
        <v>1846</v>
      </c>
      <c r="P1868">
        <v>2.62</v>
      </c>
      <c r="Q1868">
        <v>332</v>
      </c>
      <c r="R1868">
        <v>357</v>
      </c>
    </row>
    <row r="1869" spans="1:18" hidden="1" x14ac:dyDescent="0.2">
      <c r="A1869">
        <v>7</v>
      </c>
      <c r="B1869" t="s">
        <v>93</v>
      </c>
      <c r="E1869" t="s">
        <v>36</v>
      </c>
      <c r="F1869">
        <v>1290813</v>
      </c>
      <c r="G1869">
        <v>3</v>
      </c>
      <c r="H1869">
        <v>2</v>
      </c>
      <c r="I1869">
        <v>507</v>
      </c>
      <c r="J1869">
        <v>1960</v>
      </c>
      <c r="K1869" s="4">
        <v>45034</v>
      </c>
      <c r="L1869" t="s">
        <v>30</v>
      </c>
      <c r="M1869" t="s">
        <v>33</v>
      </c>
      <c r="N1869">
        <v>3.28</v>
      </c>
      <c r="O1869">
        <v>2324</v>
      </c>
      <c r="P1869">
        <v>0.19</v>
      </c>
      <c r="Q1869">
        <v>101</v>
      </c>
      <c r="R1869">
        <v>599</v>
      </c>
    </row>
    <row r="1870" spans="1:18" hidden="1" x14ac:dyDescent="0.2">
      <c r="A1870">
        <v>7</v>
      </c>
      <c r="B1870" t="s">
        <v>61</v>
      </c>
      <c r="E1870" t="s">
        <v>36</v>
      </c>
      <c r="F1870">
        <v>1780564</v>
      </c>
      <c r="G1870">
        <v>6</v>
      </c>
      <c r="H1870">
        <v>3</v>
      </c>
      <c r="I1870">
        <v>73</v>
      </c>
      <c r="J1870">
        <v>1983</v>
      </c>
      <c r="K1870" s="4">
        <v>45826</v>
      </c>
      <c r="L1870" t="s">
        <v>30</v>
      </c>
      <c r="M1870" t="s">
        <v>37</v>
      </c>
      <c r="N1870">
        <v>3.08</v>
      </c>
      <c r="O1870">
        <v>1053</v>
      </c>
      <c r="P1870">
        <v>3.71</v>
      </c>
      <c r="Q1870">
        <v>329</v>
      </c>
      <c r="R1870">
        <v>388</v>
      </c>
    </row>
    <row r="1871" spans="1:18" hidden="1" x14ac:dyDescent="0.2">
      <c r="A1871">
        <v>1</v>
      </c>
      <c r="B1871" t="s">
        <v>57</v>
      </c>
      <c r="E1871" t="s">
        <v>51</v>
      </c>
      <c r="F1871">
        <v>2519590</v>
      </c>
      <c r="G1871">
        <v>3</v>
      </c>
      <c r="H1871">
        <v>2</v>
      </c>
      <c r="I1871">
        <v>563</v>
      </c>
      <c r="J1871">
        <v>1970</v>
      </c>
      <c r="K1871" s="4">
        <v>44308</v>
      </c>
      <c r="L1871" t="s">
        <v>23</v>
      </c>
      <c r="M1871" t="s">
        <v>21</v>
      </c>
      <c r="N1871">
        <v>2.08</v>
      </c>
      <c r="O1871">
        <v>2123</v>
      </c>
      <c r="P1871">
        <v>0.64</v>
      </c>
      <c r="Q1871">
        <v>207</v>
      </c>
      <c r="R1871">
        <v>481</v>
      </c>
    </row>
    <row r="1872" spans="1:18" hidden="1" x14ac:dyDescent="0.2">
      <c r="A1872">
        <v>4</v>
      </c>
      <c r="B1872" t="s">
        <v>34</v>
      </c>
      <c r="E1872" t="s">
        <v>29</v>
      </c>
      <c r="F1872">
        <v>2083578</v>
      </c>
      <c r="G1872">
        <v>3</v>
      </c>
      <c r="H1872">
        <v>2</v>
      </c>
      <c r="I1872">
        <v>858</v>
      </c>
      <c r="J1872">
        <v>2005</v>
      </c>
      <c r="K1872" s="4">
        <v>44810</v>
      </c>
      <c r="L1872" t="s">
        <v>20</v>
      </c>
      <c r="M1872" t="s">
        <v>63</v>
      </c>
      <c r="N1872">
        <v>1.53</v>
      </c>
      <c r="O1872">
        <v>830</v>
      </c>
      <c r="P1872">
        <v>1.71</v>
      </c>
      <c r="Q1872">
        <v>199</v>
      </c>
      <c r="R1872">
        <v>537</v>
      </c>
    </row>
    <row r="1873" spans="1:18" hidden="1" x14ac:dyDescent="0.2">
      <c r="A1873">
        <v>9</v>
      </c>
      <c r="B1873" t="s">
        <v>41</v>
      </c>
      <c r="E1873" t="s">
        <v>36</v>
      </c>
      <c r="F1873">
        <v>1083302</v>
      </c>
      <c r="G1873">
        <v>5</v>
      </c>
      <c r="H1873">
        <v>1</v>
      </c>
      <c r="I1873">
        <v>462</v>
      </c>
      <c r="J1873">
        <v>2003</v>
      </c>
      <c r="K1873" s="4">
        <v>45548</v>
      </c>
      <c r="L1873" t="s">
        <v>26</v>
      </c>
      <c r="M1873" t="s">
        <v>33</v>
      </c>
      <c r="N1873">
        <v>2.4500000000000002</v>
      </c>
      <c r="O1873">
        <v>2251</v>
      </c>
      <c r="P1873">
        <v>1.06</v>
      </c>
      <c r="Q1873">
        <v>249</v>
      </c>
      <c r="R1873">
        <v>358</v>
      </c>
    </row>
    <row r="1874" spans="1:18" hidden="1" x14ac:dyDescent="0.2">
      <c r="A1874">
        <v>3</v>
      </c>
      <c r="B1874" t="s">
        <v>64</v>
      </c>
      <c r="E1874" t="s">
        <v>36</v>
      </c>
      <c r="F1874">
        <v>1297191</v>
      </c>
      <c r="G1874">
        <v>3</v>
      </c>
      <c r="H1874">
        <v>2</v>
      </c>
      <c r="I1874">
        <v>536</v>
      </c>
      <c r="J1874">
        <v>1984</v>
      </c>
      <c r="K1874" s="4">
        <v>45731</v>
      </c>
      <c r="L1874" t="s">
        <v>26</v>
      </c>
      <c r="M1874" t="s">
        <v>70</v>
      </c>
      <c r="N1874">
        <v>2.58</v>
      </c>
      <c r="O1874">
        <v>1930</v>
      </c>
      <c r="P1874">
        <v>3.35</v>
      </c>
      <c r="Q1874">
        <v>292</v>
      </c>
      <c r="R1874">
        <v>631</v>
      </c>
    </row>
    <row r="1875" spans="1:18" hidden="1" x14ac:dyDescent="0.2">
      <c r="A1875">
        <v>4</v>
      </c>
      <c r="B1875" t="s">
        <v>86</v>
      </c>
      <c r="E1875" t="s">
        <v>29</v>
      </c>
      <c r="F1875">
        <v>488252</v>
      </c>
      <c r="G1875">
        <v>4</v>
      </c>
      <c r="H1875">
        <v>2</v>
      </c>
      <c r="I1875">
        <v>819</v>
      </c>
      <c r="J1875">
        <v>1997</v>
      </c>
      <c r="K1875" s="4">
        <v>44804</v>
      </c>
      <c r="L1875" t="s">
        <v>26</v>
      </c>
      <c r="M1875" t="s">
        <v>54</v>
      </c>
      <c r="N1875">
        <v>3.25</v>
      </c>
      <c r="O1875">
        <v>2478</v>
      </c>
      <c r="P1875">
        <v>2.73</v>
      </c>
      <c r="Q1875">
        <v>355</v>
      </c>
      <c r="R1875">
        <v>651</v>
      </c>
    </row>
    <row r="1876" spans="1:18" hidden="1" x14ac:dyDescent="0.2">
      <c r="A1876">
        <v>2</v>
      </c>
      <c r="B1876" t="s">
        <v>43</v>
      </c>
      <c r="E1876" t="s">
        <v>51</v>
      </c>
      <c r="F1876">
        <v>1810530</v>
      </c>
      <c r="G1876">
        <v>2</v>
      </c>
      <c r="H1876">
        <v>3</v>
      </c>
      <c r="I1876">
        <v>344</v>
      </c>
      <c r="J1876">
        <v>1960</v>
      </c>
      <c r="K1876" s="4">
        <v>45475</v>
      </c>
      <c r="L1876" t="s">
        <v>23</v>
      </c>
      <c r="M1876" t="s">
        <v>78</v>
      </c>
      <c r="N1876">
        <v>1.87</v>
      </c>
      <c r="O1876">
        <v>2226</v>
      </c>
      <c r="P1876">
        <v>2.95</v>
      </c>
      <c r="Q1876">
        <v>112</v>
      </c>
      <c r="R1876">
        <v>542</v>
      </c>
    </row>
    <row r="1877" spans="1:18" hidden="1" x14ac:dyDescent="0.2">
      <c r="A1877">
        <v>3</v>
      </c>
      <c r="B1877" t="s">
        <v>28</v>
      </c>
      <c r="E1877" t="s">
        <v>29</v>
      </c>
      <c r="F1877">
        <v>1487583</v>
      </c>
      <c r="G1877">
        <v>5</v>
      </c>
      <c r="H1877">
        <v>3</v>
      </c>
      <c r="I1877">
        <v>803</v>
      </c>
      <c r="J1877">
        <v>2005</v>
      </c>
      <c r="K1877" s="4">
        <v>44599</v>
      </c>
      <c r="L1877" t="s">
        <v>30</v>
      </c>
      <c r="M1877" t="s">
        <v>89</v>
      </c>
      <c r="N1877">
        <v>1.86</v>
      </c>
      <c r="O1877">
        <v>1349</v>
      </c>
      <c r="P1877">
        <v>1.08</v>
      </c>
      <c r="Q1877">
        <v>304</v>
      </c>
      <c r="R1877">
        <v>516</v>
      </c>
    </row>
    <row r="1878" spans="1:18" hidden="1" x14ac:dyDescent="0.2">
      <c r="A1878">
        <v>3</v>
      </c>
      <c r="B1878" t="s">
        <v>38</v>
      </c>
      <c r="E1878" t="s">
        <v>36</v>
      </c>
      <c r="F1878">
        <v>1140654</v>
      </c>
      <c r="G1878">
        <v>3</v>
      </c>
      <c r="H1878">
        <v>3</v>
      </c>
      <c r="I1878">
        <v>74</v>
      </c>
      <c r="J1878">
        <v>2015</v>
      </c>
      <c r="K1878" s="4">
        <v>44252</v>
      </c>
      <c r="L1878" t="s">
        <v>30</v>
      </c>
      <c r="M1878" t="s">
        <v>24</v>
      </c>
      <c r="N1878">
        <v>2.31</v>
      </c>
      <c r="O1878">
        <v>1676</v>
      </c>
      <c r="P1878">
        <v>0.28999999999999998</v>
      </c>
      <c r="Q1878">
        <v>226</v>
      </c>
      <c r="R1878">
        <v>347</v>
      </c>
    </row>
    <row r="1879" spans="1:18" hidden="1" x14ac:dyDescent="0.2">
      <c r="A1879">
        <v>4</v>
      </c>
      <c r="B1879" t="s">
        <v>62</v>
      </c>
      <c r="E1879" t="s">
        <v>29</v>
      </c>
      <c r="F1879">
        <v>455151</v>
      </c>
      <c r="G1879">
        <v>3</v>
      </c>
      <c r="H1879">
        <v>3</v>
      </c>
      <c r="I1879">
        <v>853</v>
      </c>
      <c r="J1879">
        <v>2013</v>
      </c>
      <c r="K1879" s="4">
        <v>45650</v>
      </c>
      <c r="L1879" t="s">
        <v>20</v>
      </c>
      <c r="M1879" t="s">
        <v>63</v>
      </c>
      <c r="N1879">
        <v>3.33</v>
      </c>
      <c r="O1879">
        <v>1860</v>
      </c>
      <c r="P1879">
        <v>2.4300000000000002</v>
      </c>
      <c r="Q1879">
        <v>231</v>
      </c>
      <c r="R1879">
        <v>505</v>
      </c>
    </row>
    <row r="1880" spans="1:18" hidden="1" x14ac:dyDescent="0.2">
      <c r="A1880">
        <v>3</v>
      </c>
      <c r="B1880" t="s">
        <v>99</v>
      </c>
      <c r="E1880" t="s">
        <v>36</v>
      </c>
      <c r="F1880">
        <v>2257095</v>
      </c>
      <c r="G1880">
        <v>1</v>
      </c>
      <c r="H1880">
        <v>2</v>
      </c>
      <c r="I1880">
        <v>182</v>
      </c>
      <c r="J1880">
        <v>1975</v>
      </c>
      <c r="K1880" s="4">
        <v>45438</v>
      </c>
      <c r="L1880" t="s">
        <v>20</v>
      </c>
      <c r="M1880" t="s">
        <v>76</v>
      </c>
      <c r="N1880">
        <v>3.38</v>
      </c>
      <c r="O1880">
        <v>871</v>
      </c>
      <c r="P1880">
        <v>2.65</v>
      </c>
      <c r="Q1880">
        <v>78</v>
      </c>
      <c r="R1880">
        <v>312</v>
      </c>
    </row>
    <row r="1881" spans="1:18" hidden="1" x14ac:dyDescent="0.2">
      <c r="A1881">
        <v>9</v>
      </c>
      <c r="B1881" t="s">
        <v>80</v>
      </c>
      <c r="E1881" t="s">
        <v>36</v>
      </c>
      <c r="F1881">
        <v>1108773</v>
      </c>
      <c r="G1881">
        <v>2</v>
      </c>
      <c r="H1881">
        <v>1</v>
      </c>
      <c r="I1881">
        <v>53</v>
      </c>
      <c r="J1881">
        <v>1973</v>
      </c>
      <c r="K1881" s="4">
        <v>44970</v>
      </c>
      <c r="L1881" t="s">
        <v>30</v>
      </c>
      <c r="M1881" t="s">
        <v>40</v>
      </c>
      <c r="N1881">
        <v>3.05</v>
      </c>
      <c r="O1881">
        <v>2493</v>
      </c>
      <c r="P1881">
        <v>0.32</v>
      </c>
      <c r="Q1881">
        <v>231</v>
      </c>
      <c r="R1881">
        <v>308</v>
      </c>
    </row>
    <row r="1882" spans="1:18" hidden="1" x14ac:dyDescent="0.2">
      <c r="A1882">
        <v>9</v>
      </c>
      <c r="B1882" t="s">
        <v>32</v>
      </c>
      <c r="E1882" t="s">
        <v>29</v>
      </c>
      <c r="F1882">
        <v>1514069</v>
      </c>
      <c r="G1882">
        <v>2</v>
      </c>
      <c r="H1882">
        <v>3</v>
      </c>
      <c r="I1882">
        <v>348</v>
      </c>
      <c r="J1882">
        <v>2013</v>
      </c>
      <c r="K1882" s="4">
        <v>44230</v>
      </c>
      <c r="L1882" t="s">
        <v>23</v>
      </c>
      <c r="M1882" t="s">
        <v>40</v>
      </c>
      <c r="N1882">
        <v>2.06</v>
      </c>
      <c r="O1882">
        <v>987</v>
      </c>
      <c r="P1882">
        <v>2.2400000000000002</v>
      </c>
      <c r="Q1882">
        <v>200</v>
      </c>
      <c r="R1882">
        <v>364</v>
      </c>
    </row>
    <row r="1883" spans="1:18" hidden="1" x14ac:dyDescent="0.2">
      <c r="A1883">
        <v>3</v>
      </c>
      <c r="B1883" t="s">
        <v>96</v>
      </c>
      <c r="E1883" t="s">
        <v>36</v>
      </c>
      <c r="F1883">
        <v>724292</v>
      </c>
      <c r="G1883">
        <v>5</v>
      </c>
      <c r="H1883">
        <v>2</v>
      </c>
      <c r="I1883">
        <v>888</v>
      </c>
      <c r="J1883">
        <v>1989</v>
      </c>
      <c r="K1883" s="4">
        <v>44958</v>
      </c>
      <c r="L1883" t="s">
        <v>30</v>
      </c>
      <c r="M1883" t="s">
        <v>27</v>
      </c>
      <c r="N1883">
        <v>2.2200000000000002</v>
      </c>
      <c r="O1883">
        <v>2440</v>
      </c>
      <c r="P1883">
        <v>1.86</v>
      </c>
      <c r="Q1883">
        <v>271</v>
      </c>
      <c r="R1883">
        <v>378</v>
      </c>
    </row>
    <row r="1884" spans="1:18" hidden="1" x14ac:dyDescent="0.2">
      <c r="A1884">
        <v>4</v>
      </c>
      <c r="B1884" t="s">
        <v>105</v>
      </c>
      <c r="E1884" t="s">
        <v>29</v>
      </c>
      <c r="F1884">
        <v>723158</v>
      </c>
      <c r="G1884">
        <v>-2</v>
      </c>
      <c r="H1884">
        <v>3</v>
      </c>
      <c r="I1884">
        <v>890</v>
      </c>
      <c r="J1884">
        <v>1991</v>
      </c>
      <c r="K1884" s="4">
        <v>44274</v>
      </c>
      <c r="L1884" t="s">
        <v>26</v>
      </c>
      <c r="M1884" t="s">
        <v>76</v>
      </c>
      <c r="N1884">
        <v>2.77</v>
      </c>
      <c r="O1884">
        <v>1740</v>
      </c>
      <c r="P1884">
        <v>3.5</v>
      </c>
      <c r="Q1884">
        <v>285</v>
      </c>
      <c r="R1884">
        <v>623</v>
      </c>
    </row>
    <row r="1885" spans="1:18" hidden="1" x14ac:dyDescent="0.2">
      <c r="A1885">
        <v>4</v>
      </c>
      <c r="B1885" t="s">
        <v>43</v>
      </c>
      <c r="E1885" t="s">
        <v>19</v>
      </c>
      <c r="F1885">
        <v>1010913</v>
      </c>
      <c r="G1885">
        <v>4</v>
      </c>
      <c r="H1885">
        <v>1</v>
      </c>
      <c r="I1885">
        <v>239</v>
      </c>
      <c r="J1885">
        <v>1961</v>
      </c>
      <c r="K1885" s="4">
        <v>44137</v>
      </c>
      <c r="L1885" t="s">
        <v>23</v>
      </c>
      <c r="M1885" t="s">
        <v>47</v>
      </c>
      <c r="N1885">
        <v>2.9</v>
      </c>
      <c r="O1885">
        <v>2165</v>
      </c>
      <c r="P1885">
        <v>1.78</v>
      </c>
      <c r="Q1885">
        <v>179</v>
      </c>
      <c r="R1885">
        <v>574</v>
      </c>
    </row>
    <row r="1886" spans="1:18" x14ac:dyDescent="0.2">
      <c r="A1886">
        <v>8</v>
      </c>
      <c r="B1886" t="s">
        <v>104</v>
      </c>
      <c r="E1886" t="s">
        <v>29</v>
      </c>
      <c r="F1886">
        <v>2204819</v>
      </c>
      <c r="G1886">
        <v>5</v>
      </c>
      <c r="H1886">
        <v>2</v>
      </c>
      <c r="I1886">
        <v>598</v>
      </c>
      <c r="J1886">
        <v>1988</v>
      </c>
      <c r="K1886" s="4">
        <v>44670</v>
      </c>
      <c r="L1886" t="s">
        <v>26</v>
      </c>
      <c r="M1886" t="s">
        <v>85</v>
      </c>
      <c r="N1886">
        <v>3.43</v>
      </c>
      <c r="O1886">
        <v>2303</v>
      </c>
      <c r="P1886">
        <v>2.4900000000000002</v>
      </c>
      <c r="Q1886">
        <v>391</v>
      </c>
      <c r="R1886">
        <v>620</v>
      </c>
    </row>
    <row r="1887" spans="1:18" hidden="1" x14ac:dyDescent="0.2">
      <c r="A1887">
        <v>7</v>
      </c>
      <c r="B1887" t="s">
        <v>39</v>
      </c>
      <c r="E1887" t="s">
        <v>29</v>
      </c>
      <c r="F1887">
        <v>633360</v>
      </c>
      <c r="G1887">
        <v>2</v>
      </c>
      <c r="H1887">
        <v>1</v>
      </c>
      <c r="I1887">
        <v>362</v>
      </c>
      <c r="J1887">
        <v>1960</v>
      </c>
      <c r="K1887" s="4">
        <v>45168</v>
      </c>
      <c r="L1887" t="s">
        <v>26</v>
      </c>
      <c r="M1887" t="s">
        <v>70</v>
      </c>
      <c r="N1887">
        <v>1.84</v>
      </c>
      <c r="O1887">
        <v>1468</v>
      </c>
      <c r="P1887">
        <v>3.68</v>
      </c>
      <c r="Q1887">
        <v>190</v>
      </c>
      <c r="R1887">
        <v>423</v>
      </c>
    </row>
    <row r="1888" spans="1:18" x14ac:dyDescent="0.2">
      <c r="A1888">
        <v>8</v>
      </c>
      <c r="B1888" t="s">
        <v>48</v>
      </c>
      <c r="E1888" t="s">
        <v>51</v>
      </c>
      <c r="F1888">
        <v>1006014</v>
      </c>
      <c r="G1888">
        <v>2</v>
      </c>
      <c r="H1888">
        <v>1</v>
      </c>
      <c r="I1888">
        <v>635</v>
      </c>
      <c r="J1888">
        <v>1964</v>
      </c>
      <c r="K1888" s="4">
        <v>44663</v>
      </c>
      <c r="L1888" t="s">
        <v>23</v>
      </c>
      <c r="M1888" t="s">
        <v>56</v>
      </c>
      <c r="N1888">
        <v>1.84</v>
      </c>
      <c r="O1888">
        <v>1125</v>
      </c>
      <c r="P1888">
        <v>1.7</v>
      </c>
      <c r="Q1888">
        <v>49</v>
      </c>
      <c r="R1888">
        <v>503</v>
      </c>
    </row>
    <row r="1889" spans="1:18" hidden="1" x14ac:dyDescent="0.2">
      <c r="A1889">
        <v>1</v>
      </c>
      <c r="B1889" t="s">
        <v>25</v>
      </c>
      <c r="E1889" t="s">
        <v>29</v>
      </c>
      <c r="F1889">
        <v>2590358</v>
      </c>
      <c r="G1889">
        <v>3</v>
      </c>
      <c r="H1889">
        <v>3</v>
      </c>
      <c r="I1889">
        <v>986</v>
      </c>
      <c r="J1889">
        <v>1958</v>
      </c>
      <c r="K1889" s="4">
        <v>44807</v>
      </c>
      <c r="L1889" t="s">
        <v>23</v>
      </c>
      <c r="M1889" t="s">
        <v>76</v>
      </c>
      <c r="N1889">
        <v>3.37</v>
      </c>
      <c r="O1889">
        <v>1794</v>
      </c>
      <c r="P1889">
        <v>1.53</v>
      </c>
      <c r="Q1889">
        <v>178</v>
      </c>
      <c r="R1889">
        <v>449</v>
      </c>
    </row>
    <row r="1890" spans="1:18" x14ac:dyDescent="0.2">
      <c r="A1890">
        <v>8</v>
      </c>
      <c r="B1890" t="s">
        <v>44</v>
      </c>
      <c r="E1890" t="s">
        <v>19</v>
      </c>
      <c r="F1890">
        <v>1871325</v>
      </c>
      <c r="G1890">
        <v>3</v>
      </c>
      <c r="H1890">
        <v>3</v>
      </c>
      <c r="I1890">
        <v>593</v>
      </c>
      <c r="J1890">
        <v>1971</v>
      </c>
      <c r="K1890" s="4">
        <v>45031</v>
      </c>
      <c r="L1890" t="s">
        <v>23</v>
      </c>
      <c r="M1890" t="s">
        <v>69</v>
      </c>
      <c r="N1890">
        <v>1.62</v>
      </c>
      <c r="O1890">
        <v>1909</v>
      </c>
      <c r="P1890">
        <v>2.11</v>
      </c>
      <c r="Q1890">
        <v>130</v>
      </c>
      <c r="R1890">
        <v>614</v>
      </c>
    </row>
    <row r="1891" spans="1:18" hidden="1" x14ac:dyDescent="0.2">
      <c r="A1891">
        <v>9</v>
      </c>
      <c r="B1891" t="s">
        <v>48</v>
      </c>
      <c r="E1891" t="s">
        <v>36</v>
      </c>
      <c r="F1891">
        <v>1961630</v>
      </c>
      <c r="G1891">
        <v>3</v>
      </c>
      <c r="H1891">
        <v>1</v>
      </c>
      <c r="I1891">
        <v>331</v>
      </c>
      <c r="J1891">
        <v>1971</v>
      </c>
      <c r="K1891" s="4">
        <v>45516</v>
      </c>
      <c r="L1891" t="s">
        <v>26</v>
      </c>
      <c r="M1891" t="s">
        <v>58</v>
      </c>
      <c r="N1891">
        <v>3.28</v>
      </c>
      <c r="O1891">
        <v>1977</v>
      </c>
      <c r="P1891">
        <v>2.69</v>
      </c>
      <c r="Q1891">
        <v>183</v>
      </c>
      <c r="R1891">
        <v>622</v>
      </c>
    </row>
    <row r="1892" spans="1:18" hidden="1" x14ac:dyDescent="0.2">
      <c r="A1892">
        <v>9</v>
      </c>
      <c r="B1892" t="s">
        <v>106</v>
      </c>
      <c r="E1892" t="s">
        <v>36</v>
      </c>
      <c r="F1892">
        <v>1635361</v>
      </c>
      <c r="G1892">
        <v>2</v>
      </c>
      <c r="H1892">
        <v>1</v>
      </c>
      <c r="I1892">
        <v>120</v>
      </c>
      <c r="J1892">
        <v>2008</v>
      </c>
      <c r="K1892" s="4">
        <v>44647</v>
      </c>
      <c r="L1892" t="s">
        <v>23</v>
      </c>
      <c r="M1892" t="s">
        <v>21</v>
      </c>
      <c r="N1892">
        <v>2.11</v>
      </c>
      <c r="O1892">
        <v>910</v>
      </c>
      <c r="P1892">
        <v>1.28</v>
      </c>
      <c r="Q1892">
        <v>148</v>
      </c>
      <c r="R1892">
        <v>346</v>
      </c>
    </row>
    <row r="1893" spans="1:18" hidden="1" x14ac:dyDescent="0.2">
      <c r="A1893">
        <v>2</v>
      </c>
      <c r="B1893" t="s">
        <v>83</v>
      </c>
      <c r="E1893" t="s">
        <v>36</v>
      </c>
      <c r="F1893">
        <v>2631357</v>
      </c>
      <c r="G1893">
        <v>3</v>
      </c>
      <c r="H1893">
        <v>3</v>
      </c>
      <c r="I1893">
        <v>589</v>
      </c>
      <c r="J1893">
        <v>1972</v>
      </c>
      <c r="K1893" s="4">
        <v>45334</v>
      </c>
      <c r="L1893" t="s">
        <v>26</v>
      </c>
      <c r="M1893" t="s">
        <v>33</v>
      </c>
      <c r="N1893">
        <v>1.55</v>
      </c>
      <c r="O1893">
        <v>2231</v>
      </c>
      <c r="P1893">
        <v>2.41</v>
      </c>
      <c r="Q1893">
        <v>98</v>
      </c>
      <c r="R1893">
        <v>577</v>
      </c>
    </row>
    <row r="1894" spans="1:18" hidden="1" x14ac:dyDescent="0.2">
      <c r="A1894">
        <v>0</v>
      </c>
      <c r="B1894" t="s">
        <v>86</v>
      </c>
      <c r="E1894" t="s">
        <v>19</v>
      </c>
      <c r="F1894">
        <v>1727009</v>
      </c>
      <c r="G1894">
        <v>4</v>
      </c>
      <c r="H1894">
        <v>3</v>
      </c>
      <c r="I1894">
        <v>809</v>
      </c>
      <c r="J1894">
        <v>1989</v>
      </c>
      <c r="K1894" s="4">
        <v>44264</v>
      </c>
      <c r="L1894" t="s">
        <v>20</v>
      </c>
      <c r="M1894" t="s">
        <v>82</v>
      </c>
      <c r="N1894">
        <v>1.9</v>
      </c>
      <c r="O1894">
        <v>1769</v>
      </c>
      <c r="P1894">
        <v>1.27</v>
      </c>
      <c r="Q1894">
        <v>162</v>
      </c>
      <c r="R1894">
        <v>441</v>
      </c>
    </row>
    <row r="1895" spans="1:18" x14ac:dyDescent="0.2">
      <c r="A1895">
        <v>8</v>
      </c>
      <c r="B1895" t="s">
        <v>104</v>
      </c>
      <c r="E1895" t="s">
        <v>29</v>
      </c>
      <c r="F1895">
        <v>1790483</v>
      </c>
      <c r="G1895">
        <v>4</v>
      </c>
      <c r="H1895">
        <v>2</v>
      </c>
      <c r="I1895">
        <v>682</v>
      </c>
      <c r="J1895">
        <v>2007</v>
      </c>
      <c r="K1895" s="4">
        <v>44789</v>
      </c>
      <c r="L1895" t="s">
        <v>26</v>
      </c>
      <c r="M1895" t="s">
        <v>60</v>
      </c>
      <c r="N1895">
        <v>2.54</v>
      </c>
      <c r="O1895">
        <v>2285</v>
      </c>
      <c r="P1895">
        <v>2.71</v>
      </c>
      <c r="Q1895">
        <v>280</v>
      </c>
      <c r="R1895">
        <v>358</v>
      </c>
    </row>
    <row r="1896" spans="1:18" hidden="1" x14ac:dyDescent="0.2">
      <c r="A1896">
        <v>7</v>
      </c>
      <c r="B1896" t="s">
        <v>39</v>
      </c>
      <c r="E1896" t="s">
        <v>29</v>
      </c>
      <c r="F1896">
        <v>1669957</v>
      </c>
      <c r="G1896">
        <v>4</v>
      </c>
      <c r="H1896">
        <v>1</v>
      </c>
      <c r="I1896">
        <v>337</v>
      </c>
      <c r="J1896">
        <v>2018</v>
      </c>
      <c r="K1896" s="4">
        <v>44906</v>
      </c>
      <c r="L1896" t="s">
        <v>20</v>
      </c>
      <c r="M1896" t="s">
        <v>76</v>
      </c>
      <c r="N1896">
        <v>3.39</v>
      </c>
      <c r="O1896">
        <v>1844</v>
      </c>
      <c r="P1896">
        <v>4</v>
      </c>
      <c r="Q1896">
        <v>316</v>
      </c>
      <c r="R1896">
        <v>549</v>
      </c>
    </row>
    <row r="1897" spans="1:18" hidden="1" x14ac:dyDescent="0.2">
      <c r="A1897">
        <v>0</v>
      </c>
      <c r="B1897" t="s">
        <v>53</v>
      </c>
      <c r="E1897" t="s">
        <v>36</v>
      </c>
      <c r="F1897">
        <v>1644263</v>
      </c>
      <c r="G1897">
        <v>6</v>
      </c>
      <c r="H1897">
        <v>3</v>
      </c>
      <c r="I1897">
        <v>303</v>
      </c>
      <c r="J1897">
        <v>2019</v>
      </c>
      <c r="K1897" s="4">
        <v>45821</v>
      </c>
      <c r="L1897" t="s">
        <v>26</v>
      </c>
      <c r="M1897" t="s">
        <v>27</v>
      </c>
      <c r="N1897">
        <v>1.71</v>
      </c>
      <c r="O1897">
        <v>946</v>
      </c>
      <c r="P1897">
        <v>1.1100000000000001</v>
      </c>
      <c r="Q1897">
        <v>390</v>
      </c>
      <c r="R1897">
        <v>682</v>
      </c>
    </row>
    <row r="1898" spans="1:18" x14ac:dyDescent="0.2">
      <c r="A1898">
        <v>8</v>
      </c>
      <c r="B1898" t="s">
        <v>41</v>
      </c>
      <c r="E1898" t="s">
        <v>51</v>
      </c>
      <c r="F1898">
        <v>2036735</v>
      </c>
      <c r="G1898">
        <v>5</v>
      </c>
      <c r="H1898">
        <v>1</v>
      </c>
      <c r="I1898">
        <v>744</v>
      </c>
      <c r="J1898">
        <v>2021</v>
      </c>
      <c r="K1898" s="4">
        <v>44246</v>
      </c>
      <c r="L1898" t="s">
        <v>23</v>
      </c>
      <c r="M1898" t="s">
        <v>59</v>
      </c>
      <c r="N1898">
        <v>1.83</v>
      </c>
      <c r="O1898">
        <v>1719</v>
      </c>
      <c r="P1898">
        <v>3.83</v>
      </c>
      <c r="Q1898">
        <v>303</v>
      </c>
      <c r="R1898">
        <v>599</v>
      </c>
    </row>
    <row r="1899" spans="1:18" hidden="1" x14ac:dyDescent="0.2">
      <c r="A1899">
        <v>9</v>
      </c>
      <c r="B1899" t="s">
        <v>83</v>
      </c>
      <c r="E1899" t="s">
        <v>36</v>
      </c>
      <c r="F1899">
        <v>2967026</v>
      </c>
      <c r="G1899">
        <v>5</v>
      </c>
      <c r="H1899">
        <v>1</v>
      </c>
      <c r="I1899">
        <v>631</v>
      </c>
      <c r="J1899">
        <v>1973</v>
      </c>
      <c r="K1899" s="4">
        <v>45719</v>
      </c>
      <c r="L1899" t="s">
        <v>26</v>
      </c>
      <c r="M1899" t="s">
        <v>69</v>
      </c>
      <c r="N1899">
        <v>1.52</v>
      </c>
      <c r="O1899">
        <v>1100</v>
      </c>
      <c r="P1899">
        <v>0.23</v>
      </c>
      <c r="Q1899">
        <v>313</v>
      </c>
      <c r="R1899">
        <v>655</v>
      </c>
    </row>
    <row r="1900" spans="1:18" hidden="1" x14ac:dyDescent="0.2">
      <c r="A1900">
        <v>0</v>
      </c>
      <c r="B1900" t="s">
        <v>93</v>
      </c>
      <c r="E1900" t="s">
        <v>51</v>
      </c>
      <c r="F1900">
        <v>1202981</v>
      </c>
      <c r="G1900">
        <v>1</v>
      </c>
      <c r="H1900">
        <v>2</v>
      </c>
      <c r="I1900">
        <v>536</v>
      </c>
      <c r="J1900">
        <v>1977</v>
      </c>
      <c r="K1900" s="4">
        <v>45824</v>
      </c>
      <c r="L1900" t="s">
        <v>26</v>
      </c>
      <c r="M1900" t="s">
        <v>66</v>
      </c>
      <c r="N1900">
        <v>3.33</v>
      </c>
      <c r="O1900">
        <v>2441</v>
      </c>
      <c r="P1900">
        <v>3.89</v>
      </c>
      <c r="Q1900">
        <v>130</v>
      </c>
      <c r="R1900">
        <v>638</v>
      </c>
    </row>
    <row r="1901" spans="1:18" x14ac:dyDescent="0.2">
      <c r="A1901">
        <v>8</v>
      </c>
      <c r="B1901" t="s">
        <v>102</v>
      </c>
      <c r="E1901" t="s">
        <v>19</v>
      </c>
      <c r="F1901">
        <v>676095</v>
      </c>
      <c r="G1901">
        <v>2</v>
      </c>
      <c r="H1901">
        <v>1</v>
      </c>
      <c r="I1901">
        <v>514</v>
      </c>
      <c r="J1901">
        <v>1952</v>
      </c>
      <c r="K1901" s="4">
        <v>45888</v>
      </c>
      <c r="L1901" t="s">
        <v>30</v>
      </c>
      <c r="M1901" t="s">
        <v>68</v>
      </c>
      <c r="N1901">
        <v>2.58</v>
      </c>
      <c r="O1901">
        <v>1055</v>
      </c>
      <c r="P1901">
        <v>1.02</v>
      </c>
      <c r="Q1901">
        <v>196</v>
      </c>
      <c r="R1901">
        <v>456</v>
      </c>
    </row>
    <row r="1902" spans="1:18" hidden="1" x14ac:dyDescent="0.2">
      <c r="A1902">
        <v>7</v>
      </c>
      <c r="B1902" t="s">
        <v>32</v>
      </c>
      <c r="E1902" t="s">
        <v>19</v>
      </c>
      <c r="F1902">
        <v>1979991</v>
      </c>
      <c r="G1902">
        <v>4</v>
      </c>
      <c r="H1902">
        <v>1</v>
      </c>
      <c r="I1902">
        <v>360</v>
      </c>
      <c r="J1902">
        <v>2013</v>
      </c>
      <c r="K1902" s="4">
        <v>45097</v>
      </c>
      <c r="L1902" t="s">
        <v>20</v>
      </c>
      <c r="M1902" t="s">
        <v>56</v>
      </c>
      <c r="N1902">
        <v>1.65</v>
      </c>
      <c r="O1902">
        <v>931</v>
      </c>
      <c r="P1902">
        <v>0.57999999999999996</v>
      </c>
      <c r="Q1902">
        <v>238</v>
      </c>
      <c r="R1902">
        <v>502</v>
      </c>
    </row>
    <row r="1903" spans="1:18" hidden="1" x14ac:dyDescent="0.2">
      <c r="A1903">
        <v>5</v>
      </c>
      <c r="B1903" t="s">
        <v>39</v>
      </c>
      <c r="E1903" t="s">
        <v>36</v>
      </c>
      <c r="F1903">
        <v>716841</v>
      </c>
      <c r="G1903">
        <v>5</v>
      </c>
      <c r="H1903">
        <v>2</v>
      </c>
      <c r="I1903">
        <v>538</v>
      </c>
      <c r="J1903">
        <v>2009</v>
      </c>
      <c r="K1903" s="4">
        <v>45459</v>
      </c>
      <c r="L1903" t="s">
        <v>30</v>
      </c>
      <c r="M1903" t="s">
        <v>77</v>
      </c>
      <c r="N1903">
        <v>1.6</v>
      </c>
      <c r="O1903">
        <v>1225</v>
      </c>
      <c r="P1903">
        <v>1.68</v>
      </c>
      <c r="Q1903">
        <v>336</v>
      </c>
      <c r="R1903">
        <v>357</v>
      </c>
    </row>
    <row r="1904" spans="1:18" hidden="1" x14ac:dyDescent="0.2">
      <c r="A1904">
        <v>4</v>
      </c>
      <c r="B1904" t="s">
        <v>41</v>
      </c>
      <c r="E1904" t="s">
        <v>51</v>
      </c>
      <c r="F1904">
        <v>1583224</v>
      </c>
      <c r="G1904">
        <v>1</v>
      </c>
      <c r="H1904">
        <v>3</v>
      </c>
      <c r="I1904">
        <v>298</v>
      </c>
      <c r="J1904">
        <v>1964</v>
      </c>
      <c r="K1904" s="4">
        <v>45353</v>
      </c>
      <c r="L1904" t="s">
        <v>23</v>
      </c>
      <c r="M1904" t="s">
        <v>35</v>
      </c>
      <c r="N1904">
        <v>2.0499999999999998</v>
      </c>
      <c r="O1904">
        <v>1138</v>
      </c>
      <c r="P1904">
        <v>3.35</v>
      </c>
      <c r="Q1904">
        <v>140</v>
      </c>
      <c r="R1904">
        <v>611</v>
      </c>
    </row>
    <row r="1905" spans="1:18" x14ac:dyDescent="0.2">
      <c r="A1905">
        <v>8</v>
      </c>
      <c r="B1905" t="s">
        <v>98</v>
      </c>
      <c r="E1905" t="s">
        <v>29</v>
      </c>
      <c r="F1905">
        <v>2067542</v>
      </c>
      <c r="G1905">
        <v>3</v>
      </c>
      <c r="H1905">
        <v>1</v>
      </c>
      <c r="I1905">
        <v>720</v>
      </c>
      <c r="J1905">
        <v>1969</v>
      </c>
      <c r="K1905" s="4">
        <v>45143</v>
      </c>
      <c r="L1905" t="s">
        <v>20</v>
      </c>
      <c r="M1905" t="s">
        <v>27</v>
      </c>
      <c r="N1905">
        <v>2.54</v>
      </c>
      <c r="O1905">
        <v>1395</v>
      </c>
      <c r="P1905">
        <v>2.17</v>
      </c>
      <c r="Q1905">
        <v>99</v>
      </c>
      <c r="R1905">
        <v>601</v>
      </c>
    </row>
    <row r="1906" spans="1:18" hidden="1" x14ac:dyDescent="0.2">
      <c r="A1906">
        <v>9</v>
      </c>
      <c r="B1906" t="s">
        <v>83</v>
      </c>
      <c r="E1906" t="s">
        <v>19</v>
      </c>
      <c r="F1906">
        <v>1028868</v>
      </c>
      <c r="G1906">
        <v>6</v>
      </c>
      <c r="H1906">
        <v>3</v>
      </c>
      <c r="I1906">
        <v>652</v>
      </c>
      <c r="J1906">
        <v>1982</v>
      </c>
      <c r="K1906" s="4">
        <v>45687</v>
      </c>
      <c r="L1906" t="s">
        <v>26</v>
      </c>
      <c r="M1906" t="s">
        <v>33</v>
      </c>
      <c r="N1906">
        <v>2.94</v>
      </c>
      <c r="O1906">
        <v>2045</v>
      </c>
      <c r="P1906">
        <v>2.0499999999999998</v>
      </c>
      <c r="Q1906">
        <v>397</v>
      </c>
      <c r="R1906">
        <v>356</v>
      </c>
    </row>
    <row r="1907" spans="1:18" hidden="1" x14ac:dyDescent="0.2">
      <c r="A1907">
        <v>5</v>
      </c>
      <c r="B1907" t="s">
        <v>64</v>
      </c>
      <c r="E1907" t="s">
        <v>19</v>
      </c>
      <c r="F1907">
        <v>491108</v>
      </c>
      <c r="G1907">
        <v>5</v>
      </c>
      <c r="H1907">
        <v>1</v>
      </c>
      <c r="I1907">
        <v>604</v>
      </c>
      <c r="J1907">
        <v>2007</v>
      </c>
      <c r="K1907" s="4">
        <v>44735</v>
      </c>
      <c r="L1907" t="s">
        <v>30</v>
      </c>
      <c r="M1907" t="s">
        <v>24</v>
      </c>
      <c r="N1907">
        <v>2.4300000000000002</v>
      </c>
      <c r="O1907">
        <v>1561</v>
      </c>
      <c r="P1907">
        <v>2.17</v>
      </c>
      <c r="Q1907">
        <v>353</v>
      </c>
      <c r="R1907">
        <v>372</v>
      </c>
    </row>
    <row r="1908" spans="1:18" hidden="1" x14ac:dyDescent="0.2">
      <c r="A1908">
        <v>9</v>
      </c>
      <c r="B1908" t="s">
        <v>98</v>
      </c>
      <c r="E1908" t="s">
        <v>36</v>
      </c>
      <c r="F1908">
        <v>1457355</v>
      </c>
      <c r="G1908">
        <v>6</v>
      </c>
      <c r="H1908">
        <v>2</v>
      </c>
      <c r="I1908">
        <v>284</v>
      </c>
      <c r="J1908">
        <v>1962</v>
      </c>
      <c r="K1908" s="4">
        <v>44277</v>
      </c>
      <c r="L1908" t="s">
        <v>26</v>
      </c>
      <c r="M1908" t="s">
        <v>82</v>
      </c>
      <c r="N1908">
        <v>2.4500000000000002</v>
      </c>
      <c r="O1908">
        <v>2232</v>
      </c>
      <c r="P1908">
        <v>1.1100000000000001</v>
      </c>
      <c r="Q1908">
        <v>338</v>
      </c>
      <c r="R1908">
        <v>562</v>
      </c>
    </row>
    <row r="1909" spans="1:18" hidden="1" x14ac:dyDescent="0.2">
      <c r="A1909">
        <v>5</v>
      </c>
      <c r="B1909" t="s">
        <v>46</v>
      </c>
      <c r="E1909" t="s">
        <v>19</v>
      </c>
      <c r="F1909">
        <v>1968167</v>
      </c>
      <c r="G1909">
        <v>2</v>
      </c>
      <c r="H1909">
        <v>2</v>
      </c>
      <c r="I1909">
        <v>198</v>
      </c>
      <c r="J1909">
        <v>2018</v>
      </c>
      <c r="K1909" s="4">
        <v>45143</v>
      </c>
      <c r="L1909" t="s">
        <v>30</v>
      </c>
      <c r="M1909" t="s">
        <v>59</v>
      </c>
      <c r="N1909">
        <v>3.04</v>
      </c>
      <c r="O1909">
        <v>1038</v>
      </c>
      <c r="P1909">
        <v>0.99</v>
      </c>
      <c r="Q1909">
        <v>61</v>
      </c>
      <c r="R1909">
        <v>635</v>
      </c>
    </row>
    <row r="1910" spans="1:18" hidden="1" x14ac:dyDescent="0.2">
      <c r="A1910">
        <v>0</v>
      </c>
      <c r="B1910" t="s">
        <v>48</v>
      </c>
      <c r="E1910" t="s">
        <v>29</v>
      </c>
      <c r="F1910">
        <v>536891</v>
      </c>
      <c r="G1910">
        <v>4</v>
      </c>
      <c r="H1910">
        <v>3</v>
      </c>
      <c r="I1910">
        <v>62</v>
      </c>
      <c r="J1910">
        <v>1950</v>
      </c>
      <c r="K1910" s="4">
        <v>45014</v>
      </c>
      <c r="L1910" t="s">
        <v>26</v>
      </c>
      <c r="M1910" t="s">
        <v>37</v>
      </c>
      <c r="N1910">
        <v>2.88</v>
      </c>
      <c r="O1910">
        <v>2366</v>
      </c>
      <c r="P1910">
        <v>2.64</v>
      </c>
      <c r="Q1910">
        <v>192</v>
      </c>
      <c r="R1910">
        <v>368</v>
      </c>
    </row>
    <row r="1911" spans="1:18" hidden="1" x14ac:dyDescent="0.2">
      <c r="A1911">
        <v>5</v>
      </c>
      <c r="B1911" t="s">
        <v>72</v>
      </c>
      <c r="E1911" t="s">
        <v>36</v>
      </c>
      <c r="F1911">
        <v>2736800</v>
      </c>
      <c r="G1911">
        <v>5</v>
      </c>
      <c r="H1911">
        <v>3</v>
      </c>
      <c r="I1911">
        <v>714</v>
      </c>
      <c r="J1911">
        <v>2015</v>
      </c>
      <c r="K1911" s="4">
        <v>44172</v>
      </c>
      <c r="L1911" t="s">
        <v>20</v>
      </c>
      <c r="M1911" t="s">
        <v>82</v>
      </c>
      <c r="N1911">
        <v>1.72</v>
      </c>
      <c r="O1911">
        <v>2466</v>
      </c>
      <c r="P1911">
        <v>3.13</v>
      </c>
      <c r="Q1911">
        <v>297</v>
      </c>
      <c r="R1911">
        <v>561</v>
      </c>
    </row>
    <row r="1912" spans="1:18" hidden="1" x14ac:dyDescent="0.2">
      <c r="A1912">
        <v>3</v>
      </c>
      <c r="B1912" t="s">
        <v>83</v>
      </c>
      <c r="E1912" t="s">
        <v>36</v>
      </c>
      <c r="F1912">
        <v>2560151</v>
      </c>
      <c r="G1912">
        <v>4</v>
      </c>
      <c r="H1912">
        <v>3</v>
      </c>
      <c r="I1912">
        <v>492</v>
      </c>
      <c r="J1912">
        <v>1962</v>
      </c>
      <c r="K1912" s="4">
        <v>45231</v>
      </c>
      <c r="L1912" t="s">
        <v>20</v>
      </c>
      <c r="M1912" t="s">
        <v>47</v>
      </c>
      <c r="N1912">
        <v>3.02</v>
      </c>
      <c r="O1912">
        <v>1976</v>
      </c>
      <c r="P1912">
        <v>1.57</v>
      </c>
      <c r="Q1912">
        <v>204</v>
      </c>
      <c r="R1912">
        <v>659</v>
      </c>
    </row>
    <row r="1913" spans="1:18" hidden="1" x14ac:dyDescent="0.2">
      <c r="A1913">
        <v>0</v>
      </c>
      <c r="B1913" t="s">
        <v>18</v>
      </c>
      <c r="E1913" t="s">
        <v>36</v>
      </c>
      <c r="F1913">
        <v>762725</v>
      </c>
      <c r="G1913">
        <v>0</v>
      </c>
      <c r="H1913">
        <v>3</v>
      </c>
      <c r="I1913">
        <v>762</v>
      </c>
      <c r="J1913">
        <v>1974</v>
      </c>
      <c r="K1913" s="4">
        <v>45078</v>
      </c>
      <c r="L1913" t="s">
        <v>26</v>
      </c>
      <c r="M1913" t="s">
        <v>70</v>
      </c>
      <c r="N1913">
        <v>3.43</v>
      </c>
      <c r="O1913">
        <v>2057</v>
      </c>
      <c r="P1913">
        <v>2.8</v>
      </c>
      <c r="Q1913">
        <v>65</v>
      </c>
      <c r="R1913">
        <v>429</v>
      </c>
    </row>
    <row r="1914" spans="1:18" hidden="1" x14ac:dyDescent="0.2">
      <c r="A1914">
        <v>4</v>
      </c>
      <c r="B1914" t="s">
        <v>84</v>
      </c>
      <c r="E1914" t="s">
        <v>29</v>
      </c>
      <c r="F1914">
        <v>563061</v>
      </c>
      <c r="G1914">
        <v>4</v>
      </c>
      <c r="H1914">
        <v>1</v>
      </c>
      <c r="I1914">
        <v>79</v>
      </c>
      <c r="J1914">
        <v>2019</v>
      </c>
      <c r="K1914" s="4">
        <v>45045</v>
      </c>
      <c r="L1914" t="s">
        <v>20</v>
      </c>
      <c r="M1914" t="s">
        <v>60</v>
      </c>
      <c r="N1914">
        <v>3.49</v>
      </c>
      <c r="O1914">
        <v>2471</v>
      </c>
      <c r="P1914">
        <v>4.9400000000000004</v>
      </c>
      <c r="Q1914">
        <v>319</v>
      </c>
      <c r="R1914">
        <v>654</v>
      </c>
    </row>
    <row r="1915" spans="1:18" hidden="1" x14ac:dyDescent="0.2">
      <c r="A1915">
        <v>0</v>
      </c>
      <c r="B1915" t="s">
        <v>100</v>
      </c>
      <c r="E1915" t="s">
        <v>36</v>
      </c>
      <c r="F1915">
        <v>1201827</v>
      </c>
      <c r="G1915">
        <v>3</v>
      </c>
      <c r="H1915">
        <v>3</v>
      </c>
      <c r="I1915">
        <v>122</v>
      </c>
      <c r="J1915">
        <v>1999</v>
      </c>
      <c r="K1915" s="4">
        <v>44344</v>
      </c>
      <c r="L1915" t="s">
        <v>23</v>
      </c>
      <c r="M1915" t="s">
        <v>54</v>
      </c>
      <c r="N1915">
        <v>1.59</v>
      </c>
      <c r="O1915">
        <v>1853</v>
      </c>
      <c r="P1915">
        <v>3.59</v>
      </c>
      <c r="Q1915">
        <v>312</v>
      </c>
      <c r="R1915">
        <v>318</v>
      </c>
    </row>
    <row r="1916" spans="1:18" hidden="1" x14ac:dyDescent="0.2">
      <c r="A1916">
        <v>4</v>
      </c>
      <c r="B1916" t="s">
        <v>18</v>
      </c>
      <c r="E1916" t="s">
        <v>36</v>
      </c>
      <c r="F1916">
        <v>550502</v>
      </c>
      <c r="G1916">
        <v>3</v>
      </c>
      <c r="H1916">
        <v>1</v>
      </c>
      <c r="I1916">
        <v>644</v>
      </c>
      <c r="J1916">
        <v>1967</v>
      </c>
      <c r="K1916" s="4">
        <v>45043</v>
      </c>
      <c r="L1916" t="s">
        <v>26</v>
      </c>
      <c r="M1916" t="s">
        <v>70</v>
      </c>
      <c r="N1916">
        <v>3.45</v>
      </c>
      <c r="O1916">
        <v>1919</v>
      </c>
      <c r="P1916">
        <v>4.0999999999999996</v>
      </c>
      <c r="Q1916">
        <v>274</v>
      </c>
      <c r="R1916">
        <v>538</v>
      </c>
    </row>
    <row r="1917" spans="1:18" hidden="1" x14ac:dyDescent="0.2">
      <c r="A1917">
        <v>2</v>
      </c>
      <c r="B1917" t="s">
        <v>28</v>
      </c>
      <c r="E1917" t="s">
        <v>36</v>
      </c>
      <c r="F1917">
        <v>2971137</v>
      </c>
      <c r="G1917">
        <v>3</v>
      </c>
      <c r="H1917">
        <v>1</v>
      </c>
      <c r="I1917">
        <v>392</v>
      </c>
      <c r="J1917">
        <v>1962</v>
      </c>
      <c r="K1917" s="4">
        <v>44586</v>
      </c>
      <c r="L1917" t="s">
        <v>20</v>
      </c>
      <c r="M1917" t="s">
        <v>27</v>
      </c>
      <c r="N1917">
        <v>1.8</v>
      </c>
      <c r="O1917">
        <v>2019</v>
      </c>
      <c r="P1917">
        <v>0.49</v>
      </c>
      <c r="Q1917">
        <v>94</v>
      </c>
      <c r="R1917">
        <v>359</v>
      </c>
    </row>
    <row r="1918" spans="1:18" hidden="1" x14ac:dyDescent="0.2">
      <c r="A1918">
        <v>6</v>
      </c>
      <c r="B1918" t="s">
        <v>65</v>
      </c>
      <c r="E1918" t="s">
        <v>29</v>
      </c>
      <c r="F1918">
        <v>1651730</v>
      </c>
      <c r="G1918">
        <v>0</v>
      </c>
      <c r="H1918">
        <v>2</v>
      </c>
      <c r="I1918">
        <v>968</v>
      </c>
      <c r="J1918">
        <v>1994</v>
      </c>
      <c r="K1918" s="4">
        <v>45135</v>
      </c>
      <c r="L1918" t="s">
        <v>20</v>
      </c>
      <c r="M1918" t="s">
        <v>66</v>
      </c>
      <c r="N1918">
        <v>3.29</v>
      </c>
      <c r="O1918">
        <v>1560</v>
      </c>
      <c r="P1918">
        <v>2.29</v>
      </c>
      <c r="Q1918">
        <v>72</v>
      </c>
      <c r="R1918">
        <v>642</v>
      </c>
    </row>
    <row r="1919" spans="1:18" hidden="1" x14ac:dyDescent="0.2">
      <c r="A1919">
        <v>9</v>
      </c>
      <c r="B1919" t="s">
        <v>43</v>
      </c>
      <c r="E1919" t="s">
        <v>36</v>
      </c>
      <c r="F1919">
        <v>2600449</v>
      </c>
      <c r="G1919">
        <v>4</v>
      </c>
      <c r="H1919">
        <v>3</v>
      </c>
      <c r="I1919">
        <v>51</v>
      </c>
      <c r="J1919">
        <v>1974</v>
      </c>
      <c r="K1919" s="4">
        <v>45439</v>
      </c>
      <c r="L1919" t="s">
        <v>30</v>
      </c>
      <c r="M1919" t="s">
        <v>82</v>
      </c>
      <c r="N1919">
        <v>2.0099999999999998</v>
      </c>
      <c r="O1919">
        <v>1835</v>
      </c>
      <c r="P1919">
        <v>1.22</v>
      </c>
      <c r="Q1919">
        <v>195</v>
      </c>
      <c r="R1919">
        <v>416</v>
      </c>
    </row>
    <row r="1920" spans="1:18" hidden="1" x14ac:dyDescent="0.2">
      <c r="A1920">
        <v>1</v>
      </c>
      <c r="B1920" t="s">
        <v>57</v>
      </c>
      <c r="E1920" t="s">
        <v>29</v>
      </c>
      <c r="F1920">
        <v>765503</v>
      </c>
      <c r="G1920">
        <v>2</v>
      </c>
      <c r="H1920">
        <v>3</v>
      </c>
      <c r="I1920">
        <v>621</v>
      </c>
      <c r="J1920">
        <v>1965</v>
      </c>
      <c r="K1920" s="4">
        <v>44489</v>
      </c>
      <c r="L1920" t="s">
        <v>30</v>
      </c>
      <c r="M1920" t="s">
        <v>24</v>
      </c>
      <c r="N1920">
        <v>1.5</v>
      </c>
      <c r="O1920">
        <v>2351</v>
      </c>
      <c r="P1920">
        <v>4.49</v>
      </c>
      <c r="Q1920">
        <v>148</v>
      </c>
      <c r="R1920">
        <v>526</v>
      </c>
    </row>
    <row r="1921" spans="1:18" hidden="1" x14ac:dyDescent="0.2">
      <c r="A1921">
        <v>7</v>
      </c>
      <c r="B1921" t="s">
        <v>96</v>
      </c>
      <c r="E1921" t="s">
        <v>51</v>
      </c>
      <c r="F1921">
        <v>440751</v>
      </c>
      <c r="G1921">
        <v>5</v>
      </c>
      <c r="H1921">
        <v>1</v>
      </c>
      <c r="I1921">
        <v>859</v>
      </c>
      <c r="J1921">
        <v>1980</v>
      </c>
      <c r="K1921" s="4">
        <v>45883</v>
      </c>
      <c r="L1921" t="s">
        <v>20</v>
      </c>
      <c r="M1921" t="s">
        <v>77</v>
      </c>
      <c r="N1921">
        <v>3.37</v>
      </c>
      <c r="O1921">
        <v>1165</v>
      </c>
      <c r="P1921">
        <v>4.01</v>
      </c>
      <c r="Q1921">
        <v>331</v>
      </c>
      <c r="R1921">
        <v>320</v>
      </c>
    </row>
    <row r="1922" spans="1:18" x14ac:dyDescent="0.2">
      <c r="A1922">
        <v>8</v>
      </c>
      <c r="B1922" t="s">
        <v>102</v>
      </c>
      <c r="E1922" t="s">
        <v>51</v>
      </c>
      <c r="F1922">
        <v>1077045</v>
      </c>
      <c r="G1922">
        <v>3</v>
      </c>
      <c r="H1922">
        <v>3</v>
      </c>
      <c r="I1922">
        <v>222</v>
      </c>
      <c r="J1922">
        <v>1993</v>
      </c>
      <c r="K1922" s="4">
        <v>44572</v>
      </c>
      <c r="L1922" t="s">
        <v>30</v>
      </c>
      <c r="M1922" t="s">
        <v>58</v>
      </c>
      <c r="N1922">
        <v>2.97</v>
      </c>
      <c r="O1922">
        <v>2270</v>
      </c>
      <c r="P1922">
        <v>4.75</v>
      </c>
      <c r="Q1922">
        <v>216</v>
      </c>
      <c r="R1922">
        <v>573</v>
      </c>
    </row>
    <row r="1923" spans="1:18" hidden="1" x14ac:dyDescent="0.2">
      <c r="A1923">
        <v>9</v>
      </c>
      <c r="B1923" t="s">
        <v>67</v>
      </c>
      <c r="E1923" t="s">
        <v>51</v>
      </c>
      <c r="F1923">
        <v>1573754</v>
      </c>
      <c r="G1923">
        <v>2</v>
      </c>
      <c r="H1923">
        <v>1</v>
      </c>
      <c r="I1923">
        <v>189</v>
      </c>
      <c r="J1923">
        <v>2002</v>
      </c>
      <c r="K1923" s="4">
        <v>44465</v>
      </c>
      <c r="L1923" t="s">
        <v>23</v>
      </c>
      <c r="M1923" t="s">
        <v>78</v>
      </c>
      <c r="N1923">
        <v>1.7</v>
      </c>
      <c r="O1923">
        <v>1099</v>
      </c>
      <c r="P1923">
        <v>3.87</v>
      </c>
      <c r="Q1923">
        <v>113</v>
      </c>
      <c r="R1923">
        <v>519</v>
      </c>
    </row>
    <row r="1924" spans="1:18" hidden="1" x14ac:dyDescent="0.2">
      <c r="A1924">
        <v>4</v>
      </c>
      <c r="B1924" t="s">
        <v>90</v>
      </c>
      <c r="E1924" t="s">
        <v>51</v>
      </c>
      <c r="F1924">
        <v>2820433</v>
      </c>
      <c r="G1924">
        <v>2</v>
      </c>
      <c r="H1924">
        <v>1</v>
      </c>
      <c r="I1924">
        <v>278</v>
      </c>
      <c r="J1924">
        <v>1964</v>
      </c>
      <c r="K1924" s="4">
        <v>45887</v>
      </c>
      <c r="L1924" t="s">
        <v>30</v>
      </c>
      <c r="M1924" t="s">
        <v>60</v>
      </c>
      <c r="N1924">
        <v>2.0699999999999998</v>
      </c>
      <c r="O1924">
        <v>1837</v>
      </c>
      <c r="P1924">
        <v>1.66</v>
      </c>
      <c r="Q1924">
        <v>110</v>
      </c>
      <c r="R1924">
        <v>348</v>
      </c>
    </row>
    <row r="1925" spans="1:18" hidden="1" x14ac:dyDescent="0.2">
      <c r="A1925">
        <v>9</v>
      </c>
      <c r="B1925" t="s">
        <v>94</v>
      </c>
      <c r="E1925" t="s">
        <v>51</v>
      </c>
      <c r="F1925">
        <v>913185</v>
      </c>
      <c r="G1925">
        <v>3</v>
      </c>
      <c r="H1925">
        <v>3</v>
      </c>
      <c r="I1925">
        <v>880</v>
      </c>
      <c r="J1925">
        <v>1962</v>
      </c>
      <c r="K1925" s="4">
        <v>45253</v>
      </c>
      <c r="L1925" t="s">
        <v>20</v>
      </c>
      <c r="M1925" t="s">
        <v>40</v>
      </c>
      <c r="N1925">
        <v>3.45</v>
      </c>
      <c r="O1925">
        <v>1430</v>
      </c>
      <c r="P1925">
        <v>4.66</v>
      </c>
      <c r="Q1925">
        <v>253</v>
      </c>
      <c r="R1925">
        <v>422</v>
      </c>
    </row>
    <row r="1926" spans="1:18" hidden="1" x14ac:dyDescent="0.2">
      <c r="A1926">
        <v>2</v>
      </c>
      <c r="B1926" t="s">
        <v>22</v>
      </c>
      <c r="E1926" t="s">
        <v>36</v>
      </c>
      <c r="F1926">
        <v>2072009</v>
      </c>
      <c r="G1926">
        <v>6</v>
      </c>
      <c r="H1926">
        <v>3</v>
      </c>
      <c r="I1926">
        <v>901</v>
      </c>
      <c r="J1926">
        <v>2022</v>
      </c>
      <c r="K1926" s="4">
        <v>44558</v>
      </c>
      <c r="L1926" t="s">
        <v>26</v>
      </c>
      <c r="M1926" t="s">
        <v>12</v>
      </c>
      <c r="N1926">
        <v>1.84</v>
      </c>
      <c r="O1926">
        <v>906</v>
      </c>
      <c r="P1926">
        <v>4.95</v>
      </c>
      <c r="Q1926">
        <v>369</v>
      </c>
      <c r="R1926">
        <v>305</v>
      </c>
    </row>
    <row r="1927" spans="1:18" hidden="1" x14ac:dyDescent="0.2">
      <c r="A1927">
        <v>6</v>
      </c>
      <c r="B1927" t="s">
        <v>73</v>
      </c>
      <c r="E1927" t="s">
        <v>51</v>
      </c>
      <c r="F1927">
        <v>2087382</v>
      </c>
      <c r="G1927">
        <v>4</v>
      </c>
      <c r="H1927">
        <v>2</v>
      </c>
      <c r="I1927">
        <v>465</v>
      </c>
      <c r="J1927">
        <v>1959</v>
      </c>
      <c r="K1927" s="4">
        <v>44912</v>
      </c>
      <c r="L1927" t="s">
        <v>26</v>
      </c>
      <c r="M1927" t="s">
        <v>54</v>
      </c>
      <c r="N1927">
        <v>2</v>
      </c>
      <c r="O1927">
        <v>1500</v>
      </c>
      <c r="P1927">
        <v>4.79</v>
      </c>
      <c r="Q1927">
        <v>352</v>
      </c>
      <c r="R1927">
        <v>622</v>
      </c>
    </row>
    <row r="1928" spans="1:18" hidden="1" x14ac:dyDescent="0.2">
      <c r="A1928">
        <v>2</v>
      </c>
      <c r="B1928" t="s">
        <v>22</v>
      </c>
      <c r="E1928" t="s">
        <v>36</v>
      </c>
      <c r="F1928">
        <v>641596</v>
      </c>
      <c r="G1928">
        <v>1</v>
      </c>
      <c r="H1928">
        <v>3</v>
      </c>
      <c r="I1928">
        <v>484</v>
      </c>
      <c r="J1928">
        <v>1969</v>
      </c>
      <c r="K1928" s="4">
        <v>44888</v>
      </c>
      <c r="L1928" t="s">
        <v>23</v>
      </c>
      <c r="M1928" t="s">
        <v>42</v>
      </c>
      <c r="N1928">
        <v>2.75</v>
      </c>
      <c r="O1928">
        <v>1256</v>
      </c>
      <c r="P1928">
        <v>2.25</v>
      </c>
      <c r="Q1928">
        <v>83</v>
      </c>
      <c r="R1928">
        <v>444</v>
      </c>
    </row>
    <row r="1929" spans="1:18" hidden="1" x14ac:dyDescent="0.2">
      <c r="A1929">
        <v>0</v>
      </c>
      <c r="B1929" t="s">
        <v>22</v>
      </c>
      <c r="E1929" t="s">
        <v>19</v>
      </c>
      <c r="F1929">
        <v>2351935</v>
      </c>
      <c r="G1929">
        <v>5</v>
      </c>
      <c r="H1929">
        <v>3</v>
      </c>
      <c r="I1929">
        <v>512</v>
      </c>
      <c r="J1929">
        <v>2004</v>
      </c>
      <c r="K1929" s="4">
        <v>44367</v>
      </c>
      <c r="L1929" t="s">
        <v>23</v>
      </c>
      <c r="M1929" t="s">
        <v>82</v>
      </c>
      <c r="N1929">
        <v>3.44</v>
      </c>
      <c r="O1929">
        <v>1027</v>
      </c>
      <c r="P1929">
        <v>3.26</v>
      </c>
      <c r="Q1929">
        <v>245</v>
      </c>
      <c r="R1929">
        <v>468</v>
      </c>
    </row>
    <row r="1930" spans="1:18" hidden="1" x14ac:dyDescent="0.2">
      <c r="A1930">
        <v>2</v>
      </c>
      <c r="B1930" t="s">
        <v>32</v>
      </c>
      <c r="E1930" t="s">
        <v>29</v>
      </c>
      <c r="F1930">
        <v>1584929</v>
      </c>
      <c r="G1930">
        <v>3</v>
      </c>
      <c r="H1930">
        <v>1</v>
      </c>
      <c r="I1930">
        <v>443</v>
      </c>
      <c r="J1930">
        <v>1996</v>
      </c>
      <c r="K1930" s="4">
        <v>45645</v>
      </c>
      <c r="L1930" t="s">
        <v>30</v>
      </c>
      <c r="M1930" t="s">
        <v>97</v>
      </c>
      <c r="N1930">
        <v>1.76</v>
      </c>
      <c r="O1930">
        <v>2299</v>
      </c>
      <c r="P1930">
        <v>4.1500000000000004</v>
      </c>
      <c r="Q1930">
        <v>256</v>
      </c>
      <c r="R1930">
        <v>523</v>
      </c>
    </row>
    <row r="1931" spans="1:18" hidden="1" x14ac:dyDescent="0.2">
      <c r="A1931">
        <v>9</v>
      </c>
      <c r="B1931" t="s">
        <v>25</v>
      </c>
      <c r="E1931" t="s">
        <v>19</v>
      </c>
      <c r="F1931">
        <v>742763</v>
      </c>
      <c r="G1931">
        <v>0</v>
      </c>
      <c r="H1931">
        <v>3</v>
      </c>
      <c r="I1931">
        <v>266</v>
      </c>
      <c r="J1931">
        <v>1984</v>
      </c>
      <c r="K1931" s="4">
        <v>44585</v>
      </c>
      <c r="L1931" t="s">
        <v>23</v>
      </c>
      <c r="M1931" t="s">
        <v>40</v>
      </c>
      <c r="N1931">
        <v>2.5299999999999998</v>
      </c>
      <c r="O1931">
        <v>1050</v>
      </c>
      <c r="P1931">
        <v>0.51</v>
      </c>
      <c r="Q1931">
        <v>70</v>
      </c>
      <c r="R1931">
        <v>635</v>
      </c>
    </row>
    <row r="1932" spans="1:18" hidden="1" x14ac:dyDescent="0.2">
      <c r="A1932">
        <v>2</v>
      </c>
      <c r="B1932" t="s">
        <v>95</v>
      </c>
      <c r="E1932" t="s">
        <v>19</v>
      </c>
      <c r="F1932">
        <v>2515174</v>
      </c>
      <c r="G1932">
        <v>4</v>
      </c>
      <c r="H1932">
        <v>1</v>
      </c>
      <c r="I1932">
        <v>896</v>
      </c>
      <c r="J1932">
        <v>1981</v>
      </c>
      <c r="K1932" s="4">
        <v>45822</v>
      </c>
      <c r="L1932" t="s">
        <v>26</v>
      </c>
      <c r="M1932" t="s">
        <v>59</v>
      </c>
      <c r="N1932">
        <v>3.41</v>
      </c>
      <c r="O1932">
        <v>1026</v>
      </c>
      <c r="P1932">
        <v>2.12</v>
      </c>
      <c r="Q1932">
        <v>174</v>
      </c>
      <c r="R1932">
        <v>544</v>
      </c>
    </row>
    <row r="1933" spans="1:18" hidden="1" x14ac:dyDescent="0.2">
      <c r="A1933">
        <v>1</v>
      </c>
      <c r="B1933" t="s">
        <v>102</v>
      </c>
      <c r="E1933" t="s">
        <v>36</v>
      </c>
      <c r="F1933">
        <v>1085324</v>
      </c>
      <c r="G1933">
        <v>5</v>
      </c>
      <c r="H1933">
        <v>2</v>
      </c>
      <c r="I1933">
        <v>119</v>
      </c>
      <c r="J1933">
        <v>1956</v>
      </c>
      <c r="K1933" s="4">
        <v>45450</v>
      </c>
      <c r="L1933" t="s">
        <v>26</v>
      </c>
      <c r="M1933" t="s">
        <v>33</v>
      </c>
      <c r="N1933">
        <v>2.12</v>
      </c>
      <c r="O1933">
        <v>2436</v>
      </c>
      <c r="P1933">
        <v>3.16</v>
      </c>
      <c r="Q1933">
        <v>262</v>
      </c>
      <c r="R1933">
        <v>649</v>
      </c>
    </row>
    <row r="1934" spans="1:18" hidden="1" x14ac:dyDescent="0.2">
      <c r="A1934">
        <v>4</v>
      </c>
      <c r="B1934" t="s">
        <v>34</v>
      </c>
      <c r="E1934" t="s">
        <v>36</v>
      </c>
      <c r="F1934">
        <v>2786894</v>
      </c>
      <c r="G1934">
        <v>4</v>
      </c>
      <c r="H1934">
        <v>2</v>
      </c>
      <c r="I1934">
        <v>850</v>
      </c>
      <c r="J1934">
        <v>1996</v>
      </c>
      <c r="K1934" s="4">
        <v>44948</v>
      </c>
      <c r="L1934" t="s">
        <v>20</v>
      </c>
      <c r="M1934" t="s">
        <v>82</v>
      </c>
      <c r="N1934">
        <v>1.63</v>
      </c>
      <c r="O1934">
        <v>911</v>
      </c>
      <c r="P1934">
        <v>0.47</v>
      </c>
      <c r="Q1934">
        <v>231</v>
      </c>
      <c r="R1934">
        <v>627</v>
      </c>
    </row>
    <row r="1935" spans="1:18" hidden="1" x14ac:dyDescent="0.2">
      <c r="A1935">
        <v>9</v>
      </c>
      <c r="B1935" t="s">
        <v>73</v>
      </c>
      <c r="E1935" t="s">
        <v>29</v>
      </c>
      <c r="F1935">
        <v>1312695</v>
      </c>
      <c r="G1935">
        <v>2</v>
      </c>
      <c r="H1935">
        <v>1</v>
      </c>
      <c r="I1935">
        <v>979</v>
      </c>
      <c r="J1935">
        <v>1989</v>
      </c>
      <c r="K1935" s="4">
        <v>45109</v>
      </c>
      <c r="L1935" t="s">
        <v>30</v>
      </c>
      <c r="M1935" t="s">
        <v>60</v>
      </c>
      <c r="N1935">
        <v>3.24</v>
      </c>
      <c r="O1935">
        <v>2068</v>
      </c>
      <c r="P1935">
        <v>3.53</v>
      </c>
      <c r="Q1935">
        <v>128</v>
      </c>
      <c r="R1935">
        <v>467</v>
      </c>
    </row>
    <row r="1936" spans="1:18" hidden="1" x14ac:dyDescent="0.2">
      <c r="A1936">
        <v>7</v>
      </c>
      <c r="B1936" t="s">
        <v>32</v>
      </c>
      <c r="E1936" t="s">
        <v>36</v>
      </c>
      <c r="F1936">
        <v>1704076</v>
      </c>
      <c r="G1936">
        <v>6</v>
      </c>
      <c r="H1936">
        <v>1</v>
      </c>
      <c r="I1936">
        <v>919</v>
      </c>
      <c r="J1936">
        <v>2010</v>
      </c>
      <c r="K1936" s="4">
        <v>45086</v>
      </c>
      <c r="L1936" t="s">
        <v>30</v>
      </c>
      <c r="M1936" t="s">
        <v>82</v>
      </c>
      <c r="N1936">
        <v>2.4500000000000002</v>
      </c>
      <c r="O1936">
        <v>2267</v>
      </c>
      <c r="P1936">
        <v>0.82</v>
      </c>
      <c r="Q1936">
        <v>371</v>
      </c>
      <c r="R1936">
        <v>689</v>
      </c>
    </row>
    <row r="1937" spans="1:18" hidden="1" x14ac:dyDescent="0.2">
      <c r="A1937">
        <v>6</v>
      </c>
      <c r="B1937" t="s">
        <v>64</v>
      </c>
      <c r="E1937" t="s">
        <v>19</v>
      </c>
      <c r="F1937">
        <v>2389598</v>
      </c>
      <c r="G1937">
        <v>3</v>
      </c>
      <c r="H1937">
        <v>1</v>
      </c>
      <c r="I1937">
        <v>831</v>
      </c>
      <c r="J1937">
        <v>1970</v>
      </c>
      <c r="K1937" s="4">
        <v>44448</v>
      </c>
      <c r="L1937" t="s">
        <v>23</v>
      </c>
      <c r="M1937" t="s">
        <v>42</v>
      </c>
      <c r="N1937">
        <v>2.13</v>
      </c>
      <c r="O1937">
        <v>1054</v>
      </c>
      <c r="P1937">
        <v>3.16</v>
      </c>
      <c r="Q1937">
        <v>285</v>
      </c>
      <c r="R1937">
        <v>331</v>
      </c>
    </row>
    <row r="1938" spans="1:18" hidden="1" x14ac:dyDescent="0.2">
      <c r="A1938">
        <v>6</v>
      </c>
      <c r="B1938" t="s">
        <v>84</v>
      </c>
      <c r="E1938" t="s">
        <v>51</v>
      </c>
      <c r="F1938">
        <v>1982282</v>
      </c>
      <c r="G1938">
        <v>4</v>
      </c>
      <c r="H1938">
        <v>3</v>
      </c>
      <c r="I1938">
        <v>883</v>
      </c>
      <c r="J1938">
        <v>1957</v>
      </c>
      <c r="K1938" s="4">
        <v>44314</v>
      </c>
      <c r="L1938" t="s">
        <v>30</v>
      </c>
      <c r="M1938" t="s">
        <v>60</v>
      </c>
      <c r="N1938">
        <v>2.86</v>
      </c>
      <c r="O1938">
        <v>1111</v>
      </c>
      <c r="P1938">
        <v>4.6900000000000004</v>
      </c>
      <c r="Q1938">
        <v>297</v>
      </c>
      <c r="R1938">
        <v>351</v>
      </c>
    </row>
    <row r="1939" spans="1:18" hidden="1" x14ac:dyDescent="0.2">
      <c r="A1939">
        <v>7</v>
      </c>
      <c r="B1939" t="s">
        <v>65</v>
      </c>
      <c r="E1939" t="s">
        <v>19</v>
      </c>
      <c r="F1939">
        <v>1998748</v>
      </c>
      <c r="G1939">
        <v>6</v>
      </c>
      <c r="H1939">
        <v>1</v>
      </c>
      <c r="I1939">
        <v>269</v>
      </c>
      <c r="J1939">
        <v>1962</v>
      </c>
      <c r="K1939" s="4">
        <v>44322</v>
      </c>
      <c r="L1939" t="s">
        <v>30</v>
      </c>
      <c r="M1939" t="s">
        <v>52</v>
      </c>
      <c r="N1939">
        <v>3.15</v>
      </c>
      <c r="O1939">
        <v>1972</v>
      </c>
      <c r="P1939">
        <v>2.61</v>
      </c>
      <c r="Q1939">
        <v>370</v>
      </c>
      <c r="R1939">
        <v>541</v>
      </c>
    </row>
    <row r="1940" spans="1:18" hidden="1" x14ac:dyDescent="0.2">
      <c r="A1940">
        <v>1</v>
      </c>
      <c r="B1940" t="s">
        <v>73</v>
      </c>
      <c r="E1940" t="s">
        <v>19</v>
      </c>
      <c r="F1940">
        <v>2058125</v>
      </c>
      <c r="G1940">
        <v>6</v>
      </c>
      <c r="H1940">
        <v>3</v>
      </c>
      <c r="I1940">
        <v>474</v>
      </c>
      <c r="J1940">
        <v>1998</v>
      </c>
      <c r="K1940" s="4">
        <v>44354</v>
      </c>
      <c r="L1940" t="s">
        <v>26</v>
      </c>
      <c r="M1940" t="s">
        <v>89</v>
      </c>
      <c r="N1940">
        <v>2.21</v>
      </c>
      <c r="O1940">
        <v>1439</v>
      </c>
      <c r="P1940">
        <v>0.56000000000000005</v>
      </c>
      <c r="Q1940">
        <v>386</v>
      </c>
      <c r="R1940">
        <v>571</v>
      </c>
    </row>
    <row r="1941" spans="1:18" hidden="1" x14ac:dyDescent="0.2">
      <c r="A1941">
        <v>7</v>
      </c>
      <c r="B1941" t="s">
        <v>91</v>
      </c>
      <c r="E1941" t="s">
        <v>51</v>
      </c>
      <c r="F1941">
        <v>1164175</v>
      </c>
      <c r="G1941">
        <v>4</v>
      </c>
      <c r="H1941">
        <v>2</v>
      </c>
      <c r="I1941">
        <v>615</v>
      </c>
      <c r="J1941">
        <v>1984</v>
      </c>
      <c r="K1941" s="4">
        <v>45086</v>
      </c>
      <c r="L1941" t="s">
        <v>20</v>
      </c>
      <c r="M1941" t="s">
        <v>89</v>
      </c>
      <c r="N1941">
        <v>3.32</v>
      </c>
      <c r="O1941">
        <v>2457</v>
      </c>
      <c r="P1941">
        <v>0.24</v>
      </c>
      <c r="Q1941">
        <v>220</v>
      </c>
      <c r="R1941">
        <v>410</v>
      </c>
    </row>
    <row r="1942" spans="1:18" hidden="1" x14ac:dyDescent="0.2">
      <c r="A1942">
        <v>0</v>
      </c>
      <c r="B1942" t="s">
        <v>92</v>
      </c>
      <c r="E1942" t="s">
        <v>51</v>
      </c>
      <c r="F1942">
        <v>2744725</v>
      </c>
      <c r="G1942">
        <v>4</v>
      </c>
      <c r="H1942">
        <v>2</v>
      </c>
      <c r="I1942">
        <v>399</v>
      </c>
      <c r="J1942">
        <v>1980</v>
      </c>
      <c r="K1942" s="4">
        <v>44297</v>
      </c>
      <c r="L1942" t="s">
        <v>23</v>
      </c>
      <c r="M1942" t="s">
        <v>69</v>
      </c>
      <c r="N1942">
        <v>3.49</v>
      </c>
      <c r="O1942">
        <v>802</v>
      </c>
      <c r="P1942">
        <v>1.19</v>
      </c>
      <c r="Q1942">
        <v>175</v>
      </c>
      <c r="R1942">
        <v>672</v>
      </c>
    </row>
    <row r="1943" spans="1:18" x14ac:dyDescent="0.2">
      <c r="A1943">
        <v>8</v>
      </c>
      <c r="B1943" t="s">
        <v>46</v>
      </c>
      <c r="E1943" t="s">
        <v>29</v>
      </c>
      <c r="F1943">
        <v>1939693</v>
      </c>
      <c r="G1943">
        <v>4</v>
      </c>
      <c r="H1943">
        <v>1</v>
      </c>
      <c r="I1943">
        <v>223</v>
      </c>
      <c r="J1943">
        <v>1993</v>
      </c>
      <c r="K1943" s="4">
        <v>45421</v>
      </c>
      <c r="L1943" t="s">
        <v>30</v>
      </c>
      <c r="M1943" t="s">
        <v>40</v>
      </c>
      <c r="N1943">
        <v>3.19</v>
      </c>
      <c r="O1943">
        <v>1363</v>
      </c>
      <c r="P1943">
        <v>1.02</v>
      </c>
      <c r="Q1943">
        <v>396</v>
      </c>
      <c r="R1943">
        <v>448</v>
      </c>
    </row>
    <row r="1944" spans="1:18" hidden="1" x14ac:dyDescent="0.2">
      <c r="A1944">
        <v>1</v>
      </c>
      <c r="B1944" t="s">
        <v>61</v>
      </c>
      <c r="E1944" t="s">
        <v>29</v>
      </c>
      <c r="F1944">
        <v>1436985</v>
      </c>
      <c r="G1944">
        <v>5</v>
      </c>
      <c r="H1944">
        <v>1</v>
      </c>
      <c r="I1944">
        <v>265</v>
      </c>
      <c r="J1944">
        <v>2008</v>
      </c>
      <c r="K1944" s="4">
        <v>44127</v>
      </c>
      <c r="L1944" t="s">
        <v>30</v>
      </c>
      <c r="M1944" t="s">
        <v>85</v>
      </c>
      <c r="N1944">
        <v>3.04</v>
      </c>
      <c r="O1944">
        <v>2026</v>
      </c>
      <c r="P1944">
        <v>2.79</v>
      </c>
      <c r="Q1944">
        <v>353</v>
      </c>
      <c r="R1944">
        <v>640</v>
      </c>
    </row>
    <row r="1945" spans="1:18" hidden="1" x14ac:dyDescent="0.2">
      <c r="A1945">
        <v>4</v>
      </c>
      <c r="B1945" t="s">
        <v>65</v>
      </c>
      <c r="E1945" t="s">
        <v>36</v>
      </c>
      <c r="F1945">
        <v>2674534</v>
      </c>
      <c r="G1945">
        <v>2</v>
      </c>
      <c r="H1945">
        <v>2</v>
      </c>
      <c r="I1945">
        <v>444</v>
      </c>
      <c r="J1945">
        <v>2005</v>
      </c>
      <c r="K1945" s="4">
        <v>45311</v>
      </c>
      <c r="L1945" t="s">
        <v>23</v>
      </c>
      <c r="M1945" t="s">
        <v>35</v>
      </c>
      <c r="N1945">
        <v>3.34</v>
      </c>
      <c r="O1945">
        <v>1596</v>
      </c>
      <c r="P1945">
        <v>1.52</v>
      </c>
      <c r="Q1945">
        <v>236</v>
      </c>
      <c r="R1945">
        <v>524</v>
      </c>
    </row>
    <row r="1946" spans="1:18" hidden="1" x14ac:dyDescent="0.2">
      <c r="A1946">
        <v>0</v>
      </c>
      <c r="B1946" t="s">
        <v>86</v>
      </c>
      <c r="E1946" t="s">
        <v>36</v>
      </c>
      <c r="F1946">
        <v>2932419</v>
      </c>
      <c r="G1946">
        <v>1</v>
      </c>
      <c r="H1946">
        <v>2</v>
      </c>
      <c r="I1946">
        <v>77</v>
      </c>
      <c r="J1946">
        <v>1966</v>
      </c>
      <c r="K1946" s="4">
        <v>44859</v>
      </c>
      <c r="L1946" t="s">
        <v>30</v>
      </c>
      <c r="M1946" t="s">
        <v>60</v>
      </c>
      <c r="N1946">
        <v>2.97</v>
      </c>
      <c r="O1946">
        <v>832</v>
      </c>
      <c r="P1946">
        <v>0.77</v>
      </c>
      <c r="Q1946">
        <v>63</v>
      </c>
      <c r="R1946">
        <v>432</v>
      </c>
    </row>
    <row r="1947" spans="1:18" hidden="1" x14ac:dyDescent="0.2">
      <c r="A1947">
        <v>3</v>
      </c>
      <c r="B1947" t="s">
        <v>61</v>
      </c>
      <c r="E1947" t="s">
        <v>29</v>
      </c>
      <c r="F1947">
        <v>487343</v>
      </c>
      <c r="G1947">
        <v>4</v>
      </c>
      <c r="H1947">
        <v>2</v>
      </c>
      <c r="I1947">
        <v>522</v>
      </c>
      <c r="J1947">
        <v>1986</v>
      </c>
      <c r="K1947" s="4">
        <v>45581</v>
      </c>
      <c r="L1947" t="s">
        <v>20</v>
      </c>
      <c r="M1947" t="s">
        <v>33</v>
      </c>
      <c r="N1947">
        <v>1.7</v>
      </c>
      <c r="O1947">
        <v>2308</v>
      </c>
      <c r="P1947">
        <v>0.78</v>
      </c>
      <c r="Q1947">
        <v>180</v>
      </c>
      <c r="R1947">
        <v>560</v>
      </c>
    </row>
    <row r="1948" spans="1:18" hidden="1" x14ac:dyDescent="0.2">
      <c r="A1948">
        <v>4</v>
      </c>
      <c r="B1948" t="s">
        <v>73</v>
      </c>
      <c r="E1948" t="s">
        <v>19</v>
      </c>
      <c r="F1948">
        <v>2388740</v>
      </c>
      <c r="G1948">
        <v>2</v>
      </c>
      <c r="H1948">
        <v>1</v>
      </c>
      <c r="I1948">
        <v>934</v>
      </c>
      <c r="J1948">
        <v>2009</v>
      </c>
      <c r="K1948" s="4">
        <v>45054</v>
      </c>
      <c r="L1948" t="s">
        <v>20</v>
      </c>
      <c r="M1948" t="s">
        <v>35</v>
      </c>
      <c r="N1948">
        <v>1.77</v>
      </c>
      <c r="O1948">
        <v>2208</v>
      </c>
      <c r="P1948">
        <v>3.44</v>
      </c>
      <c r="Q1948">
        <v>198</v>
      </c>
      <c r="R1948">
        <v>447</v>
      </c>
    </row>
    <row r="1949" spans="1:18" hidden="1" x14ac:dyDescent="0.2">
      <c r="A1949">
        <v>7</v>
      </c>
      <c r="B1949" t="s">
        <v>64</v>
      </c>
      <c r="E1949" t="s">
        <v>51</v>
      </c>
      <c r="F1949">
        <v>578853</v>
      </c>
      <c r="G1949">
        <v>4</v>
      </c>
      <c r="H1949">
        <v>3</v>
      </c>
      <c r="I1949">
        <v>503</v>
      </c>
      <c r="J1949">
        <v>1982</v>
      </c>
      <c r="K1949" s="4">
        <v>45225</v>
      </c>
      <c r="L1949" t="s">
        <v>26</v>
      </c>
      <c r="M1949" t="s">
        <v>85</v>
      </c>
      <c r="N1949">
        <v>1.99</v>
      </c>
      <c r="O1949">
        <v>2125</v>
      </c>
      <c r="P1949">
        <v>1.08</v>
      </c>
      <c r="Q1949">
        <v>254</v>
      </c>
      <c r="R1949">
        <v>583</v>
      </c>
    </row>
    <row r="1950" spans="1:18" hidden="1" x14ac:dyDescent="0.2">
      <c r="A1950">
        <v>3</v>
      </c>
      <c r="B1950" t="s">
        <v>99</v>
      </c>
      <c r="E1950" t="s">
        <v>51</v>
      </c>
      <c r="F1950">
        <v>1706169</v>
      </c>
      <c r="G1950">
        <v>3</v>
      </c>
      <c r="H1950">
        <v>3</v>
      </c>
      <c r="I1950">
        <v>610</v>
      </c>
      <c r="J1950">
        <v>1972</v>
      </c>
      <c r="K1950" s="4">
        <v>44845</v>
      </c>
      <c r="L1950" t="s">
        <v>30</v>
      </c>
      <c r="M1950" t="s">
        <v>68</v>
      </c>
      <c r="N1950">
        <v>2.77</v>
      </c>
      <c r="O1950">
        <v>2248</v>
      </c>
      <c r="P1950">
        <v>4.26</v>
      </c>
      <c r="Q1950">
        <v>262</v>
      </c>
      <c r="R1950">
        <v>331</v>
      </c>
    </row>
    <row r="1951" spans="1:18" hidden="1" x14ac:dyDescent="0.2">
      <c r="A1951">
        <v>5</v>
      </c>
      <c r="B1951" t="s">
        <v>98</v>
      </c>
      <c r="E1951" t="s">
        <v>36</v>
      </c>
      <c r="F1951">
        <v>987034</v>
      </c>
      <c r="G1951">
        <v>4</v>
      </c>
      <c r="H1951">
        <v>1</v>
      </c>
      <c r="I1951">
        <v>732</v>
      </c>
      <c r="J1951">
        <v>1951</v>
      </c>
      <c r="K1951" s="4">
        <v>44142</v>
      </c>
      <c r="L1951" t="s">
        <v>20</v>
      </c>
      <c r="M1951" t="s">
        <v>89</v>
      </c>
      <c r="N1951">
        <v>2.82</v>
      </c>
      <c r="O1951">
        <v>2439</v>
      </c>
      <c r="P1951">
        <v>4.57</v>
      </c>
      <c r="Q1951">
        <v>239</v>
      </c>
      <c r="R1951">
        <v>420</v>
      </c>
    </row>
    <row r="1952" spans="1:18" hidden="1" x14ac:dyDescent="0.2">
      <c r="A1952">
        <v>9</v>
      </c>
      <c r="B1952" t="s">
        <v>86</v>
      </c>
      <c r="E1952" t="s">
        <v>51</v>
      </c>
      <c r="F1952">
        <v>1680291</v>
      </c>
      <c r="G1952">
        <v>3</v>
      </c>
      <c r="H1952">
        <v>1</v>
      </c>
      <c r="I1952">
        <v>768</v>
      </c>
      <c r="J1952">
        <v>2005</v>
      </c>
      <c r="K1952" s="4">
        <v>45323</v>
      </c>
      <c r="L1952" t="s">
        <v>30</v>
      </c>
      <c r="M1952" t="s">
        <v>42</v>
      </c>
      <c r="N1952">
        <v>2.1</v>
      </c>
      <c r="O1952">
        <v>1310</v>
      </c>
      <c r="P1952">
        <v>1.66</v>
      </c>
      <c r="Q1952">
        <v>314</v>
      </c>
      <c r="R1952">
        <v>593</v>
      </c>
    </row>
    <row r="1953" spans="1:18" hidden="1" x14ac:dyDescent="0.2">
      <c r="A1953">
        <v>1</v>
      </c>
      <c r="B1953" t="s">
        <v>64</v>
      </c>
      <c r="E1953" t="s">
        <v>36</v>
      </c>
      <c r="F1953">
        <v>1059064</v>
      </c>
      <c r="G1953">
        <v>5</v>
      </c>
      <c r="H1953">
        <v>3</v>
      </c>
      <c r="I1953">
        <v>157</v>
      </c>
      <c r="J1953">
        <v>1970</v>
      </c>
      <c r="K1953" s="4">
        <v>44915</v>
      </c>
      <c r="L1953" t="s">
        <v>23</v>
      </c>
      <c r="M1953" t="s">
        <v>21</v>
      </c>
      <c r="N1953">
        <v>2.13</v>
      </c>
      <c r="O1953">
        <v>1364</v>
      </c>
      <c r="P1953">
        <v>3.04</v>
      </c>
      <c r="Q1953">
        <v>330</v>
      </c>
      <c r="R1953">
        <v>673</v>
      </c>
    </row>
    <row r="1954" spans="1:18" hidden="1" x14ac:dyDescent="0.2">
      <c r="A1954">
        <v>9</v>
      </c>
      <c r="B1954" t="s">
        <v>83</v>
      </c>
      <c r="E1954" t="s">
        <v>19</v>
      </c>
      <c r="F1954">
        <v>954344</v>
      </c>
      <c r="G1954">
        <v>2</v>
      </c>
      <c r="H1954">
        <v>3</v>
      </c>
      <c r="I1954">
        <v>416</v>
      </c>
      <c r="J1954">
        <v>2019</v>
      </c>
      <c r="K1954" s="4">
        <v>45087</v>
      </c>
      <c r="L1954" t="s">
        <v>26</v>
      </c>
      <c r="M1954" t="s">
        <v>31</v>
      </c>
      <c r="N1954">
        <v>2.09</v>
      </c>
      <c r="O1954">
        <v>2029</v>
      </c>
      <c r="P1954">
        <v>1.82</v>
      </c>
      <c r="Q1954">
        <v>224</v>
      </c>
      <c r="R1954">
        <v>643</v>
      </c>
    </row>
    <row r="1955" spans="1:18" hidden="1" x14ac:dyDescent="0.2">
      <c r="A1955">
        <v>3</v>
      </c>
      <c r="B1955" t="s">
        <v>73</v>
      </c>
      <c r="E1955" t="s">
        <v>51</v>
      </c>
      <c r="F1955">
        <v>2853308</v>
      </c>
      <c r="G1955">
        <v>1</v>
      </c>
      <c r="H1955">
        <v>1</v>
      </c>
      <c r="I1955">
        <v>844</v>
      </c>
      <c r="J1955">
        <v>1956</v>
      </c>
      <c r="K1955" s="4">
        <v>44764</v>
      </c>
      <c r="L1955" t="s">
        <v>30</v>
      </c>
      <c r="M1955" t="s">
        <v>42</v>
      </c>
      <c r="N1955">
        <v>3.36</v>
      </c>
      <c r="O1955">
        <v>2122</v>
      </c>
      <c r="P1955">
        <v>2.34</v>
      </c>
      <c r="Q1955">
        <v>127</v>
      </c>
      <c r="R1955">
        <v>539</v>
      </c>
    </row>
    <row r="1956" spans="1:18" hidden="1" x14ac:dyDescent="0.2">
      <c r="A1956">
        <v>3</v>
      </c>
      <c r="B1956" t="s">
        <v>87</v>
      </c>
      <c r="E1956" t="s">
        <v>29</v>
      </c>
      <c r="F1956">
        <v>686406</v>
      </c>
      <c r="G1956">
        <v>4</v>
      </c>
      <c r="H1956">
        <v>2</v>
      </c>
      <c r="I1956">
        <v>514</v>
      </c>
      <c r="J1956">
        <v>2001</v>
      </c>
      <c r="K1956" s="4">
        <v>44214</v>
      </c>
      <c r="L1956" t="s">
        <v>20</v>
      </c>
      <c r="M1956" t="s">
        <v>42</v>
      </c>
      <c r="N1956">
        <v>1.82</v>
      </c>
      <c r="O1956">
        <v>1272</v>
      </c>
      <c r="P1956">
        <v>1.1299999999999999</v>
      </c>
      <c r="Q1956">
        <v>324</v>
      </c>
      <c r="R1956">
        <v>397</v>
      </c>
    </row>
    <row r="1957" spans="1:18" x14ac:dyDescent="0.2">
      <c r="A1957">
        <v>8</v>
      </c>
      <c r="B1957" t="s">
        <v>88</v>
      </c>
      <c r="E1957" t="s">
        <v>29</v>
      </c>
      <c r="F1957">
        <v>1485470</v>
      </c>
      <c r="G1957">
        <v>1</v>
      </c>
      <c r="H1957">
        <v>3</v>
      </c>
      <c r="I1957">
        <v>562</v>
      </c>
      <c r="J1957">
        <v>1963</v>
      </c>
      <c r="K1957" s="4">
        <v>44101</v>
      </c>
      <c r="L1957" t="s">
        <v>26</v>
      </c>
      <c r="M1957" t="s">
        <v>35</v>
      </c>
      <c r="N1957">
        <v>3.48</v>
      </c>
      <c r="O1957">
        <v>2411</v>
      </c>
      <c r="P1957">
        <v>1.35</v>
      </c>
      <c r="Q1957">
        <v>93</v>
      </c>
      <c r="R1957">
        <v>469</v>
      </c>
    </row>
    <row r="1958" spans="1:18" hidden="1" x14ac:dyDescent="0.2">
      <c r="A1958">
        <v>5</v>
      </c>
      <c r="B1958" t="s">
        <v>102</v>
      </c>
      <c r="E1958" t="s">
        <v>36</v>
      </c>
      <c r="F1958">
        <v>2475651</v>
      </c>
      <c r="G1958">
        <v>4</v>
      </c>
      <c r="H1958">
        <v>3</v>
      </c>
      <c r="I1958">
        <v>893</v>
      </c>
      <c r="J1958">
        <v>2009</v>
      </c>
      <c r="K1958" s="4">
        <v>44697</v>
      </c>
      <c r="L1958" t="s">
        <v>26</v>
      </c>
      <c r="M1958" t="s">
        <v>52</v>
      </c>
      <c r="N1958">
        <v>2.66</v>
      </c>
      <c r="O1958">
        <v>1042</v>
      </c>
      <c r="P1958">
        <v>4.0199999999999996</v>
      </c>
      <c r="Q1958">
        <v>188</v>
      </c>
      <c r="R1958">
        <v>421</v>
      </c>
    </row>
    <row r="1959" spans="1:18" x14ac:dyDescent="0.2">
      <c r="A1959">
        <v>8</v>
      </c>
      <c r="B1959" t="s">
        <v>86</v>
      </c>
      <c r="E1959" t="s">
        <v>19</v>
      </c>
      <c r="F1959">
        <v>1776235</v>
      </c>
      <c r="G1959">
        <v>2</v>
      </c>
      <c r="H1959">
        <v>2</v>
      </c>
      <c r="I1959">
        <v>592</v>
      </c>
      <c r="J1959">
        <v>1988</v>
      </c>
      <c r="K1959" s="4">
        <v>45692</v>
      </c>
      <c r="L1959" t="s">
        <v>23</v>
      </c>
      <c r="M1959" t="s">
        <v>60</v>
      </c>
      <c r="N1959">
        <v>2.41</v>
      </c>
      <c r="O1959">
        <v>2038</v>
      </c>
      <c r="P1959">
        <v>1.75</v>
      </c>
      <c r="Q1959">
        <v>105</v>
      </c>
      <c r="R1959">
        <v>573</v>
      </c>
    </row>
    <row r="1960" spans="1:18" hidden="1" x14ac:dyDescent="0.2">
      <c r="A1960">
        <v>3</v>
      </c>
      <c r="B1960" t="s">
        <v>32</v>
      </c>
      <c r="E1960" t="s">
        <v>29</v>
      </c>
      <c r="F1960">
        <v>2462450</v>
      </c>
      <c r="G1960">
        <v>6</v>
      </c>
      <c r="H1960">
        <v>1</v>
      </c>
      <c r="I1960">
        <v>702</v>
      </c>
      <c r="J1960">
        <v>1972</v>
      </c>
      <c r="K1960" s="4">
        <v>44405</v>
      </c>
      <c r="L1960" t="s">
        <v>26</v>
      </c>
      <c r="M1960" t="s">
        <v>27</v>
      </c>
      <c r="N1960">
        <v>2.67</v>
      </c>
      <c r="O1960">
        <v>1734</v>
      </c>
      <c r="P1960">
        <v>3.27</v>
      </c>
      <c r="Q1960">
        <v>330</v>
      </c>
      <c r="R1960">
        <v>603</v>
      </c>
    </row>
    <row r="1961" spans="1:18" hidden="1" x14ac:dyDescent="0.2">
      <c r="A1961">
        <v>6</v>
      </c>
      <c r="B1961" t="s">
        <v>67</v>
      </c>
      <c r="E1961" t="s">
        <v>51</v>
      </c>
      <c r="F1961">
        <v>2675937</v>
      </c>
      <c r="G1961">
        <v>2</v>
      </c>
      <c r="H1961">
        <v>2</v>
      </c>
      <c r="I1961">
        <v>899</v>
      </c>
      <c r="J1961">
        <v>1996</v>
      </c>
      <c r="K1961" s="4">
        <v>45657</v>
      </c>
      <c r="L1961" t="s">
        <v>20</v>
      </c>
      <c r="M1961" t="s">
        <v>21</v>
      </c>
      <c r="N1961">
        <v>2.48</v>
      </c>
      <c r="O1961">
        <v>1187</v>
      </c>
      <c r="P1961">
        <v>3.06</v>
      </c>
      <c r="Q1961">
        <v>138</v>
      </c>
      <c r="R1961">
        <v>512</v>
      </c>
    </row>
    <row r="1962" spans="1:18" hidden="1" x14ac:dyDescent="0.2">
      <c r="A1962">
        <v>9</v>
      </c>
      <c r="B1962" t="s">
        <v>95</v>
      </c>
      <c r="E1962" t="s">
        <v>19</v>
      </c>
      <c r="F1962">
        <v>1494916</v>
      </c>
      <c r="G1962">
        <v>3</v>
      </c>
      <c r="H1962">
        <v>1</v>
      </c>
      <c r="I1962">
        <v>802</v>
      </c>
      <c r="J1962">
        <v>2005</v>
      </c>
      <c r="K1962" s="4">
        <v>44217</v>
      </c>
      <c r="L1962" t="s">
        <v>30</v>
      </c>
      <c r="M1962" t="s">
        <v>77</v>
      </c>
      <c r="N1962">
        <v>3.46</v>
      </c>
      <c r="O1962">
        <v>1736</v>
      </c>
      <c r="P1962">
        <v>1.74</v>
      </c>
      <c r="Q1962">
        <v>204</v>
      </c>
      <c r="R1962">
        <v>448</v>
      </c>
    </row>
    <row r="1963" spans="1:18" hidden="1" x14ac:dyDescent="0.2">
      <c r="A1963">
        <v>3</v>
      </c>
      <c r="B1963" t="s">
        <v>25</v>
      </c>
      <c r="E1963" t="s">
        <v>36</v>
      </c>
      <c r="F1963">
        <v>2654346</v>
      </c>
      <c r="G1963">
        <v>3</v>
      </c>
      <c r="H1963">
        <v>1</v>
      </c>
      <c r="I1963">
        <v>981</v>
      </c>
      <c r="J1963">
        <v>1958</v>
      </c>
      <c r="K1963" s="4">
        <v>45363</v>
      </c>
      <c r="L1963" t="s">
        <v>30</v>
      </c>
      <c r="M1963" t="s">
        <v>21</v>
      </c>
      <c r="N1963">
        <v>2.02</v>
      </c>
      <c r="O1963">
        <v>1323</v>
      </c>
      <c r="P1963">
        <v>3.18</v>
      </c>
      <c r="Q1963">
        <v>163</v>
      </c>
      <c r="R1963">
        <v>548</v>
      </c>
    </row>
    <row r="1964" spans="1:18" hidden="1" x14ac:dyDescent="0.2">
      <c r="A1964">
        <v>6</v>
      </c>
      <c r="B1964" t="s">
        <v>38</v>
      </c>
      <c r="E1964" t="s">
        <v>51</v>
      </c>
      <c r="F1964">
        <v>2893479</v>
      </c>
      <c r="G1964">
        <v>6</v>
      </c>
      <c r="H1964">
        <v>1</v>
      </c>
      <c r="I1964">
        <v>489</v>
      </c>
      <c r="J1964">
        <v>1970</v>
      </c>
      <c r="K1964" s="4">
        <v>45144</v>
      </c>
      <c r="L1964" t="s">
        <v>20</v>
      </c>
      <c r="M1964" t="s">
        <v>89</v>
      </c>
      <c r="N1964">
        <v>2.23</v>
      </c>
      <c r="O1964">
        <v>1266</v>
      </c>
      <c r="P1964">
        <v>1.3</v>
      </c>
      <c r="Q1964">
        <v>393</v>
      </c>
      <c r="R1964">
        <v>590</v>
      </c>
    </row>
    <row r="1965" spans="1:18" hidden="1" x14ac:dyDescent="0.2">
      <c r="A1965">
        <v>4</v>
      </c>
      <c r="B1965" t="s">
        <v>62</v>
      </c>
      <c r="E1965" t="s">
        <v>29</v>
      </c>
      <c r="F1965">
        <v>1537522</v>
      </c>
      <c r="G1965">
        <v>3</v>
      </c>
      <c r="H1965">
        <v>3</v>
      </c>
      <c r="I1965">
        <v>576</v>
      </c>
      <c r="J1965">
        <v>2002</v>
      </c>
      <c r="K1965" s="4">
        <v>45839</v>
      </c>
      <c r="L1965" t="s">
        <v>26</v>
      </c>
      <c r="M1965" t="s">
        <v>58</v>
      </c>
      <c r="N1965">
        <v>2.4900000000000002</v>
      </c>
      <c r="O1965">
        <v>1502</v>
      </c>
      <c r="P1965">
        <v>4.22</v>
      </c>
      <c r="Q1965">
        <v>172</v>
      </c>
      <c r="R1965">
        <v>699</v>
      </c>
    </row>
    <row r="1966" spans="1:18" hidden="1" x14ac:dyDescent="0.2">
      <c r="A1966">
        <v>9</v>
      </c>
      <c r="B1966" t="s">
        <v>67</v>
      </c>
      <c r="E1966" t="s">
        <v>36</v>
      </c>
      <c r="F1966">
        <v>892322</v>
      </c>
      <c r="G1966">
        <v>0</v>
      </c>
      <c r="H1966">
        <v>2</v>
      </c>
      <c r="I1966">
        <v>585</v>
      </c>
      <c r="J1966">
        <v>2026</v>
      </c>
      <c r="K1966" s="4">
        <v>45210</v>
      </c>
      <c r="L1966" t="s">
        <v>30</v>
      </c>
      <c r="M1966" t="s">
        <v>54</v>
      </c>
      <c r="N1966">
        <v>1.69</v>
      </c>
      <c r="O1966">
        <v>1772</v>
      </c>
      <c r="P1966">
        <v>4.24</v>
      </c>
      <c r="Q1966">
        <v>53</v>
      </c>
      <c r="R1966">
        <v>575</v>
      </c>
    </row>
    <row r="1967" spans="1:18" hidden="1" x14ac:dyDescent="0.2">
      <c r="A1967">
        <v>0</v>
      </c>
      <c r="B1967" t="s">
        <v>94</v>
      </c>
      <c r="E1967" t="s">
        <v>29</v>
      </c>
      <c r="F1967">
        <v>2793084</v>
      </c>
      <c r="G1967">
        <v>3</v>
      </c>
      <c r="H1967">
        <v>1</v>
      </c>
      <c r="I1967">
        <v>196</v>
      </c>
      <c r="J1967">
        <v>1992</v>
      </c>
      <c r="K1967" s="4">
        <v>44373</v>
      </c>
      <c r="L1967" t="s">
        <v>20</v>
      </c>
      <c r="M1967" t="s">
        <v>77</v>
      </c>
      <c r="N1967">
        <v>3.44</v>
      </c>
      <c r="O1967">
        <v>1733</v>
      </c>
      <c r="P1967">
        <v>1.73</v>
      </c>
      <c r="Q1967">
        <v>233</v>
      </c>
      <c r="R1967">
        <v>325</v>
      </c>
    </row>
    <row r="1968" spans="1:18" hidden="1" x14ac:dyDescent="0.2">
      <c r="A1968">
        <v>2</v>
      </c>
      <c r="B1968" t="s">
        <v>61</v>
      </c>
      <c r="E1968" t="s">
        <v>36</v>
      </c>
      <c r="F1968">
        <v>1449009</v>
      </c>
      <c r="G1968">
        <v>4</v>
      </c>
      <c r="H1968">
        <v>3</v>
      </c>
      <c r="I1968">
        <v>207</v>
      </c>
      <c r="J1968">
        <v>2015</v>
      </c>
      <c r="K1968" s="4">
        <v>44330</v>
      </c>
      <c r="L1968" t="s">
        <v>20</v>
      </c>
      <c r="M1968" t="s">
        <v>40</v>
      </c>
      <c r="N1968">
        <v>2.02</v>
      </c>
      <c r="O1968">
        <v>1099</v>
      </c>
      <c r="P1968">
        <v>1.77</v>
      </c>
      <c r="Q1968">
        <v>397</v>
      </c>
      <c r="R1968">
        <v>549</v>
      </c>
    </row>
    <row r="1969" spans="1:18" hidden="1" x14ac:dyDescent="0.2">
      <c r="A1969">
        <v>3</v>
      </c>
      <c r="B1969" t="s">
        <v>50</v>
      </c>
      <c r="E1969" t="s">
        <v>29</v>
      </c>
      <c r="F1969">
        <v>2432392</v>
      </c>
      <c r="G1969">
        <v>4</v>
      </c>
      <c r="H1969">
        <v>3</v>
      </c>
      <c r="I1969">
        <v>183</v>
      </c>
      <c r="J1969">
        <v>1990</v>
      </c>
      <c r="K1969" s="4">
        <v>45063</v>
      </c>
      <c r="L1969" t="s">
        <v>20</v>
      </c>
      <c r="M1969" t="s">
        <v>97</v>
      </c>
      <c r="N1969">
        <v>2.65</v>
      </c>
      <c r="O1969">
        <v>877</v>
      </c>
      <c r="P1969">
        <v>2.0099999999999998</v>
      </c>
      <c r="Q1969">
        <v>359</v>
      </c>
      <c r="R1969">
        <v>676</v>
      </c>
    </row>
    <row r="1970" spans="1:18" hidden="1" x14ac:dyDescent="0.2">
      <c r="A1970">
        <v>5</v>
      </c>
      <c r="B1970" t="s">
        <v>38</v>
      </c>
      <c r="E1970" t="s">
        <v>51</v>
      </c>
      <c r="F1970">
        <v>901560</v>
      </c>
      <c r="G1970">
        <v>0</v>
      </c>
      <c r="H1970">
        <v>1</v>
      </c>
      <c r="I1970">
        <v>976</v>
      </c>
      <c r="J1970">
        <v>1998</v>
      </c>
      <c r="K1970" s="4">
        <v>45350</v>
      </c>
      <c r="L1970" t="s">
        <v>30</v>
      </c>
      <c r="M1970" t="s">
        <v>31</v>
      </c>
      <c r="N1970">
        <v>2.36</v>
      </c>
      <c r="O1970">
        <v>912</v>
      </c>
      <c r="P1970">
        <v>0.46</v>
      </c>
      <c r="Q1970">
        <v>57</v>
      </c>
      <c r="R1970">
        <v>405</v>
      </c>
    </row>
    <row r="1971" spans="1:18" hidden="1" x14ac:dyDescent="0.2">
      <c r="A1971">
        <v>7</v>
      </c>
      <c r="B1971" t="s">
        <v>90</v>
      </c>
      <c r="E1971" t="s">
        <v>36</v>
      </c>
      <c r="F1971">
        <v>535714</v>
      </c>
      <c r="G1971">
        <v>2</v>
      </c>
      <c r="H1971">
        <v>3</v>
      </c>
      <c r="I1971">
        <v>974</v>
      </c>
      <c r="J1971">
        <v>1956</v>
      </c>
      <c r="K1971" s="4">
        <v>45048</v>
      </c>
      <c r="L1971" t="s">
        <v>30</v>
      </c>
      <c r="M1971" t="s">
        <v>77</v>
      </c>
      <c r="N1971">
        <v>3.43</v>
      </c>
      <c r="O1971">
        <v>2386</v>
      </c>
      <c r="P1971">
        <v>0.14000000000000001</v>
      </c>
      <c r="Q1971">
        <v>81</v>
      </c>
      <c r="R1971">
        <v>430</v>
      </c>
    </row>
    <row r="1972" spans="1:18" hidden="1" x14ac:dyDescent="0.2">
      <c r="A1972">
        <v>2</v>
      </c>
      <c r="B1972" t="s">
        <v>18</v>
      </c>
      <c r="E1972" t="s">
        <v>51</v>
      </c>
      <c r="F1972">
        <v>1827374</v>
      </c>
      <c r="G1972">
        <v>3</v>
      </c>
      <c r="H1972">
        <v>3</v>
      </c>
      <c r="I1972">
        <v>697</v>
      </c>
      <c r="J1972">
        <v>2006</v>
      </c>
      <c r="K1972" s="4">
        <v>44729</v>
      </c>
      <c r="L1972" t="s">
        <v>26</v>
      </c>
      <c r="M1972" t="s">
        <v>78</v>
      </c>
      <c r="N1972">
        <v>1.56</v>
      </c>
      <c r="O1972">
        <v>1790</v>
      </c>
      <c r="P1972">
        <v>1.19</v>
      </c>
      <c r="Q1972">
        <v>182</v>
      </c>
      <c r="R1972">
        <v>598</v>
      </c>
    </row>
    <row r="1973" spans="1:18" hidden="1" x14ac:dyDescent="0.2">
      <c r="A1973">
        <v>4</v>
      </c>
      <c r="B1973" t="s">
        <v>87</v>
      </c>
      <c r="E1973" t="s">
        <v>19</v>
      </c>
      <c r="F1973">
        <v>1123153</v>
      </c>
      <c r="G1973">
        <v>5</v>
      </c>
      <c r="H1973">
        <v>2</v>
      </c>
      <c r="I1973">
        <v>442</v>
      </c>
      <c r="J1973">
        <v>1961</v>
      </c>
      <c r="K1973" s="4">
        <v>44968</v>
      </c>
      <c r="L1973" t="s">
        <v>26</v>
      </c>
      <c r="M1973" t="s">
        <v>85</v>
      </c>
      <c r="N1973">
        <v>1.5</v>
      </c>
      <c r="O1973">
        <v>837</v>
      </c>
      <c r="P1973">
        <v>3.62</v>
      </c>
      <c r="Q1973">
        <v>368</v>
      </c>
      <c r="R1973">
        <v>466</v>
      </c>
    </row>
    <row r="1974" spans="1:18" hidden="1" x14ac:dyDescent="0.2">
      <c r="A1974">
        <v>6</v>
      </c>
      <c r="B1974" t="s">
        <v>80</v>
      </c>
      <c r="E1974" t="s">
        <v>19</v>
      </c>
      <c r="F1974">
        <v>1663249</v>
      </c>
      <c r="G1974">
        <v>4</v>
      </c>
      <c r="H1974">
        <v>1</v>
      </c>
      <c r="I1974">
        <v>978</v>
      </c>
      <c r="J1974">
        <v>1977</v>
      </c>
      <c r="K1974" s="4">
        <v>45280</v>
      </c>
      <c r="L1974" t="s">
        <v>23</v>
      </c>
      <c r="M1974" t="s">
        <v>59</v>
      </c>
      <c r="N1974">
        <v>2.35</v>
      </c>
      <c r="O1974">
        <v>1983</v>
      </c>
      <c r="P1974">
        <v>3.24</v>
      </c>
      <c r="Q1974">
        <v>209</v>
      </c>
      <c r="R1974">
        <v>627</v>
      </c>
    </row>
    <row r="1975" spans="1:18" hidden="1" x14ac:dyDescent="0.2">
      <c r="A1975">
        <v>0</v>
      </c>
      <c r="B1975" t="s">
        <v>65</v>
      </c>
      <c r="E1975" t="s">
        <v>51</v>
      </c>
      <c r="F1975">
        <v>2480408</v>
      </c>
      <c r="G1975">
        <v>5</v>
      </c>
      <c r="H1975">
        <v>2</v>
      </c>
      <c r="I1975">
        <v>342</v>
      </c>
      <c r="J1975">
        <v>1989</v>
      </c>
      <c r="K1975" s="4">
        <v>45076</v>
      </c>
      <c r="L1975" t="s">
        <v>20</v>
      </c>
      <c r="M1975" t="s">
        <v>59</v>
      </c>
      <c r="N1975">
        <v>1.96</v>
      </c>
      <c r="O1975">
        <v>1110</v>
      </c>
      <c r="P1975">
        <v>1.99</v>
      </c>
      <c r="Q1975">
        <v>247</v>
      </c>
      <c r="R1975">
        <v>313</v>
      </c>
    </row>
    <row r="1976" spans="1:18" hidden="1" x14ac:dyDescent="0.2">
      <c r="A1976">
        <v>0</v>
      </c>
      <c r="B1976" t="s">
        <v>48</v>
      </c>
      <c r="E1976" t="s">
        <v>29</v>
      </c>
      <c r="F1976">
        <v>973630</v>
      </c>
      <c r="G1976">
        <v>3</v>
      </c>
      <c r="H1976">
        <v>1</v>
      </c>
      <c r="I1976">
        <v>585</v>
      </c>
      <c r="J1976">
        <v>1966</v>
      </c>
      <c r="K1976" s="4">
        <v>45841</v>
      </c>
      <c r="L1976" t="s">
        <v>26</v>
      </c>
      <c r="M1976" t="s">
        <v>52</v>
      </c>
      <c r="N1976">
        <v>2.4</v>
      </c>
      <c r="O1976">
        <v>2407</v>
      </c>
      <c r="P1976">
        <v>2.96</v>
      </c>
      <c r="Q1976">
        <v>121</v>
      </c>
      <c r="R1976">
        <v>527</v>
      </c>
    </row>
    <row r="1977" spans="1:18" hidden="1" x14ac:dyDescent="0.2">
      <c r="A1977">
        <v>4</v>
      </c>
      <c r="B1977" t="s">
        <v>44</v>
      </c>
      <c r="E1977" t="s">
        <v>36</v>
      </c>
      <c r="F1977">
        <v>2687426</v>
      </c>
      <c r="G1977">
        <v>1</v>
      </c>
      <c r="H1977">
        <v>3</v>
      </c>
      <c r="I1977">
        <v>299</v>
      </c>
      <c r="J1977">
        <v>2006</v>
      </c>
      <c r="K1977" s="4">
        <v>45682</v>
      </c>
      <c r="L1977" t="s">
        <v>23</v>
      </c>
      <c r="M1977" t="s">
        <v>42</v>
      </c>
      <c r="N1977">
        <v>2.09</v>
      </c>
      <c r="O1977">
        <v>829</v>
      </c>
      <c r="P1977">
        <v>0.97</v>
      </c>
      <c r="Q1977">
        <v>97</v>
      </c>
      <c r="R1977">
        <v>587</v>
      </c>
    </row>
    <row r="1978" spans="1:18" hidden="1" x14ac:dyDescent="0.2">
      <c r="A1978">
        <v>9</v>
      </c>
      <c r="B1978" t="s">
        <v>81</v>
      </c>
      <c r="E1978" t="s">
        <v>19</v>
      </c>
      <c r="F1978">
        <v>1118968</v>
      </c>
      <c r="G1978">
        <v>4</v>
      </c>
      <c r="H1978">
        <v>3</v>
      </c>
      <c r="I1978">
        <v>226</v>
      </c>
      <c r="J1978">
        <v>1975</v>
      </c>
      <c r="K1978" s="4">
        <v>45451</v>
      </c>
      <c r="L1978" t="s">
        <v>23</v>
      </c>
      <c r="M1978" t="s">
        <v>40</v>
      </c>
      <c r="N1978">
        <v>2.63</v>
      </c>
      <c r="O1978">
        <v>2084</v>
      </c>
      <c r="P1978">
        <v>2.4300000000000002</v>
      </c>
      <c r="Q1978">
        <v>344</v>
      </c>
      <c r="R1978">
        <v>588</v>
      </c>
    </row>
    <row r="1979" spans="1:18" x14ac:dyDescent="0.2">
      <c r="A1979">
        <v>8</v>
      </c>
      <c r="B1979" t="s">
        <v>55</v>
      </c>
      <c r="E1979" t="s">
        <v>29</v>
      </c>
      <c r="F1979">
        <v>825605</v>
      </c>
      <c r="G1979">
        <v>3</v>
      </c>
      <c r="H1979">
        <v>2</v>
      </c>
      <c r="I1979">
        <v>93</v>
      </c>
      <c r="J1979">
        <v>1950</v>
      </c>
      <c r="K1979" s="4">
        <v>45457</v>
      </c>
      <c r="L1979" t="s">
        <v>20</v>
      </c>
      <c r="M1979" t="s">
        <v>89</v>
      </c>
      <c r="N1979">
        <v>2.12</v>
      </c>
      <c r="O1979">
        <v>1924</v>
      </c>
      <c r="P1979">
        <v>0.51</v>
      </c>
      <c r="Q1979">
        <v>116</v>
      </c>
      <c r="R1979">
        <v>381</v>
      </c>
    </row>
    <row r="1980" spans="1:18" hidden="1" x14ac:dyDescent="0.2">
      <c r="A1980">
        <v>9</v>
      </c>
      <c r="B1980" t="s">
        <v>61</v>
      </c>
      <c r="E1980" t="s">
        <v>29</v>
      </c>
      <c r="F1980">
        <v>1072864</v>
      </c>
      <c r="G1980">
        <v>1</v>
      </c>
      <c r="H1980">
        <v>1</v>
      </c>
      <c r="I1980">
        <v>175</v>
      </c>
      <c r="J1980">
        <v>1960</v>
      </c>
      <c r="K1980" s="4">
        <v>45512</v>
      </c>
      <c r="L1980" t="s">
        <v>30</v>
      </c>
      <c r="M1980" t="s">
        <v>66</v>
      </c>
      <c r="N1980">
        <v>2.56</v>
      </c>
      <c r="O1980">
        <v>2343</v>
      </c>
      <c r="P1980">
        <v>3.66</v>
      </c>
      <c r="Q1980">
        <v>130</v>
      </c>
      <c r="R1980">
        <v>461</v>
      </c>
    </row>
    <row r="1981" spans="1:18" hidden="1" x14ac:dyDescent="0.2">
      <c r="A1981">
        <v>5</v>
      </c>
      <c r="B1981" t="s">
        <v>32</v>
      </c>
      <c r="E1981" t="s">
        <v>36</v>
      </c>
      <c r="F1981">
        <v>1821814</v>
      </c>
      <c r="G1981">
        <v>5</v>
      </c>
      <c r="H1981">
        <v>1</v>
      </c>
      <c r="I1981">
        <v>812</v>
      </c>
      <c r="J1981">
        <v>1963</v>
      </c>
      <c r="K1981" s="4">
        <v>44215</v>
      </c>
      <c r="L1981" t="s">
        <v>26</v>
      </c>
      <c r="M1981" t="s">
        <v>85</v>
      </c>
      <c r="N1981">
        <v>3.17</v>
      </c>
      <c r="O1981">
        <v>2483</v>
      </c>
      <c r="P1981">
        <v>0.98</v>
      </c>
      <c r="Q1981">
        <v>377</v>
      </c>
      <c r="R1981">
        <v>577</v>
      </c>
    </row>
    <row r="1982" spans="1:18" hidden="1" x14ac:dyDescent="0.2">
      <c r="A1982">
        <v>1</v>
      </c>
      <c r="B1982" t="s">
        <v>43</v>
      </c>
      <c r="E1982" t="s">
        <v>19</v>
      </c>
      <c r="F1982">
        <v>2732261</v>
      </c>
      <c r="G1982">
        <v>3</v>
      </c>
      <c r="H1982">
        <v>1</v>
      </c>
      <c r="I1982">
        <v>172</v>
      </c>
      <c r="J1982">
        <v>1975</v>
      </c>
      <c r="K1982" s="4">
        <v>45544</v>
      </c>
      <c r="L1982" t="s">
        <v>26</v>
      </c>
      <c r="M1982" t="s">
        <v>76</v>
      </c>
      <c r="N1982">
        <v>1.73</v>
      </c>
      <c r="O1982">
        <v>2489</v>
      </c>
      <c r="P1982">
        <v>2.74</v>
      </c>
      <c r="Q1982">
        <v>177</v>
      </c>
      <c r="R1982">
        <v>692</v>
      </c>
    </row>
    <row r="1983" spans="1:18" hidden="1" x14ac:dyDescent="0.2">
      <c r="A1983">
        <v>6</v>
      </c>
      <c r="B1983" t="s">
        <v>57</v>
      </c>
      <c r="E1983" t="s">
        <v>29</v>
      </c>
      <c r="F1983">
        <v>524733</v>
      </c>
      <c r="G1983">
        <v>3</v>
      </c>
      <c r="H1983">
        <v>2</v>
      </c>
      <c r="I1983">
        <v>848</v>
      </c>
      <c r="J1983">
        <v>1953</v>
      </c>
      <c r="K1983" s="4">
        <v>44077</v>
      </c>
      <c r="L1983" t="s">
        <v>26</v>
      </c>
      <c r="M1983" t="s">
        <v>69</v>
      </c>
      <c r="N1983">
        <v>1.6</v>
      </c>
      <c r="O1983">
        <v>1400</v>
      </c>
      <c r="P1983">
        <v>3.31</v>
      </c>
      <c r="Q1983">
        <v>140</v>
      </c>
      <c r="R1983">
        <v>307</v>
      </c>
    </row>
    <row r="1984" spans="1:18" hidden="1" x14ac:dyDescent="0.2">
      <c r="A1984">
        <v>2</v>
      </c>
      <c r="B1984" t="s">
        <v>101</v>
      </c>
      <c r="E1984" t="s">
        <v>51</v>
      </c>
      <c r="F1984">
        <v>2001601</v>
      </c>
      <c r="G1984">
        <v>3</v>
      </c>
      <c r="H1984">
        <v>1</v>
      </c>
      <c r="I1984">
        <v>788</v>
      </c>
      <c r="J1984">
        <v>1969</v>
      </c>
      <c r="K1984" s="4">
        <v>45168</v>
      </c>
      <c r="L1984" t="s">
        <v>23</v>
      </c>
      <c r="M1984" t="s">
        <v>33</v>
      </c>
      <c r="N1984">
        <v>3.12</v>
      </c>
      <c r="O1984">
        <v>857</v>
      </c>
      <c r="P1984">
        <v>1.76</v>
      </c>
      <c r="Q1984">
        <v>117</v>
      </c>
      <c r="R1984">
        <v>447</v>
      </c>
    </row>
    <row r="1985" spans="1:18" hidden="1" x14ac:dyDescent="0.2">
      <c r="A1985">
        <v>3</v>
      </c>
      <c r="B1985" t="s">
        <v>101</v>
      </c>
      <c r="E1985" t="s">
        <v>29</v>
      </c>
      <c r="F1985">
        <v>2274525</v>
      </c>
      <c r="G1985">
        <v>3</v>
      </c>
      <c r="H1985">
        <v>2</v>
      </c>
      <c r="I1985">
        <v>965</v>
      </c>
      <c r="J1985">
        <v>1951</v>
      </c>
      <c r="K1985" s="4">
        <v>45589</v>
      </c>
      <c r="L1985" t="s">
        <v>30</v>
      </c>
      <c r="M1985" t="s">
        <v>37</v>
      </c>
      <c r="N1985">
        <v>3.33</v>
      </c>
      <c r="O1985">
        <v>2075</v>
      </c>
      <c r="P1985">
        <v>2.91</v>
      </c>
      <c r="Q1985">
        <v>119</v>
      </c>
      <c r="R1985">
        <v>517</v>
      </c>
    </row>
    <row r="1986" spans="1:18" hidden="1" x14ac:dyDescent="0.2">
      <c r="A1986">
        <v>1</v>
      </c>
      <c r="B1986" t="s">
        <v>100</v>
      </c>
      <c r="E1986" t="s">
        <v>19</v>
      </c>
      <c r="F1986">
        <v>2206590</v>
      </c>
      <c r="G1986">
        <v>3</v>
      </c>
      <c r="H1986">
        <v>2</v>
      </c>
      <c r="I1986">
        <v>945</v>
      </c>
      <c r="J1986">
        <v>2021</v>
      </c>
      <c r="K1986" s="4">
        <v>44843</v>
      </c>
      <c r="L1986" t="s">
        <v>30</v>
      </c>
      <c r="M1986" t="s">
        <v>52</v>
      </c>
      <c r="N1986">
        <v>2.14</v>
      </c>
      <c r="O1986">
        <v>1286</v>
      </c>
      <c r="P1986">
        <v>1.74</v>
      </c>
      <c r="Q1986">
        <v>94</v>
      </c>
      <c r="R1986">
        <v>491</v>
      </c>
    </row>
    <row r="1987" spans="1:18" hidden="1" x14ac:dyDescent="0.2">
      <c r="A1987">
        <v>3</v>
      </c>
      <c r="B1987" t="s">
        <v>67</v>
      </c>
      <c r="E1987" t="s">
        <v>19</v>
      </c>
      <c r="F1987">
        <v>794148</v>
      </c>
      <c r="G1987">
        <v>3</v>
      </c>
      <c r="H1987">
        <v>2</v>
      </c>
      <c r="I1987">
        <v>331</v>
      </c>
      <c r="J1987">
        <v>1951</v>
      </c>
      <c r="K1987" s="4">
        <v>45717</v>
      </c>
      <c r="L1987" t="s">
        <v>23</v>
      </c>
      <c r="M1987" t="s">
        <v>52</v>
      </c>
      <c r="N1987">
        <v>2.88</v>
      </c>
      <c r="O1987">
        <v>2181</v>
      </c>
      <c r="P1987">
        <v>3.72</v>
      </c>
      <c r="Q1987">
        <v>120</v>
      </c>
      <c r="R1987">
        <v>682</v>
      </c>
    </row>
    <row r="1988" spans="1:18" hidden="1" x14ac:dyDescent="0.2">
      <c r="A1988">
        <v>7</v>
      </c>
      <c r="B1988" t="s">
        <v>90</v>
      </c>
      <c r="E1988" t="s">
        <v>36</v>
      </c>
      <c r="F1988">
        <v>2279020</v>
      </c>
      <c r="G1988">
        <v>3</v>
      </c>
      <c r="H1988">
        <v>1</v>
      </c>
      <c r="I1988">
        <v>868</v>
      </c>
      <c r="J1988">
        <v>1964</v>
      </c>
      <c r="K1988" s="4">
        <v>44617</v>
      </c>
      <c r="L1988" t="s">
        <v>26</v>
      </c>
      <c r="M1988" t="s">
        <v>85</v>
      </c>
      <c r="N1988">
        <v>1.52</v>
      </c>
      <c r="O1988">
        <v>1945</v>
      </c>
      <c r="P1988">
        <v>4.3099999999999996</v>
      </c>
      <c r="Q1988">
        <v>161</v>
      </c>
      <c r="R1988">
        <v>415</v>
      </c>
    </row>
    <row r="1989" spans="1:18" hidden="1" x14ac:dyDescent="0.2">
      <c r="A1989">
        <v>6</v>
      </c>
      <c r="B1989" t="s">
        <v>87</v>
      </c>
      <c r="E1989" t="s">
        <v>51</v>
      </c>
      <c r="F1989">
        <v>2905573</v>
      </c>
      <c r="G1989">
        <v>1</v>
      </c>
      <c r="H1989">
        <v>1</v>
      </c>
      <c r="I1989">
        <v>418</v>
      </c>
      <c r="J1989">
        <v>2008</v>
      </c>
      <c r="K1989" s="4">
        <v>44546</v>
      </c>
      <c r="L1989" t="s">
        <v>30</v>
      </c>
      <c r="M1989" t="s">
        <v>35</v>
      </c>
      <c r="N1989">
        <v>2.33</v>
      </c>
      <c r="O1989">
        <v>1888</v>
      </c>
      <c r="P1989">
        <v>4.57</v>
      </c>
      <c r="Q1989">
        <v>128</v>
      </c>
      <c r="R1989">
        <v>399</v>
      </c>
    </row>
    <row r="1990" spans="1:18" hidden="1" x14ac:dyDescent="0.2">
      <c r="A1990">
        <v>4</v>
      </c>
      <c r="B1990" t="s">
        <v>46</v>
      </c>
      <c r="E1990" t="s">
        <v>36</v>
      </c>
      <c r="F1990">
        <v>2061029</v>
      </c>
      <c r="G1990">
        <v>1</v>
      </c>
      <c r="H1990">
        <v>3</v>
      </c>
      <c r="I1990">
        <v>90</v>
      </c>
      <c r="J1990">
        <v>1974</v>
      </c>
      <c r="K1990" s="4">
        <v>44531</v>
      </c>
      <c r="L1990" t="s">
        <v>20</v>
      </c>
      <c r="M1990" t="s">
        <v>76</v>
      </c>
      <c r="N1990">
        <v>1.93</v>
      </c>
      <c r="O1990">
        <v>1322</v>
      </c>
      <c r="P1990">
        <v>4.4000000000000004</v>
      </c>
      <c r="Q1990">
        <v>67</v>
      </c>
      <c r="R1990">
        <v>514</v>
      </c>
    </row>
    <row r="1991" spans="1:18" hidden="1" x14ac:dyDescent="0.2">
      <c r="A1991">
        <v>1</v>
      </c>
      <c r="B1991" t="s">
        <v>67</v>
      </c>
      <c r="E1991" t="s">
        <v>29</v>
      </c>
      <c r="F1991">
        <v>1029878</v>
      </c>
      <c r="G1991">
        <v>4</v>
      </c>
      <c r="H1991">
        <v>1</v>
      </c>
      <c r="I1991">
        <v>73</v>
      </c>
      <c r="J1991">
        <v>2018</v>
      </c>
      <c r="K1991" s="4">
        <v>44938</v>
      </c>
      <c r="L1991" t="s">
        <v>20</v>
      </c>
      <c r="M1991" t="s">
        <v>42</v>
      </c>
      <c r="N1991">
        <v>3.06</v>
      </c>
      <c r="O1991">
        <v>1894</v>
      </c>
      <c r="P1991">
        <v>2.2799999999999998</v>
      </c>
      <c r="Q1991">
        <v>337</v>
      </c>
      <c r="R1991">
        <v>592</v>
      </c>
    </row>
    <row r="1992" spans="1:18" hidden="1" x14ac:dyDescent="0.2">
      <c r="A1992">
        <v>6</v>
      </c>
      <c r="B1992" t="s">
        <v>49</v>
      </c>
      <c r="E1992" t="s">
        <v>51</v>
      </c>
      <c r="F1992">
        <v>2488853</v>
      </c>
      <c r="G1992">
        <v>1</v>
      </c>
      <c r="H1992">
        <v>3</v>
      </c>
      <c r="I1992">
        <v>387</v>
      </c>
      <c r="J1992">
        <v>2016</v>
      </c>
      <c r="K1992" s="4">
        <v>44860</v>
      </c>
      <c r="L1992" t="s">
        <v>23</v>
      </c>
      <c r="M1992" t="s">
        <v>21</v>
      </c>
      <c r="N1992">
        <v>2.46</v>
      </c>
      <c r="O1992">
        <v>1721</v>
      </c>
      <c r="P1992">
        <v>0.28999999999999998</v>
      </c>
      <c r="Q1992">
        <v>79</v>
      </c>
      <c r="R1992">
        <v>356</v>
      </c>
    </row>
    <row r="1993" spans="1:18" hidden="1" x14ac:dyDescent="0.2">
      <c r="A1993">
        <v>2</v>
      </c>
      <c r="B1993" t="s">
        <v>72</v>
      </c>
      <c r="E1993" t="s">
        <v>36</v>
      </c>
      <c r="F1993">
        <v>1249589</v>
      </c>
      <c r="G1993">
        <v>3</v>
      </c>
      <c r="H1993">
        <v>2</v>
      </c>
      <c r="I1993">
        <v>567</v>
      </c>
      <c r="J1993">
        <v>2003</v>
      </c>
      <c r="K1993" s="4">
        <v>45572</v>
      </c>
      <c r="L1993" t="s">
        <v>23</v>
      </c>
      <c r="M1993" t="s">
        <v>77</v>
      </c>
      <c r="N1993">
        <v>2.21</v>
      </c>
      <c r="O1993">
        <v>1917</v>
      </c>
      <c r="P1993">
        <v>4.34</v>
      </c>
      <c r="Q1993">
        <v>183</v>
      </c>
      <c r="R1993">
        <v>512</v>
      </c>
    </row>
    <row r="1994" spans="1:18" hidden="1" x14ac:dyDescent="0.2">
      <c r="A1994">
        <v>5</v>
      </c>
      <c r="B1994" t="s">
        <v>102</v>
      </c>
      <c r="E1994" t="s">
        <v>29</v>
      </c>
      <c r="F1994">
        <v>1656259</v>
      </c>
      <c r="G1994">
        <v>2</v>
      </c>
      <c r="H1994">
        <v>1</v>
      </c>
      <c r="I1994">
        <v>421</v>
      </c>
      <c r="J1994">
        <v>1978</v>
      </c>
      <c r="K1994" s="4">
        <v>44659</v>
      </c>
      <c r="L1994" t="s">
        <v>20</v>
      </c>
      <c r="M1994" t="s">
        <v>47</v>
      </c>
      <c r="N1994">
        <v>3.46</v>
      </c>
      <c r="O1994">
        <v>1558</v>
      </c>
      <c r="P1994">
        <v>0.71</v>
      </c>
      <c r="Q1994">
        <v>50</v>
      </c>
      <c r="R1994">
        <v>590</v>
      </c>
    </row>
    <row r="1995" spans="1:18" hidden="1" x14ac:dyDescent="0.2">
      <c r="A1995">
        <v>4</v>
      </c>
      <c r="B1995" t="s">
        <v>53</v>
      </c>
      <c r="E1995" t="s">
        <v>29</v>
      </c>
      <c r="F1995">
        <v>2876870</v>
      </c>
      <c r="G1995">
        <v>4</v>
      </c>
      <c r="H1995">
        <v>2</v>
      </c>
      <c r="I1995">
        <v>708</v>
      </c>
      <c r="J1995">
        <v>1979</v>
      </c>
      <c r="K1995" s="4">
        <v>45541</v>
      </c>
      <c r="L1995" t="s">
        <v>20</v>
      </c>
      <c r="M1995" t="s">
        <v>37</v>
      </c>
      <c r="N1995">
        <v>2.6</v>
      </c>
      <c r="O1995">
        <v>1363</v>
      </c>
      <c r="P1995">
        <v>4.78</v>
      </c>
      <c r="Q1995">
        <v>235</v>
      </c>
      <c r="R1995">
        <v>359</v>
      </c>
    </row>
    <row r="1996" spans="1:18" hidden="1" x14ac:dyDescent="0.2">
      <c r="A1996">
        <v>0</v>
      </c>
      <c r="B1996" t="s">
        <v>81</v>
      </c>
      <c r="E1996" t="s">
        <v>29</v>
      </c>
      <c r="F1996">
        <v>1910750</v>
      </c>
      <c r="G1996">
        <v>3</v>
      </c>
      <c r="H1996">
        <v>3</v>
      </c>
      <c r="I1996">
        <v>828</v>
      </c>
      <c r="J1996">
        <v>1963</v>
      </c>
      <c r="K1996" s="4">
        <v>44798</v>
      </c>
      <c r="L1996" t="s">
        <v>26</v>
      </c>
      <c r="M1996" t="s">
        <v>82</v>
      </c>
      <c r="N1996">
        <v>3.14</v>
      </c>
      <c r="O1996">
        <v>909</v>
      </c>
      <c r="P1996">
        <v>2.12</v>
      </c>
      <c r="Q1996">
        <v>128</v>
      </c>
      <c r="R1996">
        <v>469</v>
      </c>
    </row>
    <row r="1997" spans="1:18" x14ac:dyDescent="0.2">
      <c r="A1997">
        <v>8</v>
      </c>
      <c r="B1997" t="s">
        <v>88</v>
      </c>
      <c r="E1997" t="s">
        <v>51</v>
      </c>
      <c r="F1997">
        <v>1404350</v>
      </c>
      <c r="G1997">
        <v>1</v>
      </c>
      <c r="H1997">
        <v>1</v>
      </c>
      <c r="I1997">
        <v>70</v>
      </c>
      <c r="J1997">
        <v>1968</v>
      </c>
      <c r="K1997" s="4">
        <v>44985</v>
      </c>
      <c r="L1997" t="s">
        <v>26</v>
      </c>
      <c r="M1997" t="s">
        <v>74</v>
      </c>
      <c r="N1997">
        <v>1.74</v>
      </c>
      <c r="O1997">
        <v>1827</v>
      </c>
      <c r="P1997">
        <v>2.58</v>
      </c>
      <c r="Q1997">
        <v>119</v>
      </c>
      <c r="R1997">
        <v>397</v>
      </c>
    </row>
    <row r="1998" spans="1:18" x14ac:dyDescent="0.2">
      <c r="A1998">
        <v>8</v>
      </c>
      <c r="B1998" t="s">
        <v>94</v>
      </c>
      <c r="E1998" t="s">
        <v>51</v>
      </c>
      <c r="F1998">
        <v>1819559</v>
      </c>
      <c r="G1998">
        <v>4</v>
      </c>
      <c r="H1998">
        <v>3</v>
      </c>
      <c r="I1998">
        <v>362</v>
      </c>
      <c r="J1998">
        <v>2005</v>
      </c>
      <c r="K1998" s="4">
        <v>45250</v>
      </c>
      <c r="L1998" t="s">
        <v>30</v>
      </c>
      <c r="M1998" t="s">
        <v>76</v>
      </c>
      <c r="N1998">
        <v>3.46</v>
      </c>
      <c r="O1998">
        <v>1819</v>
      </c>
      <c r="P1998">
        <v>0.59</v>
      </c>
      <c r="Q1998">
        <v>257</v>
      </c>
      <c r="R1998">
        <v>375</v>
      </c>
    </row>
    <row r="1999" spans="1:18" hidden="1" x14ac:dyDescent="0.2">
      <c r="A1999">
        <v>1</v>
      </c>
      <c r="B1999" t="s">
        <v>41</v>
      </c>
      <c r="E1999" t="s">
        <v>29</v>
      </c>
      <c r="F1999">
        <v>2262602</v>
      </c>
      <c r="G1999">
        <v>2</v>
      </c>
      <c r="H1999">
        <v>3</v>
      </c>
      <c r="I1999">
        <v>639</v>
      </c>
      <c r="J1999">
        <v>1964</v>
      </c>
      <c r="K1999" s="4">
        <v>44322</v>
      </c>
      <c r="L1999" t="s">
        <v>26</v>
      </c>
      <c r="M1999" t="s">
        <v>89</v>
      </c>
      <c r="N1999">
        <v>2.67</v>
      </c>
      <c r="O1999">
        <v>1393</v>
      </c>
      <c r="P1999">
        <v>1.44</v>
      </c>
      <c r="Q1999">
        <v>42</v>
      </c>
      <c r="R1999">
        <v>446</v>
      </c>
    </row>
    <row r="2000" spans="1:18" hidden="1" x14ac:dyDescent="0.2">
      <c r="A2000">
        <v>0</v>
      </c>
      <c r="B2000" t="s">
        <v>92</v>
      </c>
      <c r="E2000" t="s">
        <v>51</v>
      </c>
      <c r="F2000">
        <v>2154086</v>
      </c>
      <c r="G2000">
        <v>3</v>
      </c>
      <c r="H2000">
        <v>2</v>
      </c>
      <c r="I2000">
        <v>64</v>
      </c>
      <c r="J2000">
        <v>2001</v>
      </c>
      <c r="K2000" s="4">
        <v>45269</v>
      </c>
      <c r="L2000" t="s">
        <v>20</v>
      </c>
      <c r="M2000" t="s">
        <v>63</v>
      </c>
      <c r="N2000">
        <v>3.03</v>
      </c>
      <c r="O2000">
        <v>1258</v>
      </c>
      <c r="P2000">
        <v>1.6</v>
      </c>
      <c r="Q2000">
        <v>172</v>
      </c>
      <c r="R2000">
        <v>504</v>
      </c>
    </row>
    <row r="2001" spans="1:18" hidden="1" x14ac:dyDescent="0.2">
      <c r="A2001">
        <v>7</v>
      </c>
      <c r="B2001" t="s">
        <v>46</v>
      </c>
      <c r="E2001" t="s">
        <v>19</v>
      </c>
      <c r="F2001">
        <v>2744672</v>
      </c>
      <c r="G2001">
        <v>1</v>
      </c>
      <c r="H2001">
        <v>2</v>
      </c>
      <c r="I2001">
        <v>250</v>
      </c>
      <c r="J2001">
        <v>1975</v>
      </c>
      <c r="K2001" s="4">
        <v>45653</v>
      </c>
      <c r="L2001" t="s">
        <v>30</v>
      </c>
      <c r="M2001" t="s">
        <v>68</v>
      </c>
      <c r="N2001">
        <v>2.21</v>
      </c>
      <c r="O2001">
        <v>1257</v>
      </c>
      <c r="P2001">
        <v>3.94</v>
      </c>
      <c r="Q2001">
        <v>139</v>
      </c>
      <c r="R2001">
        <v>358</v>
      </c>
    </row>
    <row r="2002" spans="1:18" hidden="1" x14ac:dyDescent="0.2">
      <c r="A2002">
        <v>1</v>
      </c>
      <c r="B2002" t="s">
        <v>34</v>
      </c>
      <c r="E2002" t="s">
        <v>29</v>
      </c>
      <c r="F2002">
        <v>850569</v>
      </c>
      <c r="G2002">
        <v>3</v>
      </c>
      <c r="H2002">
        <v>2</v>
      </c>
      <c r="I2002">
        <v>88</v>
      </c>
      <c r="J2002">
        <v>1955</v>
      </c>
      <c r="K2002" s="4">
        <v>45796</v>
      </c>
      <c r="L2002" t="s">
        <v>26</v>
      </c>
      <c r="M2002" t="s">
        <v>59</v>
      </c>
      <c r="N2002">
        <v>2.15</v>
      </c>
      <c r="O2002">
        <v>2391</v>
      </c>
      <c r="P2002">
        <v>3.19</v>
      </c>
      <c r="Q2002">
        <v>148</v>
      </c>
      <c r="R2002">
        <v>429</v>
      </c>
    </row>
    <row r="2003" spans="1:18" hidden="1" x14ac:dyDescent="0.2">
      <c r="A2003">
        <v>3</v>
      </c>
      <c r="B2003" t="s">
        <v>39</v>
      </c>
      <c r="E2003" t="s">
        <v>19</v>
      </c>
      <c r="F2003">
        <v>794288</v>
      </c>
      <c r="G2003">
        <v>3</v>
      </c>
      <c r="H2003">
        <v>2</v>
      </c>
      <c r="I2003">
        <v>401</v>
      </c>
      <c r="J2003">
        <v>1954</v>
      </c>
      <c r="K2003" s="4">
        <v>45789</v>
      </c>
      <c r="L2003" t="s">
        <v>23</v>
      </c>
      <c r="M2003" t="s">
        <v>58</v>
      </c>
      <c r="N2003">
        <v>2.62</v>
      </c>
      <c r="O2003">
        <v>1260</v>
      </c>
      <c r="P2003">
        <v>4.72</v>
      </c>
      <c r="Q2003">
        <v>214</v>
      </c>
      <c r="R2003">
        <v>602</v>
      </c>
    </row>
    <row r="2004" spans="1:18" hidden="1" x14ac:dyDescent="0.2">
      <c r="A2004">
        <v>4</v>
      </c>
      <c r="B2004" t="s">
        <v>96</v>
      </c>
      <c r="E2004" t="s">
        <v>51</v>
      </c>
      <c r="F2004">
        <v>2929713</v>
      </c>
      <c r="G2004">
        <v>2</v>
      </c>
      <c r="H2004">
        <v>1</v>
      </c>
      <c r="I2004">
        <v>621</v>
      </c>
      <c r="J2004">
        <v>2006</v>
      </c>
      <c r="K2004" s="4">
        <v>45102</v>
      </c>
      <c r="L2004" t="s">
        <v>20</v>
      </c>
      <c r="M2004" t="s">
        <v>70</v>
      </c>
      <c r="N2004">
        <v>3.38</v>
      </c>
      <c r="O2004">
        <v>1113</v>
      </c>
      <c r="P2004">
        <v>1.1399999999999999</v>
      </c>
      <c r="Q2004">
        <v>236</v>
      </c>
      <c r="R2004">
        <v>611</v>
      </c>
    </row>
    <row r="2005" spans="1:18" hidden="1" x14ac:dyDescent="0.2">
      <c r="A2005">
        <v>0</v>
      </c>
      <c r="B2005" t="s">
        <v>79</v>
      </c>
      <c r="E2005" t="s">
        <v>51</v>
      </c>
      <c r="F2005">
        <v>2756271</v>
      </c>
      <c r="G2005">
        <v>4</v>
      </c>
      <c r="H2005">
        <v>3</v>
      </c>
      <c r="I2005">
        <v>838</v>
      </c>
      <c r="J2005">
        <v>2002</v>
      </c>
      <c r="K2005" s="4">
        <v>44901</v>
      </c>
      <c r="L2005" t="s">
        <v>20</v>
      </c>
      <c r="M2005" t="s">
        <v>54</v>
      </c>
      <c r="N2005">
        <v>2.21</v>
      </c>
      <c r="O2005">
        <v>2337</v>
      </c>
      <c r="P2005">
        <v>4.8</v>
      </c>
      <c r="Q2005">
        <v>378</v>
      </c>
      <c r="R2005">
        <v>495</v>
      </c>
    </row>
    <row r="2006" spans="1:18" hidden="1" x14ac:dyDescent="0.2">
      <c r="A2006">
        <v>7</v>
      </c>
      <c r="B2006" t="s">
        <v>48</v>
      </c>
      <c r="E2006" t="s">
        <v>29</v>
      </c>
      <c r="F2006">
        <v>1347178</v>
      </c>
      <c r="G2006">
        <v>3</v>
      </c>
      <c r="H2006">
        <v>1</v>
      </c>
      <c r="I2006">
        <v>437</v>
      </c>
      <c r="J2006">
        <v>1951</v>
      </c>
      <c r="K2006" s="4">
        <v>45458</v>
      </c>
      <c r="L2006" t="s">
        <v>23</v>
      </c>
      <c r="M2006" t="s">
        <v>24</v>
      </c>
      <c r="N2006">
        <v>2.71</v>
      </c>
      <c r="O2006">
        <v>1322</v>
      </c>
      <c r="P2006">
        <v>2.5499999999999998</v>
      </c>
      <c r="Q2006">
        <v>210</v>
      </c>
      <c r="R2006">
        <v>663</v>
      </c>
    </row>
    <row r="2007" spans="1:18" hidden="1" x14ac:dyDescent="0.2">
      <c r="A2007">
        <v>4</v>
      </c>
      <c r="B2007" t="s">
        <v>96</v>
      </c>
      <c r="E2007" t="s">
        <v>29</v>
      </c>
      <c r="F2007">
        <v>2044840</v>
      </c>
      <c r="G2007">
        <v>3</v>
      </c>
      <c r="H2007">
        <v>3</v>
      </c>
      <c r="I2007">
        <v>122</v>
      </c>
      <c r="J2007">
        <v>2005</v>
      </c>
      <c r="K2007" s="4">
        <v>45827</v>
      </c>
      <c r="L2007" t="s">
        <v>30</v>
      </c>
      <c r="M2007" t="s">
        <v>76</v>
      </c>
      <c r="N2007">
        <v>2.71</v>
      </c>
      <c r="O2007">
        <v>1342</v>
      </c>
      <c r="P2007">
        <v>0.35</v>
      </c>
      <c r="Q2007">
        <v>161</v>
      </c>
      <c r="R2007">
        <v>672</v>
      </c>
    </row>
    <row r="2008" spans="1:18" hidden="1" x14ac:dyDescent="0.2">
      <c r="A2008">
        <v>1</v>
      </c>
      <c r="B2008" t="s">
        <v>87</v>
      </c>
      <c r="E2008" t="s">
        <v>36</v>
      </c>
      <c r="F2008">
        <v>2586329</v>
      </c>
      <c r="G2008">
        <v>5</v>
      </c>
      <c r="H2008">
        <v>1</v>
      </c>
      <c r="I2008">
        <v>73</v>
      </c>
      <c r="J2008">
        <v>2000</v>
      </c>
      <c r="K2008" s="4">
        <v>45630</v>
      </c>
      <c r="L2008" t="s">
        <v>26</v>
      </c>
      <c r="M2008" t="s">
        <v>63</v>
      </c>
      <c r="N2008">
        <v>2.94</v>
      </c>
      <c r="O2008">
        <v>1304</v>
      </c>
      <c r="P2008">
        <v>4.7300000000000004</v>
      </c>
      <c r="Q2008">
        <v>329</v>
      </c>
      <c r="R2008">
        <v>670</v>
      </c>
    </row>
    <row r="2009" spans="1:18" hidden="1" x14ac:dyDescent="0.2">
      <c r="A2009">
        <v>9</v>
      </c>
      <c r="B2009" t="s">
        <v>44</v>
      </c>
      <c r="E2009" t="s">
        <v>29</v>
      </c>
      <c r="F2009">
        <v>1515433</v>
      </c>
      <c r="G2009">
        <v>5</v>
      </c>
      <c r="H2009">
        <v>3</v>
      </c>
      <c r="I2009">
        <v>54</v>
      </c>
      <c r="J2009">
        <v>1961</v>
      </c>
      <c r="K2009" s="4">
        <v>45864</v>
      </c>
      <c r="L2009" t="s">
        <v>20</v>
      </c>
      <c r="M2009" t="s">
        <v>69</v>
      </c>
      <c r="N2009">
        <v>2.95</v>
      </c>
      <c r="O2009">
        <v>2110</v>
      </c>
      <c r="P2009">
        <v>2.2200000000000002</v>
      </c>
      <c r="Q2009">
        <v>248</v>
      </c>
      <c r="R2009">
        <v>328</v>
      </c>
    </row>
    <row r="2010" spans="1:18" hidden="1" x14ac:dyDescent="0.2">
      <c r="A2010">
        <v>7</v>
      </c>
      <c r="B2010" t="s">
        <v>99</v>
      </c>
      <c r="E2010" t="s">
        <v>19</v>
      </c>
      <c r="F2010">
        <v>1683904</v>
      </c>
      <c r="G2010">
        <v>1</v>
      </c>
      <c r="H2010">
        <v>3</v>
      </c>
      <c r="I2010">
        <v>685</v>
      </c>
      <c r="J2010">
        <v>1972</v>
      </c>
      <c r="K2010" s="4">
        <v>45299</v>
      </c>
      <c r="L2010" t="s">
        <v>26</v>
      </c>
      <c r="M2010" t="s">
        <v>31</v>
      </c>
      <c r="N2010">
        <v>3.03</v>
      </c>
      <c r="O2010">
        <v>1034</v>
      </c>
      <c r="P2010">
        <v>0.63</v>
      </c>
      <c r="Q2010">
        <v>102</v>
      </c>
      <c r="R2010">
        <v>595</v>
      </c>
    </row>
    <row r="2011" spans="1:18" hidden="1" x14ac:dyDescent="0.2">
      <c r="A2011">
        <v>6</v>
      </c>
      <c r="B2011" t="s">
        <v>92</v>
      </c>
      <c r="E2011" t="s">
        <v>51</v>
      </c>
      <c r="F2011">
        <v>957670</v>
      </c>
      <c r="G2011">
        <v>5</v>
      </c>
      <c r="H2011">
        <v>2</v>
      </c>
      <c r="I2011">
        <v>288</v>
      </c>
      <c r="J2011">
        <v>2013</v>
      </c>
      <c r="K2011" s="4">
        <v>45638</v>
      </c>
      <c r="L2011" t="s">
        <v>30</v>
      </c>
      <c r="M2011" t="s">
        <v>27</v>
      </c>
      <c r="N2011">
        <v>1.93</v>
      </c>
      <c r="O2011">
        <v>1327</v>
      </c>
      <c r="P2011">
        <v>2.69</v>
      </c>
      <c r="Q2011">
        <v>299</v>
      </c>
      <c r="R2011">
        <v>496</v>
      </c>
    </row>
    <row r="2012" spans="1:18" hidden="1" x14ac:dyDescent="0.2">
      <c r="A2012">
        <v>2</v>
      </c>
      <c r="B2012" t="s">
        <v>73</v>
      </c>
      <c r="E2012" t="s">
        <v>36</v>
      </c>
      <c r="F2012">
        <v>1693403</v>
      </c>
      <c r="G2012">
        <v>3</v>
      </c>
      <c r="H2012">
        <v>2</v>
      </c>
      <c r="I2012">
        <v>285</v>
      </c>
      <c r="J2012">
        <v>1993</v>
      </c>
      <c r="K2012" s="4">
        <v>44982</v>
      </c>
      <c r="L2012" t="s">
        <v>20</v>
      </c>
      <c r="M2012" t="s">
        <v>97</v>
      </c>
      <c r="N2012">
        <v>1.67</v>
      </c>
      <c r="O2012">
        <v>812</v>
      </c>
      <c r="P2012">
        <v>2.92</v>
      </c>
      <c r="Q2012">
        <v>303</v>
      </c>
      <c r="R2012">
        <v>549</v>
      </c>
    </row>
    <row r="2013" spans="1:18" hidden="1" x14ac:dyDescent="0.2">
      <c r="A2013">
        <v>4</v>
      </c>
      <c r="B2013" t="s">
        <v>62</v>
      </c>
      <c r="E2013" t="s">
        <v>29</v>
      </c>
      <c r="F2013">
        <v>2915502</v>
      </c>
      <c r="G2013">
        <v>4</v>
      </c>
      <c r="H2013">
        <v>1</v>
      </c>
      <c r="I2013">
        <v>741</v>
      </c>
      <c r="J2013">
        <v>1961</v>
      </c>
      <c r="K2013" s="4">
        <v>44665</v>
      </c>
      <c r="L2013" t="s">
        <v>30</v>
      </c>
      <c r="M2013" t="s">
        <v>27</v>
      </c>
      <c r="N2013">
        <v>2.66</v>
      </c>
      <c r="O2013">
        <v>1627</v>
      </c>
      <c r="P2013">
        <v>1.23</v>
      </c>
      <c r="Q2013">
        <v>207</v>
      </c>
      <c r="R2013">
        <v>439</v>
      </c>
    </row>
    <row r="2014" spans="1:18" x14ac:dyDescent="0.2">
      <c r="A2014">
        <v>8</v>
      </c>
      <c r="B2014" t="s">
        <v>57</v>
      </c>
      <c r="E2014" t="s">
        <v>19</v>
      </c>
      <c r="F2014">
        <v>848715</v>
      </c>
      <c r="G2014">
        <v>0</v>
      </c>
      <c r="H2014">
        <v>1</v>
      </c>
      <c r="I2014">
        <v>644</v>
      </c>
      <c r="J2014">
        <v>1976</v>
      </c>
      <c r="K2014" s="4">
        <v>44771</v>
      </c>
      <c r="L2014" t="s">
        <v>23</v>
      </c>
      <c r="M2014" t="s">
        <v>31</v>
      </c>
      <c r="N2014">
        <v>2.17</v>
      </c>
      <c r="O2014">
        <v>1701</v>
      </c>
      <c r="P2014">
        <v>3.04</v>
      </c>
      <c r="Q2014">
        <v>48</v>
      </c>
      <c r="R2014">
        <v>545</v>
      </c>
    </row>
    <row r="2015" spans="1:18" hidden="1" x14ac:dyDescent="0.2">
      <c r="A2015">
        <v>6</v>
      </c>
      <c r="B2015" t="s">
        <v>43</v>
      </c>
      <c r="E2015" t="s">
        <v>29</v>
      </c>
      <c r="F2015">
        <v>996036</v>
      </c>
      <c r="G2015">
        <v>6</v>
      </c>
      <c r="H2015">
        <v>1</v>
      </c>
      <c r="I2015">
        <v>578</v>
      </c>
      <c r="J2015">
        <v>1960</v>
      </c>
      <c r="K2015" s="4">
        <v>45881</v>
      </c>
      <c r="L2015" t="s">
        <v>23</v>
      </c>
      <c r="M2015" t="s">
        <v>89</v>
      </c>
      <c r="N2015">
        <v>1.96</v>
      </c>
      <c r="O2015">
        <v>1264</v>
      </c>
      <c r="P2015">
        <v>2.14</v>
      </c>
      <c r="Q2015">
        <v>388</v>
      </c>
      <c r="R2015">
        <v>646</v>
      </c>
    </row>
    <row r="2016" spans="1:18" hidden="1" x14ac:dyDescent="0.2">
      <c r="A2016">
        <v>0</v>
      </c>
      <c r="B2016" t="s">
        <v>80</v>
      </c>
      <c r="E2016" t="s">
        <v>51</v>
      </c>
      <c r="F2016">
        <v>1394505</v>
      </c>
      <c r="G2016">
        <v>1</v>
      </c>
      <c r="H2016">
        <v>2</v>
      </c>
      <c r="I2016">
        <v>692</v>
      </c>
      <c r="J2016">
        <v>2019</v>
      </c>
      <c r="K2016" s="4">
        <v>44388</v>
      </c>
      <c r="L2016" t="s">
        <v>30</v>
      </c>
      <c r="M2016" t="s">
        <v>66</v>
      </c>
      <c r="N2016">
        <v>1.81</v>
      </c>
      <c r="O2016">
        <v>2401</v>
      </c>
      <c r="P2016">
        <v>1.73</v>
      </c>
      <c r="Q2016">
        <v>111</v>
      </c>
      <c r="R2016">
        <v>682</v>
      </c>
    </row>
    <row r="2017" spans="1:18" x14ac:dyDescent="0.2">
      <c r="A2017">
        <v>8</v>
      </c>
      <c r="B2017" t="s">
        <v>62</v>
      </c>
      <c r="E2017" t="s">
        <v>36</v>
      </c>
      <c r="F2017">
        <v>2099007</v>
      </c>
      <c r="G2017">
        <v>4</v>
      </c>
      <c r="H2017">
        <v>2</v>
      </c>
      <c r="I2017">
        <v>336</v>
      </c>
      <c r="J2017">
        <v>2018</v>
      </c>
      <c r="K2017" s="4">
        <v>45324</v>
      </c>
      <c r="L2017" t="s">
        <v>26</v>
      </c>
      <c r="M2017" t="s">
        <v>45</v>
      </c>
      <c r="N2017">
        <v>2.59</v>
      </c>
      <c r="O2017">
        <v>1188</v>
      </c>
      <c r="P2017">
        <v>3.86</v>
      </c>
      <c r="Q2017">
        <v>297</v>
      </c>
      <c r="R2017">
        <v>312</v>
      </c>
    </row>
    <row r="2018" spans="1:18" hidden="1" x14ac:dyDescent="0.2">
      <c r="A2018">
        <v>4</v>
      </c>
      <c r="B2018" t="s">
        <v>94</v>
      </c>
      <c r="E2018" t="s">
        <v>19</v>
      </c>
      <c r="F2018">
        <v>2775113</v>
      </c>
      <c r="G2018">
        <v>3</v>
      </c>
      <c r="H2018">
        <v>1</v>
      </c>
      <c r="I2018">
        <v>650</v>
      </c>
      <c r="J2018">
        <v>1968</v>
      </c>
      <c r="K2018" s="4">
        <v>45266</v>
      </c>
      <c r="L2018" t="s">
        <v>20</v>
      </c>
      <c r="M2018" t="s">
        <v>78</v>
      </c>
      <c r="N2018">
        <v>1.68</v>
      </c>
      <c r="O2018">
        <v>1991</v>
      </c>
      <c r="P2018">
        <v>4.4800000000000004</v>
      </c>
      <c r="Q2018">
        <v>177</v>
      </c>
      <c r="R2018">
        <v>464</v>
      </c>
    </row>
    <row r="2019" spans="1:18" hidden="1" x14ac:dyDescent="0.2">
      <c r="A2019">
        <v>2</v>
      </c>
      <c r="B2019" t="s">
        <v>65</v>
      </c>
      <c r="E2019" t="s">
        <v>36</v>
      </c>
      <c r="F2019">
        <v>2316862</v>
      </c>
      <c r="G2019">
        <v>3</v>
      </c>
      <c r="H2019">
        <v>3</v>
      </c>
      <c r="I2019">
        <v>400</v>
      </c>
      <c r="J2019">
        <v>1975</v>
      </c>
      <c r="K2019" s="4">
        <v>45780</v>
      </c>
      <c r="L2019" t="s">
        <v>23</v>
      </c>
      <c r="M2019" t="s">
        <v>40</v>
      </c>
      <c r="N2019">
        <v>2.2000000000000002</v>
      </c>
      <c r="O2019">
        <v>1586</v>
      </c>
      <c r="P2019">
        <v>1.98</v>
      </c>
      <c r="Q2019">
        <v>249</v>
      </c>
      <c r="R2019">
        <v>559</v>
      </c>
    </row>
    <row r="2020" spans="1:18" hidden="1" x14ac:dyDescent="0.2">
      <c r="A2020">
        <v>6</v>
      </c>
      <c r="B2020" t="s">
        <v>93</v>
      </c>
      <c r="E2020" t="s">
        <v>51</v>
      </c>
      <c r="F2020">
        <v>800966</v>
      </c>
      <c r="G2020">
        <v>6</v>
      </c>
      <c r="H2020">
        <v>1</v>
      </c>
      <c r="I2020">
        <v>606</v>
      </c>
      <c r="J2020">
        <v>1999</v>
      </c>
      <c r="K2020" s="4">
        <v>44766</v>
      </c>
      <c r="L2020" t="s">
        <v>30</v>
      </c>
      <c r="M2020" t="s">
        <v>47</v>
      </c>
      <c r="N2020">
        <v>1.58</v>
      </c>
      <c r="O2020">
        <v>1646</v>
      </c>
      <c r="P2020">
        <v>4.9400000000000004</v>
      </c>
      <c r="Q2020">
        <v>360</v>
      </c>
      <c r="R2020">
        <v>438</v>
      </c>
    </row>
    <row r="2021" spans="1:18" hidden="1" x14ac:dyDescent="0.2">
      <c r="A2021">
        <v>4</v>
      </c>
      <c r="B2021" t="s">
        <v>102</v>
      </c>
      <c r="E2021" t="s">
        <v>29</v>
      </c>
      <c r="F2021">
        <v>2173917</v>
      </c>
      <c r="G2021">
        <v>4</v>
      </c>
      <c r="H2021">
        <v>1</v>
      </c>
      <c r="I2021">
        <v>812</v>
      </c>
      <c r="J2021">
        <v>2006</v>
      </c>
      <c r="K2021" s="4">
        <v>44070</v>
      </c>
      <c r="L2021" t="s">
        <v>20</v>
      </c>
      <c r="M2021" t="s">
        <v>68</v>
      </c>
      <c r="N2021">
        <v>2.16</v>
      </c>
      <c r="O2021">
        <v>1682</v>
      </c>
      <c r="P2021">
        <v>3.56</v>
      </c>
      <c r="Q2021">
        <v>395</v>
      </c>
      <c r="R2021">
        <v>410</v>
      </c>
    </row>
    <row r="2022" spans="1:18" hidden="1" x14ac:dyDescent="0.2">
      <c r="A2022">
        <v>1</v>
      </c>
      <c r="B2022" t="s">
        <v>75</v>
      </c>
      <c r="E2022" t="s">
        <v>36</v>
      </c>
      <c r="F2022">
        <v>2875169</v>
      </c>
      <c r="G2022">
        <v>4</v>
      </c>
      <c r="H2022">
        <v>3</v>
      </c>
      <c r="I2022">
        <v>835</v>
      </c>
      <c r="J2022">
        <v>1991</v>
      </c>
      <c r="K2022" s="4">
        <v>45181</v>
      </c>
      <c r="L2022" t="s">
        <v>26</v>
      </c>
      <c r="M2022" t="s">
        <v>24</v>
      </c>
      <c r="N2022">
        <v>2.86</v>
      </c>
      <c r="O2022">
        <v>1767</v>
      </c>
      <c r="P2022">
        <v>2.13</v>
      </c>
      <c r="Q2022">
        <v>283</v>
      </c>
      <c r="R2022">
        <v>419</v>
      </c>
    </row>
    <row r="2023" spans="1:18" hidden="1" x14ac:dyDescent="0.2">
      <c r="A2023">
        <v>5</v>
      </c>
      <c r="B2023" t="s">
        <v>18</v>
      </c>
      <c r="E2023" t="s">
        <v>51</v>
      </c>
      <c r="F2023">
        <v>2791971</v>
      </c>
      <c r="G2023">
        <v>3</v>
      </c>
      <c r="H2023">
        <v>2</v>
      </c>
      <c r="I2023">
        <v>163</v>
      </c>
      <c r="J2023">
        <v>2004</v>
      </c>
      <c r="K2023" s="4">
        <v>44856</v>
      </c>
      <c r="L2023" t="s">
        <v>20</v>
      </c>
      <c r="M2023" t="s">
        <v>76</v>
      </c>
      <c r="N2023">
        <v>1.6</v>
      </c>
      <c r="O2023">
        <v>1310</v>
      </c>
      <c r="P2023">
        <v>1.02</v>
      </c>
      <c r="Q2023">
        <v>210</v>
      </c>
      <c r="R2023">
        <v>322</v>
      </c>
    </row>
    <row r="2024" spans="1:18" hidden="1" x14ac:dyDescent="0.2">
      <c r="A2024">
        <v>5</v>
      </c>
      <c r="B2024" t="s">
        <v>50</v>
      </c>
      <c r="E2024" t="s">
        <v>36</v>
      </c>
      <c r="F2024">
        <v>442950</v>
      </c>
      <c r="G2024">
        <v>4</v>
      </c>
      <c r="H2024">
        <v>1</v>
      </c>
      <c r="I2024">
        <v>793</v>
      </c>
      <c r="J2024">
        <v>1959</v>
      </c>
      <c r="K2024" s="4">
        <v>45136</v>
      </c>
      <c r="L2024" t="s">
        <v>23</v>
      </c>
      <c r="M2024" t="s">
        <v>97</v>
      </c>
      <c r="N2024">
        <v>3.21</v>
      </c>
      <c r="O2024">
        <v>1680</v>
      </c>
      <c r="P2024">
        <v>2.19</v>
      </c>
      <c r="Q2024">
        <v>327</v>
      </c>
      <c r="R2024">
        <v>685</v>
      </c>
    </row>
    <row r="2025" spans="1:18" hidden="1" x14ac:dyDescent="0.2">
      <c r="A2025">
        <v>7</v>
      </c>
      <c r="B2025" t="s">
        <v>41</v>
      </c>
      <c r="E2025" t="s">
        <v>29</v>
      </c>
      <c r="F2025">
        <v>1696692</v>
      </c>
      <c r="G2025">
        <v>3</v>
      </c>
      <c r="H2025">
        <v>3</v>
      </c>
      <c r="I2025">
        <v>421</v>
      </c>
      <c r="J2025">
        <v>1987</v>
      </c>
      <c r="K2025" s="4">
        <v>45724</v>
      </c>
      <c r="L2025" t="s">
        <v>20</v>
      </c>
      <c r="M2025" t="s">
        <v>69</v>
      </c>
      <c r="N2025">
        <v>1.54</v>
      </c>
      <c r="O2025">
        <v>1478</v>
      </c>
      <c r="P2025">
        <v>1.35</v>
      </c>
      <c r="Q2025">
        <v>82</v>
      </c>
      <c r="R2025">
        <v>558</v>
      </c>
    </row>
    <row r="2026" spans="1:18" hidden="1" x14ac:dyDescent="0.2">
      <c r="A2026">
        <v>0</v>
      </c>
      <c r="B2026" t="s">
        <v>43</v>
      </c>
      <c r="E2026" t="s">
        <v>19</v>
      </c>
      <c r="F2026">
        <v>880643</v>
      </c>
      <c r="G2026">
        <v>4</v>
      </c>
      <c r="H2026">
        <v>1</v>
      </c>
      <c r="I2026">
        <v>722</v>
      </c>
      <c r="J2026">
        <v>1956</v>
      </c>
      <c r="K2026" s="4">
        <v>45163</v>
      </c>
      <c r="L2026" t="s">
        <v>23</v>
      </c>
      <c r="M2026" t="s">
        <v>21</v>
      </c>
      <c r="N2026">
        <v>3.19</v>
      </c>
      <c r="O2026">
        <v>1295</v>
      </c>
      <c r="P2026">
        <v>3.56</v>
      </c>
      <c r="Q2026">
        <v>283</v>
      </c>
      <c r="R2026">
        <v>604</v>
      </c>
    </row>
    <row r="2027" spans="1:18" hidden="1" x14ac:dyDescent="0.2">
      <c r="A2027">
        <v>4</v>
      </c>
      <c r="B2027" t="s">
        <v>86</v>
      </c>
      <c r="E2027" t="s">
        <v>29</v>
      </c>
      <c r="F2027">
        <v>2084457</v>
      </c>
      <c r="G2027">
        <v>1</v>
      </c>
      <c r="H2027">
        <v>1</v>
      </c>
      <c r="I2027">
        <v>497</v>
      </c>
      <c r="J2027">
        <v>1992</v>
      </c>
      <c r="K2027" s="4">
        <v>44315</v>
      </c>
      <c r="L2027" t="s">
        <v>26</v>
      </c>
      <c r="M2027" t="s">
        <v>42</v>
      </c>
      <c r="N2027">
        <v>3.45</v>
      </c>
      <c r="O2027">
        <v>1797</v>
      </c>
      <c r="P2027">
        <v>0.94</v>
      </c>
      <c r="Q2027">
        <v>82</v>
      </c>
      <c r="R2027">
        <v>453</v>
      </c>
    </row>
    <row r="2028" spans="1:18" hidden="1" x14ac:dyDescent="0.2">
      <c r="A2028">
        <v>5</v>
      </c>
      <c r="B2028" t="s">
        <v>104</v>
      </c>
      <c r="E2028" t="s">
        <v>36</v>
      </c>
      <c r="F2028">
        <v>2035000</v>
      </c>
      <c r="G2028">
        <v>5</v>
      </c>
      <c r="H2028">
        <v>2</v>
      </c>
      <c r="I2028">
        <v>109</v>
      </c>
      <c r="J2028">
        <v>1977</v>
      </c>
      <c r="K2028" s="4">
        <v>44751</v>
      </c>
      <c r="L2028" t="s">
        <v>30</v>
      </c>
      <c r="M2028" t="s">
        <v>52</v>
      </c>
      <c r="N2028">
        <v>1.95</v>
      </c>
      <c r="O2028">
        <v>1302</v>
      </c>
      <c r="P2028">
        <v>4.12</v>
      </c>
      <c r="Q2028">
        <v>317</v>
      </c>
      <c r="R2028">
        <v>346</v>
      </c>
    </row>
    <row r="2029" spans="1:18" hidden="1" x14ac:dyDescent="0.2">
      <c r="A2029">
        <v>2</v>
      </c>
      <c r="B2029" t="s">
        <v>22</v>
      </c>
      <c r="E2029" t="s">
        <v>51</v>
      </c>
      <c r="F2029">
        <v>961839</v>
      </c>
      <c r="G2029">
        <v>3</v>
      </c>
      <c r="H2029">
        <v>3</v>
      </c>
      <c r="I2029">
        <v>852</v>
      </c>
      <c r="J2029">
        <v>1986</v>
      </c>
      <c r="K2029" s="4">
        <v>45181</v>
      </c>
      <c r="L2029" t="s">
        <v>26</v>
      </c>
      <c r="M2029" t="s">
        <v>78</v>
      </c>
      <c r="N2029">
        <v>1.74</v>
      </c>
      <c r="O2029">
        <v>1759</v>
      </c>
      <c r="P2029">
        <v>0.67</v>
      </c>
      <c r="Q2029">
        <v>178</v>
      </c>
      <c r="R2029">
        <v>650</v>
      </c>
    </row>
    <row r="2030" spans="1:18" hidden="1" x14ac:dyDescent="0.2">
      <c r="A2030">
        <v>1</v>
      </c>
      <c r="B2030" t="s">
        <v>34</v>
      </c>
      <c r="E2030" t="s">
        <v>51</v>
      </c>
      <c r="F2030">
        <v>2300589</v>
      </c>
      <c r="G2030">
        <v>5</v>
      </c>
      <c r="H2030">
        <v>1</v>
      </c>
      <c r="I2030">
        <v>145</v>
      </c>
      <c r="J2030">
        <v>2001</v>
      </c>
      <c r="K2030" s="4">
        <v>45636</v>
      </c>
      <c r="L2030" t="s">
        <v>23</v>
      </c>
      <c r="M2030" t="s">
        <v>85</v>
      </c>
      <c r="N2030">
        <v>1.95</v>
      </c>
      <c r="O2030">
        <v>2437</v>
      </c>
      <c r="P2030">
        <v>2.2200000000000002</v>
      </c>
      <c r="Q2030">
        <v>397</v>
      </c>
      <c r="R2030">
        <v>563</v>
      </c>
    </row>
    <row r="2031" spans="1:18" hidden="1" x14ac:dyDescent="0.2">
      <c r="A2031">
        <v>5</v>
      </c>
      <c r="B2031" t="s">
        <v>83</v>
      </c>
      <c r="E2031" t="s">
        <v>19</v>
      </c>
      <c r="F2031">
        <v>2265448</v>
      </c>
      <c r="G2031">
        <v>2</v>
      </c>
      <c r="H2031">
        <v>2</v>
      </c>
      <c r="I2031">
        <v>891</v>
      </c>
      <c r="J2031">
        <v>1966</v>
      </c>
      <c r="K2031" s="4">
        <v>44135</v>
      </c>
      <c r="L2031" t="s">
        <v>20</v>
      </c>
      <c r="M2031" t="s">
        <v>60</v>
      </c>
      <c r="N2031">
        <v>2.0099999999999998</v>
      </c>
      <c r="O2031">
        <v>1408</v>
      </c>
      <c r="P2031">
        <v>1.36</v>
      </c>
      <c r="Q2031">
        <v>117</v>
      </c>
      <c r="R2031">
        <v>497</v>
      </c>
    </row>
    <row r="2032" spans="1:18" hidden="1" x14ac:dyDescent="0.2">
      <c r="A2032">
        <v>3</v>
      </c>
      <c r="B2032" t="s">
        <v>22</v>
      </c>
      <c r="E2032" t="s">
        <v>36</v>
      </c>
      <c r="F2032">
        <v>664473</v>
      </c>
      <c r="G2032">
        <v>3</v>
      </c>
      <c r="H2032">
        <v>3</v>
      </c>
      <c r="I2032">
        <v>112</v>
      </c>
      <c r="J2032">
        <v>1981</v>
      </c>
      <c r="K2032" s="4">
        <v>44118</v>
      </c>
      <c r="L2032" t="s">
        <v>26</v>
      </c>
      <c r="M2032" t="s">
        <v>76</v>
      </c>
      <c r="N2032">
        <v>3.48</v>
      </c>
      <c r="O2032">
        <v>2022</v>
      </c>
      <c r="P2032">
        <v>2.46</v>
      </c>
      <c r="Q2032">
        <v>234</v>
      </c>
      <c r="R2032">
        <v>429</v>
      </c>
    </row>
    <row r="2033" spans="1:18" hidden="1" x14ac:dyDescent="0.2">
      <c r="A2033">
        <v>7</v>
      </c>
      <c r="B2033" t="s">
        <v>53</v>
      </c>
      <c r="E2033" t="s">
        <v>19</v>
      </c>
      <c r="F2033">
        <v>1070984</v>
      </c>
      <c r="G2033">
        <v>2</v>
      </c>
      <c r="H2033">
        <v>3</v>
      </c>
      <c r="I2033">
        <v>829</v>
      </c>
      <c r="J2033">
        <v>2013</v>
      </c>
      <c r="K2033" s="4">
        <v>45195</v>
      </c>
      <c r="L2033" t="s">
        <v>30</v>
      </c>
      <c r="M2033" t="s">
        <v>42</v>
      </c>
      <c r="N2033">
        <v>2.13</v>
      </c>
      <c r="O2033">
        <v>1808</v>
      </c>
      <c r="P2033">
        <v>3.59</v>
      </c>
      <c r="Q2033">
        <v>173</v>
      </c>
      <c r="R2033">
        <v>585</v>
      </c>
    </row>
    <row r="2034" spans="1:18" hidden="1" x14ac:dyDescent="0.2">
      <c r="A2034">
        <v>2</v>
      </c>
      <c r="B2034" t="s">
        <v>38</v>
      </c>
      <c r="E2034" t="s">
        <v>36</v>
      </c>
      <c r="F2034">
        <v>1772108</v>
      </c>
      <c r="G2034">
        <v>3</v>
      </c>
      <c r="H2034">
        <v>3</v>
      </c>
      <c r="I2034">
        <v>941</v>
      </c>
      <c r="J2034">
        <v>2009</v>
      </c>
      <c r="K2034" s="4">
        <v>45347</v>
      </c>
      <c r="L2034" t="s">
        <v>23</v>
      </c>
      <c r="M2034" t="s">
        <v>37</v>
      </c>
      <c r="N2034">
        <v>3.28</v>
      </c>
      <c r="O2034">
        <v>2180</v>
      </c>
      <c r="P2034">
        <v>1.79</v>
      </c>
      <c r="Q2034">
        <v>138</v>
      </c>
      <c r="R2034">
        <v>508</v>
      </c>
    </row>
    <row r="2035" spans="1:18" hidden="1" x14ac:dyDescent="0.2">
      <c r="A2035">
        <v>0</v>
      </c>
      <c r="B2035" t="s">
        <v>53</v>
      </c>
      <c r="E2035" t="s">
        <v>51</v>
      </c>
      <c r="F2035">
        <v>1318580</v>
      </c>
      <c r="G2035">
        <v>3</v>
      </c>
      <c r="H2035">
        <v>2</v>
      </c>
      <c r="I2035">
        <v>534</v>
      </c>
      <c r="J2035">
        <v>1951</v>
      </c>
      <c r="K2035" s="4">
        <v>44299</v>
      </c>
      <c r="L2035" t="s">
        <v>30</v>
      </c>
      <c r="M2035" t="s">
        <v>21</v>
      </c>
      <c r="N2035">
        <v>2.64</v>
      </c>
      <c r="O2035">
        <v>2075</v>
      </c>
      <c r="P2035">
        <v>3.84</v>
      </c>
      <c r="Q2035">
        <v>169</v>
      </c>
      <c r="R2035">
        <v>307</v>
      </c>
    </row>
    <row r="2036" spans="1:18" hidden="1" x14ac:dyDescent="0.2">
      <c r="A2036">
        <v>9</v>
      </c>
      <c r="B2036" t="s">
        <v>94</v>
      </c>
      <c r="E2036" t="s">
        <v>19</v>
      </c>
      <c r="F2036">
        <v>2604571</v>
      </c>
      <c r="G2036">
        <v>1</v>
      </c>
      <c r="H2036">
        <v>3</v>
      </c>
      <c r="I2036">
        <v>167</v>
      </c>
      <c r="J2036">
        <v>2015</v>
      </c>
      <c r="K2036" s="4">
        <v>45638</v>
      </c>
      <c r="L2036" t="s">
        <v>20</v>
      </c>
      <c r="M2036" t="s">
        <v>76</v>
      </c>
      <c r="N2036">
        <v>3.3</v>
      </c>
      <c r="O2036">
        <v>1523</v>
      </c>
      <c r="P2036">
        <v>4.99</v>
      </c>
      <c r="Q2036">
        <v>73</v>
      </c>
      <c r="R2036">
        <v>396</v>
      </c>
    </row>
    <row r="2037" spans="1:18" hidden="1" x14ac:dyDescent="0.2">
      <c r="A2037">
        <v>5</v>
      </c>
      <c r="B2037" t="s">
        <v>39</v>
      </c>
      <c r="E2037" t="s">
        <v>36</v>
      </c>
      <c r="F2037">
        <v>882545</v>
      </c>
      <c r="G2037">
        <v>2</v>
      </c>
      <c r="H2037">
        <v>2</v>
      </c>
      <c r="I2037">
        <v>557</v>
      </c>
      <c r="J2037">
        <v>2013</v>
      </c>
      <c r="K2037" s="4">
        <v>45333</v>
      </c>
      <c r="L2037" t="s">
        <v>26</v>
      </c>
      <c r="M2037" t="s">
        <v>60</v>
      </c>
      <c r="N2037">
        <v>2.97</v>
      </c>
      <c r="O2037">
        <v>1204</v>
      </c>
      <c r="P2037">
        <v>0.35</v>
      </c>
      <c r="Q2037">
        <v>102</v>
      </c>
      <c r="R2037">
        <v>616</v>
      </c>
    </row>
    <row r="2038" spans="1:18" hidden="1" x14ac:dyDescent="0.2">
      <c r="A2038">
        <v>4</v>
      </c>
      <c r="B2038" t="s">
        <v>50</v>
      </c>
      <c r="E2038" t="s">
        <v>51</v>
      </c>
      <c r="F2038">
        <v>496756</v>
      </c>
      <c r="G2038">
        <v>3</v>
      </c>
      <c r="H2038">
        <v>1</v>
      </c>
      <c r="I2038">
        <v>399</v>
      </c>
      <c r="J2038">
        <v>2016</v>
      </c>
      <c r="K2038" s="4">
        <v>44436</v>
      </c>
      <c r="L2038" t="s">
        <v>23</v>
      </c>
      <c r="M2038" t="s">
        <v>37</v>
      </c>
      <c r="N2038">
        <v>1.64</v>
      </c>
      <c r="O2038">
        <v>1852</v>
      </c>
      <c r="P2038">
        <v>2.66</v>
      </c>
      <c r="Q2038">
        <v>93</v>
      </c>
      <c r="R2038">
        <v>321</v>
      </c>
    </row>
    <row r="2039" spans="1:18" hidden="1" x14ac:dyDescent="0.2">
      <c r="A2039">
        <v>0</v>
      </c>
      <c r="B2039" t="s">
        <v>64</v>
      </c>
      <c r="E2039" t="s">
        <v>36</v>
      </c>
      <c r="F2039">
        <v>2359666</v>
      </c>
      <c r="G2039">
        <v>3</v>
      </c>
      <c r="H2039">
        <v>2</v>
      </c>
      <c r="I2039">
        <v>148</v>
      </c>
      <c r="J2039">
        <v>2005</v>
      </c>
      <c r="K2039" s="4">
        <v>44412</v>
      </c>
      <c r="L2039" t="s">
        <v>30</v>
      </c>
      <c r="M2039" t="s">
        <v>85</v>
      </c>
      <c r="N2039">
        <v>2.11</v>
      </c>
      <c r="O2039">
        <v>2309</v>
      </c>
      <c r="P2039">
        <v>1.22</v>
      </c>
      <c r="Q2039">
        <v>188</v>
      </c>
      <c r="R2039">
        <v>637</v>
      </c>
    </row>
    <row r="2040" spans="1:18" hidden="1" x14ac:dyDescent="0.2">
      <c r="A2040">
        <v>6</v>
      </c>
      <c r="B2040" t="s">
        <v>100</v>
      </c>
      <c r="E2040" t="s">
        <v>36</v>
      </c>
      <c r="F2040">
        <v>1280743</v>
      </c>
      <c r="G2040">
        <v>6</v>
      </c>
      <c r="H2040">
        <v>1</v>
      </c>
      <c r="I2040">
        <v>994</v>
      </c>
      <c r="J2040">
        <v>1981</v>
      </c>
      <c r="K2040" s="4">
        <v>45480</v>
      </c>
      <c r="L2040" t="s">
        <v>23</v>
      </c>
      <c r="M2040" t="s">
        <v>47</v>
      </c>
      <c r="N2040">
        <v>2.5299999999999998</v>
      </c>
      <c r="O2040">
        <v>1443</v>
      </c>
      <c r="P2040">
        <v>2.0499999999999998</v>
      </c>
      <c r="Q2040">
        <v>345</v>
      </c>
      <c r="R2040">
        <v>488</v>
      </c>
    </row>
    <row r="2041" spans="1:18" hidden="1" x14ac:dyDescent="0.2">
      <c r="A2041">
        <v>0</v>
      </c>
      <c r="B2041" t="s">
        <v>100</v>
      </c>
      <c r="E2041" t="s">
        <v>51</v>
      </c>
      <c r="F2041">
        <v>854517</v>
      </c>
      <c r="G2041">
        <v>5</v>
      </c>
      <c r="H2041">
        <v>1</v>
      </c>
      <c r="I2041">
        <v>653</v>
      </c>
      <c r="J2041">
        <v>1953</v>
      </c>
      <c r="K2041" s="4">
        <v>44121</v>
      </c>
      <c r="L2041" t="s">
        <v>20</v>
      </c>
      <c r="M2041" t="s">
        <v>60</v>
      </c>
      <c r="N2041">
        <v>1.5</v>
      </c>
      <c r="O2041">
        <v>1346</v>
      </c>
      <c r="P2041">
        <v>2.93</v>
      </c>
      <c r="Q2041">
        <v>334</v>
      </c>
      <c r="R2041">
        <v>503</v>
      </c>
    </row>
    <row r="2042" spans="1:18" hidden="1" x14ac:dyDescent="0.2">
      <c r="A2042">
        <v>2</v>
      </c>
      <c r="B2042" t="s">
        <v>55</v>
      </c>
      <c r="E2042" t="s">
        <v>51</v>
      </c>
      <c r="F2042">
        <v>544229</v>
      </c>
      <c r="G2042">
        <v>3</v>
      </c>
      <c r="H2042">
        <v>2</v>
      </c>
      <c r="I2042">
        <v>154</v>
      </c>
      <c r="J2042">
        <v>2009</v>
      </c>
      <c r="K2042" s="4">
        <v>44623</v>
      </c>
      <c r="L2042" t="s">
        <v>26</v>
      </c>
      <c r="M2042" t="s">
        <v>21</v>
      </c>
      <c r="N2042">
        <v>2.2200000000000002</v>
      </c>
      <c r="O2042">
        <v>2027</v>
      </c>
      <c r="P2042">
        <v>0.63</v>
      </c>
      <c r="Q2042">
        <v>172</v>
      </c>
      <c r="R2042">
        <v>558</v>
      </c>
    </row>
    <row r="2043" spans="1:18" hidden="1" x14ac:dyDescent="0.2">
      <c r="A2043">
        <v>1</v>
      </c>
      <c r="B2043" t="s">
        <v>43</v>
      </c>
      <c r="E2043" t="s">
        <v>19</v>
      </c>
      <c r="F2043">
        <v>1879523</v>
      </c>
      <c r="G2043">
        <v>2</v>
      </c>
      <c r="H2043">
        <v>3</v>
      </c>
      <c r="I2043">
        <v>526</v>
      </c>
      <c r="J2043">
        <v>1970</v>
      </c>
      <c r="K2043" s="4">
        <v>45597</v>
      </c>
      <c r="L2043" t="s">
        <v>30</v>
      </c>
      <c r="M2043" t="s">
        <v>47</v>
      </c>
      <c r="N2043">
        <v>2.5499999999999998</v>
      </c>
      <c r="O2043">
        <v>2089</v>
      </c>
      <c r="P2043">
        <v>0.32</v>
      </c>
      <c r="Q2043">
        <v>59</v>
      </c>
      <c r="R2043">
        <v>659</v>
      </c>
    </row>
    <row r="2044" spans="1:18" hidden="1" x14ac:dyDescent="0.2">
      <c r="A2044">
        <v>5</v>
      </c>
      <c r="B2044" t="s">
        <v>84</v>
      </c>
      <c r="E2044" t="s">
        <v>51</v>
      </c>
      <c r="F2044">
        <v>1045826</v>
      </c>
      <c r="G2044">
        <v>2</v>
      </c>
      <c r="H2044">
        <v>1</v>
      </c>
      <c r="I2044">
        <v>978</v>
      </c>
      <c r="J2044">
        <v>1996</v>
      </c>
      <c r="K2044" s="4">
        <v>44400</v>
      </c>
      <c r="L2044" t="s">
        <v>20</v>
      </c>
      <c r="M2044" t="s">
        <v>27</v>
      </c>
      <c r="N2044">
        <v>2.5499999999999998</v>
      </c>
      <c r="O2044">
        <v>801</v>
      </c>
      <c r="P2044">
        <v>4.1399999999999997</v>
      </c>
      <c r="Q2044">
        <v>54</v>
      </c>
      <c r="R2044">
        <v>536</v>
      </c>
    </row>
    <row r="2045" spans="1:18" hidden="1" x14ac:dyDescent="0.2">
      <c r="A2045">
        <v>0</v>
      </c>
      <c r="B2045" t="s">
        <v>64</v>
      </c>
      <c r="E2045" t="s">
        <v>29</v>
      </c>
      <c r="F2045">
        <v>1524086</v>
      </c>
      <c r="G2045">
        <v>4</v>
      </c>
      <c r="H2045">
        <v>1</v>
      </c>
      <c r="I2045">
        <v>89</v>
      </c>
      <c r="J2045">
        <v>2007</v>
      </c>
      <c r="K2045" s="4">
        <v>45655</v>
      </c>
      <c r="L2045" t="s">
        <v>20</v>
      </c>
      <c r="M2045" t="s">
        <v>31</v>
      </c>
      <c r="N2045">
        <v>3.39</v>
      </c>
      <c r="O2045">
        <v>1003</v>
      </c>
      <c r="P2045">
        <v>3.68</v>
      </c>
      <c r="Q2045">
        <v>376</v>
      </c>
      <c r="R2045">
        <v>370</v>
      </c>
    </row>
    <row r="2046" spans="1:18" hidden="1" x14ac:dyDescent="0.2">
      <c r="A2046">
        <v>9</v>
      </c>
      <c r="B2046" t="s">
        <v>81</v>
      </c>
      <c r="E2046" t="s">
        <v>36</v>
      </c>
      <c r="F2046">
        <v>924593</v>
      </c>
      <c r="G2046">
        <v>3</v>
      </c>
      <c r="H2046">
        <v>2</v>
      </c>
      <c r="I2046">
        <v>678</v>
      </c>
      <c r="J2046">
        <v>2001</v>
      </c>
      <c r="K2046" s="4">
        <v>45420</v>
      </c>
      <c r="L2046" t="s">
        <v>20</v>
      </c>
      <c r="M2046" t="s">
        <v>74</v>
      </c>
      <c r="N2046">
        <v>2.42</v>
      </c>
      <c r="O2046">
        <v>1901</v>
      </c>
      <c r="P2046">
        <v>1.88</v>
      </c>
      <c r="Q2046">
        <v>254</v>
      </c>
      <c r="R2046">
        <v>307</v>
      </c>
    </row>
    <row r="2047" spans="1:18" hidden="1" x14ac:dyDescent="0.2">
      <c r="A2047">
        <v>3</v>
      </c>
      <c r="B2047" t="s">
        <v>96</v>
      </c>
      <c r="E2047" t="s">
        <v>36</v>
      </c>
      <c r="F2047">
        <v>2276325</v>
      </c>
      <c r="G2047">
        <v>2</v>
      </c>
      <c r="H2047">
        <v>1</v>
      </c>
      <c r="I2047">
        <v>523</v>
      </c>
      <c r="J2047">
        <v>1999</v>
      </c>
      <c r="K2047" s="4">
        <v>45213</v>
      </c>
      <c r="L2047" t="s">
        <v>23</v>
      </c>
      <c r="M2047" t="s">
        <v>74</v>
      </c>
      <c r="N2047">
        <v>2.2000000000000002</v>
      </c>
      <c r="O2047">
        <v>2016</v>
      </c>
      <c r="P2047">
        <v>4.5</v>
      </c>
      <c r="Q2047">
        <v>161</v>
      </c>
      <c r="R2047">
        <v>396</v>
      </c>
    </row>
    <row r="2048" spans="1:18" hidden="1" x14ac:dyDescent="0.2">
      <c r="A2048">
        <v>0</v>
      </c>
      <c r="B2048" t="s">
        <v>64</v>
      </c>
      <c r="E2048" t="s">
        <v>51</v>
      </c>
      <c r="F2048">
        <v>1540852</v>
      </c>
      <c r="G2048">
        <v>4</v>
      </c>
      <c r="H2048">
        <v>2</v>
      </c>
      <c r="I2048">
        <v>874</v>
      </c>
      <c r="J2048">
        <v>1993</v>
      </c>
      <c r="K2048" s="4">
        <v>45234</v>
      </c>
      <c r="L2048" t="s">
        <v>26</v>
      </c>
      <c r="M2048" t="s">
        <v>69</v>
      </c>
      <c r="N2048">
        <v>2.16</v>
      </c>
      <c r="O2048">
        <v>1404</v>
      </c>
      <c r="P2048">
        <v>0.84</v>
      </c>
      <c r="Q2048">
        <v>239</v>
      </c>
      <c r="R2048">
        <v>582</v>
      </c>
    </row>
    <row r="2049" spans="1:18" x14ac:dyDescent="0.2">
      <c r="A2049">
        <v>8</v>
      </c>
      <c r="B2049" t="s">
        <v>53</v>
      </c>
      <c r="E2049" t="s">
        <v>29</v>
      </c>
      <c r="F2049">
        <v>2749464</v>
      </c>
      <c r="G2049">
        <v>2</v>
      </c>
      <c r="H2049">
        <v>2</v>
      </c>
      <c r="I2049">
        <v>175</v>
      </c>
      <c r="J2049">
        <v>2002</v>
      </c>
      <c r="K2049" s="4">
        <v>45747</v>
      </c>
      <c r="L2049" t="s">
        <v>30</v>
      </c>
      <c r="M2049" t="s">
        <v>21</v>
      </c>
      <c r="N2049">
        <v>2.0499999999999998</v>
      </c>
      <c r="O2049">
        <v>1342</v>
      </c>
      <c r="P2049">
        <v>3.84</v>
      </c>
      <c r="Q2049">
        <v>159</v>
      </c>
      <c r="R2049">
        <v>519</v>
      </c>
    </row>
    <row r="2050" spans="1:18" hidden="1" x14ac:dyDescent="0.2">
      <c r="A2050">
        <v>3</v>
      </c>
      <c r="B2050" t="s">
        <v>67</v>
      </c>
      <c r="E2050" t="s">
        <v>29</v>
      </c>
      <c r="F2050">
        <v>2455098</v>
      </c>
      <c r="G2050">
        <v>5</v>
      </c>
      <c r="H2050">
        <v>2</v>
      </c>
      <c r="I2050">
        <v>462</v>
      </c>
      <c r="J2050">
        <v>2019</v>
      </c>
      <c r="K2050" s="4">
        <v>45647</v>
      </c>
      <c r="L2050" t="s">
        <v>30</v>
      </c>
      <c r="M2050" t="s">
        <v>69</v>
      </c>
      <c r="N2050">
        <v>1.5</v>
      </c>
      <c r="O2050">
        <v>1960</v>
      </c>
      <c r="P2050">
        <v>0.23</v>
      </c>
      <c r="Q2050">
        <v>264</v>
      </c>
      <c r="R2050">
        <v>505</v>
      </c>
    </row>
    <row r="2051" spans="1:18" x14ac:dyDescent="0.2">
      <c r="A2051">
        <v>8</v>
      </c>
      <c r="B2051" t="s">
        <v>22</v>
      </c>
      <c r="E2051" t="s">
        <v>19</v>
      </c>
      <c r="F2051">
        <v>1974320</v>
      </c>
      <c r="G2051">
        <v>3</v>
      </c>
      <c r="H2051">
        <v>1</v>
      </c>
      <c r="I2051">
        <v>853</v>
      </c>
      <c r="J2051">
        <v>1999</v>
      </c>
      <c r="K2051" s="4">
        <v>44092</v>
      </c>
      <c r="L2051" t="s">
        <v>23</v>
      </c>
      <c r="M2051" t="s">
        <v>47</v>
      </c>
      <c r="N2051">
        <v>1.7</v>
      </c>
      <c r="O2051">
        <v>1519</v>
      </c>
      <c r="P2051">
        <v>3.42</v>
      </c>
      <c r="Q2051">
        <v>132</v>
      </c>
      <c r="R2051">
        <v>627</v>
      </c>
    </row>
    <row r="2052" spans="1:18" hidden="1" x14ac:dyDescent="0.2">
      <c r="A2052">
        <v>2</v>
      </c>
      <c r="B2052" t="s">
        <v>46</v>
      </c>
      <c r="E2052" t="s">
        <v>51</v>
      </c>
      <c r="F2052">
        <v>664568</v>
      </c>
      <c r="G2052">
        <v>4</v>
      </c>
      <c r="H2052">
        <v>1</v>
      </c>
      <c r="I2052">
        <v>93</v>
      </c>
      <c r="J2052">
        <v>1983</v>
      </c>
      <c r="K2052" s="4">
        <v>45840</v>
      </c>
      <c r="L2052" t="s">
        <v>30</v>
      </c>
      <c r="M2052" t="s">
        <v>52</v>
      </c>
      <c r="N2052">
        <v>2.72</v>
      </c>
      <c r="O2052">
        <v>2377</v>
      </c>
      <c r="P2052">
        <v>1.1000000000000001</v>
      </c>
      <c r="Q2052">
        <v>162</v>
      </c>
      <c r="R2052">
        <v>411</v>
      </c>
    </row>
    <row r="2053" spans="1:18" hidden="1" x14ac:dyDescent="0.2">
      <c r="A2053">
        <v>7</v>
      </c>
      <c r="B2053" t="s">
        <v>48</v>
      </c>
      <c r="E2053" t="s">
        <v>19</v>
      </c>
      <c r="F2053">
        <v>510744</v>
      </c>
      <c r="G2053">
        <v>3</v>
      </c>
      <c r="H2053">
        <v>3</v>
      </c>
      <c r="I2053">
        <v>143</v>
      </c>
      <c r="J2053">
        <v>2016</v>
      </c>
      <c r="K2053" s="4">
        <v>45574</v>
      </c>
      <c r="L2053" t="s">
        <v>20</v>
      </c>
      <c r="M2053" t="s">
        <v>47</v>
      </c>
      <c r="N2053">
        <v>2.76</v>
      </c>
      <c r="O2053">
        <v>1434</v>
      </c>
      <c r="P2053">
        <v>4.59</v>
      </c>
      <c r="Q2053">
        <v>138</v>
      </c>
      <c r="R2053">
        <v>661</v>
      </c>
    </row>
    <row r="2054" spans="1:18" hidden="1" x14ac:dyDescent="0.2">
      <c r="A2054">
        <v>6</v>
      </c>
      <c r="B2054" t="s">
        <v>41</v>
      </c>
      <c r="E2054" t="s">
        <v>103</v>
      </c>
      <c r="F2054">
        <v>1528685</v>
      </c>
      <c r="G2054">
        <v>2</v>
      </c>
      <c r="H2054">
        <v>3</v>
      </c>
      <c r="I2054">
        <v>428</v>
      </c>
      <c r="J2054">
        <v>1953</v>
      </c>
      <c r="K2054" s="4">
        <v>45885</v>
      </c>
      <c r="L2054" t="s">
        <v>30</v>
      </c>
      <c r="M2054" t="s">
        <v>24</v>
      </c>
      <c r="N2054">
        <v>2.88</v>
      </c>
      <c r="O2054">
        <v>1163</v>
      </c>
      <c r="P2054">
        <v>3.39</v>
      </c>
      <c r="Q2054">
        <v>137</v>
      </c>
      <c r="R2054">
        <v>659</v>
      </c>
    </row>
    <row r="2055" spans="1:18" x14ac:dyDescent="0.2">
      <c r="A2055">
        <v>8</v>
      </c>
      <c r="B2055" t="s">
        <v>93</v>
      </c>
      <c r="E2055" t="s">
        <v>19</v>
      </c>
      <c r="F2055">
        <v>857448</v>
      </c>
      <c r="G2055">
        <v>3</v>
      </c>
      <c r="H2055">
        <v>1</v>
      </c>
      <c r="I2055">
        <v>414</v>
      </c>
      <c r="J2055">
        <v>2005</v>
      </c>
      <c r="K2055" s="4">
        <v>45854</v>
      </c>
      <c r="L2055" t="s">
        <v>30</v>
      </c>
      <c r="M2055" t="s">
        <v>52</v>
      </c>
      <c r="N2055">
        <v>2.21</v>
      </c>
      <c r="O2055">
        <v>1400</v>
      </c>
      <c r="P2055">
        <v>4.93</v>
      </c>
      <c r="Q2055">
        <v>104</v>
      </c>
      <c r="R2055">
        <v>417</v>
      </c>
    </row>
    <row r="2056" spans="1:18" hidden="1" x14ac:dyDescent="0.2">
      <c r="A2056">
        <v>0</v>
      </c>
      <c r="B2056" t="s">
        <v>50</v>
      </c>
      <c r="E2056" t="s">
        <v>29</v>
      </c>
      <c r="F2056">
        <v>1409140</v>
      </c>
      <c r="G2056">
        <v>1</v>
      </c>
      <c r="H2056">
        <v>3</v>
      </c>
      <c r="I2056">
        <v>189</v>
      </c>
      <c r="J2056">
        <v>2013</v>
      </c>
      <c r="K2056" s="4">
        <v>44340</v>
      </c>
      <c r="L2056" t="s">
        <v>30</v>
      </c>
      <c r="M2056" t="s">
        <v>24</v>
      </c>
      <c r="N2056">
        <v>2.88</v>
      </c>
      <c r="O2056">
        <v>1079</v>
      </c>
      <c r="P2056">
        <v>2.2599999999999998</v>
      </c>
      <c r="Q2056">
        <v>61</v>
      </c>
      <c r="R2056">
        <v>398</v>
      </c>
    </row>
    <row r="2057" spans="1:18" hidden="1" x14ac:dyDescent="0.2">
      <c r="A2057">
        <v>3</v>
      </c>
      <c r="B2057" t="s">
        <v>79</v>
      </c>
      <c r="E2057" t="s">
        <v>29</v>
      </c>
      <c r="F2057">
        <v>432003</v>
      </c>
      <c r="G2057">
        <v>1</v>
      </c>
      <c r="H2057">
        <v>3</v>
      </c>
      <c r="I2057">
        <v>238</v>
      </c>
      <c r="J2057">
        <v>2021</v>
      </c>
      <c r="K2057" s="4">
        <v>44400</v>
      </c>
      <c r="L2057" t="s">
        <v>30</v>
      </c>
      <c r="M2057" t="s">
        <v>40</v>
      </c>
      <c r="N2057">
        <v>2.2799999999999998</v>
      </c>
      <c r="O2057">
        <v>2420</v>
      </c>
      <c r="P2057">
        <v>3.4</v>
      </c>
      <c r="Q2057">
        <v>112</v>
      </c>
      <c r="R2057">
        <v>562</v>
      </c>
    </row>
    <row r="2058" spans="1:18" hidden="1" x14ac:dyDescent="0.2">
      <c r="A2058">
        <v>9</v>
      </c>
      <c r="B2058" t="s">
        <v>67</v>
      </c>
      <c r="E2058" t="s">
        <v>19</v>
      </c>
      <c r="F2058">
        <v>1467708</v>
      </c>
      <c r="G2058">
        <v>1</v>
      </c>
      <c r="H2058">
        <v>1</v>
      </c>
      <c r="I2058">
        <v>312</v>
      </c>
      <c r="J2058">
        <v>1958</v>
      </c>
      <c r="K2058" s="4">
        <v>45595</v>
      </c>
      <c r="L2058" t="s">
        <v>20</v>
      </c>
      <c r="M2058" t="s">
        <v>70</v>
      </c>
      <c r="N2058">
        <v>1.59</v>
      </c>
      <c r="O2058">
        <v>1566</v>
      </c>
      <c r="P2058">
        <v>3.91</v>
      </c>
      <c r="Q2058">
        <v>100</v>
      </c>
      <c r="R2058">
        <v>328</v>
      </c>
    </row>
    <row r="2059" spans="1:18" hidden="1" x14ac:dyDescent="0.2">
      <c r="A2059">
        <v>3</v>
      </c>
      <c r="B2059" t="s">
        <v>72</v>
      </c>
      <c r="E2059" t="s">
        <v>29</v>
      </c>
      <c r="F2059">
        <v>1760072</v>
      </c>
      <c r="G2059">
        <v>1</v>
      </c>
      <c r="H2059">
        <v>2</v>
      </c>
      <c r="I2059">
        <v>401</v>
      </c>
      <c r="J2059">
        <v>2012</v>
      </c>
      <c r="K2059" s="4">
        <v>45091</v>
      </c>
      <c r="L2059" t="s">
        <v>23</v>
      </c>
      <c r="M2059" t="s">
        <v>68</v>
      </c>
      <c r="N2059">
        <v>2.25</v>
      </c>
      <c r="O2059">
        <v>1025</v>
      </c>
      <c r="P2059">
        <v>3.62</v>
      </c>
      <c r="Q2059">
        <v>138</v>
      </c>
      <c r="R2059">
        <v>335</v>
      </c>
    </row>
    <row r="2060" spans="1:18" x14ac:dyDescent="0.2">
      <c r="A2060">
        <v>8</v>
      </c>
      <c r="B2060" t="s">
        <v>87</v>
      </c>
      <c r="E2060" t="s">
        <v>29</v>
      </c>
      <c r="F2060">
        <v>983398</v>
      </c>
      <c r="G2060">
        <v>1</v>
      </c>
      <c r="H2060">
        <v>1</v>
      </c>
      <c r="I2060">
        <v>845</v>
      </c>
      <c r="J2060">
        <v>2004</v>
      </c>
      <c r="K2060" s="4">
        <v>45756</v>
      </c>
      <c r="L2060" t="s">
        <v>23</v>
      </c>
      <c r="M2060" t="s">
        <v>54</v>
      </c>
      <c r="N2060">
        <v>2.81</v>
      </c>
      <c r="O2060">
        <v>1668</v>
      </c>
      <c r="P2060">
        <v>3.82</v>
      </c>
      <c r="Q2060">
        <v>149</v>
      </c>
      <c r="R2060">
        <v>563</v>
      </c>
    </row>
    <row r="2061" spans="1:18" hidden="1" x14ac:dyDescent="0.2">
      <c r="A2061">
        <v>9</v>
      </c>
      <c r="B2061" t="s">
        <v>80</v>
      </c>
      <c r="E2061" t="s">
        <v>51</v>
      </c>
      <c r="F2061">
        <v>1108356</v>
      </c>
      <c r="G2061">
        <v>2</v>
      </c>
      <c r="H2061">
        <v>2</v>
      </c>
      <c r="I2061">
        <v>407</v>
      </c>
      <c r="J2061">
        <v>2022</v>
      </c>
      <c r="K2061" s="4">
        <v>44962</v>
      </c>
      <c r="L2061" t="s">
        <v>20</v>
      </c>
      <c r="M2061" t="s">
        <v>74</v>
      </c>
      <c r="N2061">
        <v>2.76</v>
      </c>
      <c r="O2061">
        <v>2173</v>
      </c>
      <c r="P2061">
        <v>2.2400000000000002</v>
      </c>
      <c r="Q2061">
        <v>222</v>
      </c>
      <c r="R2061">
        <v>339</v>
      </c>
    </row>
    <row r="2062" spans="1:18" hidden="1" x14ac:dyDescent="0.2">
      <c r="A2062">
        <v>9</v>
      </c>
      <c r="B2062" t="s">
        <v>94</v>
      </c>
      <c r="E2062" t="s">
        <v>19</v>
      </c>
      <c r="F2062">
        <v>1321144</v>
      </c>
      <c r="G2062">
        <v>2</v>
      </c>
      <c r="H2062">
        <v>3</v>
      </c>
      <c r="I2062">
        <v>172</v>
      </c>
      <c r="J2062">
        <v>2020</v>
      </c>
      <c r="K2062" s="4">
        <v>44472</v>
      </c>
      <c r="L2062" t="s">
        <v>30</v>
      </c>
      <c r="M2062" t="s">
        <v>45</v>
      </c>
      <c r="N2062">
        <v>2.4500000000000002</v>
      </c>
      <c r="O2062">
        <v>1214</v>
      </c>
      <c r="P2062">
        <v>3.07</v>
      </c>
      <c r="Q2062">
        <v>142</v>
      </c>
      <c r="R2062">
        <v>653</v>
      </c>
    </row>
    <row r="2063" spans="1:18" hidden="1" x14ac:dyDescent="0.2">
      <c r="A2063">
        <v>4</v>
      </c>
      <c r="B2063" t="s">
        <v>44</v>
      </c>
      <c r="E2063" t="s">
        <v>29</v>
      </c>
      <c r="F2063">
        <v>491953</v>
      </c>
      <c r="G2063">
        <v>5</v>
      </c>
      <c r="H2063">
        <v>2</v>
      </c>
      <c r="I2063">
        <v>464</v>
      </c>
      <c r="J2063">
        <v>2009</v>
      </c>
      <c r="K2063" s="4">
        <v>44730</v>
      </c>
      <c r="L2063" t="s">
        <v>26</v>
      </c>
      <c r="M2063" t="s">
        <v>77</v>
      </c>
      <c r="N2063">
        <v>3.3</v>
      </c>
      <c r="O2063">
        <v>1299</v>
      </c>
      <c r="P2063">
        <v>1.67</v>
      </c>
      <c r="Q2063">
        <v>383</v>
      </c>
      <c r="R2063">
        <v>654</v>
      </c>
    </row>
    <row r="2064" spans="1:18" hidden="1" x14ac:dyDescent="0.2">
      <c r="A2064">
        <v>2</v>
      </c>
      <c r="B2064" t="s">
        <v>92</v>
      </c>
      <c r="E2064" t="s">
        <v>29</v>
      </c>
      <c r="F2064">
        <v>2287392</v>
      </c>
      <c r="G2064">
        <v>3</v>
      </c>
      <c r="H2064">
        <v>3</v>
      </c>
      <c r="I2064">
        <v>177</v>
      </c>
      <c r="J2064">
        <v>2013</v>
      </c>
      <c r="K2064" s="4">
        <v>45376</v>
      </c>
      <c r="L2064" t="s">
        <v>20</v>
      </c>
      <c r="M2064" t="s">
        <v>58</v>
      </c>
      <c r="N2064">
        <v>2.79</v>
      </c>
      <c r="O2064">
        <v>1815</v>
      </c>
      <c r="P2064">
        <v>2.71</v>
      </c>
      <c r="Q2064">
        <v>199</v>
      </c>
      <c r="R2064">
        <v>427</v>
      </c>
    </row>
    <row r="2065" spans="1:18" x14ac:dyDescent="0.2">
      <c r="A2065">
        <v>8</v>
      </c>
      <c r="B2065" t="s">
        <v>28</v>
      </c>
      <c r="E2065" t="s">
        <v>36</v>
      </c>
      <c r="F2065">
        <v>2145433</v>
      </c>
      <c r="G2065">
        <v>4</v>
      </c>
      <c r="H2065">
        <v>3</v>
      </c>
      <c r="I2065">
        <v>737</v>
      </c>
      <c r="J2065">
        <v>1964</v>
      </c>
      <c r="K2065" s="4">
        <v>45716</v>
      </c>
      <c r="L2065" t="s">
        <v>20</v>
      </c>
      <c r="M2065" t="s">
        <v>45</v>
      </c>
      <c r="N2065">
        <v>3.05</v>
      </c>
      <c r="O2065">
        <v>2143</v>
      </c>
      <c r="P2065">
        <v>4.0199999999999996</v>
      </c>
      <c r="Q2065">
        <v>245</v>
      </c>
      <c r="R2065">
        <v>402</v>
      </c>
    </row>
    <row r="2066" spans="1:18" hidden="1" x14ac:dyDescent="0.2">
      <c r="A2066">
        <v>5</v>
      </c>
      <c r="B2066" t="s">
        <v>44</v>
      </c>
      <c r="E2066" t="s">
        <v>36</v>
      </c>
      <c r="F2066">
        <v>1205890</v>
      </c>
      <c r="G2066">
        <v>3</v>
      </c>
      <c r="H2066">
        <v>3</v>
      </c>
      <c r="I2066">
        <v>461</v>
      </c>
      <c r="J2066">
        <v>1991</v>
      </c>
      <c r="K2066" s="4">
        <v>44912</v>
      </c>
      <c r="L2066" t="s">
        <v>26</v>
      </c>
      <c r="M2066" t="s">
        <v>66</v>
      </c>
      <c r="N2066">
        <v>3.35</v>
      </c>
      <c r="O2066">
        <v>2420</v>
      </c>
      <c r="P2066">
        <v>3.25</v>
      </c>
      <c r="Q2066">
        <v>310</v>
      </c>
      <c r="R2066">
        <v>476</v>
      </c>
    </row>
    <row r="2067" spans="1:18" hidden="1" x14ac:dyDescent="0.2">
      <c r="A2067">
        <v>9</v>
      </c>
      <c r="B2067" t="s">
        <v>48</v>
      </c>
      <c r="E2067" t="s">
        <v>36</v>
      </c>
      <c r="F2067">
        <v>1036456</v>
      </c>
      <c r="G2067">
        <v>3</v>
      </c>
      <c r="H2067">
        <v>3</v>
      </c>
      <c r="I2067">
        <v>673</v>
      </c>
      <c r="J2067">
        <v>2002</v>
      </c>
      <c r="K2067" s="4">
        <v>45580</v>
      </c>
      <c r="L2067" t="s">
        <v>26</v>
      </c>
      <c r="M2067" t="s">
        <v>78</v>
      </c>
      <c r="N2067">
        <v>1.85</v>
      </c>
      <c r="O2067">
        <v>1903</v>
      </c>
      <c r="P2067">
        <v>3.94</v>
      </c>
      <c r="Q2067">
        <v>172</v>
      </c>
      <c r="R2067">
        <v>469</v>
      </c>
    </row>
    <row r="2068" spans="1:18" hidden="1" x14ac:dyDescent="0.2">
      <c r="A2068">
        <v>5</v>
      </c>
      <c r="B2068" t="s">
        <v>72</v>
      </c>
      <c r="E2068" t="s">
        <v>36</v>
      </c>
      <c r="F2068">
        <v>527683</v>
      </c>
      <c r="G2068">
        <v>3</v>
      </c>
      <c r="H2068">
        <v>2</v>
      </c>
      <c r="I2068">
        <v>389</v>
      </c>
      <c r="J2068">
        <v>2012</v>
      </c>
      <c r="K2068" s="4">
        <v>45616</v>
      </c>
      <c r="L2068" t="s">
        <v>23</v>
      </c>
      <c r="M2068" t="s">
        <v>70</v>
      </c>
      <c r="N2068">
        <v>1.6</v>
      </c>
      <c r="O2068">
        <v>1431</v>
      </c>
      <c r="P2068">
        <v>4.5</v>
      </c>
      <c r="Q2068">
        <v>277</v>
      </c>
      <c r="R2068">
        <v>685</v>
      </c>
    </row>
    <row r="2069" spans="1:18" hidden="1" x14ac:dyDescent="0.2">
      <c r="A2069">
        <v>9</v>
      </c>
      <c r="B2069" t="s">
        <v>92</v>
      </c>
      <c r="E2069" t="s">
        <v>36</v>
      </c>
      <c r="F2069">
        <v>1202626</v>
      </c>
      <c r="G2069">
        <v>6</v>
      </c>
      <c r="H2069">
        <v>3</v>
      </c>
      <c r="I2069">
        <v>430</v>
      </c>
      <c r="J2069">
        <v>1991</v>
      </c>
      <c r="K2069" s="4">
        <v>44281</v>
      </c>
      <c r="L2069" t="s">
        <v>23</v>
      </c>
      <c r="M2069" t="s">
        <v>47</v>
      </c>
      <c r="N2069">
        <v>2.25</v>
      </c>
      <c r="O2069">
        <v>877</v>
      </c>
      <c r="P2069">
        <v>0.43</v>
      </c>
      <c r="Q2069">
        <v>340</v>
      </c>
      <c r="R2069">
        <v>422</v>
      </c>
    </row>
    <row r="2070" spans="1:18" hidden="1" x14ac:dyDescent="0.2">
      <c r="A2070">
        <v>4</v>
      </c>
      <c r="B2070" t="s">
        <v>95</v>
      </c>
      <c r="E2070" t="s">
        <v>19</v>
      </c>
      <c r="F2070">
        <v>2389160</v>
      </c>
      <c r="G2070">
        <v>4</v>
      </c>
      <c r="H2070">
        <v>1</v>
      </c>
      <c r="I2070">
        <v>144</v>
      </c>
      <c r="J2070">
        <v>1952</v>
      </c>
      <c r="K2070" s="4">
        <v>45380</v>
      </c>
      <c r="L2070" t="s">
        <v>30</v>
      </c>
      <c r="M2070" t="s">
        <v>40</v>
      </c>
      <c r="N2070">
        <v>2.25</v>
      </c>
      <c r="O2070">
        <v>2383</v>
      </c>
      <c r="P2070">
        <v>3.02</v>
      </c>
      <c r="Q2070">
        <v>373</v>
      </c>
      <c r="R2070">
        <v>616</v>
      </c>
    </row>
    <row r="2071" spans="1:18" hidden="1" x14ac:dyDescent="0.2">
      <c r="A2071">
        <v>1</v>
      </c>
      <c r="B2071" t="s">
        <v>49</v>
      </c>
      <c r="E2071" t="s">
        <v>51</v>
      </c>
      <c r="F2071">
        <v>801785</v>
      </c>
      <c r="G2071">
        <v>4</v>
      </c>
      <c r="H2071">
        <v>2</v>
      </c>
      <c r="I2071">
        <v>578</v>
      </c>
      <c r="J2071">
        <v>1998</v>
      </c>
      <c r="K2071" s="4">
        <v>45539</v>
      </c>
      <c r="L2071" t="s">
        <v>20</v>
      </c>
      <c r="M2071" t="s">
        <v>82</v>
      </c>
      <c r="N2071">
        <v>3.37</v>
      </c>
      <c r="O2071">
        <v>1986</v>
      </c>
      <c r="P2071">
        <v>0.5</v>
      </c>
      <c r="Q2071">
        <v>227</v>
      </c>
      <c r="R2071">
        <v>499</v>
      </c>
    </row>
    <row r="2072" spans="1:18" x14ac:dyDescent="0.2">
      <c r="A2072">
        <v>8</v>
      </c>
      <c r="B2072" t="s">
        <v>18</v>
      </c>
      <c r="E2072" t="s">
        <v>19</v>
      </c>
      <c r="F2072">
        <v>1541902</v>
      </c>
      <c r="G2072">
        <v>2</v>
      </c>
      <c r="H2072">
        <v>3</v>
      </c>
      <c r="I2072">
        <v>216</v>
      </c>
      <c r="J2072">
        <v>2004</v>
      </c>
      <c r="K2072" s="4">
        <v>45628</v>
      </c>
      <c r="L2072" t="s">
        <v>26</v>
      </c>
      <c r="M2072" t="s">
        <v>31</v>
      </c>
      <c r="N2072">
        <v>3.24</v>
      </c>
      <c r="O2072">
        <v>1005</v>
      </c>
      <c r="P2072">
        <v>1.85</v>
      </c>
      <c r="Q2072">
        <v>194</v>
      </c>
      <c r="R2072">
        <v>658</v>
      </c>
    </row>
    <row r="2073" spans="1:18" hidden="1" x14ac:dyDescent="0.2">
      <c r="A2073">
        <v>1</v>
      </c>
      <c r="B2073" t="s">
        <v>102</v>
      </c>
      <c r="E2073" t="s">
        <v>19</v>
      </c>
      <c r="F2073">
        <v>977611</v>
      </c>
      <c r="G2073">
        <v>4</v>
      </c>
      <c r="H2073">
        <v>1</v>
      </c>
      <c r="I2073">
        <v>689</v>
      </c>
      <c r="J2073">
        <v>2013</v>
      </c>
      <c r="K2073" s="4">
        <v>44090</v>
      </c>
      <c r="L2073" t="s">
        <v>20</v>
      </c>
      <c r="M2073" t="s">
        <v>35</v>
      </c>
      <c r="N2073">
        <v>2.29</v>
      </c>
      <c r="O2073">
        <v>1552</v>
      </c>
      <c r="P2073">
        <v>2.58</v>
      </c>
      <c r="Q2073">
        <v>322</v>
      </c>
      <c r="R2073">
        <v>303</v>
      </c>
    </row>
    <row r="2074" spans="1:18" x14ac:dyDescent="0.2">
      <c r="A2074">
        <v>8</v>
      </c>
      <c r="B2074" t="s">
        <v>86</v>
      </c>
      <c r="E2074" t="s">
        <v>29</v>
      </c>
      <c r="F2074">
        <v>1751035</v>
      </c>
      <c r="G2074">
        <v>5</v>
      </c>
      <c r="H2074">
        <v>2</v>
      </c>
      <c r="I2074">
        <v>53</v>
      </c>
      <c r="J2074">
        <v>1970</v>
      </c>
      <c r="K2074" s="4">
        <v>45243</v>
      </c>
      <c r="L2074" t="s">
        <v>30</v>
      </c>
      <c r="M2074" t="s">
        <v>77</v>
      </c>
      <c r="N2074">
        <v>1.51</v>
      </c>
      <c r="O2074">
        <v>908</v>
      </c>
      <c r="P2074">
        <v>3.03</v>
      </c>
      <c r="Q2074">
        <v>329</v>
      </c>
      <c r="R2074">
        <v>475</v>
      </c>
    </row>
    <row r="2075" spans="1:18" hidden="1" x14ac:dyDescent="0.2">
      <c r="A2075">
        <v>5</v>
      </c>
      <c r="B2075" t="s">
        <v>99</v>
      </c>
      <c r="E2075" t="s">
        <v>36</v>
      </c>
      <c r="F2075">
        <v>540380</v>
      </c>
      <c r="G2075">
        <v>4</v>
      </c>
      <c r="H2075">
        <v>2</v>
      </c>
      <c r="I2075">
        <v>104</v>
      </c>
      <c r="J2075">
        <v>1993</v>
      </c>
      <c r="K2075" s="4">
        <v>45332</v>
      </c>
      <c r="L2075" t="s">
        <v>30</v>
      </c>
      <c r="M2075" t="s">
        <v>45</v>
      </c>
      <c r="N2075">
        <v>3.24</v>
      </c>
      <c r="O2075">
        <v>2126</v>
      </c>
      <c r="P2075">
        <v>2.64</v>
      </c>
      <c r="Q2075">
        <v>290</v>
      </c>
      <c r="R2075">
        <v>470</v>
      </c>
    </row>
    <row r="2076" spans="1:18" hidden="1" x14ac:dyDescent="0.2">
      <c r="A2076">
        <v>0</v>
      </c>
      <c r="B2076" t="s">
        <v>43</v>
      </c>
      <c r="E2076" t="s">
        <v>36</v>
      </c>
      <c r="F2076">
        <v>2992411</v>
      </c>
      <c r="G2076">
        <v>3</v>
      </c>
      <c r="H2076">
        <v>1</v>
      </c>
      <c r="I2076">
        <v>712</v>
      </c>
      <c r="J2076">
        <v>1988</v>
      </c>
      <c r="K2076" s="4">
        <v>45542</v>
      </c>
      <c r="L2076" t="s">
        <v>23</v>
      </c>
      <c r="M2076" t="s">
        <v>85</v>
      </c>
      <c r="N2076">
        <v>2.2799999999999998</v>
      </c>
      <c r="O2076">
        <v>1435</v>
      </c>
      <c r="P2076">
        <v>2.0499999999999998</v>
      </c>
      <c r="Q2076">
        <v>199</v>
      </c>
      <c r="R2076">
        <v>445</v>
      </c>
    </row>
    <row r="2077" spans="1:18" hidden="1" x14ac:dyDescent="0.2">
      <c r="A2077">
        <v>9</v>
      </c>
      <c r="B2077" t="s">
        <v>83</v>
      </c>
      <c r="E2077" t="s">
        <v>19</v>
      </c>
      <c r="F2077">
        <v>2780503</v>
      </c>
      <c r="G2077">
        <v>4</v>
      </c>
      <c r="H2077">
        <v>3</v>
      </c>
      <c r="I2077">
        <v>268</v>
      </c>
      <c r="J2077">
        <v>1974</v>
      </c>
      <c r="K2077" s="4">
        <v>45826</v>
      </c>
      <c r="L2077" t="s">
        <v>20</v>
      </c>
      <c r="M2077" t="s">
        <v>60</v>
      </c>
      <c r="N2077">
        <v>3.1</v>
      </c>
      <c r="O2077">
        <v>1053</v>
      </c>
      <c r="P2077">
        <v>3.57</v>
      </c>
      <c r="Q2077">
        <v>304</v>
      </c>
      <c r="R2077">
        <v>458</v>
      </c>
    </row>
    <row r="2078" spans="1:18" hidden="1" x14ac:dyDescent="0.2">
      <c r="A2078">
        <v>0</v>
      </c>
      <c r="B2078" t="s">
        <v>72</v>
      </c>
      <c r="E2078" t="s">
        <v>29</v>
      </c>
      <c r="F2078">
        <v>1256351</v>
      </c>
      <c r="G2078">
        <v>2</v>
      </c>
      <c r="H2078">
        <v>1</v>
      </c>
      <c r="I2078">
        <v>70</v>
      </c>
      <c r="J2078">
        <v>1956</v>
      </c>
      <c r="K2078" s="4">
        <v>44641</v>
      </c>
      <c r="L2078" t="s">
        <v>20</v>
      </c>
      <c r="M2078" t="s">
        <v>68</v>
      </c>
      <c r="N2078">
        <v>2.56</v>
      </c>
      <c r="O2078">
        <v>1918</v>
      </c>
      <c r="P2078">
        <v>0.52</v>
      </c>
      <c r="Q2078">
        <v>203</v>
      </c>
      <c r="R2078">
        <v>527</v>
      </c>
    </row>
    <row r="2079" spans="1:18" hidden="1" x14ac:dyDescent="0.2">
      <c r="A2079">
        <v>5</v>
      </c>
      <c r="B2079" t="s">
        <v>53</v>
      </c>
      <c r="E2079" t="s">
        <v>19</v>
      </c>
      <c r="F2079">
        <v>1062216</v>
      </c>
      <c r="G2079">
        <v>3</v>
      </c>
      <c r="H2079">
        <v>3</v>
      </c>
      <c r="I2079">
        <v>502</v>
      </c>
      <c r="J2079">
        <v>1951</v>
      </c>
      <c r="K2079" s="4">
        <v>44889</v>
      </c>
      <c r="L2079" t="s">
        <v>23</v>
      </c>
      <c r="M2079" t="s">
        <v>37</v>
      </c>
      <c r="N2079">
        <v>2.25</v>
      </c>
      <c r="O2079">
        <v>2017</v>
      </c>
      <c r="P2079">
        <v>3.42</v>
      </c>
      <c r="Q2079">
        <v>95</v>
      </c>
      <c r="R2079">
        <v>662</v>
      </c>
    </row>
    <row r="2080" spans="1:18" hidden="1" x14ac:dyDescent="0.2">
      <c r="A2080">
        <v>2</v>
      </c>
      <c r="B2080" t="s">
        <v>46</v>
      </c>
      <c r="E2080" t="s">
        <v>29</v>
      </c>
      <c r="F2080">
        <v>1585403</v>
      </c>
      <c r="G2080">
        <v>0</v>
      </c>
      <c r="H2080">
        <v>2</v>
      </c>
      <c r="I2080">
        <v>294</v>
      </c>
      <c r="J2080">
        <v>1991</v>
      </c>
      <c r="K2080" s="4">
        <v>45677</v>
      </c>
      <c r="L2080" t="s">
        <v>30</v>
      </c>
      <c r="M2080" t="s">
        <v>66</v>
      </c>
      <c r="N2080">
        <v>2.88</v>
      </c>
      <c r="O2080">
        <v>1211</v>
      </c>
      <c r="P2080">
        <v>1.39</v>
      </c>
      <c r="Q2080">
        <v>67</v>
      </c>
      <c r="R2080">
        <v>525</v>
      </c>
    </row>
    <row r="2081" spans="1:18" hidden="1" x14ac:dyDescent="0.2">
      <c r="A2081">
        <v>6</v>
      </c>
      <c r="B2081" t="s">
        <v>87</v>
      </c>
      <c r="E2081" t="s">
        <v>51</v>
      </c>
      <c r="F2081">
        <v>457978</v>
      </c>
      <c r="G2081">
        <v>5</v>
      </c>
      <c r="H2081">
        <v>1</v>
      </c>
      <c r="I2081">
        <v>171</v>
      </c>
      <c r="J2081">
        <v>1951</v>
      </c>
      <c r="K2081" s="4">
        <v>44220</v>
      </c>
      <c r="L2081" t="s">
        <v>20</v>
      </c>
      <c r="M2081" t="s">
        <v>21</v>
      </c>
      <c r="N2081">
        <v>1.51</v>
      </c>
      <c r="O2081">
        <v>1559</v>
      </c>
      <c r="P2081">
        <v>1.57</v>
      </c>
      <c r="Q2081">
        <v>349</v>
      </c>
      <c r="R2081">
        <v>556</v>
      </c>
    </row>
    <row r="2082" spans="1:18" hidden="1" x14ac:dyDescent="0.2">
      <c r="A2082">
        <v>0</v>
      </c>
      <c r="B2082" t="s">
        <v>61</v>
      </c>
      <c r="E2082" t="s">
        <v>51</v>
      </c>
      <c r="F2082">
        <v>647468</v>
      </c>
      <c r="G2082">
        <v>3</v>
      </c>
      <c r="H2082">
        <v>3</v>
      </c>
      <c r="I2082">
        <v>655</v>
      </c>
      <c r="J2082">
        <v>2011</v>
      </c>
      <c r="K2082" s="4">
        <v>44327</v>
      </c>
      <c r="L2082" t="s">
        <v>26</v>
      </c>
      <c r="M2082" t="s">
        <v>68</v>
      </c>
      <c r="N2082">
        <v>2.98</v>
      </c>
      <c r="O2082">
        <v>2177</v>
      </c>
      <c r="P2082">
        <v>1.6</v>
      </c>
      <c r="Q2082">
        <v>245</v>
      </c>
      <c r="R2082">
        <v>563</v>
      </c>
    </row>
    <row r="2083" spans="1:18" hidden="1" x14ac:dyDescent="0.2">
      <c r="A2083">
        <v>2</v>
      </c>
      <c r="B2083" t="s">
        <v>64</v>
      </c>
      <c r="E2083" t="s">
        <v>29</v>
      </c>
      <c r="F2083">
        <v>2446728</v>
      </c>
      <c r="G2083">
        <v>4</v>
      </c>
      <c r="H2083">
        <v>3</v>
      </c>
      <c r="I2083">
        <v>759</v>
      </c>
      <c r="J2083">
        <v>1997</v>
      </c>
      <c r="K2083" s="4">
        <v>45451</v>
      </c>
      <c r="L2083" t="s">
        <v>23</v>
      </c>
      <c r="M2083" t="s">
        <v>35</v>
      </c>
      <c r="N2083">
        <v>3.48</v>
      </c>
      <c r="O2083">
        <v>1705</v>
      </c>
      <c r="P2083">
        <v>0.13</v>
      </c>
      <c r="Q2083">
        <v>380</v>
      </c>
      <c r="R2083">
        <v>632</v>
      </c>
    </row>
    <row r="2084" spans="1:18" hidden="1" x14ac:dyDescent="0.2">
      <c r="A2084">
        <v>6</v>
      </c>
      <c r="B2084" t="s">
        <v>22</v>
      </c>
      <c r="E2084" t="s">
        <v>19</v>
      </c>
      <c r="F2084">
        <v>1059466</v>
      </c>
      <c r="G2084">
        <v>1</v>
      </c>
      <c r="H2084">
        <v>2</v>
      </c>
      <c r="I2084">
        <v>881</v>
      </c>
      <c r="J2084">
        <v>1996</v>
      </c>
      <c r="K2084" s="4">
        <v>44975</v>
      </c>
      <c r="L2084" t="s">
        <v>23</v>
      </c>
      <c r="M2084" t="s">
        <v>45</v>
      </c>
      <c r="N2084">
        <v>1.78</v>
      </c>
      <c r="O2084">
        <v>2104</v>
      </c>
      <c r="P2084">
        <v>3.16</v>
      </c>
      <c r="Q2084">
        <v>66</v>
      </c>
      <c r="R2084">
        <v>675</v>
      </c>
    </row>
    <row r="2085" spans="1:18" hidden="1" x14ac:dyDescent="0.2">
      <c r="A2085">
        <v>6</v>
      </c>
      <c r="B2085" t="s">
        <v>90</v>
      </c>
      <c r="E2085" t="s">
        <v>36</v>
      </c>
      <c r="F2085">
        <v>1505833</v>
      </c>
      <c r="G2085">
        <v>3</v>
      </c>
      <c r="H2085">
        <v>3</v>
      </c>
      <c r="I2085">
        <v>987</v>
      </c>
      <c r="J2085">
        <v>1953</v>
      </c>
      <c r="K2085" s="4">
        <v>44420</v>
      </c>
      <c r="L2085" t="s">
        <v>30</v>
      </c>
      <c r="M2085" t="s">
        <v>89</v>
      </c>
      <c r="N2085">
        <v>2.34</v>
      </c>
      <c r="O2085">
        <v>818</v>
      </c>
      <c r="P2085">
        <v>3.97</v>
      </c>
      <c r="Q2085">
        <v>110</v>
      </c>
      <c r="R2085">
        <v>379</v>
      </c>
    </row>
    <row r="2086" spans="1:18" hidden="1" x14ac:dyDescent="0.2">
      <c r="A2086">
        <v>5</v>
      </c>
      <c r="B2086" t="s">
        <v>86</v>
      </c>
      <c r="E2086" t="s">
        <v>36</v>
      </c>
      <c r="F2086">
        <v>2112362</v>
      </c>
      <c r="G2086">
        <v>3</v>
      </c>
      <c r="H2086">
        <v>2</v>
      </c>
      <c r="I2086">
        <v>295</v>
      </c>
      <c r="J2086">
        <v>2019</v>
      </c>
      <c r="K2086" s="4">
        <v>45873</v>
      </c>
      <c r="L2086" t="s">
        <v>23</v>
      </c>
      <c r="M2086" t="s">
        <v>63</v>
      </c>
      <c r="N2086">
        <v>1.6</v>
      </c>
      <c r="O2086">
        <v>2382</v>
      </c>
      <c r="P2086">
        <v>4.72</v>
      </c>
      <c r="Q2086">
        <v>180</v>
      </c>
      <c r="R2086">
        <v>369</v>
      </c>
    </row>
    <row r="2087" spans="1:18" hidden="1" x14ac:dyDescent="0.2">
      <c r="A2087">
        <v>9</v>
      </c>
      <c r="B2087" t="s">
        <v>93</v>
      </c>
      <c r="E2087" t="s">
        <v>19</v>
      </c>
      <c r="F2087">
        <v>524791</v>
      </c>
      <c r="G2087">
        <v>6</v>
      </c>
      <c r="H2087">
        <v>2</v>
      </c>
      <c r="I2087">
        <v>552</v>
      </c>
      <c r="J2087">
        <v>2007</v>
      </c>
      <c r="K2087" s="4">
        <v>44101</v>
      </c>
      <c r="L2087" t="s">
        <v>23</v>
      </c>
      <c r="M2087" t="s">
        <v>59</v>
      </c>
      <c r="N2087">
        <v>2.77</v>
      </c>
      <c r="O2087">
        <v>2314</v>
      </c>
      <c r="P2087">
        <v>4.5999999999999996</v>
      </c>
      <c r="Q2087">
        <v>367</v>
      </c>
      <c r="R2087">
        <v>645</v>
      </c>
    </row>
    <row r="2088" spans="1:18" hidden="1" x14ac:dyDescent="0.2">
      <c r="A2088">
        <v>3</v>
      </c>
      <c r="B2088" t="s">
        <v>101</v>
      </c>
      <c r="E2088" t="s">
        <v>29</v>
      </c>
      <c r="F2088">
        <v>756642</v>
      </c>
      <c r="G2088">
        <v>4</v>
      </c>
      <c r="H2088">
        <v>2</v>
      </c>
      <c r="I2088">
        <v>97</v>
      </c>
      <c r="J2088">
        <v>1950</v>
      </c>
      <c r="K2088" s="4">
        <v>44500</v>
      </c>
      <c r="L2088" t="s">
        <v>23</v>
      </c>
      <c r="M2088" t="s">
        <v>21</v>
      </c>
      <c r="N2088">
        <v>1.86</v>
      </c>
      <c r="O2088">
        <v>2474</v>
      </c>
      <c r="P2088">
        <v>2.98</v>
      </c>
      <c r="Q2088">
        <v>312</v>
      </c>
      <c r="R2088">
        <v>460</v>
      </c>
    </row>
    <row r="2089" spans="1:18" hidden="1" x14ac:dyDescent="0.2">
      <c r="A2089">
        <v>5</v>
      </c>
      <c r="B2089" t="s">
        <v>71</v>
      </c>
      <c r="E2089" t="s">
        <v>19</v>
      </c>
      <c r="F2089">
        <v>2233275</v>
      </c>
      <c r="G2089">
        <v>6</v>
      </c>
      <c r="H2089">
        <v>2</v>
      </c>
      <c r="I2089">
        <v>932</v>
      </c>
      <c r="J2089">
        <v>2008</v>
      </c>
      <c r="K2089" s="4">
        <v>45028</v>
      </c>
      <c r="L2089" t="s">
        <v>20</v>
      </c>
      <c r="M2089" t="s">
        <v>69</v>
      </c>
      <c r="N2089">
        <v>2.73</v>
      </c>
      <c r="O2089">
        <v>1875</v>
      </c>
      <c r="P2089">
        <v>2.75</v>
      </c>
      <c r="Q2089">
        <v>400</v>
      </c>
      <c r="R2089">
        <v>309</v>
      </c>
    </row>
    <row r="2090" spans="1:18" hidden="1" x14ac:dyDescent="0.2">
      <c r="A2090">
        <v>6</v>
      </c>
      <c r="B2090" t="s">
        <v>81</v>
      </c>
      <c r="E2090" t="s">
        <v>51</v>
      </c>
      <c r="F2090">
        <v>2238423</v>
      </c>
      <c r="G2090">
        <v>2</v>
      </c>
      <c r="H2090">
        <v>1</v>
      </c>
      <c r="I2090">
        <v>467</v>
      </c>
      <c r="J2090">
        <v>2022</v>
      </c>
      <c r="K2090" s="4">
        <v>45415</v>
      </c>
      <c r="L2090" t="s">
        <v>20</v>
      </c>
      <c r="M2090" t="s">
        <v>69</v>
      </c>
      <c r="N2090">
        <v>3.49</v>
      </c>
      <c r="O2090">
        <v>1511</v>
      </c>
      <c r="P2090">
        <v>1.04</v>
      </c>
      <c r="Q2090">
        <v>46</v>
      </c>
      <c r="R2090">
        <v>568</v>
      </c>
    </row>
    <row r="2091" spans="1:18" x14ac:dyDescent="0.2">
      <c r="A2091">
        <v>8</v>
      </c>
      <c r="B2091" t="s">
        <v>75</v>
      </c>
      <c r="E2091" t="s">
        <v>51</v>
      </c>
      <c r="F2091">
        <v>882400</v>
      </c>
      <c r="G2091">
        <v>3</v>
      </c>
      <c r="H2091">
        <v>1</v>
      </c>
      <c r="I2091">
        <v>300</v>
      </c>
      <c r="J2091">
        <v>2006</v>
      </c>
      <c r="K2091" s="4">
        <v>44493</v>
      </c>
      <c r="L2091" t="s">
        <v>23</v>
      </c>
      <c r="M2091" t="s">
        <v>37</v>
      </c>
      <c r="N2091">
        <v>3.33</v>
      </c>
      <c r="O2091">
        <v>1143</v>
      </c>
      <c r="P2091">
        <v>4.96</v>
      </c>
      <c r="Q2091">
        <v>120</v>
      </c>
      <c r="R2091">
        <v>457</v>
      </c>
    </row>
    <row r="2092" spans="1:18" hidden="1" x14ac:dyDescent="0.2">
      <c r="A2092">
        <v>5</v>
      </c>
      <c r="B2092" t="s">
        <v>83</v>
      </c>
      <c r="E2092" t="s">
        <v>36</v>
      </c>
      <c r="F2092">
        <v>559378</v>
      </c>
      <c r="G2092">
        <v>3</v>
      </c>
      <c r="H2092">
        <v>1</v>
      </c>
      <c r="I2092">
        <v>369</v>
      </c>
      <c r="J2092">
        <v>2013</v>
      </c>
      <c r="K2092" s="4">
        <v>44441</v>
      </c>
      <c r="L2092" t="s">
        <v>23</v>
      </c>
      <c r="M2092" t="s">
        <v>31</v>
      </c>
      <c r="N2092">
        <v>3.32</v>
      </c>
      <c r="O2092">
        <v>1291</v>
      </c>
      <c r="P2092">
        <v>3.13</v>
      </c>
      <c r="Q2092">
        <v>310</v>
      </c>
      <c r="R2092">
        <v>635</v>
      </c>
    </row>
    <row r="2093" spans="1:18" hidden="1" x14ac:dyDescent="0.2">
      <c r="A2093">
        <v>0</v>
      </c>
      <c r="B2093" t="s">
        <v>43</v>
      </c>
      <c r="E2093" t="s">
        <v>36</v>
      </c>
      <c r="F2093">
        <v>977119</v>
      </c>
      <c r="G2093">
        <v>6</v>
      </c>
      <c r="H2093">
        <v>1</v>
      </c>
      <c r="I2093">
        <v>481</v>
      </c>
      <c r="J2093">
        <v>1974</v>
      </c>
      <c r="K2093" s="4">
        <v>45526</v>
      </c>
      <c r="L2093" t="s">
        <v>30</v>
      </c>
      <c r="M2093" t="s">
        <v>52</v>
      </c>
      <c r="N2093">
        <v>2.11</v>
      </c>
      <c r="O2093">
        <v>1838</v>
      </c>
      <c r="P2093">
        <v>2.33</v>
      </c>
      <c r="Q2093">
        <v>343</v>
      </c>
      <c r="R2093">
        <v>538</v>
      </c>
    </row>
    <row r="2094" spans="1:18" hidden="1" x14ac:dyDescent="0.2">
      <c r="A2094">
        <v>9</v>
      </c>
      <c r="B2094" t="s">
        <v>25</v>
      </c>
      <c r="E2094" t="s">
        <v>36</v>
      </c>
      <c r="F2094">
        <v>1549110</v>
      </c>
      <c r="G2094">
        <v>4</v>
      </c>
      <c r="H2094">
        <v>2</v>
      </c>
      <c r="I2094">
        <v>50</v>
      </c>
      <c r="J2094">
        <v>1960</v>
      </c>
      <c r="K2094" s="4">
        <v>44885</v>
      </c>
      <c r="L2094" t="s">
        <v>20</v>
      </c>
      <c r="M2094" t="s">
        <v>68</v>
      </c>
      <c r="N2094">
        <v>3.25</v>
      </c>
      <c r="O2094">
        <v>924</v>
      </c>
      <c r="P2094">
        <v>2.33</v>
      </c>
      <c r="Q2094">
        <v>350</v>
      </c>
      <c r="R2094">
        <v>627</v>
      </c>
    </row>
    <row r="2095" spans="1:18" hidden="1" x14ac:dyDescent="0.2">
      <c r="A2095">
        <v>6</v>
      </c>
      <c r="B2095" t="s">
        <v>61</v>
      </c>
      <c r="E2095" t="s">
        <v>36</v>
      </c>
      <c r="F2095">
        <v>802865</v>
      </c>
      <c r="G2095">
        <v>0</v>
      </c>
      <c r="H2095">
        <v>3</v>
      </c>
      <c r="I2095">
        <v>576</v>
      </c>
      <c r="J2095">
        <v>2015</v>
      </c>
      <c r="K2095" s="4">
        <v>45268</v>
      </c>
      <c r="L2095" t="s">
        <v>20</v>
      </c>
      <c r="M2095" t="s">
        <v>74</v>
      </c>
      <c r="N2095">
        <v>2.84</v>
      </c>
      <c r="O2095">
        <v>1643</v>
      </c>
      <c r="P2095">
        <v>0.41</v>
      </c>
      <c r="Q2095">
        <v>47</v>
      </c>
      <c r="R2095">
        <v>346</v>
      </c>
    </row>
    <row r="2096" spans="1:18" hidden="1" x14ac:dyDescent="0.2">
      <c r="A2096">
        <v>2</v>
      </c>
      <c r="B2096" t="s">
        <v>61</v>
      </c>
      <c r="E2096" t="s">
        <v>51</v>
      </c>
      <c r="F2096">
        <v>660853</v>
      </c>
      <c r="G2096">
        <v>2</v>
      </c>
      <c r="H2096">
        <v>1</v>
      </c>
      <c r="I2096">
        <v>540</v>
      </c>
      <c r="J2096">
        <v>2004</v>
      </c>
      <c r="K2096" s="4">
        <v>44683</v>
      </c>
      <c r="L2096" t="s">
        <v>26</v>
      </c>
      <c r="M2096" t="s">
        <v>77</v>
      </c>
      <c r="N2096">
        <v>3.1</v>
      </c>
      <c r="O2096">
        <v>1853</v>
      </c>
      <c r="P2096">
        <v>0.97</v>
      </c>
      <c r="Q2096">
        <v>144</v>
      </c>
      <c r="R2096">
        <v>458</v>
      </c>
    </row>
    <row r="2097" spans="1:18" hidden="1" x14ac:dyDescent="0.2">
      <c r="A2097">
        <v>3</v>
      </c>
      <c r="B2097" t="s">
        <v>100</v>
      </c>
      <c r="E2097" t="s">
        <v>51</v>
      </c>
      <c r="F2097">
        <v>1289761</v>
      </c>
      <c r="G2097">
        <v>2</v>
      </c>
      <c r="H2097">
        <v>2</v>
      </c>
      <c r="I2097">
        <v>365</v>
      </c>
      <c r="J2097">
        <v>1967</v>
      </c>
      <c r="K2097" s="4">
        <v>44290</v>
      </c>
      <c r="L2097" t="s">
        <v>20</v>
      </c>
      <c r="M2097" t="s">
        <v>27</v>
      </c>
      <c r="N2097">
        <v>2.37</v>
      </c>
      <c r="O2097">
        <v>2364</v>
      </c>
      <c r="P2097">
        <v>2.58</v>
      </c>
      <c r="Q2097">
        <v>64</v>
      </c>
      <c r="R2097">
        <v>592</v>
      </c>
    </row>
    <row r="2098" spans="1:18" hidden="1" x14ac:dyDescent="0.2">
      <c r="A2098">
        <v>6</v>
      </c>
      <c r="B2098" t="s">
        <v>81</v>
      </c>
      <c r="E2098" t="s">
        <v>36</v>
      </c>
      <c r="F2098">
        <v>1825457</v>
      </c>
      <c r="G2098">
        <v>2</v>
      </c>
      <c r="H2098">
        <v>1</v>
      </c>
      <c r="I2098">
        <v>340</v>
      </c>
      <c r="J2098">
        <v>2018</v>
      </c>
      <c r="K2098" s="4">
        <v>44941</v>
      </c>
      <c r="L2098" t="s">
        <v>23</v>
      </c>
      <c r="M2098" t="s">
        <v>33</v>
      </c>
      <c r="N2098">
        <v>2.5</v>
      </c>
      <c r="O2098">
        <v>947</v>
      </c>
      <c r="P2098">
        <v>3.19</v>
      </c>
      <c r="Q2098">
        <v>57</v>
      </c>
      <c r="R2098">
        <v>346</v>
      </c>
    </row>
    <row r="2099" spans="1:18" x14ac:dyDescent="0.2">
      <c r="A2099">
        <v>8</v>
      </c>
      <c r="B2099" t="s">
        <v>92</v>
      </c>
      <c r="E2099" t="s">
        <v>51</v>
      </c>
      <c r="F2099">
        <v>855772</v>
      </c>
      <c r="G2099">
        <v>3</v>
      </c>
      <c r="H2099">
        <v>3</v>
      </c>
      <c r="I2099">
        <v>55</v>
      </c>
      <c r="J2099">
        <v>2021</v>
      </c>
      <c r="K2099" s="4">
        <v>45511</v>
      </c>
      <c r="L2099" t="s">
        <v>23</v>
      </c>
      <c r="M2099" t="s">
        <v>45</v>
      </c>
      <c r="N2099">
        <v>2.44</v>
      </c>
      <c r="O2099">
        <v>1097</v>
      </c>
      <c r="P2099">
        <v>0.86</v>
      </c>
      <c r="Q2099">
        <v>189</v>
      </c>
      <c r="R2099">
        <v>641</v>
      </c>
    </row>
    <row r="2100" spans="1:18" hidden="1" x14ac:dyDescent="0.2">
      <c r="A2100">
        <v>7</v>
      </c>
      <c r="B2100" t="s">
        <v>96</v>
      </c>
      <c r="E2100" t="s">
        <v>51</v>
      </c>
      <c r="F2100">
        <v>2037953</v>
      </c>
      <c r="G2100">
        <v>4</v>
      </c>
      <c r="H2100">
        <v>2</v>
      </c>
      <c r="I2100">
        <v>995</v>
      </c>
      <c r="J2100">
        <v>2010</v>
      </c>
      <c r="K2100" s="4">
        <v>44168</v>
      </c>
      <c r="L2100" t="s">
        <v>26</v>
      </c>
      <c r="M2100" t="s">
        <v>31</v>
      </c>
      <c r="N2100">
        <v>3.25</v>
      </c>
      <c r="O2100">
        <v>912</v>
      </c>
      <c r="P2100">
        <v>2.2000000000000002</v>
      </c>
      <c r="Q2100">
        <v>332</v>
      </c>
      <c r="R2100">
        <v>399</v>
      </c>
    </row>
    <row r="2101" spans="1:18" hidden="1" x14ac:dyDescent="0.2">
      <c r="A2101">
        <v>4</v>
      </c>
      <c r="B2101" t="s">
        <v>86</v>
      </c>
      <c r="E2101" t="s">
        <v>51</v>
      </c>
      <c r="F2101">
        <v>2526296</v>
      </c>
      <c r="G2101">
        <v>2</v>
      </c>
      <c r="H2101">
        <v>1</v>
      </c>
      <c r="I2101">
        <v>253</v>
      </c>
      <c r="J2101">
        <v>1991</v>
      </c>
      <c r="K2101" s="4">
        <v>45859</v>
      </c>
      <c r="L2101" t="s">
        <v>23</v>
      </c>
      <c r="M2101" t="s">
        <v>45</v>
      </c>
      <c r="N2101">
        <v>2.4500000000000002</v>
      </c>
      <c r="O2101">
        <v>1109</v>
      </c>
      <c r="P2101">
        <v>1.62</v>
      </c>
      <c r="Q2101">
        <v>153</v>
      </c>
      <c r="R2101">
        <v>545</v>
      </c>
    </row>
    <row r="2102" spans="1:18" hidden="1" x14ac:dyDescent="0.2">
      <c r="A2102">
        <v>7</v>
      </c>
      <c r="B2102" t="s">
        <v>49</v>
      </c>
      <c r="E2102" t="s">
        <v>36</v>
      </c>
      <c r="F2102">
        <v>481271</v>
      </c>
      <c r="G2102">
        <v>1</v>
      </c>
      <c r="H2102">
        <v>3</v>
      </c>
      <c r="I2102">
        <v>613</v>
      </c>
      <c r="J2102">
        <v>1952</v>
      </c>
      <c r="K2102" s="4">
        <v>44132</v>
      </c>
      <c r="L2102" t="s">
        <v>26</v>
      </c>
      <c r="M2102" t="s">
        <v>24</v>
      </c>
      <c r="N2102">
        <v>2.1800000000000002</v>
      </c>
      <c r="O2102">
        <v>1310</v>
      </c>
      <c r="P2102">
        <v>3.33</v>
      </c>
      <c r="Q2102">
        <v>75</v>
      </c>
      <c r="R2102">
        <v>633</v>
      </c>
    </row>
    <row r="2103" spans="1:18" hidden="1" x14ac:dyDescent="0.2">
      <c r="A2103">
        <v>6</v>
      </c>
      <c r="B2103" t="s">
        <v>99</v>
      </c>
      <c r="E2103" t="s">
        <v>19</v>
      </c>
      <c r="F2103">
        <v>511889</v>
      </c>
      <c r="G2103">
        <v>2</v>
      </c>
      <c r="H2103">
        <v>1</v>
      </c>
      <c r="I2103">
        <v>283</v>
      </c>
      <c r="J2103">
        <v>1967</v>
      </c>
      <c r="K2103" s="4">
        <v>44970</v>
      </c>
      <c r="L2103" t="s">
        <v>20</v>
      </c>
      <c r="M2103" t="s">
        <v>35</v>
      </c>
      <c r="N2103">
        <v>3.31</v>
      </c>
      <c r="O2103">
        <v>1369</v>
      </c>
      <c r="P2103">
        <v>4.0999999999999996</v>
      </c>
      <c r="Q2103">
        <v>223</v>
      </c>
      <c r="R2103">
        <v>468</v>
      </c>
    </row>
    <row r="2104" spans="1:18" hidden="1" x14ac:dyDescent="0.2">
      <c r="A2104">
        <v>0</v>
      </c>
      <c r="B2104" t="s">
        <v>93</v>
      </c>
      <c r="E2104" t="s">
        <v>36</v>
      </c>
      <c r="F2104">
        <v>1034848</v>
      </c>
      <c r="G2104">
        <v>5</v>
      </c>
      <c r="H2104">
        <v>1</v>
      </c>
      <c r="I2104">
        <v>220</v>
      </c>
      <c r="J2104">
        <v>1999</v>
      </c>
      <c r="K2104" s="4">
        <v>44789</v>
      </c>
      <c r="L2104" t="s">
        <v>26</v>
      </c>
      <c r="M2104" t="s">
        <v>89</v>
      </c>
      <c r="N2104">
        <v>2.8</v>
      </c>
      <c r="O2104">
        <v>1774</v>
      </c>
      <c r="P2104">
        <v>3.19</v>
      </c>
      <c r="Q2104">
        <v>265</v>
      </c>
      <c r="R2104">
        <v>666</v>
      </c>
    </row>
    <row r="2105" spans="1:18" hidden="1" x14ac:dyDescent="0.2">
      <c r="A2105">
        <v>0</v>
      </c>
      <c r="B2105" t="s">
        <v>92</v>
      </c>
      <c r="E2105" t="s">
        <v>29</v>
      </c>
      <c r="F2105">
        <v>1661993</v>
      </c>
      <c r="G2105">
        <v>3</v>
      </c>
      <c r="H2105">
        <v>1</v>
      </c>
      <c r="I2105">
        <v>159</v>
      </c>
      <c r="J2105">
        <v>1972</v>
      </c>
      <c r="K2105" s="4">
        <v>44107</v>
      </c>
      <c r="L2105" t="s">
        <v>30</v>
      </c>
      <c r="M2105" t="s">
        <v>59</v>
      </c>
      <c r="N2105">
        <v>3.21</v>
      </c>
      <c r="O2105">
        <v>951</v>
      </c>
      <c r="P2105">
        <v>3.12</v>
      </c>
      <c r="Q2105">
        <v>97</v>
      </c>
      <c r="R2105">
        <v>462</v>
      </c>
    </row>
    <row r="2106" spans="1:18" hidden="1" x14ac:dyDescent="0.2">
      <c r="A2106">
        <v>4</v>
      </c>
      <c r="B2106" t="s">
        <v>49</v>
      </c>
      <c r="E2106" t="s">
        <v>19</v>
      </c>
      <c r="F2106">
        <v>1973223</v>
      </c>
      <c r="G2106">
        <v>6</v>
      </c>
      <c r="H2106">
        <v>1</v>
      </c>
      <c r="I2106">
        <v>648</v>
      </c>
      <c r="J2106">
        <v>2005</v>
      </c>
      <c r="K2106" s="4">
        <v>44776</v>
      </c>
      <c r="L2106" t="s">
        <v>23</v>
      </c>
      <c r="M2106" t="s">
        <v>52</v>
      </c>
      <c r="N2106">
        <v>2.08</v>
      </c>
      <c r="O2106">
        <v>1956</v>
      </c>
      <c r="P2106">
        <v>3.53</v>
      </c>
      <c r="Q2106">
        <v>367</v>
      </c>
      <c r="R2106">
        <v>698</v>
      </c>
    </row>
    <row r="2107" spans="1:18" hidden="1" x14ac:dyDescent="0.2">
      <c r="A2107">
        <v>7</v>
      </c>
      <c r="B2107" t="s">
        <v>102</v>
      </c>
      <c r="E2107" t="s">
        <v>19</v>
      </c>
      <c r="F2107">
        <v>2868551</v>
      </c>
      <c r="G2107">
        <v>3</v>
      </c>
      <c r="H2107">
        <v>2</v>
      </c>
      <c r="I2107">
        <v>888</v>
      </c>
      <c r="J2107">
        <v>1986</v>
      </c>
      <c r="K2107" s="4">
        <v>44681</v>
      </c>
      <c r="L2107" t="s">
        <v>23</v>
      </c>
      <c r="M2107" t="s">
        <v>31</v>
      </c>
      <c r="N2107">
        <v>2.23</v>
      </c>
      <c r="O2107">
        <v>2030</v>
      </c>
      <c r="P2107">
        <v>4.55</v>
      </c>
      <c r="Q2107">
        <v>256</v>
      </c>
      <c r="R2107">
        <v>360</v>
      </c>
    </row>
    <row r="2108" spans="1:18" hidden="1" x14ac:dyDescent="0.2">
      <c r="A2108">
        <v>3</v>
      </c>
      <c r="B2108" t="s">
        <v>75</v>
      </c>
      <c r="E2108" t="s">
        <v>29</v>
      </c>
      <c r="F2108">
        <v>1045049</v>
      </c>
      <c r="G2108">
        <v>0</v>
      </c>
      <c r="H2108">
        <v>2</v>
      </c>
      <c r="I2108">
        <v>304</v>
      </c>
      <c r="J2108">
        <v>2019</v>
      </c>
      <c r="K2108" s="4">
        <v>45813</v>
      </c>
      <c r="L2108" t="s">
        <v>20</v>
      </c>
      <c r="M2108" t="s">
        <v>40</v>
      </c>
      <c r="N2108">
        <v>2.4700000000000002</v>
      </c>
      <c r="O2108">
        <v>1390</v>
      </c>
      <c r="P2108">
        <v>4.45</v>
      </c>
      <c r="Q2108">
        <v>49</v>
      </c>
      <c r="R2108">
        <v>449</v>
      </c>
    </row>
    <row r="2109" spans="1:18" hidden="1" x14ac:dyDescent="0.2">
      <c r="A2109">
        <v>7</v>
      </c>
      <c r="B2109" t="s">
        <v>83</v>
      </c>
      <c r="E2109" t="s">
        <v>29</v>
      </c>
      <c r="F2109">
        <v>1944283</v>
      </c>
      <c r="G2109">
        <v>0</v>
      </c>
      <c r="H2109">
        <v>2</v>
      </c>
      <c r="I2109">
        <v>950</v>
      </c>
      <c r="J2109">
        <v>2003</v>
      </c>
      <c r="K2109" s="4">
        <v>44316</v>
      </c>
      <c r="L2109" t="s">
        <v>23</v>
      </c>
      <c r="M2109" t="s">
        <v>66</v>
      </c>
      <c r="N2109">
        <v>1.73</v>
      </c>
      <c r="O2109">
        <v>1322</v>
      </c>
      <c r="P2109">
        <v>2.08</v>
      </c>
      <c r="Q2109">
        <v>45</v>
      </c>
      <c r="R2109">
        <v>447</v>
      </c>
    </row>
    <row r="2110" spans="1:18" hidden="1" x14ac:dyDescent="0.2">
      <c r="A2110">
        <v>7</v>
      </c>
      <c r="B2110" t="s">
        <v>93</v>
      </c>
      <c r="E2110" t="s">
        <v>51</v>
      </c>
      <c r="F2110">
        <v>1542153</v>
      </c>
      <c r="G2110">
        <v>3</v>
      </c>
      <c r="H2110">
        <v>1</v>
      </c>
      <c r="I2110">
        <v>909</v>
      </c>
      <c r="J2110">
        <v>1959</v>
      </c>
      <c r="K2110" s="4">
        <v>44948</v>
      </c>
      <c r="L2110" t="s">
        <v>26</v>
      </c>
      <c r="M2110" t="s">
        <v>60</v>
      </c>
      <c r="N2110">
        <v>1.5</v>
      </c>
      <c r="O2110">
        <v>1876</v>
      </c>
      <c r="P2110">
        <v>0.49</v>
      </c>
      <c r="Q2110">
        <v>187</v>
      </c>
      <c r="R2110">
        <v>435</v>
      </c>
    </row>
    <row r="2111" spans="1:18" hidden="1" x14ac:dyDescent="0.2">
      <c r="A2111">
        <v>6</v>
      </c>
      <c r="B2111" t="s">
        <v>90</v>
      </c>
      <c r="E2111" t="s">
        <v>19</v>
      </c>
      <c r="F2111">
        <v>2909845</v>
      </c>
      <c r="G2111">
        <v>3</v>
      </c>
      <c r="H2111">
        <v>3</v>
      </c>
      <c r="I2111">
        <v>909</v>
      </c>
      <c r="J2111">
        <v>1962</v>
      </c>
      <c r="K2111" s="4">
        <v>44244</v>
      </c>
      <c r="L2111" t="s">
        <v>26</v>
      </c>
      <c r="M2111" t="s">
        <v>12</v>
      </c>
      <c r="N2111">
        <v>2.54</v>
      </c>
      <c r="O2111">
        <v>1309</v>
      </c>
      <c r="P2111">
        <v>3.56</v>
      </c>
      <c r="Q2111">
        <v>212</v>
      </c>
      <c r="R2111">
        <v>485</v>
      </c>
    </row>
    <row r="2112" spans="1:18" hidden="1" x14ac:dyDescent="0.2">
      <c r="A2112">
        <v>9</v>
      </c>
      <c r="B2112" t="s">
        <v>81</v>
      </c>
      <c r="E2112" t="s">
        <v>36</v>
      </c>
      <c r="F2112">
        <v>622564</v>
      </c>
      <c r="G2112">
        <v>4</v>
      </c>
      <c r="H2112">
        <v>3</v>
      </c>
      <c r="I2112">
        <v>494</v>
      </c>
      <c r="J2112">
        <v>2019</v>
      </c>
      <c r="K2112" s="4">
        <v>44426</v>
      </c>
      <c r="L2112" t="s">
        <v>26</v>
      </c>
      <c r="M2112" t="s">
        <v>74</v>
      </c>
      <c r="N2112">
        <v>2.73</v>
      </c>
      <c r="O2112">
        <v>1044</v>
      </c>
      <c r="P2112">
        <v>1.01</v>
      </c>
      <c r="Q2112">
        <v>355</v>
      </c>
      <c r="R2112">
        <v>438</v>
      </c>
    </row>
    <row r="2113" spans="1:18" hidden="1" x14ac:dyDescent="0.2">
      <c r="A2113">
        <v>0</v>
      </c>
      <c r="B2113" t="s">
        <v>102</v>
      </c>
      <c r="E2113" t="s">
        <v>29</v>
      </c>
      <c r="F2113">
        <v>2279428</v>
      </c>
      <c r="G2113">
        <v>2</v>
      </c>
      <c r="H2113">
        <v>1</v>
      </c>
      <c r="I2113">
        <v>295</v>
      </c>
      <c r="J2113">
        <v>1991</v>
      </c>
      <c r="K2113" s="4">
        <v>44462</v>
      </c>
      <c r="L2113" t="s">
        <v>30</v>
      </c>
      <c r="M2113" t="s">
        <v>63</v>
      </c>
      <c r="N2113">
        <v>3.17</v>
      </c>
      <c r="O2113">
        <v>1855</v>
      </c>
      <c r="P2113">
        <v>0.37</v>
      </c>
      <c r="Q2113">
        <v>97</v>
      </c>
      <c r="R2113">
        <v>315</v>
      </c>
    </row>
    <row r="2114" spans="1:18" hidden="1" x14ac:dyDescent="0.2">
      <c r="A2114">
        <v>9</v>
      </c>
      <c r="B2114" t="s">
        <v>100</v>
      </c>
      <c r="E2114" t="s">
        <v>36</v>
      </c>
      <c r="F2114">
        <v>1931533</v>
      </c>
      <c r="G2114">
        <v>5</v>
      </c>
      <c r="H2114">
        <v>3</v>
      </c>
      <c r="I2114">
        <v>974</v>
      </c>
      <c r="J2114">
        <v>1990</v>
      </c>
      <c r="K2114" s="4">
        <v>44341</v>
      </c>
      <c r="L2114" t="s">
        <v>20</v>
      </c>
      <c r="M2114" t="s">
        <v>78</v>
      </c>
      <c r="N2114">
        <v>2.73</v>
      </c>
      <c r="O2114">
        <v>2115</v>
      </c>
      <c r="P2114">
        <v>4.7699999999999996</v>
      </c>
      <c r="Q2114">
        <v>387</v>
      </c>
      <c r="R2114">
        <v>361</v>
      </c>
    </row>
    <row r="2115" spans="1:18" hidden="1" x14ac:dyDescent="0.2">
      <c r="A2115">
        <v>7</v>
      </c>
      <c r="B2115" t="s">
        <v>79</v>
      </c>
      <c r="E2115" t="s">
        <v>19</v>
      </c>
      <c r="F2115">
        <v>2596157</v>
      </c>
      <c r="G2115">
        <v>4</v>
      </c>
      <c r="H2115">
        <v>1</v>
      </c>
      <c r="I2115">
        <v>957</v>
      </c>
      <c r="J2115">
        <v>1965</v>
      </c>
      <c r="K2115" s="4">
        <v>45842</v>
      </c>
      <c r="L2115" t="s">
        <v>30</v>
      </c>
      <c r="M2115" t="s">
        <v>24</v>
      </c>
      <c r="N2115">
        <v>1.69</v>
      </c>
      <c r="O2115">
        <v>1909</v>
      </c>
      <c r="P2115">
        <v>1.44</v>
      </c>
      <c r="Q2115">
        <v>279</v>
      </c>
      <c r="R2115">
        <v>337</v>
      </c>
    </row>
    <row r="2116" spans="1:18" hidden="1" x14ac:dyDescent="0.2">
      <c r="A2116">
        <v>6</v>
      </c>
      <c r="B2116" t="s">
        <v>102</v>
      </c>
      <c r="E2116" t="s">
        <v>51</v>
      </c>
      <c r="F2116">
        <v>1850363</v>
      </c>
      <c r="G2116">
        <v>4</v>
      </c>
      <c r="H2116">
        <v>2</v>
      </c>
      <c r="I2116">
        <v>630</v>
      </c>
      <c r="J2116">
        <v>2014</v>
      </c>
      <c r="K2116" s="4">
        <v>44817</v>
      </c>
      <c r="L2116" t="s">
        <v>20</v>
      </c>
      <c r="M2116" t="s">
        <v>77</v>
      </c>
      <c r="N2116">
        <v>1.84</v>
      </c>
      <c r="O2116">
        <v>2041</v>
      </c>
      <c r="P2116">
        <v>0.19</v>
      </c>
      <c r="Q2116">
        <v>255</v>
      </c>
      <c r="R2116">
        <v>305</v>
      </c>
    </row>
    <row r="2117" spans="1:18" hidden="1" x14ac:dyDescent="0.2">
      <c r="A2117">
        <v>1</v>
      </c>
      <c r="B2117" t="s">
        <v>106</v>
      </c>
      <c r="E2117" t="s">
        <v>36</v>
      </c>
      <c r="F2117">
        <v>1304423</v>
      </c>
      <c r="G2117">
        <v>2</v>
      </c>
      <c r="H2117">
        <v>2</v>
      </c>
      <c r="I2117">
        <v>654</v>
      </c>
      <c r="J2117">
        <v>1969</v>
      </c>
      <c r="K2117" s="4">
        <v>44741</v>
      </c>
      <c r="L2117" t="s">
        <v>23</v>
      </c>
      <c r="M2117" t="s">
        <v>31</v>
      </c>
      <c r="N2117">
        <v>3.38</v>
      </c>
      <c r="O2117">
        <v>2164</v>
      </c>
      <c r="P2117">
        <v>4.88</v>
      </c>
      <c r="Q2117">
        <v>203</v>
      </c>
      <c r="R2117">
        <v>406</v>
      </c>
    </row>
    <row r="2118" spans="1:18" hidden="1" x14ac:dyDescent="0.2">
      <c r="A2118">
        <v>7</v>
      </c>
      <c r="B2118" t="s">
        <v>101</v>
      </c>
      <c r="E2118" t="s">
        <v>36</v>
      </c>
      <c r="F2118">
        <v>463591</v>
      </c>
      <c r="G2118">
        <v>2</v>
      </c>
      <c r="H2118">
        <v>1</v>
      </c>
      <c r="I2118">
        <v>925</v>
      </c>
      <c r="J2118">
        <v>2020</v>
      </c>
      <c r="K2118" s="4">
        <v>44457</v>
      </c>
      <c r="L2118" t="s">
        <v>26</v>
      </c>
      <c r="M2118" t="s">
        <v>97</v>
      </c>
      <c r="N2118">
        <v>3.31</v>
      </c>
      <c r="O2118">
        <v>929</v>
      </c>
      <c r="P2118">
        <v>1.31</v>
      </c>
      <c r="Q2118">
        <v>211</v>
      </c>
      <c r="R2118">
        <v>640</v>
      </c>
    </row>
    <row r="2119" spans="1:18" hidden="1" x14ac:dyDescent="0.2">
      <c r="A2119">
        <v>0</v>
      </c>
      <c r="B2119" t="s">
        <v>92</v>
      </c>
      <c r="E2119" t="s">
        <v>51</v>
      </c>
      <c r="F2119">
        <v>2144195</v>
      </c>
      <c r="G2119">
        <v>3</v>
      </c>
      <c r="H2119">
        <v>3</v>
      </c>
      <c r="I2119">
        <v>312</v>
      </c>
      <c r="J2119">
        <v>1981</v>
      </c>
      <c r="K2119" s="4">
        <v>45424</v>
      </c>
      <c r="L2119" t="s">
        <v>30</v>
      </c>
      <c r="M2119" t="s">
        <v>59</v>
      </c>
      <c r="N2119">
        <v>2.33</v>
      </c>
      <c r="O2119">
        <v>1580</v>
      </c>
      <c r="P2119">
        <v>3.35</v>
      </c>
      <c r="Q2119">
        <v>158</v>
      </c>
      <c r="R2119">
        <v>447</v>
      </c>
    </row>
    <row r="2120" spans="1:18" hidden="1" x14ac:dyDescent="0.2">
      <c r="A2120">
        <v>2</v>
      </c>
      <c r="B2120" t="s">
        <v>95</v>
      </c>
      <c r="E2120" t="s">
        <v>19</v>
      </c>
      <c r="F2120">
        <v>1622054</v>
      </c>
      <c r="G2120">
        <v>1</v>
      </c>
      <c r="H2120">
        <v>2</v>
      </c>
      <c r="I2120">
        <v>643</v>
      </c>
      <c r="J2120">
        <v>1951</v>
      </c>
      <c r="K2120" s="4">
        <v>45590</v>
      </c>
      <c r="L2120" t="s">
        <v>30</v>
      </c>
      <c r="M2120" t="s">
        <v>68</v>
      </c>
      <c r="N2120">
        <v>1.84</v>
      </c>
      <c r="O2120">
        <v>1271</v>
      </c>
      <c r="P2120">
        <v>1.36</v>
      </c>
      <c r="Q2120">
        <v>146</v>
      </c>
      <c r="R2120">
        <v>384</v>
      </c>
    </row>
    <row r="2121" spans="1:18" x14ac:dyDescent="0.2">
      <c r="A2121">
        <v>8</v>
      </c>
      <c r="B2121" t="s">
        <v>104</v>
      </c>
      <c r="E2121" t="s">
        <v>36</v>
      </c>
      <c r="F2121">
        <v>1639685</v>
      </c>
      <c r="G2121">
        <v>4</v>
      </c>
      <c r="H2121">
        <v>2</v>
      </c>
      <c r="I2121">
        <v>798</v>
      </c>
      <c r="J2121">
        <v>1966</v>
      </c>
      <c r="K2121" s="4">
        <v>44846</v>
      </c>
      <c r="L2121" t="s">
        <v>23</v>
      </c>
      <c r="M2121" t="s">
        <v>74</v>
      </c>
      <c r="N2121">
        <v>2.09</v>
      </c>
      <c r="O2121">
        <v>1563</v>
      </c>
      <c r="P2121">
        <v>0.46</v>
      </c>
      <c r="Q2121">
        <v>396</v>
      </c>
      <c r="R2121">
        <v>677</v>
      </c>
    </row>
    <row r="2122" spans="1:18" hidden="1" x14ac:dyDescent="0.2">
      <c r="A2122">
        <v>5</v>
      </c>
      <c r="B2122" t="s">
        <v>96</v>
      </c>
      <c r="E2122" t="s">
        <v>19</v>
      </c>
      <c r="F2122">
        <v>936921</v>
      </c>
      <c r="G2122">
        <v>4</v>
      </c>
      <c r="H2122">
        <v>3</v>
      </c>
      <c r="I2122">
        <v>933</v>
      </c>
      <c r="J2122">
        <v>1950</v>
      </c>
      <c r="K2122" s="4">
        <v>44371</v>
      </c>
      <c r="L2122" t="s">
        <v>23</v>
      </c>
      <c r="M2122" t="s">
        <v>40</v>
      </c>
      <c r="N2122">
        <v>3.18</v>
      </c>
      <c r="O2122">
        <v>1481</v>
      </c>
      <c r="P2122">
        <v>2.79</v>
      </c>
      <c r="Q2122">
        <v>333</v>
      </c>
      <c r="R2122">
        <v>571</v>
      </c>
    </row>
    <row r="2123" spans="1:18" hidden="1" x14ac:dyDescent="0.2">
      <c r="A2123">
        <v>7</v>
      </c>
      <c r="B2123" t="s">
        <v>101</v>
      </c>
      <c r="E2123" t="s">
        <v>51</v>
      </c>
      <c r="F2123">
        <v>2645905</v>
      </c>
      <c r="G2123">
        <v>4</v>
      </c>
      <c r="H2123">
        <v>3</v>
      </c>
      <c r="I2123">
        <v>843</v>
      </c>
      <c r="J2123">
        <v>2026</v>
      </c>
      <c r="K2123" s="4">
        <v>45235</v>
      </c>
      <c r="L2123" t="s">
        <v>26</v>
      </c>
      <c r="M2123" t="s">
        <v>77</v>
      </c>
      <c r="N2123">
        <v>2.73</v>
      </c>
      <c r="O2123">
        <v>1240</v>
      </c>
      <c r="P2123">
        <v>1.64</v>
      </c>
      <c r="Q2123">
        <v>308</v>
      </c>
      <c r="R2123">
        <v>336</v>
      </c>
    </row>
    <row r="2124" spans="1:18" hidden="1" x14ac:dyDescent="0.2">
      <c r="A2124">
        <v>0</v>
      </c>
      <c r="B2124" t="s">
        <v>99</v>
      </c>
      <c r="E2124" t="s">
        <v>36</v>
      </c>
      <c r="F2124">
        <v>1361206</v>
      </c>
      <c r="G2124">
        <v>0</v>
      </c>
      <c r="H2124">
        <v>3</v>
      </c>
      <c r="I2124">
        <v>492</v>
      </c>
      <c r="J2124">
        <v>1982</v>
      </c>
      <c r="K2124" s="4">
        <v>44167</v>
      </c>
      <c r="L2124" t="s">
        <v>23</v>
      </c>
      <c r="M2124" t="s">
        <v>35</v>
      </c>
      <c r="N2124">
        <v>2.0099999999999998</v>
      </c>
      <c r="O2124">
        <v>2362</v>
      </c>
      <c r="P2124">
        <v>4.3</v>
      </c>
      <c r="Q2124">
        <v>40</v>
      </c>
      <c r="R2124">
        <v>609</v>
      </c>
    </row>
    <row r="2125" spans="1:18" hidden="1" x14ac:dyDescent="0.2">
      <c r="A2125">
        <v>5</v>
      </c>
      <c r="B2125" t="s">
        <v>67</v>
      </c>
      <c r="E2125" t="s">
        <v>51</v>
      </c>
      <c r="F2125">
        <v>557191</v>
      </c>
      <c r="G2125">
        <v>5</v>
      </c>
      <c r="H2125">
        <v>1</v>
      </c>
      <c r="I2125">
        <v>77</v>
      </c>
      <c r="J2125">
        <v>1961</v>
      </c>
      <c r="K2125" s="4">
        <v>44830</v>
      </c>
      <c r="L2125" t="s">
        <v>20</v>
      </c>
      <c r="M2125" t="s">
        <v>37</v>
      </c>
      <c r="N2125">
        <v>3.4</v>
      </c>
      <c r="O2125">
        <v>1911</v>
      </c>
      <c r="P2125">
        <v>3.51</v>
      </c>
      <c r="Q2125">
        <v>300</v>
      </c>
      <c r="R2125">
        <v>580</v>
      </c>
    </row>
    <row r="2126" spans="1:18" hidden="1" x14ac:dyDescent="0.2">
      <c r="A2126">
        <v>9</v>
      </c>
      <c r="B2126" t="s">
        <v>22</v>
      </c>
      <c r="E2126" t="s">
        <v>51</v>
      </c>
      <c r="F2126">
        <v>2569379</v>
      </c>
      <c r="G2126">
        <v>4</v>
      </c>
      <c r="H2126">
        <v>2</v>
      </c>
      <c r="I2126">
        <v>263</v>
      </c>
      <c r="J2126">
        <v>2008</v>
      </c>
      <c r="K2126" s="4">
        <v>44830</v>
      </c>
      <c r="L2126" t="s">
        <v>23</v>
      </c>
      <c r="M2126" t="s">
        <v>37</v>
      </c>
      <c r="N2126">
        <v>1.57</v>
      </c>
      <c r="O2126">
        <v>1283</v>
      </c>
      <c r="P2126">
        <v>3.28</v>
      </c>
      <c r="Q2126">
        <v>217</v>
      </c>
      <c r="R2126">
        <v>531</v>
      </c>
    </row>
    <row r="2127" spans="1:18" hidden="1" x14ac:dyDescent="0.2">
      <c r="A2127">
        <v>3</v>
      </c>
      <c r="B2127" t="s">
        <v>71</v>
      </c>
      <c r="E2127" t="s">
        <v>29</v>
      </c>
      <c r="F2127">
        <v>2269501</v>
      </c>
      <c r="G2127">
        <v>1</v>
      </c>
      <c r="H2127">
        <v>1</v>
      </c>
      <c r="I2127">
        <v>821</v>
      </c>
      <c r="J2127">
        <v>2005</v>
      </c>
      <c r="K2127" s="4">
        <v>44707</v>
      </c>
      <c r="L2127" t="s">
        <v>26</v>
      </c>
      <c r="M2127" t="s">
        <v>70</v>
      </c>
      <c r="N2127">
        <v>2.57</v>
      </c>
      <c r="O2127">
        <v>2185</v>
      </c>
      <c r="P2127">
        <v>3.26</v>
      </c>
      <c r="Q2127">
        <v>149</v>
      </c>
      <c r="R2127">
        <v>548</v>
      </c>
    </row>
    <row r="2128" spans="1:18" hidden="1" x14ac:dyDescent="0.2">
      <c r="A2128">
        <v>2</v>
      </c>
      <c r="B2128" t="s">
        <v>25</v>
      </c>
      <c r="E2128" t="s">
        <v>19</v>
      </c>
      <c r="F2128">
        <v>1252154</v>
      </c>
      <c r="G2128">
        <v>4</v>
      </c>
      <c r="H2128">
        <v>1</v>
      </c>
      <c r="I2128">
        <v>972</v>
      </c>
      <c r="J2128">
        <v>1986</v>
      </c>
      <c r="K2128" s="4">
        <v>45592</v>
      </c>
      <c r="L2128" t="s">
        <v>30</v>
      </c>
      <c r="M2128" t="s">
        <v>40</v>
      </c>
      <c r="N2128">
        <v>2.77</v>
      </c>
      <c r="O2128">
        <v>2320</v>
      </c>
      <c r="P2128">
        <v>3.99</v>
      </c>
      <c r="Q2128">
        <v>340</v>
      </c>
      <c r="R2128">
        <v>325</v>
      </c>
    </row>
    <row r="2129" spans="1:18" hidden="1" x14ac:dyDescent="0.2">
      <c r="A2129">
        <v>5</v>
      </c>
      <c r="B2129" t="s">
        <v>22</v>
      </c>
      <c r="E2129" t="s">
        <v>19</v>
      </c>
      <c r="F2129">
        <v>891590</v>
      </c>
      <c r="G2129">
        <v>4</v>
      </c>
      <c r="H2129">
        <v>1</v>
      </c>
      <c r="I2129">
        <v>982</v>
      </c>
      <c r="J2129">
        <v>1999</v>
      </c>
      <c r="K2129" s="4">
        <v>44256</v>
      </c>
      <c r="L2129" t="s">
        <v>20</v>
      </c>
      <c r="M2129" t="s">
        <v>33</v>
      </c>
      <c r="N2129">
        <v>2.83</v>
      </c>
      <c r="O2129">
        <v>1122</v>
      </c>
      <c r="P2129">
        <v>4.17</v>
      </c>
      <c r="Q2129">
        <v>222</v>
      </c>
      <c r="R2129">
        <v>614</v>
      </c>
    </row>
    <row r="2130" spans="1:18" hidden="1" x14ac:dyDescent="0.2">
      <c r="A2130">
        <v>4</v>
      </c>
      <c r="B2130" t="s">
        <v>86</v>
      </c>
      <c r="E2130" t="s">
        <v>51</v>
      </c>
      <c r="F2130">
        <v>2046071</v>
      </c>
      <c r="G2130">
        <v>1</v>
      </c>
      <c r="H2130">
        <v>1</v>
      </c>
      <c r="I2130">
        <v>217</v>
      </c>
      <c r="J2130">
        <v>2013</v>
      </c>
      <c r="K2130" s="4">
        <v>45876</v>
      </c>
      <c r="L2130" t="s">
        <v>23</v>
      </c>
      <c r="M2130" t="s">
        <v>42</v>
      </c>
      <c r="N2130">
        <v>2.2200000000000002</v>
      </c>
      <c r="O2130">
        <v>1320</v>
      </c>
      <c r="P2130">
        <v>1.06</v>
      </c>
      <c r="Q2130">
        <v>134</v>
      </c>
      <c r="R2130">
        <v>496</v>
      </c>
    </row>
    <row r="2131" spans="1:18" hidden="1" x14ac:dyDescent="0.2">
      <c r="A2131">
        <v>0</v>
      </c>
      <c r="B2131" t="s">
        <v>93</v>
      </c>
      <c r="E2131" t="s">
        <v>36</v>
      </c>
      <c r="F2131">
        <v>1648759</v>
      </c>
      <c r="G2131">
        <v>1</v>
      </c>
      <c r="H2131">
        <v>2</v>
      </c>
      <c r="I2131">
        <v>435</v>
      </c>
      <c r="J2131">
        <v>1982</v>
      </c>
      <c r="K2131" s="4">
        <v>44218</v>
      </c>
      <c r="L2131" t="s">
        <v>20</v>
      </c>
      <c r="M2131" t="s">
        <v>63</v>
      </c>
      <c r="N2131">
        <v>3.23</v>
      </c>
      <c r="O2131">
        <v>1729</v>
      </c>
      <c r="P2131">
        <v>2.8</v>
      </c>
      <c r="Q2131">
        <v>51</v>
      </c>
      <c r="R2131">
        <v>577</v>
      </c>
    </row>
    <row r="2132" spans="1:18" x14ac:dyDescent="0.2">
      <c r="A2132">
        <v>8</v>
      </c>
      <c r="B2132" t="s">
        <v>67</v>
      </c>
      <c r="E2132" t="s">
        <v>51</v>
      </c>
      <c r="F2132">
        <v>1278005</v>
      </c>
      <c r="G2132">
        <v>6</v>
      </c>
      <c r="H2132">
        <v>2</v>
      </c>
      <c r="I2132">
        <v>822</v>
      </c>
      <c r="J2132">
        <v>1999</v>
      </c>
      <c r="K2132" s="4">
        <v>44605</v>
      </c>
      <c r="L2132" t="s">
        <v>23</v>
      </c>
      <c r="M2132" t="s">
        <v>82</v>
      </c>
      <c r="N2132">
        <v>1.71</v>
      </c>
      <c r="O2132">
        <v>1159</v>
      </c>
      <c r="P2132">
        <v>1.37</v>
      </c>
      <c r="Q2132">
        <v>390</v>
      </c>
      <c r="R2132">
        <v>452</v>
      </c>
    </row>
    <row r="2133" spans="1:18" x14ac:dyDescent="0.2">
      <c r="A2133">
        <v>8</v>
      </c>
      <c r="B2133" t="s">
        <v>65</v>
      </c>
      <c r="E2133" t="s">
        <v>36</v>
      </c>
      <c r="F2133">
        <v>2006391</v>
      </c>
      <c r="G2133">
        <v>3</v>
      </c>
      <c r="H2133">
        <v>2</v>
      </c>
      <c r="I2133">
        <v>455</v>
      </c>
      <c r="J2133">
        <v>1991</v>
      </c>
      <c r="K2133" s="4">
        <v>45824</v>
      </c>
      <c r="L2133" t="s">
        <v>30</v>
      </c>
      <c r="M2133" t="s">
        <v>85</v>
      </c>
      <c r="N2133">
        <v>1.99</v>
      </c>
      <c r="O2133">
        <v>2151</v>
      </c>
      <c r="P2133">
        <v>3.98</v>
      </c>
      <c r="Q2133">
        <v>169</v>
      </c>
      <c r="R2133">
        <v>411</v>
      </c>
    </row>
    <row r="2134" spans="1:18" hidden="1" x14ac:dyDescent="0.2">
      <c r="A2134">
        <v>0</v>
      </c>
      <c r="B2134" t="s">
        <v>61</v>
      </c>
      <c r="E2134" t="s">
        <v>29</v>
      </c>
      <c r="F2134">
        <v>1516326</v>
      </c>
      <c r="G2134">
        <v>5</v>
      </c>
      <c r="H2134">
        <v>3</v>
      </c>
      <c r="I2134">
        <v>322</v>
      </c>
      <c r="J2134">
        <v>1978</v>
      </c>
      <c r="K2134" s="4">
        <v>45699</v>
      </c>
      <c r="L2134" t="s">
        <v>26</v>
      </c>
      <c r="M2134" t="s">
        <v>45</v>
      </c>
      <c r="N2134">
        <v>3.04</v>
      </c>
      <c r="O2134">
        <v>2018</v>
      </c>
      <c r="P2134">
        <v>3.88</v>
      </c>
      <c r="Q2134">
        <v>342</v>
      </c>
      <c r="R2134">
        <v>682</v>
      </c>
    </row>
    <row r="2135" spans="1:18" hidden="1" x14ac:dyDescent="0.2">
      <c r="A2135">
        <v>3</v>
      </c>
      <c r="B2135" t="s">
        <v>53</v>
      </c>
      <c r="E2135" t="s">
        <v>29</v>
      </c>
      <c r="F2135">
        <v>695202</v>
      </c>
      <c r="G2135">
        <v>4</v>
      </c>
      <c r="H2135">
        <v>1</v>
      </c>
      <c r="I2135">
        <v>164</v>
      </c>
      <c r="J2135">
        <v>2014</v>
      </c>
      <c r="K2135" s="4">
        <v>45112</v>
      </c>
      <c r="L2135" t="s">
        <v>30</v>
      </c>
      <c r="M2135" t="s">
        <v>69</v>
      </c>
      <c r="N2135">
        <v>1.68</v>
      </c>
      <c r="O2135">
        <v>1589</v>
      </c>
      <c r="P2135">
        <v>1.81</v>
      </c>
      <c r="Q2135">
        <v>215</v>
      </c>
      <c r="R2135">
        <v>357</v>
      </c>
    </row>
    <row r="2136" spans="1:18" x14ac:dyDescent="0.2">
      <c r="A2136">
        <v>8</v>
      </c>
      <c r="B2136" t="s">
        <v>72</v>
      </c>
      <c r="E2136" t="s">
        <v>36</v>
      </c>
      <c r="F2136">
        <v>1060185</v>
      </c>
      <c r="G2136">
        <v>6</v>
      </c>
      <c r="H2136">
        <v>2</v>
      </c>
      <c r="I2136">
        <v>315</v>
      </c>
      <c r="J2136">
        <v>2008</v>
      </c>
      <c r="K2136" s="4">
        <v>45097</v>
      </c>
      <c r="L2136" t="s">
        <v>26</v>
      </c>
      <c r="M2136" t="s">
        <v>59</v>
      </c>
      <c r="N2136">
        <v>3.3</v>
      </c>
      <c r="O2136">
        <v>2396</v>
      </c>
      <c r="P2136">
        <v>2.54</v>
      </c>
      <c r="Q2136">
        <v>369</v>
      </c>
      <c r="R2136">
        <v>468</v>
      </c>
    </row>
    <row r="2137" spans="1:18" hidden="1" x14ac:dyDescent="0.2">
      <c r="A2137">
        <v>3</v>
      </c>
      <c r="B2137" t="s">
        <v>93</v>
      </c>
      <c r="E2137" t="s">
        <v>29</v>
      </c>
      <c r="F2137">
        <v>1512263</v>
      </c>
      <c r="G2137">
        <v>2</v>
      </c>
      <c r="H2137">
        <v>3</v>
      </c>
      <c r="I2137">
        <v>720</v>
      </c>
      <c r="J2137">
        <v>1958</v>
      </c>
      <c r="K2137" s="4">
        <v>45766</v>
      </c>
      <c r="L2137" t="s">
        <v>30</v>
      </c>
      <c r="M2137" t="s">
        <v>97</v>
      </c>
      <c r="N2137">
        <v>2.7</v>
      </c>
      <c r="O2137">
        <v>1927</v>
      </c>
      <c r="P2137">
        <v>3.28</v>
      </c>
      <c r="Q2137">
        <v>184</v>
      </c>
      <c r="R2137">
        <v>619</v>
      </c>
    </row>
    <row r="2138" spans="1:18" hidden="1" x14ac:dyDescent="0.2">
      <c r="A2138">
        <v>0</v>
      </c>
      <c r="B2138" t="s">
        <v>98</v>
      </c>
      <c r="E2138" t="s">
        <v>29</v>
      </c>
      <c r="F2138">
        <v>856096</v>
      </c>
      <c r="G2138">
        <v>3</v>
      </c>
      <c r="H2138">
        <v>3</v>
      </c>
      <c r="I2138">
        <v>606</v>
      </c>
      <c r="J2138">
        <v>1960</v>
      </c>
      <c r="K2138" s="4">
        <v>45541</v>
      </c>
      <c r="L2138" t="s">
        <v>26</v>
      </c>
      <c r="M2138" t="s">
        <v>69</v>
      </c>
      <c r="N2138">
        <v>1.55</v>
      </c>
      <c r="O2138">
        <v>1199</v>
      </c>
      <c r="P2138">
        <v>2.08</v>
      </c>
      <c r="Q2138">
        <v>120</v>
      </c>
      <c r="R2138">
        <v>604</v>
      </c>
    </row>
    <row r="2139" spans="1:18" hidden="1" x14ac:dyDescent="0.2">
      <c r="A2139">
        <v>7</v>
      </c>
      <c r="B2139" t="s">
        <v>96</v>
      </c>
      <c r="E2139" t="s">
        <v>36</v>
      </c>
      <c r="F2139">
        <v>1694469</v>
      </c>
      <c r="G2139">
        <v>3</v>
      </c>
      <c r="H2139">
        <v>1</v>
      </c>
      <c r="I2139">
        <v>354</v>
      </c>
      <c r="J2139">
        <v>2015</v>
      </c>
      <c r="K2139" s="4">
        <v>44734</v>
      </c>
      <c r="L2139" t="s">
        <v>20</v>
      </c>
      <c r="M2139" t="s">
        <v>68</v>
      </c>
      <c r="N2139">
        <v>1.52</v>
      </c>
      <c r="O2139">
        <v>1599</v>
      </c>
      <c r="P2139">
        <v>0.55000000000000004</v>
      </c>
      <c r="Q2139">
        <v>320</v>
      </c>
      <c r="R2139">
        <v>642</v>
      </c>
    </row>
    <row r="2140" spans="1:18" hidden="1" x14ac:dyDescent="0.2">
      <c r="A2140">
        <v>9</v>
      </c>
      <c r="B2140" t="s">
        <v>64</v>
      </c>
      <c r="E2140" t="s">
        <v>51</v>
      </c>
      <c r="F2140">
        <v>1022113</v>
      </c>
      <c r="G2140">
        <v>4</v>
      </c>
      <c r="H2140">
        <v>2</v>
      </c>
      <c r="I2140">
        <v>294</v>
      </c>
      <c r="J2140">
        <v>2022</v>
      </c>
      <c r="K2140" s="4">
        <v>44366</v>
      </c>
      <c r="L2140" t="s">
        <v>30</v>
      </c>
      <c r="M2140" t="s">
        <v>69</v>
      </c>
      <c r="N2140">
        <v>1.85</v>
      </c>
      <c r="O2140">
        <v>2461</v>
      </c>
      <c r="P2140">
        <v>0.31</v>
      </c>
      <c r="Q2140">
        <v>238</v>
      </c>
      <c r="R2140">
        <v>505</v>
      </c>
    </row>
    <row r="2141" spans="1:18" hidden="1" x14ac:dyDescent="0.2">
      <c r="A2141">
        <v>6</v>
      </c>
      <c r="B2141" t="s">
        <v>100</v>
      </c>
      <c r="E2141" t="s">
        <v>19</v>
      </c>
      <c r="F2141">
        <v>1586155</v>
      </c>
      <c r="G2141">
        <v>3</v>
      </c>
      <c r="H2141">
        <v>1</v>
      </c>
      <c r="I2141">
        <v>736</v>
      </c>
      <c r="J2141">
        <v>1981</v>
      </c>
      <c r="K2141" s="4">
        <v>45175</v>
      </c>
      <c r="L2141" t="s">
        <v>23</v>
      </c>
      <c r="M2141" t="s">
        <v>54</v>
      </c>
      <c r="N2141">
        <v>2.89</v>
      </c>
      <c r="O2141">
        <v>1073</v>
      </c>
      <c r="P2141">
        <v>4.95</v>
      </c>
      <c r="Q2141">
        <v>309</v>
      </c>
      <c r="R2141">
        <v>643</v>
      </c>
    </row>
    <row r="2142" spans="1:18" hidden="1" x14ac:dyDescent="0.2">
      <c r="A2142">
        <v>2</v>
      </c>
      <c r="B2142" t="s">
        <v>32</v>
      </c>
      <c r="E2142" t="s">
        <v>36</v>
      </c>
      <c r="F2142">
        <v>2440628</v>
      </c>
      <c r="G2142">
        <v>4</v>
      </c>
      <c r="H2142">
        <v>3</v>
      </c>
      <c r="I2142">
        <v>184</v>
      </c>
      <c r="J2142">
        <v>1999</v>
      </c>
      <c r="K2142" s="4">
        <v>44227</v>
      </c>
      <c r="L2142" t="s">
        <v>20</v>
      </c>
      <c r="M2142" t="s">
        <v>42</v>
      </c>
      <c r="N2142">
        <v>2.15</v>
      </c>
      <c r="O2142">
        <v>2054</v>
      </c>
      <c r="P2142">
        <v>4.9400000000000004</v>
      </c>
      <c r="Q2142">
        <v>369</v>
      </c>
      <c r="R2142">
        <v>528</v>
      </c>
    </row>
    <row r="2143" spans="1:18" hidden="1" x14ac:dyDescent="0.2">
      <c r="A2143">
        <v>1</v>
      </c>
      <c r="B2143" t="s">
        <v>50</v>
      </c>
      <c r="E2143" t="s">
        <v>19</v>
      </c>
      <c r="F2143">
        <v>2771541</v>
      </c>
      <c r="G2143">
        <v>5</v>
      </c>
      <c r="H2143">
        <v>2</v>
      </c>
      <c r="I2143">
        <v>359</v>
      </c>
      <c r="J2143">
        <v>1965</v>
      </c>
      <c r="K2143" s="4">
        <v>45150</v>
      </c>
      <c r="L2143" t="s">
        <v>20</v>
      </c>
      <c r="M2143" t="s">
        <v>78</v>
      </c>
      <c r="N2143">
        <v>3.31</v>
      </c>
      <c r="O2143">
        <v>2029</v>
      </c>
      <c r="P2143">
        <v>3.95</v>
      </c>
      <c r="Q2143">
        <v>332</v>
      </c>
      <c r="R2143">
        <v>627</v>
      </c>
    </row>
    <row r="2144" spans="1:18" hidden="1" x14ac:dyDescent="0.2">
      <c r="A2144">
        <v>1</v>
      </c>
      <c r="B2144" t="s">
        <v>53</v>
      </c>
      <c r="E2144" t="s">
        <v>51</v>
      </c>
      <c r="F2144">
        <v>2600318</v>
      </c>
      <c r="G2144">
        <v>4</v>
      </c>
      <c r="H2144">
        <v>3</v>
      </c>
      <c r="I2144">
        <v>191</v>
      </c>
      <c r="J2144">
        <v>1965</v>
      </c>
      <c r="K2144" s="4">
        <v>45325</v>
      </c>
      <c r="L2144" t="s">
        <v>20</v>
      </c>
      <c r="M2144" t="s">
        <v>59</v>
      </c>
      <c r="N2144">
        <v>2.0299999999999998</v>
      </c>
      <c r="O2144">
        <v>2320</v>
      </c>
      <c r="P2144">
        <v>3.62</v>
      </c>
      <c r="Q2144">
        <v>228</v>
      </c>
      <c r="R2144">
        <v>329</v>
      </c>
    </row>
    <row r="2145" spans="1:18" hidden="1" x14ac:dyDescent="0.2">
      <c r="A2145">
        <v>9</v>
      </c>
      <c r="B2145" t="s">
        <v>95</v>
      </c>
      <c r="E2145" t="s">
        <v>51</v>
      </c>
      <c r="F2145">
        <v>534127</v>
      </c>
      <c r="G2145">
        <v>4</v>
      </c>
      <c r="H2145">
        <v>2</v>
      </c>
      <c r="I2145">
        <v>650</v>
      </c>
      <c r="J2145">
        <v>1977</v>
      </c>
      <c r="K2145" s="4">
        <v>44763</v>
      </c>
      <c r="L2145" t="s">
        <v>23</v>
      </c>
      <c r="M2145" t="s">
        <v>59</v>
      </c>
      <c r="N2145">
        <v>3.4</v>
      </c>
      <c r="O2145">
        <v>2215</v>
      </c>
      <c r="P2145">
        <v>0.28999999999999998</v>
      </c>
      <c r="Q2145">
        <v>188</v>
      </c>
      <c r="R2145">
        <v>451</v>
      </c>
    </row>
    <row r="2146" spans="1:18" hidden="1" x14ac:dyDescent="0.2">
      <c r="A2146">
        <v>2</v>
      </c>
      <c r="B2146" t="s">
        <v>86</v>
      </c>
      <c r="E2146" t="s">
        <v>36</v>
      </c>
      <c r="F2146">
        <v>828427</v>
      </c>
      <c r="G2146">
        <v>2</v>
      </c>
      <c r="H2146">
        <v>3</v>
      </c>
      <c r="I2146">
        <v>521</v>
      </c>
      <c r="J2146">
        <v>2015</v>
      </c>
      <c r="K2146" s="4">
        <v>45266</v>
      </c>
      <c r="L2146" t="s">
        <v>26</v>
      </c>
      <c r="M2146" t="s">
        <v>42</v>
      </c>
      <c r="N2146">
        <v>2.13</v>
      </c>
      <c r="O2146">
        <v>844</v>
      </c>
      <c r="P2146">
        <v>1.31</v>
      </c>
      <c r="Q2146">
        <v>239</v>
      </c>
      <c r="R2146">
        <v>625</v>
      </c>
    </row>
    <row r="2147" spans="1:18" hidden="1" x14ac:dyDescent="0.2">
      <c r="A2147">
        <v>0</v>
      </c>
      <c r="B2147" t="s">
        <v>39</v>
      </c>
      <c r="E2147" t="s">
        <v>19</v>
      </c>
      <c r="F2147">
        <v>582361</v>
      </c>
      <c r="G2147">
        <v>2</v>
      </c>
      <c r="H2147">
        <v>3</v>
      </c>
      <c r="I2147">
        <v>961</v>
      </c>
      <c r="J2147">
        <v>1962</v>
      </c>
      <c r="K2147" s="4">
        <v>45352</v>
      </c>
      <c r="L2147" t="s">
        <v>20</v>
      </c>
      <c r="M2147" t="s">
        <v>40</v>
      </c>
      <c r="N2147">
        <v>2.3199999999999998</v>
      </c>
      <c r="O2147">
        <v>2090</v>
      </c>
      <c r="P2147">
        <v>1.65</v>
      </c>
      <c r="Q2147">
        <v>175</v>
      </c>
      <c r="R2147">
        <v>319</v>
      </c>
    </row>
    <row r="2148" spans="1:18" hidden="1" x14ac:dyDescent="0.2">
      <c r="A2148">
        <v>9</v>
      </c>
      <c r="B2148" t="s">
        <v>92</v>
      </c>
      <c r="E2148" t="s">
        <v>51</v>
      </c>
      <c r="F2148">
        <v>2927047</v>
      </c>
      <c r="G2148">
        <v>3</v>
      </c>
      <c r="H2148">
        <v>2</v>
      </c>
      <c r="I2148">
        <v>582</v>
      </c>
      <c r="J2148">
        <v>1960</v>
      </c>
      <c r="K2148" s="4">
        <v>44286</v>
      </c>
      <c r="L2148" t="s">
        <v>23</v>
      </c>
      <c r="M2148" t="s">
        <v>59</v>
      </c>
      <c r="N2148">
        <v>3.14</v>
      </c>
      <c r="O2148">
        <v>837</v>
      </c>
      <c r="P2148">
        <v>3.72</v>
      </c>
      <c r="Q2148">
        <v>145</v>
      </c>
      <c r="R2148">
        <v>422</v>
      </c>
    </row>
    <row r="2149" spans="1:18" x14ac:dyDescent="0.2">
      <c r="A2149">
        <v>8</v>
      </c>
      <c r="B2149" t="s">
        <v>48</v>
      </c>
      <c r="E2149" t="s">
        <v>51</v>
      </c>
      <c r="F2149">
        <v>2930608</v>
      </c>
      <c r="G2149">
        <v>4</v>
      </c>
      <c r="H2149">
        <v>3</v>
      </c>
      <c r="I2149">
        <v>426</v>
      </c>
      <c r="J2149">
        <v>2006</v>
      </c>
      <c r="K2149" s="4">
        <v>44592</v>
      </c>
      <c r="L2149" t="s">
        <v>26</v>
      </c>
      <c r="M2149" t="s">
        <v>52</v>
      </c>
      <c r="N2149">
        <v>1.81</v>
      </c>
      <c r="O2149">
        <v>1892</v>
      </c>
      <c r="P2149">
        <v>0.72</v>
      </c>
      <c r="Q2149">
        <v>214</v>
      </c>
      <c r="R2149">
        <v>672</v>
      </c>
    </row>
    <row r="2150" spans="1:18" hidden="1" x14ac:dyDescent="0.2">
      <c r="A2150">
        <v>4</v>
      </c>
      <c r="B2150" t="s">
        <v>64</v>
      </c>
      <c r="E2150" t="s">
        <v>29</v>
      </c>
      <c r="F2150">
        <v>1111435</v>
      </c>
      <c r="G2150">
        <v>2</v>
      </c>
      <c r="H2150">
        <v>2</v>
      </c>
      <c r="I2150">
        <v>100</v>
      </c>
      <c r="J2150">
        <v>1994</v>
      </c>
      <c r="K2150" s="4">
        <v>45815</v>
      </c>
      <c r="L2150" t="s">
        <v>30</v>
      </c>
      <c r="M2150" t="s">
        <v>58</v>
      </c>
      <c r="N2150">
        <v>1.9</v>
      </c>
      <c r="O2150">
        <v>1796</v>
      </c>
      <c r="P2150">
        <v>2.12</v>
      </c>
      <c r="Q2150">
        <v>114</v>
      </c>
      <c r="R2150">
        <v>357</v>
      </c>
    </row>
    <row r="2151" spans="1:18" hidden="1" x14ac:dyDescent="0.2">
      <c r="A2151">
        <v>5</v>
      </c>
      <c r="B2151" t="s">
        <v>46</v>
      </c>
      <c r="E2151" t="s">
        <v>51</v>
      </c>
      <c r="F2151">
        <v>2750432</v>
      </c>
      <c r="G2151">
        <v>5</v>
      </c>
      <c r="H2151">
        <v>2</v>
      </c>
      <c r="I2151">
        <v>57</v>
      </c>
      <c r="J2151">
        <v>1965</v>
      </c>
      <c r="K2151" s="4">
        <v>44684</v>
      </c>
      <c r="L2151" t="s">
        <v>20</v>
      </c>
      <c r="M2151" t="s">
        <v>76</v>
      </c>
      <c r="N2151">
        <v>3.45</v>
      </c>
      <c r="O2151">
        <v>1773</v>
      </c>
      <c r="P2151">
        <v>1.91</v>
      </c>
      <c r="Q2151">
        <v>335</v>
      </c>
      <c r="R2151">
        <v>462</v>
      </c>
    </row>
    <row r="2152" spans="1:18" hidden="1" x14ac:dyDescent="0.2">
      <c r="A2152">
        <v>5</v>
      </c>
      <c r="B2152" t="s">
        <v>91</v>
      </c>
      <c r="E2152" t="s">
        <v>29</v>
      </c>
      <c r="F2152">
        <v>2654381</v>
      </c>
      <c r="G2152">
        <v>3</v>
      </c>
      <c r="H2152">
        <v>3</v>
      </c>
      <c r="I2152">
        <v>887</v>
      </c>
      <c r="J2152">
        <v>1961</v>
      </c>
      <c r="K2152" s="4">
        <v>45007</v>
      </c>
      <c r="L2152" t="s">
        <v>30</v>
      </c>
      <c r="M2152" t="s">
        <v>40</v>
      </c>
      <c r="N2152">
        <v>1.56</v>
      </c>
      <c r="O2152">
        <v>1745</v>
      </c>
      <c r="P2152">
        <v>1.73</v>
      </c>
      <c r="Q2152">
        <v>277</v>
      </c>
      <c r="R2152">
        <v>345</v>
      </c>
    </row>
    <row r="2153" spans="1:18" hidden="1" x14ac:dyDescent="0.2">
      <c r="A2153">
        <v>3</v>
      </c>
      <c r="B2153" t="s">
        <v>55</v>
      </c>
      <c r="E2153" t="s">
        <v>51</v>
      </c>
      <c r="F2153">
        <v>1231393</v>
      </c>
      <c r="G2153">
        <v>4</v>
      </c>
      <c r="H2153">
        <v>1</v>
      </c>
      <c r="I2153">
        <v>714</v>
      </c>
      <c r="J2153">
        <v>1984</v>
      </c>
      <c r="K2153" s="4">
        <v>45665</v>
      </c>
      <c r="L2153" t="s">
        <v>20</v>
      </c>
      <c r="M2153" t="s">
        <v>69</v>
      </c>
      <c r="N2153">
        <v>3.04</v>
      </c>
      <c r="O2153">
        <v>2350</v>
      </c>
      <c r="P2153">
        <v>1.22</v>
      </c>
      <c r="Q2153">
        <v>229</v>
      </c>
      <c r="R2153">
        <v>556</v>
      </c>
    </row>
    <row r="2154" spans="1:18" hidden="1" x14ac:dyDescent="0.2">
      <c r="A2154">
        <v>4</v>
      </c>
      <c r="B2154" t="s">
        <v>86</v>
      </c>
      <c r="E2154" t="s">
        <v>19</v>
      </c>
      <c r="F2154">
        <v>2160932</v>
      </c>
      <c r="G2154">
        <v>6</v>
      </c>
      <c r="H2154">
        <v>2</v>
      </c>
      <c r="I2154">
        <v>929</v>
      </c>
      <c r="J2154">
        <v>2019</v>
      </c>
      <c r="K2154" s="4">
        <v>45889</v>
      </c>
      <c r="L2154" t="s">
        <v>23</v>
      </c>
      <c r="M2154" t="s">
        <v>59</v>
      </c>
      <c r="N2154">
        <v>2.91</v>
      </c>
      <c r="O2154">
        <v>1756</v>
      </c>
      <c r="P2154">
        <v>0.69</v>
      </c>
      <c r="Q2154">
        <v>389</v>
      </c>
      <c r="R2154">
        <v>555</v>
      </c>
    </row>
    <row r="2155" spans="1:18" hidden="1" x14ac:dyDescent="0.2">
      <c r="A2155">
        <v>1</v>
      </c>
      <c r="B2155" t="s">
        <v>49</v>
      </c>
      <c r="E2155" t="s">
        <v>19</v>
      </c>
      <c r="F2155">
        <v>2364870</v>
      </c>
      <c r="G2155">
        <v>3</v>
      </c>
      <c r="H2155">
        <v>2</v>
      </c>
      <c r="I2155">
        <v>801</v>
      </c>
      <c r="J2155">
        <v>2020</v>
      </c>
      <c r="K2155" s="4">
        <v>44143</v>
      </c>
      <c r="L2155" t="s">
        <v>30</v>
      </c>
      <c r="M2155" t="s">
        <v>82</v>
      </c>
      <c r="N2155">
        <v>2.56</v>
      </c>
      <c r="O2155">
        <v>806</v>
      </c>
      <c r="P2155">
        <v>3.32</v>
      </c>
      <c r="Q2155">
        <v>155</v>
      </c>
      <c r="R2155">
        <v>460</v>
      </c>
    </row>
    <row r="2156" spans="1:18" hidden="1" x14ac:dyDescent="0.2">
      <c r="A2156">
        <v>0</v>
      </c>
      <c r="B2156" t="s">
        <v>18</v>
      </c>
      <c r="E2156" t="s">
        <v>29</v>
      </c>
      <c r="F2156">
        <v>1543091</v>
      </c>
      <c r="G2156">
        <v>5</v>
      </c>
      <c r="H2156">
        <v>3</v>
      </c>
      <c r="I2156">
        <v>792</v>
      </c>
      <c r="J2156">
        <v>2018</v>
      </c>
      <c r="K2156" s="4">
        <v>45406</v>
      </c>
      <c r="L2156" t="s">
        <v>23</v>
      </c>
      <c r="M2156" t="s">
        <v>77</v>
      </c>
      <c r="N2156">
        <v>1.72</v>
      </c>
      <c r="O2156">
        <v>1020</v>
      </c>
      <c r="P2156">
        <v>4.3</v>
      </c>
      <c r="Q2156">
        <v>332</v>
      </c>
      <c r="R2156">
        <v>487</v>
      </c>
    </row>
    <row r="2157" spans="1:18" x14ac:dyDescent="0.2">
      <c r="A2157">
        <v>8</v>
      </c>
      <c r="B2157" t="s">
        <v>41</v>
      </c>
      <c r="E2157" t="s">
        <v>36</v>
      </c>
      <c r="F2157">
        <v>1468091</v>
      </c>
      <c r="G2157">
        <v>6</v>
      </c>
      <c r="H2157">
        <v>3</v>
      </c>
      <c r="I2157">
        <v>130</v>
      </c>
      <c r="J2157">
        <v>1957</v>
      </c>
      <c r="K2157" s="4">
        <v>44434</v>
      </c>
      <c r="L2157" t="s">
        <v>30</v>
      </c>
      <c r="M2157" t="s">
        <v>47</v>
      </c>
      <c r="N2157">
        <v>2.98</v>
      </c>
      <c r="O2157">
        <v>1646</v>
      </c>
      <c r="P2157">
        <v>1.08</v>
      </c>
      <c r="Q2157">
        <v>321</v>
      </c>
      <c r="R2157">
        <v>376</v>
      </c>
    </row>
    <row r="2158" spans="1:18" hidden="1" x14ac:dyDescent="0.2">
      <c r="A2158">
        <v>7</v>
      </c>
      <c r="B2158" t="s">
        <v>84</v>
      </c>
      <c r="E2158" t="s">
        <v>36</v>
      </c>
      <c r="F2158">
        <v>696955</v>
      </c>
      <c r="G2158">
        <v>3</v>
      </c>
      <c r="H2158">
        <v>2</v>
      </c>
      <c r="I2158">
        <v>133</v>
      </c>
      <c r="J2158">
        <v>1996</v>
      </c>
      <c r="K2158" s="4">
        <v>45811</v>
      </c>
      <c r="L2158" t="s">
        <v>23</v>
      </c>
      <c r="M2158" t="s">
        <v>76</v>
      </c>
      <c r="N2158">
        <v>3.43</v>
      </c>
      <c r="O2158">
        <v>1353</v>
      </c>
      <c r="P2158">
        <v>0.98</v>
      </c>
      <c r="Q2158">
        <v>190</v>
      </c>
      <c r="R2158">
        <v>443</v>
      </c>
    </row>
    <row r="2159" spans="1:18" hidden="1" x14ac:dyDescent="0.2">
      <c r="A2159">
        <v>2</v>
      </c>
      <c r="B2159" t="s">
        <v>34</v>
      </c>
      <c r="E2159" t="s">
        <v>51</v>
      </c>
      <c r="F2159">
        <v>2859745</v>
      </c>
      <c r="G2159">
        <v>3</v>
      </c>
      <c r="H2159">
        <v>2</v>
      </c>
      <c r="I2159">
        <v>85</v>
      </c>
      <c r="J2159">
        <v>1988</v>
      </c>
      <c r="K2159" s="4">
        <v>45367</v>
      </c>
      <c r="L2159" t="s">
        <v>23</v>
      </c>
      <c r="M2159" t="s">
        <v>66</v>
      </c>
      <c r="N2159">
        <v>3.46</v>
      </c>
      <c r="O2159">
        <v>1170</v>
      </c>
      <c r="P2159">
        <v>2.21</v>
      </c>
      <c r="Q2159">
        <v>299</v>
      </c>
      <c r="R2159">
        <v>537</v>
      </c>
    </row>
    <row r="2160" spans="1:18" hidden="1" x14ac:dyDescent="0.2">
      <c r="A2160">
        <v>0</v>
      </c>
      <c r="B2160" t="s">
        <v>90</v>
      </c>
      <c r="E2160" t="s">
        <v>19</v>
      </c>
      <c r="F2160">
        <v>2139093</v>
      </c>
      <c r="G2160">
        <v>2</v>
      </c>
      <c r="H2160">
        <v>2</v>
      </c>
      <c r="I2160">
        <v>525</v>
      </c>
      <c r="J2160">
        <v>2003</v>
      </c>
      <c r="K2160" s="4">
        <v>45587</v>
      </c>
      <c r="L2160" t="s">
        <v>30</v>
      </c>
      <c r="M2160" t="s">
        <v>66</v>
      </c>
      <c r="N2160">
        <v>3.28</v>
      </c>
      <c r="O2160">
        <v>822</v>
      </c>
      <c r="P2160">
        <v>2.88</v>
      </c>
      <c r="Q2160">
        <v>174</v>
      </c>
      <c r="R2160">
        <v>575</v>
      </c>
    </row>
    <row r="2161" spans="1:18" hidden="1" x14ac:dyDescent="0.2">
      <c r="A2161">
        <v>3</v>
      </c>
      <c r="B2161" t="s">
        <v>106</v>
      </c>
      <c r="E2161" t="s">
        <v>36</v>
      </c>
      <c r="F2161">
        <v>2930933</v>
      </c>
      <c r="G2161">
        <v>2</v>
      </c>
      <c r="H2161">
        <v>2</v>
      </c>
      <c r="I2161">
        <v>724</v>
      </c>
      <c r="J2161">
        <v>2002</v>
      </c>
      <c r="K2161" s="4">
        <v>45733</v>
      </c>
      <c r="L2161" t="s">
        <v>26</v>
      </c>
      <c r="M2161" t="s">
        <v>56</v>
      </c>
      <c r="N2161">
        <v>1.94</v>
      </c>
      <c r="O2161">
        <v>2047</v>
      </c>
      <c r="P2161">
        <v>3</v>
      </c>
      <c r="Q2161">
        <v>120</v>
      </c>
      <c r="R2161">
        <v>652</v>
      </c>
    </row>
    <row r="2162" spans="1:18" hidden="1" x14ac:dyDescent="0.2">
      <c r="A2162">
        <v>2</v>
      </c>
      <c r="B2162" t="s">
        <v>102</v>
      </c>
      <c r="E2162" t="s">
        <v>36</v>
      </c>
      <c r="F2162">
        <v>1834621</v>
      </c>
      <c r="G2162">
        <v>1</v>
      </c>
      <c r="H2162">
        <v>1</v>
      </c>
      <c r="I2162">
        <v>248</v>
      </c>
      <c r="J2162">
        <v>1961</v>
      </c>
      <c r="K2162" s="4">
        <v>45843</v>
      </c>
      <c r="L2162" t="s">
        <v>30</v>
      </c>
      <c r="M2162" t="s">
        <v>85</v>
      </c>
      <c r="N2162">
        <v>1.94</v>
      </c>
      <c r="O2162">
        <v>2005</v>
      </c>
      <c r="P2162">
        <v>1.05</v>
      </c>
      <c r="Q2162">
        <v>70</v>
      </c>
      <c r="R2162">
        <v>492</v>
      </c>
    </row>
    <row r="2163" spans="1:18" hidden="1" x14ac:dyDescent="0.2">
      <c r="A2163">
        <v>1</v>
      </c>
      <c r="B2163" t="s">
        <v>38</v>
      </c>
      <c r="E2163" t="s">
        <v>19</v>
      </c>
      <c r="F2163">
        <v>2536205</v>
      </c>
      <c r="G2163">
        <v>6</v>
      </c>
      <c r="H2163">
        <v>2</v>
      </c>
      <c r="I2163">
        <v>205</v>
      </c>
      <c r="J2163">
        <v>2001</v>
      </c>
      <c r="K2163" s="4">
        <v>45407</v>
      </c>
      <c r="L2163" t="s">
        <v>26</v>
      </c>
      <c r="M2163" t="s">
        <v>82</v>
      </c>
      <c r="N2163">
        <v>1.6</v>
      </c>
      <c r="O2163">
        <v>1750</v>
      </c>
      <c r="P2163">
        <v>1.94</v>
      </c>
      <c r="Q2163">
        <v>371</v>
      </c>
      <c r="R2163">
        <v>335</v>
      </c>
    </row>
    <row r="2164" spans="1:18" x14ac:dyDescent="0.2">
      <c r="A2164">
        <v>8</v>
      </c>
      <c r="B2164" t="s">
        <v>67</v>
      </c>
      <c r="E2164" t="s">
        <v>36</v>
      </c>
      <c r="F2164">
        <v>2406211</v>
      </c>
      <c r="G2164">
        <v>5</v>
      </c>
      <c r="H2164">
        <v>2</v>
      </c>
      <c r="I2164">
        <v>639</v>
      </c>
      <c r="J2164">
        <v>1965</v>
      </c>
      <c r="K2164" s="4">
        <v>45388</v>
      </c>
      <c r="L2164" t="s">
        <v>26</v>
      </c>
      <c r="M2164" t="s">
        <v>78</v>
      </c>
      <c r="N2164">
        <v>1.87</v>
      </c>
      <c r="O2164">
        <v>1890</v>
      </c>
      <c r="P2164">
        <v>1.31</v>
      </c>
      <c r="Q2164">
        <v>347</v>
      </c>
      <c r="R2164">
        <v>662</v>
      </c>
    </row>
    <row r="2165" spans="1:18" hidden="1" x14ac:dyDescent="0.2">
      <c r="A2165">
        <v>3</v>
      </c>
      <c r="B2165" t="s">
        <v>18</v>
      </c>
      <c r="E2165" t="s">
        <v>51</v>
      </c>
      <c r="F2165">
        <v>574984</v>
      </c>
      <c r="G2165">
        <v>2</v>
      </c>
      <c r="H2165">
        <v>2</v>
      </c>
      <c r="I2165">
        <v>634</v>
      </c>
      <c r="J2165">
        <v>2008</v>
      </c>
      <c r="K2165" s="4">
        <v>44310</v>
      </c>
      <c r="L2165" t="s">
        <v>23</v>
      </c>
      <c r="M2165" t="s">
        <v>35</v>
      </c>
      <c r="N2165">
        <v>2.27</v>
      </c>
      <c r="O2165">
        <v>2241</v>
      </c>
      <c r="P2165">
        <v>1.23</v>
      </c>
      <c r="Q2165">
        <v>167</v>
      </c>
      <c r="R2165">
        <v>330</v>
      </c>
    </row>
    <row r="2166" spans="1:18" hidden="1" x14ac:dyDescent="0.2">
      <c r="A2166">
        <v>6</v>
      </c>
      <c r="B2166" t="s">
        <v>84</v>
      </c>
      <c r="E2166" t="s">
        <v>29</v>
      </c>
      <c r="F2166">
        <v>899932</v>
      </c>
      <c r="G2166">
        <v>2</v>
      </c>
      <c r="H2166">
        <v>3</v>
      </c>
      <c r="I2166">
        <v>697</v>
      </c>
      <c r="J2166">
        <v>1996</v>
      </c>
      <c r="K2166" s="4">
        <v>45725</v>
      </c>
      <c r="L2166" t="s">
        <v>30</v>
      </c>
      <c r="M2166" t="s">
        <v>85</v>
      </c>
      <c r="N2166">
        <v>1.9</v>
      </c>
      <c r="O2166">
        <v>2010</v>
      </c>
      <c r="P2166">
        <v>0.37</v>
      </c>
      <c r="Q2166">
        <v>117</v>
      </c>
      <c r="R2166">
        <v>611</v>
      </c>
    </row>
    <row r="2167" spans="1:18" hidden="1" x14ac:dyDescent="0.2">
      <c r="A2167">
        <v>1</v>
      </c>
      <c r="B2167" t="s">
        <v>32</v>
      </c>
      <c r="E2167" t="s">
        <v>36</v>
      </c>
      <c r="F2167">
        <v>2031272</v>
      </c>
      <c r="G2167">
        <v>4</v>
      </c>
      <c r="H2167">
        <v>1</v>
      </c>
      <c r="I2167">
        <v>598</v>
      </c>
      <c r="J2167">
        <v>1988</v>
      </c>
      <c r="K2167" s="4">
        <v>45072</v>
      </c>
      <c r="L2167" t="s">
        <v>30</v>
      </c>
      <c r="M2167" t="s">
        <v>37</v>
      </c>
      <c r="N2167">
        <v>3.18</v>
      </c>
      <c r="O2167">
        <v>2079</v>
      </c>
      <c r="P2167">
        <v>4.1500000000000004</v>
      </c>
      <c r="Q2167">
        <v>221</v>
      </c>
      <c r="R2167">
        <v>669</v>
      </c>
    </row>
    <row r="2168" spans="1:18" hidden="1" x14ac:dyDescent="0.2">
      <c r="A2168">
        <v>7</v>
      </c>
      <c r="B2168" t="s">
        <v>81</v>
      </c>
      <c r="E2168" t="s">
        <v>51</v>
      </c>
      <c r="F2168">
        <v>1195534</v>
      </c>
      <c r="G2168">
        <v>6</v>
      </c>
      <c r="H2168">
        <v>2</v>
      </c>
      <c r="I2168">
        <v>342</v>
      </c>
      <c r="J2168">
        <v>1966</v>
      </c>
      <c r="K2168" s="4">
        <v>45882</v>
      </c>
      <c r="L2168" t="s">
        <v>20</v>
      </c>
      <c r="M2168" t="s">
        <v>52</v>
      </c>
      <c r="N2168">
        <v>1.86</v>
      </c>
      <c r="O2168">
        <v>1540</v>
      </c>
      <c r="P2168">
        <v>2.39</v>
      </c>
      <c r="Q2168">
        <v>342</v>
      </c>
      <c r="R2168">
        <v>547</v>
      </c>
    </row>
    <row r="2169" spans="1:18" hidden="1" x14ac:dyDescent="0.2">
      <c r="A2169">
        <v>4</v>
      </c>
      <c r="B2169" t="s">
        <v>18</v>
      </c>
      <c r="E2169" t="s">
        <v>36</v>
      </c>
      <c r="F2169">
        <v>2512486</v>
      </c>
      <c r="G2169">
        <v>4</v>
      </c>
      <c r="H2169">
        <v>1</v>
      </c>
      <c r="I2169">
        <v>286</v>
      </c>
      <c r="J2169">
        <v>2011</v>
      </c>
      <c r="K2169" s="4">
        <v>45169</v>
      </c>
      <c r="L2169" t="s">
        <v>26</v>
      </c>
      <c r="M2169" t="s">
        <v>78</v>
      </c>
      <c r="N2169">
        <v>2.89</v>
      </c>
      <c r="O2169">
        <v>862</v>
      </c>
      <c r="P2169">
        <v>3.7</v>
      </c>
      <c r="Q2169">
        <v>256</v>
      </c>
      <c r="R2169">
        <v>659</v>
      </c>
    </row>
    <row r="2170" spans="1:18" hidden="1" x14ac:dyDescent="0.2">
      <c r="A2170">
        <v>3</v>
      </c>
      <c r="B2170" t="s">
        <v>88</v>
      </c>
      <c r="E2170" t="s">
        <v>19</v>
      </c>
      <c r="F2170">
        <v>2963797</v>
      </c>
      <c r="G2170">
        <v>5</v>
      </c>
      <c r="H2170">
        <v>3</v>
      </c>
      <c r="I2170">
        <v>663</v>
      </c>
      <c r="J2170">
        <v>1985</v>
      </c>
      <c r="K2170" s="4">
        <v>45567</v>
      </c>
      <c r="L2170" t="s">
        <v>20</v>
      </c>
      <c r="M2170" t="s">
        <v>33</v>
      </c>
      <c r="N2170">
        <v>2.33</v>
      </c>
      <c r="O2170">
        <v>1629</v>
      </c>
      <c r="P2170">
        <v>3.35</v>
      </c>
      <c r="Q2170">
        <v>247</v>
      </c>
      <c r="R2170">
        <v>506</v>
      </c>
    </row>
    <row r="2171" spans="1:18" hidden="1" x14ac:dyDescent="0.2">
      <c r="A2171">
        <v>1</v>
      </c>
      <c r="B2171" t="s">
        <v>91</v>
      </c>
      <c r="E2171" t="s">
        <v>36</v>
      </c>
      <c r="F2171">
        <v>1728151</v>
      </c>
      <c r="G2171">
        <v>1</v>
      </c>
      <c r="H2171">
        <v>1</v>
      </c>
      <c r="I2171">
        <v>232</v>
      </c>
      <c r="J2171">
        <v>1976</v>
      </c>
      <c r="K2171" s="4">
        <v>45361</v>
      </c>
      <c r="L2171" t="s">
        <v>23</v>
      </c>
      <c r="M2171" t="s">
        <v>74</v>
      </c>
      <c r="N2171">
        <v>2.5</v>
      </c>
      <c r="O2171">
        <v>2262</v>
      </c>
      <c r="P2171">
        <v>3.4</v>
      </c>
      <c r="Q2171">
        <v>147</v>
      </c>
      <c r="R2171">
        <v>533</v>
      </c>
    </row>
    <row r="2172" spans="1:18" x14ac:dyDescent="0.2">
      <c r="A2172">
        <v>8</v>
      </c>
      <c r="B2172" t="s">
        <v>105</v>
      </c>
      <c r="E2172" t="s">
        <v>51</v>
      </c>
      <c r="F2172">
        <v>908420</v>
      </c>
      <c r="G2172">
        <v>2</v>
      </c>
      <c r="H2172">
        <v>1</v>
      </c>
      <c r="I2172">
        <v>807</v>
      </c>
      <c r="J2172">
        <v>1990</v>
      </c>
      <c r="K2172" s="4">
        <v>45754</v>
      </c>
      <c r="L2172" t="s">
        <v>26</v>
      </c>
      <c r="M2172" t="s">
        <v>58</v>
      </c>
      <c r="N2172">
        <v>1.96</v>
      </c>
      <c r="O2172">
        <v>2318</v>
      </c>
      <c r="P2172">
        <v>0.62</v>
      </c>
      <c r="Q2172">
        <v>99</v>
      </c>
      <c r="R2172">
        <v>508</v>
      </c>
    </row>
    <row r="2173" spans="1:18" hidden="1" x14ac:dyDescent="0.2">
      <c r="A2173">
        <v>6</v>
      </c>
      <c r="B2173" t="s">
        <v>50</v>
      </c>
      <c r="E2173" t="s">
        <v>36</v>
      </c>
      <c r="F2173">
        <v>1601977</v>
      </c>
      <c r="G2173">
        <v>2</v>
      </c>
      <c r="H2173">
        <v>2</v>
      </c>
      <c r="I2173">
        <v>423</v>
      </c>
      <c r="J2173">
        <v>1963</v>
      </c>
      <c r="K2173" s="4">
        <v>45839</v>
      </c>
      <c r="L2173" t="s">
        <v>23</v>
      </c>
      <c r="M2173" t="s">
        <v>76</v>
      </c>
      <c r="N2173">
        <v>2.11</v>
      </c>
      <c r="O2173">
        <v>2060</v>
      </c>
      <c r="P2173">
        <v>1.99</v>
      </c>
      <c r="Q2173">
        <v>127</v>
      </c>
      <c r="R2173">
        <v>452</v>
      </c>
    </row>
    <row r="2174" spans="1:18" hidden="1" x14ac:dyDescent="0.2">
      <c r="A2174">
        <v>5</v>
      </c>
      <c r="B2174" t="s">
        <v>96</v>
      </c>
      <c r="E2174" t="s">
        <v>19</v>
      </c>
      <c r="F2174">
        <v>492473</v>
      </c>
      <c r="G2174">
        <v>3</v>
      </c>
      <c r="H2174">
        <v>2</v>
      </c>
      <c r="I2174">
        <v>516</v>
      </c>
      <c r="J2174">
        <v>1963</v>
      </c>
      <c r="K2174" s="4">
        <v>45396</v>
      </c>
      <c r="L2174" t="s">
        <v>20</v>
      </c>
      <c r="M2174" t="s">
        <v>27</v>
      </c>
      <c r="N2174">
        <v>2.59</v>
      </c>
      <c r="O2174">
        <v>1664</v>
      </c>
      <c r="P2174">
        <v>0.84</v>
      </c>
      <c r="Q2174">
        <v>155</v>
      </c>
      <c r="R2174">
        <v>632</v>
      </c>
    </row>
    <row r="2175" spans="1:18" hidden="1" x14ac:dyDescent="0.2">
      <c r="A2175">
        <v>6</v>
      </c>
      <c r="B2175" t="s">
        <v>83</v>
      </c>
      <c r="E2175" t="s">
        <v>51</v>
      </c>
      <c r="F2175">
        <v>798343</v>
      </c>
      <c r="G2175">
        <v>1</v>
      </c>
      <c r="H2175">
        <v>1</v>
      </c>
      <c r="I2175">
        <v>594</v>
      </c>
      <c r="J2175">
        <v>1973</v>
      </c>
      <c r="K2175" s="4">
        <v>44549</v>
      </c>
      <c r="L2175" t="s">
        <v>23</v>
      </c>
      <c r="M2175" t="s">
        <v>45</v>
      </c>
      <c r="N2175">
        <v>2.72</v>
      </c>
      <c r="O2175">
        <v>1888</v>
      </c>
      <c r="P2175">
        <v>2.75</v>
      </c>
      <c r="Q2175">
        <v>47</v>
      </c>
      <c r="R2175">
        <v>552</v>
      </c>
    </row>
    <row r="2176" spans="1:18" hidden="1" x14ac:dyDescent="0.2">
      <c r="A2176">
        <v>7</v>
      </c>
      <c r="B2176" t="s">
        <v>46</v>
      </c>
      <c r="E2176" t="s">
        <v>51</v>
      </c>
      <c r="F2176">
        <v>886890</v>
      </c>
      <c r="G2176">
        <v>5</v>
      </c>
      <c r="H2176">
        <v>2</v>
      </c>
      <c r="I2176">
        <v>985</v>
      </c>
      <c r="J2176">
        <v>1990</v>
      </c>
      <c r="K2176" s="4">
        <v>44291</v>
      </c>
      <c r="L2176" t="s">
        <v>23</v>
      </c>
      <c r="M2176" t="s">
        <v>24</v>
      </c>
      <c r="N2176">
        <v>2.4900000000000002</v>
      </c>
      <c r="O2176">
        <v>1488</v>
      </c>
      <c r="P2176">
        <v>0.48</v>
      </c>
      <c r="Q2176">
        <v>377</v>
      </c>
      <c r="R2176">
        <v>588</v>
      </c>
    </row>
    <row r="2177" spans="1:18" x14ac:dyDescent="0.2">
      <c r="A2177">
        <v>8</v>
      </c>
      <c r="B2177" t="s">
        <v>84</v>
      </c>
      <c r="E2177" t="s">
        <v>29</v>
      </c>
      <c r="F2177">
        <v>1735513</v>
      </c>
      <c r="G2177">
        <v>3</v>
      </c>
      <c r="H2177">
        <v>3</v>
      </c>
      <c r="I2177">
        <v>772</v>
      </c>
      <c r="J2177">
        <v>2020</v>
      </c>
      <c r="K2177" s="4">
        <v>45355</v>
      </c>
      <c r="L2177" t="s">
        <v>30</v>
      </c>
      <c r="M2177" t="s">
        <v>97</v>
      </c>
      <c r="N2177">
        <v>1.87</v>
      </c>
      <c r="O2177">
        <v>1411</v>
      </c>
      <c r="P2177">
        <v>4.7</v>
      </c>
      <c r="Q2177">
        <v>288</v>
      </c>
      <c r="R2177">
        <v>338</v>
      </c>
    </row>
    <row r="2178" spans="1:18" hidden="1" x14ac:dyDescent="0.2">
      <c r="A2178">
        <v>7</v>
      </c>
      <c r="B2178" t="s">
        <v>98</v>
      </c>
      <c r="E2178" t="s">
        <v>51</v>
      </c>
      <c r="F2178">
        <v>988885</v>
      </c>
      <c r="G2178">
        <v>2</v>
      </c>
      <c r="H2178">
        <v>2</v>
      </c>
      <c r="I2178">
        <v>125</v>
      </c>
      <c r="J2178">
        <v>1965</v>
      </c>
      <c r="K2178" s="4">
        <v>44467</v>
      </c>
      <c r="L2178" t="s">
        <v>26</v>
      </c>
      <c r="M2178" t="s">
        <v>37</v>
      </c>
      <c r="N2178">
        <v>2.11</v>
      </c>
      <c r="O2178">
        <v>1375</v>
      </c>
      <c r="P2178">
        <v>4.05</v>
      </c>
      <c r="Q2178">
        <v>59</v>
      </c>
      <c r="R2178">
        <v>461</v>
      </c>
    </row>
    <row r="2179" spans="1:18" hidden="1" x14ac:dyDescent="0.2">
      <c r="A2179">
        <v>3</v>
      </c>
      <c r="B2179" t="s">
        <v>48</v>
      </c>
      <c r="E2179" t="s">
        <v>36</v>
      </c>
      <c r="F2179">
        <v>2817164</v>
      </c>
      <c r="G2179">
        <v>1</v>
      </c>
      <c r="H2179">
        <v>1</v>
      </c>
      <c r="I2179">
        <v>929</v>
      </c>
      <c r="J2179">
        <v>1982</v>
      </c>
      <c r="K2179" s="4">
        <v>45450</v>
      </c>
      <c r="L2179" t="s">
        <v>20</v>
      </c>
      <c r="M2179" t="s">
        <v>77</v>
      </c>
      <c r="N2179">
        <v>1.88</v>
      </c>
      <c r="O2179">
        <v>2126</v>
      </c>
      <c r="P2179">
        <v>3.25</v>
      </c>
      <c r="Q2179">
        <v>53</v>
      </c>
      <c r="R2179">
        <v>691</v>
      </c>
    </row>
    <row r="2180" spans="1:18" hidden="1" x14ac:dyDescent="0.2">
      <c r="A2180">
        <v>7</v>
      </c>
      <c r="B2180" t="s">
        <v>104</v>
      </c>
      <c r="E2180" t="s">
        <v>29</v>
      </c>
      <c r="F2180">
        <v>2696381</v>
      </c>
      <c r="G2180">
        <v>3</v>
      </c>
      <c r="H2180">
        <v>1</v>
      </c>
      <c r="I2180">
        <v>415</v>
      </c>
      <c r="J2180">
        <v>2019</v>
      </c>
      <c r="K2180" s="4">
        <v>45293</v>
      </c>
      <c r="L2180" t="s">
        <v>23</v>
      </c>
      <c r="M2180" t="s">
        <v>82</v>
      </c>
      <c r="N2180">
        <v>3.36</v>
      </c>
      <c r="O2180">
        <v>2120</v>
      </c>
      <c r="P2180">
        <v>2.48</v>
      </c>
      <c r="Q2180">
        <v>121</v>
      </c>
      <c r="R2180">
        <v>582</v>
      </c>
    </row>
    <row r="2181" spans="1:18" hidden="1" x14ac:dyDescent="0.2">
      <c r="A2181">
        <v>5</v>
      </c>
      <c r="B2181" t="s">
        <v>46</v>
      </c>
      <c r="E2181" t="s">
        <v>19</v>
      </c>
      <c r="F2181">
        <v>1075983</v>
      </c>
      <c r="G2181">
        <v>6</v>
      </c>
      <c r="H2181">
        <v>3</v>
      </c>
      <c r="I2181">
        <v>270</v>
      </c>
      <c r="J2181">
        <v>2005</v>
      </c>
      <c r="K2181" s="4">
        <v>45163</v>
      </c>
      <c r="L2181" t="s">
        <v>20</v>
      </c>
      <c r="M2181" t="s">
        <v>37</v>
      </c>
      <c r="N2181">
        <v>2.29</v>
      </c>
      <c r="O2181">
        <v>2168</v>
      </c>
      <c r="P2181">
        <v>2.9</v>
      </c>
      <c r="Q2181">
        <v>388</v>
      </c>
      <c r="R2181">
        <v>467</v>
      </c>
    </row>
    <row r="2182" spans="1:18" hidden="1" x14ac:dyDescent="0.2">
      <c r="A2182">
        <v>0</v>
      </c>
      <c r="B2182" t="s">
        <v>50</v>
      </c>
      <c r="E2182" t="s">
        <v>36</v>
      </c>
      <c r="F2182">
        <v>2667626</v>
      </c>
      <c r="G2182">
        <v>4</v>
      </c>
      <c r="H2182">
        <v>2</v>
      </c>
      <c r="I2182">
        <v>548</v>
      </c>
      <c r="J2182">
        <v>1961</v>
      </c>
      <c r="K2182" s="4">
        <v>44464</v>
      </c>
      <c r="L2182" t="s">
        <v>26</v>
      </c>
      <c r="M2182" t="s">
        <v>40</v>
      </c>
      <c r="N2182">
        <v>3.44</v>
      </c>
      <c r="O2182">
        <v>2312</v>
      </c>
      <c r="P2182">
        <v>4.8600000000000003</v>
      </c>
      <c r="Q2182">
        <v>327</v>
      </c>
      <c r="R2182">
        <v>648</v>
      </c>
    </row>
    <row r="2183" spans="1:18" hidden="1" x14ac:dyDescent="0.2">
      <c r="A2183">
        <v>6</v>
      </c>
      <c r="B2183" t="s">
        <v>43</v>
      </c>
      <c r="E2183" t="s">
        <v>19</v>
      </c>
      <c r="F2183">
        <v>2549816</v>
      </c>
      <c r="G2183">
        <v>3</v>
      </c>
      <c r="H2183">
        <v>1</v>
      </c>
      <c r="I2183">
        <v>184</v>
      </c>
      <c r="J2183">
        <v>2013</v>
      </c>
      <c r="K2183" s="4">
        <v>45559</v>
      </c>
      <c r="L2183" t="s">
        <v>26</v>
      </c>
      <c r="M2183" t="s">
        <v>85</v>
      </c>
      <c r="N2183">
        <v>2.0499999999999998</v>
      </c>
      <c r="O2183">
        <v>2150</v>
      </c>
      <c r="P2183">
        <v>0.46</v>
      </c>
      <c r="Q2183">
        <v>189</v>
      </c>
      <c r="R2183">
        <v>408</v>
      </c>
    </row>
    <row r="2184" spans="1:18" hidden="1" x14ac:dyDescent="0.2">
      <c r="A2184">
        <v>2</v>
      </c>
      <c r="B2184" t="s">
        <v>62</v>
      </c>
      <c r="E2184" t="s">
        <v>29</v>
      </c>
      <c r="F2184">
        <v>2492733</v>
      </c>
      <c r="G2184">
        <v>6</v>
      </c>
      <c r="H2184">
        <v>1</v>
      </c>
      <c r="I2184">
        <v>976</v>
      </c>
      <c r="J2184">
        <v>1997</v>
      </c>
      <c r="K2184" s="4">
        <v>44225</v>
      </c>
      <c r="L2184" t="s">
        <v>23</v>
      </c>
      <c r="M2184" t="s">
        <v>37</v>
      </c>
      <c r="N2184">
        <v>2.5299999999999998</v>
      </c>
      <c r="O2184">
        <v>1455</v>
      </c>
      <c r="P2184">
        <v>0.48</v>
      </c>
      <c r="Q2184">
        <v>372</v>
      </c>
      <c r="R2184">
        <v>308</v>
      </c>
    </row>
    <row r="2185" spans="1:18" hidden="1" x14ac:dyDescent="0.2">
      <c r="A2185">
        <v>5</v>
      </c>
      <c r="B2185" t="s">
        <v>49</v>
      </c>
      <c r="E2185" t="s">
        <v>29</v>
      </c>
      <c r="F2185">
        <v>2113080</v>
      </c>
      <c r="G2185">
        <v>5</v>
      </c>
      <c r="H2185">
        <v>2</v>
      </c>
      <c r="I2185">
        <v>388</v>
      </c>
      <c r="J2185">
        <v>1980</v>
      </c>
      <c r="K2185" s="4">
        <v>45754</v>
      </c>
      <c r="L2185" t="s">
        <v>20</v>
      </c>
      <c r="M2185" t="s">
        <v>45</v>
      </c>
      <c r="N2185">
        <v>3.16</v>
      </c>
      <c r="O2185">
        <v>2037</v>
      </c>
      <c r="P2185">
        <v>0.91</v>
      </c>
      <c r="Q2185">
        <v>327</v>
      </c>
      <c r="R2185">
        <v>527</v>
      </c>
    </row>
    <row r="2186" spans="1:18" hidden="1" x14ac:dyDescent="0.2">
      <c r="A2186">
        <v>7</v>
      </c>
      <c r="B2186" t="s">
        <v>101</v>
      </c>
      <c r="E2186" t="s">
        <v>29</v>
      </c>
      <c r="F2186">
        <v>1578043</v>
      </c>
      <c r="G2186">
        <v>2</v>
      </c>
      <c r="H2186">
        <v>2</v>
      </c>
      <c r="I2186">
        <v>978</v>
      </c>
      <c r="J2186">
        <v>2010</v>
      </c>
      <c r="K2186" s="4">
        <v>44615</v>
      </c>
      <c r="L2186" t="s">
        <v>30</v>
      </c>
      <c r="M2186" t="s">
        <v>24</v>
      </c>
      <c r="N2186">
        <v>3.31</v>
      </c>
      <c r="O2186">
        <v>1924</v>
      </c>
      <c r="P2186">
        <v>1</v>
      </c>
      <c r="Q2186">
        <v>98</v>
      </c>
      <c r="R2186">
        <v>564</v>
      </c>
    </row>
    <row r="2187" spans="1:18" x14ac:dyDescent="0.2">
      <c r="A2187">
        <v>8</v>
      </c>
      <c r="B2187" t="s">
        <v>46</v>
      </c>
      <c r="E2187" t="s">
        <v>51</v>
      </c>
      <c r="F2187">
        <v>1178340</v>
      </c>
      <c r="G2187">
        <v>2</v>
      </c>
      <c r="H2187">
        <v>1</v>
      </c>
      <c r="I2187">
        <v>157</v>
      </c>
      <c r="J2187">
        <v>1950</v>
      </c>
      <c r="K2187" s="4">
        <v>45065</v>
      </c>
      <c r="L2187" t="s">
        <v>26</v>
      </c>
      <c r="M2187" t="s">
        <v>40</v>
      </c>
      <c r="N2187">
        <v>3.31</v>
      </c>
      <c r="O2187">
        <v>1838</v>
      </c>
      <c r="P2187">
        <v>1.69</v>
      </c>
      <c r="Q2187">
        <v>185</v>
      </c>
      <c r="R2187">
        <v>548</v>
      </c>
    </row>
    <row r="2188" spans="1:18" hidden="1" x14ac:dyDescent="0.2">
      <c r="A2188">
        <v>7</v>
      </c>
      <c r="B2188" t="s">
        <v>32</v>
      </c>
      <c r="E2188" t="s">
        <v>19</v>
      </c>
      <c r="F2188">
        <v>2760387</v>
      </c>
      <c r="G2188">
        <v>4</v>
      </c>
      <c r="H2188">
        <v>3</v>
      </c>
      <c r="I2188">
        <v>364</v>
      </c>
      <c r="J2188">
        <v>2014</v>
      </c>
      <c r="K2188" s="4">
        <v>44333</v>
      </c>
      <c r="L2188" t="s">
        <v>30</v>
      </c>
      <c r="M2188" t="s">
        <v>97</v>
      </c>
      <c r="N2188">
        <v>2.89</v>
      </c>
      <c r="O2188">
        <v>1530</v>
      </c>
      <c r="P2188">
        <v>4.37</v>
      </c>
      <c r="Q2188">
        <v>397</v>
      </c>
      <c r="R2188">
        <v>433</v>
      </c>
    </row>
    <row r="2189" spans="1:18" hidden="1" x14ac:dyDescent="0.2">
      <c r="A2189">
        <v>5</v>
      </c>
      <c r="B2189" t="s">
        <v>25</v>
      </c>
      <c r="E2189" t="s">
        <v>19</v>
      </c>
      <c r="F2189">
        <v>2773075</v>
      </c>
      <c r="G2189">
        <v>2</v>
      </c>
      <c r="H2189">
        <v>3</v>
      </c>
      <c r="I2189">
        <v>793</v>
      </c>
      <c r="J2189">
        <v>1987</v>
      </c>
      <c r="K2189" s="4">
        <v>45450</v>
      </c>
      <c r="L2189" t="s">
        <v>20</v>
      </c>
      <c r="M2189" t="s">
        <v>68</v>
      </c>
      <c r="N2189">
        <v>2.09</v>
      </c>
      <c r="O2189">
        <v>1878</v>
      </c>
      <c r="P2189">
        <v>4.91</v>
      </c>
      <c r="Q2189">
        <v>216</v>
      </c>
      <c r="R2189">
        <v>302</v>
      </c>
    </row>
    <row r="2190" spans="1:18" hidden="1" x14ac:dyDescent="0.2">
      <c r="A2190">
        <v>1</v>
      </c>
      <c r="B2190" t="s">
        <v>80</v>
      </c>
      <c r="E2190" t="s">
        <v>36</v>
      </c>
      <c r="F2190">
        <v>427504</v>
      </c>
      <c r="G2190">
        <v>0</v>
      </c>
      <c r="H2190">
        <v>3</v>
      </c>
      <c r="I2190">
        <v>376</v>
      </c>
      <c r="J2190">
        <v>2003</v>
      </c>
      <c r="K2190" s="4">
        <v>44815</v>
      </c>
      <c r="L2190" t="s">
        <v>20</v>
      </c>
      <c r="M2190" t="s">
        <v>68</v>
      </c>
      <c r="N2190">
        <v>2.42</v>
      </c>
      <c r="O2190">
        <v>1785</v>
      </c>
      <c r="P2190">
        <v>4.8499999999999996</v>
      </c>
      <c r="Q2190">
        <v>43</v>
      </c>
      <c r="R2190">
        <v>478</v>
      </c>
    </row>
    <row r="2191" spans="1:18" hidden="1" x14ac:dyDescent="0.2">
      <c r="A2191">
        <v>7</v>
      </c>
      <c r="B2191" t="s">
        <v>84</v>
      </c>
      <c r="E2191" t="s">
        <v>51</v>
      </c>
      <c r="F2191">
        <v>553903</v>
      </c>
      <c r="G2191">
        <v>5</v>
      </c>
      <c r="H2191">
        <v>1</v>
      </c>
      <c r="I2191">
        <v>591</v>
      </c>
      <c r="J2191">
        <v>1975</v>
      </c>
      <c r="K2191" s="4">
        <v>45579</v>
      </c>
      <c r="L2191" t="s">
        <v>20</v>
      </c>
      <c r="M2191" t="s">
        <v>24</v>
      </c>
      <c r="N2191">
        <v>3.28</v>
      </c>
      <c r="O2191">
        <v>1786</v>
      </c>
      <c r="P2191">
        <v>1.63</v>
      </c>
      <c r="Q2191">
        <v>357</v>
      </c>
      <c r="R2191">
        <v>496</v>
      </c>
    </row>
    <row r="2192" spans="1:18" hidden="1" x14ac:dyDescent="0.2">
      <c r="A2192">
        <v>7</v>
      </c>
      <c r="B2192" t="s">
        <v>32</v>
      </c>
      <c r="E2192" t="s">
        <v>29</v>
      </c>
      <c r="F2192">
        <v>2003312</v>
      </c>
      <c r="G2192">
        <v>2</v>
      </c>
      <c r="H2192">
        <v>3</v>
      </c>
      <c r="I2192">
        <v>604</v>
      </c>
      <c r="J2192">
        <v>1987</v>
      </c>
      <c r="K2192" s="4">
        <v>44863</v>
      </c>
      <c r="L2192" t="s">
        <v>26</v>
      </c>
      <c r="M2192" t="s">
        <v>45</v>
      </c>
      <c r="N2192">
        <v>2.97</v>
      </c>
      <c r="O2192">
        <v>1550</v>
      </c>
      <c r="P2192">
        <v>3.5</v>
      </c>
      <c r="Q2192">
        <v>84</v>
      </c>
      <c r="R2192">
        <v>599</v>
      </c>
    </row>
    <row r="2193" spans="1:18" hidden="1" x14ac:dyDescent="0.2">
      <c r="A2193">
        <v>6</v>
      </c>
      <c r="B2193" t="s">
        <v>62</v>
      </c>
      <c r="E2193" t="s">
        <v>36</v>
      </c>
      <c r="F2193">
        <v>2316580</v>
      </c>
      <c r="G2193">
        <v>3</v>
      </c>
      <c r="H2193">
        <v>3</v>
      </c>
      <c r="I2193">
        <v>189</v>
      </c>
      <c r="J2193">
        <v>1961</v>
      </c>
      <c r="K2193" s="4">
        <v>45111</v>
      </c>
      <c r="L2193" t="s">
        <v>20</v>
      </c>
      <c r="M2193" t="s">
        <v>45</v>
      </c>
      <c r="N2193">
        <v>1.93</v>
      </c>
      <c r="O2193">
        <v>1645</v>
      </c>
      <c r="P2193">
        <v>4.24</v>
      </c>
      <c r="Q2193">
        <v>204</v>
      </c>
      <c r="R2193">
        <v>469</v>
      </c>
    </row>
    <row r="2194" spans="1:18" hidden="1" x14ac:dyDescent="0.2">
      <c r="A2194">
        <v>6</v>
      </c>
      <c r="B2194" t="s">
        <v>41</v>
      </c>
      <c r="E2194" t="s">
        <v>51</v>
      </c>
      <c r="F2194">
        <v>1236031</v>
      </c>
      <c r="G2194">
        <v>4</v>
      </c>
      <c r="H2194">
        <v>2</v>
      </c>
      <c r="I2194">
        <v>384</v>
      </c>
      <c r="J2194">
        <v>1971</v>
      </c>
      <c r="K2194" s="4">
        <v>45619</v>
      </c>
      <c r="L2194" t="s">
        <v>23</v>
      </c>
      <c r="M2194" t="s">
        <v>42</v>
      </c>
      <c r="N2194">
        <v>3.1</v>
      </c>
      <c r="O2194">
        <v>1196</v>
      </c>
      <c r="P2194">
        <v>2.27</v>
      </c>
      <c r="Q2194">
        <v>340</v>
      </c>
      <c r="R2194">
        <v>385</v>
      </c>
    </row>
    <row r="2195" spans="1:18" hidden="1" x14ac:dyDescent="0.2">
      <c r="A2195">
        <v>2</v>
      </c>
      <c r="B2195" t="s">
        <v>50</v>
      </c>
      <c r="E2195" t="s">
        <v>29</v>
      </c>
      <c r="F2195">
        <v>488102</v>
      </c>
      <c r="G2195">
        <v>3</v>
      </c>
      <c r="H2195">
        <v>3</v>
      </c>
      <c r="I2195">
        <v>872</v>
      </c>
      <c r="J2195">
        <v>1968</v>
      </c>
      <c r="K2195" s="4">
        <v>44152</v>
      </c>
      <c r="L2195" t="s">
        <v>23</v>
      </c>
      <c r="M2195" t="s">
        <v>60</v>
      </c>
      <c r="N2195">
        <v>2.67</v>
      </c>
      <c r="O2195">
        <v>1607</v>
      </c>
      <c r="P2195">
        <v>2.64</v>
      </c>
      <c r="Q2195">
        <v>184</v>
      </c>
      <c r="R2195">
        <v>653</v>
      </c>
    </row>
    <row r="2196" spans="1:18" hidden="1" x14ac:dyDescent="0.2">
      <c r="A2196">
        <v>9</v>
      </c>
      <c r="B2196" t="s">
        <v>96</v>
      </c>
      <c r="E2196" t="s">
        <v>51</v>
      </c>
      <c r="F2196">
        <v>574474</v>
      </c>
      <c r="G2196">
        <v>2</v>
      </c>
      <c r="H2196">
        <v>3</v>
      </c>
      <c r="I2196">
        <v>380</v>
      </c>
      <c r="J2196">
        <v>1999</v>
      </c>
      <c r="K2196" s="4">
        <v>44941</v>
      </c>
      <c r="L2196" t="s">
        <v>30</v>
      </c>
      <c r="M2196" t="s">
        <v>27</v>
      </c>
      <c r="N2196">
        <v>2.68</v>
      </c>
      <c r="O2196">
        <v>2375</v>
      </c>
      <c r="P2196">
        <v>4.63</v>
      </c>
      <c r="Q2196">
        <v>55</v>
      </c>
      <c r="R2196">
        <v>467</v>
      </c>
    </row>
    <row r="2197" spans="1:18" hidden="1" x14ac:dyDescent="0.2">
      <c r="A2197">
        <v>7</v>
      </c>
      <c r="B2197" t="s">
        <v>28</v>
      </c>
      <c r="E2197" t="s">
        <v>19</v>
      </c>
      <c r="F2197">
        <v>1238559</v>
      </c>
      <c r="G2197">
        <v>3</v>
      </c>
      <c r="H2197">
        <v>3</v>
      </c>
      <c r="I2197">
        <v>827</v>
      </c>
      <c r="J2197">
        <v>1968</v>
      </c>
      <c r="K2197" s="4">
        <v>45394</v>
      </c>
      <c r="L2197" t="s">
        <v>26</v>
      </c>
      <c r="M2197" t="s">
        <v>40</v>
      </c>
      <c r="N2197">
        <v>1.92</v>
      </c>
      <c r="O2197">
        <v>1481</v>
      </c>
      <c r="P2197">
        <v>3.38</v>
      </c>
      <c r="Q2197">
        <v>267</v>
      </c>
      <c r="R2197">
        <v>557</v>
      </c>
    </row>
    <row r="2198" spans="1:18" hidden="1" x14ac:dyDescent="0.2">
      <c r="A2198">
        <v>5</v>
      </c>
      <c r="B2198" t="s">
        <v>100</v>
      </c>
      <c r="E2198" t="s">
        <v>51</v>
      </c>
      <c r="F2198">
        <v>1564428</v>
      </c>
      <c r="G2198">
        <v>5</v>
      </c>
      <c r="H2198">
        <v>2</v>
      </c>
      <c r="I2198">
        <v>596</v>
      </c>
      <c r="J2198">
        <v>1971</v>
      </c>
      <c r="K2198" s="4">
        <v>45106</v>
      </c>
      <c r="L2198" t="s">
        <v>26</v>
      </c>
      <c r="M2198" t="s">
        <v>77</v>
      </c>
      <c r="N2198">
        <v>2.77</v>
      </c>
      <c r="O2198">
        <v>2425</v>
      </c>
      <c r="P2198">
        <v>3.13</v>
      </c>
      <c r="Q2198">
        <v>344</v>
      </c>
      <c r="R2198">
        <v>422</v>
      </c>
    </row>
    <row r="2199" spans="1:18" hidden="1" x14ac:dyDescent="0.2">
      <c r="A2199">
        <v>4</v>
      </c>
      <c r="B2199" t="s">
        <v>94</v>
      </c>
      <c r="E2199" t="s">
        <v>51</v>
      </c>
      <c r="F2199">
        <v>415553</v>
      </c>
      <c r="G2199">
        <v>4</v>
      </c>
      <c r="H2199">
        <v>3</v>
      </c>
      <c r="I2199">
        <v>194</v>
      </c>
      <c r="J2199">
        <v>1963</v>
      </c>
      <c r="K2199" s="4">
        <v>45376</v>
      </c>
      <c r="L2199" t="s">
        <v>23</v>
      </c>
      <c r="M2199" t="s">
        <v>68</v>
      </c>
      <c r="N2199">
        <v>1.54</v>
      </c>
      <c r="O2199">
        <v>2098</v>
      </c>
      <c r="P2199">
        <v>2.74</v>
      </c>
      <c r="Q2199">
        <v>328</v>
      </c>
      <c r="R2199">
        <v>484</v>
      </c>
    </row>
    <row r="2200" spans="1:18" hidden="1" x14ac:dyDescent="0.2">
      <c r="A2200">
        <v>1</v>
      </c>
      <c r="B2200" t="s">
        <v>73</v>
      </c>
      <c r="E2200" t="s">
        <v>36</v>
      </c>
      <c r="F2200">
        <v>2088091</v>
      </c>
      <c r="G2200">
        <v>1</v>
      </c>
      <c r="H2200">
        <v>1</v>
      </c>
      <c r="I2200">
        <v>316</v>
      </c>
      <c r="J2200">
        <v>1998</v>
      </c>
      <c r="K2200" s="4">
        <v>44364</v>
      </c>
      <c r="L2200" t="s">
        <v>26</v>
      </c>
      <c r="M2200" t="s">
        <v>97</v>
      </c>
      <c r="N2200">
        <v>2.0299999999999998</v>
      </c>
      <c r="O2200">
        <v>1575</v>
      </c>
      <c r="P2200">
        <v>1.37</v>
      </c>
      <c r="Q2200">
        <v>94</v>
      </c>
      <c r="R2200">
        <v>611</v>
      </c>
    </row>
    <row r="2201" spans="1:18" hidden="1" x14ac:dyDescent="0.2">
      <c r="A2201">
        <v>2</v>
      </c>
      <c r="B2201" t="s">
        <v>43</v>
      </c>
      <c r="E2201" t="s">
        <v>36</v>
      </c>
      <c r="F2201">
        <v>857526</v>
      </c>
      <c r="G2201">
        <v>4</v>
      </c>
      <c r="H2201">
        <v>1</v>
      </c>
      <c r="I2201">
        <v>541</v>
      </c>
      <c r="J2201">
        <v>1968</v>
      </c>
      <c r="K2201" s="4">
        <v>45303</v>
      </c>
      <c r="L2201" t="s">
        <v>26</v>
      </c>
      <c r="M2201" t="s">
        <v>42</v>
      </c>
      <c r="N2201">
        <v>3.49</v>
      </c>
      <c r="O2201">
        <v>1306</v>
      </c>
      <c r="P2201">
        <v>2.5499999999999998</v>
      </c>
      <c r="Q2201">
        <v>326</v>
      </c>
      <c r="R2201">
        <v>511</v>
      </c>
    </row>
    <row r="2202" spans="1:18" hidden="1" x14ac:dyDescent="0.2">
      <c r="A2202">
        <v>1</v>
      </c>
      <c r="B2202" t="s">
        <v>73</v>
      </c>
      <c r="E2202" t="s">
        <v>29</v>
      </c>
      <c r="F2202">
        <v>2441843</v>
      </c>
      <c r="G2202">
        <v>1</v>
      </c>
      <c r="H2202">
        <v>1</v>
      </c>
      <c r="I2202">
        <v>614</v>
      </c>
      <c r="J2202">
        <v>1954</v>
      </c>
      <c r="K2202" s="4">
        <v>45433</v>
      </c>
      <c r="L2202" t="s">
        <v>20</v>
      </c>
      <c r="M2202" t="s">
        <v>21</v>
      </c>
      <c r="N2202">
        <v>2.66</v>
      </c>
      <c r="O2202">
        <v>2064</v>
      </c>
      <c r="P2202">
        <v>1.58</v>
      </c>
      <c r="Q2202">
        <v>47</v>
      </c>
      <c r="R2202">
        <v>547</v>
      </c>
    </row>
    <row r="2203" spans="1:18" hidden="1" x14ac:dyDescent="0.2">
      <c r="A2203">
        <v>5</v>
      </c>
      <c r="B2203" t="s">
        <v>75</v>
      </c>
      <c r="E2203" t="s">
        <v>51</v>
      </c>
      <c r="F2203">
        <v>1360057</v>
      </c>
      <c r="G2203">
        <v>2</v>
      </c>
      <c r="H2203">
        <v>3</v>
      </c>
      <c r="I2203">
        <v>370</v>
      </c>
      <c r="J2203">
        <v>1981</v>
      </c>
      <c r="K2203" s="4">
        <v>45333</v>
      </c>
      <c r="L2203" t="s">
        <v>23</v>
      </c>
      <c r="M2203" t="s">
        <v>97</v>
      </c>
      <c r="N2203">
        <v>2.4</v>
      </c>
      <c r="O2203">
        <v>1981</v>
      </c>
      <c r="P2203">
        <v>0.33</v>
      </c>
      <c r="Q2203">
        <v>237</v>
      </c>
      <c r="R2203">
        <v>519</v>
      </c>
    </row>
    <row r="2204" spans="1:18" hidden="1" x14ac:dyDescent="0.2">
      <c r="A2204">
        <v>0</v>
      </c>
      <c r="B2204" t="s">
        <v>71</v>
      </c>
      <c r="E2204" t="s">
        <v>36</v>
      </c>
      <c r="F2204">
        <v>2467594</v>
      </c>
      <c r="G2204">
        <v>4</v>
      </c>
      <c r="H2204">
        <v>3</v>
      </c>
      <c r="I2204">
        <v>267</v>
      </c>
      <c r="J2204">
        <v>1982</v>
      </c>
      <c r="K2204" s="4">
        <v>44845</v>
      </c>
      <c r="L2204" t="s">
        <v>30</v>
      </c>
      <c r="M2204" t="s">
        <v>56</v>
      </c>
      <c r="N2204">
        <v>3.37</v>
      </c>
      <c r="O2204">
        <v>2051</v>
      </c>
      <c r="P2204">
        <v>3.57</v>
      </c>
      <c r="Q2204">
        <v>173</v>
      </c>
      <c r="R2204">
        <v>490</v>
      </c>
    </row>
    <row r="2205" spans="1:18" hidden="1" x14ac:dyDescent="0.2">
      <c r="A2205">
        <v>7</v>
      </c>
      <c r="B2205" t="s">
        <v>55</v>
      </c>
      <c r="E2205" t="s">
        <v>51</v>
      </c>
      <c r="F2205">
        <v>2549137</v>
      </c>
      <c r="G2205">
        <v>4</v>
      </c>
      <c r="H2205">
        <v>3</v>
      </c>
      <c r="I2205">
        <v>544</v>
      </c>
      <c r="J2205">
        <v>1954</v>
      </c>
      <c r="K2205" s="4">
        <v>45011</v>
      </c>
      <c r="L2205" t="s">
        <v>20</v>
      </c>
      <c r="M2205" t="s">
        <v>31</v>
      </c>
      <c r="N2205">
        <v>2.64</v>
      </c>
      <c r="O2205">
        <v>2075</v>
      </c>
      <c r="P2205">
        <v>2.89</v>
      </c>
      <c r="Q2205">
        <v>336</v>
      </c>
      <c r="R2205">
        <v>628</v>
      </c>
    </row>
    <row r="2206" spans="1:18" hidden="1" x14ac:dyDescent="0.2">
      <c r="A2206">
        <v>2</v>
      </c>
      <c r="B2206" t="s">
        <v>84</v>
      </c>
      <c r="E2206" t="s">
        <v>51</v>
      </c>
      <c r="F2206">
        <v>1448637</v>
      </c>
      <c r="G2206">
        <v>4</v>
      </c>
      <c r="H2206">
        <v>2</v>
      </c>
      <c r="I2206">
        <v>902</v>
      </c>
      <c r="J2206">
        <v>2003</v>
      </c>
      <c r="K2206" s="4">
        <v>44967</v>
      </c>
      <c r="L2206" t="s">
        <v>26</v>
      </c>
      <c r="M2206" t="s">
        <v>52</v>
      </c>
      <c r="N2206">
        <v>2.8</v>
      </c>
      <c r="O2206">
        <v>1618</v>
      </c>
      <c r="P2206">
        <v>3.86</v>
      </c>
      <c r="Q2206">
        <v>207</v>
      </c>
      <c r="R2206">
        <v>407</v>
      </c>
    </row>
    <row r="2207" spans="1:18" hidden="1" x14ac:dyDescent="0.2">
      <c r="A2207">
        <v>9</v>
      </c>
      <c r="B2207" t="s">
        <v>43</v>
      </c>
      <c r="E2207" t="s">
        <v>29</v>
      </c>
      <c r="F2207">
        <v>443249</v>
      </c>
      <c r="G2207">
        <v>4</v>
      </c>
      <c r="H2207">
        <v>3</v>
      </c>
      <c r="I2207">
        <v>843</v>
      </c>
      <c r="J2207">
        <v>1999</v>
      </c>
      <c r="K2207" s="4">
        <v>44812</v>
      </c>
      <c r="L2207" t="s">
        <v>20</v>
      </c>
      <c r="M2207" t="s">
        <v>33</v>
      </c>
      <c r="N2207">
        <v>2.08</v>
      </c>
      <c r="O2207">
        <v>1388</v>
      </c>
      <c r="P2207">
        <v>0.34</v>
      </c>
      <c r="Q2207">
        <v>232</v>
      </c>
      <c r="R2207">
        <v>600</v>
      </c>
    </row>
    <row r="2208" spans="1:18" hidden="1" x14ac:dyDescent="0.2">
      <c r="A2208">
        <v>6</v>
      </c>
      <c r="B2208" t="s">
        <v>101</v>
      </c>
      <c r="E2208" t="s">
        <v>51</v>
      </c>
      <c r="F2208">
        <v>1850310</v>
      </c>
      <c r="G2208">
        <v>3</v>
      </c>
      <c r="H2208">
        <v>2</v>
      </c>
      <c r="I2208">
        <v>289</v>
      </c>
      <c r="J2208">
        <v>1980</v>
      </c>
      <c r="K2208" s="4">
        <v>45578</v>
      </c>
      <c r="L2208" t="s">
        <v>20</v>
      </c>
      <c r="M2208" t="s">
        <v>31</v>
      </c>
      <c r="N2208">
        <v>2.74</v>
      </c>
      <c r="O2208">
        <v>1347</v>
      </c>
      <c r="P2208">
        <v>2.14</v>
      </c>
      <c r="Q2208">
        <v>318</v>
      </c>
      <c r="R2208">
        <v>607</v>
      </c>
    </row>
    <row r="2209" spans="1:18" x14ac:dyDescent="0.2">
      <c r="A2209">
        <v>8</v>
      </c>
      <c r="B2209" t="s">
        <v>79</v>
      </c>
      <c r="E2209" t="s">
        <v>29</v>
      </c>
      <c r="F2209">
        <v>890418</v>
      </c>
      <c r="G2209">
        <v>2</v>
      </c>
      <c r="H2209">
        <v>3</v>
      </c>
      <c r="I2209">
        <v>656</v>
      </c>
      <c r="J2209">
        <v>2004</v>
      </c>
      <c r="K2209" s="4">
        <v>44606</v>
      </c>
      <c r="L2209" t="s">
        <v>23</v>
      </c>
      <c r="M2209" t="s">
        <v>54</v>
      </c>
      <c r="N2209">
        <v>2.5</v>
      </c>
      <c r="O2209">
        <v>1636</v>
      </c>
      <c r="P2209">
        <v>1.59</v>
      </c>
      <c r="Q2209">
        <v>197</v>
      </c>
      <c r="R2209">
        <v>644</v>
      </c>
    </row>
    <row r="2210" spans="1:18" hidden="1" x14ac:dyDescent="0.2">
      <c r="A2210">
        <v>1</v>
      </c>
      <c r="B2210" t="s">
        <v>62</v>
      </c>
      <c r="E2210" t="s">
        <v>19</v>
      </c>
      <c r="F2210">
        <v>1911799</v>
      </c>
      <c r="G2210">
        <v>2</v>
      </c>
      <c r="H2210">
        <v>2</v>
      </c>
      <c r="I2210">
        <v>507</v>
      </c>
      <c r="J2210">
        <v>1973</v>
      </c>
      <c r="K2210" s="4">
        <v>44504</v>
      </c>
      <c r="L2210" t="s">
        <v>26</v>
      </c>
      <c r="M2210" t="s">
        <v>58</v>
      </c>
      <c r="N2210">
        <v>2.62</v>
      </c>
      <c r="O2210">
        <v>2096</v>
      </c>
      <c r="P2210">
        <v>1.49</v>
      </c>
      <c r="Q2210">
        <v>154</v>
      </c>
      <c r="R2210">
        <v>384</v>
      </c>
    </row>
    <row r="2211" spans="1:18" hidden="1" x14ac:dyDescent="0.2">
      <c r="A2211">
        <v>4</v>
      </c>
      <c r="B2211" t="s">
        <v>55</v>
      </c>
      <c r="E2211" t="s">
        <v>51</v>
      </c>
      <c r="F2211">
        <v>2246848</v>
      </c>
      <c r="G2211">
        <v>3</v>
      </c>
      <c r="H2211">
        <v>3</v>
      </c>
      <c r="I2211">
        <v>182</v>
      </c>
      <c r="J2211">
        <v>1982</v>
      </c>
      <c r="K2211" s="4">
        <v>45596</v>
      </c>
      <c r="L2211" t="s">
        <v>30</v>
      </c>
      <c r="M2211" t="s">
        <v>76</v>
      </c>
      <c r="N2211">
        <v>3.28</v>
      </c>
      <c r="O2211">
        <v>852</v>
      </c>
      <c r="P2211">
        <v>1.4</v>
      </c>
      <c r="Q2211">
        <v>199</v>
      </c>
      <c r="R2211">
        <v>519</v>
      </c>
    </row>
    <row r="2212" spans="1:18" hidden="1" x14ac:dyDescent="0.2">
      <c r="A2212">
        <v>2</v>
      </c>
      <c r="B2212" t="s">
        <v>96</v>
      </c>
      <c r="E2212" t="s">
        <v>51</v>
      </c>
      <c r="F2212">
        <v>2261944</v>
      </c>
      <c r="G2212">
        <v>5</v>
      </c>
      <c r="H2212">
        <v>3</v>
      </c>
      <c r="I2212">
        <v>936</v>
      </c>
      <c r="J2212">
        <v>2020</v>
      </c>
      <c r="K2212" s="4">
        <v>44355</v>
      </c>
      <c r="L2212" t="s">
        <v>20</v>
      </c>
      <c r="M2212" t="s">
        <v>37</v>
      </c>
      <c r="N2212">
        <v>1.56</v>
      </c>
      <c r="O2212">
        <v>1092</v>
      </c>
      <c r="P2212">
        <v>3.49</v>
      </c>
      <c r="Q2212">
        <v>306</v>
      </c>
      <c r="R2212">
        <v>630</v>
      </c>
    </row>
    <row r="2213" spans="1:18" hidden="1" x14ac:dyDescent="0.2">
      <c r="A2213">
        <v>9</v>
      </c>
      <c r="B2213" t="s">
        <v>32</v>
      </c>
      <c r="E2213" t="s">
        <v>29</v>
      </c>
      <c r="F2213">
        <v>2560214</v>
      </c>
      <c r="G2213">
        <v>0</v>
      </c>
      <c r="H2213">
        <v>2</v>
      </c>
      <c r="I2213">
        <v>211</v>
      </c>
      <c r="J2213">
        <v>1960</v>
      </c>
      <c r="K2213" s="4">
        <v>44720</v>
      </c>
      <c r="L2213" t="s">
        <v>23</v>
      </c>
      <c r="M2213" t="s">
        <v>97</v>
      </c>
      <c r="N2213">
        <v>1.52</v>
      </c>
      <c r="O2213">
        <v>1572</v>
      </c>
      <c r="P2213">
        <v>1.73</v>
      </c>
      <c r="Q2213">
        <v>41</v>
      </c>
      <c r="R2213">
        <v>474</v>
      </c>
    </row>
    <row r="2214" spans="1:18" hidden="1" x14ac:dyDescent="0.2">
      <c r="A2214">
        <v>7</v>
      </c>
      <c r="B2214" t="s">
        <v>32</v>
      </c>
      <c r="E2214" t="s">
        <v>36</v>
      </c>
      <c r="F2214">
        <v>2761248</v>
      </c>
      <c r="G2214">
        <v>2</v>
      </c>
      <c r="H2214">
        <v>2</v>
      </c>
      <c r="I2214">
        <v>230</v>
      </c>
      <c r="J2214">
        <v>1978</v>
      </c>
      <c r="K2214" s="4">
        <v>44402</v>
      </c>
      <c r="L2214" t="s">
        <v>23</v>
      </c>
      <c r="M2214" t="s">
        <v>31</v>
      </c>
      <c r="N2214">
        <v>2.85</v>
      </c>
      <c r="O2214">
        <v>1985</v>
      </c>
      <c r="P2214">
        <v>3.48</v>
      </c>
      <c r="Q2214">
        <v>164</v>
      </c>
      <c r="R2214">
        <v>416</v>
      </c>
    </row>
    <row r="2215" spans="1:18" hidden="1" x14ac:dyDescent="0.2">
      <c r="A2215">
        <v>5</v>
      </c>
      <c r="B2215" t="s">
        <v>25</v>
      </c>
      <c r="E2215" t="s">
        <v>29</v>
      </c>
      <c r="F2215">
        <v>1012102</v>
      </c>
      <c r="G2215">
        <v>5</v>
      </c>
      <c r="H2215">
        <v>1</v>
      </c>
      <c r="I2215">
        <v>441</v>
      </c>
      <c r="J2215">
        <v>1987</v>
      </c>
      <c r="K2215" s="4">
        <v>44543</v>
      </c>
      <c r="L2215" t="s">
        <v>20</v>
      </c>
      <c r="M2215" t="s">
        <v>76</v>
      </c>
      <c r="N2215">
        <v>3.29</v>
      </c>
      <c r="O2215">
        <v>2333</v>
      </c>
      <c r="P2215">
        <v>2.2999999999999998</v>
      </c>
      <c r="Q2215">
        <v>349</v>
      </c>
      <c r="R2215">
        <v>630</v>
      </c>
    </row>
    <row r="2216" spans="1:18" hidden="1" x14ac:dyDescent="0.2">
      <c r="A2216">
        <v>2</v>
      </c>
      <c r="B2216" t="s">
        <v>99</v>
      </c>
      <c r="E2216" t="s">
        <v>29</v>
      </c>
      <c r="F2216">
        <v>2376103</v>
      </c>
      <c r="G2216">
        <v>5</v>
      </c>
      <c r="H2216">
        <v>3</v>
      </c>
      <c r="I2216">
        <v>448</v>
      </c>
      <c r="J2216">
        <v>1957</v>
      </c>
      <c r="K2216" s="4">
        <v>44563</v>
      </c>
      <c r="L2216" t="s">
        <v>30</v>
      </c>
      <c r="M2216" t="s">
        <v>77</v>
      </c>
      <c r="N2216">
        <v>2.02</v>
      </c>
      <c r="O2216">
        <v>1127</v>
      </c>
      <c r="P2216">
        <v>0.49</v>
      </c>
      <c r="Q2216">
        <v>332</v>
      </c>
      <c r="R2216">
        <v>529</v>
      </c>
    </row>
    <row r="2217" spans="1:18" hidden="1" x14ac:dyDescent="0.2">
      <c r="A2217">
        <v>5</v>
      </c>
      <c r="B2217" t="s">
        <v>93</v>
      </c>
      <c r="E2217" t="s">
        <v>29</v>
      </c>
      <c r="F2217">
        <v>2314812</v>
      </c>
      <c r="G2217">
        <v>3</v>
      </c>
      <c r="H2217">
        <v>1</v>
      </c>
      <c r="I2217">
        <v>689</v>
      </c>
      <c r="J2217">
        <v>1995</v>
      </c>
      <c r="K2217" s="4">
        <v>44943</v>
      </c>
      <c r="L2217" t="s">
        <v>23</v>
      </c>
      <c r="M2217" t="s">
        <v>33</v>
      </c>
      <c r="N2217">
        <v>1.9</v>
      </c>
      <c r="O2217">
        <v>1144</v>
      </c>
      <c r="P2217">
        <v>1.03</v>
      </c>
      <c r="Q2217">
        <v>100</v>
      </c>
      <c r="R2217">
        <v>481</v>
      </c>
    </row>
    <row r="2218" spans="1:18" hidden="1" x14ac:dyDescent="0.2">
      <c r="A2218">
        <v>0</v>
      </c>
      <c r="B2218" t="s">
        <v>62</v>
      </c>
      <c r="E2218" t="s">
        <v>19</v>
      </c>
      <c r="F2218">
        <v>2903120</v>
      </c>
      <c r="G2218">
        <v>2</v>
      </c>
      <c r="H2218">
        <v>2</v>
      </c>
      <c r="I2218">
        <v>425</v>
      </c>
      <c r="J2218">
        <v>1969</v>
      </c>
      <c r="K2218" s="4">
        <v>45622</v>
      </c>
      <c r="L2218" t="s">
        <v>30</v>
      </c>
      <c r="M2218" t="s">
        <v>70</v>
      </c>
      <c r="N2218">
        <v>2.36</v>
      </c>
      <c r="O2218">
        <v>1540</v>
      </c>
      <c r="P2218">
        <v>1.6</v>
      </c>
      <c r="Q2218">
        <v>235</v>
      </c>
      <c r="R2218">
        <v>560</v>
      </c>
    </row>
    <row r="2219" spans="1:18" hidden="1" x14ac:dyDescent="0.2">
      <c r="A2219">
        <v>9</v>
      </c>
      <c r="B2219" t="s">
        <v>81</v>
      </c>
      <c r="E2219" t="s">
        <v>29</v>
      </c>
      <c r="F2219">
        <v>1816476</v>
      </c>
      <c r="G2219">
        <v>0</v>
      </c>
      <c r="H2219">
        <v>3</v>
      </c>
      <c r="I2219">
        <v>951</v>
      </c>
      <c r="J2219">
        <v>2010</v>
      </c>
      <c r="K2219" s="4">
        <v>45578</v>
      </c>
      <c r="L2219" t="s">
        <v>20</v>
      </c>
      <c r="M2219" t="s">
        <v>54</v>
      </c>
      <c r="N2219">
        <v>1.57</v>
      </c>
      <c r="O2219">
        <v>824</v>
      </c>
      <c r="P2219">
        <v>4.8499999999999996</v>
      </c>
      <c r="Q2219">
        <v>62</v>
      </c>
      <c r="R2219">
        <v>501</v>
      </c>
    </row>
    <row r="2220" spans="1:18" hidden="1" x14ac:dyDescent="0.2">
      <c r="A2220">
        <v>3</v>
      </c>
      <c r="B2220" t="s">
        <v>75</v>
      </c>
      <c r="E2220" t="s">
        <v>29</v>
      </c>
      <c r="F2220">
        <v>816795</v>
      </c>
      <c r="G2220">
        <v>4</v>
      </c>
      <c r="H2220">
        <v>3</v>
      </c>
      <c r="I2220">
        <v>331</v>
      </c>
      <c r="J2220">
        <v>1961</v>
      </c>
      <c r="K2220" s="4">
        <v>44363</v>
      </c>
      <c r="L2220" t="s">
        <v>30</v>
      </c>
      <c r="M2220" t="s">
        <v>35</v>
      </c>
      <c r="N2220">
        <v>1.7</v>
      </c>
      <c r="O2220">
        <v>934</v>
      </c>
      <c r="P2220">
        <v>2.84</v>
      </c>
      <c r="Q2220">
        <v>392</v>
      </c>
      <c r="R2220">
        <v>577</v>
      </c>
    </row>
    <row r="2221" spans="1:18" hidden="1" x14ac:dyDescent="0.2">
      <c r="A2221">
        <v>4</v>
      </c>
      <c r="B2221" t="s">
        <v>75</v>
      </c>
      <c r="E2221" t="s">
        <v>19</v>
      </c>
      <c r="F2221">
        <v>2235013</v>
      </c>
      <c r="G2221">
        <v>3</v>
      </c>
      <c r="H2221">
        <v>3</v>
      </c>
      <c r="I2221">
        <v>793</v>
      </c>
      <c r="J2221">
        <v>2019</v>
      </c>
      <c r="K2221" s="4">
        <v>44828</v>
      </c>
      <c r="L2221" t="s">
        <v>30</v>
      </c>
      <c r="M2221" t="s">
        <v>27</v>
      </c>
      <c r="N2221">
        <v>2.0699999999999998</v>
      </c>
      <c r="O2221">
        <v>2190</v>
      </c>
      <c r="P2221">
        <v>2.95</v>
      </c>
      <c r="Q2221">
        <v>154</v>
      </c>
      <c r="R2221">
        <v>426</v>
      </c>
    </row>
    <row r="2222" spans="1:18" hidden="1" x14ac:dyDescent="0.2">
      <c r="A2222">
        <v>1</v>
      </c>
      <c r="B2222" t="s">
        <v>80</v>
      </c>
      <c r="E2222" t="s">
        <v>29</v>
      </c>
      <c r="F2222">
        <v>673360</v>
      </c>
      <c r="G2222">
        <v>2</v>
      </c>
      <c r="H2222">
        <v>3</v>
      </c>
      <c r="I2222">
        <v>396</v>
      </c>
      <c r="J2222">
        <v>1982</v>
      </c>
      <c r="K2222" s="4">
        <v>44671</v>
      </c>
      <c r="L2222" t="s">
        <v>26</v>
      </c>
      <c r="M2222" t="s">
        <v>35</v>
      </c>
      <c r="N2222">
        <v>3.44</v>
      </c>
      <c r="O2222">
        <v>1601</v>
      </c>
      <c r="P2222">
        <v>2.59</v>
      </c>
      <c r="Q2222">
        <v>179</v>
      </c>
      <c r="R2222">
        <v>551</v>
      </c>
    </row>
    <row r="2223" spans="1:18" hidden="1" x14ac:dyDescent="0.2">
      <c r="A2223">
        <v>5</v>
      </c>
      <c r="B2223" t="s">
        <v>104</v>
      </c>
      <c r="E2223" t="s">
        <v>19</v>
      </c>
      <c r="F2223">
        <v>1668520</v>
      </c>
      <c r="G2223">
        <v>3</v>
      </c>
      <c r="H2223">
        <v>2</v>
      </c>
      <c r="I2223">
        <v>195</v>
      </c>
      <c r="J2223">
        <v>2019</v>
      </c>
      <c r="K2223" s="4">
        <v>45448</v>
      </c>
      <c r="L2223" t="s">
        <v>30</v>
      </c>
      <c r="M2223" t="s">
        <v>78</v>
      </c>
      <c r="N2223">
        <v>2.99</v>
      </c>
      <c r="O2223">
        <v>1190</v>
      </c>
      <c r="P2223">
        <v>2.82</v>
      </c>
      <c r="Q2223">
        <v>234</v>
      </c>
      <c r="R2223">
        <v>477</v>
      </c>
    </row>
    <row r="2224" spans="1:18" x14ac:dyDescent="0.2">
      <c r="A2224">
        <v>8</v>
      </c>
      <c r="B2224" t="s">
        <v>75</v>
      </c>
      <c r="E2224" t="s">
        <v>36</v>
      </c>
      <c r="F2224">
        <v>577622</v>
      </c>
      <c r="G2224">
        <v>3</v>
      </c>
      <c r="H2224">
        <v>3</v>
      </c>
      <c r="I2224">
        <v>371</v>
      </c>
      <c r="J2224">
        <v>1954</v>
      </c>
      <c r="K2224" s="4">
        <v>44574</v>
      </c>
      <c r="L2224" t="s">
        <v>20</v>
      </c>
      <c r="M2224" t="s">
        <v>56</v>
      </c>
      <c r="N2224">
        <v>1.75</v>
      </c>
      <c r="O2224">
        <v>1292</v>
      </c>
      <c r="P2224">
        <v>3.65</v>
      </c>
      <c r="Q2224">
        <v>96</v>
      </c>
      <c r="R2224">
        <v>658</v>
      </c>
    </row>
    <row r="2225" spans="1:18" hidden="1" x14ac:dyDescent="0.2">
      <c r="A2225">
        <v>3</v>
      </c>
      <c r="B2225" t="s">
        <v>101</v>
      </c>
      <c r="E2225" t="s">
        <v>36</v>
      </c>
      <c r="F2225">
        <v>699915</v>
      </c>
      <c r="G2225">
        <v>4</v>
      </c>
      <c r="H2225">
        <v>1</v>
      </c>
      <c r="I2225">
        <v>468</v>
      </c>
      <c r="J2225">
        <v>1975</v>
      </c>
      <c r="K2225" s="4">
        <v>44906</v>
      </c>
      <c r="L2225" t="s">
        <v>26</v>
      </c>
      <c r="M2225" t="s">
        <v>37</v>
      </c>
      <c r="N2225">
        <v>3.11</v>
      </c>
      <c r="O2225">
        <v>2137</v>
      </c>
      <c r="P2225">
        <v>1.89</v>
      </c>
      <c r="Q2225">
        <v>223</v>
      </c>
      <c r="R2225">
        <v>508</v>
      </c>
    </row>
    <row r="2226" spans="1:18" hidden="1" x14ac:dyDescent="0.2">
      <c r="A2226">
        <v>7</v>
      </c>
      <c r="B2226" t="s">
        <v>38</v>
      </c>
      <c r="E2226" t="s">
        <v>19</v>
      </c>
      <c r="F2226">
        <v>2396775</v>
      </c>
      <c r="G2226">
        <v>4</v>
      </c>
      <c r="H2226">
        <v>2</v>
      </c>
      <c r="I2226">
        <v>262</v>
      </c>
      <c r="J2226">
        <v>2007</v>
      </c>
      <c r="K2226" s="4">
        <v>45573</v>
      </c>
      <c r="L2226" t="s">
        <v>26</v>
      </c>
      <c r="M2226" t="s">
        <v>70</v>
      </c>
      <c r="N2226">
        <v>2.39</v>
      </c>
      <c r="O2226">
        <v>1110</v>
      </c>
      <c r="P2226">
        <v>0.14000000000000001</v>
      </c>
      <c r="Q2226">
        <v>368</v>
      </c>
      <c r="R2226">
        <v>527</v>
      </c>
    </row>
    <row r="2227" spans="1:18" hidden="1" x14ac:dyDescent="0.2">
      <c r="A2227">
        <v>1</v>
      </c>
      <c r="B2227" t="s">
        <v>100</v>
      </c>
      <c r="E2227" t="s">
        <v>19</v>
      </c>
      <c r="F2227">
        <v>1679491</v>
      </c>
      <c r="G2227">
        <v>5</v>
      </c>
      <c r="H2227">
        <v>2</v>
      </c>
      <c r="I2227">
        <v>419</v>
      </c>
      <c r="J2227">
        <v>1963</v>
      </c>
      <c r="K2227" s="4">
        <v>44768</v>
      </c>
      <c r="L2227" t="s">
        <v>30</v>
      </c>
      <c r="M2227" t="s">
        <v>27</v>
      </c>
      <c r="N2227">
        <v>1.6</v>
      </c>
      <c r="O2227">
        <v>2260</v>
      </c>
      <c r="P2227">
        <v>4.59</v>
      </c>
      <c r="Q2227">
        <v>251</v>
      </c>
      <c r="R2227">
        <v>584</v>
      </c>
    </row>
    <row r="2228" spans="1:18" hidden="1" x14ac:dyDescent="0.2">
      <c r="A2228">
        <v>4</v>
      </c>
      <c r="B2228" t="s">
        <v>73</v>
      </c>
      <c r="E2228" t="s">
        <v>51</v>
      </c>
      <c r="F2228">
        <v>2976040</v>
      </c>
      <c r="G2228">
        <v>3</v>
      </c>
      <c r="H2228">
        <v>2</v>
      </c>
      <c r="I2228">
        <v>239</v>
      </c>
      <c r="J2228">
        <v>1972</v>
      </c>
      <c r="K2228" s="4">
        <v>45456</v>
      </c>
      <c r="L2228" t="s">
        <v>23</v>
      </c>
      <c r="M2228" t="s">
        <v>47</v>
      </c>
      <c r="N2228">
        <v>2.94</v>
      </c>
      <c r="O2228">
        <v>1426</v>
      </c>
      <c r="P2228">
        <v>2.37</v>
      </c>
      <c r="Q2228">
        <v>140</v>
      </c>
      <c r="R2228">
        <v>517</v>
      </c>
    </row>
    <row r="2229" spans="1:18" hidden="1" x14ac:dyDescent="0.2">
      <c r="A2229">
        <v>4</v>
      </c>
      <c r="B2229" t="s">
        <v>96</v>
      </c>
      <c r="E2229" t="s">
        <v>19</v>
      </c>
      <c r="F2229">
        <v>2664558</v>
      </c>
      <c r="G2229">
        <v>1</v>
      </c>
      <c r="H2229">
        <v>3</v>
      </c>
      <c r="I2229">
        <v>364</v>
      </c>
      <c r="J2229">
        <v>1992</v>
      </c>
      <c r="K2229" s="4">
        <v>45364</v>
      </c>
      <c r="L2229" t="s">
        <v>30</v>
      </c>
      <c r="M2229" t="s">
        <v>35</v>
      </c>
      <c r="N2229">
        <v>1.64</v>
      </c>
      <c r="O2229">
        <v>1706</v>
      </c>
      <c r="P2229">
        <v>4.4800000000000004</v>
      </c>
      <c r="Q2229">
        <v>118</v>
      </c>
      <c r="R2229">
        <v>396</v>
      </c>
    </row>
    <row r="2230" spans="1:18" hidden="1" x14ac:dyDescent="0.2">
      <c r="A2230">
        <v>0</v>
      </c>
      <c r="B2230" t="s">
        <v>99</v>
      </c>
      <c r="E2230" t="s">
        <v>29</v>
      </c>
      <c r="F2230">
        <v>1691175</v>
      </c>
      <c r="G2230">
        <v>3</v>
      </c>
      <c r="H2230">
        <v>2</v>
      </c>
      <c r="I2230">
        <v>671</v>
      </c>
      <c r="J2230">
        <v>1993</v>
      </c>
      <c r="K2230" s="4">
        <v>44341</v>
      </c>
      <c r="L2230" t="s">
        <v>30</v>
      </c>
      <c r="M2230" t="s">
        <v>97</v>
      </c>
      <c r="N2230">
        <v>3.26</v>
      </c>
      <c r="O2230">
        <v>1902</v>
      </c>
      <c r="P2230">
        <v>3.39</v>
      </c>
      <c r="Q2230">
        <v>256</v>
      </c>
      <c r="R2230">
        <v>319</v>
      </c>
    </row>
    <row r="2231" spans="1:18" hidden="1" x14ac:dyDescent="0.2">
      <c r="A2231">
        <v>4</v>
      </c>
      <c r="B2231" t="s">
        <v>98</v>
      </c>
      <c r="E2231" t="s">
        <v>19</v>
      </c>
      <c r="F2231">
        <v>484242</v>
      </c>
      <c r="G2231">
        <v>3</v>
      </c>
      <c r="H2231">
        <v>3</v>
      </c>
      <c r="I2231">
        <v>564</v>
      </c>
      <c r="J2231">
        <v>2009</v>
      </c>
      <c r="K2231" s="4">
        <v>44922</v>
      </c>
      <c r="L2231" t="s">
        <v>20</v>
      </c>
      <c r="M2231" t="s">
        <v>85</v>
      </c>
      <c r="N2231">
        <v>1.68</v>
      </c>
      <c r="O2231">
        <v>1688</v>
      </c>
      <c r="P2231">
        <v>4.12</v>
      </c>
      <c r="Q2231">
        <v>225</v>
      </c>
      <c r="R2231">
        <v>658</v>
      </c>
    </row>
    <row r="2232" spans="1:18" hidden="1" x14ac:dyDescent="0.2">
      <c r="A2232">
        <v>3</v>
      </c>
      <c r="B2232" t="s">
        <v>28</v>
      </c>
      <c r="E2232" t="s">
        <v>51</v>
      </c>
      <c r="F2232">
        <v>1011300</v>
      </c>
      <c r="G2232">
        <v>3</v>
      </c>
      <c r="H2232">
        <v>3</v>
      </c>
      <c r="I2232">
        <v>629</v>
      </c>
      <c r="J2232">
        <v>1987</v>
      </c>
      <c r="K2232" s="4">
        <v>44303</v>
      </c>
      <c r="L2232" t="s">
        <v>30</v>
      </c>
      <c r="M2232" t="s">
        <v>76</v>
      </c>
      <c r="N2232">
        <v>1.57</v>
      </c>
      <c r="O2232">
        <v>2131</v>
      </c>
      <c r="P2232">
        <v>1.38</v>
      </c>
      <c r="Q2232">
        <v>179</v>
      </c>
      <c r="R2232">
        <v>306</v>
      </c>
    </row>
    <row r="2233" spans="1:18" hidden="1" x14ac:dyDescent="0.2">
      <c r="A2233">
        <v>2</v>
      </c>
      <c r="B2233" t="s">
        <v>94</v>
      </c>
      <c r="E2233" t="s">
        <v>36</v>
      </c>
      <c r="F2233">
        <v>2591192</v>
      </c>
      <c r="G2233">
        <v>4</v>
      </c>
      <c r="H2233">
        <v>1</v>
      </c>
      <c r="I2233">
        <v>483</v>
      </c>
      <c r="J2233">
        <v>1955</v>
      </c>
      <c r="K2233" s="4">
        <v>45115</v>
      </c>
      <c r="L2233" t="s">
        <v>23</v>
      </c>
      <c r="M2233" t="s">
        <v>52</v>
      </c>
      <c r="N2233">
        <v>3.14</v>
      </c>
      <c r="O2233">
        <v>2226</v>
      </c>
      <c r="P2233">
        <v>3.62</v>
      </c>
      <c r="Q2233">
        <v>193</v>
      </c>
      <c r="R2233">
        <v>419</v>
      </c>
    </row>
    <row r="2234" spans="1:18" hidden="1" x14ac:dyDescent="0.2">
      <c r="A2234">
        <v>1</v>
      </c>
      <c r="B2234" t="s">
        <v>106</v>
      </c>
      <c r="E2234" t="s">
        <v>19</v>
      </c>
      <c r="F2234">
        <v>2278858</v>
      </c>
      <c r="G2234">
        <v>1</v>
      </c>
      <c r="H2234">
        <v>3</v>
      </c>
      <c r="I2234">
        <v>881</v>
      </c>
      <c r="J2234">
        <v>1994</v>
      </c>
      <c r="K2234" s="4">
        <v>44946</v>
      </c>
      <c r="L2234" t="s">
        <v>23</v>
      </c>
      <c r="M2234" t="s">
        <v>42</v>
      </c>
      <c r="N2234">
        <v>2.1</v>
      </c>
      <c r="O2234">
        <v>1827</v>
      </c>
      <c r="P2234">
        <v>0.37</v>
      </c>
      <c r="Q2234">
        <v>112</v>
      </c>
      <c r="R2234">
        <v>697</v>
      </c>
    </row>
    <row r="2235" spans="1:18" hidden="1" x14ac:dyDescent="0.2">
      <c r="A2235">
        <v>0</v>
      </c>
      <c r="B2235" t="s">
        <v>88</v>
      </c>
      <c r="E2235" t="s">
        <v>36</v>
      </c>
      <c r="F2235">
        <v>2290622</v>
      </c>
      <c r="G2235">
        <v>1</v>
      </c>
      <c r="H2235">
        <v>2</v>
      </c>
      <c r="I2235">
        <v>141</v>
      </c>
      <c r="J2235">
        <v>1959</v>
      </c>
      <c r="K2235" s="4">
        <v>45865</v>
      </c>
      <c r="L2235" t="s">
        <v>26</v>
      </c>
      <c r="M2235" t="s">
        <v>68</v>
      </c>
      <c r="N2235">
        <v>3.14</v>
      </c>
      <c r="O2235">
        <v>2321</v>
      </c>
      <c r="P2235">
        <v>2.99</v>
      </c>
      <c r="Q2235">
        <v>127</v>
      </c>
      <c r="R2235">
        <v>368</v>
      </c>
    </row>
    <row r="2236" spans="1:18" hidden="1" x14ac:dyDescent="0.2">
      <c r="A2236">
        <v>4</v>
      </c>
      <c r="B2236" t="s">
        <v>34</v>
      </c>
      <c r="E2236" t="s">
        <v>19</v>
      </c>
      <c r="F2236">
        <v>2532597</v>
      </c>
      <c r="G2236">
        <v>1</v>
      </c>
      <c r="H2236">
        <v>1</v>
      </c>
      <c r="I2236">
        <v>570</v>
      </c>
      <c r="J2236">
        <v>1973</v>
      </c>
      <c r="K2236" s="4">
        <v>44454</v>
      </c>
      <c r="L2236" t="s">
        <v>30</v>
      </c>
      <c r="M2236" t="s">
        <v>58</v>
      </c>
      <c r="N2236">
        <v>2.9</v>
      </c>
      <c r="O2236">
        <v>2103</v>
      </c>
      <c r="P2236">
        <v>2.1800000000000002</v>
      </c>
      <c r="Q2236">
        <v>50</v>
      </c>
      <c r="R2236">
        <v>309</v>
      </c>
    </row>
    <row r="2237" spans="1:18" hidden="1" x14ac:dyDescent="0.2">
      <c r="A2237">
        <v>5</v>
      </c>
      <c r="B2237" t="s">
        <v>50</v>
      </c>
      <c r="E2237" t="s">
        <v>29</v>
      </c>
      <c r="F2237">
        <v>1853626</v>
      </c>
      <c r="G2237">
        <v>3</v>
      </c>
      <c r="H2237">
        <v>2</v>
      </c>
      <c r="I2237">
        <v>80</v>
      </c>
      <c r="J2237">
        <v>1962</v>
      </c>
      <c r="K2237" s="4">
        <v>45544</v>
      </c>
      <c r="L2237" t="s">
        <v>30</v>
      </c>
      <c r="M2237" t="s">
        <v>66</v>
      </c>
      <c r="N2237">
        <v>2.21</v>
      </c>
      <c r="O2237">
        <v>988</v>
      </c>
      <c r="P2237">
        <v>2.63</v>
      </c>
      <c r="Q2237">
        <v>275</v>
      </c>
      <c r="R2237">
        <v>597</v>
      </c>
    </row>
    <row r="2238" spans="1:18" hidden="1" x14ac:dyDescent="0.2">
      <c r="A2238">
        <v>3</v>
      </c>
      <c r="B2238" t="s">
        <v>99</v>
      </c>
      <c r="E2238" t="s">
        <v>19</v>
      </c>
      <c r="F2238">
        <v>2776850</v>
      </c>
      <c r="G2238">
        <v>5</v>
      </c>
      <c r="H2238">
        <v>1</v>
      </c>
      <c r="I2238">
        <v>780</v>
      </c>
      <c r="J2238">
        <v>1974</v>
      </c>
      <c r="K2238" s="4">
        <v>45537</v>
      </c>
      <c r="L2238" t="s">
        <v>23</v>
      </c>
      <c r="M2238" t="s">
        <v>60</v>
      </c>
      <c r="N2238">
        <v>2.92</v>
      </c>
      <c r="O2238">
        <v>1218</v>
      </c>
      <c r="P2238">
        <v>3.69</v>
      </c>
      <c r="Q2238">
        <v>389</v>
      </c>
      <c r="R2238">
        <v>344</v>
      </c>
    </row>
    <row r="2239" spans="1:18" hidden="1" x14ac:dyDescent="0.2">
      <c r="A2239">
        <v>9</v>
      </c>
      <c r="B2239" t="s">
        <v>43</v>
      </c>
      <c r="E2239" t="s">
        <v>29</v>
      </c>
      <c r="F2239">
        <v>2323664</v>
      </c>
      <c r="G2239">
        <v>3</v>
      </c>
      <c r="H2239">
        <v>2</v>
      </c>
      <c r="I2239">
        <v>777</v>
      </c>
      <c r="J2239">
        <v>1950</v>
      </c>
      <c r="K2239" s="4">
        <v>45885</v>
      </c>
      <c r="L2239" t="s">
        <v>23</v>
      </c>
      <c r="M2239" t="s">
        <v>82</v>
      </c>
      <c r="N2239">
        <v>3.48</v>
      </c>
      <c r="O2239">
        <v>883</v>
      </c>
      <c r="P2239">
        <v>4.2300000000000004</v>
      </c>
      <c r="Q2239">
        <v>143</v>
      </c>
      <c r="R2239">
        <v>477</v>
      </c>
    </row>
    <row r="2240" spans="1:18" hidden="1" x14ac:dyDescent="0.2">
      <c r="A2240">
        <v>4</v>
      </c>
      <c r="B2240" t="s">
        <v>98</v>
      </c>
      <c r="E2240" t="s">
        <v>19</v>
      </c>
      <c r="F2240">
        <v>2834177</v>
      </c>
      <c r="G2240">
        <v>4</v>
      </c>
      <c r="H2240">
        <v>3</v>
      </c>
      <c r="I2240">
        <v>943</v>
      </c>
      <c r="J2240">
        <v>1955</v>
      </c>
      <c r="K2240" s="4">
        <v>45480</v>
      </c>
      <c r="L2240" t="s">
        <v>23</v>
      </c>
      <c r="M2240" t="s">
        <v>70</v>
      </c>
      <c r="N2240">
        <v>2.84</v>
      </c>
      <c r="O2240">
        <v>2416</v>
      </c>
      <c r="P2240">
        <v>2.31</v>
      </c>
      <c r="Q2240">
        <v>369</v>
      </c>
      <c r="R2240">
        <v>368</v>
      </c>
    </row>
    <row r="2241" spans="1:18" hidden="1" x14ac:dyDescent="0.2">
      <c r="A2241">
        <v>7</v>
      </c>
      <c r="B2241" t="s">
        <v>94</v>
      </c>
      <c r="E2241" t="s">
        <v>36</v>
      </c>
      <c r="F2241">
        <v>2829399</v>
      </c>
      <c r="G2241">
        <v>1</v>
      </c>
      <c r="H2241">
        <v>3</v>
      </c>
      <c r="I2241">
        <v>891</v>
      </c>
      <c r="J2241">
        <v>2001</v>
      </c>
      <c r="K2241" s="4">
        <v>45713</v>
      </c>
      <c r="L2241" t="s">
        <v>30</v>
      </c>
      <c r="M2241" t="s">
        <v>31</v>
      </c>
      <c r="N2241">
        <v>2.57</v>
      </c>
      <c r="O2241">
        <v>1182</v>
      </c>
      <c r="P2241">
        <v>0.39</v>
      </c>
      <c r="Q2241">
        <v>94</v>
      </c>
      <c r="R2241">
        <v>356</v>
      </c>
    </row>
    <row r="2242" spans="1:18" hidden="1" x14ac:dyDescent="0.2">
      <c r="A2242">
        <v>2</v>
      </c>
      <c r="B2242" t="s">
        <v>48</v>
      </c>
      <c r="E2242" t="s">
        <v>51</v>
      </c>
      <c r="F2242">
        <v>1008120</v>
      </c>
      <c r="G2242">
        <v>3</v>
      </c>
      <c r="H2242">
        <v>1</v>
      </c>
      <c r="I2242">
        <v>692</v>
      </c>
      <c r="J2242">
        <v>1979</v>
      </c>
      <c r="K2242" s="4">
        <v>44072</v>
      </c>
      <c r="L2242" t="s">
        <v>20</v>
      </c>
      <c r="M2242" t="s">
        <v>40</v>
      </c>
      <c r="N2242">
        <v>2.41</v>
      </c>
      <c r="O2242">
        <v>2127</v>
      </c>
      <c r="P2242">
        <v>4.58</v>
      </c>
      <c r="Q2242">
        <v>249</v>
      </c>
      <c r="R2242">
        <v>398</v>
      </c>
    </row>
    <row r="2243" spans="1:18" hidden="1" x14ac:dyDescent="0.2">
      <c r="A2243">
        <v>3</v>
      </c>
      <c r="B2243" t="s">
        <v>55</v>
      </c>
      <c r="E2243" t="s">
        <v>36</v>
      </c>
      <c r="F2243">
        <v>2212705</v>
      </c>
      <c r="G2243">
        <v>3</v>
      </c>
      <c r="H2243">
        <v>2</v>
      </c>
      <c r="I2243">
        <v>667</v>
      </c>
      <c r="J2243">
        <v>2012</v>
      </c>
      <c r="K2243" s="4">
        <v>44440</v>
      </c>
      <c r="L2243" t="s">
        <v>23</v>
      </c>
      <c r="M2243" t="s">
        <v>52</v>
      </c>
      <c r="N2243">
        <v>2.13</v>
      </c>
      <c r="O2243">
        <v>1730</v>
      </c>
      <c r="P2243">
        <v>1.76</v>
      </c>
      <c r="Q2243">
        <v>141</v>
      </c>
      <c r="R2243">
        <v>370</v>
      </c>
    </row>
    <row r="2244" spans="1:18" hidden="1" x14ac:dyDescent="0.2">
      <c r="A2244">
        <v>0</v>
      </c>
      <c r="B2244" t="s">
        <v>50</v>
      </c>
      <c r="E2244" t="s">
        <v>51</v>
      </c>
      <c r="F2244">
        <v>1858147</v>
      </c>
      <c r="G2244">
        <v>5</v>
      </c>
      <c r="H2244">
        <v>2</v>
      </c>
      <c r="I2244">
        <v>917</v>
      </c>
      <c r="J2244">
        <v>1954</v>
      </c>
      <c r="K2244" s="4">
        <v>44971</v>
      </c>
      <c r="L2244" t="s">
        <v>26</v>
      </c>
      <c r="M2244" t="s">
        <v>56</v>
      </c>
      <c r="N2244">
        <v>2.7</v>
      </c>
      <c r="O2244">
        <v>1308</v>
      </c>
      <c r="P2244">
        <v>3.36</v>
      </c>
      <c r="Q2244">
        <v>296</v>
      </c>
      <c r="R2244">
        <v>492</v>
      </c>
    </row>
    <row r="2245" spans="1:18" hidden="1" x14ac:dyDescent="0.2">
      <c r="A2245">
        <v>3</v>
      </c>
      <c r="B2245" t="s">
        <v>75</v>
      </c>
      <c r="E2245" t="s">
        <v>19</v>
      </c>
      <c r="F2245">
        <v>2854122</v>
      </c>
      <c r="G2245">
        <v>1</v>
      </c>
      <c r="H2245">
        <v>3</v>
      </c>
      <c r="I2245">
        <v>957</v>
      </c>
      <c r="J2245">
        <v>1955</v>
      </c>
      <c r="K2245" s="4">
        <v>45840</v>
      </c>
      <c r="L2245" t="s">
        <v>26</v>
      </c>
      <c r="M2245" t="s">
        <v>35</v>
      </c>
      <c r="N2245">
        <v>2.67</v>
      </c>
      <c r="O2245">
        <v>1307</v>
      </c>
      <c r="P2245">
        <v>3.78</v>
      </c>
      <c r="Q2245">
        <v>152</v>
      </c>
      <c r="R2245">
        <v>392</v>
      </c>
    </row>
    <row r="2246" spans="1:18" hidden="1" x14ac:dyDescent="0.2">
      <c r="A2246">
        <v>3</v>
      </c>
      <c r="B2246" t="s">
        <v>93</v>
      </c>
      <c r="E2246" t="s">
        <v>29</v>
      </c>
      <c r="F2246">
        <v>2169406</v>
      </c>
      <c r="G2246">
        <v>4</v>
      </c>
      <c r="H2246">
        <v>1</v>
      </c>
      <c r="I2246">
        <v>802</v>
      </c>
      <c r="J2246">
        <v>1956</v>
      </c>
      <c r="K2246" s="4">
        <v>44533</v>
      </c>
      <c r="L2246" t="s">
        <v>26</v>
      </c>
      <c r="M2246" t="s">
        <v>68</v>
      </c>
      <c r="N2246">
        <v>1.64</v>
      </c>
      <c r="O2246">
        <v>2084</v>
      </c>
      <c r="P2246">
        <v>0.42</v>
      </c>
      <c r="Q2246">
        <v>342</v>
      </c>
      <c r="R2246">
        <v>656</v>
      </c>
    </row>
    <row r="2247" spans="1:18" hidden="1" x14ac:dyDescent="0.2">
      <c r="A2247">
        <v>4</v>
      </c>
      <c r="B2247" t="s">
        <v>90</v>
      </c>
      <c r="E2247" t="s">
        <v>51</v>
      </c>
      <c r="F2247">
        <v>2626823</v>
      </c>
      <c r="G2247">
        <v>1</v>
      </c>
      <c r="H2247">
        <v>2</v>
      </c>
      <c r="I2247">
        <v>279</v>
      </c>
      <c r="J2247">
        <v>1976</v>
      </c>
      <c r="K2247" s="4">
        <v>44301</v>
      </c>
      <c r="L2247" t="s">
        <v>20</v>
      </c>
      <c r="M2247" t="s">
        <v>97</v>
      </c>
      <c r="N2247">
        <v>2.4300000000000002</v>
      </c>
      <c r="O2247">
        <v>2059</v>
      </c>
      <c r="P2247">
        <v>3.11</v>
      </c>
      <c r="Q2247">
        <v>137</v>
      </c>
      <c r="R2247">
        <v>557</v>
      </c>
    </row>
    <row r="2248" spans="1:18" hidden="1" x14ac:dyDescent="0.2">
      <c r="A2248">
        <v>9</v>
      </c>
      <c r="B2248" t="s">
        <v>34</v>
      </c>
      <c r="E2248" t="s">
        <v>29</v>
      </c>
      <c r="F2248">
        <v>1897479</v>
      </c>
      <c r="G2248">
        <v>5</v>
      </c>
      <c r="H2248">
        <v>3</v>
      </c>
      <c r="I2248">
        <v>539</v>
      </c>
      <c r="J2248">
        <v>1987</v>
      </c>
      <c r="K2248" s="4">
        <v>45308</v>
      </c>
      <c r="L2248" t="s">
        <v>26</v>
      </c>
      <c r="M2248" t="s">
        <v>76</v>
      </c>
      <c r="N2248">
        <v>3.36</v>
      </c>
      <c r="O2248">
        <v>1608</v>
      </c>
      <c r="P2248">
        <v>3.57</v>
      </c>
      <c r="Q2248">
        <v>362</v>
      </c>
      <c r="R2248">
        <v>625</v>
      </c>
    </row>
    <row r="2249" spans="1:18" hidden="1" x14ac:dyDescent="0.2">
      <c r="A2249">
        <v>0</v>
      </c>
      <c r="B2249" t="s">
        <v>46</v>
      </c>
      <c r="E2249" t="s">
        <v>36</v>
      </c>
      <c r="F2249">
        <v>480084</v>
      </c>
      <c r="G2249">
        <v>2</v>
      </c>
      <c r="H2249">
        <v>3</v>
      </c>
      <c r="I2249">
        <v>940</v>
      </c>
      <c r="J2249">
        <v>1958</v>
      </c>
      <c r="K2249" s="4">
        <v>45269</v>
      </c>
      <c r="L2249" t="s">
        <v>20</v>
      </c>
      <c r="M2249" t="s">
        <v>24</v>
      </c>
      <c r="N2249">
        <v>2.06</v>
      </c>
      <c r="O2249">
        <v>2127</v>
      </c>
      <c r="P2249">
        <v>1.85</v>
      </c>
      <c r="Q2249">
        <v>154</v>
      </c>
      <c r="R2249">
        <v>664</v>
      </c>
    </row>
    <row r="2250" spans="1:18" hidden="1" x14ac:dyDescent="0.2">
      <c r="A2250">
        <v>5</v>
      </c>
      <c r="B2250" t="s">
        <v>67</v>
      </c>
      <c r="E2250" t="s">
        <v>51</v>
      </c>
      <c r="F2250">
        <v>2624270</v>
      </c>
      <c r="G2250">
        <v>1</v>
      </c>
      <c r="H2250">
        <v>1</v>
      </c>
      <c r="I2250">
        <v>562</v>
      </c>
      <c r="J2250">
        <v>1965</v>
      </c>
      <c r="K2250" s="4">
        <v>45498</v>
      </c>
      <c r="L2250" t="s">
        <v>23</v>
      </c>
      <c r="M2250" t="s">
        <v>35</v>
      </c>
      <c r="N2250">
        <v>1.95</v>
      </c>
      <c r="O2250">
        <v>1505</v>
      </c>
      <c r="P2250">
        <v>2.5499999999999998</v>
      </c>
      <c r="Q2250">
        <v>134</v>
      </c>
      <c r="R2250">
        <v>670</v>
      </c>
    </row>
    <row r="2251" spans="1:18" hidden="1" x14ac:dyDescent="0.2">
      <c r="A2251">
        <v>2</v>
      </c>
      <c r="B2251" t="s">
        <v>92</v>
      </c>
      <c r="E2251" t="s">
        <v>36</v>
      </c>
      <c r="F2251">
        <v>1035834</v>
      </c>
      <c r="G2251">
        <v>2</v>
      </c>
      <c r="H2251">
        <v>1</v>
      </c>
      <c r="I2251">
        <v>786</v>
      </c>
      <c r="J2251">
        <v>1991</v>
      </c>
      <c r="K2251" s="4">
        <v>44601</v>
      </c>
      <c r="L2251" t="s">
        <v>23</v>
      </c>
      <c r="M2251" t="s">
        <v>68</v>
      </c>
      <c r="N2251">
        <v>2.4300000000000002</v>
      </c>
      <c r="O2251">
        <v>809</v>
      </c>
      <c r="P2251">
        <v>4.8600000000000003</v>
      </c>
      <c r="Q2251">
        <v>169</v>
      </c>
      <c r="R2251">
        <v>645</v>
      </c>
    </row>
    <row r="2252" spans="1:18" x14ac:dyDescent="0.2">
      <c r="A2252">
        <v>8</v>
      </c>
      <c r="B2252" t="s">
        <v>46</v>
      </c>
      <c r="E2252" t="s">
        <v>19</v>
      </c>
      <c r="F2252">
        <v>1839764</v>
      </c>
      <c r="G2252">
        <v>2</v>
      </c>
      <c r="H2252">
        <v>2</v>
      </c>
      <c r="I2252">
        <v>689</v>
      </c>
      <c r="J2252">
        <v>1987</v>
      </c>
      <c r="K2252" s="4">
        <v>44204</v>
      </c>
      <c r="L2252" t="s">
        <v>23</v>
      </c>
      <c r="M2252" t="s">
        <v>45</v>
      </c>
      <c r="N2252">
        <v>2.81</v>
      </c>
      <c r="O2252">
        <v>1041</v>
      </c>
      <c r="P2252">
        <v>2.0099999999999998</v>
      </c>
      <c r="Q2252">
        <v>121</v>
      </c>
      <c r="R2252">
        <v>515</v>
      </c>
    </row>
    <row r="2253" spans="1:18" hidden="1" x14ac:dyDescent="0.2">
      <c r="A2253">
        <v>3</v>
      </c>
      <c r="B2253" t="s">
        <v>104</v>
      </c>
      <c r="E2253" t="s">
        <v>19</v>
      </c>
      <c r="F2253">
        <v>618910</v>
      </c>
      <c r="G2253">
        <v>5</v>
      </c>
      <c r="H2253">
        <v>1</v>
      </c>
      <c r="I2253">
        <v>350</v>
      </c>
      <c r="J2253">
        <v>1958</v>
      </c>
      <c r="K2253" s="4">
        <v>44741</v>
      </c>
      <c r="L2253" t="s">
        <v>20</v>
      </c>
      <c r="M2253" t="s">
        <v>58</v>
      </c>
      <c r="N2253">
        <v>1.68</v>
      </c>
      <c r="O2253">
        <v>1003</v>
      </c>
      <c r="P2253">
        <v>2.77</v>
      </c>
      <c r="Q2253">
        <v>330</v>
      </c>
      <c r="R2253">
        <v>581</v>
      </c>
    </row>
    <row r="2254" spans="1:18" hidden="1" x14ac:dyDescent="0.2">
      <c r="A2254">
        <v>2</v>
      </c>
      <c r="B2254" t="s">
        <v>62</v>
      </c>
      <c r="E2254" t="s">
        <v>36</v>
      </c>
      <c r="F2254">
        <v>939804</v>
      </c>
      <c r="G2254">
        <v>4</v>
      </c>
      <c r="H2254">
        <v>3</v>
      </c>
      <c r="I2254">
        <v>69</v>
      </c>
      <c r="J2254">
        <v>2017</v>
      </c>
      <c r="K2254" s="4">
        <v>44508</v>
      </c>
      <c r="L2254" t="s">
        <v>20</v>
      </c>
      <c r="M2254" t="s">
        <v>69</v>
      </c>
      <c r="N2254">
        <v>3.33</v>
      </c>
      <c r="O2254">
        <v>1824</v>
      </c>
      <c r="P2254">
        <v>3.74</v>
      </c>
      <c r="Q2254">
        <v>236</v>
      </c>
      <c r="R2254">
        <v>603</v>
      </c>
    </row>
    <row r="2255" spans="1:18" hidden="1" x14ac:dyDescent="0.2">
      <c r="A2255">
        <v>7</v>
      </c>
      <c r="B2255" t="s">
        <v>18</v>
      </c>
      <c r="E2255" t="s">
        <v>19</v>
      </c>
      <c r="F2255">
        <v>2236992</v>
      </c>
      <c r="G2255">
        <v>5</v>
      </c>
      <c r="H2255">
        <v>2</v>
      </c>
      <c r="I2255">
        <v>770</v>
      </c>
      <c r="J2255">
        <v>1997</v>
      </c>
      <c r="K2255" s="4">
        <v>44278</v>
      </c>
      <c r="L2255" t="s">
        <v>23</v>
      </c>
      <c r="M2255" t="s">
        <v>77</v>
      </c>
      <c r="N2255">
        <v>1.95</v>
      </c>
      <c r="O2255">
        <v>1788</v>
      </c>
      <c r="P2255">
        <v>2.85</v>
      </c>
      <c r="Q2255">
        <v>369</v>
      </c>
      <c r="R2255">
        <v>662</v>
      </c>
    </row>
    <row r="2256" spans="1:18" hidden="1" x14ac:dyDescent="0.2">
      <c r="A2256">
        <v>1</v>
      </c>
      <c r="B2256" t="s">
        <v>92</v>
      </c>
      <c r="E2256" t="s">
        <v>29</v>
      </c>
      <c r="F2256">
        <v>512244</v>
      </c>
      <c r="G2256">
        <v>4</v>
      </c>
      <c r="H2256">
        <v>1</v>
      </c>
      <c r="I2256">
        <v>338</v>
      </c>
      <c r="J2256">
        <v>1968</v>
      </c>
      <c r="K2256" s="4">
        <v>45548</v>
      </c>
      <c r="L2256" t="s">
        <v>23</v>
      </c>
      <c r="M2256" t="s">
        <v>68</v>
      </c>
      <c r="N2256">
        <v>1.86</v>
      </c>
      <c r="O2256">
        <v>1229</v>
      </c>
      <c r="P2256">
        <v>3.14</v>
      </c>
      <c r="Q2256">
        <v>377</v>
      </c>
      <c r="R2256">
        <v>545</v>
      </c>
    </row>
    <row r="2257" spans="1:18" hidden="1" x14ac:dyDescent="0.2">
      <c r="A2257">
        <v>2</v>
      </c>
      <c r="B2257" t="s">
        <v>25</v>
      </c>
      <c r="E2257" t="s">
        <v>51</v>
      </c>
      <c r="F2257">
        <v>2518426</v>
      </c>
      <c r="G2257">
        <v>3</v>
      </c>
      <c r="H2257">
        <v>1</v>
      </c>
      <c r="I2257">
        <v>932</v>
      </c>
      <c r="J2257">
        <v>1986</v>
      </c>
      <c r="K2257" s="4">
        <v>44625</v>
      </c>
      <c r="L2257" t="s">
        <v>26</v>
      </c>
      <c r="M2257" t="s">
        <v>27</v>
      </c>
      <c r="N2257">
        <v>3.25</v>
      </c>
      <c r="O2257">
        <v>1580</v>
      </c>
      <c r="P2257">
        <v>3.04</v>
      </c>
      <c r="Q2257">
        <v>112</v>
      </c>
      <c r="R2257">
        <v>344</v>
      </c>
    </row>
    <row r="2258" spans="1:18" x14ac:dyDescent="0.2">
      <c r="A2258">
        <v>8</v>
      </c>
      <c r="B2258" t="s">
        <v>64</v>
      </c>
      <c r="E2258" t="s">
        <v>36</v>
      </c>
      <c r="F2258">
        <v>1779935</v>
      </c>
      <c r="G2258">
        <v>3</v>
      </c>
      <c r="H2258">
        <v>3</v>
      </c>
      <c r="I2258">
        <v>399</v>
      </c>
      <c r="J2258">
        <v>1967</v>
      </c>
      <c r="K2258" s="4">
        <v>44253</v>
      </c>
      <c r="L2258" t="s">
        <v>20</v>
      </c>
      <c r="M2258" t="s">
        <v>56</v>
      </c>
      <c r="N2258">
        <v>3.25</v>
      </c>
      <c r="O2258">
        <v>1274</v>
      </c>
      <c r="P2258">
        <v>1.19</v>
      </c>
      <c r="Q2258">
        <v>131</v>
      </c>
      <c r="R2258">
        <v>687</v>
      </c>
    </row>
    <row r="2259" spans="1:18" hidden="1" x14ac:dyDescent="0.2">
      <c r="A2259">
        <v>7</v>
      </c>
      <c r="B2259" t="s">
        <v>25</v>
      </c>
      <c r="E2259" t="s">
        <v>51</v>
      </c>
      <c r="F2259">
        <v>1474876</v>
      </c>
      <c r="G2259">
        <v>6</v>
      </c>
      <c r="H2259">
        <v>3</v>
      </c>
      <c r="I2259">
        <v>193</v>
      </c>
      <c r="J2259">
        <v>1969</v>
      </c>
      <c r="K2259" s="4">
        <v>44450</v>
      </c>
      <c r="L2259" t="s">
        <v>30</v>
      </c>
      <c r="M2259" t="s">
        <v>47</v>
      </c>
      <c r="N2259">
        <v>3.44</v>
      </c>
      <c r="O2259">
        <v>2084</v>
      </c>
      <c r="P2259">
        <v>3.7</v>
      </c>
      <c r="Q2259">
        <v>339</v>
      </c>
      <c r="R2259">
        <v>367</v>
      </c>
    </row>
    <row r="2260" spans="1:18" hidden="1" x14ac:dyDescent="0.2">
      <c r="A2260">
        <v>3</v>
      </c>
      <c r="B2260" t="s">
        <v>98</v>
      </c>
      <c r="E2260" t="s">
        <v>19</v>
      </c>
      <c r="F2260">
        <v>2079637</v>
      </c>
      <c r="G2260">
        <v>2</v>
      </c>
      <c r="H2260">
        <v>3</v>
      </c>
      <c r="I2260">
        <v>871</v>
      </c>
      <c r="J2260">
        <v>1961</v>
      </c>
      <c r="K2260" s="4">
        <v>45306</v>
      </c>
      <c r="L2260" t="s">
        <v>26</v>
      </c>
      <c r="M2260" t="s">
        <v>21</v>
      </c>
      <c r="N2260">
        <v>2.35</v>
      </c>
      <c r="O2260">
        <v>1326</v>
      </c>
      <c r="P2260">
        <v>1.25</v>
      </c>
      <c r="Q2260">
        <v>151</v>
      </c>
      <c r="R2260">
        <v>522</v>
      </c>
    </row>
    <row r="2261" spans="1:18" hidden="1" x14ac:dyDescent="0.2">
      <c r="A2261">
        <v>6</v>
      </c>
      <c r="B2261" t="s">
        <v>81</v>
      </c>
      <c r="E2261" t="s">
        <v>51</v>
      </c>
      <c r="F2261">
        <v>2115389</v>
      </c>
      <c r="G2261">
        <v>3</v>
      </c>
      <c r="H2261">
        <v>2</v>
      </c>
      <c r="I2261">
        <v>747</v>
      </c>
      <c r="J2261">
        <v>1998</v>
      </c>
      <c r="K2261" s="4">
        <v>45491</v>
      </c>
      <c r="L2261" t="s">
        <v>20</v>
      </c>
      <c r="M2261" t="s">
        <v>70</v>
      </c>
      <c r="N2261">
        <v>1.57</v>
      </c>
      <c r="O2261">
        <v>2266</v>
      </c>
      <c r="P2261">
        <v>3.29</v>
      </c>
      <c r="Q2261">
        <v>312</v>
      </c>
      <c r="R2261">
        <v>620</v>
      </c>
    </row>
    <row r="2262" spans="1:18" hidden="1" x14ac:dyDescent="0.2">
      <c r="A2262">
        <v>2</v>
      </c>
      <c r="B2262" t="s">
        <v>75</v>
      </c>
      <c r="E2262" t="s">
        <v>19</v>
      </c>
      <c r="F2262">
        <v>1982889</v>
      </c>
      <c r="G2262">
        <v>3</v>
      </c>
      <c r="H2262">
        <v>3</v>
      </c>
      <c r="I2262">
        <v>698</v>
      </c>
      <c r="J2262">
        <v>2021</v>
      </c>
      <c r="K2262" s="4">
        <v>45840</v>
      </c>
      <c r="L2262" t="s">
        <v>26</v>
      </c>
      <c r="M2262" t="s">
        <v>24</v>
      </c>
      <c r="N2262">
        <v>2.04</v>
      </c>
      <c r="O2262">
        <v>2179</v>
      </c>
      <c r="P2262">
        <v>2.1800000000000002</v>
      </c>
      <c r="Q2262">
        <v>190</v>
      </c>
      <c r="R2262">
        <v>565</v>
      </c>
    </row>
    <row r="2263" spans="1:18" hidden="1" x14ac:dyDescent="0.2">
      <c r="A2263">
        <v>9</v>
      </c>
      <c r="B2263" t="s">
        <v>32</v>
      </c>
      <c r="E2263" t="s">
        <v>51</v>
      </c>
      <c r="F2263">
        <v>2622329</v>
      </c>
      <c r="G2263">
        <v>3</v>
      </c>
      <c r="H2263">
        <v>1</v>
      </c>
      <c r="I2263">
        <v>995</v>
      </c>
      <c r="J2263">
        <v>1961</v>
      </c>
      <c r="K2263" s="4">
        <v>45566</v>
      </c>
      <c r="L2263" t="s">
        <v>23</v>
      </c>
      <c r="M2263" t="s">
        <v>63</v>
      </c>
      <c r="N2263">
        <v>3.32</v>
      </c>
      <c r="O2263">
        <v>1199</v>
      </c>
      <c r="P2263">
        <v>4.1100000000000003</v>
      </c>
      <c r="Q2263">
        <v>194</v>
      </c>
      <c r="R2263">
        <v>586</v>
      </c>
    </row>
    <row r="2264" spans="1:18" hidden="1" x14ac:dyDescent="0.2">
      <c r="A2264">
        <v>2</v>
      </c>
      <c r="B2264" t="s">
        <v>88</v>
      </c>
      <c r="E2264" t="s">
        <v>36</v>
      </c>
      <c r="F2264">
        <v>1413948</v>
      </c>
      <c r="G2264">
        <v>4</v>
      </c>
      <c r="H2264">
        <v>1</v>
      </c>
      <c r="I2264">
        <v>156</v>
      </c>
      <c r="J2264">
        <v>1976</v>
      </c>
      <c r="K2264" s="4">
        <v>44161</v>
      </c>
      <c r="L2264" t="s">
        <v>30</v>
      </c>
      <c r="M2264" t="s">
        <v>66</v>
      </c>
      <c r="N2264">
        <v>1.89</v>
      </c>
      <c r="O2264">
        <v>1669</v>
      </c>
      <c r="P2264">
        <v>1.07</v>
      </c>
      <c r="Q2264">
        <v>370</v>
      </c>
      <c r="R2264">
        <v>377</v>
      </c>
    </row>
    <row r="2265" spans="1:18" hidden="1" x14ac:dyDescent="0.2">
      <c r="A2265">
        <v>2</v>
      </c>
      <c r="B2265" t="s">
        <v>101</v>
      </c>
      <c r="E2265" t="s">
        <v>29</v>
      </c>
      <c r="F2265">
        <v>1348741</v>
      </c>
      <c r="G2265">
        <v>1</v>
      </c>
      <c r="H2265">
        <v>1</v>
      </c>
      <c r="I2265">
        <v>471</v>
      </c>
      <c r="J2265">
        <v>1976</v>
      </c>
      <c r="K2265" s="4">
        <v>45125</v>
      </c>
      <c r="L2265" t="s">
        <v>26</v>
      </c>
      <c r="M2265" t="s">
        <v>70</v>
      </c>
      <c r="N2265">
        <v>2.29</v>
      </c>
      <c r="O2265">
        <v>1471</v>
      </c>
      <c r="P2265">
        <v>4.2</v>
      </c>
      <c r="Q2265">
        <v>104</v>
      </c>
      <c r="R2265">
        <v>670</v>
      </c>
    </row>
    <row r="2266" spans="1:18" hidden="1" x14ac:dyDescent="0.2">
      <c r="A2266">
        <v>0</v>
      </c>
      <c r="B2266" t="s">
        <v>99</v>
      </c>
      <c r="E2266" t="s">
        <v>29</v>
      </c>
      <c r="F2266">
        <v>2395636</v>
      </c>
      <c r="G2266">
        <v>5</v>
      </c>
      <c r="H2266">
        <v>3</v>
      </c>
      <c r="I2266">
        <v>615</v>
      </c>
      <c r="J2266">
        <v>2022</v>
      </c>
      <c r="K2266" s="4">
        <v>45410</v>
      </c>
      <c r="L2266" t="s">
        <v>26</v>
      </c>
      <c r="M2266" t="s">
        <v>69</v>
      </c>
      <c r="N2266">
        <v>1.59</v>
      </c>
      <c r="O2266">
        <v>1658</v>
      </c>
      <c r="P2266">
        <v>3.15</v>
      </c>
      <c r="Q2266">
        <v>250</v>
      </c>
      <c r="R2266">
        <v>689</v>
      </c>
    </row>
    <row r="2267" spans="1:18" hidden="1" x14ac:dyDescent="0.2">
      <c r="A2267">
        <v>5</v>
      </c>
      <c r="B2267" t="s">
        <v>93</v>
      </c>
      <c r="E2267" t="s">
        <v>19</v>
      </c>
      <c r="F2267">
        <v>651942</v>
      </c>
      <c r="G2267">
        <v>5</v>
      </c>
      <c r="H2267">
        <v>3</v>
      </c>
      <c r="I2267">
        <v>615</v>
      </c>
      <c r="J2267">
        <v>1975</v>
      </c>
      <c r="K2267" s="4">
        <v>44177</v>
      </c>
      <c r="L2267" t="s">
        <v>30</v>
      </c>
      <c r="M2267" t="s">
        <v>59</v>
      </c>
      <c r="N2267">
        <v>2.92</v>
      </c>
      <c r="O2267">
        <v>2266</v>
      </c>
      <c r="P2267">
        <v>3.98</v>
      </c>
      <c r="Q2267">
        <v>270</v>
      </c>
      <c r="R2267">
        <v>310</v>
      </c>
    </row>
    <row r="2268" spans="1:18" hidden="1" x14ac:dyDescent="0.2">
      <c r="A2268">
        <v>7</v>
      </c>
      <c r="B2268" t="s">
        <v>55</v>
      </c>
      <c r="E2268" t="s">
        <v>36</v>
      </c>
      <c r="F2268">
        <v>1160664</v>
      </c>
      <c r="G2268">
        <v>4</v>
      </c>
      <c r="H2268">
        <v>1</v>
      </c>
      <c r="I2268">
        <v>213</v>
      </c>
      <c r="J2268">
        <v>1960</v>
      </c>
      <c r="K2268" s="4">
        <v>44449</v>
      </c>
      <c r="L2268" t="s">
        <v>26</v>
      </c>
      <c r="M2268" t="s">
        <v>45</v>
      </c>
      <c r="N2268">
        <v>2.41</v>
      </c>
      <c r="O2268">
        <v>1596</v>
      </c>
      <c r="P2268">
        <v>3.53</v>
      </c>
      <c r="Q2268">
        <v>278</v>
      </c>
      <c r="R2268">
        <v>417</v>
      </c>
    </row>
    <row r="2269" spans="1:18" hidden="1" x14ac:dyDescent="0.2">
      <c r="A2269">
        <v>2</v>
      </c>
      <c r="B2269" t="s">
        <v>100</v>
      </c>
      <c r="E2269" t="s">
        <v>19</v>
      </c>
      <c r="F2269">
        <v>1263308</v>
      </c>
      <c r="G2269">
        <v>5</v>
      </c>
      <c r="H2269">
        <v>2</v>
      </c>
      <c r="I2269">
        <v>170</v>
      </c>
      <c r="J2269">
        <v>1992</v>
      </c>
      <c r="K2269" s="4">
        <v>45806</v>
      </c>
      <c r="L2269" t="s">
        <v>30</v>
      </c>
      <c r="M2269" t="s">
        <v>56</v>
      </c>
      <c r="N2269">
        <v>3.07</v>
      </c>
      <c r="O2269">
        <v>2468</v>
      </c>
      <c r="P2269">
        <v>1.84</v>
      </c>
      <c r="Q2269">
        <v>322</v>
      </c>
      <c r="R2269">
        <v>457</v>
      </c>
    </row>
    <row r="2270" spans="1:18" hidden="1" x14ac:dyDescent="0.2">
      <c r="A2270">
        <v>2</v>
      </c>
      <c r="B2270" t="s">
        <v>79</v>
      </c>
      <c r="E2270" t="s">
        <v>19</v>
      </c>
      <c r="F2270">
        <v>714609</v>
      </c>
      <c r="G2270">
        <v>2</v>
      </c>
      <c r="H2270">
        <v>1</v>
      </c>
      <c r="I2270">
        <v>298</v>
      </c>
      <c r="J2270">
        <v>2015</v>
      </c>
      <c r="K2270" s="4">
        <v>45155</v>
      </c>
      <c r="L2270" t="s">
        <v>30</v>
      </c>
      <c r="M2270" t="s">
        <v>70</v>
      </c>
      <c r="N2270">
        <v>1.53</v>
      </c>
      <c r="O2270">
        <v>1970</v>
      </c>
      <c r="P2270">
        <v>4.24</v>
      </c>
      <c r="Q2270">
        <v>221</v>
      </c>
      <c r="R2270">
        <v>668</v>
      </c>
    </row>
    <row r="2271" spans="1:18" hidden="1" x14ac:dyDescent="0.2">
      <c r="A2271">
        <v>9</v>
      </c>
      <c r="B2271" t="s">
        <v>84</v>
      </c>
      <c r="E2271" t="s">
        <v>51</v>
      </c>
      <c r="F2271">
        <v>1910032</v>
      </c>
      <c r="G2271">
        <v>3</v>
      </c>
      <c r="H2271">
        <v>2</v>
      </c>
      <c r="I2271">
        <v>103</v>
      </c>
      <c r="J2271">
        <v>1971</v>
      </c>
      <c r="K2271" s="4">
        <v>44463</v>
      </c>
      <c r="L2271" t="s">
        <v>20</v>
      </c>
      <c r="M2271" t="s">
        <v>58</v>
      </c>
      <c r="N2271">
        <v>1.69</v>
      </c>
      <c r="O2271">
        <v>2183</v>
      </c>
      <c r="P2271">
        <v>4.7300000000000004</v>
      </c>
      <c r="Q2271">
        <v>212</v>
      </c>
      <c r="R2271">
        <v>366</v>
      </c>
    </row>
    <row r="2272" spans="1:18" hidden="1" x14ac:dyDescent="0.2">
      <c r="A2272">
        <v>6</v>
      </c>
      <c r="B2272" t="s">
        <v>99</v>
      </c>
      <c r="E2272" t="s">
        <v>29</v>
      </c>
      <c r="F2272">
        <v>794503</v>
      </c>
      <c r="G2272">
        <v>4</v>
      </c>
      <c r="H2272">
        <v>1</v>
      </c>
      <c r="I2272">
        <v>105</v>
      </c>
      <c r="J2272">
        <v>1989</v>
      </c>
      <c r="K2272" s="4">
        <v>44596</v>
      </c>
      <c r="L2272" t="s">
        <v>20</v>
      </c>
      <c r="M2272" t="s">
        <v>59</v>
      </c>
      <c r="N2272">
        <v>1.7</v>
      </c>
      <c r="O2272">
        <v>1102</v>
      </c>
      <c r="P2272">
        <v>0.86</v>
      </c>
      <c r="Q2272">
        <v>215</v>
      </c>
      <c r="R2272">
        <v>628</v>
      </c>
    </row>
    <row r="2273" spans="1:18" hidden="1" x14ac:dyDescent="0.2">
      <c r="A2273">
        <v>5</v>
      </c>
      <c r="B2273" t="s">
        <v>41</v>
      </c>
      <c r="E2273" t="s">
        <v>36</v>
      </c>
      <c r="F2273">
        <v>877257</v>
      </c>
      <c r="G2273">
        <v>3</v>
      </c>
      <c r="H2273">
        <v>3</v>
      </c>
      <c r="I2273">
        <v>556</v>
      </c>
      <c r="J2273">
        <v>1977</v>
      </c>
      <c r="K2273" s="4">
        <v>44474</v>
      </c>
      <c r="L2273" t="s">
        <v>30</v>
      </c>
      <c r="M2273" t="s">
        <v>24</v>
      </c>
      <c r="N2273">
        <v>2.35</v>
      </c>
      <c r="O2273">
        <v>1835</v>
      </c>
      <c r="P2273">
        <v>3.37</v>
      </c>
      <c r="Q2273">
        <v>208</v>
      </c>
      <c r="R2273">
        <v>684</v>
      </c>
    </row>
    <row r="2274" spans="1:18" x14ac:dyDescent="0.2">
      <c r="A2274">
        <v>8</v>
      </c>
      <c r="B2274" t="s">
        <v>72</v>
      </c>
      <c r="E2274" t="s">
        <v>51</v>
      </c>
      <c r="F2274">
        <v>1569949</v>
      </c>
      <c r="G2274">
        <v>4</v>
      </c>
      <c r="H2274">
        <v>2</v>
      </c>
      <c r="I2274">
        <v>215</v>
      </c>
      <c r="J2274">
        <v>2022</v>
      </c>
      <c r="K2274" s="4">
        <v>44303</v>
      </c>
      <c r="L2274" t="s">
        <v>20</v>
      </c>
      <c r="M2274" t="s">
        <v>74</v>
      </c>
      <c r="N2274">
        <v>2.78</v>
      </c>
      <c r="O2274">
        <v>1173</v>
      </c>
      <c r="P2274">
        <v>4.72</v>
      </c>
      <c r="Q2274">
        <v>377</v>
      </c>
      <c r="R2274">
        <v>329</v>
      </c>
    </row>
    <row r="2275" spans="1:18" x14ac:dyDescent="0.2">
      <c r="A2275">
        <v>8</v>
      </c>
      <c r="B2275" t="s">
        <v>79</v>
      </c>
      <c r="E2275" t="s">
        <v>29</v>
      </c>
      <c r="F2275">
        <v>1833772</v>
      </c>
      <c r="G2275">
        <v>1</v>
      </c>
      <c r="H2275">
        <v>3</v>
      </c>
      <c r="I2275">
        <v>766</v>
      </c>
      <c r="J2275">
        <v>1989</v>
      </c>
      <c r="K2275" s="4">
        <v>45104</v>
      </c>
      <c r="L2275" t="s">
        <v>26</v>
      </c>
      <c r="M2275" t="s">
        <v>74</v>
      </c>
      <c r="N2275">
        <v>2.4300000000000002</v>
      </c>
      <c r="O2275">
        <v>2006</v>
      </c>
      <c r="P2275">
        <v>2.11</v>
      </c>
      <c r="Q2275">
        <v>93</v>
      </c>
      <c r="R2275">
        <v>692</v>
      </c>
    </row>
    <row r="2276" spans="1:18" hidden="1" x14ac:dyDescent="0.2">
      <c r="A2276">
        <v>9</v>
      </c>
      <c r="B2276" t="s">
        <v>43</v>
      </c>
      <c r="E2276" t="s">
        <v>36</v>
      </c>
      <c r="F2276">
        <v>469854</v>
      </c>
      <c r="G2276">
        <v>4</v>
      </c>
      <c r="H2276">
        <v>1</v>
      </c>
      <c r="I2276">
        <v>624</v>
      </c>
      <c r="J2276">
        <v>1950</v>
      </c>
      <c r="K2276" s="4">
        <v>45295</v>
      </c>
      <c r="L2276" t="s">
        <v>30</v>
      </c>
      <c r="M2276" t="s">
        <v>69</v>
      </c>
      <c r="N2276">
        <v>1.7</v>
      </c>
      <c r="O2276">
        <v>2456</v>
      </c>
      <c r="P2276">
        <v>1.98</v>
      </c>
      <c r="Q2276">
        <v>212</v>
      </c>
      <c r="R2276">
        <v>443</v>
      </c>
    </row>
    <row r="2277" spans="1:18" hidden="1" x14ac:dyDescent="0.2">
      <c r="A2277">
        <v>1</v>
      </c>
      <c r="B2277" t="s">
        <v>57</v>
      </c>
      <c r="E2277" t="s">
        <v>19</v>
      </c>
      <c r="F2277">
        <v>1531002</v>
      </c>
      <c r="G2277">
        <v>5</v>
      </c>
      <c r="H2277">
        <v>3</v>
      </c>
      <c r="I2277">
        <v>159</v>
      </c>
      <c r="J2277">
        <v>2007</v>
      </c>
      <c r="K2277" s="4">
        <v>44808</v>
      </c>
      <c r="L2277" t="s">
        <v>30</v>
      </c>
      <c r="M2277" t="s">
        <v>21</v>
      </c>
      <c r="N2277">
        <v>3.35</v>
      </c>
      <c r="O2277">
        <v>1362</v>
      </c>
      <c r="P2277">
        <v>4.62</v>
      </c>
      <c r="Q2277">
        <v>377</v>
      </c>
      <c r="R2277">
        <v>383</v>
      </c>
    </row>
    <row r="2278" spans="1:18" hidden="1" x14ac:dyDescent="0.2">
      <c r="A2278">
        <v>0</v>
      </c>
      <c r="B2278" t="s">
        <v>67</v>
      </c>
      <c r="E2278" t="s">
        <v>51</v>
      </c>
      <c r="F2278">
        <v>2002058</v>
      </c>
      <c r="G2278">
        <v>0</v>
      </c>
      <c r="H2278">
        <v>3</v>
      </c>
      <c r="I2278">
        <v>441</v>
      </c>
      <c r="J2278">
        <v>2009</v>
      </c>
      <c r="K2278" s="4">
        <v>45702</v>
      </c>
      <c r="L2278" t="s">
        <v>20</v>
      </c>
      <c r="M2278" t="s">
        <v>35</v>
      </c>
      <c r="N2278">
        <v>1.68</v>
      </c>
      <c r="O2278">
        <v>2067</v>
      </c>
      <c r="P2278">
        <v>0.8</v>
      </c>
      <c r="Q2278">
        <v>71</v>
      </c>
      <c r="R2278">
        <v>376</v>
      </c>
    </row>
    <row r="2279" spans="1:18" hidden="1" x14ac:dyDescent="0.2">
      <c r="A2279">
        <v>6</v>
      </c>
      <c r="B2279" t="s">
        <v>83</v>
      </c>
      <c r="E2279" t="s">
        <v>19</v>
      </c>
      <c r="F2279">
        <v>2825190</v>
      </c>
      <c r="G2279">
        <v>4</v>
      </c>
      <c r="H2279">
        <v>1</v>
      </c>
      <c r="I2279">
        <v>532</v>
      </c>
      <c r="J2279">
        <v>2016</v>
      </c>
      <c r="K2279" s="4">
        <v>44834</v>
      </c>
      <c r="L2279" t="s">
        <v>30</v>
      </c>
      <c r="M2279" t="s">
        <v>70</v>
      </c>
      <c r="N2279">
        <v>1.8</v>
      </c>
      <c r="O2279">
        <v>1608</v>
      </c>
      <c r="P2279">
        <v>2.35</v>
      </c>
      <c r="Q2279">
        <v>361</v>
      </c>
      <c r="R2279">
        <v>550</v>
      </c>
    </row>
    <row r="2280" spans="1:18" hidden="1" x14ac:dyDescent="0.2">
      <c r="A2280">
        <v>2</v>
      </c>
      <c r="B2280" t="s">
        <v>99</v>
      </c>
      <c r="E2280" t="s">
        <v>19</v>
      </c>
      <c r="F2280">
        <v>2099159</v>
      </c>
      <c r="G2280">
        <v>4</v>
      </c>
      <c r="H2280">
        <v>1</v>
      </c>
      <c r="I2280">
        <v>239</v>
      </c>
      <c r="J2280">
        <v>1987</v>
      </c>
      <c r="K2280" s="4">
        <v>44849</v>
      </c>
      <c r="L2280" t="s">
        <v>26</v>
      </c>
      <c r="M2280" t="s">
        <v>56</v>
      </c>
      <c r="N2280">
        <v>1.61</v>
      </c>
      <c r="O2280">
        <v>1109</v>
      </c>
      <c r="P2280">
        <v>4.16</v>
      </c>
      <c r="Q2280">
        <v>229</v>
      </c>
      <c r="R2280">
        <v>379</v>
      </c>
    </row>
    <row r="2281" spans="1:18" hidden="1" x14ac:dyDescent="0.2">
      <c r="A2281">
        <v>1</v>
      </c>
      <c r="B2281" t="s">
        <v>46</v>
      </c>
      <c r="E2281" t="s">
        <v>51</v>
      </c>
      <c r="F2281">
        <v>440268</v>
      </c>
      <c r="G2281">
        <v>5</v>
      </c>
      <c r="H2281">
        <v>3</v>
      </c>
      <c r="I2281">
        <v>424</v>
      </c>
      <c r="J2281">
        <v>1996</v>
      </c>
      <c r="K2281" s="4">
        <v>45833</v>
      </c>
      <c r="L2281" t="s">
        <v>26</v>
      </c>
      <c r="M2281" t="s">
        <v>89</v>
      </c>
      <c r="N2281">
        <v>2.02</v>
      </c>
      <c r="O2281">
        <v>1439</v>
      </c>
      <c r="P2281">
        <v>0.47</v>
      </c>
      <c r="Q2281">
        <v>298</v>
      </c>
      <c r="R2281">
        <v>530</v>
      </c>
    </row>
    <row r="2282" spans="1:18" hidden="1" x14ac:dyDescent="0.2">
      <c r="A2282">
        <v>9</v>
      </c>
      <c r="B2282" t="s">
        <v>25</v>
      </c>
      <c r="E2282" t="s">
        <v>51</v>
      </c>
      <c r="F2282">
        <v>700460</v>
      </c>
      <c r="G2282">
        <v>5</v>
      </c>
      <c r="H2282">
        <v>2</v>
      </c>
      <c r="I2282">
        <v>543</v>
      </c>
      <c r="J2282">
        <v>1966</v>
      </c>
      <c r="K2282" s="4">
        <v>44184</v>
      </c>
      <c r="L2282" t="s">
        <v>26</v>
      </c>
      <c r="M2282" t="s">
        <v>69</v>
      </c>
      <c r="N2282">
        <v>2.5</v>
      </c>
      <c r="O2282">
        <v>1483</v>
      </c>
      <c r="P2282">
        <v>3.33</v>
      </c>
      <c r="Q2282">
        <v>279</v>
      </c>
      <c r="R2282">
        <v>639</v>
      </c>
    </row>
    <row r="2283" spans="1:18" hidden="1" x14ac:dyDescent="0.2">
      <c r="A2283">
        <v>2</v>
      </c>
      <c r="B2283" t="s">
        <v>102</v>
      </c>
      <c r="E2283" t="s">
        <v>51</v>
      </c>
      <c r="F2283">
        <v>1083859</v>
      </c>
      <c r="G2283">
        <v>3</v>
      </c>
      <c r="H2283">
        <v>2</v>
      </c>
      <c r="I2283">
        <v>566</v>
      </c>
      <c r="J2283">
        <v>1983</v>
      </c>
      <c r="K2283" s="4">
        <v>44458</v>
      </c>
      <c r="L2283" t="s">
        <v>20</v>
      </c>
      <c r="M2283" t="s">
        <v>76</v>
      </c>
      <c r="N2283">
        <v>2.44</v>
      </c>
      <c r="O2283">
        <v>1431</v>
      </c>
      <c r="P2283">
        <v>4.5599999999999996</v>
      </c>
      <c r="Q2283">
        <v>199</v>
      </c>
      <c r="R2283">
        <v>595</v>
      </c>
    </row>
    <row r="2284" spans="1:18" hidden="1" x14ac:dyDescent="0.2">
      <c r="A2284">
        <v>5</v>
      </c>
      <c r="B2284" t="s">
        <v>79</v>
      </c>
      <c r="E2284" t="s">
        <v>29</v>
      </c>
      <c r="F2284">
        <v>2309622</v>
      </c>
      <c r="G2284">
        <v>0</v>
      </c>
      <c r="H2284">
        <v>2</v>
      </c>
      <c r="I2284">
        <v>165</v>
      </c>
      <c r="J2284">
        <v>1978</v>
      </c>
      <c r="K2284" s="4">
        <v>45841</v>
      </c>
      <c r="L2284" t="s">
        <v>30</v>
      </c>
      <c r="M2284" t="s">
        <v>31</v>
      </c>
      <c r="N2284">
        <v>1.76</v>
      </c>
      <c r="O2284">
        <v>1865</v>
      </c>
      <c r="P2284">
        <v>3.91</v>
      </c>
      <c r="Q2284">
        <v>61</v>
      </c>
      <c r="R2284">
        <v>640</v>
      </c>
    </row>
    <row r="2285" spans="1:18" hidden="1" x14ac:dyDescent="0.2">
      <c r="A2285">
        <v>0</v>
      </c>
      <c r="B2285" t="s">
        <v>39</v>
      </c>
      <c r="E2285" t="s">
        <v>19</v>
      </c>
      <c r="F2285">
        <v>1163826</v>
      </c>
      <c r="G2285">
        <v>3</v>
      </c>
      <c r="H2285">
        <v>3</v>
      </c>
      <c r="I2285">
        <v>103</v>
      </c>
      <c r="J2285">
        <v>2013</v>
      </c>
      <c r="K2285" s="4">
        <v>44124</v>
      </c>
      <c r="L2285" t="s">
        <v>23</v>
      </c>
      <c r="M2285" t="s">
        <v>77</v>
      </c>
      <c r="N2285">
        <v>2.15</v>
      </c>
      <c r="O2285">
        <v>2137</v>
      </c>
      <c r="P2285">
        <v>0.62</v>
      </c>
      <c r="Q2285">
        <v>199</v>
      </c>
      <c r="R2285">
        <v>623</v>
      </c>
    </row>
    <row r="2286" spans="1:18" hidden="1" x14ac:dyDescent="0.2">
      <c r="A2286">
        <v>9</v>
      </c>
      <c r="B2286" t="s">
        <v>65</v>
      </c>
      <c r="E2286" t="s">
        <v>29</v>
      </c>
      <c r="F2286">
        <v>1455510</v>
      </c>
      <c r="G2286">
        <v>3</v>
      </c>
      <c r="H2286">
        <v>2</v>
      </c>
      <c r="I2286">
        <v>769</v>
      </c>
      <c r="J2286">
        <v>1997</v>
      </c>
      <c r="K2286" s="4">
        <v>45734</v>
      </c>
      <c r="L2286" t="s">
        <v>30</v>
      </c>
      <c r="M2286" t="s">
        <v>33</v>
      </c>
      <c r="N2286">
        <v>2.81</v>
      </c>
      <c r="O2286">
        <v>1914</v>
      </c>
      <c r="P2286">
        <v>0.56999999999999995</v>
      </c>
      <c r="Q2286">
        <v>136</v>
      </c>
      <c r="R2286">
        <v>497</v>
      </c>
    </row>
    <row r="2287" spans="1:18" x14ac:dyDescent="0.2">
      <c r="A2287">
        <v>8</v>
      </c>
      <c r="B2287" t="s">
        <v>99</v>
      </c>
      <c r="E2287" t="s">
        <v>19</v>
      </c>
      <c r="F2287">
        <v>1514593</v>
      </c>
      <c r="G2287">
        <v>3</v>
      </c>
      <c r="H2287">
        <v>1</v>
      </c>
      <c r="I2287">
        <v>108</v>
      </c>
      <c r="J2287">
        <v>1967</v>
      </c>
      <c r="K2287" s="4">
        <v>44131</v>
      </c>
      <c r="L2287" t="s">
        <v>23</v>
      </c>
      <c r="M2287" t="s">
        <v>24</v>
      </c>
      <c r="N2287">
        <v>1.86</v>
      </c>
      <c r="O2287">
        <v>1705</v>
      </c>
      <c r="P2287">
        <v>2.23</v>
      </c>
      <c r="Q2287">
        <v>188</v>
      </c>
      <c r="R2287">
        <v>545</v>
      </c>
    </row>
    <row r="2288" spans="1:18" hidden="1" x14ac:dyDescent="0.2">
      <c r="A2288">
        <v>5</v>
      </c>
      <c r="B2288" t="s">
        <v>80</v>
      </c>
      <c r="E2288" t="s">
        <v>19</v>
      </c>
      <c r="F2288">
        <v>1630213</v>
      </c>
      <c r="G2288">
        <v>1</v>
      </c>
      <c r="H2288">
        <v>1</v>
      </c>
      <c r="I2288">
        <v>960</v>
      </c>
      <c r="J2288">
        <v>1966</v>
      </c>
      <c r="K2288" s="4">
        <v>45051</v>
      </c>
      <c r="L2288" t="s">
        <v>20</v>
      </c>
      <c r="M2288" t="s">
        <v>66</v>
      </c>
      <c r="N2288">
        <v>2.09</v>
      </c>
      <c r="O2288">
        <v>852</v>
      </c>
      <c r="P2288">
        <v>2.39</v>
      </c>
      <c r="Q2288">
        <v>110</v>
      </c>
      <c r="R2288">
        <v>371</v>
      </c>
    </row>
    <row r="2289" spans="1:18" hidden="1" x14ac:dyDescent="0.2">
      <c r="A2289">
        <v>3</v>
      </c>
      <c r="B2289" t="s">
        <v>53</v>
      </c>
      <c r="E2289" t="s">
        <v>29</v>
      </c>
      <c r="F2289">
        <v>480779</v>
      </c>
      <c r="G2289">
        <v>4</v>
      </c>
      <c r="H2289">
        <v>2</v>
      </c>
      <c r="I2289">
        <v>377</v>
      </c>
      <c r="J2289">
        <v>1962</v>
      </c>
      <c r="K2289" s="4">
        <v>44069</v>
      </c>
      <c r="L2289" t="s">
        <v>26</v>
      </c>
      <c r="M2289" t="s">
        <v>33</v>
      </c>
      <c r="N2289">
        <v>2.82</v>
      </c>
      <c r="O2289">
        <v>1093</v>
      </c>
      <c r="P2289">
        <v>1.67</v>
      </c>
      <c r="Q2289">
        <v>186</v>
      </c>
      <c r="R2289">
        <v>599</v>
      </c>
    </row>
    <row r="2290" spans="1:18" hidden="1" x14ac:dyDescent="0.2">
      <c r="A2290">
        <v>3</v>
      </c>
      <c r="B2290" t="s">
        <v>101</v>
      </c>
      <c r="E2290" t="s">
        <v>36</v>
      </c>
      <c r="F2290">
        <v>1479721</v>
      </c>
      <c r="G2290">
        <v>-2</v>
      </c>
      <c r="H2290">
        <v>3</v>
      </c>
      <c r="I2290">
        <v>942</v>
      </c>
      <c r="J2290">
        <v>1976</v>
      </c>
      <c r="K2290" s="4">
        <v>45371</v>
      </c>
      <c r="L2290" t="s">
        <v>30</v>
      </c>
      <c r="M2290" t="s">
        <v>74</v>
      </c>
      <c r="N2290">
        <v>2.0699999999999998</v>
      </c>
      <c r="O2290">
        <v>1615</v>
      </c>
      <c r="P2290">
        <v>3.27</v>
      </c>
      <c r="Q2290">
        <v>250</v>
      </c>
      <c r="R2290">
        <v>537</v>
      </c>
    </row>
    <row r="2291" spans="1:18" hidden="1" x14ac:dyDescent="0.2">
      <c r="A2291">
        <v>2</v>
      </c>
      <c r="B2291" t="s">
        <v>98</v>
      </c>
      <c r="E2291" t="s">
        <v>19</v>
      </c>
      <c r="F2291">
        <v>2945275</v>
      </c>
      <c r="G2291">
        <v>2</v>
      </c>
      <c r="H2291">
        <v>1</v>
      </c>
      <c r="I2291">
        <v>769</v>
      </c>
      <c r="J2291">
        <v>1969</v>
      </c>
      <c r="K2291" s="4">
        <v>45573</v>
      </c>
      <c r="L2291" t="s">
        <v>20</v>
      </c>
      <c r="M2291" t="s">
        <v>63</v>
      </c>
      <c r="N2291">
        <v>1.52</v>
      </c>
      <c r="O2291">
        <v>1117</v>
      </c>
      <c r="P2291">
        <v>1.03</v>
      </c>
      <c r="Q2291">
        <v>125</v>
      </c>
      <c r="R2291">
        <v>506</v>
      </c>
    </row>
    <row r="2292" spans="1:18" hidden="1" x14ac:dyDescent="0.2">
      <c r="A2292">
        <v>6</v>
      </c>
      <c r="B2292" t="s">
        <v>18</v>
      </c>
      <c r="E2292" t="s">
        <v>19</v>
      </c>
      <c r="F2292">
        <v>642386</v>
      </c>
      <c r="G2292">
        <v>3</v>
      </c>
      <c r="H2292">
        <v>3</v>
      </c>
      <c r="I2292">
        <v>970</v>
      </c>
      <c r="J2292">
        <v>1976</v>
      </c>
      <c r="K2292" s="4">
        <v>45317</v>
      </c>
      <c r="L2292" t="s">
        <v>26</v>
      </c>
      <c r="M2292" t="s">
        <v>58</v>
      </c>
      <c r="N2292">
        <v>2.06</v>
      </c>
      <c r="O2292">
        <v>865</v>
      </c>
      <c r="P2292">
        <v>3.18</v>
      </c>
      <c r="Q2292">
        <v>161</v>
      </c>
      <c r="R2292">
        <v>330</v>
      </c>
    </row>
    <row r="2293" spans="1:18" hidden="1" x14ac:dyDescent="0.2">
      <c r="A2293">
        <v>2</v>
      </c>
      <c r="B2293" t="s">
        <v>75</v>
      </c>
      <c r="E2293" t="s">
        <v>36</v>
      </c>
      <c r="F2293">
        <v>1607829</v>
      </c>
      <c r="G2293">
        <v>4</v>
      </c>
      <c r="H2293">
        <v>1</v>
      </c>
      <c r="I2293">
        <v>58</v>
      </c>
      <c r="J2293">
        <v>1997</v>
      </c>
      <c r="K2293" s="4">
        <v>44291</v>
      </c>
      <c r="L2293" t="s">
        <v>26</v>
      </c>
      <c r="M2293" t="s">
        <v>59</v>
      </c>
      <c r="N2293">
        <v>2.39</v>
      </c>
      <c r="O2293">
        <v>1966</v>
      </c>
      <c r="P2293">
        <v>3.66</v>
      </c>
      <c r="Q2293">
        <v>206</v>
      </c>
      <c r="R2293">
        <v>458</v>
      </c>
    </row>
    <row r="2294" spans="1:18" hidden="1" x14ac:dyDescent="0.2">
      <c r="A2294">
        <v>1</v>
      </c>
      <c r="B2294" t="s">
        <v>75</v>
      </c>
      <c r="E2294" t="s">
        <v>51</v>
      </c>
      <c r="F2294">
        <v>2349919</v>
      </c>
      <c r="G2294">
        <v>4</v>
      </c>
      <c r="H2294">
        <v>3</v>
      </c>
      <c r="I2294">
        <v>927</v>
      </c>
      <c r="J2294">
        <v>1955</v>
      </c>
      <c r="K2294" s="4">
        <v>45212</v>
      </c>
      <c r="L2294" t="s">
        <v>26</v>
      </c>
      <c r="M2294" t="s">
        <v>27</v>
      </c>
      <c r="N2294">
        <v>2.73</v>
      </c>
      <c r="O2294">
        <v>1298</v>
      </c>
      <c r="P2294">
        <v>2.86</v>
      </c>
      <c r="Q2294">
        <v>197</v>
      </c>
      <c r="R2294">
        <v>410</v>
      </c>
    </row>
    <row r="2295" spans="1:18" hidden="1" x14ac:dyDescent="0.2">
      <c r="A2295">
        <v>3</v>
      </c>
      <c r="B2295" t="s">
        <v>94</v>
      </c>
      <c r="E2295" t="s">
        <v>36</v>
      </c>
      <c r="F2295">
        <v>1923446</v>
      </c>
      <c r="G2295">
        <v>3</v>
      </c>
      <c r="H2295">
        <v>2</v>
      </c>
      <c r="I2295">
        <v>80</v>
      </c>
      <c r="J2295">
        <v>2017</v>
      </c>
      <c r="K2295" s="4">
        <v>45273</v>
      </c>
      <c r="L2295" t="s">
        <v>20</v>
      </c>
      <c r="M2295" t="s">
        <v>82</v>
      </c>
      <c r="N2295">
        <v>2.2000000000000002</v>
      </c>
      <c r="O2295">
        <v>1437</v>
      </c>
      <c r="P2295">
        <v>2.74</v>
      </c>
      <c r="Q2295">
        <v>160</v>
      </c>
      <c r="R2295">
        <v>577</v>
      </c>
    </row>
    <row r="2296" spans="1:18" hidden="1" x14ac:dyDescent="0.2">
      <c r="A2296">
        <v>5</v>
      </c>
      <c r="B2296" t="s">
        <v>18</v>
      </c>
      <c r="E2296" t="s">
        <v>29</v>
      </c>
      <c r="F2296">
        <v>758839</v>
      </c>
      <c r="G2296">
        <v>4</v>
      </c>
      <c r="H2296">
        <v>3</v>
      </c>
      <c r="I2296">
        <v>234</v>
      </c>
      <c r="J2296">
        <v>2002</v>
      </c>
      <c r="K2296" s="4">
        <v>45106</v>
      </c>
      <c r="L2296" t="s">
        <v>23</v>
      </c>
      <c r="M2296" t="s">
        <v>69</v>
      </c>
      <c r="N2296">
        <v>3.41</v>
      </c>
      <c r="O2296">
        <v>2171</v>
      </c>
      <c r="P2296">
        <v>1.1200000000000001</v>
      </c>
      <c r="Q2296">
        <v>233</v>
      </c>
      <c r="R2296">
        <v>473</v>
      </c>
    </row>
    <row r="2297" spans="1:18" hidden="1" x14ac:dyDescent="0.2">
      <c r="A2297">
        <v>4</v>
      </c>
      <c r="B2297" t="s">
        <v>98</v>
      </c>
      <c r="E2297" t="s">
        <v>19</v>
      </c>
      <c r="F2297">
        <v>2445098</v>
      </c>
      <c r="G2297">
        <v>4</v>
      </c>
      <c r="H2297">
        <v>2</v>
      </c>
      <c r="I2297">
        <v>518</v>
      </c>
      <c r="J2297">
        <v>2018</v>
      </c>
      <c r="K2297" s="4">
        <v>45605</v>
      </c>
      <c r="L2297" t="s">
        <v>30</v>
      </c>
      <c r="M2297" t="s">
        <v>52</v>
      </c>
      <c r="N2297">
        <v>2.4300000000000002</v>
      </c>
      <c r="O2297">
        <v>1926</v>
      </c>
      <c r="P2297">
        <v>2.19</v>
      </c>
      <c r="Q2297">
        <v>228</v>
      </c>
      <c r="R2297">
        <v>634</v>
      </c>
    </row>
    <row r="2298" spans="1:18" hidden="1" x14ac:dyDescent="0.2">
      <c r="A2298">
        <v>3</v>
      </c>
      <c r="B2298" t="s">
        <v>57</v>
      </c>
      <c r="E2298" t="s">
        <v>29</v>
      </c>
      <c r="F2298">
        <v>797085</v>
      </c>
      <c r="G2298">
        <v>6</v>
      </c>
      <c r="H2298">
        <v>1</v>
      </c>
      <c r="I2298">
        <v>441</v>
      </c>
      <c r="J2298">
        <v>2006</v>
      </c>
      <c r="K2298" s="4">
        <v>45541</v>
      </c>
      <c r="L2298" t="s">
        <v>26</v>
      </c>
      <c r="M2298" t="s">
        <v>27</v>
      </c>
      <c r="N2298">
        <v>2.0299999999999998</v>
      </c>
      <c r="O2298">
        <v>2009</v>
      </c>
      <c r="P2298">
        <v>2.2400000000000002</v>
      </c>
      <c r="Q2298">
        <v>366</v>
      </c>
      <c r="R2298">
        <v>313</v>
      </c>
    </row>
    <row r="2299" spans="1:18" hidden="1" x14ac:dyDescent="0.2">
      <c r="A2299">
        <v>0</v>
      </c>
      <c r="B2299" t="s">
        <v>38</v>
      </c>
      <c r="E2299" t="s">
        <v>51</v>
      </c>
      <c r="F2299">
        <v>2287702</v>
      </c>
      <c r="G2299">
        <v>3</v>
      </c>
      <c r="H2299">
        <v>3</v>
      </c>
      <c r="I2299">
        <v>491</v>
      </c>
      <c r="J2299">
        <v>1951</v>
      </c>
      <c r="K2299" s="4">
        <v>44790</v>
      </c>
      <c r="L2299" t="s">
        <v>26</v>
      </c>
      <c r="M2299" t="s">
        <v>70</v>
      </c>
      <c r="N2299">
        <v>3.09</v>
      </c>
      <c r="O2299">
        <v>1469</v>
      </c>
      <c r="P2299">
        <v>4.6900000000000004</v>
      </c>
      <c r="Q2299">
        <v>296</v>
      </c>
      <c r="R2299">
        <v>377</v>
      </c>
    </row>
    <row r="2300" spans="1:18" hidden="1" x14ac:dyDescent="0.2">
      <c r="A2300">
        <v>7</v>
      </c>
      <c r="B2300" t="s">
        <v>86</v>
      </c>
      <c r="E2300" t="s">
        <v>51</v>
      </c>
      <c r="F2300">
        <v>817836</v>
      </c>
      <c r="G2300">
        <v>4</v>
      </c>
      <c r="H2300">
        <v>1</v>
      </c>
      <c r="I2300">
        <v>564</v>
      </c>
      <c r="J2300">
        <v>1994</v>
      </c>
      <c r="K2300" s="4">
        <v>44150</v>
      </c>
      <c r="L2300" t="s">
        <v>20</v>
      </c>
      <c r="M2300" t="s">
        <v>31</v>
      </c>
      <c r="N2300">
        <v>2.86</v>
      </c>
      <c r="O2300">
        <v>1347</v>
      </c>
      <c r="P2300">
        <v>2.46</v>
      </c>
      <c r="Q2300">
        <v>382</v>
      </c>
      <c r="R2300">
        <v>341</v>
      </c>
    </row>
    <row r="2301" spans="1:18" hidden="1" x14ac:dyDescent="0.2">
      <c r="A2301">
        <v>4</v>
      </c>
      <c r="B2301" t="s">
        <v>79</v>
      </c>
      <c r="E2301" t="s">
        <v>19</v>
      </c>
      <c r="F2301">
        <v>562482</v>
      </c>
      <c r="G2301">
        <v>3</v>
      </c>
      <c r="H2301">
        <v>1</v>
      </c>
      <c r="I2301">
        <v>882</v>
      </c>
      <c r="J2301">
        <v>1998</v>
      </c>
      <c r="K2301" s="4">
        <v>44914</v>
      </c>
      <c r="L2301" t="s">
        <v>26</v>
      </c>
      <c r="M2301" t="s">
        <v>59</v>
      </c>
      <c r="N2301">
        <v>2.11</v>
      </c>
      <c r="O2301">
        <v>1374</v>
      </c>
      <c r="P2301">
        <v>3.8</v>
      </c>
      <c r="Q2301">
        <v>130</v>
      </c>
      <c r="R2301">
        <v>660</v>
      </c>
    </row>
    <row r="2302" spans="1:18" hidden="1" x14ac:dyDescent="0.2">
      <c r="A2302">
        <v>4</v>
      </c>
      <c r="B2302" t="s">
        <v>92</v>
      </c>
      <c r="E2302" t="s">
        <v>29</v>
      </c>
      <c r="F2302">
        <v>1181806</v>
      </c>
      <c r="G2302">
        <v>1</v>
      </c>
      <c r="H2302">
        <v>2</v>
      </c>
      <c r="I2302">
        <v>63</v>
      </c>
      <c r="J2302">
        <v>2014</v>
      </c>
      <c r="K2302" s="4">
        <v>45700</v>
      </c>
      <c r="L2302" t="s">
        <v>23</v>
      </c>
      <c r="M2302" t="s">
        <v>68</v>
      </c>
      <c r="N2302">
        <v>2.06</v>
      </c>
      <c r="O2302">
        <v>1348</v>
      </c>
      <c r="P2302">
        <v>2.4500000000000002</v>
      </c>
      <c r="Q2302">
        <v>117</v>
      </c>
      <c r="R2302">
        <v>461</v>
      </c>
    </row>
    <row r="2303" spans="1:18" hidden="1" x14ac:dyDescent="0.2">
      <c r="A2303">
        <v>0</v>
      </c>
      <c r="B2303" t="s">
        <v>43</v>
      </c>
      <c r="E2303" t="s">
        <v>19</v>
      </c>
      <c r="F2303">
        <v>2925570</v>
      </c>
      <c r="G2303">
        <v>1</v>
      </c>
      <c r="H2303">
        <v>2</v>
      </c>
      <c r="I2303">
        <v>352</v>
      </c>
      <c r="J2303">
        <v>2020</v>
      </c>
      <c r="K2303" s="4">
        <v>44584</v>
      </c>
      <c r="L2303" t="s">
        <v>26</v>
      </c>
      <c r="M2303" t="s">
        <v>58</v>
      </c>
      <c r="N2303">
        <v>1.85</v>
      </c>
      <c r="O2303">
        <v>1013</v>
      </c>
      <c r="P2303">
        <v>2.71</v>
      </c>
      <c r="Q2303">
        <v>66</v>
      </c>
      <c r="R2303">
        <v>659</v>
      </c>
    </row>
    <row r="2304" spans="1:18" hidden="1" x14ac:dyDescent="0.2">
      <c r="A2304">
        <v>2</v>
      </c>
      <c r="B2304" t="s">
        <v>90</v>
      </c>
      <c r="E2304" t="s">
        <v>19</v>
      </c>
      <c r="F2304">
        <v>750666</v>
      </c>
      <c r="G2304">
        <v>5</v>
      </c>
      <c r="H2304">
        <v>1</v>
      </c>
      <c r="I2304">
        <v>681</v>
      </c>
      <c r="J2304">
        <v>1954</v>
      </c>
      <c r="K2304" s="4">
        <v>44835</v>
      </c>
      <c r="L2304" t="s">
        <v>30</v>
      </c>
      <c r="M2304" t="s">
        <v>60</v>
      </c>
      <c r="N2304">
        <v>3</v>
      </c>
      <c r="O2304">
        <v>1745</v>
      </c>
      <c r="P2304">
        <v>3.47</v>
      </c>
      <c r="Q2304">
        <v>328</v>
      </c>
      <c r="R2304">
        <v>666</v>
      </c>
    </row>
    <row r="2305" spans="1:18" hidden="1" x14ac:dyDescent="0.2">
      <c r="A2305">
        <v>7</v>
      </c>
      <c r="B2305" t="s">
        <v>32</v>
      </c>
      <c r="E2305" t="s">
        <v>19</v>
      </c>
      <c r="F2305">
        <v>2880405</v>
      </c>
      <c r="G2305">
        <v>4</v>
      </c>
      <c r="H2305">
        <v>2</v>
      </c>
      <c r="I2305">
        <v>812</v>
      </c>
      <c r="J2305">
        <v>1951</v>
      </c>
      <c r="K2305" s="4">
        <v>44693</v>
      </c>
      <c r="L2305" t="s">
        <v>30</v>
      </c>
      <c r="M2305" t="s">
        <v>27</v>
      </c>
      <c r="N2305">
        <v>2.75</v>
      </c>
      <c r="O2305">
        <v>2109</v>
      </c>
      <c r="P2305">
        <v>3.36</v>
      </c>
      <c r="Q2305">
        <v>226</v>
      </c>
      <c r="R2305">
        <v>472</v>
      </c>
    </row>
    <row r="2306" spans="1:18" hidden="1" x14ac:dyDescent="0.2">
      <c r="A2306">
        <v>7</v>
      </c>
      <c r="B2306" t="s">
        <v>98</v>
      </c>
      <c r="E2306" t="s">
        <v>19</v>
      </c>
      <c r="F2306">
        <v>624983</v>
      </c>
      <c r="G2306">
        <v>5</v>
      </c>
      <c r="H2306">
        <v>3</v>
      </c>
      <c r="I2306">
        <v>982</v>
      </c>
      <c r="J2306">
        <v>2004</v>
      </c>
      <c r="K2306" s="4">
        <v>45304</v>
      </c>
      <c r="L2306" t="s">
        <v>30</v>
      </c>
      <c r="M2306" t="s">
        <v>78</v>
      </c>
      <c r="N2306">
        <v>1.8</v>
      </c>
      <c r="O2306">
        <v>1464</v>
      </c>
      <c r="P2306">
        <v>4.7699999999999996</v>
      </c>
      <c r="Q2306">
        <v>340</v>
      </c>
      <c r="R2306">
        <v>644</v>
      </c>
    </row>
    <row r="2307" spans="1:18" hidden="1" x14ac:dyDescent="0.2">
      <c r="A2307">
        <v>2</v>
      </c>
      <c r="B2307" t="s">
        <v>28</v>
      </c>
      <c r="E2307" t="s">
        <v>29</v>
      </c>
      <c r="F2307">
        <v>781995</v>
      </c>
      <c r="G2307">
        <v>3</v>
      </c>
      <c r="H2307">
        <v>3</v>
      </c>
      <c r="I2307">
        <v>880</v>
      </c>
      <c r="J2307">
        <v>1992</v>
      </c>
      <c r="K2307" s="4">
        <v>45506</v>
      </c>
      <c r="L2307" t="s">
        <v>20</v>
      </c>
      <c r="M2307" t="s">
        <v>47</v>
      </c>
      <c r="N2307">
        <v>2.2000000000000002</v>
      </c>
      <c r="O2307">
        <v>1536</v>
      </c>
      <c r="P2307">
        <v>4.1500000000000004</v>
      </c>
      <c r="Q2307">
        <v>98</v>
      </c>
      <c r="R2307">
        <v>484</v>
      </c>
    </row>
    <row r="2308" spans="1:18" hidden="1" x14ac:dyDescent="0.2">
      <c r="A2308">
        <v>7</v>
      </c>
      <c r="B2308" t="s">
        <v>101</v>
      </c>
      <c r="E2308" t="s">
        <v>19</v>
      </c>
      <c r="F2308">
        <v>2246977</v>
      </c>
      <c r="G2308">
        <v>1</v>
      </c>
      <c r="H2308">
        <v>2</v>
      </c>
      <c r="I2308">
        <v>70</v>
      </c>
      <c r="J2308">
        <v>1996</v>
      </c>
      <c r="K2308" s="4">
        <v>45763</v>
      </c>
      <c r="L2308" t="s">
        <v>20</v>
      </c>
      <c r="M2308" t="s">
        <v>60</v>
      </c>
      <c r="N2308">
        <v>3.41</v>
      </c>
      <c r="O2308">
        <v>2402</v>
      </c>
      <c r="P2308">
        <v>3.28</v>
      </c>
      <c r="Q2308">
        <v>65</v>
      </c>
      <c r="R2308">
        <v>330</v>
      </c>
    </row>
    <row r="2309" spans="1:18" hidden="1" x14ac:dyDescent="0.2">
      <c r="A2309">
        <v>5</v>
      </c>
      <c r="B2309" t="s">
        <v>55</v>
      </c>
      <c r="E2309" t="s">
        <v>29</v>
      </c>
      <c r="F2309">
        <v>892055</v>
      </c>
      <c r="G2309">
        <v>4</v>
      </c>
      <c r="H2309">
        <v>3</v>
      </c>
      <c r="I2309">
        <v>419</v>
      </c>
      <c r="J2309">
        <v>1990</v>
      </c>
      <c r="K2309" s="4">
        <v>44597</v>
      </c>
      <c r="L2309" t="s">
        <v>23</v>
      </c>
      <c r="M2309" t="s">
        <v>74</v>
      </c>
      <c r="N2309">
        <v>2.06</v>
      </c>
      <c r="O2309">
        <v>896</v>
      </c>
      <c r="P2309">
        <v>4.7699999999999996</v>
      </c>
      <c r="Q2309">
        <v>377</v>
      </c>
      <c r="R2309">
        <v>442</v>
      </c>
    </row>
    <row r="2310" spans="1:18" hidden="1" x14ac:dyDescent="0.2">
      <c r="A2310">
        <v>0</v>
      </c>
      <c r="B2310" t="s">
        <v>100</v>
      </c>
      <c r="E2310" t="s">
        <v>51</v>
      </c>
      <c r="F2310">
        <v>947390</v>
      </c>
      <c r="G2310">
        <v>5</v>
      </c>
      <c r="H2310">
        <v>3</v>
      </c>
      <c r="I2310">
        <v>66</v>
      </c>
      <c r="J2310">
        <v>2008</v>
      </c>
      <c r="K2310" s="4">
        <v>44969</v>
      </c>
      <c r="L2310" t="s">
        <v>23</v>
      </c>
      <c r="M2310" t="s">
        <v>37</v>
      </c>
      <c r="N2310">
        <v>3.24</v>
      </c>
      <c r="O2310">
        <v>1131</v>
      </c>
      <c r="P2310">
        <v>1.78</v>
      </c>
      <c r="Q2310">
        <v>295</v>
      </c>
      <c r="R2310">
        <v>636</v>
      </c>
    </row>
    <row r="2311" spans="1:18" hidden="1" x14ac:dyDescent="0.2">
      <c r="A2311">
        <v>4</v>
      </c>
      <c r="B2311" t="s">
        <v>67</v>
      </c>
      <c r="E2311" t="s">
        <v>51</v>
      </c>
      <c r="F2311">
        <v>2368582</v>
      </c>
      <c r="G2311">
        <v>2</v>
      </c>
      <c r="H2311">
        <v>1</v>
      </c>
      <c r="I2311">
        <v>233</v>
      </c>
      <c r="J2311">
        <v>2017</v>
      </c>
      <c r="K2311" s="4">
        <v>44080</v>
      </c>
      <c r="L2311" t="s">
        <v>20</v>
      </c>
      <c r="M2311" t="s">
        <v>31</v>
      </c>
      <c r="N2311">
        <v>2.3199999999999998</v>
      </c>
      <c r="O2311">
        <v>1992</v>
      </c>
      <c r="P2311">
        <v>3.65</v>
      </c>
      <c r="Q2311">
        <v>206</v>
      </c>
      <c r="R2311">
        <v>386</v>
      </c>
    </row>
    <row r="2312" spans="1:18" hidden="1" x14ac:dyDescent="0.2">
      <c r="A2312">
        <v>6</v>
      </c>
      <c r="B2312" t="s">
        <v>90</v>
      </c>
      <c r="E2312" t="s">
        <v>29</v>
      </c>
      <c r="F2312">
        <v>2504559</v>
      </c>
      <c r="G2312">
        <v>3</v>
      </c>
      <c r="H2312">
        <v>3</v>
      </c>
      <c r="I2312">
        <v>393</v>
      </c>
      <c r="J2312">
        <v>2005</v>
      </c>
      <c r="K2312" s="4">
        <v>44663</v>
      </c>
      <c r="L2312" t="s">
        <v>26</v>
      </c>
      <c r="M2312" t="s">
        <v>21</v>
      </c>
      <c r="N2312">
        <v>3.47</v>
      </c>
      <c r="O2312">
        <v>2301</v>
      </c>
      <c r="P2312">
        <v>4.87</v>
      </c>
      <c r="Q2312">
        <v>180</v>
      </c>
      <c r="R2312">
        <v>671</v>
      </c>
    </row>
    <row r="2313" spans="1:18" hidden="1" x14ac:dyDescent="0.2">
      <c r="A2313">
        <v>6</v>
      </c>
      <c r="B2313" t="s">
        <v>83</v>
      </c>
      <c r="E2313" t="s">
        <v>36</v>
      </c>
      <c r="F2313">
        <v>1241119</v>
      </c>
      <c r="G2313">
        <v>1</v>
      </c>
      <c r="H2313">
        <v>2</v>
      </c>
      <c r="I2313">
        <v>800</v>
      </c>
      <c r="J2313">
        <v>1961</v>
      </c>
      <c r="K2313" s="4">
        <v>45188</v>
      </c>
      <c r="L2313" t="s">
        <v>20</v>
      </c>
      <c r="M2313" t="s">
        <v>97</v>
      </c>
      <c r="N2313">
        <v>3.37</v>
      </c>
      <c r="O2313">
        <v>953</v>
      </c>
      <c r="P2313">
        <v>3.3</v>
      </c>
      <c r="Q2313">
        <v>123</v>
      </c>
      <c r="R2313">
        <v>598</v>
      </c>
    </row>
    <row r="2314" spans="1:18" hidden="1" x14ac:dyDescent="0.2">
      <c r="A2314">
        <v>9</v>
      </c>
      <c r="B2314" t="s">
        <v>48</v>
      </c>
      <c r="E2314" t="s">
        <v>51</v>
      </c>
      <c r="F2314">
        <v>2714287</v>
      </c>
      <c r="G2314">
        <v>2</v>
      </c>
      <c r="H2314">
        <v>2</v>
      </c>
      <c r="I2314">
        <v>222</v>
      </c>
      <c r="J2314">
        <v>2008</v>
      </c>
      <c r="K2314" s="4">
        <v>45518</v>
      </c>
      <c r="L2314" t="s">
        <v>26</v>
      </c>
      <c r="M2314" t="s">
        <v>24</v>
      </c>
      <c r="N2314">
        <v>2.48</v>
      </c>
      <c r="O2314">
        <v>1231</v>
      </c>
      <c r="P2314">
        <v>0.18</v>
      </c>
      <c r="Q2314">
        <v>119</v>
      </c>
      <c r="R2314">
        <v>666</v>
      </c>
    </row>
    <row r="2315" spans="1:18" x14ac:dyDescent="0.2">
      <c r="A2315">
        <v>8</v>
      </c>
      <c r="B2315" t="s">
        <v>98</v>
      </c>
      <c r="E2315" t="s">
        <v>29</v>
      </c>
      <c r="F2315">
        <v>1514992</v>
      </c>
      <c r="G2315">
        <v>3</v>
      </c>
      <c r="H2315">
        <v>3</v>
      </c>
      <c r="I2315">
        <v>890</v>
      </c>
      <c r="J2315">
        <v>1975</v>
      </c>
      <c r="K2315" s="4">
        <v>45320</v>
      </c>
      <c r="L2315" t="s">
        <v>20</v>
      </c>
      <c r="M2315" t="s">
        <v>74</v>
      </c>
      <c r="N2315">
        <v>2.2200000000000002</v>
      </c>
      <c r="O2315">
        <v>2395</v>
      </c>
      <c r="P2315">
        <v>3.21</v>
      </c>
      <c r="Q2315">
        <v>295</v>
      </c>
      <c r="R2315">
        <v>541</v>
      </c>
    </row>
    <row r="2316" spans="1:18" hidden="1" x14ac:dyDescent="0.2">
      <c r="A2316">
        <v>6</v>
      </c>
      <c r="B2316" t="s">
        <v>57</v>
      </c>
      <c r="E2316" t="s">
        <v>29</v>
      </c>
      <c r="F2316">
        <v>1993087</v>
      </c>
      <c r="G2316">
        <v>4</v>
      </c>
      <c r="H2316">
        <v>2</v>
      </c>
      <c r="I2316">
        <v>751</v>
      </c>
      <c r="J2316">
        <v>1973</v>
      </c>
      <c r="K2316" s="4">
        <v>45165</v>
      </c>
      <c r="L2316" t="s">
        <v>20</v>
      </c>
      <c r="M2316" t="s">
        <v>70</v>
      </c>
      <c r="N2316">
        <v>1.94</v>
      </c>
      <c r="O2316">
        <v>1061</v>
      </c>
      <c r="P2316">
        <v>1.78</v>
      </c>
      <c r="Q2316">
        <v>396</v>
      </c>
      <c r="R2316">
        <v>446</v>
      </c>
    </row>
    <row r="2317" spans="1:18" hidden="1" x14ac:dyDescent="0.2">
      <c r="A2317">
        <v>3</v>
      </c>
      <c r="B2317" t="s">
        <v>87</v>
      </c>
      <c r="E2317" t="s">
        <v>19</v>
      </c>
      <c r="F2317">
        <v>1393304</v>
      </c>
      <c r="G2317">
        <v>4</v>
      </c>
      <c r="H2317">
        <v>2</v>
      </c>
      <c r="I2317">
        <v>483</v>
      </c>
      <c r="J2317">
        <v>1994</v>
      </c>
      <c r="K2317" s="4">
        <v>44229</v>
      </c>
      <c r="L2317" t="s">
        <v>20</v>
      </c>
      <c r="M2317" t="s">
        <v>89</v>
      </c>
      <c r="N2317">
        <v>3.23</v>
      </c>
      <c r="O2317">
        <v>824</v>
      </c>
      <c r="P2317">
        <v>1.26</v>
      </c>
      <c r="Q2317">
        <v>177</v>
      </c>
      <c r="R2317">
        <v>527</v>
      </c>
    </row>
    <row r="2318" spans="1:18" hidden="1" x14ac:dyDescent="0.2">
      <c r="A2318">
        <v>3</v>
      </c>
      <c r="B2318" t="s">
        <v>95</v>
      </c>
      <c r="E2318" t="s">
        <v>19</v>
      </c>
      <c r="F2318">
        <v>2116361</v>
      </c>
      <c r="G2318">
        <v>2</v>
      </c>
      <c r="H2318">
        <v>3</v>
      </c>
      <c r="I2318">
        <v>91</v>
      </c>
      <c r="J2318">
        <v>1969</v>
      </c>
      <c r="K2318" s="4">
        <v>45807</v>
      </c>
      <c r="L2318" t="s">
        <v>23</v>
      </c>
      <c r="M2318" t="s">
        <v>35</v>
      </c>
      <c r="N2318">
        <v>3.47</v>
      </c>
      <c r="O2318">
        <v>2395</v>
      </c>
      <c r="P2318">
        <v>4.8899999999999997</v>
      </c>
      <c r="Q2318">
        <v>220</v>
      </c>
      <c r="R2318">
        <v>659</v>
      </c>
    </row>
    <row r="2319" spans="1:18" hidden="1" x14ac:dyDescent="0.2">
      <c r="A2319">
        <v>7</v>
      </c>
      <c r="B2319" t="s">
        <v>79</v>
      </c>
      <c r="E2319" t="s">
        <v>36</v>
      </c>
      <c r="F2319">
        <v>950724</v>
      </c>
      <c r="G2319">
        <v>2</v>
      </c>
      <c r="H2319">
        <v>2</v>
      </c>
      <c r="I2319">
        <v>695</v>
      </c>
      <c r="J2319">
        <v>1984</v>
      </c>
      <c r="K2319" s="4">
        <v>45493</v>
      </c>
      <c r="L2319" t="s">
        <v>30</v>
      </c>
      <c r="M2319" t="s">
        <v>60</v>
      </c>
      <c r="N2319">
        <v>2.0499999999999998</v>
      </c>
      <c r="O2319">
        <v>2418</v>
      </c>
      <c r="P2319">
        <v>3.65</v>
      </c>
      <c r="Q2319">
        <v>146</v>
      </c>
      <c r="R2319">
        <v>466</v>
      </c>
    </row>
    <row r="2320" spans="1:18" x14ac:dyDescent="0.2">
      <c r="A2320">
        <v>8</v>
      </c>
      <c r="B2320" t="s">
        <v>38</v>
      </c>
      <c r="E2320" t="s">
        <v>36</v>
      </c>
      <c r="F2320">
        <v>1382296</v>
      </c>
      <c r="G2320">
        <v>2</v>
      </c>
      <c r="H2320">
        <v>2</v>
      </c>
      <c r="I2320">
        <v>102</v>
      </c>
      <c r="J2320">
        <v>1954</v>
      </c>
      <c r="K2320" s="4">
        <v>45110</v>
      </c>
      <c r="L2320" t="s">
        <v>30</v>
      </c>
      <c r="M2320" t="s">
        <v>21</v>
      </c>
      <c r="N2320">
        <v>2.2400000000000002</v>
      </c>
      <c r="O2320">
        <v>1613</v>
      </c>
      <c r="P2320">
        <v>1.48</v>
      </c>
      <c r="Q2320">
        <v>103</v>
      </c>
      <c r="R2320">
        <v>678</v>
      </c>
    </row>
    <row r="2321" spans="1:18" hidden="1" x14ac:dyDescent="0.2">
      <c r="A2321">
        <v>6</v>
      </c>
      <c r="B2321" t="s">
        <v>34</v>
      </c>
      <c r="E2321" t="s">
        <v>36</v>
      </c>
      <c r="F2321">
        <v>1212545</v>
      </c>
      <c r="G2321">
        <v>4</v>
      </c>
      <c r="H2321">
        <v>2</v>
      </c>
      <c r="I2321">
        <v>150</v>
      </c>
      <c r="J2321">
        <v>1993</v>
      </c>
      <c r="K2321" s="4">
        <v>44289</v>
      </c>
      <c r="L2321" t="s">
        <v>20</v>
      </c>
      <c r="M2321" t="s">
        <v>82</v>
      </c>
      <c r="N2321">
        <v>2.92</v>
      </c>
      <c r="O2321">
        <v>803</v>
      </c>
      <c r="P2321">
        <v>4.04</v>
      </c>
      <c r="Q2321">
        <v>171</v>
      </c>
      <c r="R2321">
        <v>612</v>
      </c>
    </row>
    <row r="2322" spans="1:18" hidden="1" x14ac:dyDescent="0.2">
      <c r="A2322">
        <v>5</v>
      </c>
      <c r="B2322" t="s">
        <v>64</v>
      </c>
      <c r="E2322" t="s">
        <v>29</v>
      </c>
      <c r="F2322">
        <v>2041839</v>
      </c>
      <c r="G2322">
        <v>4</v>
      </c>
      <c r="H2322">
        <v>1</v>
      </c>
      <c r="I2322">
        <v>818</v>
      </c>
      <c r="J2322">
        <v>1950</v>
      </c>
      <c r="K2322" s="4">
        <v>44697</v>
      </c>
      <c r="L2322" t="s">
        <v>30</v>
      </c>
      <c r="M2322" t="s">
        <v>31</v>
      </c>
      <c r="N2322">
        <v>3.07</v>
      </c>
      <c r="O2322">
        <v>1001</v>
      </c>
      <c r="P2322">
        <v>2.84</v>
      </c>
      <c r="Q2322">
        <v>393</v>
      </c>
      <c r="R2322">
        <v>443</v>
      </c>
    </row>
    <row r="2323" spans="1:18" hidden="1" x14ac:dyDescent="0.2">
      <c r="A2323">
        <v>6</v>
      </c>
      <c r="B2323" t="s">
        <v>101</v>
      </c>
      <c r="E2323" t="s">
        <v>29</v>
      </c>
      <c r="F2323">
        <v>802429</v>
      </c>
      <c r="G2323">
        <v>0</v>
      </c>
      <c r="H2323">
        <v>2</v>
      </c>
      <c r="I2323">
        <v>951</v>
      </c>
      <c r="J2323">
        <v>1977</v>
      </c>
      <c r="K2323" s="4">
        <v>45839</v>
      </c>
      <c r="L2323" t="s">
        <v>20</v>
      </c>
      <c r="M2323" t="s">
        <v>97</v>
      </c>
      <c r="N2323">
        <v>1.91</v>
      </c>
      <c r="O2323">
        <v>1749</v>
      </c>
      <c r="P2323">
        <v>4.88</v>
      </c>
      <c r="Q2323">
        <v>66</v>
      </c>
      <c r="R2323">
        <v>341</v>
      </c>
    </row>
    <row r="2324" spans="1:18" hidden="1" x14ac:dyDescent="0.2">
      <c r="A2324">
        <v>9</v>
      </c>
      <c r="B2324" t="s">
        <v>100</v>
      </c>
      <c r="E2324" t="s">
        <v>29</v>
      </c>
      <c r="F2324">
        <v>1724581</v>
      </c>
      <c r="G2324">
        <v>0</v>
      </c>
      <c r="H2324">
        <v>3</v>
      </c>
      <c r="I2324">
        <v>517</v>
      </c>
      <c r="J2324">
        <v>1985</v>
      </c>
      <c r="K2324" s="4">
        <v>45194</v>
      </c>
      <c r="L2324" t="s">
        <v>30</v>
      </c>
      <c r="M2324" t="s">
        <v>35</v>
      </c>
      <c r="N2324">
        <v>1.89</v>
      </c>
      <c r="O2324">
        <v>1771</v>
      </c>
      <c r="P2324">
        <v>0.13</v>
      </c>
      <c r="Q2324">
        <v>47</v>
      </c>
      <c r="R2324">
        <v>436</v>
      </c>
    </row>
    <row r="2325" spans="1:18" hidden="1" x14ac:dyDescent="0.2">
      <c r="A2325">
        <v>2</v>
      </c>
      <c r="B2325" t="s">
        <v>48</v>
      </c>
      <c r="E2325" t="s">
        <v>36</v>
      </c>
      <c r="F2325">
        <v>2593546</v>
      </c>
      <c r="G2325">
        <v>3</v>
      </c>
      <c r="H2325">
        <v>3</v>
      </c>
      <c r="I2325">
        <v>801</v>
      </c>
      <c r="J2325">
        <v>2003</v>
      </c>
      <c r="K2325" s="4">
        <v>45806</v>
      </c>
      <c r="L2325" t="s">
        <v>30</v>
      </c>
      <c r="M2325" t="s">
        <v>74</v>
      </c>
      <c r="N2325">
        <v>3.19</v>
      </c>
      <c r="O2325">
        <v>989</v>
      </c>
      <c r="P2325">
        <v>4.3899999999999997</v>
      </c>
      <c r="Q2325">
        <v>305</v>
      </c>
      <c r="R2325">
        <v>307</v>
      </c>
    </row>
    <row r="2326" spans="1:18" hidden="1" x14ac:dyDescent="0.2">
      <c r="A2326">
        <v>2</v>
      </c>
      <c r="B2326" t="s">
        <v>100</v>
      </c>
      <c r="E2326" t="s">
        <v>19</v>
      </c>
      <c r="F2326">
        <v>2862613</v>
      </c>
      <c r="G2326">
        <v>2</v>
      </c>
      <c r="H2326">
        <v>3</v>
      </c>
      <c r="I2326">
        <v>129</v>
      </c>
      <c r="J2326">
        <v>1978</v>
      </c>
      <c r="K2326" s="4">
        <v>45807</v>
      </c>
      <c r="L2326" t="s">
        <v>20</v>
      </c>
      <c r="M2326" t="s">
        <v>63</v>
      </c>
      <c r="N2326">
        <v>2.17</v>
      </c>
      <c r="O2326">
        <v>1879</v>
      </c>
      <c r="P2326">
        <v>1.0900000000000001</v>
      </c>
      <c r="Q2326">
        <v>102</v>
      </c>
      <c r="R2326">
        <v>665</v>
      </c>
    </row>
    <row r="2327" spans="1:18" x14ac:dyDescent="0.2">
      <c r="A2327">
        <v>8</v>
      </c>
      <c r="B2327" t="s">
        <v>32</v>
      </c>
      <c r="E2327" t="s">
        <v>29</v>
      </c>
      <c r="F2327">
        <v>712589</v>
      </c>
      <c r="G2327">
        <v>1</v>
      </c>
      <c r="H2327">
        <v>3</v>
      </c>
      <c r="I2327">
        <v>452</v>
      </c>
      <c r="J2327">
        <v>1958</v>
      </c>
      <c r="K2327" s="4">
        <v>44437</v>
      </c>
      <c r="L2327" t="s">
        <v>30</v>
      </c>
      <c r="M2327" t="s">
        <v>24</v>
      </c>
      <c r="N2327">
        <v>2.79</v>
      </c>
      <c r="O2327">
        <v>1834</v>
      </c>
      <c r="P2327">
        <v>2.76</v>
      </c>
      <c r="Q2327">
        <v>60</v>
      </c>
      <c r="R2327">
        <v>349</v>
      </c>
    </row>
    <row r="2328" spans="1:18" hidden="1" x14ac:dyDescent="0.2">
      <c r="A2328">
        <v>7</v>
      </c>
      <c r="B2328" t="s">
        <v>48</v>
      </c>
      <c r="E2328" t="s">
        <v>51</v>
      </c>
      <c r="F2328">
        <v>627238</v>
      </c>
      <c r="G2328">
        <v>6</v>
      </c>
      <c r="H2328">
        <v>3</v>
      </c>
      <c r="I2328">
        <v>903</v>
      </c>
      <c r="J2328">
        <v>2007</v>
      </c>
      <c r="K2328" s="4">
        <v>45582</v>
      </c>
      <c r="L2328" t="s">
        <v>20</v>
      </c>
      <c r="M2328" t="s">
        <v>69</v>
      </c>
      <c r="N2328">
        <v>1.8</v>
      </c>
      <c r="O2328">
        <v>1440</v>
      </c>
      <c r="P2328">
        <v>0.55000000000000004</v>
      </c>
      <c r="Q2328">
        <v>329</v>
      </c>
      <c r="R2328">
        <v>397</v>
      </c>
    </row>
    <row r="2329" spans="1:18" hidden="1" x14ac:dyDescent="0.2">
      <c r="A2329">
        <v>5</v>
      </c>
      <c r="B2329" t="s">
        <v>88</v>
      </c>
      <c r="E2329" t="s">
        <v>51</v>
      </c>
      <c r="F2329">
        <v>2007181</v>
      </c>
      <c r="G2329">
        <v>6</v>
      </c>
      <c r="H2329">
        <v>2</v>
      </c>
      <c r="I2329">
        <v>361</v>
      </c>
      <c r="J2329">
        <v>1958</v>
      </c>
      <c r="K2329" s="4">
        <v>44409</v>
      </c>
      <c r="L2329" t="s">
        <v>30</v>
      </c>
      <c r="M2329" t="s">
        <v>52</v>
      </c>
      <c r="N2329">
        <v>2.2999999999999998</v>
      </c>
      <c r="O2329">
        <v>2320</v>
      </c>
      <c r="P2329">
        <v>0.1</v>
      </c>
      <c r="Q2329">
        <v>339</v>
      </c>
      <c r="R2329">
        <v>335</v>
      </c>
    </row>
    <row r="2330" spans="1:18" hidden="1" x14ac:dyDescent="0.2">
      <c r="A2330">
        <v>3</v>
      </c>
      <c r="B2330" t="s">
        <v>57</v>
      </c>
      <c r="E2330" t="s">
        <v>29</v>
      </c>
      <c r="F2330">
        <v>1560707</v>
      </c>
      <c r="G2330">
        <v>5</v>
      </c>
      <c r="H2330">
        <v>1</v>
      </c>
      <c r="I2330">
        <v>775</v>
      </c>
      <c r="J2330">
        <v>1985</v>
      </c>
      <c r="K2330" s="4">
        <v>44535</v>
      </c>
      <c r="L2330" t="s">
        <v>23</v>
      </c>
      <c r="M2330" t="s">
        <v>76</v>
      </c>
      <c r="N2330">
        <v>3</v>
      </c>
      <c r="O2330">
        <v>2294</v>
      </c>
      <c r="P2330">
        <v>0.56999999999999995</v>
      </c>
      <c r="Q2330">
        <v>321</v>
      </c>
      <c r="R2330">
        <v>580</v>
      </c>
    </row>
    <row r="2331" spans="1:18" x14ac:dyDescent="0.2">
      <c r="A2331">
        <v>8</v>
      </c>
      <c r="B2331" t="s">
        <v>32</v>
      </c>
      <c r="E2331" t="s">
        <v>36</v>
      </c>
      <c r="F2331">
        <v>2473004</v>
      </c>
      <c r="G2331">
        <v>3</v>
      </c>
      <c r="H2331">
        <v>2</v>
      </c>
      <c r="I2331">
        <v>203</v>
      </c>
      <c r="J2331">
        <v>1969</v>
      </c>
      <c r="K2331" s="4">
        <v>44476</v>
      </c>
      <c r="L2331" t="s">
        <v>26</v>
      </c>
      <c r="M2331" t="s">
        <v>63</v>
      </c>
      <c r="N2331">
        <v>2.83</v>
      </c>
      <c r="O2331">
        <v>2461</v>
      </c>
      <c r="P2331">
        <v>3.03</v>
      </c>
      <c r="Q2331">
        <v>216</v>
      </c>
      <c r="R2331">
        <v>547</v>
      </c>
    </row>
    <row r="2332" spans="1:18" hidden="1" x14ac:dyDescent="0.2">
      <c r="A2332">
        <v>4</v>
      </c>
      <c r="B2332" t="s">
        <v>41</v>
      </c>
      <c r="E2332" t="s">
        <v>29</v>
      </c>
      <c r="F2332">
        <v>2907146</v>
      </c>
      <c r="G2332">
        <v>1</v>
      </c>
      <c r="H2332">
        <v>3</v>
      </c>
      <c r="I2332">
        <v>688</v>
      </c>
      <c r="J2332">
        <v>1959</v>
      </c>
      <c r="K2332" s="4">
        <v>45071</v>
      </c>
      <c r="L2332" t="s">
        <v>30</v>
      </c>
      <c r="M2332" t="s">
        <v>63</v>
      </c>
      <c r="N2332">
        <v>1.8</v>
      </c>
      <c r="O2332">
        <v>2085</v>
      </c>
      <c r="P2332">
        <v>1.55</v>
      </c>
      <c r="Q2332">
        <v>50</v>
      </c>
      <c r="R2332">
        <v>443</v>
      </c>
    </row>
    <row r="2333" spans="1:18" hidden="1" x14ac:dyDescent="0.2">
      <c r="A2333">
        <v>1</v>
      </c>
      <c r="B2333" t="s">
        <v>39</v>
      </c>
      <c r="E2333" t="s">
        <v>36</v>
      </c>
      <c r="F2333">
        <v>2287737</v>
      </c>
      <c r="G2333">
        <v>1</v>
      </c>
      <c r="H2333">
        <v>3</v>
      </c>
      <c r="I2333">
        <v>445</v>
      </c>
      <c r="J2333">
        <v>1974</v>
      </c>
      <c r="K2333" s="4">
        <v>44785</v>
      </c>
      <c r="L2333" t="s">
        <v>20</v>
      </c>
      <c r="M2333" t="s">
        <v>42</v>
      </c>
      <c r="N2333">
        <v>1.54</v>
      </c>
      <c r="O2333">
        <v>1795</v>
      </c>
      <c r="P2333">
        <v>1.98</v>
      </c>
      <c r="Q2333">
        <v>89</v>
      </c>
      <c r="R2333">
        <v>638</v>
      </c>
    </row>
    <row r="2334" spans="1:18" x14ac:dyDescent="0.2">
      <c r="A2334">
        <v>8</v>
      </c>
      <c r="B2334" t="s">
        <v>25</v>
      </c>
      <c r="E2334" t="s">
        <v>19</v>
      </c>
      <c r="F2334">
        <v>436359</v>
      </c>
      <c r="G2334">
        <v>1</v>
      </c>
      <c r="H2334">
        <v>3</v>
      </c>
      <c r="I2334">
        <v>655</v>
      </c>
      <c r="J2334">
        <v>2007</v>
      </c>
      <c r="K2334" s="4">
        <v>45110</v>
      </c>
      <c r="L2334" t="s">
        <v>23</v>
      </c>
      <c r="M2334" t="s">
        <v>58</v>
      </c>
      <c r="N2334">
        <v>1.83</v>
      </c>
      <c r="O2334">
        <v>2233</v>
      </c>
      <c r="P2334">
        <v>2.27</v>
      </c>
      <c r="Q2334">
        <v>65</v>
      </c>
      <c r="R2334">
        <v>393</v>
      </c>
    </row>
    <row r="2335" spans="1:18" hidden="1" x14ac:dyDescent="0.2">
      <c r="A2335">
        <v>4</v>
      </c>
      <c r="B2335" t="s">
        <v>93</v>
      </c>
      <c r="E2335" t="s">
        <v>19</v>
      </c>
      <c r="F2335">
        <v>842964</v>
      </c>
      <c r="G2335">
        <v>3</v>
      </c>
      <c r="H2335">
        <v>1</v>
      </c>
      <c r="I2335">
        <v>593</v>
      </c>
      <c r="J2335">
        <v>1962</v>
      </c>
      <c r="K2335" s="4">
        <v>44813</v>
      </c>
      <c r="L2335" t="s">
        <v>30</v>
      </c>
      <c r="M2335" t="s">
        <v>78</v>
      </c>
      <c r="N2335">
        <v>2.0699999999999998</v>
      </c>
      <c r="O2335">
        <v>1466</v>
      </c>
      <c r="P2335">
        <v>0.95</v>
      </c>
      <c r="Q2335">
        <v>193</v>
      </c>
      <c r="R2335">
        <v>507</v>
      </c>
    </row>
    <row r="2336" spans="1:18" hidden="1" x14ac:dyDescent="0.2">
      <c r="A2336">
        <v>9</v>
      </c>
      <c r="B2336" t="s">
        <v>80</v>
      </c>
      <c r="E2336" t="s">
        <v>36</v>
      </c>
      <c r="F2336">
        <v>536688</v>
      </c>
      <c r="G2336">
        <v>4</v>
      </c>
      <c r="H2336">
        <v>1</v>
      </c>
      <c r="I2336">
        <v>700</v>
      </c>
      <c r="J2336">
        <v>1951</v>
      </c>
      <c r="K2336" s="4">
        <v>45833</v>
      </c>
      <c r="L2336" t="s">
        <v>20</v>
      </c>
      <c r="M2336" t="s">
        <v>45</v>
      </c>
      <c r="N2336">
        <v>3.38</v>
      </c>
      <c r="O2336">
        <v>1170</v>
      </c>
      <c r="P2336">
        <v>1.57</v>
      </c>
      <c r="Q2336">
        <v>272</v>
      </c>
      <c r="R2336">
        <v>300</v>
      </c>
    </row>
    <row r="2337" spans="1:18" hidden="1" x14ac:dyDescent="0.2">
      <c r="A2337">
        <v>9</v>
      </c>
      <c r="B2337" t="s">
        <v>72</v>
      </c>
      <c r="E2337" t="s">
        <v>29</v>
      </c>
      <c r="F2337">
        <v>1706092</v>
      </c>
      <c r="G2337">
        <v>4</v>
      </c>
      <c r="H2337">
        <v>1</v>
      </c>
      <c r="I2337">
        <v>412</v>
      </c>
      <c r="J2337">
        <v>1976</v>
      </c>
      <c r="K2337" s="4">
        <v>44700</v>
      </c>
      <c r="L2337" t="s">
        <v>23</v>
      </c>
      <c r="M2337" t="s">
        <v>77</v>
      </c>
      <c r="N2337">
        <v>1.87</v>
      </c>
      <c r="O2337">
        <v>1575</v>
      </c>
      <c r="P2337">
        <v>4.13</v>
      </c>
      <c r="Q2337">
        <v>285</v>
      </c>
      <c r="R2337">
        <v>387</v>
      </c>
    </row>
    <row r="2338" spans="1:18" hidden="1" x14ac:dyDescent="0.2">
      <c r="A2338">
        <v>0</v>
      </c>
      <c r="B2338" t="s">
        <v>98</v>
      </c>
      <c r="E2338" t="s">
        <v>51</v>
      </c>
      <c r="F2338">
        <v>2840792</v>
      </c>
      <c r="G2338">
        <v>3</v>
      </c>
      <c r="H2338">
        <v>1</v>
      </c>
      <c r="I2338">
        <v>592</v>
      </c>
      <c r="J2338">
        <v>1964</v>
      </c>
      <c r="K2338" s="4">
        <v>44769</v>
      </c>
      <c r="L2338" t="s">
        <v>30</v>
      </c>
      <c r="M2338" t="s">
        <v>35</v>
      </c>
      <c r="N2338">
        <v>2.52</v>
      </c>
      <c r="O2338">
        <v>889</v>
      </c>
      <c r="P2338">
        <v>2.99</v>
      </c>
      <c r="Q2338">
        <v>264</v>
      </c>
      <c r="R2338">
        <v>472</v>
      </c>
    </row>
    <row r="2339" spans="1:18" hidden="1" x14ac:dyDescent="0.2">
      <c r="A2339">
        <v>3</v>
      </c>
      <c r="B2339" t="s">
        <v>28</v>
      </c>
      <c r="E2339" t="s">
        <v>19</v>
      </c>
      <c r="F2339">
        <v>2137543</v>
      </c>
      <c r="G2339">
        <v>2</v>
      </c>
      <c r="H2339">
        <v>3</v>
      </c>
      <c r="I2339">
        <v>905</v>
      </c>
      <c r="J2339">
        <v>1950</v>
      </c>
      <c r="K2339" s="4">
        <v>45825</v>
      </c>
      <c r="L2339" t="s">
        <v>30</v>
      </c>
      <c r="M2339" t="s">
        <v>40</v>
      </c>
      <c r="N2339">
        <v>1.93</v>
      </c>
      <c r="O2339">
        <v>1400</v>
      </c>
      <c r="P2339">
        <v>1.1100000000000001</v>
      </c>
      <c r="Q2339">
        <v>179</v>
      </c>
      <c r="R2339">
        <v>651</v>
      </c>
    </row>
    <row r="2340" spans="1:18" hidden="1" x14ac:dyDescent="0.2">
      <c r="A2340">
        <v>9</v>
      </c>
      <c r="B2340" t="s">
        <v>88</v>
      </c>
      <c r="E2340" t="s">
        <v>29</v>
      </c>
      <c r="F2340">
        <v>1956199</v>
      </c>
      <c r="G2340">
        <v>5</v>
      </c>
      <c r="H2340">
        <v>1</v>
      </c>
      <c r="I2340">
        <v>401</v>
      </c>
      <c r="J2340">
        <v>1981</v>
      </c>
      <c r="K2340" s="4">
        <v>45595</v>
      </c>
      <c r="L2340" t="s">
        <v>26</v>
      </c>
      <c r="M2340" t="s">
        <v>27</v>
      </c>
      <c r="N2340">
        <v>3.42</v>
      </c>
      <c r="O2340">
        <v>2292</v>
      </c>
      <c r="P2340">
        <v>2.15</v>
      </c>
      <c r="Q2340">
        <v>311</v>
      </c>
      <c r="R2340">
        <v>446</v>
      </c>
    </row>
    <row r="2341" spans="1:18" hidden="1" x14ac:dyDescent="0.2">
      <c r="A2341">
        <v>1</v>
      </c>
      <c r="B2341" t="s">
        <v>28</v>
      </c>
      <c r="E2341" t="s">
        <v>36</v>
      </c>
      <c r="F2341">
        <v>1372914</v>
      </c>
      <c r="G2341">
        <v>4</v>
      </c>
      <c r="H2341">
        <v>1</v>
      </c>
      <c r="I2341">
        <v>808</v>
      </c>
      <c r="J2341">
        <v>1996</v>
      </c>
      <c r="K2341" s="4">
        <v>44481</v>
      </c>
      <c r="L2341" t="s">
        <v>30</v>
      </c>
      <c r="M2341" t="s">
        <v>35</v>
      </c>
      <c r="N2341">
        <v>2.0499999999999998</v>
      </c>
      <c r="O2341">
        <v>1973</v>
      </c>
      <c r="P2341">
        <v>1.81</v>
      </c>
      <c r="Q2341">
        <v>375</v>
      </c>
      <c r="R2341">
        <v>625</v>
      </c>
    </row>
    <row r="2342" spans="1:18" hidden="1" x14ac:dyDescent="0.2">
      <c r="A2342">
        <v>7</v>
      </c>
      <c r="B2342" t="s">
        <v>84</v>
      </c>
      <c r="E2342" t="s">
        <v>51</v>
      </c>
      <c r="F2342">
        <v>2841956</v>
      </c>
      <c r="G2342">
        <v>2</v>
      </c>
      <c r="H2342">
        <v>1</v>
      </c>
      <c r="I2342">
        <v>182</v>
      </c>
      <c r="J2342">
        <v>1973</v>
      </c>
      <c r="K2342" s="4">
        <v>45844</v>
      </c>
      <c r="L2342" t="s">
        <v>26</v>
      </c>
      <c r="M2342" t="s">
        <v>70</v>
      </c>
      <c r="N2342">
        <v>3.09</v>
      </c>
      <c r="O2342">
        <v>1539</v>
      </c>
      <c r="P2342">
        <v>1.58</v>
      </c>
      <c r="Q2342">
        <v>166</v>
      </c>
      <c r="R2342">
        <v>362</v>
      </c>
    </row>
    <row r="2343" spans="1:18" hidden="1" x14ac:dyDescent="0.2">
      <c r="A2343">
        <v>3</v>
      </c>
      <c r="B2343" t="s">
        <v>75</v>
      </c>
      <c r="E2343" t="s">
        <v>29</v>
      </c>
      <c r="F2343">
        <v>1026814</v>
      </c>
      <c r="G2343">
        <v>1</v>
      </c>
      <c r="H2343">
        <v>3</v>
      </c>
      <c r="I2343">
        <v>133</v>
      </c>
      <c r="J2343">
        <v>2013</v>
      </c>
      <c r="K2343" s="4">
        <v>45592</v>
      </c>
      <c r="L2343" t="s">
        <v>23</v>
      </c>
      <c r="M2343" t="s">
        <v>54</v>
      </c>
      <c r="N2343">
        <v>3.14</v>
      </c>
      <c r="O2343">
        <v>1448</v>
      </c>
      <c r="P2343">
        <v>2.89</v>
      </c>
      <c r="Q2343">
        <v>83</v>
      </c>
      <c r="R2343">
        <v>374</v>
      </c>
    </row>
    <row r="2344" spans="1:18" hidden="1" x14ac:dyDescent="0.2">
      <c r="A2344">
        <v>6</v>
      </c>
      <c r="B2344" t="s">
        <v>101</v>
      </c>
      <c r="E2344" t="s">
        <v>19</v>
      </c>
      <c r="F2344">
        <v>1914946</v>
      </c>
      <c r="G2344">
        <v>4</v>
      </c>
      <c r="H2344">
        <v>3</v>
      </c>
      <c r="I2344">
        <v>940</v>
      </c>
      <c r="J2344">
        <v>1953</v>
      </c>
      <c r="K2344" s="4">
        <v>45867</v>
      </c>
      <c r="L2344" t="s">
        <v>23</v>
      </c>
      <c r="M2344" t="s">
        <v>85</v>
      </c>
      <c r="N2344">
        <v>1.56</v>
      </c>
      <c r="O2344">
        <v>2278</v>
      </c>
      <c r="P2344">
        <v>1.08</v>
      </c>
      <c r="Q2344">
        <v>246</v>
      </c>
      <c r="R2344">
        <v>551</v>
      </c>
    </row>
    <row r="2345" spans="1:18" hidden="1" x14ac:dyDescent="0.2">
      <c r="A2345">
        <v>7</v>
      </c>
      <c r="B2345" t="s">
        <v>49</v>
      </c>
      <c r="E2345" t="s">
        <v>29</v>
      </c>
      <c r="F2345">
        <v>2030996</v>
      </c>
      <c r="G2345">
        <v>2</v>
      </c>
      <c r="H2345">
        <v>2</v>
      </c>
      <c r="I2345">
        <v>416</v>
      </c>
      <c r="J2345">
        <v>1950</v>
      </c>
      <c r="K2345" s="4">
        <v>45227</v>
      </c>
      <c r="L2345" t="s">
        <v>23</v>
      </c>
      <c r="M2345" t="s">
        <v>70</v>
      </c>
      <c r="N2345">
        <v>1.79</v>
      </c>
      <c r="O2345">
        <v>2465</v>
      </c>
      <c r="P2345">
        <v>2.42</v>
      </c>
      <c r="Q2345">
        <v>162</v>
      </c>
      <c r="R2345">
        <v>460</v>
      </c>
    </row>
    <row r="2346" spans="1:18" hidden="1" x14ac:dyDescent="0.2">
      <c r="A2346">
        <v>3</v>
      </c>
      <c r="B2346" t="s">
        <v>93</v>
      </c>
      <c r="E2346" t="s">
        <v>19</v>
      </c>
      <c r="F2346">
        <v>1779770</v>
      </c>
      <c r="G2346">
        <v>5</v>
      </c>
      <c r="H2346">
        <v>2</v>
      </c>
      <c r="I2346">
        <v>343</v>
      </c>
      <c r="J2346">
        <v>2007</v>
      </c>
      <c r="K2346" s="4">
        <v>44180</v>
      </c>
      <c r="L2346" t="s">
        <v>26</v>
      </c>
      <c r="M2346" t="s">
        <v>85</v>
      </c>
      <c r="N2346">
        <v>3.03</v>
      </c>
      <c r="O2346">
        <v>2104</v>
      </c>
      <c r="P2346">
        <v>1.18</v>
      </c>
      <c r="Q2346">
        <v>343</v>
      </c>
      <c r="R2346">
        <v>388</v>
      </c>
    </row>
    <row r="2347" spans="1:18" hidden="1" x14ac:dyDescent="0.2">
      <c r="A2347">
        <v>3</v>
      </c>
      <c r="B2347" t="s">
        <v>28</v>
      </c>
      <c r="E2347" t="s">
        <v>51</v>
      </c>
      <c r="F2347">
        <v>920879</v>
      </c>
      <c r="G2347">
        <v>2</v>
      </c>
      <c r="H2347">
        <v>3</v>
      </c>
      <c r="I2347">
        <v>905</v>
      </c>
      <c r="J2347">
        <v>1957</v>
      </c>
      <c r="K2347" s="4">
        <v>45369</v>
      </c>
      <c r="L2347" t="s">
        <v>26</v>
      </c>
      <c r="M2347" t="s">
        <v>70</v>
      </c>
      <c r="N2347">
        <v>3.34</v>
      </c>
      <c r="O2347">
        <v>2435</v>
      </c>
      <c r="P2347">
        <v>4.59</v>
      </c>
      <c r="Q2347">
        <v>235</v>
      </c>
      <c r="R2347">
        <v>642</v>
      </c>
    </row>
    <row r="2348" spans="1:18" hidden="1" x14ac:dyDescent="0.2">
      <c r="A2348">
        <v>0</v>
      </c>
      <c r="B2348" t="s">
        <v>96</v>
      </c>
      <c r="E2348" t="s">
        <v>36</v>
      </c>
      <c r="F2348">
        <v>1780566</v>
      </c>
      <c r="G2348">
        <v>3</v>
      </c>
      <c r="H2348">
        <v>1</v>
      </c>
      <c r="I2348">
        <v>446</v>
      </c>
      <c r="J2348">
        <v>1976</v>
      </c>
      <c r="K2348" s="4">
        <v>44383</v>
      </c>
      <c r="L2348" t="s">
        <v>20</v>
      </c>
      <c r="M2348" t="s">
        <v>31</v>
      </c>
      <c r="N2348">
        <v>2.9</v>
      </c>
      <c r="O2348">
        <v>2346</v>
      </c>
      <c r="P2348">
        <v>1.01</v>
      </c>
      <c r="Q2348">
        <v>288</v>
      </c>
      <c r="R2348">
        <v>568</v>
      </c>
    </row>
    <row r="2349" spans="1:18" hidden="1" x14ac:dyDescent="0.2">
      <c r="A2349">
        <v>9</v>
      </c>
      <c r="B2349" t="s">
        <v>43</v>
      </c>
      <c r="E2349" t="s">
        <v>29</v>
      </c>
      <c r="F2349">
        <v>783819</v>
      </c>
      <c r="G2349">
        <v>4</v>
      </c>
      <c r="H2349">
        <v>2</v>
      </c>
      <c r="I2349">
        <v>521</v>
      </c>
      <c r="J2349">
        <v>2014</v>
      </c>
      <c r="K2349" s="4">
        <v>45436</v>
      </c>
      <c r="L2349" t="s">
        <v>30</v>
      </c>
      <c r="M2349" t="s">
        <v>97</v>
      </c>
      <c r="N2349">
        <v>3.08</v>
      </c>
      <c r="O2349">
        <v>2250</v>
      </c>
      <c r="P2349">
        <v>0.88</v>
      </c>
      <c r="Q2349">
        <v>355</v>
      </c>
      <c r="R2349">
        <v>524</v>
      </c>
    </row>
    <row r="2350" spans="1:18" hidden="1" x14ac:dyDescent="0.2">
      <c r="A2350">
        <v>1</v>
      </c>
      <c r="B2350" t="s">
        <v>104</v>
      </c>
      <c r="E2350" t="s">
        <v>29</v>
      </c>
      <c r="F2350">
        <v>724793</v>
      </c>
      <c r="G2350">
        <v>1</v>
      </c>
      <c r="H2350">
        <v>1</v>
      </c>
      <c r="I2350">
        <v>540</v>
      </c>
      <c r="J2350">
        <v>1983</v>
      </c>
      <c r="K2350" s="4">
        <v>45189</v>
      </c>
      <c r="L2350" t="s">
        <v>23</v>
      </c>
      <c r="M2350" t="s">
        <v>97</v>
      </c>
      <c r="N2350">
        <v>1.52</v>
      </c>
      <c r="O2350">
        <v>1134</v>
      </c>
      <c r="P2350">
        <v>3.7</v>
      </c>
      <c r="Q2350">
        <v>149</v>
      </c>
      <c r="R2350">
        <v>638</v>
      </c>
    </row>
    <row r="2351" spans="1:18" x14ac:dyDescent="0.2">
      <c r="A2351">
        <v>8</v>
      </c>
      <c r="B2351" t="s">
        <v>101</v>
      </c>
      <c r="E2351" t="s">
        <v>19</v>
      </c>
      <c r="F2351">
        <v>2939794</v>
      </c>
      <c r="G2351">
        <v>2</v>
      </c>
      <c r="H2351">
        <v>1</v>
      </c>
      <c r="I2351">
        <v>510</v>
      </c>
      <c r="J2351">
        <v>1967</v>
      </c>
      <c r="K2351" s="4">
        <v>44751</v>
      </c>
      <c r="L2351" t="s">
        <v>23</v>
      </c>
      <c r="M2351" t="s">
        <v>70</v>
      </c>
      <c r="N2351">
        <v>2.11</v>
      </c>
      <c r="O2351">
        <v>1717</v>
      </c>
      <c r="P2351">
        <v>4.1100000000000003</v>
      </c>
      <c r="Q2351">
        <v>210</v>
      </c>
      <c r="R2351">
        <v>558</v>
      </c>
    </row>
    <row r="2352" spans="1:18" hidden="1" x14ac:dyDescent="0.2">
      <c r="A2352">
        <v>7</v>
      </c>
      <c r="B2352" t="s">
        <v>39</v>
      </c>
      <c r="E2352" t="s">
        <v>51</v>
      </c>
      <c r="F2352">
        <v>2377253</v>
      </c>
      <c r="G2352">
        <v>4</v>
      </c>
      <c r="H2352">
        <v>1</v>
      </c>
      <c r="I2352">
        <v>487</v>
      </c>
      <c r="J2352">
        <v>2015</v>
      </c>
      <c r="K2352" s="4">
        <v>45319</v>
      </c>
      <c r="L2352" t="s">
        <v>26</v>
      </c>
      <c r="M2352" t="s">
        <v>70</v>
      </c>
      <c r="N2352">
        <v>2.4500000000000002</v>
      </c>
      <c r="O2352">
        <v>1825</v>
      </c>
      <c r="P2352">
        <v>4.1500000000000004</v>
      </c>
      <c r="Q2352">
        <v>360</v>
      </c>
      <c r="R2352">
        <v>586</v>
      </c>
    </row>
    <row r="2353" spans="1:18" hidden="1" x14ac:dyDescent="0.2">
      <c r="A2353">
        <v>6</v>
      </c>
      <c r="B2353" t="s">
        <v>65</v>
      </c>
      <c r="E2353" t="s">
        <v>51</v>
      </c>
      <c r="F2353">
        <v>905298</v>
      </c>
      <c r="G2353">
        <v>5</v>
      </c>
      <c r="H2353">
        <v>1</v>
      </c>
      <c r="I2353">
        <v>826</v>
      </c>
      <c r="J2353">
        <v>1986</v>
      </c>
      <c r="K2353" s="4">
        <v>44102</v>
      </c>
      <c r="L2353" t="s">
        <v>30</v>
      </c>
      <c r="M2353" t="s">
        <v>58</v>
      </c>
      <c r="N2353">
        <v>2.44</v>
      </c>
      <c r="O2353">
        <v>1810</v>
      </c>
      <c r="P2353">
        <v>4.25</v>
      </c>
      <c r="Q2353">
        <v>374</v>
      </c>
      <c r="R2353">
        <v>537</v>
      </c>
    </row>
    <row r="2354" spans="1:18" hidden="1" x14ac:dyDescent="0.2">
      <c r="A2354">
        <v>0</v>
      </c>
      <c r="B2354" t="s">
        <v>28</v>
      </c>
      <c r="E2354" t="s">
        <v>29</v>
      </c>
      <c r="F2354">
        <v>2684950</v>
      </c>
      <c r="G2354">
        <v>2</v>
      </c>
      <c r="H2354">
        <v>1</v>
      </c>
      <c r="I2354">
        <v>719</v>
      </c>
      <c r="J2354">
        <v>1957</v>
      </c>
      <c r="K2354" s="4">
        <v>45837</v>
      </c>
      <c r="L2354" t="s">
        <v>20</v>
      </c>
      <c r="M2354" t="s">
        <v>69</v>
      </c>
      <c r="N2354">
        <v>2.1</v>
      </c>
      <c r="O2354">
        <v>2362</v>
      </c>
      <c r="P2354">
        <v>2.96</v>
      </c>
      <c r="Q2354">
        <v>74</v>
      </c>
      <c r="R2354">
        <v>317</v>
      </c>
    </row>
    <row r="2355" spans="1:18" hidden="1" x14ac:dyDescent="0.2">
      <c r="A2355">
        <v>4</v>
      </c>
      <c r="B2355" t="s">
        <v>104</v>
      </c>
      <c r="E2355" t="s">
        <v>51</v>
      </c>
      <c r="F2355">
        <v>2212877</v>
      </c>
      <c r="G2355">
        <v>4</v>
      </c>
      <c r="H2355">
        <v>2</v>
      </c>
      <c r="I2355">
        <v>909</v>
      </c>
      <c r="J2355">
        <v>2013</v>
      </c>
      <c r="K2355" s="4">
        <v>44984</v>
      </c>
      <c r="L2355" t="s">
        <v>20</v>
      </c>
      <c r="M2355" t="s">
        <v>31</v>
      </c>
      <c r="N2355">
        <v>1.89</v>
      </c>
      <c r="O2355">
        <v>1413</v>
      </c>
      <c r="P2355">
        <v>0.56999999999999995</v>
      </c>
      <c r="Q2355">
        <v>384</v>
      </c>
      <c r="R2355">
        <v>503</v>
      </c>
    </row>
    <row r="2356" spans="1:18" hidden="1" x14ac:dyDescent="0.2">
      <c r="A2356">
        <v>6</v>
      </c>
      <c r="B2356" t="s">
        <v>72</v>
      </c>
      <c r="E2356" t="s">
        <v>36</v>
      </c>
      <c r="F2356">
        <v>1341822</v>
      </c>
      <c r="G2356">
        <v>1</v>
      </c>
      <c r="H2356">
        <v>3</v>
      </c>
      <c r="I2356">
        <v>866</v>
      </c>
      <c r="J2356">
        <v>1952</v>
      </c>
      <c r="K2356" s="4">
        <v>45581</v>
      </c>
      <c r="L2356" t="s">
        <v>20</v>
      </c>
      <c r="M2356" t="s">
        <v>54</v>
      </c>
      <c r="N2356">
        <v>2.73</v>
      </c>
      <c r="O2356">
        <v>2291</v>
      </c>
      <c r="P2356">
        <v>1.43</v>
      </c>
      <c r="Q2356">
        <v>86</v>
      </c>
      <c r="R2356">
        <v>418</v>
      </c>
    </row>
    <row r="2357" spans="1:18" hidden="1" x14ac:dyDescent="0.2">
      <c r="A2357">
        <v>9</v>
      </c>
      <c r="B2357" t="s">
        <v>32</v>
      </c>
      <c r="E2357" t="s">
        <v>19</v>
      </c>
      <c r="F2357">
        <v>936158</v>
      </c>
      <c r="G2357">
        <v>2</v>
      </c>
      <c r="H2357">
        <v>3</v>
      </c>
      <c r="I2357">
        <v>748</v>
      </c>
      <c r="J2357">
        <v>1958</v>
      </c>
      <c r="K2357" s="4">
        <v>45738</v>
      </c>
      <c r="L2357" t="s">
        <v>20</v>
      </c>
      <c r="M2357" t="s">
        <v>45</v>
      </c>
      <c r="N2357">
        <v>2.2599999999999998</v>
      </c>
      <c r="O2357">
        <v>1051</v>
      </c>
      <c r="P2357">
        <v>0.5</v>
      </c>
      <c r="Q2357">
        <v>93</v>
      </c>
      <c r="R2357">
        <v>578</v>
      </c>
    </row>
    <row r="2358" spans="1:18" hidden="1" x14ac:dyDescent="0.2">
      <c r="A2358">
        <v>5</v>
      </c>
      <c r="B2358" t="s">
        <v>95</v>
      </c>
      <c r="E2358" t="s">
        <v>51</v>
      </c>
      <c r="F2358">
        <v>2582439</v>
      </c>
      <c r="G2358">
        <v>3</v>
      </c>
      <c r="H2358">
        <v>1</v>
      </c>
      <c r="I2358">
        <v>908</v>
      </c>
      <c r="J2358">
        <v>1954</v>
      </c>
      <c r="K2358" s="4">
        <v>45789</v>
      </c>
      <c r="L2358" t="s">
        <v>30</v>
      </c>
      <c r="M2358" t="s">
        <v>82</v>
      </c>
      <c r="N2358">
        <v>2.36</v>
      </c>
      <c r="O2358">
        <v>1869</v>
      </c>
      <c r="P2358">
        <v>2.41</v>
      </c>
      <c r="Q2358">
        <v>85</v>
      </c>
      <c r="R2358">
        <v>369</v>
      </c>
    </row>
    <row r="2359" spans="1:18" hidden="1" x14ac:dyDescent="0.2">
      <c r="A2359">
        <v>5</v>
      </c>
      <c r="B2359" t="s">
        <v>50</v>
      </c>
      <c r="E2359" t="s">
        <v>29</v>
      </c>
      <c r="F2359">
        <v>1934802</v>
      </c>
      <c r="G2359">
        <v>4</v>
      </c>
      <c r="H2359">
        <v>1</v>
      </c>
      <c r="I2359">
        <v>796</v>
      </c>
      <c r="J2359">
        <v>1958</v>
      </c>
      <c r="K2359" s="4">
        <v>45537</v>
      </c>
      <c r="L2359" t="s">
        <v>23</v>
      </c>
      <c r="M2359" t="s">
        <v>63</v>
      </c>
      <c r="N2359">
        <v>2.2400000000000002</v>
      </c>
      <c r="O2359">
        <v>2016</v>
      </c>
      <c r="P2359">
        <v>3.89</v>
      </c>
      <c r="Q2359">
        <v>265</v>
      </c>
      <c r="R2359">
        <v>406</v>
      </c>
    </row>
    <row r="2360" spans="1:18" hidden="1" x14ac:dyDescent="0.2">
      <c r="A2360">
        <v>4</v>
      </c>
      <c r="B2360" t="s">
        <v>105</v>
      </c>
      <c r="E2360" t="s">
        <v>36</v>
      </c>
      <c r="F2360">
        <v>2049160</v>
      </c>
      <c r="G2360">
        <v>6</v>
      </c>
      <c r="H2360">
        <v>2</v>
      </c>
      <c r="I2360">
        <v>655</v>
      </c>
      <c r="J2360">
        <v>1976</v>
      </c>
      <c r="K2360" s="4">
        <v>44160</v>
      </c>
      <c r="L2360" t="s">
        <v>20</v>
      </c>
      <c r="M2360" t="s">
        <v>33</v>
      </c>
      <c r="N2360">
        <v>1.97</v>
      </c>
      <c r="O2360">
        <v>1246</v>
      </c>
      <c r="P2360">
        <v>1.6</v>
      </c>
      <c r="Q2360">
        <v>386</v>
      </c>
      <c r="R2360">
        <v>532</v>
      </c>
    </row>
    <row r="2361" spans="1:18" hidden="1" x14ac:dyDescent="0.2">
      <c r="A2361">
        <v>3</v>
      </c>
      <c r="B2361" t="s">
        <v>53</v>
      </c>
      <c r="E2361" t="s">
        <v>51</v>
      </c>
      <c r="F2361">
        <v>1430677</v>
      </c>
      <c r="G2361">
        <v>2</v>
      </c>
      <c r="H2361">
        <v>2</v>
      </c>
      <c r="I2361">
        <v>143</v>
      </c>
      <c r="J2361">
        <v>1952</v>
      </c>
      <c r="K2361" s="4">
        <v>44387</v>
      </c>
      <c r="L2361" t="s">
        <v>20</v>
      </c>
      <c r="M2361" t="s">
        <v>33</v>
      </c>
      <c r="N2361">
        <v>2.61</v>
      </c>
      <c r="O2361">
        <v>830</v>
      </c>
      <c r="P2361">
        <v>0.96</v>
      </c>
      <c r="Q2361">
        <v>53</v>
      </c>
      <c r="R2361">
        <v>678</v>
      </c>
    </row>
    <row r="2362" spans="1:18" hidden="1" x14ac:dyDescent="0.2">
      <c r="A2362">
        <v>0</v>
      </c>
      <c r="B2362" t="s">
        <v>46</v>
      </c>
      <c r="E2362" t="s">
        <v>29</v>
      </c>
      <c r="F2362">
        <v>2745172</v>
      </c>
      <c r="G2362">
        <v>2</v>
      </c>
      <c r="H2362">
        <v>2</v>
      </c>
      <c r="I2362">
        <v>811</v>
      </c>
      <c r="J2362">
        <v>2019</v>
      </c>
      <c r="K2362" s="4">
        <v>44186</v>
      </c>
      <c r="L2362" t="s">
        <v>20</v>
      </c>
      <c r="M2362" t="s">
        <v>85</v>
      </c>
      <c r="N2362">
        <v>3</v>
      </c>
      <c r="O2362">
        <v>1101</v>
      </c>
      <c r="P2362">
        <v>0.63</v>
      </c>
      <c r="Q2362">
        <v>105</v>
      </c>
      <c r="R2362">
        <v>353</v>
      </c>
    </row>
    <row r="2363" spans="1:18" hidden="1" x14ac:dyDescent="0.2">
      <c r="A2363">
        <v>9</v>
      </c>
      <c r="B2363" t="s">
        <v>22</v>
      </c>
      <c r="E2363" t="s">
        <v>36</v>
      </c>
      <c r="F2363">
        <v>2883745</v>
      </c>
      <c r="G2363">
        <v>5</v>
      </c>
      <c r="H2363">
        <v>2</v>
      </c>
      <c r="I2363">
        <v>592</v>
      </c>
      <c r="J2363">
        <v>1988</v>
      </c>
      <c r="K2363" s="4">
        <v>44730</v>
      </c>
      <c r="L2363" t="s">
        <v>23</v>
      </c>
      <c r="M2363" t="s">
        <v>24</v>
      </c>
      <c r="N2363">
        <v>1.93</v>
      </c>
      <c r="O2363">
        <v>2493</v>
      </c>
      <c r="P2363">
        <v>3.08</v>
      </c>
      <c r="Q2363">
        <v>374</v>
      </c>
      <c r="R2363">
        <v>416</v>
      </c>
    </row>
    <row r="2364" spans="1:18" hidden="1" x14ac:dyDescent="0.2">
      <c r="A2364">
        <v>0</v>
      </c>
      <c r="B2364" t="s">
        <v>75</v>
      </c>
      <c r="E2364" t="s">
        <v>19</v>
      </c>
      <c r="F2364">
        <v>2792061</v>
      </c>
      <c r="G2364">
        <v>4</v>
      </c>
      <c r="H2364">
        <v>1</v>
      </c>
      <c r="I2364">
        <v>119</v>
      </c>
      <c r="J2364">
        <v>1965</v>
      </c>
      <c r="K2364" s="4">
        <v>44846</v>
      </c>
      <c r="L2364" t="s">
        <v>30</v>
      </c>
      <c r="M2364" t="s">
        <v>21</v>
      </c>
      <c r="N2364">
        <v>3.2</v>
      </c>
      <c r="O2364">
        <v>935</v>
      </c>
      <c r="P2364">
        <v>2.1</v>
      </c>
      <c r="Q2364">
        <v>283</v>
      </c>
      <c r="R2364">
        <v>607</v>
      </c>
    </row>
    <row r="2365" spans="1:18" hidden="1" x14ac:dyDescent="0.2">
      <c r="A2365">
        <v>1</v>
      </c>
      <c r="B2365" t="s">
        <v>53</v>
      </c>
      <c r="E2365" t="s">
        <v>29</v>
      </c>
      <c r="F2365">
        <v>2266316</v>
      </c>
      <c r="G2365">
        <v>6</v>
      </c>
      <c r="H2365">
        <v>1</v>
      </c>
      <c r="I2365">
        <v>611</v>
      </c>
      <c r="J2365">
        <v>1961</v>
      </c>
      <c r="K2365" s="4">
        <v>44223</v>
      </c>
      <c r="L2365" t="s">
        <v>23</v>
      </c>
      <c r="M2365" t="s">
        <v>27</v>
      </c>
      <c r="N2365">
        <v>3.05</v>
      </c>
      <c r="O2365">
        <v>1521</v>
      </c>
      <c r="P2365">
        <v>4.92</v>
      </c>
      <c r="Q2365">
        <v>331</v>
      </c>
      <c r="R2365">
        <v>371</v>
      </c>
    </row>
    <row r="2366" spans="1:18" hidden="1" x14ac:dyDescent="0.2">
      <c r="A2366">
        <v>9</v>
      </c>
      <c r="B2366" t="s">
        <v>83</v>
      </c>
      <c r="E2366" t="s">
        <v>29</v>
      </c>
      <c r="F2366">
        <v>1290348</v>
      </c>
      <c r="G2366">
        <v>2</v>
      </c>
      <c r="H2366">
        <v>1</v>
      </c>
      <c r="I2366">
        <v>221</v>
      </c>
      <c r="J2366">
        <v>2011</v>
      </c>
      <c r="K2366" s="4">
        <v>44214</v>
      </c>
      <c r="L2366" t="s">
        <v>26</v>
      </c>
      <c r="M2366" t="s">
        <v>58</v>
      </c>
      <c r="N2366">
        <v>2.84</v>
      </c>
      <c r="O2366">
        <v>1318</v>
      </c>
      <c r="P2366">
        <v>4.5</v>
      </c>
      <c r="Q2366">
        <v>107</v>
      </c>
      <c r="R2366">
        <v>599</v>
      </c>
    </row>
    <row r="2367" spans="1:18" hidden="1" x14ac:dyDescent="0.2">
      <c r="A2367">
        <v>4</v>
      </c>
      <c r="B2367" t="s">
        <v>57</v>
      </c>
      <c r="E2367" t="s">
        <v>36</v>
      </c>
      <c r="F2367">
        <v>1377757</v>
      </c>
      <c r="G2367">
        <v>5</v>
      </c>
      <c r="H2367">
        <v>3</v>
      </c>
      <c r="I2367">
        <v>769</v>
      </c>
      <c r="J2367">
        <v>1971</v>
      </c>
      <c r="K2367" s="4">
        <v>44496</v>
      </c>
      <c r="L2367" t="s">
        <v>30</v>
      </c>
      <c r="M2367" t="s">
        <v>60</v>
      </c>
      <c r="N2367">
        <v>3.09</v>
      </c>
      <c r="O2367">
        <v>1923</v>
      </c>
      <c r="P2367">
        <v>2.08</v>
      </c>
      <c r="Q2367">
        <v>354</v>
      </c>
      <c r="R2367">
        <v>483</v>
      </c>
    </row>
    <row r="2368" spans="1:18" hidden="1" x14ac:dyDescent="0.2">
      <c r="A2368">
        <v>4</v>
      </c>
      <c r="B2368" t="s">
        <v>98</v>
      </c>
      <c r="E2368" t="s">
        <v>51</v>
      </c>
      <c r="F2368">
        <v>1819638</v>
      </c>
      <c r="G2368">
        <v>0</v>
      </c>
      <c r="H2368">
        <v>3</v>
      </c>
      <c r="I2368">
        <v>116</v>
      </c>
      <c r="J2368">
        <v>1950</v>
      </c>
      <c r="K2368" s="4">
        <v>45057</v>
      </c>
      <c r="L2368" t="s">
        <v>26</v>
      </c>
      <c r="M2368" t="s">
        <v>74</v>
      </c>
      <c r="N2368">
        <v>3.49</v>
      </c>
      <c r="O2368">
        <v>1732</v>
      </c>
      <c r="P2368">
        <v>2.17</v>
      </c>
      <c r="Q2368">
        <v>48</v>
      </c>
      <c r="R2368">
        <v>438</v>
      </c>
    </row>
    <row r="2369" spans="1:18" hidden="1" x14ac:dyDescent="0.2">
      <c r="A2369">
        <v>0</v>
      </c>
      <c r="B2369" t="s">
        <v>96</v>
      </c>
      <c r="E2369" t="s">
        <v>36</v>
      </c>
      <c r="F2369">
        <v>848905</v>
      </c>
      <c r="G2369">
        <v>4</v>
      </c>
      <c r="H2369">
        <v>3</v>
      </c>
      <c r="I2369">
        <v>635</v>
      </c>
      <c r="J2369">
        <v>2007</v>
      </c>
      <c r="K2369" s="4">
        <v>44122</v>
      </c>
      <c r="L2369" t="s">
        <v>30</v>
      </c>
      <c r="M2369" t="s">
        <v>66</v>
      </c>
      <c r="N2369">
        <v>2.9</v>
      </c>
      <c r="O2369">
        <v>1761</v>
      </c>
      <c r="P2369">
        <v>2.96</v>
      </c>
      <c r="Q2369">
        <v>360</v>
      </c>
      <c r="R2369">
        <v>314</v>
      </c>
    </row>
    <row r="2370" spans="1:18" hidden="1" x14ac:dyDescent="0.2">
      <c r="A2370">
        <v>7</v>
      </c>
      <c r="B2370" t="s">
        <v>64</v>
      </c>
      <c r="E2370" t="s">
        <v>36</v>
      </c>
      <c r="F2370">
        <v>2669140</v>
      </c>
      <c r="G2370">
        <v>3</v>
      </c>
      <c r="H2370">
        <v>3</v>
      </c>
      <c r="I2370">
        <v>702</v>
      </c>
      <c r="J2370">
        <v>2012</v>
      </c>
      <c r="K2370" s="4">
        <v>45301</v>
      </c>
      <c r="L2370" t="s">
        <v>26</v>
      </c>
      <c r="M2370" t="s">
        <v>40</v>
      </c>
      <c r="N2370">
        <v>1.9</v>
      </c>
      <c r="O2370">
        <v>972</v>
      </c>
      <c r="P2370">
        <v>2.69</v>
      </c>
      <c r="Q2370">
        <v>244</v>
      </c>
      <c r="R2370">
        <v>484</v>
      </c>
    </row>
    <row r="2371" spans="1:18" hidden="1" x14ac:dyDescent="0.2">
      <c r="A2371">
        <v>7</v>
      </c>
      <c r="B2371" t="s">
        <v>104</v>
      </c>
      <c r="E2371" t="s">
        <v>36</v>
      </c>
      <c r="F2371">
        <v>1911649</v>
      </c>
      <c r="G2371">
        <v>5</v>
      </c>
      <c r="H2371">
        <v>2</v>
      </c>
      <c r="I2371">
        <v>438</v>
      </c>
      <c r="J2371">
        <v>1976</v>
      </c>
      <c r="K2371" s="4">
        <v>45028</v>
      </c>
      <c r="L2371" t="s">
        <v>26</v>
      </c>
      <c r="M2371" t="s">
        <v>77</v>
      </c>
      <c r="N2371">
        <v>2.68</v>
      </c>
      <c r="O2371">
        <v>2368</v>
      </c>
      <c r="P2371">
        <v>3.51</v>
      </c>
      <c r="Q2371">
        <v>358</v>
      </c>
      <c r="R2371">
        <v>597</v>
      </c>
    </row>
    <row r="2372" spans="1:18" hidden="1" x14ac:dyDescent="0.2">
      <c r="A2372">
        <v>3</v>
      </c>
      <c r="B2372" t="s">
        <v>73</v>
      </c>
      <c r="E2372" t="s">
        <v>51</v>
      </c>
      <c r="F2372">
        <v>1618501</v>
      </c>
      <c r="G2372">
        <v>2</v>
      </c>
      <c r="H2372">
        <v>1</v>
      </c>
      <c r="I2372">
        <v>852</v>
      </c>
      <c r="J2372">
        <v>1952</v>
      </c>
      <c r="K2372" s="4">
        <v>45183</v>
      </c>
      <c r="L2372" t="s">
        <v>23</v>
      </c>
      <c r="M2372" t="s">
        <v>63</v>
      </c>
      <c r="N2372">
        <v>2.99</v>
      </c>
      <c r="O2372">
        <v>826</v>
      </c>
      <c r="P2372">
        <v>1.48</v>
      </c>
      <c r="Q2372">
        <v>91</v>
      </c>
      <c r="R2372">
        <v>361</v>
      </c>
    </row>
    <row r="2373" spans="1:18" hidden="1" x14ac:dyDescent="0.2">
      <c r="A2373">
        <v>9</v>
      </c>
      <c r="B2373" t="s">
        <v>62</v>
      </c>
      <c r="E2373" t="s">
        <v>19</v>
      </c>
      <c r="F2373">
        <v>960679</v>
      </c>
      <c r="G2373">
        <v>3</v>
      </c>
      <c r="H2373">
        <v>2</v>
      </c>
      <c r="I2373">
        <v>895</v>
      </c>
      <c r="J2373">
        <v>2018</v>
      </c>
      <c r="K2373" s="4">
        <v>44379</v>
      </c>
      <c r="L2373" t="s">
        <v>20</v>
      </c>
      <c r="M2373" t="s">
        <v>42</v>
      </c>
      <c r="N2373">
        <v>1.98</v>
      </c>
      <c r="O2373">
        <v>1581</v>
      </c>
      <c r="P2373">
        <v>0.13</v>
      </c>
      <c r="Q2373">
        <v>298</v>
      </c>
      <c r="R2373">
        <v>429</v>
      </c>
    </row>
    <row r="2374" spans="1:18" hidden="1" x14ac:dyDescent="0.2">
      <c r="A2374">
        <v>1</v>
      </c>
      <c r="B2374" t="s">
        <v>34</v>
      </c>
      <c r="E2374" t="s">
        <v>36</v>
      </c>
      <c r="F2374">
        <v>2913044</v>
      </c>
      <c r="G2374">
        <v>5</v>
      </c>
      <c r="H2374">
        <v>1</v>
      </c>
      <c r="I2374">
        <v>529</v>
      </c>
      <c r="J2374">
        <v>2012</v>
      </c>
      <c r="K2374" s="4">
        <v>44127</v>
      </c>
      <c r="L2374" t="s">
        <v>30</v>
      </c>
      <c r="M2374" t="s">
        <v>69</v>
      </c>
      <c r="N2374">
        <v>2.02</v>
      </c>
      <c r="O2374">
        <v>1438</v>
      </c>
      <c r="P2374">
        <v>4.33</v>
      </c>
      <c r="Q2374">
        <v>266</v>
      </c>
      <c r="R2374">
        <v>393</v>
      </c>
    </row>
    <row r="2375" spans="1:18" x14ac:dyDescent="0.2">
      <c r="A2375">
        <v>8</v>
      </c>
      <c r="B2375" t="s">
        <v>67</v>
      </c>
      <c r="E2375" t="s">
        <v>19</v>
      </c>
      <c r="F2375">
        <v>2873122</v>
      </c>
      <c r="G2375">
        <v>2</v>
      </c>
      <c r="H2375">
        <v>2</v>
      </c>
      <c r="I2375">
        <v>612</v>
      </c>
      <c r="J2375">
        <v>1954</v>
      </c>
      <c r="K2375" s="4">
        <v>44523</v>
      </c>
      <c r="L2375" t="s">
        <v>23</v>
      </c>
      <c r="M2375" t="s">
        <v>68</v>
      </c>
      <c r="N2375">
        <v>3.13</v>
      </c>
      <c r="O2375">
        <v>1985</v>
      </c>
      <c r="P2375">
        <v>3.33</v>
      </c>
      <c r="Q2375">
        <v>176</v>
      </c>
      <c r="R2375">
        <v>313</v>
      </c>
    </row>
    <row r="2376" spans="1:18" hidden="1" x14ac:dyDescent="0.2">
      <c r="A2376">
        <v>1</v>
      </c>
      <c r="B2376" t="s">
        <v>101</v>
      </c>
      <c r="E2376" t="s">
        <v>19</v>
      </c>
      <c r="F2376">
        <v>688843</v>
      </c>
      <c r="G2376">
        <v>4</v>
      </c>
      <c r="H2376">
        <v>3</v>
      </c>
      <c r="I2376">
        <v>543</v>
      </c>
      <c r="J2376">
        <v>1985</v>
      </c>
      <c r="K2376" s="4">
        <v>44541</v>
      </c>
      <c r="L2376" t="s">
        <v>26</v>
      </c>
      <c r="M2376" t="s">
        <v>56</v>
      </c>
      <c r="N2376">
        <v>3.08</v>
      </c>
      <c r="O2376">
        <v>1908</v>
      </c>
      <c r="P2376">
        <v>4.3099999999999996</v>
      </c>
      <c r="Q2376">
        <v>188</v>
      </c>
      <c r="R2376">
        <v>306</v>
      </c>
    </row>
    <row r="2377" spans="1:18" hidden="1" x14ac:dyDescent="0.2">
      <c r="A2377">
        <v>4</v>
      </c>
      <c r="B2377" t="s">
        <v>32</v>
      </c>
      <c r="E2377" t="s">
        <v>29</v>
      </c>
      <c r="F2377">
        <v>1442359</v>
      </c>
      <c r="G2377">
        <v>3</v>
      </c>
      <c r="H2377">
        <v>1</v>
      </c>
      <c r="I2377">
        <v>444</v>
      </c>
      <c r="J2377">
        <v>1973</v>
      </c>
      <c r="K2377" s="4">
        <v>44682</v>
      </c>
      <c r="L2377" t="s">
        <v>20</v>
      </c>
      <c r="M2377" t="s">
        <v>33</v>
      </c>
      <c r="N2377">
        <v>3.43</v>
      </c>
      <c r="O2377">
        <v>1705</v>
      </c>
      <c r="P2377">
        <v>3.18</v>
      </c>
      <c r="Q2377">
        <v>155</v>
      </c>
      <c r="R2377">
        <v>634</v>
      </c>
    </row>
    <row r="2378" spans="1:18" x14ac:dyDescent="0.2">
      <c r="A2378">
        <v>8</v>
      </c>
      <c r="B2378" t="s">
        <v>22</v>
      </c>
      <c r="E2378" t="s">
        <v>29</v>
      </c>
      <c r="F2378">
        <v>1195927</v>
      </c>
      <c r="G2378">
        <v>0</v>
      </c>
      <c r="H2378">
        <v>3</v>
      </c>
      <c r="I2378">
        <v>274</v>
      </c>
      <c r="J2378">
        <v>1988</v>
      </c>
      <c r="K2378" s="4">
        <v>45743</v>
      </c>
      <c r="L2378" t="s">
        <v>20</v>
      </c>
      <c r="M2378" t="s">
        <v>74</v>
      </c>
      <c r="N2378">
        <v>3.16</v>
      </c>
      <c r="O2378">
        <v>1055</v>
      </c>
      <c r="P2378">
        <v>1.83</v>
      </c>
      <c r="Q2378">
        <v>54</v>
      </c>
      <c r="R2378">
        <v>400</v>
      </c>
    </row>
    <row r="2379" spans="1:18" hidden="1" x14ac:dyDescent="0.2">
      <c r="A2379">
        <v>7</v>
      </c>
      <c r="B2379" t="s">
        <v>102</v>
      </c>
      <c r="E2379" t="s">
        <v>29</v>
      </c>
      <c r="F2379">
        <v>2434744</v>
      </c>
      <c r="G2379">
        <v>3</v>
      </c>
      <c r="H2379">
        <v>3</v>
      </c>
      <c r="I2379">
        <v>877</v>
      </c>
      <c r="J2379">
        <v>1959</v>
      </c>
      <c r="K2379" s="4">
        <v>45277</v>
      </c>
      <c r="L2379" t="s">
        <v>30</v>
      </c>
      <c r="M2379" t="s">
        <v>42</v>
      </c>
      <c r="N2379">
        <v>3.34</v>
      </c>
      <c r="O2379">
        <v>2012</v>
      </c>
      <c r="P2379">
        <v>2.61</v>
      </c>
      <c r="Q2379">
        <v>274</v>
      </c>
      <c r="R2379">
        <v>636</v>
      </c>
    </row>
    <row r="2380" spans="1:18" hidden="1" x14ac:dyDescent="0.2">
      <c r="A2380">
        <v>1</v>
      </c>
      <c r="B2380" t="s">
        <v>62</v>
      </c>
      <c r="E2380" t="s">
        <v>51</v>
      </c>
      <c r="F2380">
        <v>2580345</v>
      </c>
      <c r="G2380">
        <v>4</v>
      </c>
      <c r="H2380">
        <v>3</v>
      </c>
      <c r="I2380">
        <v>619</v>
      </c>
      <c r="J2380">
        <v>1972</v>
      </c>
      <c r="K2380" s="4">
        <v>44841</v>
      </c>
      <c r="L2380" t="s">
        <v>26</v>
      </c>
      <c r="M2380" t="s">
        <v>60</v>
      </c>
      <c r="N2380">
        <v>1.62</v>
      </c>
      <c r="O2380">
        <v>1898</v>
      </c>
      <c r="P2380">
        <v>2.48</v>
      </c>
      <c r="Q2380">
        <v>301</v>
      </c>
      <c r="R2380">
        <v>301</v>
      </c>
    </row>
    <row r="2381" spans="1:18" hidden="1" x14ac:dyDescent="0.2">
      <c r="A2381">
        <v>6</v>
      </c>
      <c r="B2381" t="s">
        <v>55</v>
      </c>
      <c r="E2381" t="s">
        <v>19</v>
      </c>
      <c r="F2381">
        <v>955660</v>
      </c>
      <c r="G2381">
        <v>5</v>
      </c>
      <c r="H2381">
        <v>1</v>
      </c>
      <c r="I2381">
        <v>447</v>
      </c>
      <c r="J2381">
        <v>1991</v>
      </c>
      <c r="K2381" s="4">
        <v>45849</v>
      </c>
      <c r="L2381" t="s">
        <v>23</v>
      </c>
      <c r="M2381" t="s">
        <v>89</v>
      </c>
      <c r="N2381">
        <v>2.06</v>
      </c>
      <c r="O2381">
        <v>2198</v>
      </c>
      <c r="P2381">
        <v>2.96</v>
      </c>
      <c r="Q2381">
        <v>303</v>
      </c>
      <c r="R2381">
        <v>660</v>
      </c>
    </row>
    <row r="2382" spans="1:18" hidden="1" x14ac:dyDescent="0.2">
      <c r="A2382">
        <v>5</v>
      </c>
      <c r="B2382" t="s">
        <v>43</v>
      </c>
      <c r="E2382" t="s">
        <v>51</v>
      </c>
      <c r="F2382">
        <v>2704653</v>
      </c>
      <c r="G2382">
        <v>4</v>
      </c>
      <c r="H2382">
        <v>1</v>
      </c>
      <c r="I2382">
        <v>785</v>
      </c>
      <c r="J2382">
        <v>2015</v>
      </c>
      <c r="K2382" s="4">
        <v>44558</v>
      </c>
      <c r="L2382" t="s">
        <v>20</v>
      </c>
      <c r="M2382" t="s">
        <v>47</v>
      </c>
      <c r="N2382">
        <v>2.16</v>
      </c>
      <c r="O2382">
        <v>860</v>
      </c>
      <c r="P2382">
        <v>3.59</v>
      </c>
      <c r="Q2382">
        <v>196</v>
      </c>
      <c r="R2382">
        <v>612</v>
      </c>
    </row>
    <row r="2383" spans="1:18" hidden="1" x14ac:dyDescent="0.2">
      <c r="A2383">
        <v>1</v>
      </c>
      <c r="B2383" t="s">
        <v>67</v>
      </c>
      <c r="E2383" t="s">
        <v>29</v>
      </c>
      <c r="F2383">
        <v>2618044</v>
      </c>
      <c r="G2383">
        <v>3</v>
      </c>
      <c r="H2383">
        <v>1</v>
      </c>
      <c r="I2383">
        <v>280</v>
      </c>
      <c r="J2383">
        <v>1975</v>
      </c>
      <c r="K2383" s="4">
        <v>44510</v>
      </c>
      <c r="L2383" t="s">
        <v>30</v>
      </c>
      <c r="M2383" t="s">
        <v>33</v>
      </c>
      <c r="N2383">
        <v>2.2200000000000002</v>
      </c>
      <c r="O2383">
        <v>2303</v>
      </c>
      <c r="P2383">
        <v>0.33</v>
      </c>
      <c r="Q2383">
        <v>150</v>
      </c>
      <c r="R2383">
        <v>346</v>
      </c>
    </row>
    <row r="2384" spans="1:18" hidden="1" x14ac:dyDescent="0.2">
      <c r="A2384">
        <v>9</v>
      </c>
      <c r="B2384" t="s">
        <v>98</v>
      </c>
      <c r="E2384" t="s">
        <v>19</v>
      </c>
      <c r="F2384">
        <v>1999865</v>
      </c>
      <c r="G2384">
        <v>3</v>
      </c>
      <c r="H2384">
        <v>3</v>
      </c>
      <c r="I2384">
        <v>259</v>
      </c>
      <c r="J2384">
        <v>2000</v>
      </c>
      <c r="K2384" s="4">
        <v>45603</v>
      </c>
      <c r="L2384" t="s">
        <v>23</v>
      </c>
      <c r="M2384" t="s">
        <v>82</v>
      </c>
      <c r="N2384">
        <v>2.5299999999999998</v>
      </c>
      <c r="O2384">
        <v>2063</v>
      </c>
      <c r="P2384">
        <v>1.86</v>
      </c>
      <c r="Q2384">
        <v>111</v>
      </c>
      <c r="R2384">
        <v>457</v>
      </c>
    </row>
    <row r="2385" spans="1:18" hidden="1" x14ac:dyDescent="0.2">
      <c r="A2385">
        <v>6</v>
      </c>
      <c r="B2385" t="s">
        <v>75</v>
      </c>
      <c r="E2385" t="s">
        <v>51</v>
      </c>
      <c r="F2385">
        <v>585731</v>
      </c>
      <c r="G2385">
        <v>5</v>
      </c>
      <c r="H2385">
        <v>3</v>
      </c>
      <c r="I2385">
        <v>790</v>
      </c>
      <c r="J2385">
        <v>2020</v>
      </c>
      <c r="K2385" s="4">
        <v>45787</v>
      </c>
      <c r="L2385" t="s">
        <v>30</v>
      </c>
      <c r="M2385" t="s">
        <v>59</v>
      </c>
      <c r="N2385">
        <v>2.81</v>
      </c>
      <c r="O2385">
        <v>2149</v>
      </c>
      <c r="P2385">
        <v>3.5</v>
      </c>
      <c r="Q2385">
        <v>320</v>
      </c>
      <c r="R2385">
        <v>556</v>
      </c>
    </row>
    <row r="2386" spans="1:18" hidden="1" x14ac:dyDescent="0.2">
      <c r="A2386">
        <v>6</v>
      </c>
      <c r="B2386" t="s">
        <v>84</v>
      </c>
      <c r="E2386" t="s">
        <v>19</v>
      </c>
      <c r="F2386">
        <v>429081</v>
      </c>
      <c r="G2386">
        <v>3</v>
      </c>
      <c r="H2386">
        <v>3</v>
      </c>
      <c r="I2386">
        <v>98</v>
      </c>
      <c r="J2386">
        <v>1992</v>
      </c>
      <c r="K2386" s="4">
        <v>45207</v>
      </c>
      <c r="L2386" t="s">
        <v>23</v>
      </c>
      <c r="M2386" t="s">
        <v>78</v>
      </c>
      <c r="N2386">
        <v>2.37</v>
      </c>
      <c r="O2386">
        <v>1754</v>
      </c>
      <c r="P2386">
        <v>0.41</v>
      </c>
      <c r="Q2386">
        <v>189</v>
      </c>
      <c r="R2386">
        <v>560</v>
      </c>
    </row>
    <row r="2387" spans="1:18" hidden="1" x14ac:dyDescent="0.2">
      <c r="A2387">
        <v>9</v>
      </c>
      <c r="B2387" t="s">
        <v>73</v>
      </c>
      <c r="E2387" t="s">
        <v>29</v>
      </c>
      <c r="F2387">
        <v>2181667</v>
      </c>
      <c r="G2387">
        <v>4</v>
      </c>
      <c r="H2387">
        <v>3</v>
      </c>
      <c r="I2387">
        <v>467</v>
      </c>
      <c r="J2387">
        <v>1983</v>
      </c>
      <c r="K2387" s="4">
        <v>45273</v>
      </c>
      <c r="L2387" t="s">
        <v>30</v>
      </c>
      <c r="M2387" t="s">
        <v>63</v>
      </c>
      <c r="N2387">
        <v>3.18</v>
      </c>
      <c r="O2387">
        <v>1033</v>
      </c>
      <c r="P2387">
        <v>0.32</v>
      </c>
      <c r="Q2387">
        <v>318</v>
      </c>
      <c r="R2387">
        <v>450</v>
      </c>
    </row>
    <row r="2388" spans="1:18" hidden="1" x14ac:dyDescent="0.2">
      <c r="A2388">
        <v>7</v>
      </c>
      <c r="B2388" t="s">
        <v>81</v>
      </c>
      <c r="E2388" t="s">
        <v>36</v>
      </c>
      <c r="F2388">
        <v>2248560</v>
      </c>
      <c r="G2388">
        <v>6</v>
      </c>
      <c r="H2388">
        <v>1</v>
      </c>
      <c r="I2388">
        <v>863</v>
      </c>
      <c r="J2388">
        <v>1950</v>
      </c>
      <c r="K2388" s="4">
        <v>44918</v>
      </c>
      <c r="L2388" t="s">
        <v>20</v>
      </c>
      <c r="M2388" t="s">
        <v>82</v>
      </c>
      <c r="N2388">
        <v>1.91</v>
      </c>
      <c r="O2388">
        <v>1250</v>
      </c>
      <c r="P2388">
        <v>2.96</v>
      </c>
      <c r="Q2388">
        <v>390</v>
      </c>
      <c r="R2388">
        <v>301</v>
      </c>
    </row>
    <row r="2389" spans="1:18" hidden="1" x14ac:dyDescent="0.2">
      <c r="A2389">
        <v>6</v>
      </c>
      <c r="B2389" t="s">
        <v>71</v>
      </c>
      <c r="E2389" t="s">
        <v>51</v>
      </c>
      <c r="F2389">
        <v>2096273</v>
      </c>
      <c r="G2389">
        <v>1</v>
      </c>
      <c r="H2389">
        <v>1</v>
      </c>
      <c r="I2389">
        <v>874</v>
      </c>
      <c r="J2389">
        <v>1997</v>
      </c>
      <c r="K2389" s="4">
        <v>44555</v>
      </c>
      <c r="L2389" t="s">
        <v>30</v>
      </c>
      <c r="M2389" t="s">
        <v>63</v>
      </c>
      <c r="N2389">
        <v>1.67</v>
      </c>
      <c r="O2389">
        <v>1570</v>
      </c>
      <c r="P2389">
        <v>0.78</v>
      </c>
      <c r="Q2389">
        <v>79</v>
      </c>
      <c r="R2389">
        <v>340</v>
      </c>
    </row>
    <row r="2390" spans="1:18" hidden="1" x14ac:dyDescent="0.2">
      <c r="A2390">
        <v>7</v>
      </c>
      <c r="B2390" t="s">
        <v>83</v>
      </c>
      <c r="E2390" t="s">
        <v>36</v>
      </c>
      <c r="F2390">
        <v>1400348</v>
      </c>
      <c r="G2390">
        <v>3</v>
      </c>
      <c r="H2390">
        <v>1</v>
      </c>
      <c r="I2390">
        <v>383</v>
      </c>
      <c r="J2390">
        <v>1956</v>
      </c>
      <c r="K2390" s="4">
        <v>44842</v>
      </c>
      <c r="L2390" t="s">
        <v>26</v>
      </c>
      <c r="M2390" t="s">
        <v>89</v>
      </c>
      <c r="N2390">
        <v>3.15</v>
      </c>
      <c r="O2390">
        <v>2124</v>
      </c>
      <c r="P2390">
        <v>0.89</v>
      </c>
      <c r="Q2390">
        <v>155</v>
      </c>
      <c r="R2390">
        <v>551</v>
      </c>
    </row>
    <row r="2391" spans="1:18" x14ac:dyDescent="0.2">
      <c r="A2391">
        <v>8</v>
      </c>
      <c r="B2391" t="s">
        <v>25</v>
      </c>
      <c r="E2391" t="s">
        <v>29</v>
      </c>
      <c r="F2391">
        <v>2789766</v>
      </c>
      <c r="G2391">
        <v>3</v>
      </c>
      <c r="H2391">
        <v>1</v>
      </c>
      <c r="I2391">
        <v>386</v>
      </c>
      <c r="J2391">
        <v>1968</v>
      </c>
      <c r="K2391" s="4">
        <v>45425</v>
      </c>
      <c r="L2391" t="s">
        <v>23</v>
      </c>
      <c r="M2391" t="s">
        <v>66</v>
      </c>
      <c r="N2391">
        <v>2.6</v>
      </c>
      <c r="O2391">
        <v>2054</v>
      </c>
      <c r="P2391">
        <v>1.33</v>
      </c>
      <c r="Q2391">
        <v>302</v>
      </c>
      <c r="R2391">
        <v>486</v>
      </c>
    </row>
    <row r="2392" spans="1:18" hidden="1" x14ac:dyDescent="0.2">
      <c r="A2392">
        <v>2</v>
      </c>
      <c r="B2392" t="s">
        <v>46</v>
      </c>
      <c r="E2392" t="s">
        <v>29</v>
      </c>
      <c r="F2392">
        <v>2175210</v>
      </c>
      <c r="G2392">
        <v>3</v>
      </c>
      <c r="H2392">
        <v>2</v>
      </c>
      <c r="I2392">
        <v>579</v>
      </c>
      <c r="J2392">
        <v>1992</v>
      </c>
      <c r="K2392" s="4">
        <v>44486</v>
      </c>
      <c r="L2392" t="s">
        <v>23</v>
      </c>
      <c r="M2392" t="s">
        <v>68</v>
      </c>
      <c r="N2392">
        <v>2.98</v>
      </c>
      <c r="O2392">
        <v>1340</v>
      </c>
      <c r="P2392">
        <v>3.24</v>
      </c>
      <c r="Q2392">
        <v>279</v>
      </c>
      <c r="R2392">
        <v>416</v>
      </c>
    </row>
    <row r="2393" spans="1:18" hidden="1" x14ac:dyDescent="0.2">
      <c r="A2393">
        <v>2</v>
      </c>
      <c r="B2393" t="s">
        <v>83</v>
      </c>
      <c r="E2393" t="s">
        <v>36</v>
      </c>
      <c r="F2393">
        <v>1876437</v>
      </c>
      <c r="G2393">
        <v>3</v>
      </c>
      <c r="H2393">
        <v>1</v>
      </c>
      <c r="I2393">
        <v>261</v>
      </c>
      <c r="J2393">
        <v>2010</v>
      </c>
      <c r="K2393" s="4">
        <v>44647</v>
      </c>
      <c r="L2393" t="s">
        <v>26</v>
      </c>
      <c r="M2393" t="s">
        <v>74</v>
      </c>
      <c r="N2393">
        <v>1.98</v>
      </c>
      <c r="O2393">
        <v>1172</v>
      </c>
      <c r="P2393">
        <v>3.61</v>
      </c>
      <c r="Q2393">
        <v>299</v>
      </c>
      <c r="R2393">
        <v>622</v>
      </c>
    </row>
    <row r="2394" spans="1:18" hidden="1" x14ac:dyDescent="0.2">
      <c r="A2394">
        <v>6</v>
      </c>
      <c r="B2394" t="s">
        <v>80</v>
      </c>
      <c r="E2394" t="s">
        <v>29</v>
      </c>
      <c r="F2394">
        <v>2343439</v>
      </c>
      <c r="G2394">
        <v>3</v>
      </c>
      <c r="H2394">
        <v>1</v>
      </c>
      <c r="I2394">
        <v>998</v>
      </c>
      <c r="J2394">
        <v>1954</v>
      </c>
      <c r="K2394" s="4">
        <v>45482</v>
      </c>
      <c r="L2394" t="s">
        <v>23</v>
      </c>
      <c r="M2394" t="s">
        <v>21</v>
      </c>
      <c r="N2394">
        <v>2.15</v>
      </c>
      <c r="O2394">
        <v>1369</v>
      </c>
      <c r="P2394">
        <v>1.1399999999999999</v>
      </c>
      <c r="Q2394">
        <v>206</v>
      </c>
      <c r="R2394">
        <v>604</v>
      </c>
    </row>
    <row r="2395" spans="1:18" hidden="1" x14ac:dyDescent="0.2">
      <c r="A2395">
        <v>4</v>
      </c>
      <c r="B2395" t="s">
        <v>91</v>
      </c>
      <c r="E2395" t="s">
        <v>19</v>
      </c>
      <c r="F2395">
        <v>1884993</v>
      </c>
      <c r="G2395">
        <v>3</v>
      </c>
      <c r="H2395">
        <v>2</v>
      </c>
      <c r="I2395">
        <v>921</v>
      </c>
      <c r="J2395">
        <v>1971</v>
      </c>
      <c r="K2395" s="4">
        <v>45733</v>
      </c>
      <c r="L2395" t="s">
        <v>30</v>
      </c>
      <c r="M2395" t="s">
        <v>35</v>
      </c>
      <c r="N2395">
        <v>3.15</v>
      </c>
      <c r="O2395">
        <v>1713</v>
      </c>
      <c r="P2395">
        <v>2.17</v>
      </c>
      <c r="Q2395">
        <v>268</v>
      </c>
      <c r="R2395">
        <v>414</v>
      </c>
    </row>
    <row r="2396" spans="1:18" hidden="1" x14ac:dyDescent="0.2">
      <c r="A2396">
        <v>1</v>
      </c>
      <c r="B2396" t="s">
        <v>95</v>
      </c>
      <c r="E2396" t="s">
        <v>29</v>
      </c>
      <c r="F2396">
        <v>1760952</v>
      </c>
      <c r="G2396">
        <v>4</v>
      </c>
      <c r="H2396">
        <v>1</v>
      </c>
      <c r="I2396">
        <v>463</v>
      </c>
      <c r="J2396">
        <v>1970</v>
      </c>
      <c r="K2396" s="4">
        <v>45414</v>
      </c>
      <c r="L2396" t="s">
        <v>26</v>
      </c>
      <c r="M2396" t="s">
        <v>35</v>
      </c>
      <c r="N2396">
        <v>1.57</v>
      </c>
      <c r="O2396">
        <v>1957</v>
      </c>
      <c r="P2396">
        <v>2.69</v>
      </c>
      <c r="Q2396">
        <v>374</v>
      </c>
      <c r="R2396">
        <v>580</v>
      </c>
    </row>
    <row r="2397" spans="1:18" hidden="1" x14ac:dyDescent="0.2">
      <c r="A2397">
        <v>0</v>
      </c>
      <c r="B2397" t="s">
        <v>65</v>
      </c>
      <c r="E2397" t="s">
        <v>19</v>
      </c>
      <c r="F2397">
        <v>1572132</v>
      </c>
      <c r="G2397">
        <v>2</v>
      </c>
      <c r="H2397">
        <v>3</v>
      </c>
      <c r="I2397">
        <v>707</v>
      </c>
      <c r="J2397">
        <v>2018</v>
      </c>
      <c r="K2397" s="4">
        <v>44092</v>
      </c>
      <c r="L2397" t="s">
        <v>30</v>
      </c>
      <c r="M2397" t="s">
        <v>56</v>
      </c>
      <c r="N2397">
        <v>2.11</v>
      </c>
      <c r="O2397">
        <v>2296</v>
      </c>
      <c r="P2397">
        <v>0.26</v>
      </c>
      <c r="Q2397">
        <v>53</v>
      </c>
      <c r="R2397">
        <v>660</v>
      </c>
    </row>
    <row r="2398" spans="1:18" hidden="1" x14ac:dyDescent="0.2">
      <c r="A2398">
        <v>1</v>
      </c>
      <c r="B2398" t="s">
        <v>48</v>
      </c>
      <c r="E2398" t="s">
        <v>51</v>
      </c>
      <c r="F2398">
        <v>2398219</v>
      </c>
      <c r="G2398">
        <v>4</v>
      </c>
      <c r="H2398">
        <v>1</v>
      </c>
      <c r="I2398">
        <v>855</v>
      </c>
      <c r="J2398">
        <v>2003</v>
      </c>
      <c r="K2398" s="4">
        <v>44312</v>
      </c>
      <c r="L2398" t="s">
        <v>26</v>
      </c>
      <c r="M2398" t="s">
        <v>24</v>
      </c>
      <c r="N2398">
        <v>2.68</v>
      </c>
      <c r="O2398">
        <v>1470</v>
      </c>
      <c r="P2398">
        <v>4.2</v>
      </c>
      <c r="Q2398">
        <v>317</v>
      </c>
      <c r="R2398">
        <v>603</v>
      </c>
    </row>
    <row r="2399" spans="1:18" hidden="1" x14ac:dyDescent="0.2">
      <c r="A2399">
        <v>9</v>
      </c>
      <c r="B2399" t="s">
        <v>72</v>
      </c>
      <c r="E2399" t="s">
        <v>36</v>
      </c>
      <c r="F2399">
        <v>1849483</v>
      </c>
      <c r="G2399">
        <v>2</v>
      </c>
      <c r="H2399">
        <v>1</v>
      </c>
      <c r="I2399">
        <v>401</v>
      </c>
      <c r="J2399">
        <v>2006</v>
      </c>
      <c r="K2399" s="4">
        <v>44960</v>
      </c>
      <c r="L2399" t="s">
        <v>30</v>
      </c>
      <c r="M2399" t="s">
        <v>78</v>
      </c>
      <c r="N2399">
        <v>3</v>
      </c>
      <c r="O2399">
        <v>910</v>
      </c>
      <c r="P2399">
        <v>4.2699999999999996</v>
      </c>
      <c r="Q2399">
        <v>157</v>
      </c>
      <c r="R2399">
        <v>394</v>
      </c>
    </row>
    <row r="2400" spans="1:18" hidden="1" x14ac:dyDescent="0.2">
      <c r="A2400">
        <v>0</v>
      </c>
      <c r="B2400" t="s">
        <v>86</v>
      </c>
      <c r="E2400" t="s">
        <v>36</v>
      </c>
      <c r="F2400">
        <v>598469</v>
      </c>
      <c r="G2400">
        <v>4</v>
      </c>
      <c r="H2400">
        <v>3</v>
      </c>
      <c r="I2400">
        <v>198</v>
      </c>
      <c r="J2400">
        <v>1964</v>
      </c>
      <c r="K2400" s="4">
        <v>45837</v>
      </c>
      <c r="L2400" t="s">
        <v>20</v>
      </c>
      <c r="M2400" t="s">
        <v>45</v>
      </c>
      <c r="N2400">
        <v>2.0699999999999998</v>
      </c>
      <c r="O2400">
        <v>2144</v>
      </c>
      <c r="P2400">
        <v>0.73</v>
      </c>
      <c r="Q2400">
        <v>305</v>
      </c>
      <c r="R2400">
        <v>582</v>
      </c>
    </row>
    <row r="2401" spans="1:18" hidden="1" x14ac:dyDescent="0.2">
      <c r="A2401">
        <v>5</v>
      </c>
      <c r="B2401" t="s">
        <v>32</v>
      </c>
      <c r="E2401" t="s">
        <v>29</v>
      </c>
      <c r="F2401">
        <v>1054682</v>
      </c>
      <c r="G2401">
        <v>3</v>
      </c>
      <c r="H2401">
        <v>2</v>
      </c>
      <c r="I2401">
        <v>53</v>
      </c>
      <c r="J2401">
        <v>2001</v>
      </c>
      <c r="K2401" s="4">
        <v>44661</v>
      </c>
      <c r="L2401" t="s">
        <v>23</v>
      </c>
      <c r="M2401" t="s">
        <v>21</v>
      </c>
      <c r="N2401">
        <v>1.89</v>
      </c>
      <c r="O2401">
        <v>1503</v>
      </c>
      <c r="P2401">
        <v>1.92</v>
      </c>
      <c r="Q2401">
        <v>238</v>
      </c>
      <c r="R2401">
        <v>541</v>
      </c>
    </row>
    <row r="2402" spans="1:18" hidden="1" x14ac:dyDescent="0.2">
      <c r="A2402">
        <v>2</v>
      </c>
      <c r="B2402" t="s">
        <v>38</v>
      </c>
      <c r="E2402" t="s">
        <v>19</v>
      </c>
      <c r="F2402">
        <v>956258</v>
      </c>
      <c r="G2402">
        <v>4</v>
      </c>
      <c r="H2402">
        <v>2</v>
      </c>
      <c r="I2402">
        <v>759</v>
      </c>
      <c r="J2402">
        <v>1953</v>
      </c>
      <c r="K2402" s="4">
        <v>44713</v>
      </c>
      <c r="L2402" t="s">
        <v>20</v>
      </c>
      <c r="M2402" t="s">
        <v>47</v>
      </c>
      <c r="N2402">
        <v>3.48</v>
      </c>
      <c r="O2402">
        <v>1033</v>
      </c>
      <c r="P2402">
        <v>2.21</v>
      </c>
      <c r="Q2402">
        <v>199</v>
      </c>
      <c r="R2402">
        <v>633</v>
      </c>
    </row>
    <row r="2403" spans="1:18" hidden="1" x14ac:dyDescent="0.2">
      <c r="A2403">
        <v>4</v>
      </c>
      <c r="B2403" t="s">
        <v>50</v>
      </c>
      <c r="E2403" t="s">
        <v>51</v>
      </c>
      <c r="F2403">
        <v>2875015</v>
      </c>
      <c r="G2403">
        <v>3</v>
      </c>
      <c r="H2403">
        <v>2</v>
      </c>
      <c r="I2403">
        <v>840</v>
      </c>
      <c r="J2403">
        <v>1983</v>
      </c>
      <c r="K2403" s="4">
        <v>45608</v>
      </c>
      <c r="L2403" t="s">
        <v>26</v>
      </c>
      <c r="M2403" t="s">
        <v>69</v>
      </c>
      <c r="N2403">
        <v>3.39</v>
      </c>
      <c r="O2403">
        <v>1084</v>
      </c>
      <c r="P2403">
        <v>3.04</v>
      </c>
      <c r="Q2403">
        <v>123</v>
      </c>
      <c r="R2403">
        <v>605</v>
      </c>
    </row>
    <row r="2404" spans="1:18" hidden="1" x14ac:dyDescent="0.2">
      <c r="A2404">
        <v>6</v>
      </c>
      <c r="B2404" t="s">
        <v>106</v>
      </c>
      <c r="E2404" t="s">
        <v>51</v>
      </c>
      <c r="F2404">
        <v>1631285</v>
      </c>
      <c r="G2404">
        <v>1</v>
      </c>
      <c r="H2404">
        <v>3</v>
      </c>
      <c r="I2404">
        <v>952</v>
      </c>
      <c r="J2404">
        <v>2004</v>
      </c>
      <c r="K2404" s="4">
        <v>44930</v>
      </c>
      <c r="L2404" t="s">
        <v>26</v>
      </c>
      <c r="M2404" t="s">
        <v>76</v>
      </c>
      <c r="N2404">
        <v>2.29</v>
      </c>
      <c r="O2404">
        <v>2283</v>
      </c>
      <c r="P2404">
        <v>1.1299999999999999</v>
      </c>
      <c r="Q2404">
        <v>40</v>
      </c>
      <c r="R2404">
        <v>414</v>
      </c>
    </row>
    <row r="2405" spans="1:18" hidden="1" x14ac:dyDescent="0.2">
      <c r="A2405">
        <v>2</v>
      </c>
      <c r="B2405" t="s">
        <v>100</v>
      </c>
      <c r="E2405" t="s">
        <v>51</v>
      </c>
      <c r="F2405">
        <v>2723198</v>
      </c>
      <c r="G2405">
        <v>1</v>
      </c>
      <c r="H2405">
        <v>2</v>
      </c>
      <c r="I2405">
        <v>135</v>
      </c>
      <c r="J2405">
        <v>2002</v>
      </c>
      <c r="K2405" s="4">
        <v>45030</v>
      </c>
      <c r="L2405" t="s">
        <v>26</v>
      </c>
      <c r="M2405" t="s">
        <v>54</v>
      </c>
      <c r="N2405">
        <v>1.77</v>
      </c>
      <c r="O2405">
        <v>1792</v>
      </c>
      <c r="P2405">
        <v>4.6900000000000004</v>
      </c>
      <c r="Q2405">
        <v>138</v>
      </c>
      <c r="R2405">
        <v>585</v>
      </c>
    </row>
    <row r="2406" spans="1:18" hidden="1" x14ac:dyDescent="0.2">
      <c r="A2406">
        <v>2</v>
      </c>
      <c r="B2406" t="s">
        <v>102</v>
      </c>
      <c r="E2406" t="s">
        <v>29</v>
      </c>
      <c r="F2406">
        <v>1952318</v>
      </c>
      <c r="G2406">
        <v>1</v>
      </c>
      <c r="H2406">
        <v>3</v>
      </c>
      <c r="I2406">
        <v>131</v>
      </c>
      <c r="J2406">
        <v>1982</v>
      </c>
      <c r="K2406" s="4">
        <v>45350</v>
      </c>
      <c r="L2406" t="s">
        <v>20</v>
      </c>
      <c r="M2406" t="s">
        <v>24</v>
      </c>
      <c r="N2406">
        <v>2.56</v>
      </c>
      <c r="O2406">
        <v>1356</v>
      </c>
      <c r="P2406">
        <v>0.69</v>
      </c>
      <c r="Q2406">
        <v>63</v>
      </c>
      <c r="R2406">
        <v>471</v>
      </c>
    </row>
    <row r="2407" spans="1:18" hidden="1" x14ac:dyDescent="0.2">
      <c r="A2407">
        <v>1</v>
      </c>
      <c r="B2407" t="s">
        <v>83</v>
      </c>
      <c r="E2407" t="s">
        <v>29</v>
      </c>
      <c r="F2407">
        <v>2299425</v>
      </c>
      <c r="G2407">
        <v>4</v>
      </c>
      <c r="H2407">
        <v>2</v>
      </c>
      <c r="I2407">
        <v>272</v>
      </c>
      <c r="J2407">
        <v>1976</v>
      </c>
      <c r="K2407" s="4">
        <v>45777</v>
      </c>
      <c r="L2407" t="s">
        <v>30</v>
      </c>
      <c r="M2407" t="s">
        <v>82</v>
      </c>
      <c r="N2407">
        <v>3.23</v>
      </c>
      <c r="O2407">
        <v>1759</v>
      </c>
      <c r="P2407">
        <v>4.59</v>
      </c>
      <c r="Q2407">
        <v>217</v>
      </c>
      <c r="R2407">
        <v>497</v>
      </c>
    </row>
    <row r="2408" spans="1:18" hidden="1" x14ac:dyDescent="0.2">
      <c r="A2408">
        <v>9</v>
      </c>
      <c r="B2408" t="s">
        <v>44</v>
      </c>
      <c r="E2408" t="s">
        <v>29</v>
      </c>
      <c r="F2408">
        <v>2974000</v>
      </c>
      <c r="G2408">
        <v>3</v>
      </c>
      <c r="H2408">
        <v>1</v>
      </c>
      <c r="I2408">
        <v>832</v>
      </c>
      <c r="J2408">
        <v>1984</v>
      </c>
      <c r="K2408" s="4">
        <v>44161</v>
      </c>
      <c r="L2408" t="s">
        <v>26</v>
      </c>
      <c r="M2408" t="s">
        <v>56</v>
      </c>
      <c r="N2408">
        <v>2.7</v>
      </c>
      <c r="O2408">
        <v>1495</v>
      </c>
      <c r="P2408">
        <v>1.06</v>
      </c>
      <c r="Q2408">
        <v>91</v>
      </c>
      <c r="R2408">
        <v>622</v>
      </c>
    </row>
    <row r="2409" spans="1:18" x14ac:dyDescent="0.2">
      <c r="A2409">
        <v>8</v>
      </c>
      <c r="B2409" t="s">
        <v>55</v>
      </c>
      <c r="E2409" t="s">
        <v>19</v>
      </c>
      <c r="F2409">
        <v>2928592</v>
      </c>
      <c r="G2409">
        <v>4</v>
      </c>
      <c r="H2409">
        <v>2</v>
      </c>
      <c r="I2409">
        <v>173</v>
      </c>
      <c r="J2409">
        <v>1998</v>
      </c>
      <c r="K2409" s="4">
        <v>45305</v>
      </c>
      <c r="L2409" t="s">
        <v>23</v>
      </c>
      <c r="M2409" t="s">
        <v>21</v>
      </c>
      <c r="N2409">
        <v>1.73</v>
      </c>
      <c r="O2409">
        <v>887</v>
      </c>
      <c r="P2409">
        <v>3.55</v>
      </c>
      <c r="Q2409">
        <v>318</v>
      </c>
      <c r="R2409">
        <v>417</v>
      </c>
    </row>
    <row r="2410" spans="1:18" hidden="1" x14ac:dyDescent="0.2">
      <c r="A2410">
        <v>9</v>
      </c>
      <c r="B2410" t="s">
        <v>39</v>
      </c>
      <c r="E2410" t="s">
        <v>29</v>
      </c>
      <c r="F2410">
        <v>1717705</v>
      </c>
      <c r="G2410">
        <v>4</v>
      </c>
      <c r="H2410">
        <v>3</v>
      </c>
      <c r="I2410">
        <v>837</v>
      </c>
      <c r="J2410">
        <v>1969</v>
      </c>
      <c r="K2410" s="4">
        <v>44685</v>
      </c>
      <c r="L2410" t="s">
        <v>26</v>
      </c>
      <c r="M2410" t="s">
        <v>97</v>
      </c>
      <c r="N2410">
        <v>3.47</v>
      </c>
      <c r="O2410">
        <v>806</v>
      </c>
      <c r="P2410">
        <v>2.1</v>
      </c>
      <c r="Q2410">
        <v>373</v>
      </c>
      <c r="R2410">
        <v>536</v>
      </c>
    </row>
    <row r="2411" spans="1:18" hidden="1" x14ac:dyDescent="0.2">
      <c r="A2411">
        <v>5</v>
      </c>
      <c r="B2411" t="s">
        <v>71</v>
      </c>
      <c r="E2411" t="s">
        <v>36</v>
      </c>
      <c r="F2411">
        <v>2175514</v>
      </c>
      <c r="G2411">
        <v>6</v>
      </c>
      <c r="H2411">
        <v>3</v>
      </c>
      <c r="I2411">
        <v>211</v>
      </c>
      <c r="J2411">
        <v>1969</v>
      </c>
      <c r="K2411" s="4">
        <v>45067</v>
      </c>
      <c r="L2411" t="s">
        <v>20</v>
      </c>
      <c r="M2411" t="s">
        <v>27</v>
      </c>
      <c r="N2411">
        <v>2.92</v>
      </c>
      <c r="O2411">
        <v>1367</v>
      </c>
      <c r="P2411">
        <v>2.76</v>
      </c>
      <c r="Q2411">
        <v>389</v>
      </c>
      <c r="R2411">
        <v>389</v>
      </c>
    </row>
    <row r="2412" spans="1:18" hidden="1" x14ac:dyDescent="0.2">
      <c r="A2412">
        <v>4</v>
      </c>
      <c r="B2412" t="s">
        <v>101</v>
      </c>
      <c r="E2412" t="s">
        <v>29</v>
      </c>
      <c r="F2412">
        <v>768361</v>
      </c>
      <c r="G2412">
        <v>2</v>
      </c>
      <c r="H2412">
        <v>3</v>
      </c>
      <c r="I2412">
        <v>210</v>
      </c>
      <c r="J2412">
        <v>1975</v>
      </c>
      <c r="K2412" s="4">
        <v>45642</v>
      </c>
      <c r="L2412" t="s">
        <v>20</v>
      </c>
      <c r="M2412" t="s">
        <v>31</v>
      </c>
      <c r="N2412">
        <v>1.93</v>
      </c>
      <c r="O2412">
        <v>1669</v>
      </c>
      <c r="P2412">
        <v>0.7</v>
      </c>
      <c r="Q2412">
        <v>224</v>
      </c>
      <c r="R2412">
        <v>678</v>
      </c>
    </row>
    <row r="2413" spans="1:18" hidden="1" x14ac:dyDescent="0.2">
      <c r="A2413">
        <v>1</v>
      </c>
      <c r="B2413" t="s">
        <v>61</v>
      </c>
      <c r="E2413" t="s">
        <v>29</v>
      </c>
      <c r="F2413">
        <v>731624</v>
      </c>
      <c r="G2413">
        <v>5</v>
      </c>
      <c r="H2413">
        <v>3</v>
      </c>
      <c r="I2413">
        <v>233</v>
      </c>
      <c r="J2413">
        <v>2003</v>
      </c>
      <c r="K2413" s="4">
        <v>45369</v>
      </c>
      <c r="L2413" t="s">
        <v>20</v>
      </c>
      <c r="M2413" t="s">
        <v>82</v>
      </c>
      <c r="N2413">
        <v>2.33</v>
      </c>
      <c r="O2413">
        <v>1703</v>
      </c>
      <c r="P2413">
        <v>1.78</v>
      </c>
      <c r="Q2413">
        <v>318</v>
      </c>
      <c r="R2413">
        <v>329</v>
      </c>
    </row>
    <row r="2414" spans="1:18" hidden="1" x14ac:dyDescent="0.2">
      <c r="A2414">
        <v>1</v>
      </c>
      <c r="B2414" t="s">
        <v>96</v>
      </c>
      <c r="E2414" t="s">
        <v>51</v>
      </c>
      <c r="F2414">
        <v>2967062</v>
      </c>
      <c r="G2414">
        <v>3</v>
      </c>
      <c r="H2414">
        <v>3</v>
      </c>
      <c r="I2414">
        <v>229</v>
      </c>
      <c r="J2414">
        <v>1989</v>
      </c>
      <c r="K2414" s="4">
        <v>44552</v>
      </c>
      <c r="L2414" t="s">
        <v>26</v>
      </c>
      <c r="M2414" t="s">
        <v>68</v>
      </c>
      <c r="N2414">
        <v>1.63</v>
      </c>
      <c r="O2414">
        <v>1041</v>
      </c>
      <c r="P2414">
        <v>4.8600000000000003</v>
      </c>
      <c r="Q2414">
        <v>288</v>
      </c>
      <c r="R2414">
        <v>615</v>
      </c>
    </row>
    <row r="2415" spans="1:18" hidden="1" x14ac:dyDescent="0.2">
      <c r="A2415">
        <v>9</v>
      </c>
      <c r="B2415" t="s">
        <v>92</v>
      </c>
      <c r="E2415" t="s">
        <v>36</v>
      </c>
      <c r="F2415">
        <v>2176624</v>
      </c>
      <c r="G2415">
        <v>4</v>
      </c>
      <c r="H2415">
        <v>1</v>
      </c>
      <c r="I2415">
        <v>917</v>
      </c>
      <c r="J2415">
        <v>1959</v>
      </c>
      <c r="K2415" s="4">
        <v>45294</v>
      </c>
      <c r="L2415" t="s">
        <v>20</v>
      </c>
      <c r="M2415" t="s">
        <v>47</v>
      </c>
      <c r="N2415">
        <v>2.11</v>
      </c>
      <c r="O2415">
        <v>2087</v>
      </c>
      <c r="P2415">
        <v>3.95</v>
      </c>
      <c r="Q2415">
        <v>184</v>
      </c>
      <c r="R2415">
        <v>334</v>
      </c>
    </row>
    <row r="2416" spans="1:18" hidden="1" x14ac:dyDescent="0.2">
      <c r="A2416">
        <v>3</v>
      </c>
      <c r="B2416" t="s">
        <v>65</v>
      </c>
      <c r="E2416" t="s">
        <v>19</v>
      </c>
      <c r="F2416">
        <v>545134</v>
      </c>
      <c r="G2416">
        <v>3</v>
      </c>
      <c r="H2416">
        <v>1</v>
      </c>
      <c r="I2416">
        <v>628</v>
      </c>
      <c r="J2416">
        <v>2000</v>
      </c>
      <c r="K2416" s="4">
        <v>44616</v>
      </c>
      <c r="L2416" t="s">
        <v>26</v>
      </c>
      <c r="M2416" t="s">
        <v>52</v>
      </c>
      <c r="N2416">
        <v>2.79</v>
      </c>
      <c r="O2416">
        <v>1167</v>
      </c>
      <c r="P2416">
        <v>0.91</v>
      </c>
      <c r="Q2416">
        <v>104</v>
      </c>
      <c r="R2416">
        <v>451</v>
      </c>
    </row>
    <row r="2417" spans="1:18" hidden="1" x14ac:dyDescent="0.2">
      <c r="A2417">
        <v>1</v>
      </c>
      <c r="B2417" t="s">
        <v>106</v>
      </c>
      <c r="E2417" t="s">
        <v>29</v>
      </c>
      <c r="F2417">
        <v>673623</v>
      </c>
      <c r="G2417">
        <v>2</v>
      </c>
      <c r="H2417">
        <v>1</v>
      </c>
      <c r="I2417">
        <v>317</v>
      </c>
      <c r="J2417">
        <v>1958</v>
      </c>
      <c r="K2417" s="4">
        <v>45686</v>
      </c>
      <c r="L2417" t="s">
        <v>30</v>
      </c>
      <c r="M2417" t="s">
        <v>70</v>
      </c>
      <c r="N2417">
        <v>3.18</v>
      </c>
      <c r="O2417">
        <v>986</v>
      </c>
      <c r="P2417">
        <v>0.33</v>
      </c>
      <c r="Q2417">
        <v>205</v>
      </c>
      <c r="R2417">
        <v>417</v>
      </c>
    </row>
    <row r="2418" spans="1:18" hidden="1" x14ac:dyDescent="0.2">
      <c r="A2418">
        <v>3</v>
      </c>
      <c r="B2418" t="s">
        <v>18</v>
      </c>
      <c r="E2418" t="s">
        <v>36</v>
      </c>
      <c r="F2418">
        <v>2629769</v>
      </c>
      <c r="G2418">
        <v>3</v>
      </c>
      <c r="H2418">
        <v>1</v>
      </c>
      <c r="I2418">
        <v>885</v>
      </c>
      <c r="J2418">
        <v>1973</v>
      </c>
      <c r="K2418" s="4">
        <v>45128</v>
      </c>
      <c r="L2418" t="s">
        <v>20</v>
      </c>
      <c r="M2418" t="s">
        <v>52</v>
      </c>
      <c r="N2418">
        <v>1.78</v>
      </c>
      <c r="O2418">
        <v>1935</v>
      </c>
      <c r="P2418">
        <v>3.33</v>
      </c>
      <c r="Q2418">
        <v>85</v>
      </c>
      <c r="R2418">
        <v>684</v>
      </c>
    </row>
    <row r="2419" spans="1:18" hidden="1" x14ac:dyDescent="0.2">
      <c r="A2419">
        <v>3</v>
      </c>
      <c r="B2419" t="s">
        <v>62</v>
      </c>
      <c r="E2419" t="s">
        <v>19</v>
      </c>
      <c r="F2419">
        <v>819051</v>
      </c>
      <c r="G2419">
        <v>3</v>
      </c>
      <c r="H2419">
        <v>3</v>
      </c>
      <c r="I2419">
        <v>601</v>
      </c>
      <c r="J2419">
        <v>1996</v>
      </c>
      <c r="K2419" s="4">
        <v>45517</v>
      </c>
      <c r="L2419" t="s">
        <v>20</v>
      </c>
      <c r="M2419" t="s">
        <v>85</v>
      </c>
      <c r="N2419">
        <v>3.06</v>
      </c>
      <c r="O2419">
        <v>1858</v>
      </c>
      <c r="P2419">
        <v>3.95</v>
      </c>
      <c r="Q2419">
        <v>180</v>
      </c>
      <c r="R2419">
        <v>384</v>
      </c>
    </row>
    <row r="2420" spans="1:18" hidden="1" x14ac:dyDescent="0.2">
      <c r="A2420">
        <v>3</v>
      </c>
      <c r="B2420" t="s">
        <v>75</v>
      </c>
      <c r="E2420" t="s">
        <v>29</v>
      </c>
      <c r="F2420">
        <v>2361679</v>
      </c>
      <c r="G2420">
        <v>0</v>
      </c>
      <c r="H2420">
        <v>2</v>
      </c>
      <c r="I2420">
        <v>0</v>
      </c>
      <c r="J2420">
        <v>1976</v>
      </c>
      <c r="K2420" s="4">
        <v>45086</v>
      </c>
      <c r="L2420" t="s">
        <v>20</v>
      </c>
      <c r="M2420" t="s">
        <v>66</v>
      </c>
      <c r="N2420">
        <v>1.61</v>
      </c>
      <c r="O2420">
        <v>1054</v>
      </c>
      <c r="P2420">
        <v>3.48</v>
      </c>
      <c r="Q2420">
        <v>225</v>
      </c>
      <c r="R2420">
        <v>677</v>
      </c>
    </row>
    <row r="2421" spans="1:18" hidden="1" x14ac:dyDescent="0.2">
      <c r="A2421">
        <v>6</v>
      </c>
      <c r="B2421" t="s">
        <v>91</v>
      </c>
      <c r="E2421" t="s">
        <v>19</v>
      </c>
      <c r="F2421">
        <v>2176130</v>
      </c>
      <c r="G2421">
        <v>4</v>
      </c>
      <c r="H2421">
        <v>2</v>
      </c>
      <c r="I2421">
        <v>864</v>
      </c>
      <c r="J2421">
        <v>1963</v>
      </c>
      <c r="K2421" s="4">
        <v>45129</v>
      </c>
      <c r="L2421" t="s">
        <v>30</v>
      </c>
      <c r="M2421" t="s">
        <v>69</v>
      </c>
      <c r="N2421">
        <v>3.46</v>
      </c>
      <c r="O2421">
        <v>1623</v>
      </c>
      <c r="P2421">
        <v>2.16</v>
      </c>
      <c r="Q2421">
        <v>171</v>
      </c>
      <c r="R2421">
        <v>542</v>
      </c>
    </row>
    <row r="2422" spans="1:18" hidden="1" x14ac:dyDescent="0.2">
      <c r="A2422">
        <v>9</v>
      </c>
      <c r="B2422" t="s">
        <v>100</v>
      </c>
      <c r="E2422" t="s">
        <v>36</v>
      </c>
      <c r="F2422">
        <v>473579</v>
      </c>
      <c r="G2422">
        <v>4</v>
      </c>
      <c r="H2422">
        <v>1</v>
      </c>
      <c r="I2422">
        <v>264</v>
      </c>
      <c r="J2422">
        <v>2011</v>
      </c>
      <c r="K2422" s="4">
        <v>45383</v>
      </c>
      <c r="L2422" t="s">
        <v>30</v>
      </c>
      <c r="M2422" t="s">
        <v>37</v>
      </c>
      <c r="N2422">
        <v>3.33</v>
      </c>
      <c r="O2422">
        <v>1716</v>
      </c>
      <c r="P2422">
        <v>4.68</v>
      </c>
      <c r="Q2422">
        <v>169</v>
      </c>
      <c r="R2422">
        <v>468</v>
      </c>
    </row>
    <row r="2423" spans="1:18" hidden="1" x14ac:dyDescent="0.2">
      <c r="A2423">
        <v>6</v>
      </c>
      <c r="B2423" t="s">
        <v>50</v>
      </c>
      <c r="E2423" t="s">
        <v>29</v>
      </c>
      <c r="F2423">
        <v>971032</v>
      </c>
      <c r="G2423">
        <v>2</v>
      </c>
      <c r="H2423">
        <v>1</v>
      </c>
      <c r="I2423">
        <v>338</v>
      </c>
      <c r="J2423">
        <v>1970</v>
      </c>
      <c r="K2423" s="4">
        <v>45326</v>
      </c>
      <c r="L2423" t="s">
        <v>30</v>
      </c>
      <c r="M2423" t="s">
        <v>31</v>
      </c>
      <c r="N2423">
        <v>3.26</v>
      </c>
      <c r="O2423">
        <v>2154</v>
      </c>
      <c r="P2423">
        <v>1.74</v>
      </c>
      <c r="Q2423">
        <v>229</v>
      </c>
      <c r="R2423">
        <v>525</v>
      </c>
    </row>
    <row r="2424" spans="1:18" x14ac:dyDescent="0.2">
      <c r="A2424">
        <v>8</v>
      </c>
      <c r="B2424" t="s">
        <v>98</v>
      </c>
      <c r="E2424" t="s">
        <v>19</v>
      </c>
      <c r="F2424">
        <v>2941339</v>
      </c>
      <c r="G2424">
        <v>5</v>
      </c>
      <c r="H2424">
        <v>3</v>
      </c>
      <c r="I2424">
        <v>427</v>
      </c>
      <c r="J2424">
        <v>2010</v>
      </c>
      <c r="K2424" s="4">
        <v>44490</v>
      </c>
      <c r="L2424" t="s">
        <v>23</v>
      </c>
      <c r="M2424" t="s">
        <v>24</v>
      </c>
      <c r="N2424">
        <v>3.33</v>
      </c>
      <c r="O2424">
        <v>1771</v>
      </c>
      <c r="P2424">
        <v>2.25</v>
      </c>
      <c r="Q2424">
        <v>338</v>
      </c>
      <c r="R2424">
        <v>314</v>
      </c>
    </row>
    <row r="2425" spans="1:18" hidden="1" x14ac:dyDescent="0.2">
      <c r="A2425">
        <v>6</v>
      </c>
      <c r="B2425" t="s">
        <v>80</v>
      </c>
      <c r="E2425" t="s">
        <v>29</v>
      </c>
      <c r="F2425">
        <v>2215587</v>
      </c>
      <c r="G2425">
        <v>4</v>
      </c>
      <c r="H2425">
        <v>3</v>
      </c>
      <c r="I2425">
        <v>297</v>
      </c>
      <c r="J2425">
        <v>1994</v>
      </c>
      <c r="K2425" s="4">
        <v>44266</v>
      </c>
      <c r="L2425" t="s">
        <v>26</v>
      </c>
      <c r="M2425" t="s">
        <v>47</v>
      </c>
      <c r="N2425">
        <v>2.2400000000000002</v>
      </c>
      <c r="O2425">
        <v>1263</v>
      </c>
      <c r="P2425">
        <v>0.77</v>
      </c>
      <c r="Q2425">
        <v>190</v>
      </c>
      <c r="R2425">
        <v>310</v>
      </c>
    </row>
    <row r="2426" spans="1:18" hidden="1" x14ac:dyDescent="0.2">
      <c r="A2426">
        <v>2</v>
      </c>
      <c r="B2426" t="s">
        <v>98</v>
      </c>
      <c r="E2426" t="s">
        <v>36</v>
      </c>
      <c r="F2426">
        <v>878025</v>
      </c>
      <c r="G2426">
        <v>2</v>
      </c>
      <c r="H2426">
        <v>3</v>
      </c>
      <c r="I2426">
        <v>708</v>
      </c>
      <c r="J2426">
        <v>1957</v>
      </c>
      <c r="K2426" s="4">
        <v>44152</v>
      </c>
      <c r="L2426" t="s">
        <v>30</v>
      </c>
      <c r="M2426" t="s">
        <v>74</v>
      </c>
      <c r="N2426">
        <v>1.56</v>
      </c>
      <c r="O2426">
        <v>1560</v>
      </c>
      <c r="P2426">
        <v>4.42</v>
      </c>
      <c r="Q2426">
        <v>219</v>
      </c>
      <c r="R2426">
        <v>566</v>
      </c>
    </row>
    <row r="2427" spans="1:18" x14ac:dyDescent="0.2">
      <c r="A2427">
        <v>8</v>
      </c>
      <c r="B2427" t="s">
        <v>72</v>
      </c>
      <c r="E2427" t="s">
        <v>19</v>
      </c>
      <c r="F2427">
        <v>1502429</v>
      </c>
      <c r="G2427">
        <v>1</v>
      </c>
      <c r="H2427">
        <v>1</v>
      </c>
      <c r="I2427">
        <v>654</v>
      </c>
      <c r="J2427">
        <v>2012</v>
      </c>
      <c r="K2427" s="4">
        <v>44606</v>
      </c>
      <c r="L2427" t="s">
        <v>20</v>
      </c>
      <c r="M2427" t="s">
        <v>42</v>
      </c>
      <c r="N2427">
        <v>3.31</v>
      </c>
      <c r="O2427">
        <v>1785</v>
      </c>
      <c r="P2427">
        <v>4.43</v>
      </c>
      <c r="Q2427">
        <v>108</v>
      </c>
      <c r="R2427">
        <v>362</v>
      </c>
    </row>
    <row r="2428" spans="1:18" x14ac:dyDescent="0.2">
      <c r="A2428">
        <v>8</v>
      </c>
      <c r="B2428" t="s">
        <v>81</v>
      </c>
      <c r="E2428" t="s">
        <v>51</v>
      </c>
      <c r="F2428">
        <v>1000995</v>
      </c>
      <c r="G2428">
        <v>4</v>
      </c>
      <c r="H2428">
        <v>2</v>
      </c>
      <c r="I2428">
        <v>610</v>
      </c>
      <c r="J2428">
        <v>1982</v>
      </c>
      <c r="K2428" s="4">
        <v>44089</v>
      </c>
      <c r="L2428" t="s">
        <v>30</v>
      </c>
      <c r="M2428" t="s">
        <v>58</v>
      </c>
      <c r="N2428">
        <v>2.75</v>
      </c>
      <c r="O2428">
        <v>2070</v>
      </c>
      <c r="P2428">
        <v>2.5299999999999998</v>
      </c>
      <c r="Q2428">
        <v>280</v>
      </c>
      <c r="R2428">
        <v>471</v>
      </c>
    </row>
    <row r="2429" spans="1:18" hidden="1" x14ac:dyDescent="0.2">
      <c r="A2429">
        <v>1</v>
      </c>
      <c r="B2429" t="s">
        <v>106</v>
      </c>
      <c r="E2429" t="s">
        <v>36</v>
      </c>
      <c r="F2429">
        <v>1753806</v>
      </c>
      <c r="G2429">
        <v>2</v>
      </c>
      <c r="H2429">
        <v>1</v>
      </c>
      <c r="I2429">
        <v>93</v>
      </c>
      <c r="J2429">
        <v>2021</v>
      </c>
      <c r="K2429" s="4">
        <v>45680</v>
      </c>
      <c r="L2429" t="s">
        <v>26</v>
      </c>
      <c r="M2429" t="s">
        <v>40</v>
      </c>
      <c r="N2429">
        <v>3.04</v>
      </c>
      <c r="O2429">
        <v>1987</v>
      </c>
      <c r="P2429">
        <v>3.28</v>
      </c>
      <c r="Q2429">
        <v>197</v>
      </c>
      <c r="R2429">
        <v>431</v>
      </c>
    </row>
    <row r="2430" spans="1:18" hidden="1" x14ac:dyDescent="0.2">
      <c r="A2430">
        <v>1</v>
      </c>
      <c r="B2430" t="s">
        <v>104</v>
      </c>
      <c r="E2430" t="s">
        <v>29</v>
      </c>
      <c r="F2430">
        <v>2034961</v>
      </c>
      <c r="G2430">
        <v>5</v>
      </c>
      <c r="H2430">
        <v>3</v>
      </c>
      <c r="I2430">
        <v>1000</v>
      </c>
      <c r="J2430">
        <v>1953</v>
      </c>
      <c r="K2430" s="4">
        <v>44100</v>
      </c>
      <c r="L2430" t="s">
        <v>30</v>
      </c>
      <c r="M2430" t="s">
        <v>27</v>
      </c>
      <c r="N2430">
        <v>3.31</v>
      </c>
      <c r="O2430">
        <v>1605</v>
      </c>
      <c r="P2430">
        <v>2.75</v>
      </c>
      <c r="Q2430">
        <v>279</v>
      </c>
      <c r="R2430">
        <v>327</v>
      </c>
    </row>
    <row r="2431" spans="1:18" hidden="1" x14ac:dyDescent="0.2">
      <c r="A2431">
        <v>0</v>
      </c>
      <c r="B2431" t="s">
        <v>61</v>
      </c>
      <c r="E2431" t="s">
        <v>29</v>
      </c>
      <c r="F2431">
        <v>689840</v>
      </c>
      <c r="G2431">
        <v>6</v>
      </c>
      <c r="H2431">
        <v>3</v>
      </c>
      <c r="I2431">
        <v>460</v>
      </c>
      <c r="J2431">
        <v>2004</v>
      </c>
      <c r="K2431" s="4">
        <v>45276</v>
      </c>
      <c r="L2431" t="s">
        <v>26</v>
      </c>
      <c r="M2431" t="s">
        <v>52</v>
      </c>
      <c r="N2431">
        <v>2.84</v>
      </c>
      <c r="O2431">
        <v>851</v>
      </c>
      <c r="P2431">
        <v>4.2300000000000004</v>
      </c>
      <c r="Q2431">
        <v>347</v>
      </c>
      <c r="R2431">
        <v>534</v>
      </c>
    </row>
    <row r="2432" spans="1:18" hidden="1" x14ac:dyDescent="0.2">
      <c r="A2432">
        <v>7</v>
      </c>
      <c r="B2432" t="s">
        <v>44</v>
      </c>
      <c r="E2432" t="s">
        <v>51</v>
      </c>
      <c r="F2432">
        <v>893150</v>
      </c>
      <c r="G2432">
        <v>3</v>
      </c>
      <c r="H2432">
        <v>3</v>
      </c>
      <c r="I2432">
        <v>592</v>
      </c>
      <c r="J2432">
        <v>1966</v>
      </c>
      <c r="K2432" s="4">
        <v>45811</v>
      </c>
      <c r="L2432" t="s">
        <v>30</v>
      </c>
      <c r="M2432" t="s">
        <v>77</v>
      </c>
      <c r="N2432">
        <v>2.8</v>
      </c>
      <c r="O2432">
        <v>1323</v>
      </c>
      <c r="P2432">
        <v>2.76</v>
      </c>
      <c r="Q2432">
        <v>225</v>
      </c>
      <c r="R2432">
        <v>391</v>
      </c>
    </row>
    <row r="2433" spans="1:18" x14ac:dyDescent="0.2">
      <c r="A2433">
        <v>8</v>
      </c>
      <c r="B2433" t="s">
        <v>99</v>
      </c>
      <c r="E2433" t="s">
        <v>51</v>
      </c>
      <c r="F2433">
        <v>2762218</v>
      </c>
      <c r="G2433">
        <v>5</v>
      </c>
      <c r="H2433">
        <v>3</v>
      </c>
      <c r="I2433">
        <v>134</v>
      </c>
      <c r="J2433">
        <v>1970</v>
      </c>
      <c r="K2433" s="4">
        <v>45131</v>
      </c>
      <c r="L2433" t="s">
        <v>23</v>
      </c>
      <c r="M2433" t="s">
        <v>82</v>
      </c>
      <c r="N2433">
        <v>2</v>
      </c>
      <c r="O2433">
        <v>1883</v>
      </c>
      <c r="P2433">
        <v>4.84</v>
      </c>
      <c r="Q2433">
        <v>245</v>
      </c>
      <c r="R2433">
        <v>668</v>
      </c>
    </row>
    <row r="2434" spans="1:18" hidden="1" x14ac:dyDescent="0.2">
      <c r="A2434">
        <v>2</v>
      </c>
      <c r="B2434" t="s">
        <v>87</v>
      </c>
      <c r="E2434" t="s">
        <v>36</v>
      </c>
      <c r="F2434">
        <v>853587</v>
      </c>
      <c r="G2434">
        <v>1</v>
      </c>
      <c r="H2434">
        <v>2</v>
      </c>
      <c r="I2434">
        <v>664</v>
      </c>
      <c r="J2434">
        <v>1998</v>
      </c>
      <c r="K2434" s="4">
        <v>45430</v>
      </c>
      <c r="L2434" t="s">
        <v>20</v>
      </c>
      <c r="M2434" t="s">
        <v>85</v>
      </c>
      <c r="N2434">
        <v>3.17</v>
      </c>
      <c r="O2434">
        <v>2483</v>
      </c>
      <c r="P2434">
        <v>3.42</v>
      </c>
      <c r="Q2434">
        <v>63</v>
      </c>
      <c r="R2434">
        <v>501</v>
      </c>
    </row>
    <row r="2435" spans="1:18" hidden="1" x14ac:dyDescent="0.2">
      <c r="A2435">
        <v>1</v>
      </c>
      <c r="B2435" t="s">
        <v>101</v>
      </c>
      <c r="E2435" t="s">
        <v>29</v>
      </c>
      <c r="F2435">
        <v>1152467</v>
      </c>
      <c r="G2435">
        <v>4</v>
      </c>
      <c r="H2435">
        <v>3</v>
      </c>
      <c r="I2435">
        <v>118</v>
      </c>
      <c r="J2435">
        <v>1962</v>
      </c>
      <c r="K2435" s="4">
        <v>45791</v>
      </c>
      <c r="L2435" t="s">
        <v>26</v>
      </c>
      <c r="M2435" t="s">
        <v>74</v>
      </c>
      <c r="N2435">
        <v>2.3199999999999998</v>
      </c>
      <c r="O2435">
        <v>1374</v>
      </c>
      <c r="P2435">
        <v>4.05</v>
      </c>
      <c r="Q2435">
        <v>379</v>
      </c>
      <c r="R2435">
        <v>524</v>
      </c>
    </row>
    <row r="2436" spans="1:18" hidden="1" x14ac:dyDescent="0.2">
      <c r="A2436">
        <v>5</v>
      </c>
      <c r="B2436" t="s">
        <v>79</v>
      </c>
      <c r="E2436" t="s">
        <v>29</v>
      </c>
      <c r="F2436">
        <v>843779</v>
      </c>
      <c r="G2436">
        <v>3</v>
      </c>
      <c r="H2436">
        <v>3</v>
      </c>
      <c r="I2436">
        <v>278</v>
      </c>
      <c r="J2436">
        <v>1996</v>
      </c>
      <c r="K2436" s="4">
        <v>44933</v>
      </c>
      <c r="L2436" t="s">
        <v>23</v>
      </c>
      <c r="M2436" t="s">
        <v>60</v>
      </c>
      <c r="N2436">
        <v>2.63</v>
      </c>
      <c r="O2436">
        <v>1155</v>
      </c>
      <c r="P2436">
        <v>2.0299999999999998</v>
      </c>
      <c r="Q2436">
        <v>176</v>
      </c>
      <c r="R2436">
        <v>615</v>
      </c>
    </row>
    <row r="2437" spans="1:18" hidden="1" x14ac:dyDescent="0.2">
      <c r="A2437">
        <v>7</v>
      </c>
      <c r="B2437" t="s">
        <v>57</v>
      </c>
      <c r="E2437" t="s">
        <v>29</v>
      </c>
      <c r="F2437">
        <v>2495879</v>
      </c>
      <c r="G2437">
        <v>1</v>
      </c>
      <c r="H2437">
        <v>1</v>
      </c>
      <c r="I2437">
        <v>219</v>
      </c>
      <c r="J2437">
        <v>1952</v>
      </c>
      <c r="K2437" s="4">
        <v>45314</v>
      </c>
      <c r="L2437" t="s">
        <v>26</v>
      </c>
      <c r="M2437" t="s">
        <v>21</v>
      </c>
      <c r="N2437">
        <v>1.57</v>
      </c>
      <c r="O2437">
        <v>1874</v>
      </c>
      <c r="P2437">
        <v>4.03</v>
      </c>
      <c r="Q2437">
        <v>40</v>
      </c>
      <c r="R2437">
        <v>609</v>
      </c>
    </row>
    <row r="2438" spans="1:18" hidden="1" x14ac:dyDescent="0.2">
      <c r="A2438">
        <v>1</v>
      </c>
      <c r="B2438" t="s">
        <v>44</v>
      </c>
      <c r="E2438" t="s">
        <v>51</v>
      </c>
      <c r="F2438">
        <v>2711576</v>
      </c>
      <c r="G2438">
        <v>4</v>
      </c>
      <c r="H2438">
        <v>3</v>
      </c>
      <c r="I2438">
        <v>79</v>
      </c>
      <c r="J2438">
        <v>1995</v>
      </c>
      <c r="K2438" s="4">
        <v>45187</v>
      </c>
      <c r="L2438" t="s">
        <v>20</v>
      </c>
      <c r="M2438" t="s">
        <v>33</v>
      </c>
      <c r="N2438">
        <v>1.96</v>
      </c>
      <c r="O2438">
        <v>900</v>
      </c>
      <c r="P2438">
        <v>2.61</v>
      </c>
      <c r="Q2438">
        <v>219</v>
      </c>
      <c r="R2438">
        <v>625</v>
      </c>
    </row>
    <row r="2439" spans="1:18" hidden="1" x14ac:dyDescent="0.2">
      <c r="A2439">
        <v>9</v>
      </c>
      <c r="B2439" t="s">
        <v>96</v>
      </c>
      <c r="E2439" t="s">
        <v>36</v>
      </c>
      <c r="F2439">
        <v>1392798</v>
      </c>
      <c r="G2439">
        <v>2</v>
      </c>
      <c r="H2439">
        <v>3</v>
      </c>
      <c r="I2439">
        <v>281</v>
      </c>
      <c r="J2439">
        <v>1975</v>
      </c>
      <c r="K2439" s="4">
        <v>45553</v>
      </c>
      <c r="L2439" t="s">
        <v>26</v>
      </c>
      <c r="M2439" t="s">
        <v>60</v>
      </c>
      <c r="N2439">
        <v>2.38</v>
      </c>
      <c r="O2439">
        <v>1738</v>
      </c>
      <c r="P2439">
        <v>2.31</v>
      </c>
      <c r="Q2439">
        <v>104</v>
      </c>
      <c r="R2439">
        <v>398</v>
      </c>
    </row>
    <row r="2440" spans="1:18" hidden="1" x14ac:dyDescent="0.2">
      <c r="A2440">
        <v>5</v>
      </c>
      <c r="B2440" t="s">
        <v>102</v>
      </c>
      <c r="E2440" t="s">
        <v>29</v>
      </c>
      <c r="F2440">
        <v>2800021</v>
      </c>
      <c r="G2440">
        <v>4</v>
      </c>
      <c r="H2440">
        <v>3</v>
      </c>
      <c r="I2440">
        <v>258</v>
      </c>
      <c r="J2440">
        <v>2006</v>
      </c>
      <c r="K2440" s="4">
        <v>44160</v>
      </c>
      <c r="L2440" t="s">
        <v>20</v>
      </c>
      <c r="M2440" t="s">
        <v>59</v>
      </c>
      <c r="N2440">
        <v>2.2999999999999998</v>
      </c>
      <c r="O2440">
        <v>1383</v>
      </c>
      <c r="P2440">
        <v>1.86</v>
      </c>
      <c r="Q2440">
        <v>226</v>
      </c>
      <c r="R2440">
        <v>629</v>
      </c>
    </row>
    <row r="2441" spans="1:18" hidden="1" x14ac:dyDescent="0.2">
      <c r="A2441">
        <v>2</v>
      </c>
      <c r="B2441" t="s">
        <v>72</v>
      </c>
      <c r="E2441" t="s">
        <v>29</v>
      </c>
      <c r="F2441">
        <v>2614373</v>
      </c>
      <c r="G2441">
        <v>4</v>
      </c>
      <c r="H2441">
        <v>2</v>
      </c>
      <c r="I2441">
        <v>571</v>
      </c>
      <c r="J2441">
        <v>1987</v>
      </c>
      <c r="K2441" s="4">
        <v>44858</v>
      </c>
      <c r="L2441" t="s">
        <v>20</v>
      </c>
      <c r="M2441" t="s">
        <v>59</v>
      </c>
      <c r="N2441">
        <v>2.61</v>
      </c>
      <c r="O2441">
        <v>2015</v>
      </c>
      <c r="P2441">
        <v>2.02</v>
      </c>
      <c r="Q2441">
        <v>209</v>
      </c>
      <c r="R2441">
        <v>520</v>
      </c>
    </row>
    <row r="2442" spans="1:18" x14ac:dyDescent="0.2">
      <c r="A2442">
        <v>8</v>
      </c>
      <c r="B2442" t="s">
        <v>72</v>
      </c>
      <c r="E2442" t="s">
        <v>29</v>
      </c>
      <c r="F2442">
        <v>1737745</v>
      </c>
      <c r="G2442">
        <v>6</v>
      </c>
      <c r="H2442">
        <v>3</v>
      </c>
      <c r="I2442">
        <v>751</v>
      </c>
      <c r="J2442">
        <v>1955</v>
      </c>
      <c r="K2442" s="4">
        <v>45226</v>
      </c>
      <c r="L2442" t="s">
        <v>20</v>
      </c>
      <c r="M2442" t="s">
        <v>82</v>
      </c>
      <c r="N2442">
        <v>2</v>
      </c>
      <c r="O2442">
        <v>2414</v>
      </c>
      <c r="P2442">
        <v>0.68</v>
      </c>
      <c r="Q2442">
        <v>334</v>
      </c>
      <c r="R2442">
        <v>543</v>
      </c>
    </row>
    <row r="2443" spans="1:18" hidden="1" x14ac:dyDescent="0.2">
      <c r="A2443">
        <v>7</v>
      </c>
      <c r="B2443" t="s">
        <v>79</v>
      </c>
      <c r="E2443" t="s">
        <v>29</v>
      </c>
      <c r="F2443">
        <v>943104</v>
      </c>
      <c r="G2443">
        <v>3</v>
      </c>
      <c r="H2443">
        <v>1</v>
      </c>
      <c r="I2443">
        <v>81</v>
      </c>
      <c r="J2443">
        <v>1960</v>
      </c>
      <c r="K2443" s="4">
        <v>45577</v>
      </c>
      <c r="L2443" t="s">
        <v>26</v>
      </c>
      <c r="M2443" t="s">
        <v>69</v>
      </c>
      <c r="N2443">
        <v>2.17</v>
      </c>
      <c r="O2443">
        <v>1071</v>
      </c>
      <c r="P2443">
        <v>0.41</v>
      </c>
      <c r="Q2443">
        <v>143</v>
      </c>
      <c r="R2443">
        <v>562</v>
      </c>
    </row>
    <row r="2444" spans="1:18" hidden="1" x14ac:dyDescent="0.2">
      <c r="A2444">
        <v>4</v>
      </c>
      <c r="B2444" t="s">
        <v>67</v>
      </c>
      <c r="E2444" t="s">
        <v>36</v>
      </c>
      <c r="F2444">
        <v>1890390</v>
      </c>
      <c r="G2444">
        <v>3</v>
      </c>
      <c r="H2444">
        <v>1</v>
      </c>
      <c r="I2444">
        <v>921</v>
      </c>
      <c r="J2444">
        <v>1976</v>
      </c>
      <c r="K2444" s="4">
        <v>45380</v>
      </c>
      <c r="L2444" t="s">
        <v>30</v>
      </c>
      <c r="M2444" t="s">
        <v>33</v>
      </c>
      <c r="N2444">
        <v>3.01</v>
      </c>
      <c r="O2444">
        <v>1168</v>
      </c>
      <c r="P2444">
        <v>1.35</v>
      </c>
      <c r="Q2444">
        <v>107</v>
      </c>
      <c r="R2444">
        <v>586</v>
      </c>
    </row>
    <row r="2445" spans="1:18" hidden="1" x14ac:dyDescent="0.2">
      <c r="A2445">
        <v>1</v>
      </c>
      <c r="B2445" t="s">
        <v>73</v>
      </c>
      <c r="E2445" t="s">
        <v>29</v>
      </c>
      <c r="F2445">
        <v>1896889</v>
      </c>
      <c r="G2445">
        <v>1</v>
      </c>
      <c r="H2445">
        <v>3</v>
      </c>
      <c r="I2445">
        <v>573</v>
      </c>
      <c r="J2445">
        <v>1986</v>
      </c>
      <c r="K2445" s="4">
        <v>44835</v>
      </c>
      <c r="L2445" t="s">
        <v>20</v>
      </c>
      <c r="M2445" t="s">
        <v>31</v>
      </c>
      <c r="N2445">
        <v>2.71</v>
      </c>
      <c r="O2445">
        <v>951</v>
      </c>
      <c r="P2445">
        <v>3.42</v>
      </c>
      <c r="Q2445">
        <v>159</v>
      </c>
      <c r="R2445">
        <v>541</v>
      </c>
    </row>
    <row r="2446" spans="1:18" hidden="1" x14ac:dyDescent="0.2">
      <c r="A2446">
        <v>7</v>
      </c>
      <c r="B2446" t="s">
        <v>46</v>
      </c>
      <c r="E2446" t="s">
        <v>19</v>
      </c>
      <c r="F2446">
        <v>1946720</v>
      </c>
      <c r="G2446">
        <v>5</v>
      </c>
      <c r="H2446">
        <v>2</v>
      </c>
      <c r="I2446">
        <v>126</v>
      </c>
      <c r="J2446">
        <v>2013</v>
      </c>
      <c r="K2446" s="4">
        <v>44133</v>
      </c>
      <c r="L2446" t="s">
        <v>30</v>
      </c>
      <c r="M2446" t="s">
        <v>52</v>
      </c>
      <c r="N2446">
        <v>2.0299999999999998</v>
      </c>
      <c r="O2446">
        <v>1016</v>
      </c>
      <c r="P2446">
        <v>1.02</v>
      </c>
      <c r="Q2446">
        <v>304</v>
      </c>
      <c r="R2446">
        <v>455</v>
      </c>
    </row>
    <row r="2447" spans="1:18" x14ac:dyDescent="0.2">
      <c r="A2447">
        <v>8</v>
      </c>
      <c r="B2447" t="s">
        <v>64</v>
      </c>
      <c r="E2447" t="s">
        <v>51</v>
      </c>
      <c r="F2447">
        <v>2958640</v>
      </c>
      <c r="G2447">
        <v>4</v>
      </c>
      <c r="H2447">
        <v>3</v>
      </c>
      <c r="I2447">
        <v>560</v>
      </c>
      <c r="J2447">
        <v>1995</v>
      </c>
      <c r="K2447" s="4">
        <v>45402</v>
      </c>
      <c r="L2447" t="s">
        <v>23</v>
      </c>
      <c r="M2447" t="s">
        <v>47</v>
      </c>
      <c r="N2447">
        <v>2.71</v>
      </c>
      <c r="O2447">
        <v>1532</v>
      </c>
      <c r="P2447">
        <v>2.59</v>
      </c>
      <c r="Q2447">
        <v>228</v>
      </c>
      <c r="R2447">
        <v>467</v>
      </c>
    </row>
    <row r="2448" spans="1:18" hidden="1" x14ac:dyDescent="0.2">
      <c r="A2448">
        <v>7</v>
      </c>
      <c r="B2448" t="s">
        <v>101</v>
      </c>
      <c r="E2448" t="s">
        <v>19</v>
      </c>
      <c r="F2448">
        <v>2398488</v>
      </c>
      <c r="G2448">
        <v>2</v>
      </c>
      <c r="H2448">
        <v>1</v>
      </c>
      <c r="I2448">
        <v>447</v>
      </c>
      <c r="J2448">
        <v>1965</v>
      </c>
      <c r="K2448" s="4">
        <v>44770</v>
      </c>
      <c r="L2448" t="s">
        <v>30</v>
      </c>
      <c r="M2448" t="s">
        <v>76</v>
      </c>
      <c r="N2448">
        <v>2.15</v>
      </c>
      <c r="O2448">
        <v>2411</v>
      </c>
      <c r="P2448">
        <v>3.18</v>
      </c>
      <c r="Q2448">
        <v>129</v>
      </c>
      <c r="R2448">
        <v>603</v>
      </c>
    </row>
    <row r="2449" spans="1:18" hidden="1" x14ac:dyDescent="0.2">
      <c r="A2449">
        <v>1</v>
      </c>
      <c r="B2449" t="s">
        <v>71</v>
      </c>
      <c r="E2449" t="s">
        <v>36</v>
      </c>
      <c r="F2449">
        <v>2474906</v>
      </c>
      <c r="G2449">
        <v>2</v>
      </c>
      <c r="H2449">
        <v>1</v>
      </c>
      <c r="I2449">
        <v>580</v>
      </c>
      <c r="J2449">
        <v>2001</v>
      </c>
      <c r="K2449" s="4">
        <v>45244</v>
      </c>
      <c r="L2449" t="s">
        <v>26</v>
      </c>
      <c r="M2449" t="s">
        <v>31</v>
      </c>
      <c r="N2449">
        <v>1.65</v>
      </c>
      <c r="O2449">
        <v>1267</v>
      </c>
      <c r="P2449">
        <v>2.4900000000000002</v>
      </c>
      <c r="Q2449">
        <v>161</v>
      </c>
      <c r="R2449">
        <v>441</v>
      </c>
    </row>
    <row r="2450" spans="1:18" hidden="1" x14ac:dyDescent="0.2">
      <c r="A2450">
        <v>5</v>
      </c>
      <c r="B2450" t="s">
        <v>34</v>
      </c>
      <c r="E2450" t="s">
        <v>36</v>
      </c>
      <c r="F2450">
        <v>2315228</v>
      </c>
      <c r="G2450">
        <v>4</v>
      </c>
      <c r="H2450">
        <v>2</v>
      </c>
      <c r="I2450">
        <v>921</v>
      </c>
      <c r="J2450">
        <v>1998</v>
      </c>
      <c r="K2450" s="4">
        <v>45158</v>
      </c>
      <c r="L2450" t="s">
        <v>26</v>
      </c>
      <c r="M2450" t="s">
        <v>42</v>
      </c>
      <c r="N2450">
        <v>2.52</v>
      </c>
      <c r="O2450">
        <v>2320</v>
      </c>
      <c r="P2450">
        <v>0.34</v>
      </c>
      <c r="Q2450">
        <v>323</v>
      </c>
      <c r="R2450">
        <v>645</v>
      </c>
    </row>
    <row r="2451" spans="1:18" hidden="1" x14ac:dyDescent="0.2">
      <c r="A2451">
        <v>1</v>
      </c>
      <c r="B2451" t="s">
        <v>48</v>
      </c>
      <c r="E2451" t="s">
        <v>19</v>
      </c>
      <c r="F2451">
        <v>1265526</v>
      </c>
      <c r="G2451">
        <v>3</v>
      </c>
      <c r="H2451">
        <v>2</v>
      </c>
      <c r="I2451">
        <v>466</v>
      </c>
      <c r="J2451">
        <v>1962</v>
      </c>
      <c r="K2451" s="4">
        <v>45475</v>
      </c>
      <c r="L2451" t="s">
        <v>23</v>
      </c>
      <c r="M2451" t="s">
        <v>37</v>
      </c>
      <c r="N2451">
        <v>1.52</v>
      </c>
      <c r="O2451">
        <v>1034</v>
      </c>
      <c r="P2451">
        <v>1.19</v>
      </c>
      <c r="Q2451">
        <v>117</v>
      </c>
      <c r="R2451">
        <v>678</v>
      </c>
    </row>
    <row r="2452" spans="1:18" hidden="1" x14ac:dyDescent="0.2">
      <c r="A2452">
        <v>3</v>
      </c>
      <c r="B2452" t="s">
        <v>61</v>
      </c>
      <c r="E2452" t="s">
        <v>19</v>
      </c>
      <c r="F2452">
        <v>1748741</v>
      </c>
      <c r="G2452">
        <v>1</v>
      </c>
      <c r="H2452">
        <v>1</v>
      </c>
      <c r="I2452">
        <v>783</v>
      </c>
      <c r="J2452">
        <v>1993</v>
      </c>
      <c r="K2452" s="4">
        <v>45804</v>
      </c>
      <c r="L2452" t="s">
        <v>30</v>
      </c>
      <c r="M2452" t="s">
        <v>31</v>
      </c>
      <c r="N2452">
        <v>3.12</v>
      </c>
      <c r="O2452">
        <v>2183</v>
      </c>
      <c r="P2452">
        <v>2.86</v>
      </c>
      <c r="Q2452">
        <v>117</v>
      </c>
      <c r="R2452">
        <v>465</v>
      </c>
    </row>
    <row r="2453" spans="1:18" hidden="1" x14ac:dyDescent="0.2">
      <c r="A2453">
        <v>7</v>
      </c>
      <c r="B2453" t="s">
        <v>72</v>
      </c>
      <c r="E2453" t="s">
        <v>29</v>
      </c>
      <c r="F2453">
        <v>2263076</v>
      </c>
      <c r="G2453">
        <v>5</v>
      </c>
      <c r="H2453">
        <v>3</v>
      </c>
      <c r="I2453">
        <v>67</v>
      </c>
      <c r="J2453">
        <v>1967</v>
      </c>
      <c r="K2453" s="4">
        <v>44402</v>
      </c>
      <c r="L2453" t="s">
        <v>26</v>
      </c>
      <c r="M2453" t="s">
        <v>70</v>
      </c>
      <c r="N2453">
        <v>1.52</v>
      </c>
      <c r="O2453">
        <v>1921</v>
      </c>
      <c r="P2453">
        <v>4.97</v>
      </c>
      <c r="Q2453">
        <v>334</v>
      </c>
      <c r="R2453">
        <v>604</v>
      </c>
    </row>
    <row r="2454" spans="1:18" hidden="1" x14ac:dyDescent="0.2">
      <c r="A2454">
        <v>5</v>
      </c>
      <c r="B2454" t="s">
        <v>39</v>
      </c>
      <c r="E2454" t="s">
        <v>19</v>
      </c>
      <c r="F2454">
        <v>449327</v>
      </c>
      <c r="G2454">
        <v>4</v>
      </c>
      <c r="H2454">
        <v>2</v>
      </c>
      <c r="I2454">
        <v>415</v>
      </c>
      <c r="J2454">
        <v>2009</v>
      </c>
      <c r="K2454" s="4">
        <v>44938</v>
      </c>
      <c r="L2454" t="s">
        <v>26</v>
      </c>
      <c r="M2454" t="s">
        <v>77</v>
      </c>
      <c r="N2454">
        <v>2.2400000000000002</v>
      </c>
      <c r="O2454">
        <v>1938</v>
      </c>
      <c r="P2454">
        <v>1.4</v>
      </c>
      <c r="Q2454">
        <v>264</v>
      </c>
      <c r="R2454">
        <v>582</v>
      </c>
    </row>
    <row r="2455" spans="1:18" hidden="1" x14ac:dyDescent="0.2">
      <c r="A2455">
        <v>7</v>
      </c>
      <c r="B2455" t="s">
        <v>62</v>
      </c>
      <c r="E2455" t="s">
        <v>36</v>
      </c>
      <c r="F2455">
        <v>2327049</v>
      </c>
      <c r="G2455">
        <v>2</v>
      </c>
      <c r="H2455">
        <v>1</v>
      </c>
      <c r="I2455">
        <v>340</v>
      </c>
      <c r="J2455">
        <v>1971</v>
      </c>
      <c r="K2455" s="4">
        <v>44950</v>
      </c>
      <c r="L2455" t="s">
        <v>26</v>
      </c>
      <c r="M2455" t="s">
        <v>78</v>
      </c>
      <c r="N2455">
        <v>3.08</v>
      </c>
      <c r="O2455">
        <v>2027</v>
      </c>
      <c r="P2455">
        <v>2.72</v>
      </c>
      <c r="Q2455">
        <v>149</v>
      </c>
      <c r="R2455">
        <v>555</v>
      </c>
    </row>
    <row r="2456" spans="1:18" hidden="1" x14ac:dyDescent="0.2">
      <c r="A2456">
        <v>4</v>
      </c>
      <c r="B2456" t="s">
        <v>65</v>
      </c>
      <c r="E2456" t="s">
        <v>36</v>
      </c>
      <c r="F2456">
        <v>2671216</v>
      </c>
      <c r="G2456">
        <v>6</v>
      </c>
      <c r="H2456">
        <v>3</v>
      </c>
      <c r="I2456">
        <v>184</v>
      </c>
      <c r="J2456">
        <v>1971</v>
      </c>
      <c r="K2456" s="4">
        <v>45734</v>
      </c>
      <c r="L2456" t="s">
        <v>26</v>
      </c>
      <c r="M2456" t="s">
        <v>33</v>
      </c>
      <c r="N2456">
        <v>2.2999999999999998</v>
      </c>
      <c r="O2456">
        <v>1264</v>
      </c>
      <c r="P2456">
        <v>2.36</v>
      </c>
      <c r="Q2456">
        <v>331</v>
      </c>
      <c r="R2456">
        <v>553</v>
      </c>
    </row>
    <row r="2457" spans="1:18" x14ac:dyDescent="0.2">
      <c r="A2457">
        <v>8</v>
      </c>
      <c r="B2457" t="s">
        <v>81</v>
      </c>
      <c r="E2457" t="s">
        <v>51</v>
      </c>
      <c r="F2457">
        <v>2103217</v>
      </c>
      <c r="G2457">
        <v>0</v>
      </c>
      <c r="H2457">
        <v>3</v>
      </c>
      <c r="I2457">
        <v>308</v>
      </c>
      <c r="J2457">
        <v>2001</v>
      </c>
      <c r="K2457" s="4">
        <v>45741</v>
      </c>
      <c r="L2457" t="s">
        <v>20</v>
      </c>
      <c r="M2457" t="s">
        <v>70</v>
      </c>
      <c r="N2457">
        <v>2.71</v>
      </c>
      <c r="O2457">
        <v>1826</v>
      </c>
      <c r="P2457">
        <v>4.97</v>
      </c>
      <c r="Q2457">
        <v>42</v>
      </c>
      <c r="R2457">
        <v>511</v>
      </c>
    </row>
    <row r="2458" spans="1:18" hidden="1" x14ac:dyDescent="0.2">
      <c r="A2458">
        <v>2</v>
      </c>
      <c r="B2458" t="s">
        <v>57</v>
      </c>
      <c r="E2458" t="s">
        <v>19</v>
      </c>
      <c r="F2458">
        <v>509229</v>
      </c>
      <c r="G2458">
        <v>5</v>
      </c>
      <c r="H2458">
        <v>2</v>
      </c>
      <c r="I2458">
        <v>250</v>
      </c>
      <c r="J2458">
        <v>2017</v>
      </c>
      <c r="K2458" s="4">
        <v>45879</v>
      </c>
      <c r="L2458" t="s">
        <v>20</v>
      </c>
      <c r="M2458" t="s">
        <v>89</v>
      </c>
      <c r="N2458">
        <v>2.92</v>
      </c>
      <c r="O2458">
        <v>1708</v>
      </c>
      <c r="P2458">
        <v>2.29</v>
      </c>
      <c r="Q2458">
        <v>256</v>
      </c>
      <c r="R2458">
        <v>373</v>
      </c>
    </row>
    <row r="2459" spans="1:18" hidden="1" x14ac:dyDescent="0.2">
      <c r="A2459">
        <v>1</v>
      </c>
      <c r="B2459" t="s">
        <v>46</v>
      </c>
      <c r="E2459" t="s">
        <v>51</v>
      </c>
      <c r="F2459">
        <v>1114773</v>
      </c>
      <c r="G2459">
        <v>4</v>
      </c>
      <c r="H2459">
        <v>2</v>
      </c>
      <c r="I2459">
        <v>622</v>
      </c>
      <c r="J2459">
        <v>1990</v>
      </c>
      <c r="K2459" s="4">
        <v>44738</v>
      </c>
      <c r="L2459" t="s">
        <v>26</v>
      </c>
      <c r="M2459" t="s">
        <v>24</v>
      </c>
      <c r="N2459">
        <v>3.28</v>
      </c>
      <c r="O2459">
        <v>1106</v>
      </c>
      <c r="P2459">
        <v>3.55</v>
      </c>
      <c r="Q2459">
        <v>252</v>
      </c>
      <c r="R2459">
        <v>313</v>
      </c>
    </row>
    <row r="2460" spans="1:18" hidden="1" x14ac:dyDescent="0.2">
      <c r="A2460">
        <v>1</v>
      </c>
      <c r="B2460" t="s">
        <v>92</v>
      </c>
      <c r="E2460" t="s">
        <v>29</v>
      </c>
      <c r="F2460">
        <v>2357674</v>
      </c>
      <c r="G2460">
        <v>4</v>
      </c>
      <c r="H2460">
        <v>1</v>
      </c>
      <c r="I2460">
        <v>785</v>
      </c>
      <c r="J2460">
        <v>1951</v>
      </c>
      <c r="K2460" s="4">
        <v>45828</v>
      </c>
      <c r="L2460" t="s">
        <v>20</v>
      </c>
      <c r="M2460" t="s">
        <v>89</v>
      </c>
      <c r="N2460">
        <v>2.23</v>
      </c>
      <c r="O2460">
        <v>2493</v>
      </c>
      <c r="P2460">
        <v>1.21</v>
      </c>
      <c r="Q2460">
        <v>227</v>
      </c>
      <c r="R2460">
        <v>397</v>
      </c>
    </row>
    <row r="2461" spans="1:18" hidden="1" x14ac:dyDescent="0.2">
      <c r="A2461">
        <v>6</v>
      </c>
      <c r="B2461" t="s">
        <v>81</v>
      </c>
      <c r="E2461" t="s">
        <v>19</v>
      </c>
      <c r="F2461">
        <v>1780287</v>
      </c>
      <c r="G2461">
        <v>2</v>
      </c>
      <c r="H2461">
        <v>1</v>
      </c>
      <c r="I2461">
        <v>459</v>
      </c>
      <c r="J2461">
        <v>1992</v>
      </c>
      <c r="K2461" s="4">
        <v>45096</v>
      </c>
      <c r="L2461" t="s">
        <v>20</v>
      </c>
      <c r="M2461" t="s">
        <v>45</v>
      </c>
      <c r="N2461">
        <v>3.46</v>
      </c>
      <c r="O2461">
        <v>2255</v>
      </c>
      <c r="P2461">
        <v>4.46</v>
      </c>
      <c r="Q2461">
        <v>159</v>
      </c>
      <c r="R2461">
        <v>477</v>
      </c>
    </row>
    <row r="2462" spans="1:18" hidden="1" x14ac:dyDescent="0.2">
      <c r="A2462">
        <v>2</v>
      </c>
      <c r="B2462" t="s">
        <v>88</v>
      </c>
      <c r="E2462" t="s">
        <v>19</v>
      </c>
      <c r="F2462">
        <v>1530730</v>
      </c>
      <c r="G2462">
        <v>3</v>
      </c>
      <c r="H2462">
        <v>1</v>
      </c>
      <c r="I2462">
        <v>305</v>
      </c>
      <c r="J2462">
        <v>2022</v>
      </c>
      <c r="K2462" s="4">
        <v>45422</v>
      </c>
      <c r="L2462" t="s">
        <v>20</v>
      </c>
      <c r="M2462" t="s">
        <v>97</v>
      </c>
      <c r="N2462">
        <v>3.28</v>
      </c>
      <c r="O2462">
        <v>2335</v>
      </c>
      <c r="P2462">
        <v>4.2699999999999996</v>
      </c>
      <c r="Q2462">
        <v>290</v>
      </c>
      <c r="R2462">
        <v>387</v>
      </c>
    </row>
    <row r="2463" spans="1:18" x14ac:dyDescent="0.2">
      <c r="A2463">
        <v>8</v>
      </c>
      <c r="B2463" t="s">
        <v>32</v>
      </c>
      <c r="E2463" t="s">
        <v>19</v>
      </c>
      <c r="F2463">
        <v>1024036</v>
      </c>
      <c r="G2463">
        <v>6</v>
      </c>
      <c r="H2463">
        <v>2</v>
      </c>
      <c r="I2463">
        <v>403</v>
      </c>
      <c r="J2463">
        <v>1977</v>
      </c>
      <c r="K2463" s="4">
        <v>44116</v>
      </c>
      <c r="L2463" t="s">
        <v>30</v>
      </c>
      <c r="M2463" t="s">
        <v>33</v>
      </c>
      <c r="N2463">
        <v>1.76</v>
      </c>
      <c r="O2463">
        <v>1380</v>
      </c>
      <c r="P2463">
        <v>1.54</v>
      </c>
      <c r="Q2463">
        <v>355</v>
      </c>
      <c r="R2463">
        <v>462</v>
      </c>
    </row>
    <row r="2464" spans="1:18" hidden="1" x14ac:dyDescent="0.2">
      <c r="A2464">
        <v>1</v>
      </c>
      <c r="B2464" t="s">
        <v>81</v>
      </c>
      <c r="E2464" t="s">
        <v>19</v>
      </c>
      <c r="F2464">
        <v>2132660</v>
      </c>
      <c r="G2464">
        <v>4</v>
      </c>
      <c r="H2464">
        <v>1</v>
      </c>
      <c r="I2464">
        <v>587</v>
      </c>
      <c r="J2464">
        <v>1951</v>
      </c>
      <c r="K2464" s="4">
        <v>44439</v>
      </c>
      <c r="L2464" t="s">
        <v>23</v>
      </c>
      <c r="M2464" t="s">
        <v>69</v>
      </c>
      <c r="N2464">
        <v>3.2</v>
      </c>
      <c r="O2464">
        <v>1999</v>
      </c>
      <c r="P2464">
        <v>1.3</v>
      </c>
      <c r="Q2464">
        <v>218</v>
      </c>
      <c r="R2464">
        <v>680</v>
      </c>
    </row>
    <row r="2465" spans="1:18" hidden="1" x14ac:dyDescent="0.2">
      <c r="A2465">
        <v>9</v>
      </c>
      <c r="B2465" t="s">
        <v>79</v>
      </c>
      <c r="E2465" t="s">
        <v>29</v>
      </c>
      <c r="F2465">
        <v>616641</v>
      </c>
      <c r="G2465">
        <v>2</v>
      </c>
      <c r="H2465">
        <v>2</v>
      </c>
      <c r="I2465">
        <v>355</v>
      </c>
      <c r="J2465">
        <v>1995</v>
      </c>
      <c r="K2465" s="4">
        <v>44695</v>
      </c>
      <c r="L2465" t="s">
        <v>26</v>
      </c>
      <c r="M2465" t="s">
        <v>85</v>
      </c>
      <c r="N2465">
        <v>1.58</v>
      </c>
      <c r="O2465">
        <v>2054</v>
      </c>
      <c r="P2465">
        <v>3.36</v>
      </c>
      <c r="Q2465">
        <v>84</v>
      </c>
      <c r="R2465">
        <v>613</v>
      </c>
    </row>
    <row r="2466" spans="1:18" hidden="1" x14ac:dyDescent="0.2">
      <c r="A2466">
        <v>0</v>
      </c>
      <c r="B2466" t="s">
        <v>106</v>
      </c>
      <c r="E2466" t="s">
        <v>36</v>
      </c>
      <c r="F2466">
        <v>2991050</v>
      </c>
      <c r="G2466">
        <v>5</v>
      </c>
      <c r="H2466">
        <v>2</v>
      </c>
      <c r="I2466">
        <v>118</v>
      </c>
      <c r="J2466">
        <v>1976</v>
      </c>
      <c r="K2466" s="4">
        <v>45235</v>
      </c>
      <c r="L2466" t="s">
        <v>20</v>
      </c>
      <c r="M2466" t="s">
        <v>59</v>
      </c>
      <c r="N2466">
        <v>3.21</v>
      </c>
      <c r="O2466">
        <v>1791</v>
      </c>
      <c r="P2466">
        <v>3.12</v>
      </c>
      <c r="Q2466">
        <v>245</v>
      </c>
      <c r="R2466">
        <v>406</v>
      </c>
    </row>
    <row r="2467" spans="1:18" hidden="1" x14ac:dyDescent="0.2">
      <c r="A2467">
        <v>0</v>
      </c>
      <c r="B2467" t="s">
        <v>100</v>
      </c>
      <c r="E2467" t="s">
        <v>51</v>
      </c>
      <c r="F2467">
        <v>898067</v>
      </c>
      <c r="G2467">
        <v>1</v>
      </c>
      <c r="H2467">
        <v>1</v>
      </c>
      <c r="I2467">
        <v>490</v>
      </c>
      <c r="J2467">
        <v>1991</v>
      </c>
      <c r="K2467" s="4">
        <v>44577</v>
      </c>
      <c r="L2467" t="s">
        <v>20</v>
      </c>
      <c r="M2467" t="s">
        <v>74</v>
      </c>
      <c r="N2467">
        <v>1.87</v>
      </c>
      <c r="O2467">
        <v>1054</v>
      </c>
      <c r="P2467">
        <v>3.73</v>
      </c>
      <c r="Q2467">
        <v>132</v>
      </c>
      <c r="R2467">
        <v>494</v>
      </c>
    </row>
    <row r="2468" spans="1:18" hidden="1" x14ac:dyDescent="0.2">
      <c r="A2468">
        <v>4</v>
      </c>
      <c r="B2468" t="s">
        <v>50</v>
      </c>
      <c r="E2468" t="s">
        <v>51</v>
      </c>
      <c r="F2468">
        <v>2727520</v>
      </c>
      <c r="G2468">
        <v>3</v>
      </c>
      <c r="H2468">
        <v>2</v>
      </c>
      <c r="I2468">
        <v>701</v>
      </c>
      <c r="J2468">
        <v>1961</v>
      </c>
      <c r="K2468" s="4">
        <v>44707</v>
      </c>
      <c r="L2468" t="s">
        <v>23</v>
      </c>
      <c r="M2468" t="s">
        <v>24</v>
      </c>
      <c r="N2468">
        <v>2.67</v>
      </c>
      <c r="O2468">
        <v>1717</v>
      </c>
      <c r="P2468">
        <v>4.42</v>
      </c>
      <c r="Q2468">
        <v>181</v>
      </c>
      <c r="R2468">
        <v>424</v>
      </c>
    </row>
    <row r="2469" spans="1:18" hidden="1" x14ac:dyDescent="0.2">
      <c r="A2469">
        <v>1</v>
      </c>
      <c r="B2469" t="s">
        <v>80</v>
      </c>
      <c r="E2469" t="s">
        <v>19</v>
      </c>
      <c r="F2469">
        <v>421760</v>
      </c>
      <c r="G2469">
        <v>3</v>
      </c>
      <c r="H2469">
        <v>1</v>
      </c>
      <c r="I2469">
        <v>705</v>
      </c>
      <c r="J2469">
        <v>1995</v>
      </c>
      <c r="K2469" s="4">
        <v>45863</v>
      </c>
      <c r="L2469" t="s">
        <v>23</v>
      </c>
      <c r="M2469" t="s">
        <v>40</v>
      </c>
      <c r="N2469">
        <v>3.35</v>
      </c>
      <c r="O2469">
        <v>2488</v>
      </c>
      <c r="P2469">
        <v>3.74</v>
      </c>
      <c r="Q2469">
        <v>273</v>
      </c>
      <c r="R2469">
        <v>478</v>
      </c>
    </row>
    <row r="2470" spans="1:18" hidden="1" x14ac:dyDescent="0.2">
      <c r="A2470">
        <v>3</v>
      </c>
      <c r="B2470" t="s">
        <v>55</v>
      </c>
      <c r="E2470" t="s">
        <v>36</v>
      </c>
      <c r="F2470">
        <v>2239532</v>
      </c>
      <c r="G2470">
        <v>0</v>
      </c>
      <c r="H2470">
        <v>2</v>
      </c>
      <c r="I2470">
        <v>719</v>
      </c>
      <c r="J2470">
        <v>1961</v>
      </c>
      <c r="K2470" s="4">
        <v>44881</v>
      </c>
      <c r="L2470" t="s">
        <v>30</v>
      </c>
      <c r="M2470" t="s">
        <v>42</v>
      </c>
      <c r="N2470">
        <v>2.65</v>
      </c>
      <c r="O2470">
        <v>1379</v>
      </c>
      <c r="P2470">
        <v>2.33</v>
      </c>
      <c r="Q2470">
        <v>49</v>
      </c>
      <c r="R2470">
        <v>441</v>
      </c>
    </row>
    <row r="2471" spans="1:18" hidden="1" x14ac:dyDescent="0.2">
      <c r="A2471">
        <v>2</v>
      </c>
      <c r="B2471" t="s">
        <v>104</v>
      </c>
      <c r="E2471" t="s">
        <v>36</v>
      </c>
      <c r="F2471">
        <v>2870947</v>
      </c>
      <c r="G2471">
        <v>3</v>
      </c>
      <c r="H2471">
        <v>3</v>
      </c>
      <c r="I2471">
        <v>404</v>
      </c>
      <c r="J2471">
        <v>2016</v>
      </c>
      <c r="K2471" s="4">
        <v>44673</v>
      </c>
      <c r="L2471" t="s">
        <v>26</v>
      </c>
      <c r="M2471" t="s">
        <v>31</v>
      </c>
      <c r="N2471">
        <v>3.33</v>
      </c>
      <c r="O2471">
        <v>2086</v>
      </c>
      <c r="P2471">
        <v>0.99</v>
      </c>
      <c r="Q2471">
        <v>312</v>
      </c>
      <c r="R2471">
        <v>501</v>
      </c>
    </row>
    <row r="2472" spans="1:18" hidden="1" x14ac:dyDescent="0.2">
      <c r="A2472">
        <v>5</v>
      </c>
      <c r="B2472" t="s">
        <v>98</v>
      </c>
      <c r="E2472" t="s">
        <v>29</v>
      </c>
      <c r="F2472">
        <v>2247801</v>
      </c>
      <c r="G2472">
        <v>2</v>
      </c>
      <c r="H2472">
        <v>2</v>
      </c>
      <c r="I2472">
        <v>434</v>
      </c>
      <c r="J2472">
        <v>1974</v>
      </c>
      <c r="K2472" s="4">
        <v>44830</v>
      </c>
      <c r="L2472" t="s">
        <v>26</v>
      </c>
      <c r="M2472" t="s">
        <v>60</v>
      </c>
      <c r="N2472">
        <v>2.5099999999999998</v>
      </c>
      <c r="O2472">
        <v>2236</v>
      </c>
      <c r="P2472">
        <v>0.74</v>
      </c>
      <c r="Q2472">
        <v>92</v>
      </c>
      <c r="R2472">
        <v>532</v>
      </c>
    </row>
    <row r="2473" spans="1:18" hidden="1" x14ac:dyDescent="0.2">
      <c r="A2473">
        <v>2</v>
      </c>
      <c r="B2473" t="s">
        <v>22</v>
      </c>
      <c r="E2473" t="s">
        <v>29</v>
      </c>
      <c r="F2473">
        <v>2116939</v>
      </c>
      <c r="G2473">
        <v>4</v>
      </c>
      <c r="H2473">
        <v>3</v>
      </c>
      <c r="I2473">
        <v>729</v>
      </c>
      <c r="J2473">
        <v>2000</v>
      </c>
      <c r="K2473" s="4">
        <v>44101</v>
      </c>
      <c r="L2473" t="s">
        <v>20</v>
      </c>
      <c r="M2473" t="s">
        <v>21</v>
      </c>
      <c r="N2473">
        <v>3.27</v>
      </c>
      <c r="O2473">
        <v>2422</v>
      </c>
      <c r="P2473">
        <v>4.05</v>
      </c>
      <c r="Q2473">
        <v>264</v>
      </c>
      <c r="R2473">
        <v>349</v>
      </c>
    </row>
    <row r="2474" spans="1:18" hidden="1" x14ac:dyDescent="0.2">
      <c r="A2474">
        <v>6</v>
      </c>
      <c r="B2474" t="s">
        <v>94</v>
      </c>
      <c r="E2474" t="s">
        <v>29</v>
      </c>
      <c r="F2474">
        <v>1204037</v>
      </c>
      <c r="G2474">
        <v>4</v>
      </c>
      <c r="H2474">
        <v>2</v>
      </c>
      <c r="I2474">
        <v>498</v>
      </c>
      <c r="J2474">
        <v>1952</v>
      </c>
      <c r="K2474" s="4">
        <v>44672</v>
      </c>
      <c r="L2474" t="s">
        <v>30</v>
      </c>
      <c r="M2474" t="s">
        <v>42</v>
      </c>
      <c r="N2474">
        <v>2.94</v>
      </c>
      <c r="O2474">
        <v>2463</v>
      </c>
      <c r="P2474">
        <v>3.15</v>
      </c>
      <c r="Q2474">
        <v>367</v>
      </c>
      <c r="R2474">
        <v>355</v>
      </c>
    </row>
    <row r="2475" spans="1:18" hidden="1" x14ac:dyDescent="0.2">
      <c r="A2475">
        <v>4</v>
      </c>
      <c r="B2475" t="s">
        <v>84</v>
      </c>
      <c r="E2475" t="s">
        <v>51</v>
      </c>
      <c r="F2475">
        <v>2668528</v>
      </c>
      <c r="G2475">
        <v>4</v>
      </c>
      <c r="H2475">
        <v>3</v>
      </c>
      <c r="I2475">
        <v>797</v>
      </c>
      <c r="J2475">
        <v>1952</v>
      </c>
      <c r="K2475" s="4">
        <v>45424</v>
      </c>
      <c r="L2475" t="s">
        <v>23</v>
      </c>
      <c r="M2475" t="s">
        <v>89</v>
      </c>
      <c r="N2475">
        <v>1.81</v>
      </c>
      <c r="O2475">
        <v>1018</v>
      </c>
      <c r="P2475">
        <v>4.17</v>
      </c>
      <c r="Q2475">
        <v>237</v>
      </c>
      <c r="R2475">
        <v>695</v>
      </c>
    </row>
    <row r="2476" spans="1:18" hidden="1" x14ac:dyDescent="0.2">
      <c r="A2476">
        <v>1</v>
      </c>
      <c r="B2476" t="s">
        <v>87</v>
      </c>
      <c r="E2476" t="s">
        <v>51</v>
      </c>
      <c r="F2476">
        <v>493723</v>
      </c>
      <c r="G2476">
        <v>4</v>
      </c>
      <c r="H2476">
        <v>3</v>
      </c>
      <c r="I2476">
        <v>908</v>
      </c>
      <c r="J2476">
        <v>1962</v>
      </c>
      <c r="K2476" s="4">
        <v>44483</v>
      </c>
      <c r="L2476" t="s">
        <v>23</v>
      </c>
      <c r="M2476" t="s">
        <v>78</v>
      </c>
      <c r="N2476">
        <v>2.59</v>
      </c>
      <c r="O2476">
        <v>1470</v>
      </c>
      <c r="P2476">
        <v>0.47</v>
      </c>
      <c r="Q2476">
        <v>273</v>
      </c>
      <c r="R2476">
        <v>384</v>
      </c>
    </row>
    <row r="2477" spans="1:18" hidden="1" x14ac:dyDescent="0.2">
      <c r="A2477">
        <v>3</v>
      </c>
      <c r="B2477" t="s">
        <v>87</v>
      </c>
      <c r="E2477" t="s">
        <v>36</v>
      </c>
      <c r="F2477">
        <v>470777</v>
      </c>
      <c r="G2477">
        <v>4</v>
      </c>
      <c r="H2477">
        <v>3</v>
      </c>
      <c r="I2477">
        <v>622</v>
      </c>
      <c r="J2477">
        <v>1983</v>
      </c>
      <c r="K2477" s="4">
        <v>45209</v>
      </c>
      <c r="L2477" t="s">
        <v>20</v>
      </c>
      <c r="M2477" t="s">
        <v>42</v>
      </c>
      <c r="N2477">
        <v>2.97</v>
      </c>
      <c r="O2477">
        <v>2357</v>
      </c>
      <c r="P2477">
        <v>5</v>
      </c>
      <c r="Q2477">
        <v>363</v>
      </c>
      <c r="R2477">
        <v>388</v>
      </c>
    </row>
    <row r="2478" spans="1:18" hidden="1" x14ac:dyDescent="0.2">
      <c r="A2478">
        <v>5</v>
      </c>
      <c r="B2478" t="s">
        <v>50</v>
      </c>
      <c r="E2478" t="s">
        <v>36</v>
      </c>
      <c r="F2478">
        <v>469050</v>
      </c>
      <c r="G2478">
        <v>5</v>
      </c>
      <c r="H2478">
        <v>1</v>
      </c>
      <c r="I2478">
        <v>854</v>
      </c>
      <c r="J2478">
        <v>1999</v>
      </c>
      <c r="K2478" s="4">
        <v>44413</v>
      </c>
      <c r="L2478" t="s">
        <v>23</v>
      </c>
      <c r="M2478" t="s">
        <v>59</v>
      </c>
      <c r="N2478">
        <v>1.51</v>
      </c>
      <c r="O2478">
        <v>2422</v>
      </c>
      <c r="P2478">
        <v>1.34</v>
      </c>
      <c r="Q2478">
        <v>252</v>
      </c>
      <c r="R2478">
        <v>389</v>
      </c>
    </row>
    <row r="2479" spans="1:18" hidden="1" x14ac:dyDescent="0.2">
      <c r="A2479">
        <v>4</v>
      </c>
      <c r="B2479" t="s">
        <v>67</v>
      </c>
      <c r="E2479" t="s">
        <v>19</v>
      </c>
      <c r="F2479">
        <v>2111676</v>
      </c>
      <c r="G2479">
        <v>3</v>
      </c>
      <c r="H2479">
        <v>2</v>
      </c>
      <c r="I2479">
        <v>509</v>
      </c>
      <c r="J2479">
        <v>1999</v>
      </c>
      <c r="K2479" s="4">
        <v>44390</v>
      </c>
      <c r="L2479" t="s">
        <v>20</v>
      </c>
      <c r="M2479" t="s">
        <v>24</v>
      </c>
      <c r="N2479">
        <v>1.63</v>
      </c>
      <c r="O2479">
        <v>1972</v>
      </c>
      <c r="P2479">
        <v>2.81</v>
      </c>
      <c r="Q2479">
        <v>182</v>
      </c>
      <c r="R2479">
        <v>498</v>
      </c>
    </row>
    <row r="2480" spans="1:18" hidden="1" x14ac:dyDescent="0.2">
      <c r="A2480">
        <v>3</v>
      </c>
      <c r="B2480" t="s">
        <v>49</v>
      </c>
      <c r="E2480" t="s">
        <v>19</v>
      </c>
      <c r="F2480">
        <v>631711</v>
      </c>
      <c r="G2480">
        <v>1</v>
      </c>
      <c r="H2480">
        <v>2</v>
      </c>
      <c r="I2480">
        <v>727</v>
      </c>
      <c r="J2480">
        <v>1950</v>
      </c>
      <c r="K2480" s="4">
        <v>45840</v>
      </c>
      <c r="L2480" t="s">
        <v>26</v>
      </c>
      <c r="M2480" t="s">
        <v>54</v>
      </c>
      <c r="N2480">
        <v>2.68</v>
      </c>
      <c r="O2480">
        <v>1260</v>
      </c>
      <c r="P2480">
        <v>0.14000000000000001</v>
      </c>
      <c r="Q2480">
        <v>82</v>
      </c>
      <c r="R2480">
        <v>600</v>
      </c>
    </row>
    <row r="2481" spans="1:18" hidden="1" x14ac:dyDescent="0.2">
      <c r="A2481">
        <v>2</v>
      </c>
      <c r="B2481" t="s">
        <v>57</v>
      </c>
      <c r="E2481" t="s">
        <v>19</v>
      </c>
      <c r="F2481">
        <v>1298788</v>
      </c>
      <c r="G2481">
        <v>3</v>
      </c>
      <c r="H2481">
        <v>1</v>
      </c>
      <c r="I2481">
        <v>325</v>
      </c>
      <c r="J2481">
        <v>1952</v>
      </c>
      <c r="K2481" s="4">
        <v>45215</v>
      </c>
      <c r="L2481" t="s">
        <v>20</v>
      </c>
      <c r="M2481" t="s">
        <v>58</v>
      </c>
      <c r="N2481">
        <v>1.68</v>
      </c>
      <c r="O2481">
        <v>2106</v>
      </c>
      <c r="P2481">
        <v>4.28</v>
      </c>
      <c r="Q2481">
        <v>235</v>
      </c>
      <c r="R2481">
        <v>463</v>
      </c>
    </row>
    <row r="2482" spans="1:18" hidden="1" x14ac:dyDescent="0.2">
      <c r="A2482">
        <v>7</v>
      </c>
      <c r="B2482" t="s">
        <v>88</v>
      </c>
      <c r="E2482" t="s">
        <v>51</v>
      </c>
      <c r="F2482">
        <v>799365</v>
      </c>
      <c r="G2482">
        <v>4</v>
      </c>
      <c r="H2482">
        <v>3</v>
      </c>
      <c r="I2482">
        <v>404</v>
      </c>
      <c r="J2482">
        <v>1995</v>
      </c>
      <c r="K2482" s="4">
        <v>45097</v>
      </c>
      <c r="L2482" t="s">
        <v>30</v>
      </c>
      <c r="M2482" t="s">
        <v>60</v>
      </c>
      <c r="N2482">
        <v>3.45</v>
      </c>
      <c r="O2482">
        <v>1828</v>
      </c>
      <c r="P2482">
        <v>3.74</v>
      </c>
      <c r="Q2482">
        <v>292</v>
      </c>
      <c r="R2482">
        <v>367</v>
      </c>
    </row>
    <row r="2483" spans="1:18" hidden="1" x14ac:dyDescent="0.2">
      <c r="A2483">
        <v>6</v>
      </c>
      <c r="B2483" t="s">
        <v>46</v>
      </c>
      <c r="E2483" t="s">
        <v>19</v>
      </c>
      <c r="F2483">
        <v>1590941</v>
      </c>
      <c r="G2483">
        <v>5</v>
      </c>
      <c r="H2483">
        <v>1</v>
      </c>
      <c r="I2483">
        <v>812</v>
      </c>
      <c r="J2483">
        <v>1996</v>
      </c>
      <c r="K2483" s="4">
        <v>44657</v>
      </c>
      <c r="L2483" t="s">
        <v>30</v>
      </c>
      <c r="M2483" t="s">
        <v>89</v>
      </c>
      <c r="N2483">
        <v>1.96</v>
      </c>
      <c r="O2483">
        <v>807</v>
      </c>
      <c r="P2483">
        <v>1.98</v>
      </c>
      <c r="Q2483">
        <v>262</v>
      </c>
      <c r="R2483">
        <v>642</v>
      </c>
    </row>
    <row r="2484" spans="1:18" hidden="1" x14ac:dyDescent="0.2">
      <c r="A2484">
        <v>6</v>
      </c>
      <c r="B2484" t="s">
        <v>38</v>
      </c>
      <c r="E2484" t="s">
        <v>36</v>
      </c>
      <c r="F2484">
        <v>798231</v>
      </c>
      <c r="G2484">
        <v>4</v>
      </c>
      <c r="H2484">
        <v>1</v>
      </c>
      <c r="I2484">
        <v>573</v>
      </c>
      <c r="J2484">
        <v>1979</v>
      </c>
      <c r="K2484" s="4">
        <v>45765</v>
      </c>
      <c r="L2484" t="s">
        <v>23</v>
      </c>
      <c r="M2484" t="s">
        <v>35</v>
      </c>
      <c r="N2484">
        <v>2.5499999999999998</v>
      </c>
      <c r="O2484">
        <v>1004</v>
      </c>
      <c r="P2484">
        <v>2.33</v>
      </c>
      <c r="Q2484">
        <v>387</v>
      </c>
      <c r="R2484">
        <v>594</v>
      </c>
    </row>
    <row r="2485" spans="1:18" hidden="1" x14ac:dyDescent="0.2">
      <c r="A2485">
        <v>4</v>
      </c>
      <c r="B2485" t="s">
        <v>22</v>
      </c>
      <c r="E2485" t="s">
        <v>51</v>
      </c>
      <c r="F2485">
        <v>1715273</v>
      </c>
      <c r="G2485">
        <v>5</v>
      </c>
      <c r="H2485">
        <v>1</v>
      </c>
      <c r="I2485">
        <v>146</v>
      </c>
      <c r="J2485">
        <v>2018</v>
      </c>
      <c r="K2485" s="4">
        <v>45235</v>
      </c>
      <c r="L2485" t="s">
        <v>26</v>
      </c>
      <c r="M2485" t="s">
        <v>89</v>
      </c>
      <c r="N2485">
        <v>3.49</v>
      </c>
      <c r="O2485">
        <v>1850</v>
      </c>
      <c r="P2485">
        <v>3.1</v>
      </c>
      <c r="Q2485">
        <v>315</v>
      </c>
      <c r="R2485">
        <v>370</v>
      </c>
    </row>
    <row r="2486" spans="1:18" hidden="1" x14ac:dyDescent="0.2">
      <c r="A2486">
        <v>6</v>
      </c>
      <c r="B2486" t="s">
        <v>61</v>
      </c>
      <c r="E2486" t="s">
        <v>29</v>
      </c>
      <c r="F2486">
        <v>1145018</v>
      </c>
      <c r="G2486">
        <v>4</v>
      </c>
      <c r="H2486">
        <v>2</v>
      </c>
      <c r="I2486">
        <v>327</v>
      </c>
      <c r="J2486">
        <v>2003</v>
      </c>
      <c r="K2486" s="4">
        <v>44174</v>
      </c>
      <c r="L2486" t="s">
        <v>30</v>
      </c>
      <c r="M2486" t="s">
        <v>58</v>
      </c>
      <c r="N2486">
        <v>2.5499999999999998</v>
      </c>
      <c r="O2486">
        <v>2226</v>
      </c>
      <c r="P2486">
        <v>0.57999999999999996</v>
      </c>
      <c r="Q2486">
        <v>301</v>
      </c>
      <c r="R2486">
        <v>531</v>
      </c>
    </row>
    <row r="2487" spans="1:18" hidden="1" x14ac:dyDescent="0.2">
      <c r="A2487">
        <v>6</v>
      </c>
      <c r="B2487" t="s">
        <v>84</v>
      </c>
      <c r="E2487" t="s">
        <v>36</v>
      </c>
      <c r="F2487">
        <v>805601</v>
      </c>
      <c r="G2487">
        <v>3</v>
      </c>
      <c r="H2487">
        <v>1</v>
      </c>
      <c r="I2487">
        <v>616</v>
      </c>
      <c r="J2487">
        <v>2004</v>
      </c>
      <c r="K2487" s="4">
        <v>44123</v>
      </c>
      <c r="L2487" t="s">
        <v>23</v>
      </c>
      <c r="M2487" t="s">
        <v>76</v>
      </c>
      <c r="N2487">
        <v>3.04</v>
      </c>
      <c r="O2487">
        <v>1375</v>
      </c>
      <c r="P2487">
        <v>0.52</v>
      </c>
      <c r="Q2487">
        <v>206</v>
      </c>
      <c r="R2487">
        <v>691</v>
      </c>
    </row>
    <row r="2488" spans="1:18" hidden="1" x14ac:dyDescent="0.2">
      <c r="A2488">
        <v>1</v>
      </c>
      <c r="B2488" t="s">
        <v>91</v>
      </c>
      <c r="E2488" t="s">
        <v>51</v>
      </c>
      <c r="F2488">
        <v>2266288</v>
      </c>
      <c r="G2488">
        <v>5</v>
      </c>
      <c r="H2488">
        <v>1</v>
      </c>
      <c r="I2488">
        <v>486</v>
      </c>
      <c r="J2488">
        <v>1965</v>
      </c>
      <c r="K2488" s="4">
        <v>44691</v>
      </c>
      <c r="L2488" t="s">
        <v>30</v>
      </c>
      <c r="M2488" t="s">
        <v>78</v>
      </c>
      <c r="N2488">
        <v>1.72</v>
      </c>
      <c r="O2488">
        <v>1714</v>
      </c>
      <c r="P2488">
        <v>3.11</v>
      </c>
      <c r="Q2488">
        <v>388</v>
      </c>
      <c r="R2488">
        <v>558</v>
      </c>
    </row>
    <row r="2489" spans="1:18" hidden="1" x14ac:dyDescent="0.2">
      <c r="A2489">
        <v>7</v>
      </c>
      <c r="B2489" t="s">
        <v>105</v>
      </c>
      <c r="E2489" t="s">
        <v>19</v>
      </c>
      <c r="F2489">
        <v>2279142</v>
      </c>
      <c r="G2489">
        <v>1</v>
      </c>
      <c r="H2489">
        <v>3</v>
      </c>
      <c r="I2489">
        <v>853</v>
      </c>
      <c r="J2489">
        <v>1965</v>
      </c>
      <c r="K2489" s="4">
        <v>45208</v>
      </c>
      <c r="L2489" t="s">
        <v>23</v>
      </c>
      <c r="M2489" t="s">
        <v>54</v>
      </c>
      <c r="N2489">
        <v>3.25</v>
      </c>
      <c r="O2489">
        <v>2497</v>
      </c>
      <c r="P2489">
        <v>1</v>
      </c>
      <c r="Q2489">
        <v>125</v>
      </c>
      <c r="R2489">
        <v>598</v>
      </c>
    </row>
    <row r="2490" spans="1:18" hidden="1" x14ac:dyDescent="0.2">
      <c r="A2490">
        <v>6</v>
      </c>
      <c r="B2490" t="s">
        <v>48</v>
      </c>
      <c r="E2490" t="s">
        <v>36</v>
      </c>
      <c r="F2490">
        <v>2291749</v>
      </c>
      <c r="G2490">
        <v>1</v>
      </c>
      <c r="H2490">
        <v>2</v>
      </c>
      <c r="I2490">
        <v>164</v>
      </c>
      <c r="J2490">
        <v>2019</v>
      </c>
      <c r="K2490" s="4">
        <v>45466</v>
      </c>
      <c r="L2490" t="s">
        <v>30</v>
      </c>
      <c r="M2490" t="s">
        <v>70</v>
      </c>
      <c r="N2490">
        <v>3.08</v>
      </c>
      <c r="O2490">
        <v>2083</v>
      </c>
      <c r="P2490">
        <v>2.56</v>
      </c>
      <c r="Q2490">
        <v>141</v>
      </c>
      <c r="R2490">
        <v>388</v>
      </c>
    </row>
    <row r="2491" spans="1:18" hidden="1" x14ac:dyDescent="0.2">
      <c r="A2491">
        <v>3</v>
      </c>
      <c r="B2491" t="s">
        <v>38</v>
      </c>
      <c r="E2491" t="s">
        <v>36</v>
      </c>
      <c r="F2491">
        <v>514449</v>
      </c>
      <c r="G2491">
        <v>1</v>
      </c>
      <c r="H2491">
        <v>1</v>
      </c>
      <c r="I2491">
        <v>950</v>
      </c>
      <c r="J2491">
        <v>2022</v>
      </c>
      <c r="K2491" s="4">
        <v>45464</v>
      </c>
      <c r="L2491" t="s">
        <v>30</v>
      </c>
      <c r="M2491" t="s">
        <v>74</v>
      </c>
      <c r="N2491">
        <v>2.57</v>
      </c>
      <c r="O2491">
        <v>2202</v>
      </c>
      <c r="P2491">
        <v>1.4</v>
      </c>
      <c r="Q2491">
        <v>99</v>
      </c>
      <c r="R2491">
        <v>677</v>
      </c>
    </row>
    <row r="2492" spans="1:18" hidden="1" x14ac:dyDescent="0.2">
      <c r="A2492">
        <v>4</v>
      </c>
      <c r="B2492" t="s">
        <v>43</v>
      </c>
      <c r="E2492" t="s">
        <v>51</v>
      </c>
      <c r="F2492">
        <v>1260965</v>
      </c>
      <c r="G2492">
        <v>4</v>
      </c>
      <c r="H2492">
        <v>2</v>
      </c>
      <c r="I2492">
        <v>442</v>
      </c>
      <c r="J2492">
        <v>1959</v>
      </c>
      <c r="K2492" s="4">
        <v>44403</v>
      </c>
      <c r="L2492" t="s">
        <v>23</v>
      </c>
      <c r="M2492" t="s">
        <v>63</v>
      </c>
      <c r="N2492">
        <v>3.22</v>
      </c>
      <c r="O2492">
        <v>1612</v>
      </c>
      <c r="P2492">
        <v>2.8</v>
      </c>
      <c r="Q2492">
        <v>283</v>
      </c>
      <c r="R2492">
        <v>634</v>
      </c>
    </row>
    <row r="2493" spans="1:18" hidden="1" x14ac:dyDescent="0.2">
      <c r="A2493">
        <v>7</v>
      </c>
      <c r="B2493" t="s">
        <v>25</v>
      </c>
      <c r="E2493" t="s">
        <v>51</v>
      </c>
      <c r="F2493">
        <v>403091</v>
      </c>
      <c r="G2493">
        <v>2</v>
      </c>
      <c r="H2493">
        <v>2</v>
      </c>
      <c r="I2493">
        <v>528</v>
      </c>
      <c r="J2493">
        <v>1971</v>
      </c>
      <c r="K2493" s="4">
        <v>45270</v>
      </c>
      <c r="L2493" t="s">
        <v>20</v>
      </c>
      <c r="M2493" t="s">
        <v>59</v>
      </c>
      <c r="N2493">
        <v>2.3199999999999998</v>
      </c>
      <c r="O2493">
        <v>1853</v>
      </c>
      <c r="P2493">
        <v>2</v>
      </c>
      <c r="Q2493">
        <v>45</v>
      </c>
      <c r="R2493">
        <v>436</v>
      </c>
    </row>
    <row r="2494" spans="1:18" x14ac:dyDescent="0.2">
      <c r="A2494">
        <v>8</v>
      </c>
      <c r="B2494" t="s">
        <v>43</v>
      </c>
      <c r="E2494" t="s">
        <v>19</v>
      </c>
      <c r="F2494">
        <v>1186652</v>
      </c>
      <c r="G2494">
        <v>2</v>
      </c>
      <c r="H2494">
        <v>1</v>
      </c>
      <c r="I2494">
        <v>568</v>
      </c>
      <c r="J2494">
        <v>1977</v>
      </c>
      <c r="K2494" s="4">
        <v>45448</v>
      </c>
      <c r="L2494" t="s">
        <v>30</v>
      </c>
      <c r="M2494" t="s">
        <v>31</v>
      </c>
      <c r="N2494">
        <v>1.97</v>
      </c>
      <c r="O2494">
        <v>1196</v>
      </c>
      <c r="P2494">
        <v>3.52</v>
      </c>
      <c r="Q2494">
        <v>168</v>
      </c>
      <c r="R2494">
        <v>579</v>
      </c>
    </row>
    <row r="2495" spans="1:18" hidden="1" x14ac:dyDescent="0.2">
      <c r="A2495">
        <v>5</v>
      </c>
      <c r="B2495" t="s">
        <v>81</v>
      </c>
      <c r="E2495" t="s">
        <v>19</v>
      </c>
      <c r="F2495">
        <v>974720</v>
      </c>
      <c r="G2495">
        <v>4</v>
      </c>
      <c r="H2495">
        <v>3</v>
      </c>
      <c r="I2495">
        <v>399</v>
      </c>
      <c r="J2495">
        <v>2012</v>
      </c>
      <c r="K2495" s="4">
        <v>45570</v>
      </c>
      <c r="L2495" t="s">
        <v>23</v>
      </c>
      <c r="M2495" t="s">
        <v>68</v>
      </c>
      <c r="N2495">
        <v>3.18</v>
      </c>
      <c r="O2495">
        <v>2001</v>
      </c>
      <c r="P2495">
        <v>4.09</v>
      </c>
      <c r="Q2495">
        <v>346</v>
      </c>
      <c r="R2495">
        <v>485</v>
      </c>
    </row>
    <row r="2496" spans="1:18" hidden="1" x14ac:dyDescent="0.2">
      <c r="A2496">
        <v>5</v>
      </c>
      <c r="B2496" t="s">
        <v>55</v>
      </c>
      <c r="E2496" t="s">
        <v>29</v>
      </c>
      <c r="F2496">
        <v>1034948</v>
      </c>
      <c r="G2496">
        <v>4</v>
      </c>
      <c r="H2496">
        <v>2</v>
      </c>
      <c r="I2496">
        <v>115</v>
      </c>
      <c r="J2496">
        <v>1969</v>
      </c>
      <c r="K2496" s="4">
        <v>44728</v>
      </c>
      <c r="L2496" t="s">
        <v>20</v>
      </c>
      <c r="M2496" t="s">
        <v>35</v>
      </c>
      <c r="N2496">
        <v>1.96</v>
      </c>
      <c r="O2496">
        <v>1027</v>
      </c>
      <c r="P2496">
        <v>3.34</v>
      </c>
      <c r="Q2496">
        <v>337</v>
      </c>
      <c r="R2496">
        <v>637</v>
      </c>
    </row>
    <row r="2497" spans="1:18" x14ac:dyDescent="0.2">
      <c r="A2497">
        <v>8</v>
      </c>
      <c r="B2497" t="s">
        <v>100</v>
      </c>
      <c r="E2497" t="s">
        <v>36</v>
      </c>
      <c r="F2497">
        <v>2141381</v>
      </c>
      <c r="G2497">
        <v>3</v>
      </c>
      <c r="H2497">
        <v>1</v>
      </c>
      <c r="I2497">
        <v>118</v>
      </c>
      <c r="J2497">
        <v>1977</v>
      </c>
      <c r="K2497" s="4">
        <v>44837</v>
      </c>
      <c r="L2497" t="s">
        <v>23</v>
      </c>
      <c r="M2497" t="s">
        <v>33</v>
      </c>
      <c r="N2497">
        <v>2.15</v>
      </c>
      <c r="O2497">
        <v>2331</v>
      </c>
      <c r="P2497">
        <v>2.87</v>
      </c>
      <c r="Q2497">
        <v>95</v>
      </c>
      <c r="R2497">
        <v>575</v>
      </c>
    </row>
    <row r="2498" spans="1:18" hidden="1" x14ac:dyDescent="0.2">
      <c r="A2498">
        <v>4</v>
      </c>
      <c r="B2498" t="s">
        <v>46</v>
      </c>
      <c r="E2498" t="s">
        <v>36</v>
      </c>
      <c r="F2498">
        <v>882784</v>
      </c>
      <c r="G2498">
        <v>4</v>
      </c>
      <c r="H2498">
        <v>2</v>
      </c>
      <c r="I2498">
        <v>875</v>
      </c>
      <c r="J2498">
        <v>1953</v>
      </c>
      <c r="K2498" s="4">
        <v>45253</v>
      </c>
      <c r="L2498" t="s">
        <v>23</v>
      </c>
      <c r="M2498" t="s">
        <v>42</v>
      </c>
      <c r="N2498">
        <v>2.99</v>
      </c>
      <c r="O2498">
        <v>1296</v>
      </c>
      <c r="P2498">
        <v>1.1000000000000001</v>
      </c>
      <c r="Q2498">
        <v>336</v>
      </c>
      <c r="R2498">
        <v>594</v>
      </c>
    </row>
    <row r="2499" spans="1:18" hidden="1" x14ac:dyDescent="0.2">
      <c r="A2499">
        <v>5</v>
      </c>
      <c r="B2499" t="s">
        <v>94</v>
      </c>
      <c r="E2499" t="s">
        <v>29</v>
      </c>
      <c r="F2499">
        <v>601911</v>
      </c>
      <c r="G2499">
        <v>3</v>
      </c>
      <c r="H2499">
        <v>2</v>
      </c>
      <c r="I2499">
        <v>58</v>
      </c>
      <c r="J2499">
        <v>2003</v>
      </c>
      <c r="K2499" s="4">
        <v>45263</v>
      </c>
      <c r="L2499" t="s">
        <v>20</v>
      </c>
      <c r="M2499" t="s">
        <v>59</v>
      </c>
      <c r="N2499">
        <v>2.13</v>
      </c>
      <c r="O2499">
        <v>934</v>
      </c>
      <c r="P2499">
        <v>1.04</v>
      </c>
      <c r="Q2499">
        <v>101</v>
      </c>
      <c r="R2499">
        <v>489</v>
      </c>
    </row>
    <row r="2500" spans="1:18" hidden="1" x14ac:dyDescent="0.2">
      <c r="A2500">
        <v>4</v>
      </c>
      <c r="B2500" t="s">
        <v>18</v>
      </c>
      <c r="E2500" t="s">
        <v>19</v>
      </c>
      <c r="F2500">
        <v>849172</v>
      </c>
      <c r="G2500">
        <v>2</v>
      </c>
      <c r="H2500">
        <v>1</v>
      </c>
      <c r="I2500">
        <v>470</v>
      </c>
      <c r="J2500">
        <v>2006</v>
      </c>
      <c r="K2500" s="4">
        <v>44747</v>
      </c>
      <c r="L2500" t="s">
        <v>26</v>
      </c>
      <c r="M2500" t="s">
        <v>66</v>
      </c>
      <c r="N2500">
        <v>1.52</v>
      </c>
      <c r="O2500">
        <v>2091</v>
      </c>
      <c r="P2500">
        <v>0.36</v>
      </c>
      <c r="Q2500">
        <v>236</v>
      </c>
      <c r="R2500">
        <v>456</v>
      </c>
    </row>
    <row r="2501" spans="1:18" hidden="1" x14ac:dyDescent="0.2">
      <c r="A2501">
        <v>0</v>
      </c>
      <c r="B2501" t="s">
        <v>90</v>
      </c>
      <c r="E2501" t="s">
        <v>29</v>
      </c>
      <c r="F2501">
        <v>2505190</v>
      </c>
      <c r="G2501">
        <v>5</v>
      </c>
      <c r="H2501">
        <v>2</v>
      </c>
      <c r="I2501">
        <v>254</v>
      </c>
      <c r="J2501">
        <v>1989</v>
      </c>
      <c r="K2501" s="4">
        <v>45601</v>
      </c>
      <c r="L2501" t="s">
        <v>30</v>
      </c>
      <c r="M2501" t="s">
        <v>37</v>
      </c>
      <c r="N2501">
        <v>3.44</v>
      </c>
      <c r="O2501">
        <v>919</v>
      </c>
      <c r="P2501">
        <v>2.37</v>
      </c>
      <c r="Q2501">
        <v>287</v>
      </c>
      <c r="R2501">
        <v>433</v>
      </c>
    </row>
    <row r="2502" spans="1:18" hidden="1" x14ac:dyDescent="0.2">
      <c r="A2502">
        <v>0</v>
      </c>
      <c r="B2502" t="s">
        <v>62</v>
      </c>
      <c r="E2502" t="s">
        <v>51</v>
      </c>
      <c r="F2502">
        <v>1557611</v>
      </c>
      <c r="G2502">
        <v>5</v>
      </c>
      <c r="H2502">
        <v>3</v>
      </c>
      <c r="I2502">
        <v>599</v>
      </c>
      <c r="J2502">
        <v>2007</v>
      </c>
      <c r="K2502" s="4">
        <v>45793</v>
      </c>
      <c r="L2502" t="s">
        <v>23</v>
      </c>
      <c r="M2502" t="s">
        <v>76</v>
      </c>
      <c r="N2502">
        <v>1.54</v>
      </c>
      <c r="O2502">
        <v>957</v>
      </c>
      <c r="P2502">
        <v>0.8</v>
      </c>
      <c r="Q2502">
        <v>375</v>
      </c>
      <c r="R2502">
        <v>483</v>
      </c>
    </row>
    <row r="2503" spans="1:18" hidden="1" x14ac:dyDescent="0.2">
      <c r="A2503">
        <v>3</v>
      </c>
      <c r="B2503" t="s">
        <v>18</v>
      </c>
      <c r="E2503" t="s">
        <v>51</v>
      </c>
      <c r="F2503">
        <v>2860642</v>
      </c>
      <c r="G2503">
        <v>4</v>
      </c>
      <c r="H2503">
        <v>1</v>
      </c>
      <c r="I2503">
        <v>449</v>
      </c>
      <c r="J2503">
        <v>1967</v>
      </c>
      <c r="K2503" s="4">
        <v>45456</v>
      </c>
      <c r="L2503" t="s">
        <v>20</v>
      </c>
      <c r="M2503" t="s">
        <v>66</v>
      </c>
      <c r="N2503">
        <v>2.82</v>
      </c>
      <c r="O2503">
        <v>817</v>
      </c>
      <c r="P2503">
        <v>0.75</v>
      </c>
      <c r="Q2503">
        <v>368</v>
      </c>
      <c r="R2503">
        <v>310</v>
      </c>
    </row>
    <row r="2504" spans="1:18" hidden="1" x14ac:dyDescent="0.2">
      <c r="A2504">
        <v>0</v>
      </c>
      <c r="B2504" t="s">
        <v>38</v>
      </c>
      <c r="E2504" t="s">
        <v>29</v>
      </c>
      <c r="F2504">
        <v>2376579</v>
      </c>
      <c r="G2504">
        <v>1</v>
      </c>
      <c r="H2504">
        <v>2</v>
      </c>
      <c r="I2504">
        <v>845</v>
      </c>
      <c r="J2504">
        <v>1987</v>
      </c>
      <c r="K2504" s="4">
        <v>44784</v>
      </c>
      <c r="L2504" t="s">
        <v>23</v>
      </c>
      <c r="M2504" t="s">
        <v>76</v>
      </c>
      <c r="N2504">
        <v>3.19</v>
      </c>
      <c r="O2504">
        <v>1519</v>
      </c>
      <c r="P2504">
        <v>0.33</v>
      </c>
      <c r="Q2504">
        <v>47</v>
      </c>
      <c r="R2504">
        <v>509</v>
      </c>
    </row>
    <row r="2505" spans="1:18" hidden="1" x14ac:dyDescent="0.2">
      <c r="A2505">
        <v>1</v>
      </c>
      <c r="B2505" t="s">
        <v>93</v>
      </c>
      <c r="E2505" t="s">
        <v>19</v>
      </c>
      <c r="F2505">
        <v>810810</v>
      </c>
      <c r="G2505">
        <v>4</v>
      </c>
      <c r="H2505">
        <v>2</v>
      </c>
      <c r="I2505">
        <v>73</v>
      </c>
      <c r="J2505">
        <v>2004</v>
      </c>
      <c r="K2505" s="4">
        <v>44314</v>
      </c>
      <c r="L2505" t="s">
        <v>30</v>
      </c>
      <c r="M2505" t="s">
        <v>54</v>
      </c>
      <c r="N2505">
        <v>3.37</v>
      </c>
      <c r="O2505">
        <v>2056</v>
      </c>
      <c r="P2505">
        <v>3.72</v>
      </c>
      <c r="Q2505">
        <v>367</v>
      </c>
      <c r="R2505">
        <v>344</v>
      </c>
    </row>
    <row r="2506" spans="1:18" hidden="1" x14ac:dyDescent="0.2">
      <c r="A2506">
        <v>6</v>
      </c>
      <c r="B2506" t="s">
        <v>38</v>
      </c>
      <c r="E2506" t="s">
        <v>36</v>
      </c>
      <c r="F2506">
        <v>2464204</v>
      </c>
      <c r="G2506">
        <v>4</v>
      </c>
      <c r="H2506">
        <v>3</v>
      </c>
      <c r="I2506">
        <v>120</v>
      </c>
      <c r="J2506">
        <v>1950</v>
      </c>
      <c r="K2506" s="4">
        <v>44541</v>
      </c>
      <c r="L2506" t="s">
        <v>23</v>
      </c>
      <c r="M2506" t="s">
        <v>54</v>
      </c>
      <c r="N2506">
        <v>2.34</v>
      </c>
      <c r="O2506">
        <v>970</v>
      </c>
      <c r="P2506">
        <v>2.1</v>
      </c>
      <c r="Q2506">
        <v>370</v>
      </c>
      <c r="R2506">
        <v>436</v>
      </c>
    </row>
    <row r="2507" spans="1:18" hidden="1" x14ac:dyDescent="0.2">
      <c r="A2507">
        <v>9</v>
      </c>
      <c r="B2507" t="s">
        <v>71</v>
      </c>
      <c r="E2507" t="s">
        <v>29</v>
      </c>
      <c r="F2507">
        <v>2832234</v>
      </c>
      <c r="G2507">
        <v>5</v>
      </c>
      <c r="H2507">
        <v>3</v>
      </c>
      <c r="I2507">
        <v>635</v>
      </c>
      <c r="J2507">
        <v>1977</v>
      </c>
      <c r="K2507" s="4">
        <v>45056</v>
      </c>
      <c r="L2507" t="s">
        <v>30</v>
      </c>
      <c r="M2507" t="s">
        <v>52</v>
      </c>
      <c r="N2507">
        <v>3.33</v>
      </c>
      <c r="O2507">
        <v>1115</v>
      </c>
      <c r="P2507">
        <v>3.74</v>
      </c>
      <c r="Q2507">
        <v>280</v>
      </c>
      <c r="R2507">
        <v>521</v>
      </c>
    </row>
    <row r="2508" spans="1:18" hidden="1" x14ac:dyDescent="0.2">
      <c r="A2508">
        <v>1</v>
      </c>
      <c r="B2508" t="s">
        <v>49</v>
      </c>
      <c r="E2508" t="s">
        <v>51</v>
      </c>
      <c r="F2508">
        <v>2373637</v>
      </c>
      <c r="G2508">
        <v>3</v>
      </c>
      <c r="H2508">
        <v>3</v>
      </c>
      <c r="I2508">
        <v>667</v>
      </c>
      <c r="J2508">
        <v>1996</v>
      </c>
      <c r="K2508" s="4">
        <v>44557</v>
      </c>
      <c r="L2508" t="s">
        <v>30</v>
      </c>
      <c r="M2508" t="s">
        <v>37</v>
      </c>
      <c r="N2508">
        <v>2.8</v>
      </c>
      <c r="O2508">
        <v>1614</v>
      </c>
      <c r="P2508">
        <v>4.2</v>
      </c>
      <c r="Q2508">
        <v>151</v>
      </c>
      <c r="R2508">
        <v>315</v>
      </c>
    </row>
    <row r="2509" spans="1:18" hidden="1" x14ac:dyDescent="0.2">
      <c r="A2509">
        <v>0</v>
      </c>
      <c r="B2509" t="s">
        <v>44</v>
      </c>
      <c r="E2509" t="s">
        <v>19</v>
      </c>
      <c r="F2509">
        <v>2106114</v>
      </c>
      <c r="G2509">
        <v>4</v>
      </c>
      <c r="H2509">
        <v>2</v>
      </c>
      <c r="I2509">
        <v>353</v>
      </c>
      <c r="J2509">
        <v>2002</v>
      </c>
      <c r="K2509" s="4">
        <v>44456</v>
      </c>
      <c r="L2509" t="s">
        <v>26</v>
      </c>
      <c r="M2509" t="s">
        <v>78</v>
      </c>
      <c r="N2509">
        <v>3.43</v>
      </c>
      <c r="O2509">
        <v>1856</v>
      </c>
      <c r="P2509">
        <v>0.53</v>
      </c>
      <c r="Q2509">
        <v>254</v>
      </c>
      <c r="R2509">
        <v>535</v>
      </c>
    </row>
    <row r="2510" spans="1:18" hidden="1" x14ac:dyDescent="0.2">
      <c r="A2510">
        <v>9</v>
      </c>
      <c r="B2510" t="s">
        <v>88</v>
      </c>
      <c r="E2510" t="s">
        <v>29</v>
      </c>
      <c r="F2510">
        <v>1959125</v>
      </c>
      <c r="G2510">
        <v>2</v>
      </c>
      <c r="H2510">
        <v>3</v>
      </c>
      <c r="I2510">
        <v>586</v>
      </c>
      <c r="J2510">
        <v>1969</v>
      </c>
      <c r="K2510" s="4">
        <v>45764</v>
      </c>
      <c r="L2510" t="s">
        <v>30</v>
      </c>
      <c r="M2510" t="s">
        <v>42</v>
      </c>
      <c r="N2510">
        <v>2.2999999999999998</v>
      </c>
      <c r="O2510">
        <v>2123</v>
      </c>
      <c r="P2510">
        <v>2.14</v>
      </c>
      <c r="Q2510">
        <v>195</v>
      </c>
      <c r="R2510">
        <v>673</v>
      </c>
    </row>
    <row r="2511" spans="1:18" hidden="1" x14ac:dyDescent="0.2">
      <c r="A2511">
        <v>0</v>
      </c>
      <c r="B2511" t="s">
        <v>46</v>
      </c>
      <c r="E2511" t="s">
        <v>19</v>
      </c>
      <c r="F2511">
        <v>2231360</v>
      </c>
      <c r="G2511">
        <v>4</v>
      </c>
      <c r="H2511">
        <v>2</v>
      </c>
      <c r="I2511">
        <v>408</v>
      </c>
      <c r="J2511">
        <v>1993</v>
      </c>
      <c r="K2511" s="4">
        <v>45680</v>
      </c>
      <c r="L2511" t="s">
        <v>20</v>
      </c>
      <c r="M2511" t="s">
        <v>35</v>
      </c>
      <c r="N2511">
        <v>3.38</v>
      </c>
      <c r="O2511">
        <v>2251</v>
      </c>
      <c r="P2511">
        <v>2.06</v>
      </c>
      <c r="Q2511">
        <v>370</v>
      </c>
      <c r="R2511">
        <v>359</v>
      </c>
    </row>
    <row r="2512" spans="1:18" x14ac:dyDescent="0.2">
      <c r="A2512">
        <v>8</v>
      </c>
      <c r="B2512" t="s">
        <v>105</v>
      </c>
      <c r="E2512" t="s">
        <v>36</v>
      </c>
      <c r="F2512">
        <v>2360731</v>
      </c>
      <c r="G2512">
        <v>6</v>
      </c>
      <c r="H2512">
        <v>2</v>
      </c>
      <c r="I2512">
        <v>669</v>
      </c>
      <c r="J2512">
        <v>2005</v>
      </c>
      <c r="K2512" s="4">
        <v>44657</v>
      </c>
      <c r="L2512" t="s">
        <v>20</v>
      </c>
      <c r="M2512" t="s">
        <v>56</v>
      </c>
      <c r="N2512">
        <v>2.5099999999999998</v>
      </c>
      <c r="O2512">
        <v>1224</v>
      </c>
      <c r="P2512">
        <v>3.66</v>
      </c>
      <c r="Q2512">
        <v>371</v>
      </c>
      <c r="R2512">
        <v>587</v>
      </c>
    </row>
    <row r="2513" spans="1:18" hidden="1" x14ac:dyDescent="0.2">
      <c r="A2513">
        <v>5</v>
      </c>
      <c r="B2513" t="s">
        <v>22</v>
      </c>
      <c r="E2513" t="s">
        <v>19</v>
      </c>
      <c r="F2513">
        <v>827357</v>
      </c>
      <c r="G2513">
        <v>5</v>
      </c>
      <c r="H2513">
        <v>2</v>
      </c>
      <c r="I2513">
        <v>552</v>
      </c>
      <c r="J2513">
        <v>1997</v>
      </c>
      <c r="K2513" s="4">
        <v>45876</v>
      </c>
      <c r="L2513" t="s">
        <v>20</v>
      </c>
      <c r="M2513" t="s">
        <v>82</v>
      </c>
      <c r="N2513">
        <v>1.74</v>
      </c>
      <c r="O2513">
        <v>1899</v>
      </c>
      <c r="P2513">
        <v>3.99</v>
      </c>
      <c r="Q2513">
        <v>251</v>
      </c>
      <c r="R2513">
        <v>512</v>
      </c>
    </row>
    <row r="2514" spans="1:18" hidden="1" x14ac:dyDescent="0.2">
      <c r="A2514">
        <v>7</v>
      </c>
      <c r="B2514" t="s">
        <v>43</v>
      </c>
      <c r="E2514" t="s">
        <v>19</v>
      </c>
      <c r="F2514">
        <v>1453950</v>
      </c>
      <c r="G2514">
        <v>3</v>
      </c>
      <c r="H2514">
        <v>1</v>
      </c>
      <c r="I2514">
        <v>50</v>
      </c>
      <c r="J2514">
        <v>2006</v>
      </c>
      <c r="K2514" s="4">
        <v>44795</v>
      </c>
      <c r="L2514" t="s">
        <v>20</v>
      </c>
      <c r="M2514" t="s">
        <v>24</v>
      </c>
      <c r="N2514">
        <v>2.73</v>
      </c>
      <c r="O2514">
        <v>1759</v>
      </c>
      <c r="P2514">
        <v>3.13</v>
      </c>
      <c r="Q2514">
        <v>195</v>
      </c>
      <c r="R2514">
        <v>695</v>
      </c>
    </row>
    <row r="2515" spans="1:18" hidden="1" x14ac:dyDescent="0.2">
      <c r="A2515">
        <v>1</v>
      </c>
      <c r="B2515" t="s">
        <v>46</v>
      </c>
      <c r="E2515" t="s">
        <v>51</v>
      </c>
      <c r="F2515">
        <v>1604980</v>
      </c>
      <c r="G2515">
        <v>5</v>
      </c>
      <c r="H2515">
        <v>2</v>
      </c>
      <c r="I2515">
        <v>382</v>
      </c>
      <c r="J2515">
        <v>1993</v>
      </c>
      <c r="K2515" s="4">
        <v>45692</v>
      </c>
      <c r="L2515" t="s">
        <v>30</v>
      </c>
      <c r="M2515" t="s">
        <v>89</v>
      </c>
      <c r="N2515">
        <v>1.67</v>
      </c>
      <c r="O2515">
        <v>2140</v>
      </c>
      <c r="P2515">
        <v>4.95</v>
      </c>
      <c r="Q2515">
        <v>319</v>
      </c>
      <c r="R2515">
        <v>577</v>
      </c>
    </row>
    <row r="2516" spans="1:18" hidden="1" x14ac:dyDescent="0.2">
      <c r="A2516">
        <v>5</v>
      </c>
      <c r="B2516" t="s">
        <v>72</v>
      </c>
      <c r="E2516" t="s">
        <v>36</v>
      </c>
      <c r="F2516">
        <v>569723</v>
      </c>
      <c r="G2516">
        <v>5</v>
      </c>
      <c r="H2516">
        <v>2</v>
      </c>
      <c r="I2516">
        <v>362</v>
      </c>
      <c r="J2516">
        <v>1971</v>
      </c>
      <c r="K2516" s="4">
        <v>44139</v>
      </c>
      <c r="L2516" t="s">
        <v>23</v>
      </c>
      <c r="M2516" t="s">
        <v>89</v>
      </c>
      <c r="N2516">
        <v>1.68</v>
      </c>
      <c r="O2516">
        <v>1485</v>
      </c>
      <c r="P2516">
        <v>4.5199999999999996</v>
      </c>
      <c r="Q2516">
        <v>308</v>
      </c>
      <c r="R2516">
        <v>375</v>
      </c>
    </row>
    <row r="2517" spans="1:18" hidden="1" x14ac:dyDescent="0.2">
      <c r="A2517">
        <v>9</v>
      </c>
      <c r="B2517" t="s">
        <v>34</v>
      </c>
      <c r="E2517" t="s">
        <v>36</v>
      </c>
      <c r="F2517">
        <v>2538863</v>
      </c>
      <c r="G2517">
        <v>4</v>
      </c>
      <c r="H2517">
        <v>1</v>
      </c>
      <c r="I2517">
        <v>529</v>
      </c>
      <c r="J2517">
        <v>2003</v>
      </c>
      <c r="K2517" s="4">
        <v>45845</v>
      </c>
      <c r="L2517" t="s">
        <v>23</v>
      </c>
      <c r="M2517" t="s">
        <v>35</v>
      </c>
      <c r="N2517">
        <v>2.98</v>
      </c>
      <c r="O2517">
        <v>1583</v>
      </c>
      <c r="P2517">
        <v>4.5</v>
      </c>
      <c r="Q2517">
        <v>330</v>
      </c>
      <c r="R2517">
        <v>344</v>
      </c>
    </row>
    <row r="2518" spans="1:18" hidden="1" x14ac:dyDescent="0.2">
      <c r="A2518">
        <v>1</v>
      </c>
      <c r="B2518" t="s">
        <v>102</v>
      </c>
      <c r="E2518" t="s">
        <v>29</v>
      </c>
      <c r="F2518">
        <v>1710729</v>
      </c>
      <c r="G2518">
        <v>4</v>
      </c>
      <c r="H2518">
        <v>1</v>
      </c>
      <c r="I2518">
        <v>934</v>
      </c>
      <c r="J2518">
        <v>1953</v>
      </c>
      <c r="K2518" s="4">
        <v>44781</v>
      </c>
      <c r="L2518" t="s">
        <v>23</v>
      </c>
      <c r="M2518" t="s">
        <v>68</v>
      </c>
      <c r="N2518">
        <v>2.85</v>
      </c>
      <c r="O2518">
        <v>1828</v>
      </c>
      <c r="P2518">
        <v>1.62</v>
      </c>
      <c r="Q2518">
        <v>324</v>
      </c>
      <c r="R2518">
        <v>610</v>
      </c>
    </row>
    <row r="2519" spans="1:18" hidden="1" x14ac:dyDescent="0.2">
      <c r="A2519">
        <v>7</v>
      </c>
      <c r="B2519" t="s">
        <v>65</v>
      </c>
      <c r="E2519" t="s">
        <v>29</v>
      </c>
      <c r="F2519">
        <v>2133369</v>
      </c>
      <c r="G2519">
        <v>3</v>
      </c>
      <c r="H2519">
        <v>2</v>
      </c>
      <c r="I2519">
        <v>917</v>
      </c>
      <c r="J2519">
        <v>2019</v>
      </c>
      <c r="K2519" s="4">
        <v>45140</v>
      </c>
      <c r="L2519" t="s">
        <v>20</v>
      </c>
      <c r="M2519" t="s">
        <v>47</v>
      </c>
      <c r="N2519">
        <v>2.88</v>
      </c>
      <c r="O2519">
        <v>1024</v>
      </c>
      <c r="P2519">
        <v>2.84</v>
      </c>
      <c r="Q2519">
        <v>137</v>
      </c>
      <c r="R2519">
        <v>469</v>
      </c>
    </row>
    <row r="2520" spans="1:18" hidden="1" x14ac:dyDescent="0.2">
      <c r="A2520">
        <v>1</v>
      </c>
      <c r="B2520" t="s">
        <v>101</v>
      </c>
      <c r="E2520" t="s">
        <v>19</v>
      </c>
      <c r="F2520">
        <v>2322792</v>
      </c>
      <c r="G2520">
        <v>2</v>
      </c>
      <c r="H2520">
        <v>2</v>
      </c>
      <c r="I2520">
        <v>988</v>
      </c>
      <c r="J2520">
        <v>2010</v>
      </c>
      <c r="K2520" s="4">
        <v>45266</v>
      </c>
      <c r="L2520" t="s">
        <v>26</v>
      </c>
      <c r="M2520" t="s">
        <v>59</v>
      </c>
      <c r="N2520">
        <v>2.17</v>
      </c>
      <c r="O2520">
        <v>2089</v>
      </c>
      <c r="P2520">
        <v>0.97</v>
      </c>
      <c r="Q2520">
        <v>49</v>
      </c>
      <c r="R2520">
        <v>571</v>
      </c>
    </row>
    <row r="2521" spans="1:18" hidden="1" x14ac:dyDescent="0.2">
      <c r="A2521">
        <v>3</v>
      </c>
      <c r="B2521" t="s">
        <v>22</v>
      </c>
      <c r="E2521" t="s">
        <v>19</v>
      </c>
      <c r="F2521">
        <v>1338055</v>
      </c>
      <c r="G2521">
        <v>1</v>
      </c>
      <c r="H2521">
        <v>2</v>
      </c>
      <c r="I2521">
        <v>721</v>
      </c>
      <c r="J2521">
        <v>1975</v>
      </c>
      <c r="K2521" s="4">
        <v>44274</v>
      </c>
      <c r="L2521" t="s">
        <v>23</v>
      </c>
      <c r="M2521" t="s">
        <v>68</v>
      </c>
      <c r="N2521">
        <v>2.56</v>
      </c>
      <c r="O2521">
        <v>2293</v>
      </c>
      <c r="P2521">
        <v>4.05</v>
      </c>
      <c r="Q2521">
        <v>138</v>
      </c>
      <c r="R2521">
        <v>665</v>
      </c>
    </row>
    <row r="2522" spans="1:18" hidden="1" x14ac:dyDescent="0.2">
      <c r="A2522">
        <v>4</v>
      </c>
      <c r="B2522" t="s">
        <v>46</v>
      </c>
      <c r="E2522" t="s">
        <v>29</v>
      </c>
      <c r="F2522">
        <v>875135</v>
      </c>
      <c r="G2522">
        <v>3</v>
      </c>
      <c r="H2522">
        <v>2</v>
      </c>
      <c r="I2522">
        <v>54</v>
      </c>
      <c r="J2522">
        <v>1963</v>
      </c>
      <c r="K2522" s="4">
        <v>44812</v>
      </c>
      <c r="L2522" t="s">
        <v>20</v>
      </c>
      <c r="M2522" t="s">
        <v>40</v>
      </c>
      <c r="N2522">
        <v>1.7</v>
      </c>
      <c r="O2522">
        <v>1986</v>
      </c>
      <c r="P2522">
        <v>2.4500000000000002</v>
      </c>
      <c r="Q2522">
        <v>283</v>
      </c>
      <c r="R2522">
        <v>568</v>
      </c>
    </row>
    <row r="2523" spans="1:18" hidden="1" x14ac:dyDescent="0.2">
      <c r="A2523">
        <v>4</v>
      </c>
      <c r="B2523" t="s">
        <v>87</v>
      </c>
      <c r="E2523" t="s">
        <v>36</v>
      </c>
      <c r="F2523">
        <v>1442847</v>
      </c>
      <c r="G2523">
        <v>3</v>
      </c>
      <c r="H2523">
        <v>3</v>
      </c>
      <c r="I2523">
        <v>145</v>
      </c>
      <c r="J2523">
        <v>1950</v>
      </c>
      <c r="K2523" s="4">
        <v>44499</v>
      </c>
      <c r="L2523" t="s">
        <v>20</v>
      </c>
      <c r="M2523" t="s">
        <v>78</v>
      </c>
      <c r="N2523">
        <v>2.9</v>
      </c>
      <c r="O2523">
        <v>838</v>
      </c>
      <c r="P2523">
        <v>3.42</v>
      </c>
      <c r="Q2523">
        <v>209</v>
      </c>
      <c r="R2523">
        <v>430</v>
      </c>
    </row>
    <row r="2524" spans="1:18" hidden="1" x14ac:dyDescent="0.2">
      <c r="A2524">
        <v>5</v>
      </c>
      <c r="B2524" t="s">
        <v>43</v>
      </c>
      <c r="E2524" t="s">
        <v>29</v>
      </c>
      <c r="F2524">
        <v>2347606</v>
      </c>
      <c r="G2524">
        <v>3</v>
      </c>
      <c r="H2524">
        <v>3</v>
      </c>
      <c r="I2524">
        <v>809</v>
      </c>
      <c r="J2524">
        <v>1991</v>
      </c>
      <c r="K2524" s="4">
        <v>44573</v>
      </c>
      <c r="L2524" t="s">
        <v>26</v>
      </c>
      <c r="M2524" t="s">
        <v>60</v>
      </c>
      <c r="N2524">
        <v>2.54</v>
      </c>
      <c r="O2524">
        <v>2388</v>
      </c>
      <c r="P2524">
        <v>2.2799999999999998</v>
      </c>
      <c r="Q2524">
        <v>212</v>
      </c>
      <c r="R2524">
        <v>301</v>
      </c>
    </row>
    <row r="2525" spans="1:18" hidden="1" x14ac:dyDescent="0.2">
      <c r="A2525">
        <v>9</v>
      </c>
      <c r="B2525" t="s">
        <v>57</v>
      </c>
      <c r="E2525" t="s">
        <v>19</v>
      </c>
      <c r="F2525">
        <v>1779064</v>
      </c>
      <c r="G2525">
        <v>4</v>
      </c>
      <c r="H2525">
        <v>3</v>
      </c>
      <c r="I2525">
        <v>120</v>
      </c>
      <c r="J2525">
        <v>2012</v>
      </c>
      <c r="K2525" s="4">
        <v>44266</v>
      </c>
      <c r="L2525" t="s">
        <v>30</v>
      </c>
      <c r="M2525" t="s">
        <v>52</v>
      </c>
      <c r="N2525">
        <v>2.67</v>
      </c>
      <c r="O2525">
        <v>908</v>
      </c>
      <c r="P2525">
        <v>0.87</v>
      </c>
      <c r="Q2525">
        <v>209</v>
      </c>
      <c r="R2525">
        <v>651</v>
      </c>
    </row>
    <row r="2526" spans="1:18" hidden="1" x14ac:dyDescent="0.2">
      <c r="A2526">
        <v>7</v>
      </c>
      <c r="B2526" t="s">
        <v>43</v>
      </c>
      <c r="E2526" t="s">
        <v>36</v>
      </c>
      <c r="F2526">
        <v>509649</v>
      </c>
      <c r="G2526">
        <v>3</v>
      </c>
      <c r="H2526">
        <v>2</v>
      </c>
      <c r="I2526">
        <v>404</v>
      </c>
      <c r="J2526">
        <v>1959</v>
      </c>
      <c r="K2526" s="4">
        <v>45826</v>
      </c>
      <c r="L2526" t="s">
        <v>23</v>
      </c>
      <c r="M2526" t="s">
        <v>33</v>
      </c>
      <c r="N2526">
        <v>3.48</v>
      </c>
      <c r="O2526">
        <v>1067</v>
      </c>
      <c r="P2526">
        <v>3.19</v>
      </c>
      <c r="Q2526">
        <v>160</v>
      </c>
      <c r="R2526">
        <v>505</v>
      </c>
    </row>
    <row r="2527" spans="1:18" hidden="1" x14ac:dyDescent="0.2">
      <c r="A2527">
        <v>3</v>
      </c>
      <c r="B2527" t="s">
        <v>61</v>
      </c>
      <c r="E2527" t="s">
        <v>19</v>
      </c>
      <c r="F2527">
        <v>1671280</v>
      </c>
      <c r="G2527">
        <v>4</v>
      </c>
      <c r="H2527">
        <v>1</v>
      </c>
      <c r="I2527">
        <v>659</v>
      </c>
      <c r="J2527">
        <v>1953</v>
      </c>
      <c r="K2527" s="4">
        <v>44515</v>
      </c>
      <c r="L2527" t="s">
        <v>26</v>
      </c>
      <c r="M2527" t="s">
        <v>45</v>
      </c>
      <c r="N2527">
        <v>2.0099999999999998</v>
      </c>
      <c r="O2527">
        <v>1913</v>
      </c>
      <c r="P2527">
        <v>2.79</v>
      </c>
      <c r="Q2527">
        <v>299</v>
      </c>
      <c r="R2527">
        <v>408</v>
      </c>
    </row>
    <row r="2528" spans="1:18" hidden="1" x14ac:dyDescent="0.2">
      <c r="A2528">
        <v>1</v>
      </c>
      <c r="B2528" t="s">
        <v>75</v>
      </c>
      <c r="E2528" t="s">
        <v>19</v>
      </c>
      <c r="F2528">
        <v>1436863</v>
      </c>
      <c r="G2528">
        <v>2</v>
      </c>
      <c r="H2528">
        <v>2</v>
      </c>
      <c r="I2528">
        <v>841</v>
      </c>
      <c r="J2528">
        <v>2019</v>
      </c>
      <c r="K2528" s="4">
        <v>45121</v>
      </c>
      <c r="L2528" t="s">
        <v>23</v>
      </c>
      <c r="M2528" t="s">
        <v>54</v>
      </c>
      <c r="N2528">
        <v>2.2599999999999998</v>
      </c>
      <c r="O2528">
        <v>1837</v>
      </c>
      <c r="P2528">
        <v>4.84</v>
      </c>
      <c r="Q2528">
        <v>204</v>
      </c>
      <c r="R2528">
        <v>462</v>
      </c>
    </row>
    <row r="2529" spans="1:18" hidden="1" x14ac:dyDescent="0.2">
      <c r="A2529">
        <v>6</v>
      </c>
      <c r="B2529" t="s">
        <v>79</v>
      </c>
      <c r="E2529" t="s">
        <v>51</v>
      </c>
      <c r="F2529">
        <v>1008142</v>
      </c>
      <c r="G2529">
        <v>4</v>
      </c>
      <c r="H2529">
        <v>1</v>
      </c>
      <c r="I2529">
        <v>83</v>
      </c>
      <c r="J2529">
        <v>1980</v>
      </c>
      <c r="K2529" s="4">
        <v>45557</v>
      </c>
      <c r="L2529" t="s">
        <v>23</v>
      </c>
      <c r="M2529" t="s">
        <v>89</v>
      </c>
      <c r="N2529">
        <v>2.66</v>
      </c>
      <c r="O2529">
        <v>1319</v>
      </c>
      <c r="P2529">
        <v>1.41</v>
      </c>
      <c r="Q2529">
        <v>173</v>
      </c>
      <c r="R2529">
        <v>307</v>
      </c>
    </row>
    <row r="2530" spans="1:18" x14ac:dyDescent="0.2">
      <c r="A2530">
        <v>8</v>
      </c>
      <c r="B2530" t="s">
        <v>86</v>
      </c>
      <c r="E2530" t="s">
        <v>19</v>
      </c>
      <c r="F2530">
        <v>1067485</v>
      </c>
      <c r="G2530">
        <v>1</v>
      </c>
      <c r="H2530">
        <v>3</v>
      </c>
      <c r="I2530">
        <v>453</v>
      </c>
      <c r="J2530">
        <v>1984</v>
      </c>
      <c r="K2530" s="4">
        <v>45128</v>
      </c>
      <c r="L2530" t="s">
        <v>30</v>
      </c>
      <c r="M2530" t="s">
        <v>60</v>
      </c>
      <c r="N2530">
        <v>1.71</v>
      </c>
      <c r="O2530">
        <v>1036</v>
      </c>
      <c r="P2530">
        <v>3.28</v>
      </c>
      <c r="Q2530">
        <v>80</v>
      </c>
      <c r="R2530">
        <v>592</v>
      </c>
    </row>
    <row r="2531" spans="1:18" hidden="1" x14ac:dyDescent="0.2">
      <c r="A2531">
        <v>1</v>
      </c>
      <c r="B2531" t="s">
        <v>105</v>
      </c>
      <c r="E2531" t="s">
        <v>36</v>
      </c>
      <c r="F2531">
        <v>919216</v>
      </c>
      <c r="G2531">
        <v>4</v>
      </c>
      <c r="H2531">
        <v>2</v>
      </c>
      <c r="I2531">
        <v>473</v>
      </c>
      <c r="J2531">
        <v>2005</v>
      </c>
      <c r="K2531" s="4">
        <v>45707</v>
      </c>
      <c r="L2531" t="s">
        <v>23</v>
      </c>
      <c r="M2531" t="s">
        <v>45</v>
      </c>
      <c r="N2531">
        <v>2.89</v>
      </c>
      <c r="O2531">
        <v>1393</v>
      </c>
      <c r="P2531">
        <v>1.17</v>
      </c>
      <c r="Q2531">
        <v>282</v>
      </c>
      <c r="R2531">
        <v>586</v>
      </c>
    </row>
    <row r="2532" spans="1:18" hidden="1" x14ac:dyDescent="0.2">
      <c r="A2532">
        <v>7</v>
      </c>
      <c r="B2532" t="s">
        <v>72</v>
      </c>
      <c r="E2532" t="s">
        <v>19</v>
      </c>
      <c r="F2532">
        <v>985665</v>
      </c>
      <c r="G2532">
        <v>3</v>
      </c>
      <c r="H2532">
        <v>2</v>
      </c>
      <c r="I2532">
        <v>105</v>
      </c>
      <c r="J2532">
        <v>2001</v>
      </c>
      <c r="K2532" s="4">
        <v>45350</v>
      </c>
      <c r="L2532" t="s">
        <v>23</v>
      </c>
      <c r="M2532" t="s">
        <v>97</v>
      </c>
      <c r="N2532">
        <v>2.85</v>
      </c>
      <c r="O2532">
        <v>1338</v>
      </c>
      <c r="P2532">
        <v>0.96</v>
      </c>
      <c r="Q2532">
        <v>242</v>
      </c>
      <c r="R2532">
        <v>394</v>
      </c>
    </row>
    <row r="2533" spans="1:18" x14ac:dyDescent="0.2">
      <c r="A2533">
        <v>8</v>
      </c>
      <c r="B2533" t="s">
        <v>90</v>
      </c>
      <c r="E2533" t="s">
        <v>51</v>
      </c>
      <c r="F2533">
        <v>969289</v>
      </c>
      <c r="G2533">
        <v>6</v>
      </c>
      <c r="H2533">
        <v>1</v>
      </c>
      <c r="I2533">
        <v>53</v>
      </c>
      <c r="J2533">
        <v>1997</v>
      </c>
      <c r="K2533" s="4">
        <v>45292</v>
      </c>
      <c r="L2533" t="s">
        <v>20</v>
      </c>
      <c r="M2533" t="s">
        <v>59</v>
      </c>
      <c r="N2533">
        <v>2.5299999999999998</v>
      </c>
      <c r="O2533">
        <v>2280</v>
      </c>
      <c r="P2533">
        <v>4.26</v>
      </c>
      <c r="Q2533">
        <v>385</v>
      </c>
      <c r="R2533">
        <v>665</v>
      </c>
    </row>
    <row r="2534" spans="1:18" hidden="1" x14ac:dyDescent="0.2">
      <c r="A2534">
        <v>9</v>
      </c>
      <c r="B2534" t="s">
        <v>49</v>
      </c>
      <c r="E2534" t="s">
        <v>51</v>
      </c>
      <c r="F2534">
        <v>2584453</v>
      </c>
      <c r="G2534">
        <v>3</v>
      </c>
      <c r="H2534">
        <v>3</v>
      </c>
      <c r="I2534">
        <v>522</v>
      </c>
      <c r="J2534">
        <v>1953</v>
      </c>
      <c r="K2534" s="4">
        <v>44640</v>
      </c>
      <c r="L2534" t="s">
        <v>30</v>
      </c>
      <c r="M2534" t="s">
        <v>27</v>
      </c>
      <c r="N2534">
        <v>3.42</v>
      </c>
      <c r="O2534">
        <v>913</v>
      </c>
      <c r="P2534">
        <v>1.07</v>
      </c>
      <c r="Q2534">
        <v>148</v>
      </c>
      <c r="R2534">
        <v>388</v>
      </c>
    </row>
    <row r="2535" spans="1:18" hidden="1" x14ac:dyDescent="0.2">
      <c r="A2535">
        <v>5</v>
      </c>
      <c r="B2535" t="s">
        <v>79</v>
      </c>
      <c r="E2535" t="s">
        <v>19</v>
      </c>
      <c r="F2535">
        <v>1846507</v>
      </c>
      <c r="G2535">
        <v>3</v>
      </c>
      <c r="H2535">
        <v>3</v>
      </c>
      <c r="I2535">
        <v>357</v>
      </c>
      <c r="J2535">
        <v>1995</v>
      </c>
      <c r="K2535" s="4">
        <v>44279</v>
      </c>
      <c r="L2535" t="s">
        <v>20</v>
      </c>
      <c r="M2535" t="s">
        <v>45</v>
      </c>
      <c r="N2535">
        <v>1.78</v>
      </c>
      <c r="O2535">
        <v>2060</v>
      </c>
      <c r="P2535">
        <v>2.0699999999999998</v>
      </c>
      <c r="Q2535">
        <v>199</v>
      </c>
      <c r="R2535">
        <v>463</v>
      </c>
    </row>
    <row r="2536" spans="1:18" hidden="1" x14ac:dyDescent="0.2">
      <c r="A2536">
        <v>3</v>
      </c>
      <c r="B2536" t="s">
        <v>53</v>
      </c>
      <c r="E2536" t="s">
        <v>19</v>
      </c>
      <c r="F2536">
        <v>2808981</v>
      </c>
      <c r="G2536">
        <v>5</v>
      </c>
      <c r="H2536">
        <v>1</v>
      </c>
      <c r="I2536">
        <v>210</v>
      </c>
      <c r="J2536">
        <v>2013</v>
      </c>
      <c r="K2536" s="4">
        <v>44710</v>
      </c>
      <c r="L2536" t="s">
        <v>20</v>
      </c>
      <c r="M2536" t="s">
        <v>69</v>
      </c>
      <c r="N2536">
        <v>2.2799999999999998</v>
      </c>
      <c r="O2536">
        <v>1456</v>
      </c>
      <c r="P2536">
        <v>4.8499999999999996</v>
      </c>
      <c r="Q2536">
        <v>265</v>
      </c>
      <c r="R2536">
        <v>540</v>
      </c>
    </row>
    <row r="2537" spans="1:18" hidden="1" x14ac:dyDescent="0.2">
      <c r="A2537">
        <v>4</v>
      </c>
      <c r="B2537" t="s">
        <v>28</v>
      </c>
      <c r="E2537" t="s">
        <v>29</v>
      </c>
      <c r="F2537">
        <v>608185</v>
      </c>
      <c r="G2537">
        <v>3</v>
      </c>
      <c r="H2537">
        <v>1</v>
      </c>
      <c r="I2537">
        <v>255</v>
      </c>
      <c r="J2537">
        <v>1966</v>
      </c>
      <c r="K2537" s="4">
        <v>44440</v>
      </c>
      <c r="L2537" t="s">
        <v>26</v>
      </c>
      <c r="M2537" t="s">
        <v>66</v>
      </c>
      <c r="N2537">
        <v>1.6</v>
      </c>
      <c r="O2537">
        <v>1154</v>
      </c>
      <c r="P2537">
        <v>4.3600000000000003</v>
      </c>
      <c r="Q2537">
        <v>256</v>
      </c>
      <c r="R2537">
        <v>553</v>
      </c>
    </row>
    <row r="2538" spans="1:18" hidden="1" x14ac:dyDescent="0.2">
      <c r="A2538">
        <v>2</v>
      </c>
      <c r="B2538" t="s">
        <v>18</v>
      </c>
      <c r="E2538" t="s">
        <v>19</v>
      </c>
      <c r="F2538">
        <v>561100</v>
      </c>
      <c r="G2538">
        <v>5</v>
      </c>
      <c r="H2538">
        <v>1</v>
      </c>
      <c r="I2538">
        <v>296</v>
      </c>
      <c r="J2538">
        <v>1996</v>
      </c>
      <c r="K2538" s="4">
        <v>45758</v>
      </c>
      <c r="L2538" t="s">
        <v>20</v>
      </c>
      <c r="M2538" t="s">
        <v>89</v>
      </c>
      <c r="N2538">
        <v>2.2200000000000002</v>
      </c>
      <c r="O2538">
        <v>1220</v>
      </c>
      <c r="P2538">
        <v>1.66</v>
      </c>
      <c r="Q2538">
        <v>302</v>
      </c>
      <c r="R2538">
        <v>368</v>
      </c>
    </row>
    <row r="2539" spans="1:18" hidden="1" x14ac:dyDescent="0.2">
      <c r="A2539">
        <v>2</v>
      </c>
      <c r="B2539" t="s">
        <v>93</v>
      </c>
      <c r="E2539" t="s">
        <v>36</v>
      </c>
      <c r="F2539">
        <v>1676343</v>
      </c>
      <c r="G2539">
        <v>3</v>
      </c>
      <c r="H2539">
        <v>2</v>
      </c>
      <c r="I2539">
        <v>577</v>
      </c>
      <c r="J2539">
        <v>2016</v>
      </c>
      <c r="K2539" s="4">
        <v>44569</v>
      </c>
      <c r="L2539" t="s">
        <v>30</v>
      </c>
      <c r="M2539" t="s">
        <v>70</v>
      </c>
      <c r="N2539">
        <v>3.24</v>
      </c>
      <c r="O2539">
        <v>2110</v>
      </c>
      <c r="P2539">
        <v>3.68</v>
      </c>
      <c r="Q2539">
        <v>194</v>
      </c>
      <c r="R2539">
        <v>343</v>
      </c>
    </row>
    <row r="2540" spans="1:18" hidden="1" x14ac:dyDescent="0.2">
      <c r="A2540">
        <v>1</v>
      </c>
      <c r="B2540" t="s">
        <v>104</v>
      </c>
      <c r="E2540" t="s">
        <v>51</v>
      </c>
      <c r="F2540">
        <v>889399</v>
      </c>
      <c r="G2540">
        <v>4</v>
      </c>
      <c r="H2540">
        <v>3</v>
      </c>
      <c r="I2540">
        <v>530</v>
      </c>
      <c r="J2540">
        <v>1990</v>
      </c>
      <c r="K2540" s="4">
        <v>44324</v>
      </c>
      <c r="L2540" t="s">
        <v>20</v>
      </c>
      <c r="M2540" t="s">
        <v>69</v>
      </c>
      <c r="N2540">
        <v>3.2</v>
      </c>
      <c r="O2540">
        <v>1590</v>
      </c>
      <c r="P2540">
        <v>0.52</v>
      </c>
      <c r="Q2540">
        <v>183</v>
      </c>
      <c r="R2540">
        <v>375</v>
      </c>
    </row>
    <row r="2541" spans="1:18" hidden="1" x14ac:dyDescent="0.2">
      <c r="A2541">
        <v>0</v>
      </c>
      <c r="B2541" t="s">
        <v>57</v>
      </c>
      <c r="E2541" t="s">
        <v>29</v>
      </c>
      <c r="F2541">
        <v>1685421</v>
      </c>
      <c r="G2541">
        <v>5</v>
      </c>
      <c r="H2541">
        <v>3</v>
      </c>
      <c r="I2541">
        <v>523</v>
      </c>
      <c r="J2541">
        <v>2004</v>
      </c>
      <c r="K2541" s="4">
        <v>44276</v>
      </c>
      <c r="L2541" t="s">
        <v>30</v>
      </c>
      <c r="M2541" t="s">
        <v>27</v>
      </c>
      <c r="N2541">
        <v>2.69</v>
      </c>
      <c r="O2541">
        <v>1584</v>
      </c>
      <c r="P2541">
        <v>4.47</v>
      </c>
      <c r="Q2541">
        <v>295</v>
      </c>
      <c r="R2541">
        <v>617</v>
      </c>
    </row>
    <row r="2542" spans="1:18" hidden="1" x14ac:dyDescent="0.2">
      <c r="A2542">
        <v>6</v>
      </c>
      <c r="B2542" t="s">
        <v>44</v>
      </c>
      <c r="E2542" t="s">
        <v>19</v>
      </c>
      <c r="F2542">
        <v>1689414</v>
      </c>
      <c r="G2542">
        <v>2</v>
      </c>
      <c r="H2542">
        <v>2</v>
      </c>
      <c r="I2542">
        <v>737</v>
      </c>
      <c r="J2542">
        <v>1964</v>
      </c>
      <c r="K2542" s="4">
        <v>44366</v>
      </c>
      <c r="L2542" t="s">
        <v>26</v>
      </c>
      <c r="M2542" t="s">
        <v>74</v>
      </c>
      <c r="N2542">
        <v>2.5299999999999998</v>
      </c>
      <c r="O2542">
        <v>1565</v>
      </c>
      <c r="P2542">
        <v>0.13</v>
      </c>
      <c r="Q2542">
        <v>236</v>
      </c>
      <c r="R2542">
        <v>619</v>
      </c>
    </row>
    <row r="2543" spans="1:18" hidden="1" x14ac:dyDescent="0.2">
      <c r="A2543">
        <v>6</v>
      </c>
      <c r="B2543" t="s">
        <v>73</v>
      </c>
      <c r="E2543" t="s">
        <v>51</v>
      </c>
      <c r="F2543">
        <v>2590167</v>
      </c>
      <c r="G2543">
        <v>4</v>
      </c>
      <c r="H2543">
        <v>3</v>
      </c>
      <c r="I2543">
        <v>526</v>
      </c>
      <c r="J2543">
        <v>1996</v>
      </c>
      <c r="K2543" s="4">
        <v>45387</v>
      </c>
      <c r="L2543" t="s">
        <v>23</v>
      </c>
      <c r="M2543" t="s">
        <v>68</v>
      </c>
      <c r="N2543">
        <v>3.06</v>
      </c>
      <c r="O2543">
        <v>893</v>
      </c>
      <c r="P2543">
        <v>2.4</v>
      </c>
      <c r="Q2543">
        <v>364</v>
      </c>
      <c r="R2543">
        <v>674</v>
      </c>
    </row>
    <row r="2544" spans="1:18" hidden="1" x14ac:dyDescent="0.2">
      <c r="A2544">
        <v>7</v>
      </c>
      <c r="B2544" t="s">
        <v>53</v>
      </c>
      <c r="E2544" t="s">
        <v>51</v>
      </c>
      <c r="F2544">
        <v>1854716</v>
      </c>
      <c r="G2544">
        <v>5</v>
      </c>
      <c r="H2544">
        <v>1</v>
      </c>
      <c r="I2544">
        <v>952</v>
      </c>
      <c r="J2544">
        <v>2021</v>
      </c>
      <c r="K2544" s="4">
        <v>45772</v>
      </c>
      <c r="L2544" t="s">
        <v>23</v>
      </c>
      <c r="M2544" t="s">
        <v>60</v>
      </c>
      <c r="N2544">
        <v>2.89</v>
      </c>
      <c r="O2544">
        <v>1656</v>
      </c>
      <c r="P2544">
        <v>3.12</v>
      </c>
      <c r="Q2544">
        <v>350</v>
      </c>
      <c r="R2544">
        <v>474</v>
      </c>
    </row>
    <row r="2545" spans="1:18" hidden="1" x14ac:dyDescent="0.2">
      <c r="A2545">
        <v>5</v>
      </c>
      <c r="B2545" t="s">
        <v>90</v>
      </c>
      <c r="E2545" t="s">
        <v>36</v>
      </c>
      <c r="F2545">
        <v>2511019</v>
      </c>
      <c r="G2545">
        <v>4</v>
      </c>
      <c r="H2545">
        <v>1</v>
      </c>
      <c r="I2545">
        <v>245</v>
      </c>
      <c r="J2545">
        <v>1987</v>
      </c>
      <c r="K2545" s="4">
        <v>45522</v>
      </c>
      <c r="L2545" t="s">
        <v>20</v>
      </c>
      <c r="M2545" t="s">
        <v>40</v>
      </c>
      <c r="N2545">
        <v>2.2799999999999998</v>
      </c>
      <c r="O2545">
        <v>1671</v>
      </c>
      <c r="P2545">
        <v>0.41</v>
      </c>
      <c r="Q2545">
        <v>385</v>
      </c>
      <c r="R2545">
        <v>546</v>
      </c>
    </row>
    <row r="2546" spans="1:18" hidden="1" x14ac:dyDescent="0.2">
      <c r="A2546">
        <v>7</v>
      </c>
      <c r="B2546" t="s">
        <v>90</v>
      </c>
      <c r="E2546" t="s">
        <v>51</v>
      </c>
      <c r="F2546">
        <v>473502</v>
      </c>
      <c r="G2546">
        <v>3</v>
      </c>
      <c r="H2546">
        <v>3</v>
      </c>
      <c r="I2546">
        <v>860</v>
      </c>
      <c r="J2546">
        <v>2002</v>
      </c>
      <c r="K2546" s="4">
        <v>45063</v>
      </c>
      <c r="L2546" t="s">
        <v>30</v>
      </c>
      <c r="M2546" t="s">
        <v>54</v>
      </c>
      <c r="N2546">
        <v>2.41</v>
      </c>
      <c r="O2546">
        <v>1949</v>
      </c>
      <c r="P2546">
        <v>2.83</v>
      </c>
      <c r="Q2546">
        <v>288</v>
      </c>
      <c r="R2546">
        <v>430</v>
      </c>
    </row>
    <row r="2547" spans="1:18" hidden="1" x14ac:dyDescent="0.2">
      <c r="A2547">
        <v>2</v>
      </c>
      <c r="B2547" t="s">
        <v>95</v>
      </c>
      <c r="E2547" t="s">
        <v>36</v>
      </c>
      <c r="F2547">
        <v>574262</v>
      </c>
      <c r="G2547">
        <v>2</v>
      </c>
      <c r="H2547">
        <v>2</v>
      </c>
      <c r="I2547">
        <v>480</v>
      </c>
      <c r="J2547">
        <v>2014</v>
      </c>
      <c r="K2547" s="4">
        <v>44359</v>
      </c>
      <c r="L2547" t="s">
        <v>23</v>
      </c>
      <c r="M2547" t="s">
        <v>21</v>
      </c>
      <c r="N2547">
        <v>1.81</v>
      </c>
      <c r="O2547">
        <v>1154</v>
      </c>
      <c r="P2547">
        <v>0.14000000000000001</v>
      </c>
      <c r="Q2547">
        <v>95</v>
      </c>
      <c r="R2547">
        <v>581</v>
      </c>
    </row>
    <row r="2548" spans="1:18" hidden="1" x14ac:dyDescent="0.2">
      <c r="A2548">
        <v>3</v>
      </c>
      <c r="B2548" t="s">
        <v>104</v>
      </c>
      <c r="E2548" t="s">
        <v>51</v>
      </c>
      <c r="F2548">
        <v>2516459</v>
      </c>
      <c r="G2548">
        <v>3</v>
      </c>
      <c r="H2548">
        <v>1</v>
      </c>
      <c r="I2548">
        <v>560</v>
      </c>
      <c r="J2548">
        <v>2022</v>
      </c>
      <c r="K2548" s="4">
        <v>45547</v>
      </c>
      <c r="L2548" t="s">
        <v>26</v>
      </c>
      <c r="M2548" t="s">
        <v>58</v>
      </c>
      <c r="N2548">
        <v>1.61</v>
      </c>
      <c r="O2548">
        <v>1255</v>
      </c>
      <c r="P2548">
        <v>2.48</v>
      </c>
      <c r="Q2548">
        <v>208</v>
      </c>
      <c r="R2548">
        <v>700</v>
      </c>
    </row>
    <row r="2549" spans="1:18" hidden="1" x14ac:dyDescent="0.2">
      <c r="A2549">
        <v>7</v>
      </c>
      <c r="B2549" t="s">
        <v>75</v>
      </c>
      <c r="E2549" t="s">
        <v>51</v>
      </c>
      <c r="F2549">
        <v>553574</v>
      </c>
      <c r="G2549">
        <v>-2</v>
      </c>
      <c r="H2549">
        <v>2</v>
      </c>
      <c r="I2549">
        <v>265</v>
      </c>
      <c r="J2549">
        <v>1996</v>
      </c>
      <c r="K2549" s="4">
        <v>44867</v>
      </c>
      <c r="L2549" t="s">
        <v>26</v>
      </c>
      <c r="M2549" t="s">
        <v>63</v>
      </c>
      <c r="N2549">
        <v>3.31</v>
      </c>
      <c r="O2549">
        <v>811</v>
      </c>
      <c r="P2549">
        <v>0.67</v>
      </c>
      <c r="Q2549">
        <v>395</v>
      </c>
      <c r="R2549">
        <v>621</v>
      </c>
    </row>
    <row r="2550" spans="1:18" hidden="1" x14ac:dyDescent="0.2">
      <c r="A2550">
        <v>9</v>
      </c>
      <c r="B2550" t="s">
        <v>53</v>
      </c>
      <c r="E2550" t="s">
        <v>19</v>
      </c>
      <c r="F2550">
        <v>729968</v>
      </c>
      <c r="G2550">
        <v>4</v>
      </c>
      <c r="H2550">
        <v>2</v>
      </c>
      <c r="I2550">
        <v>572</v>
      </c>
      <c r="J2550">
        <v>1979</v>
      </c>
      <c r="K2550" s="4">
        <v>45622</v>
      </c>
      <c r="L2550" t="s">
        <v>20</v>
      </c>
      <c r="M2550" t="s">
        <v>69</v>
      </c>
      <c r="N2550">
        <v>1.64</v>
      </c>
      <c r="O2550">
        <v>2072</v>
      </c>
      <c r="P2550">
        <v>4.6900000000000004</v>
      </c>
      <c r="Q2550">
        <v>169</v>
      </c>
      <c r="R2550">
        <v>483</v>
      </c>
    </row>
    <row r="2551" spans="1:18" hidden="1" x14ac:dyDescent="0.2">
      <c r="A2551">
        <v>5</v>
      </c>
      <c r="B2551" t="s">
        <v>100</v>
      </c>
      <c r="E2551" t="s">
        <v>51</v>
      </c>
      <c r="F2551">
        <v>2663063</v>
      </c>
      <c r="G2551">
        <v>4</v>
      </c>
      <c r="H2551">
        <v>3</v>
      </c>
      <c r="I2551">
        <v>212</v>
      </c>
      <c r="J2551">
        <v>1951</v>
      </c>
      <c r="K2551" s="4">
        <v>45831</v>
      </c>
      <c r="L2551" t="s">
        <v>20</v>
      </c>
      <c r="M2551" t="s">
        <v>89</v>
      </c>
      <c r="N2551">
        <v>1.63</v>
      </c>
      <c r="O2551">
        <v>1915</v>
      </c>
      <c r="P2551">
        <v>1.0900000000000001</v>
      </c>
      <c r="Q2551">
        <v>229</v>
      </c>
      <c r="R2551">
        <v>676</v>
      </c>
    </row>
    <row r="2552" spans="1:18" hidden="1" x14ac:dyDescent="0.2">
      <c r="A2552">
        <v>4</v>
      </c>
      <c r="B2552" t="s">
        <v>81</v>
      </c>
      <c r="E2552" t="s">
        <v>51</v>
      </c>
      <c r="F2552">
        <v>1217642</v>
      </c>
      <c r="G2552">
        <v>3</v>
      </c>
      <c r="H2552">
        <v>1</v>
      </c>
      <c r="I2552">
        <v>156</v>
      </c>
      <c r="J2552">
        <v>1988</v>
      </c>
      <c r="K2552" s="4">
        <v>44843</v>
      </c>
      <c r="L2552" t="s">
        <v>26</v>
      </c>
      <c r="M2552" t="s">
        <v>97</v>
      </c>
      <c r="N2552">
        <v>3.4</v>
      </c>
      <c r="O2552">
        <v>2251</v>
      </c>
      <c r="P2552">
        <v>2.1</v>
      </c>
      <c r="Q2552">
        <v>279</v>
      </c>
      <c r="R2552">
        <v>524</v>
      </c>
    </row>
    <row r="2553" spans="1:18" hidden="1" x14ac:dyDescent="0.2">
      <c r="A2553">
        <v>2</v>
      </c>
      <c r="B2553" t="s">
        <v>84</v>
      </c>
      <c r="E2553" t="s">
        <v>19</v>
      </c>
      <c r="F2553">
        <v>2229086</v>
      </c>
      <c r="G2553">
        <v>5</v>
      </c>
      <c r="H2553">
        <v>3</v>
      </c>
      <c r="I2553">
        <v>531</v>
      </c>
      <c r="J2553">
        <v>2022</v>
      </c>
      <c r="K2553" s="4">
        <v>44700</v>
      </c>
      <c r="L2553" t="s">
        <v>26</v>
      </c>
      <c r="M2553" t="s">
        <v>82</v>
      </c>
      <c r="N2553">
        <v>2.57</v>
      </c>
      <c r="O2553">
        <v>1445</v>
      </c>
      <c r="P2553">
        <v>4.53</v>
      </c>
      <c r="Q2553">
        <v>245</v>
      </c>
      <c r="R2553">
        <v>502</v>
      </c>
    </row>
    <row r="2554" spans="1:18" hidden="1" x14ac:dyDescent="0.2">
      <c r="A2554">
        <v>4</v>
      </c>
      <c r="B2554" t="s">
        <v>48</v>
      </c>
      <c r="E2554" t="s">
        <v>36</v>
      </c>
      <c r="F2554">
        <v>2005200</v>
      </c>
      <c r="G2554">
        <v>4</v>
      </c>
      <c r="H2554">
        <v>2</v>
      </c>
      <c r="I2554">
        <v>273</v>
      </c>
      <c r="J2554">
        <v>2001</v>
      </c>
      <c r="K2554" s="4">
        <v>44754</v>
      </c>
      <c r="L2554" t="s">
        <v>26</v>
      </c>
      <c r="M2554" t="s">
        <v>77</v>
      </c>
      <c r="N2554">
        <v>3.46</v>
      </c>
      <c r="O2554">
        <v>2032</v>
      </c>
      <c r="P2554">
        <v>2.33</v>
      </c>
      <c r="Q2554">
        <v>243</v>
      </c>
      <c r="R2554">
        <v>448</v>
      </c>
    </row>
    <row r="2555" spans="1:18" hidden="1" x14ac:dyDescent="0.2">
      <c r="A2555">
        <v>9</v>
      </c>
      <c r="B2555" t="s">
        <v>93</v>
      </c>
      <c r="E2555" t="s">
        <v>51</v>
      </c>
      <c r="F2555">
        <v>2371278</v>
      </c>
      <c r="G2555">
        <v>2</v>
      </c>
      <c r="H2555">
        <v>1</v>
      </c>
      <c r="I2555">
        <v>963</v>
      </c>
      <c r="J2555">
        <v>2003</v>
      </c>
      <c r="K2555" s="4">
        <v>44085</v>
      </c>
      <c r="L2555" t="s">
        <v>26</v>
      </c>
      <c r="M2555" t="s">
        <v>74</v>
      </c>
      <c r="N2555">
        <v>1.83</v>
      </c>
      <c r="O2555">
        <v>2463</v>
      </c>
      <c r="P2555">
        <v>3.5</v>
      </c>
      <c r="Q2555">
        <v>202</v>
      </c>
      <c r="R2555">
        <v>443</v>
      </c>
    </row>
    <row r="2556" spans="1:18" hidden="1" x14ac:dyDescent="0.2">
      <c r="A2556">
        <v>6</v>
      </c>
      <c r="B2556" t="s">
        <v>86</v>
      </c>
      <c r="E2556" t="s">
        <v>19</v>
      </c>
      <c r="F2556">
        <v>2268634</v>
      </c>
      <c r="G2556">
        <v>3</v>
      </c>
      <c r="H2556">
        <v>2</v>
      </c>
      <c r="I2556">
        <v>306</v>
      </c>
      <c r="J2556">
        <v>1952</v>
      </c>
      <c r="K2556" s="4">
        <v>44223</v>
      </c>
      <c r="L2556" t="s">
        <v>20</v>
      </c>
      <c r="M2556" t="s">
        <v>52</v>
      </c>
      <c r="N2556">
        <v>1.6</v>
      </c>
      <c r="O2556">
        <v>2500</v>
      </c>
      <c r="P2556">
        <v>0.36</v>
      </c>
      <c r="Q2556">
        <v>119</v>
      </c>
      <c r="R2556">
        <v>444</v>
      </c>
    </row>
    <row r="2557" spans="1:18" hidden="1" x14ac:dyDescent="0.2">
      <c r="A2557">
        <v>9</v>
      </c>
      <c r="B2557" t="s">
        <v>57</v>
      </c>
      <c r="E2557" t="s">
        <v>36</v>
      </c>
      <c r="F2557">
        <v>2587065</v>
      </c>
      <c r="G2557">
        <v>6</v>
      </c>
      <c r="H2557">
        <v>1</v>
      </c>
      <c r="I2557">
        <v>825</v>
      </c>
      <c r="J2557">
        <v>1958</v>
      </c>
      <c r="K2557" s="4">
        <v>44901</v>
      </c>
      <c r="L2557" t="s">
        <v>30</v>
      </c>
      <c r="M2557" t="s">
        <v>47</v>
      </c>
      <c r="N2557">
        <v>3.05</v>
      </c>
      <c r="O2557">
        <v>2147</v>
      </c>
      <c r="P2557">
        <v>1.3</v>
      </c>
      <c r="Q2557">
        <v>336</v>
      </c>
      <c r="R2557">
        <v>353</v>
      </c>
    </row>
    <row r="2558" spans="1:18" hidden="1" x14ac:dyDescent="0.2">
      <c r="A2558">
        <v>2</v>
      </c>
      <c r="B2558" t="s">
        <v>101</v>
      </c>
      <c r="E2558" t="s">
        <v>29</v>
      </c>
      <c r="F2558">
        <v>2146380</v>
      </c>
      <c r="G2558">
        <v>3</v>
      </c>
      <c r="H2558">
        <v>3</v>
      </c>
      <c r="I2558">
        <v>649</v>
      </c>
      <c r="J2558">
        <v>2005</v>
      </c>
      <c r="K2558" s="4">
        <v>45382</v>
      </c>
      <c r="L2558" t="s">
        <v>20</v>
      </c>
      <c r="M2558" t="s">
        <v>40</v>
      </c>
      <c r="N2558">
        <v>2.85</v>
      </c>
      <c r="O2558">
        <v>2396</v>
      </c>
      <c r="P2558">
        <v>2.38</v>
      </c>
      <c r="Q2558">
        <v>256</v>
      </c>
      <c r="R2558">
        <v>512</v>
      </c>
    </row>
    <row r="2559" spans="1:18" hidden="1" x14ac:dyDescent="0.2">
      <c r="A2559">
        <v>1</v>
      </c>
      <c r="B2559" t="s">
        <v>88</v>
      </c>
      <c r="E2559" t="s">
        <v>51</v>
      </c>
      <c r="F2559">
        <v>1694970</v>
      </c>
      <c r="G2559">
        <v>4</v>
      </c>
      <c r="H2559">
        <v>1</v>
      </c>
      <c r="I2559">
        <v>403</v>
      </c>
      <c r="J2559">
        <v>1967</v>
      </c>
      <c r="K2559" s="4">
        <v>45803</v>
      </c>
      <c r="L2559" t="s">
        <v>20</v>
      </c>
      <c r="M2559" t="s">
        <v>89</v>
      </c>
      <c r="N2559">
        <v>3</v>
      </c>
      <c r="O2559">
        <v>1843</v>
      </c>
      <c r="P2559">
        <v>0.42</v>
      </c>
      <c r="Q2559">
        <v>226</v>
      </c>
      <c r="R2559">
        <v>349</v>
      </c>
    </row>
    <row r="2560" spans="1:18" hidden="1" x14ac:dyDescent="0.2">
      <c r="A2560">
        <v>2</v>
      </c>
      <c r="B2560" t="s">
        <v>43</v>
      </c>
      <c r="E2560" t="s">
        <v>19</v>
      </c>
      <c r="F2560">
        <v>2854304</v>
      </c>
      <c r="G2560">
        <v>5</v>
      </c>
      <c r="H2560">
        <v>2</v>
      </c>
      <c r="I2560">
        <v>60</v>
      </c>
      <c r="J2560">
        <v>1999</v>
      </c>
      <c r="K2560" s="4">
        <v>45758</v>
      </c>
      <c r="L2560" t="s">
        <v>23</v>
      </c>
      <c r="M2560" t="s">
        <v>63</v>
      </c>
      <c r="N2560">
        <v>2.74</v>
      </c>
      <c r="O2560">
        <v>1712</v>
      </c>
      <c r="P2560">
        <v>3.05</v>
      </c>
      <c r="Q2560">
        <v>393</v>
      </c>
      <c r="R2560">
        <v>631</v>
      </c>
    </row>
    <row r="2561" spans="1:18" hidden="1" x14ac:dyDescent="0.2">
      <c r="A2561">
        <v>0</v>
      </c>
      <c r="B2561" t="s">
        <v>96</v>
      </c>
      <c r="E2561" t="s">
        <v>36</v>
      </c>
      <c r="F2561">
        <v>515785</v>
      </c>
      <c r="G2561">
        <v>3</v>
      </c>
      <c r="H2561">
        <v>1</v>
      </c>
      <c r="I2561">
        <v>169</v>
      </c>
      <c r="J2561">
        <v>2014</v>
      </c>
      <c r="K2561" s="4">
        <v>45547</v>
      </c>
      <c r="L2561" t="s">
        <v>23</v>
      </c>
      <c r="M2561" t="s">
        <v>21</v>
      </c>
      <c r="N2561">
        <v>1.86</v>
      </c>
      <c r="O2561">
        <v>2376</v>
      </c>
      <c r="P2561">
        <v>3.24</v>
      </c>
      <c r="Q2561">
        <v>228</v>
      </c>
      <c r="R2561">
        <v>647</v>
      </c>
    </row>
    <row r="2562" spans="1:18" hidden="1" x14ac:dyDescent="0.2">
      <c r="A2562">
        <v>0</v>
      </c>
      <c r="B2562" t="s">
        <v>73</v>
      </c>
      <c r="E2562" t="s">
        <v>103</v>
      </c>
      <c r="F2562">
        <v>1943781</v>
      </c>
      <c r="G2562">
        <v>4</v>
      </c>
      <c r="H2562">
        <v>3</v>
      </c>
      <c r="I2562">
        <v>578</v>
      </c>
      <c r="J2562">
        <v>2000</v>
      </c>
      <c r="K2562" s="4">
        <v>44635</v>
      </c>
      <c r="L2562" t="s">
        <v>26</v>
      </c>
      <c r="M2562" t="s">
        <v>59</v>
      </c>
      <c r="N2562">
        <v>2.84</v>
      </c>
      <c r="O2562">
        <v>1688</v>
      </c>
      <c r="P2562">
        <v>1.46</v>
      </c>
      <c r="Q2562">
        <v>214</v>
      </c>
      <c r="R2562">
        <v>407</v>
      </c>
    </row>
    <row r="2563" spans="1:18" hidden="1" x14ac:dyDescent="0.2">
      <c r="A2563">
        <v>1</v>
      </c>
      <c r="B2563" t="s">
        <v>48</v>
      </c>
      <c r="E2563" t="s">
        <v>19</v>
      </c>
      <c r="F2563">
        <v>2235330</v>
      </c>
      <c r="G2563">
        <v>1</v>
      </c>
      <c r="H2563">
        <v>3</v>
      </c>
      <c r="I2563">
        <v>968</v>
      </c>
      <c r="J2563">
        <v>1983</v>
      </c>
      <c r="K2563" s="4">
        <v>44475</v>
      </c>
      <c r="L2563" t="s">
        <v>30</v>
      </c>
      <c r="M2563" t="s">
        <v>68</v>
      </c>
      <c r="N2563">
        <v>2.5299999999999998</v>
      </c>
      <c r="O2563">
        <v>1263</v>
      </c>
      <c r="P2563">
        <v>2.94</v>
      </c>
      <c r="Q2563">
        <v>94</v>
      </c>
      <c r="R2563">
        <v>484</v>
      </c>
    </row>
    <row r="2564" spans="1:18" hidden="1" x14ac:dyDescent="0.2">
      <c r="A2564">
        <v>0</v>
      </c>
      <c r="B2564" t="s">
        <v>41</v>
      </c>
      <c r="E2564" t="s">
        <v>36</v>
      </c>
      <c r="F2564">
        <v>1849031</v>
      </c>
      <c r="G2564">
        <v>2</v>
      </c>
      <c r="H2564">
        <v>3</v>
      </c>
      <c r="I2564">
        <v>954</v>
      </c>
      <c r="J2564">
        <v>1964</v>
      </c>
      <c r="K2564" s="4">
        <v>45403</v>
      </c>
      <c r="L2564" t="s">
        <v>20</v>
      </c>
      <c r="M2564" t="s">
        <v>42</v>
      </c>
      <c r="N2564">
        <v>3.28</v>
      </c>
      <c r="O2564">
        <v>1869</v>
      </c>
      <c r="P2564">
        <v>3.12</v>
      </c>
      <c r="Q2564">
        <v>213</v>
      </c>
      <c r="R2564">
        <v>528</v>
      </c>
    </row>
    <row r="2565" spans="1:18" x14ac:dyDescent="0.2">
      <c r="A2565">
        <v>8</v>
      </c>
      <c r="B2565" t="s">
        <v>25</v>
      </c>
      <c r="E2565" t="s">
        <v>29</v>
      </c>
      <c r="F2565">
        <v>900847</v>
      </c>
      <c r="G2565">
        <v>2</v>
      </c>
      <c r="H2565">
        <v>3</v>
      </c>
      <c r="I2565">
        <v>961</v>
      </c>
      <c r="J2565">
        <v>1974</v>
      </c>
      <c r="K2565" s="4">
        <v>44305</v>
      </c>
      <c r="L2565" t="s">
        <v>23</v>
      </c>
      <c r="M2565" t="s">
        <v>76</v>
      </c>
      <c r="N2565">
        <v>1.69</v>
      </c>
      <c r="O2565">
        <v>2474</v>
      </c>
      <c r="P2565">
        <v>2.17</v>
      </c>
      <c r="Q2565">
        <v>131</v>
      </c>
      <c r="R2565">
        <v>641</v>
      </c>
    </row>
    <row r="2566" spans="1:18" hidden="1" x14ac:dyDescent="0.2">
      <c r="A2566">
        <v>4</v>
      </c>
      <c r="B2566" t="s">
        <v>81</v>
      </c>
      <c r="E2566" t="s">
        <v>51</v>
      </c>
      <c r="F2566">
        <v>2240498</v>
      </c>
      <c r="G2566">
        <v>4</v>
      </c>
      <c r="H2566">
        <v>1</v>
      </c>
      <c r="I2566">
        <v>394</v>
      </c>
      <c r="J2566">
        <v>1994</v>
      </c>
      <c r="K2566" s="4">
        <v>44418</v>
      </c>
      <c r="L2566" t="s">
        <v>30</v>
      </c>
      <c r="M2566" t="s">
        <v>40</v>
      </c>
      <c r="N2566">
        <v>3.03</v>
      </c>
      <c r="O2566">
        <v>1615</v>
      </c>
      <c r="P2566">
        <v>4.79</v>
      </c>
      <c r="Q2566">
        <v>395</v>
      </c>
      <c r="R2566">
        <v>538</v>
      </c>
    </row>
    <row r="2567" spans="1:18" hidden="1" x14ac:dyDescent="0.2">
      <c r="A2567">
        <v>5</v>
      </c>
      <c r="B2567" t="s">
        <v>91</v>
      </c>
      <c r="E2567" t="s">
        <v>36</v>
      </c>
      <c r="F2567">
        <v>880114</v>
      </c>
      <c r="G2567">
        <v>1</v>
      </c>
      <c r="H2567">
        <v>1</v>
      </c>
      <c r="I2567">
        <v>464</v>
      </c>
      <c r="J2567">
        <v>1999</v>
      </c>
      <c r="K2567" s="4">
        <v>44531</v>
      </c>
      <c r="L2567" t="s">
        <v>26</v>
      </c>
      <c r="M2567" t="s">
        <v>60</v>
      </c>
      <c r="N2567">
        <v>2.5499999999999998</v>
      </c>
      <c r="O2567">
        <v>1902</v>
      </c>
      <c r="P2567">
        <v>4.29</v>
      </c>
      <c r="Q2567">
        <v>66</v>
      </c>
      <c r="R2567">
        <v>688</v>
      </c>
    </row>
    <row r="2568" spans="1:18" x14ac:dyDescent="0.2">
      <c r="A2568">
        <v>8</v>
      </c>
      <c r="B2568" t="s">
        <v>96</v>
      </c>
      <c r="E2568" t="s">
        <v>19</v>
      </c>
      <c r="F2568">
        <v>1423367</v>
      </c>
      <c r="G2568">
        <v>2</v>
      </c>
      <c r="H2568">
        <v>1</v>
      </c>
      <c r="I2568">
        <v>896</v>
      </c>
      <c r="J2568">
        <v>1970</v>
      </c>
      <c r="K2568" s="4">
        <v>44891</v>
      </c>
      <c r="L2568" t="s">
        <v>20</v>
      </c>
      <c r="M2568" t="s">
        <v>47</v>
      </c>
      <c r="N2568">
        <v>2.11</v>
      </c>
      <c r="O2568">
        <v>2092</v>
      </c>
      <c r="P2568">
        <v>2.1</v>
      </c>
      <c r="Q2568">
        <v>61</v>
      </c>
      <c r="R2568">
        <v>377</v>
      </c>
    </row>
    <row r="2569" spans="1:18" hidden="1" x14ac:dyDescent="0.2">
      <c r="A2569">
        <v>1</v>
      </c>
      <c r="B2569" t="s">
        <v>46</v>
      </c>
      <c r="E2569" t="s">
        <v>51</v>
      </c>
      <c r="F2569">
        <v>2036170</v>
      </c>
      <c r="G2569">
        <v>2</v>
      </c>
      <c r="H2569">
        <v>2</v>
      </c>
      <c r="I2569">
        <v>254</v>
      </c>
      <c r="J2569">
        <v>1994</v>
      </c>
      <c r="K2569" s="4">
        <v>45279</v>
      </c>
      <c r="L2569" t="s">
        <v>20</v>
      </c>
      <c r="M2569" t="s">
        <v>60</v>
      </c>
      <c r="N2569">
        <v>1.52</v>
      </c>
      <c r="O2569">
        <v>1716</v>
      </c>
      <c r="P2569">
        <v>2.72</v>
      </c>
      <c r="Q2569">
        <v>117</v>
      </c>
      <c r="R2569">
        <v>536</v>
      </c>
    </row>
    <row r="2570" spans="1:18" x14ac:dyDescent="0.2">
      <c r="A2570">
        <v>8</v>
      </c>
      <c r="B2570" t="s">
        <v>79</v>
      </c>
      <c r="E2570" t="s">
        <v>29</v>
      </c>
      <c r="F2570">
        <v>1291854</v>
      </c>
      <c r="G2570">
        <v>0</v>
      </c>
      <c r="H2570">
        <v>2</v>
      </c>
      <c r="I2570">
        <v>304</v>
      </c>
      <c r="J2570">
        <v>2022</v>
      </c>
      <c r="K2570" s="4">
        <v>45297</v>
      </c>
      <c r="L2570" t="s">
        <v>26</v>
      </c>
      <c r="M2570" t="s">
        <v>74</v>
      </c>
      <c r="N2570">
        <v>2.81</v>
      </c>
      <c r="O2570">
        <v>1005</v>
      </c>
      <c r="P2570">
        <v>0.81</v>
      </c>
      <c r="Q2570">
        <v>49</v>
      </c>
      <c r="R2570">
        <v>529</v>
      </c>
    </row>
    <row r="2571" spans="1:18" hidden="1" x14ac:dyDescent="0.2">
      <c r="A2571">
        <v>4</v>
      </c>
      <c r="B2571" t="s">
        <v>102</v>
      </c>
      <c r="E2571" t="s">
        <v>19</v>
      </c>
      <c r="F2571">
        <v>1530693</v>
      </c>
      <c r="G2571">
        <v>2</v>
      </c>
      <c r="H2571">
        <v>3</v>
      </c>
      <c r="I2571">
        <v>716</v>
      </c>
      <c r="J2571">
        <v>1972</v>
      </c>
      <c r="K2571" s="4">
        <v>45092</v>
      </c>
      <c r="L2571" t="s">
        <v>20</v>
      </c>
      <c r="M2571" t="s">
        <v>66</v>
      </c>
      <c r="N2571">
        <v>2.99</v>
      </c>
      <c r="O2571">
        <v>1465</v>
      </c>
      <c r="P2571">
        <v>3.95</v>
      </c>
      <c r="Q2571">
        <v>216</v>
      </c>
      <c r="R2571">
        <v>389</v>
      </c>
    </row>
    <row r="2572" spans="1:18" hidden="1" x14ac:dyDescent="0.2">
      <c r="A2572">
        <v>6</v>
      </c>
      <c r="B2572" t="s">
        <v>41</v>
      </c>
      <c r="E2572" t="s">
        <v>29</v>
      </c>
      <c r="F2572">
        <v>2681613</v>
      </c>
      <c r="G2572">
        <v>0</v>
      </c>
      <c r="H2572">
        <v>3</v>
      </c>
      <c r="I2572">
        <v>759</v>
      </c>
      <c r="J2572">
        <v>1999</v>
      </c>
      <c r="K2572" s="4">
        <v>44206</v>
      </c>
      <c r="L2572" t="s">
        <v>30</v>
      </c>
      <c r="M2572" t="s">
        <v>40</v>
      </c>
      <c r="N2572">
        <v>2.57</v>
      </c>
      <c r="O2572">
        <v>1086</v>
      </c>
      <c r="P2572">
        <v>1.56</v>
      </c>
      <c r="Q2572">
        <v>65</v>
      </c>
      <c r="R2572">
        <v>445</v>
      </c>
    </row>
    <row r="2573" spans="1:18" hidden="1" x14ac:dyDescent="0.2">
      <c r="A2573">
        <v>5</v>
      </c>
      <c r="B2573" t="s">
        <v>22</v>
      </c>
      <c r="E2573" t="s">
        <v>51</v>
      </c>
      <c r="F2573">
        <v>1310238</v>
      </c>
      <c r="G2573">
        <v>3</v>
      </c>
      <c r="H2573">
        <v>3</v>
      </c>
      <c r="I2573">
        <v>850</v>
      </c>
      <c r="J2573">
        <v>1991</v>
      </c>
      <c r="K2573" s="4">
        <v>45125</v>
      </c>
      <c r="L2573" t="s">
        <v>23</v>
      </c>
      <c r="M2573" t="s">
        <v>56</v>
      </c>
      <c r="N2573">
        <v>1.85</v>
      </c>
      <c r="O2573">
        <v>1678</v>
      </c>
      <c r="P2573">
        <v>3.28</v>
      </c>
      <c r="Q2573">
        <v>112</v>
      </c>
      <c r="R2573">
        <v>528</v>
      </c>
    </row>
    <row r="2574" spans="1:18" hidden="1" x14ac:dyDescent="0.2">
      <c r="A2574">
        <v>5</v>
      </c>
      <c r="B2574" t="s">
        <v>84</v>
      </c>
      <c r="E2574" t="s">
        <v>19</v>
      </c>
      <c r="F2574">
        <v>1818389</v>
      </c>
      <c r="G2574">
        <v>6</v>
      </c>
      <c r="H2574">
        <v>3</v>
      </c>
      <c r="I2574">
        <v>873</v>
      </c>
      <c r="J2574">
        <v>1978</v>
      </c>
      <c r="K2574" s="4">
        <v>44589</v>
      </c>
      <c r="L2574" t="s">
        <v>30</v>
      </c>
      <c r="M2574" t="s">
        <v>82</v>
      </c>
      <c r="N2574">
        <v>2.88</v>
      </c>
      <c r="O2574">
        <v>1622</v>
      </c>
      <c r="P2574">
        <v>3.27</v>
      </c>
      <c r="Q2574">
        <v>363</v>
      </c>
      <c r="R2574">
        <v>352</v>
      </c>
    </row>
    <row r="2575" spans="1:18" hidden="1" x14ac:dyDescent="0.2">
      <c r="A2575">
        <v>4</v>
      </c>
      <c r="B2575" t="s">
        <v>43</v>
      </c>
      <c r="E2575" t="s">
        <v>29</v>
      </c>
      <c r="F2575">
        <v>2018470</v>
      </c>
      <c r="G2575">
        <v>4</v>
      </c>
      <c r="H2575">
        <v>3</v>
      </c>
      <c r="I2575">
        <v>451</v>
      </c>
      <c r="J2575">
        <v>1964</v>
      </c>
      <c r="K2575" s="4">
        <v>45316</v>
      </c>
      <c r="L2575" t="s">
        <v>23</v>
      </c>
      <c r="M2575" t="s">
        <v>59</v>
      </c>
      <c r="N2575">
        <v>1.9</v>
      </c>
      <c r="O2575">
        <v>1356</v>
      </c>
      <c r="P2575">
        <v>4</v>
      </c>
      <c r="Q2575">
        <v>183</v>
      </c>
      <c r="R2575">
        <v>369</v>
      </c>
    </row>
    <row r="2576" spans="1:18" hidden="1" x14ac:dyDescent="0.2">
      <c r="A2576">
        <v>3</v>
      </c>
      <c r="B2576" t="s">
        <v>105</v>
      </c>
      <c r="E2576" t="s">
        <v>36</v>
      </c>
      <c r="F2576">
        <v>1516935</v>
      </c>
      <c r="G2576">
        <v>5</v>
      </c>
      <c r="H2576">
        <v>1</v>
      </c>
      <c r="I2576">
        <v>457</v>
      </c>
      <c r="J2576">
        <v>1958</v>
      </c>
      <c r="K2576" s="4">
        <v>44786</v>
      </c>
      <c r="L2576" t="s">
        <v>30</v>
      </c>
      <c r="M2576" t="s">
        <v>56</v>
      </c>
      <c r="N2576">
        <v>3.19</v>
      </c>
      <c r="O2576">
        <v>1621</v>
      </c>
      <c r="P2576">
        <v>4.34</v>
      </c>
      <c r="Q2576">
        <v>299</v>
      </c>
      <c r="R2576">
        <v>668</v>
      </c>
    </row>
    <row r="2577" spans="1:18" hidden="1" x14ac:dyDescent="0.2">
      <c r="A2577">
        <v>4</v>
      </c>
      <c r="B2577" t="s">
        <v>34</v>
      </c>
      <c r="E2577" t="s">
        <v>36</v>
      </c>
      <c r="F2577">
        <v>1349433</v>
      </c>
      <c r="G2577">
        <v>5</v>
      </c>
      <c r="H2577">
        <v>2</v>
      </c>
      <c r="I2577">
        <v>716</v>
      </c>
      <c r="J2577">
        <v>2011</v>
      </c>
      <c r="K2577" s="4">
        <v>45406</v>
      </c>
      <c r="L2577" t="s">
        <v>23</v>
      </c>
      <c r="M2577" t="s">
        <v>21</v>
      </c>
      <c r="N2577">
        <v>2.6</v>
      </c>
      <c r="O2577">
        <v>2328</v>
      </c>
      <c r="P2577">
        <v>2.97</v>
      </c>
      <c r="Q2577">
        <v>383</v>
      </c>
      <c r="R2577">
        <v>691</v>
      </c>
    </row>
    <row r="2578" spans="1:18" hidden="1" x14ac:dyDescent="0.2">
      <c r="A2578">
        <v>0</v>
      </c>
      <c r="B2578" t="s">
        <v>25</v>
      </c>
      <c r="E2578" t="s">
        <v>19</v>
      </c>
      <c r="F2578">
        <v>730932</v>
      </c>
      <c r="G2578">
        <v>3</v>
      </c>
      <c r="H2578">
        <v>3</v>
      </c>
      <c r="I2578">
        <v>986</v>
      </c>
      <c r="J2578">
        <v>2022</v>
      </c>
      <c r="K2578" s="4">
        <v>44865</v>
      </c>
      <c r="L2578" t="s">
        <v>26</v>
      </c>
      <c r="M2578" t="s">
        <v>27</v>
      </c>
      <c r="N2578">
        <v>3.13</v>
      </c>
      <c r="O2578">
        <v>909</v>
      </c>
      <c r="P2578">
        <v>4.82</v>
      </c>
      <c r="Q2578">
        <v>104</v>
      </c>
      <c r="R2578">
        <v>681</v>
      </c>
    </row>
    <row r="2579" spans="1:18" hidden="1" x14ac:dyDescent="0.2">
      <c r="A2579">
        <v>5</v>
      </c>
      <c r="B2579" t="s">
        <v>39</v>
      </c>
      <c r="E2579" t="s">
        <v>51</v>
      </c>
      <c r="F2579">
        <v>1843381</v>
      </c>
      <c r="G2579">
        <v>3</v>
      </c>
      <c r="H2579">
        <v>3</v>
      </c>
      <c r="I2579">
        <v>770</v>
      </c>
      <c r="J2579">
        <v>2009</v>
      </c>
      <c r="K2579" s="4">
        <v>45221</v>
      </c>
      <c r="L2579" t="s">
        <v>23</v>
      </c>
      <c r="M2579" t="s">
        <v>54</v>
      </c>
      <c r="N2579">
        <v>2.33</v>
      </c>
      <c r="O2579">
        <v>2208</v>
      </c>
      <c r="P2579">
        <v>1.23</v>
      </c>
      <c r="Q2579">
        <v>300</v>
      </c>
      <c r="R2579">
        <v>452</v>
      </c>
    </row>
    <row r="2580" spans="1:18" hidden="1" x14ac:dyDescent="0.2">
      <c r="A2580">
        <v>1</v>
      </c>
      <c r="B2580" t="s">
        <v>18</v>
      </c>
      <c r="E2580" t="s">
        <v>29</v>
      </c>
      <c r="F2580">
        <v>1455678</v>
      </c>
      <c r="G2580">
        <v>0</v>
      </c>
      <c r="H2580">
        <v>2</v>
      </c>
      <c r="I2580">
        <v>806</v>
      </c>
      <c r="J2580">
        <v>1980</v>
      </c>
      <c r="K2580" s="4">
        <v>45138</v>
      </c>
      <c r="L2580" t="s">
        <v>23</v>
      </c>
      <c r="M2580" t="s">
        <v>35</v>
      </c>
      <c r="N2580">
        <v>2.86</v>
      </c>
      <c r="O2580">
        <v>2068</v>
      </c>
      <c r="P2580">
        <v>2.59</v>
      </c>
      <c r="Q2580">
        <v>51</v>
      </c>
      <c r="R2580">
        <v>346</v>
      </c>
    </row>
    <row r="2581" spans="1:18" hidden="1" x14ac:dyDescent="0.2">
      <c r="A2581">
        <v>3</v>
      </c>
      <c r="B2581" t="s">
        <v>39</v>
      </c>
      <c r="E2581" t="s">
        <v>29</v>
      </c>
      <c r="F2581">
        <v>831956</v>
      </c>
      <c r="G2581">
        <v>5</v>
      </c>
      <c r="H2581">
        <v>1</v>
      </c>
      <c r="I2581">
        <v>768</v>
      </c>
      <c r="J2581">
        <v>1997</v>
      </c>
      <c r="K2581" s="4">
        <v>45063</v>
      </c>
      <c r="L2581" t="s">
        <v>20</v>
      </c>
      <c r="M2581" t="s">
        <v>56</v>
      </c>
      <c r="N2581">
        <v>2.98</v>
      </c>
      <c r="O2581">
        <v>1672</v>
      </c>
      <c r="P2581">
        <v>4.4400000000000004</v>
      </c>
      <c r="Q2581">
        <v>307</v>
      </c>
      <c r="R2581">
        <v>597</v>
      </c>
    </row>
    <row r="2582" spans="1:18" x14ac:dyDescent="0.2">
      <c r="A2582">
        <v>8</v>
      </c>
      <c r="B2582" t="s">
        <v>102</v>
      </c>
      <c r="E2582" t="s">
        <v>29</v>
      </c>
      <c r="F2582">
        <v>2695910</v>
      </c>
      <c r="G2582">
        <v>3</v>
      </c>
      <c r="H2582">
        <v>2</v>
      </c>
      <c r="I2582">
        <v>882</v>
      </c>
      <c r="J2582">
        <v>2017</v>
      </c>
      <c r="K2582" s="4">
        <v>44318</v>
      </c>
      <c r="L2582" t="s">
        <v>26</v>
      </c>
      <c r="M2582" t="s">
        <v>89</v>
      </c>
      <c r="N2582">
        <v>2.14</v>
      </c>
      <c r="O2582">
        <v>1122</v>
      </c>
      <c r="P2582">
        <v>4.74</v>
      </c>
      <c r="Q2582">
        <v>107</v>
      </c>
      <c r="R2582">
        <v>582</v>
      </c>
    </row>
    <row r="2583" spans="1:18" hidden="1" x14ac:dyDescent="0.2">
      <c r="A2583">
        <v>5</v>
      </c>
      <c r="B2583" t="s">
        <v>32</v>
      </c>
      <c r="E2583" t="s">
        <v>36</v>
      </c>
      <c r="F2583">
        <v>756208</v>
      </c>
      <c r="G2583">
        <v>5</v>
      </c>
      <c r="H2583">
        <v>2</v>
      </c>
      <c r="I2583">
        <v>882</v>
      </c>
      <c r="J2583">
        <v>2020</v>
      </c>
      <c r="K2583" s="4">
        <v>45343</v>
      </c>
      <c r="L2583" t="s">
        <v>20</v>
      </c>
      <c r="M2583" t="s">
        <v>63</v>
      </c>
      <c r="N2583">
        <v>2.57</v>
      </c>
      <c r="O2583">
        <v>2134</v>
      </c>
      <c r="P2583">
        <v>0.52</v>
      </c>
      <c r="Q2583">
        <v>398</v>
      </c>
      <c r="R2583">
        <v>488</v>
      </c>
    </row>
    <row r="2584" spans="1:18" hidden="1" x14ac:dyDescent="0.2">
      <c r="A2584">
        <v>5</v>
      </c>
      <c r="B2584" t="s">
        <v>65</v>
      </c>
      <c r="E2584" t="s">
        <v>29</v>
      </c>
      <c r="F2584">
        <v>2601244</v>
      </c>
      <c r="G2584">
        <v>6</v>
      </c>
      <c r="H2584">
        <v>3</v>
      </c>
      <c r="I2584">
        <v>390</v>
      </c>
      <c r="J2584">
        <v>2020</v>
      </c>
      <c r="K2584" s="4">
        <v>44236</v>
      </c>
      <c r="L2584" t="s">
        <v>23</v>
      </c>
      <c r="M2584" t="s">
        <v>37</v>
      </c>
      <c r="N2584">
        <v>3.19</v>
      </c>
      <c r="O2584">
        <v>1026</v>
      </c>
      <c r="P2584">
        <v>4.29</v>
      </c>
      <c r="Q2584">
        <v>362</v>
      </c>
      <c r="R2584">
        <v>354</v>
      </c>
    </row>
    <row r="2585" spans="1:18" hidden="1" x14ac:dyDescent="0.2">
      <c r="A2585">
        <v>0</v>
      </c>
      <c r="B2585" t="s">
        <v>44</v>
      </c>
      <c r="E2585" t="s">
        <v>51</v>
      </c>
      <c r="F2585">
        <v>2515638</v>
      </c>
      <c r="G2585">
        <v>5</v>
      </c>
      <c r="H2585">
        <v>2</v>
      </c>
      <c r="I2585">
        <v>261</v>
      </c>
      <c r="J2585">
        <v>1991</v>
      </c>
      <c r="K2585" s="4">
        <v>45723</v>
      </c>
      <c r="L2585" t="s">
        <v>20</v>
      </c>
      <c r="M2585" t="s">
        <v>47</v>
      </c>
      <c r="N2585">
        <v>2.29</v>
      </c>
      <c r="O2585">
        <v>1664</v>
      </c>
      <c r="P2585">
        <v>1.04</v>
      </c>
      <c r="Q2585">
        <v>242</v>
      </c>
      <c r="R2585">
        <v>645</v>
      </c>
    </row>
    <row r="2586" spans="1:18" x14ac:dyDescent="0.2">
      <c r="A2586">
        <v>8</v>
      </c>
      <c r="B2586" t="s">
        <v>61</v>
      </c>
      <c r="E2586" t="s">
        <v>51</v>
      </c>
      <c r="F2586">
        <v>738005</v>
      </c>
      <c r="G2586">
        <v>1</v>
      </c>
      <c r="H2586">
        <v>2</v>
      </c>
      <c r="I2586">
        <v>482</v>
      </c>
      <c r="J2586">
        <v>1994</v>
      </c>
      <c r="K2586" s="4">
        <v>44859</v>
      </c>
      <c r="L2586" t="s">
        <v>30</v>
      </c>
      <c r="M2586" t="s">
        <v>42</v>
      </c>
      <c r="N2586">
        <v>1.55</v>
      </c>
      <c r="O2586">
        <v>2235</v>
      </c>
      <c r="P2586">
        <v>4.63</v>
      </c>
      <c r="Q2586">
        <v>119</v>
      </c>
      <c r="R2586">
        <v>618</v>
      </c>
    </row>
    <row r="2587" spans="1:18" x14ac:dyDescent="0.2">
      <c r="A2587">
        <v>8</v>
      </c>
      <c r="B2587" t="s">
        <v>64</v>
      </c>
      <c r="E2587" t="s">
        <v>36</v>
      </c>
      <c r="F2587">
        <v>2740393</v>
      </c>
      <c r="G2587">
        <v>4</v>
      </c>
      <c r="H2587">
        <v>2</v>
      </c>
      <c r="I2587">
        <v>783</v>
      </c>
      <c r="J2587">
        <v>2013</v>
      </c>
      <c r="K2587" s="4">
        <v>44686</v>
      </c>
      <c r="L2587" t="s">
        <v>23</v>
      </c>
      <c r="M2587" t="s">
        <v>60</v>
      </c>
      <c r="N2587">
        <v>2.72</v>
      </c>
      <c r="O2587">
        <v>1460</v>
      </c>
      <c r="P2587">
        <v>2.0699999999999998</v>
      </c>
      <c r="Q2587">
        <v>291</v>
      </c>
      <c r="R2587">
        <v>524</v>
      </c>
    </row>
    <row r="2588" spans="1:18" hidden="1" x14ac:dyDescent="0.2">
      <c r="A2588">
        <v>6</v>
      </c>
      <c r="B2588" t="s">
        <v>41</v>
      </c>
      <c r="E2588" t="s">
        <v>19</v>
      </c>
      <c r="F2588">
        <v>1201847</v>
      </c>
      <c r="G2588">
        <v>5</v>
      </c>
      <c r="H2588">
        <v>3</v>
      </c>
      <c r="I2588">
        <v>834</v>
      </c>
      <c r="J2588">
        <v>2021</v>
      </c>
      <c r="K2588" s="4">
        <v>45636</v>
      </c>
      <c r="L2588" t="s">
        <v>20</v>
      </c>
      <c r="M2588" t="s">
        <v>52</v>
      </c>
      <c r="N2588">
        <v>3.44</v>
      </c>
      <c r="O2588">
        <v>1283</v>
      </c>
      <c r="P2588">
        <v>2.29</v>
      </c>
      <c r="Q2588">
        <v>314</v>
      </c>
      <c r="R2588">
        <v>379</v>
      </c>
    </row>
    <row r="2589" spans="1:18" hidden="1" x14ac:dyDescent="0.2">
      <c r="A2589">
        <v>3</v>
      </c>
      <c r="B2589" t="s">
        <v>55</v>
      </c>
      <c r="E2589" t="s">
        <v>29</v>
      </c>
      <c r="F2589">
        <v>1177433</v>
      </c>
      <c r="G2589">
        <v>3</v>
      </c>
      <c r="H2589">
        <v>1</v>
      </c>
      <c r="I2589">
        <v>398</v>
      </c>
      <c r="J2589">
        <v>1958</v>
      </c>
      <c r="K2589" s="4">
        <v>44813</v>
      </c>
      <c r="L2589" t="s">
        <v>20</v>
      </c>
      <c r="M2589" t="s">
        <v>27</v>
      </c>
      <c r="N2589">
        <v>1.91</v>
      </c>
      <c r="O2589">
        <v>1128</v>
      </c>
      <c r="P2589">
        <v>1.97</v>
      </c>
      <c r="Q2589">
        <v>134</v>
      </c>
      <c r="R2589">
        <v>508</v>
      </c>
    </row>
    <row r="2590" spans="1:18" x14ac:dyDescent="0.2">
      <c r="A2590">
        <v>8</v>
      </c>
      <c r="B2590" t="s">
        <v>48</v>
      </c>
      <c r="E2590" t="s">
        <v>29</v>
      </c>
      <c r="F2590">
        <v>1196532</v>
      </c>
      <c r="G2590">
        <v>6</v>
      </c>
      <c r="H2590">
        <v>3</v>
      </c>
      <c r="I2590">
        <v>263</v>
      </c>
      <c r="J2590">
        <v>1991</v>
      </c>
      <c r="K2590" s="4">
        <v>44888</v>
      </c>
      <c r="L2590" t="s">
        <v>23</v>
      </c>
      <c r="M2590" t="s">
        <v>59</v>
      </c>
      <c r="N2590">
        <v>3.18</v>
      </c>
      <c r="O2590">
        <v>1760</v>
      </c>
      <c r="P2590">
        <v>1.24</v>
      </c>
      <c r="Q2590">
        <v>399</v>
      </c>
      <c r="R2590">
        <v>332</v>
      </c>
    </row>
    <row r="2591" spans="1:18" hidden="1" x14ac:dyDescent="0.2">
      <c r="A2591">
        <v>0</v>
      </c>
      <c r="B2591" t="s">
        <v>96</v>
      </c>
      <c r="E2591" t="s">
        <v>19</v>
      </c>
      <c r="F2591">
        <v>1209663</v>
      </c>
      <c r="G2591">
        <v>3</v>
      </c>
      <c r="H2591">
        <v>1</v>
      </c>
      <c r="I2591">
        <v>600</v>
      </c>
      <c r="J2591">
        <v>1986</v>
      </c>
      <c r="K2591" s="4">
        <v>45371</v>
      </c>
      <c r="L2591" t="s">
        <v>30</v>
      </c>
      <c r="M2591" t="s">
        <v>77</v>
      </c>
      <c r="N2591">
        <v>3.43</v>
      </c>
      <c r="O2591">
        <v>1005</v>
      </c>
      <c r="P2591">
        <v>4.59</v>
      </c>
      <c r="Q2591">
        <v>240</v>
      </c>
      <c r="R2591">
        <v>556</v>
      </c>
    </row>
    <row r="2592" spans="1:18" hidden="1" x14ac:dyDescent="0.2">
      <c r="A2592">
        <v>3</v>
      </c>
      <c r="B2592" t="s">
        <v>53</v>
      </c>
      <c r="E2592" t="s">
        <v>51</v>
      </c>
      <c r="F2592">
        <v>2493706</v>
      </c>
      <c r="G2592">
        <v>4</v>
      </c>
      <c r="H2592">
        <v>3</v>
      </c>
      <c r="I2592">
        <v>431</v>
      </c>
      <c r="J2592">
        <v>2022</v>
      </c>
      <c r="K2592" s="4">
        <v>44096</v>
      </c>
      <c r="L2592" t="s">
        <v>30</v>
      </c>
      <c r="M2592" t="s">
        <v>97</v>
      </c>
      <c r="N2592">
        <v>2.75</v>
      </c>
      <c r="O2592">
        <v>1820</v>
      </c>
      <c r="P2592">
        <v>5</v>
      </c>
      <c r="Q2592">
        <v>385</v>
      </c>
      <c r="R2592">
        <v>397</v>
      </c>
    </row>
    <row r="2593" spans="1:18" hidden="1" x14ac:dyDescent="0.2">
      <c r="A2593">
        <v>5</v>
      </c>
      <c r="B2593" t="s">
        <v>55</v>
      </c>
      <c r="E2593" t="s">
        <v>29</v>
      </c>
      <c r="F2593">
        <v>1293587</v>
      </c>
      <c r="G2593">
        <v>2</v>
      </c>
      <c r="H2593">
        <v>1</v>
      </c>
      <c r="I2593">
        <v>810</v>
      </c>
      <c r="J2593">
        <v>1957</v>
      </c>
      <c r="K2593" s="4">
        <v>45160</v>
      </c>
      <c r="L2593" t="s">
        <v>26</v>
      </c>
      <c r="M2593" t="s">
        <v>31</v>
      </c>
      <c r="N2593">
        <v>2.12</v>
      </c>
      <c r="O2593">
        <v>2332</v>
      </c>
      <c r="P2593">
        <v>1.8</v>
      </c>
      <c r="Q2593">
        <v>239</v>
      </c>
      <c r="R2593">
        <v>531</v>
      </c>
    </row>
    <row r="2594" spans="1:18" hidden="1" x14ac:dyDescent="0.2">
      <c r="A2594">
        <v>7</v>
      </c>
      <c r="B2594" t="s">
        <v>57</v>
      </c>
      <c r="E2594" t="s">
        <v>51</v>
      </c>
      <c r="F2594">
        <v>2357887</v>
      </c>
      <c r="G2594">
        <v>4</v>
      </c>
      <c r="H2594">
        <v>1</v>
      </c>
      <c r="I2594">
        <v>69</v>
      </c>
      <c r="J2594">
        <v>1990</v>
      </c>
      <c r="K2594" s="4">
        <v>44931</v>
      </c>
      <c r="L2594" t="s">
        <v>20</v>
      </c>
      <c r="M2594" t="s">
        <v>47</v>
      </c>
      <c r="N2594">
        <v>2.9</v>
      </c>
      <c r="O2594">
        <v>2064</v>
      </c>
      <c r="P2594">
        <v>2.06</v>
      </c>
      <c r="Q2594">
        <v>165</v>
      </c>
      <c r="R2594">
        <v>327</v>
      </c>
    </row>
    <row r="2595" spans="1:18" hidden="1" x14ac:dyDescent="0.2">
      <c r="A2595">
        <v>0</v>
      </c>
      <c r="B2595" t="s">
        <v>96</v>
      </c>
      <c r="E2595" t="s">
        <v>29</v>
      </c>
      <c r="F2595">
        <v>525713</v>
      </c>
      <c r="G2595">
        <v>1</v>
      </c>
      <c r="H2595">
        <v>2</v>
      </c>
      <c r="I2595">
        <v>714</v>
      </c>
      <c r="J2595">
        <v>2003</v>
      </c>
      <c r="K2595" s="4">
        <v>44926</v>
      </c>
      <c r="L2595" t="s">
        <v>23</v>
      </c>
      <c r="M2595" t="s">
        <v>97</v>
      </c>
      <c r="N2595">
        <v>2.2999999999999998</v>
      </c>
      <c r="O2595">
        <v>1133</v>
      </c>
      <c r="P2595">
        <v>4.22</v>
      </c>
      <c r="Q2595">
        <v>110</v>
      </c>
      <c r="R2595">
        <v>472</v>
      </c>
    </row>
    <row r="2596" spans="1:18" hidden="1" x14ac:dyDescent="0.2">
      <c r="A2596">
        <v>4</v>
      </c>
      <c r="B2596" t="s">
        <v>73</v>
      </c>
      <c r="E2596" t="s">
        <v>51</v>
      </c>
      <c r="F2596">
        <v>1967698</v>
      </c>
      <c r="G2596">
        <v>3</v>
      </c>
      <c r="H2596">
        <v>2</v>
      </c>
      <c r="I2596">
        <v>407</v>
      </c>
      <c r="J2596">
        <v>2017</v>
      </c>
      <c r="K2596" s="4">
        <v>44284</v>
      </c>
      <c r="L2596" t="s">
        <v>30</v>
      </c>
      <c r="M2596" t="s">
        <v>47</v>
      </c>
      <c r="N2596">
        <v>2.91</v>
      </c>
      <c r="O2596">
        <v>1559</v>
      </c>
      <c r="P2596">
        <v>2.4700000000000002</v>
      </c>
      <c r="Q2596">
        <v>106</v>
      </c>
      <c r="R2596">
        <v>340</v>
      </c>
    </row>
    <row r="2597" spans="1:18" hidden="1" x14ac:dyDescent="0.2">
      <c r="A2597">
        <v>9</v>
      </c>
      <c r="B2597" t="s">
        <v>106</v>
      </c>
      <c r="E2597" t="s">
        <v>29</v>
      </c>
      <c r="F2597">
        <v>1415769</v>
      </c>
      <c r="G2597">
        <v>1</v>
      </c>
      <c r="H2597">
        <v>1</v>
      </c>
      <c r="I2597">
        <v>690</v>
      </c>
      <c r="J2597">
        <v>1999</v>
      </c>
      <c r="K2597" s="4">
        <v>44983</v>
      </c>
      <c r="L2597" t="s">
        <v>30</v>
      </c>
      <c r="M2597" t="s">
        <v>35</v>
      </c>
      <c r="N2597">
        <v>1.91</v>
      </c>
      <c r="O2597">
        <v>2396</v>
      </c>
      <c r="P2597">
        <v>1.6</v>
      </c>
      <c r="Q2597">
        <v>157</v>
      </c>
      <c r="R2597">
        <v>468</v>
      </c>
    </row>
    <row r="2598" spans="1:18" hidden="1" x14ac:dyDescent="0.2">
      <c r="A2598">
        <v>6</v>
      </c>
      <c r="B2598" t="s">
        <v>90</v>
      </c>
      <c r="E2598" t="s">
        <v>51</v>
      </c>
      <c r="F2598">
        <v>2366195</v>
      </c>
      <c r="G2598">
        <v>3</v>
      </c>
      <c r="H2598">
        <v>3</v>
      </c>
      <c r="I2598">
        <v>627</v>
      </c>
      <c r="J2598">
        <v>2018</v>
      </c>
      <c r="K2598" s="4">
        <v>45345</v>
      </c>
      <c r="L2598" t="s">
        <v>20</v>
      </c>
      <c r="M2598" t="s">
        <v>42</v>
      </c>
      <c r="N2598">
        <v>3.29</v>
      </c>
      <c r="O2598">
        <v>956</v>
      </c>
      <c r="P2598">
        <v>1.1000000000000001</v>
      </c>
      <c r="Q2598">
        <v>313</v>
      </c>
      <c r="R2598">
        <v>469</v>
      </c>
    </row>
    <row r="2599" spans="1:18" hidden="1" x14ac:dyDescent="0.2">
      <c r="A2599">
        <v>7</v>
      </c>
      <c r="B2599" t="s">
        <v>98</v>
      </c>
      <c r="E2599" t="s">
        <v>36</v>
      </c>
      <c r="F2599">
        <v>789939</v>
      </c>
      <c r="G2599">
        <v>0</v>
      </c>
      <c r="H2599">
        <v>2</v>
      </c>
      <c r="I2599">
        <v>914</v>
      </c>
      <c r="J2599">
        <v>1977</v>
      </c>
      <c r="K2599" s="4">
        <v>44691</v>
      </c>
      <c r="L2599" t="s">
        <v>23</v>
      </c>
      <c r="M2599" t="s">
        <v>54</v>
      </c>
      <c r="N2599">
        <v>3.09</v>
      </c>
      <c r="O2599">
        <v>2282</v>
      </c>
      <c r="P2599">
        <v>3.53</v>
      </c>
      <c r="Q2599">
        <v>44</v>
      </c>
      <c r="R2599">
        <v>364</v>
      </c>
    </row>
    <row r="2600" spans="1:18" hidden="1" x14ac:dyDescent="0.2">
      <c r="A2600">
        <v>9</v>
      </c>
      <c r="B2600" t="s">
        <v>91</v>
      </c>
      <c r="E2600" t="s">
        <v>36</v>
      </c>
      <c r="F2600">
        <v>1706669</v>
      </c>
      <c r="G2600">
        <v>3</v>
      </c>
      <c r="H2600">
        <v>2</v>
      </c>
      <c r="I2600">
        <v>792</v>
      </c>
      <c r="J2600">
        <v>2002</v>
      </c>
      <c r="K2600" s="4">
        <v>44808</v>
      </c>
      <c r="L2600" t="s">
        <v>23</v>
      </c>
      <c r="M2600" t="s">
        <v>85</v>
      </c>
      <c r="N2600">
        <v>2.89</v>
      </c>
      <c r="O2600">
        <v>2324</v>
      </c>
      <c r="P2600">
        <v>2.94</v>
      </c>
      <c r="Q2600">
        <v>234</v>
      </c>
      <c r="R2600">
        <v>448</v>
      </c>
    </row>
    <row r="2601" spans="1:18" x14ac:dyDescent="0.2">
      <c r="A2601">
        <v>8</v>
      </c>
      <c r="B2601" t="s">
        <v>38</v>
      </c>
      <c r="E2601" t="s">
        <v>51</v>
      </c>
      <c r="F2601">
        <v>1293665</v>
      </c>
      <c r="G2601">
        <v>4</v>
      </c>
      <c r="H2601">
        <v>1</v>
      </c>
      <c r="I2601">
        <v>699</v>
      </c>
      <c r="J2601">
        <v>1993</v>
      </c>
      <c r="K2601" s="4">
        <v>44411</v>
      </c>
      <c r="L2601" t="s">
        <v>20</v>
      </c>
      <c r="M2601" t="s">
        <v>47</v>
      </c>
      <c r="N2601">
        <v>1.91</v>
      </c>
      <c r="O2601">
        <v>939</v>
      </c>
      <c r="P2601">
        <v>2.91</v>
      </c>
      <c r="Q2601">
        <v>183</v>
      </c>
      <c r="R2601">
        <v>522</v>
      </c>
    </row>
    <row r="2602" spans="1:18" hidden="1" x14ac:dyDescent="0.2">
      <c r="A2602">
        <v>6</v>
      </c>
      <c r="B2602" t="s">
        <v>53</v>
      </c>
      <c r="E2602" t="s">
        <v>19</v>
      </c>
      <c r="F2602">
        <v>2365846</v>
      </c>
      <c r="G2602">
        <v>2</v>
      </c>
      <c r="H2602">
        <v>2</v>
      </c>
      <c r="I2602">
        <v>670</v>
      </c>
      <c r="J2602">
        <v>2003</v>
      </c>
      <c r="K2602" s="4">
        <v>45521</v>
      </c>
      <c r="L2602" t="s">
        <v>26</v>
      </c>
      <c r="M2602" t="s">
        <v>35</v>
      </c>
      <c r="N2602">
        <v>3.23</v>
      </c>
      <c r="O2602">
        <v>1174</v>
      </c>
      <c r="P2602">
        <v>2.27</v>
      </c>
      <c r="Q2602">
        <v>191</v>
      </c>
      <c r="R2602">
        <v>501</v>
      </c>
    </row>
    <row r="2603" spans="1:18" hidden="1" x14ac:dyDescent="0.2">
      <c r="A2603">
        <v>0</v>
      </c>
      <c r="B2603" t="s">
        <v>44</v>
      </c>
      <c r="E2603" t="s">
        <v>19</v>
      </c>
      <c r="F2603">
        <v>2080640</v>
      </c>
      <c r="G2603">
        <v>1</v>
      </c>
      <c r="H2603">
        <v>3</v>
      </c>
      <c r="I2603">
        <v>949</v>
      </c>
      <c r="J2603">
        <v>1950</v>
      </c>
      <c r="K2603" s="4">
        <v>45027</v>
      </c>
      <c r="L2603" t="s">
        <v>30</v>
      </c>
      <c r="M2603" t="s">
        <v>40</v>
      </c>
      <c r="N2603">
        <v>2.99</v>
      </c>
      <c r="O2603">
        <v>2081</v>
      </c>
      <c r="P2603">
        <v>1.06</v>
      </c>
      <c r="Q2603">
        <v>105</v>
      </c>
      <c r="R2603">
        <v>676</v>
      </c>
    </row>
    <row r="2604" spans="1:18" hidden="1" x14ac:dyDescent="0.2">
      <c r="A2604">
        <v>3</v>
      </c>
      <c r="B2604" t="s">
        <v>83</v>
      </c>
      <c r="E2604" t="s">
        <v>51</v>
      </c>
      <c r="F2604">
        <v>2190824</v>
      </c>
      <c r="G2604">
        <v>3</v>
      </c>
      <c r="H2604">
        <v>3</v>
      </c>
      <c r="I2604">
        <v>174</v>
      </c>
      <c r="J2604">
        <v>1987</v>
      </c>
      <c r="K2604" s="4">
        <v>44592</v>
      </c>
      <c r="L2604" t="s">
        <v>20</v>
      </c>
      <c r="M2604" t="s">
        <v>45</v>
      </c>
      <c r="N2604">
        <v>2.82</v>
      </c>
      <c r="O2604">
        <v>2076</v>
      </c>
      <c r="P2604">
        <v>3.42</v>
      </c>
      <c r="Q2604">
        <v>239</v>
      </c>
      <c r="R2604">
        <v>403</v>
      </c>
    </row>
    <row r="2605" spans="1:18" hidden="1" x14ac:dyDescent="0.2">
      <c r="A2605">
        <v>4</v>
      </c>
      <c r="B2605" t="s">
        <v>32</v>
      </c>
      <c r="E2605" t="s">
        <v>29</v>
      </c>
      <c r="F2605">
        <v>2574181</v>
      </c>
      <c r="G2605">
        <v>4</v>
      </c>
      <c r="H2605">
        <v>3</v>
      </c>
      <c r="I2605">
        <v>206</v>
      </c>
      <c r="J2605">
        <v>1969</v>
      </c>
      <c r="K2605" s="4">
        <v>45120</v>
      </c>
      <c r="L2605" t="s">
        <v>26</v>
      </c>
      <c r="M2605" t="s">
        <v>31</v>
      </c>
      <c r="N2605">
        <v>2.95</v>
      </c>
      <c r="O2605">
        <v>1238</v>
      </c>
      <c r="P2605">
        <v>3.05</v>
      </c>
      <c r="Q2605">
        <v>386</v>
      </c>
      <c r="R2605">
        <v>505</v>
      </c>
    </row>
    <row r="2606" spans="1:18" hidden="1" x14ac:dyDescent="0.2">
      <c r="A2606">
        <v>3</v>
      </c>
      <c r="B2606" t="s">
        <v>81</v>
      </c>
      <c r="E2606" t="s">
        <v>51</v>
      </c>
      <c r="F2606">
        <v>1879241</v>
      </c>
      <c r="G2606">
        <v>5</v>
      </c>
      <c r="H2606">
        <v>3</v>
      </c>
      <c r="I2606">
        <v>106</v>
      </c>
      <c r="J2606">
        <v>1980</v>
      </c>
      <c r="K2606" s="4">
        <v>45564</v>
      </c>
      <c r="L2606" t="s">
        <v>26</v>
      </c>
      <c r="M2606" t="s">
        <v>69</v>
      </c>
      <c r="N2606">
        <v>2.66</v>
      </c>
      <c r="O2606">
        <v>1775</v>
      </c>
      <c r="P2606">
        <v>4.17</v>
      </c>
      <c r="Q2606">
        <v>274</v>
      </c>
      <c r="R2606">
        <v>314</v>
      </c>
    </row>
    <row r="2607" spans="1:18" hidden="1" x14ac:dyDescent="0.2">
      <c r="A2607">
        <v>3</v>
      </c>
      <c r="B2607" t="s">
        <v>61</v>
      </c>
      <c r="E2607" t="s">
        <v>51</v>
      </c>
      <c r="F2607">
        <v>2723790</v>
      </c>
      <c r="G2607">
        <v>6</v>
      </c>
      <c r="H2607">
        <v>2</v>
      </c>
      <c r="I2607">
        <v>421</v>
      </c>
      <c r="J2607">
        <v>1987</v>
      </c>
      <c r="K2607" s="4">
        <v>44714</v>
      </c>
      <c r="L2607" t="s">
        <v>20</v>
      </c>
      <c r="M2607" t="s">
        <v>59</v>
      </c>
      <c r="N2607">
        <v>3.39</v>
      </c>
      <c r="O2607">
        <v>1314</v>
      </c>
      <c r="P2607">
        <v>0.38</v>
      </c>
      <c r="Q2607">
        <v>344</v>
      </c>
      <c r="R2607">
        <v>519</v>
      </c>
    </row>
    <row r="2608" spans="1:18" hidden="1" x14ac:dyDescent="0.2">
      <c r="A2608">
        <v>5</v>
      </c>
      <c r="B2608" t="s">
        <v>83</v>
      </c>
      <c r="E2608" t="s">
        <v>19</v>
      </c>
      <c r="F2608">
        <v>2925863</v>
      </c>
      <c r="G2608">
        <v>4</v>
      </c>
      <c r="H2608">
        <v>3</v>
      </c>
      <c r="I2608">
        <v>951</v>
      </c>
      <c r="J2608">
        <v>1975</v>
      </c>
      <c r="K2608" s="4">
        <v>44728</v>
      </c>
      <c r="L2608" t="s">
        <v>26</v>
      </c>
      <c r="M2608" t="s">
        <v>69</v>
      </c>
      <c r="N2608">
        <v>3.01</v>
      </c>
      <c r="O2608">
        <v>1358</v>
      </c>
      <c r="P2608">
        <v>1.88</v>
      </c>
      <c r="Q2608">
        <v>216</v>
      </c>
      <c r="R2608">
        <v>529</v>
      </c>
    </row>
    <row r="2609" spans="1:18" hidden="1" x14ac:dyDescent="0.2">
      <c r="A2609">
        <v>1</v>
      </c>
      <c r="B2609" t="s">
        <v>50</v>
      </c>
      <c r="E2609" t="s">
        <v>29</v>
      </c>
      <c r="F2609">
        <v>1840826</v>
      </c>
      <c r="G2609">
        <v>3</v>
      </c>
      <c r="H2609">
        <v>3</v>
      </c>
      <c r="I2609">
        <v>59</v>
      </c>
      <c r="J2609">
        <v>1989</v>
      </c>
      <c r="K2609" s="4">
        <v>44682</v>
      </c>
      <c r="L2609" t="s">
        <v>26</v>
      </c>
      <c r="M2609" t="s">
        <v>56</v>
      </c>
      <c r="N2609">
        <v>1.91</v>
      </c>
      <c r="O2609">
        <v>1990</v>
      </c>
      <c r="P2609">
        <v>2.58</v>
      </c>
      <c r="Q2609">
        <v>138</v>
      </c>
      <c r="R2609">
        <v>300</v>
      </c>
    </row>
    <row r="2610" spans="1:18" hidden="1" x14ac:dyDescent="0.2">
      <c r="A2610">
        <v>3</v>
      </c>
      <c r="B2610" t="s">
        <v>106</v>
      </c>
      <c r="E2610" t="s">
        <v>36</v>
      </c>
      <c r="F2610">
        <v>644636</v>
      </c>
      <c r="G2610">
        <v>4</v>
      </c>
      <c r="H2610">
        <v>1</v>
      </c>
      <c r="I2610">
        <v>433</v>
      </c>
      <c r="J2610">
        <v>1955</v>
      </c>
      <c r="K2610" s="4">
        <v>45291</v>
      </c>
      <c r="L2610" t="s">
        <v>26</v>
      </c>
      <c r="M2610" t="s">
        <v>31</v>
      </c>
      <c r="N2610">
        <v>1.81</v>
      </c>
      <c r="O2610">
        <v>2359</v>
      </c>
      <c r="P2610">
        <v>2.35</v>
      </c>
      <c r="Q2610">
        <v>324</v>
      </c>
      <c r="R2610">
        <v>598</v>
      </c>
    </row>
    <row r="2611" spans="1:18" hidden="1" x14ac:dyDescent="0.2">
      <c r="A2611">
        <v>2</v>
      </c>
      <c r="B2611" t="s">
        <v>101</v>
      </c>
      <c r="E2611" t="s">
        <v>19</v>
      </c>
      <c r="F2611">
        <v>2082242</v>
      </c>
      <c r="G2611">
        <v>5</v>
      </c>
      <c r="H2611">
        <v>2</v>
      </c>
      <c r="I2611">
        <v>438</v>
      </c>
      <c r="J2611">
        <v>1957</v>
      </c>
      <c r="K2611" s="4">
        <v>45400</v>
      </c>
      <c r="L2611" t="s">
        <v>20</v>
      </c>
      <c r="M2611" t="s">
        <v>52</v>
      </c>
      <c r="N2611">
        <v>1.88</v>
      </c>
      <c r="O2611">
        <v>1398</v>
      </c>
      <c r="P2611">
        <v>3.46</v>
      </c>
      <c r="Q2611">
        <v>279</v>
      </c>
      <c r="R2611">
        <v>507</v>
      </c>
    </row>
    <row r="2612" spans="1:18" hidden="1" x14ac:dyDescent="0.2">
      <c r="A2612">
        <v>5</v>
      </c>
      <c r="B2612" t="s">
        <v>18</v>
      </c>
      <c r="E2612" t="s">
        <v>51</v>
      </c>
      <c r="F2612">
        <v>1367243</v>
      </c>
      <c r="G2612">
        <v>4</v>
      </c>
      <c r="H2612">
        <v>2</v>
      </c>
      <c r="I2612">
        <v>674</v>
      </c>
      <c r="J2612">
        <v>1961</v>
      </c>
      <c r="K2612" s="4">
        <v>44569</v>
      </c>
      <c r="L2612" t="s">
        <v>30</v>
      </c>
      <c r="M2612" t="s">
        <v>77</v>
      </c>
      <c r="N2612">
        <v>2.71</v>
      </c>
      <c r="O2612">
        <v>878</v>
      </c>
      <c r="P2612">
        <v>2.39</v>
      </c>
      <c r="Q2612">
        <v>278</v>
      </c>
      <c r="R2612">
        <v>410</v>
      </c>
    </row>
    <row r="2613" spans="1:18" hidden="1" x14ac:dyDescent="0.2">
      <c r="A2613">
        <v>6</v>
      </c>
      <c r="B2613" t="s">
        <v>71</v>
      </c>
      <c r="E2613" t="s">
        <v>36</v>
      </c>
      <c r="F2613">
        <v>1885498</v>
      </c>
      <c r="G2613">
        <v>4</v>
      </c>
      <c r="H2613">
        <v>1</v>
      </c>
      <c r="I2613">
        <v>913</v>
      </c>
      <c r="J2613">
        <v>2019</v>
      </c>
      <c r="K2613" s="4">
        <v>44327</v>
      </c>
      <c r="L2613" t="s">
        <v>20</v>
      </c>
      <c r="M2613" t="s">
        <v>66</v>
      </c>
      <c r="N2613">
        <v>1.8</v>
      </c>
      <c r="O2613">
        <v>1390</v>
      </c>
      <c r="P2613">
        <v>3.36</v>
      </c>
      <c r="Q2613">
        <v>374</v>
      </c>
      <c r="R2613">
        <v>444</v>
      </c>
    </row>
    <row r="2614" spans="1:18" hidden="1" x14ac:dyDescent="0.2">
      <c r="A2614">
        <v>7</v>
      </c>
      <c r="B2614" t="s">
        <v>101</v>
      </c>
      <c r="E2614" t="s">
        <v>29</v>
      </c>
      <c r="F2614">
        <v>2618093</v>
      </c>
      <c r="G2614">
        <v>4</v>
      </c>
      <c r="H2614">
        <v>1</v>
      </c>
      <c r="I2614">
        <v>628</v>
      </c>
      <c r="J2614">
        <v>2003</v>
      </c>
      <c r="K2614" s="4">
        <v>45042</v>
      </c>
      <c r="L2614" t="s">
        <v>20</v>
      </c>
      <c r="M2614" t="s">
        <v>45</v>
      </c>
      <c r="N2614">
        <v>3.37</v>
      </c>
      <c r="O2614">
        <v>1430</v>
      </c>
      <c r="P2614">
        <v>0.33</v>
      </c>
      <c r="Q2614">
        <v>250</v>
      </c>
      <c r="R2614">
        <v>497</v>
      </c>
    </row>
    <row r="2615" spans="1:18" x14ac:dyDescent="0.2">
      <c r="A2615">
        <v>8</v>
      </c>
      <c r="B2615" t="s">
        <v>43</v>
      </c>
      <c r="E2615" t="s">
        <v>29</v>
      </c>
      <c r="F2615">
        <v>2992802</v>
      </c>
      <c r="G2615">
        <v>3</v>
      </c>
      <c r="H2615">
        <v>2</v>
      </c>
      <c r="I2615">
        <v>519</v>
      </c>
      <c r="J2615">
        <v>1954</v>
      </c>
      <c r="K2615" s="4">
        <v>45578</v>
      </c>
      <c r="L2615" t="s">
        <v>30</v>
      </c>
      <c r="M2615" t="s">
        <v>27</v>
      </c>
      <c r="N2615">
        <v>1.56</v>
      </c>
      <c r="O2615">
        <v>1445</v>
      </c>
      <c r="P2615">
        <v>4.46</v>
      </c>
      <c r="Q2615">
        <v>98</v>
      </c>
      <c r="R2615">
        <v>300</v>
      </c>
    </row>
    <row r="2616" spans="1:18" hidden="1" x14ac:dyDescent="0.2">
      <c r="A2616">
        <v>6</v>
      </c>
      <c r="B2616" t="s">
        <v>34</v>
      </c>
      <c r="E2616" t="s">
        <v>29</v>
      </c>
      <c r="F2616">
        <v>2164197</v>
      </c>
      <c r="G2616">
        <v>4</v>
      </c>
      <c r="H2616">
        <v>1</v>
      </c>
      <c r="I2616">
        <v>632</v>
      </c>
      <c r="J2616">
        <v>2006</v>
      </c>
      <c r="K2616" s="4">
        <v>44390</v>
      </c>
      <c r="L2616" t="s">
        <v>23</v>
      </c>
      <c r="M2616" t="s">
        <v>58</v>
      </c>
      <c r="N2616">
        <v>2.2000000000000002</v>
      </c>
      <c r="O2616">
        <v>2303</v>
      </c>
      <c r="P2616">
        <v>2.21</v>
      </c>
      <c r="Q2616">
        <v>295</v>
      </c>
      <c r="R2616">
        <v>643</v>
      </c>
    </row>
    <row r="2617" spans="1:18" hidden="1" x14ac:dyDescent="0.2">
      <c r="A2617">
        <v>5</v>
      </c>
      <c r="B2617" t="s">
        <v>28</v>
      </c>
      <c r="E2617" t="s">
        <v>29</v>
      </c>
      <c r="F2617">
        <v>1663152</v>
      </c>
      <c r="G2617">
        <v>6</v>
      </c>
      <c r="H2617">
        <v>3</v>
      </c>
      <c r="I2617">
        <v>652</v>
      </c>
      <c r="J2617">
        <v>1976</v>
      </c>
      <c r="K2617" s="4">
        <v>44841</v>
      </c>
      <c r="L2617" t="s">
        <v>30</v>
      </c>
      <c r="M2617" t="s">
        <v>89</v>
      </c>
      <c r="N2617">
        <v>1.58</v>
      </c>
      <c r="O2617">
        <v>1508</v>
      </c>
      <c r="P2617">
        <v>3.88</v>
      </c>
      <c r="Q2617">
        <v>380</v>
      </c>
      <c r="R2617">
        <v>588</v>
      </c>
    </row>
    <row r="2618" spans="1:18" x14ac:dyDescent="0.2">
      <c r="A2618">
        <v>8</v>
      </c>
      <c r="B2618" t="s">
        <v>39</v>
      </c>
      <c r="E2618" t="s">
        <v>51</v>
      </c>
      <c r="F2618">
        <v>1218717</v>
      </c>
      <c r="G2618">
        <v>3</v>
      </c>
      <c r="H2618">
        <v>2</v>
      </c>
      <c r="I2618">
        <v>975</v>
      </c>
      <c r="J2618">
        <v>2005</v>
      </c>
      <c r="K2618" s="4">
        <v>44455</v>
      </c>
      <c r="L2618" t="s">
        <v>30</v>
      </c>
      <c r="M2618" t="s">
        <v>56</v>
      </c>
      <c r="N2618">
        <v>3.22</v>
      </c>
      <c r="O2618">
        <v>916</v>
      </c>
      <c r="P2618">
        <v>4.83</v>
      </c>
      <c r="Q2618">
        <v>139</v>
      </c>
      <c r="R2618">
        <v>692</v>
      </c>
    </row>
    <row r="2619" spans="1:18" hidden="1" x14ac:dyDescent="0.2">
      <c r="A2619">
        <v>3</v>
      </c>
      <c r="B2619" t="s">
        <v>105</v>
      </c>
      <c r="E2619" t="s">
        <v>29</v>
      </c>
      <c r="F2619">
        <v>1171503</v>
      </c>
      <c r="G2619">
        <v>3</v>
      </c>
      <c r="H2619">
        <v>2</v>
      </c>
      <c r="I2619">
        <v>853</v>
      </c>
      <c r="J2619">
        <v>2000</v>
      </c>
      <c r="K2619" s="4">
        <v>45615</v>
      </c>
      <c r="L2619" t="s">
        <v>20</v>
      </c>
      <c r="M2619" t="s">
        <v>97</v>
      </c>
      <c r="N2619">
        <v>1.8</v>
      </c>
      <c r="O2619">
        <v>1311</v>
      </c>
      <c r="P2619">
        <v>4.79</v>
      </c>
      <c r="Q2619">
        <v>314</v>
      </c>
      <c r="R2619">
        <v>674</v>
      </c>
    </row>
    <row r="2620" spans="1:18" hidden="1" x14ac:dyDescent="0.2">
      <c r="A2620">
        <v>3</v>
      </c>
      <c r="B2620" t="s">
        <v>49</v>
      </c>
      <c r="E2620" t="s">
        <v>29</v>
      </c>
      <c r="F2620">
        <v>2192276</v>
      </c>
      <c r="G2620">
        <v>1</v>
      </c>
      <c r="H2620">
        <v>3</v>
      </c>
      <c r="I2620">
        <v>129</v>
      </c>
      <c r="J2620">
        <v>1953</v>
      </c>
      <c r="K2620" s="4">
        <v>44128</v>
      </c>
      <c r="L2620" t="s">
        <v>20</v>
      </c>
      <c r="M2620" t="s">
        <v>42</v>
      </c>
      <c r="N2620">
        <v>2.97</v>
      </c>
      <c r="O2620">
        <v>2025</v>
      </c>
      <c r="P2620">
        <v>2.67</v>
      </c>
      <c r="Q2620">
        <v>125</v>
      </c>
      <c r="R2620">
        <v>372</v>
      </c>
    </row>
    <row r="2621" spans="1:18" hidden="1" x14ac:dyDescent="0.2">
      <c r="A2621">
        <v>7</v>
      </c>
      <c r="B2621" t="s">
        <v>61</v>
      </c>
      <c r="E2621" t="s">
        <v>51</v>
      </c>
      <c r="F2621">
        <v>1123713</v>
      </c>
      <c r="G2621">
        <v>3</v>
      </c>
      <c r="H2621">
        <v>3</v>
      </c>
      <c r="I2621">
        <v>502</v>
      </c>
      <c r="J2621">
        <v>2019</v>
      </c>
      <c r="K2621" s="4">
        <v>44772</v>
      </c>
      <c r="L2621" t="s">
        <v>20</v>
      </c>
      <c r="M2621" t="s">
        <v>69</v>
      </c>
      <c r="N2621">
        <v>3.08</v>
      </c>
      <c r="O2621">
        <v>2067</v>
      </c>
      <c r="P2621">
        <v>3.11</v>
      </c>
      <c r="Q2621">
        <v>115</v>
      </c>
      <c r="R2621">
        <v>330</v>
      </c>
    </row>
    <row r="2622" spans="1:18" hidden="1" x14ac:dyDescent="0.2">
      <c r="A2622">
        <v>6</v>
      </c>
      <c r="B2622" t="s">
        <v>73</v>
      </c>
      <c r="E2622" t="s">
        <v>51</v>
      </c>
      <c r="F2622">
        <v>1549090</v>
      </c>
      <c r="G2622">
        <v>5</v>
      </c>
      <c r="H2622">
        <v>3</v>
      </c>
      <c r="I2622">
        <v>166</v>
      </c>
      <c r="J2622">
        <v>1951</v>
      </c>
      <c r="K2622" s="4">
        <v>44698</v>
      </c>
      <c r="L2622" t="s">
        <v>20</v>
      </c>
      <c r="M2622" t="s">
        <v>59</v>
      </c>
      <c r="N2622">
        <v>2.19</v>
      </c>
      <c r="O2622">
        <v>2174</v>
      </c>
      <c r="P2622">
        <v>4.75</v>
      </c>
      <c r="Q2622">
        <v>246</v>
      </c>
      <c r="R2622">
        <v>364</v>
      </c>
    </row>
    <row r="2623" spans="1:18" hidden="1" x14ac:dyDescent="0.2">
      <c r="A2623">
        <v>9</v>
      </c>
      <c r="B2623" t="s">
        <v>62</v>
      </c>
      <c r="E2623" t="s">
        <v>36</v>
      </c>
      <c r="F2623">
        <v>864215</v>
      </c>
      <c r="G2623">
        <v>2</v>
      </c>
      <c r="H2623">
        <v>3</v>
      </c>
      <c r="I2623">
        <v>989</v>
      </c>
      <c r="J2623">
        <v>2015</v>
      </c>
      <c r="K2623" s="4">
        <v>44722</v>
      </c>
      <c r="L2623" t="s">
        <v>30</v>
      </c>
      <c r="M2623" t="s">
        <v>78</v>
      </c>
      <c r="N2623">
        <v>2.0699999999999998</v>
      </c>
      <c r="O2623">
        <v>1427</v>
      </c>
      <c r="P2623">
        <v>2.56</v>
      </c>
      <c r="Q2623">
        <v>103</v>
      </c>
      <c r="R2623">
        <v>561</v>
      </c>
    </row>
    <row r="2624" spans="1:18" hidden="1" x14ac:dyDescent="0.2">
      <c r="A2624">
        <v>7</v>
      </c>
      <c r="B2624" t="s">
        <v>38</v>
      </c>
      <c r="E2624" t="s">
        <v>51</v>
      </c>
      <c r="F2624">
        <v>1028485</v>
      </c>
      <c r="G2624">
        <v>4</v>
      </c>
      <c r="H2624">
        <v>2</v>
      </c>
      <c r="I2624">
        <v>487</v>
      </c>
      <c r="J2624">
        <v>1952</v>
      </c>
      <c r="K2624" s="4">
        <v>44562</v>
      </c>
      <c r="L2624" t="s">
        <v>26</v>
      </c>
      <c r="M2624" t="s">
        <v>35</v>
      </c>
      <c r="N2624">
        <v>3.3</v>
      </c>
      <c r="O2624">
        <v>1958</v>
      </c>
      <c r="P2624">
        <v>3.83</v>
      </c>
      <c r="Q2624">
        <v>372</v>
      </c>
      <c r="R2624">
        <v>579</v>
      </c>
    </row>
    <row r="2625" spans="1:18" x14ac:dyDescent="0.2">
      <c r="A2625">
        <v>8</v>
      </c>
      <c r="B2625" t="s">
        <v>18</v>
      </c>
      <c r="E2625" t="s">
        <v>29</v>
      </c>
      <c r="F2625">
        <v>964196</v>
      </c>
      <c r="G2625">
        <v>2</v>
      </c>
      <c r="H2625">
        <v>1</v>
      </c>
      <c r="I2625">
        <v>810</v>
      </c>
      <c r="J2625">
        <v>1988</v>
      </c>
      <c r="K2625" s="4">
        <v>45744</v>
      </c>
      <c r="L2625" t="s">
        <v>20</v>
      </c>
      <c r="M2625" t="s">
        <v>54</v>
      </c>
      <c r="N2625">
        <v>2.4700000000000002</v>
      </c>
      <c r="O2625">
        <v>1571</v>
      </c>
      <c r="P2625">
        <v>0.79</v>
      </c>
      <c r="Q2625">
        <v>210</v>
      </c>
      <c r="R2625">
        <v>694</v>
      </c>
    </row>
    <row r="2626" spans="1:18" hidden="1" x14ac:dyDescent="0.2">
      <c r="A2626">
        <v>7</v>
      </c>
      <c r="B2626" t="s">
        <v>57</v>
      </c>
      <c r="E2626" t="s">
        <v>51</v>
      </c>
      <c r="F2626">
        <v>669403</v>
      </c>
      <c r="G2626">
        <v>3</v>
      </c>
      <c r="H2626">
        <v>1</v>
      </c>
      <c r="I2626">
        <v>667</v>
      </c>
      <c r="J2626">
        <v>1968</v>
      </c>
      <c r="K2626" s="4">
        <v>45393</v>
      </c>
      <c r="L2626" t="s">
        <v>26</v>
      </c>
      <c r="M2626" t="s">
        <v>60</v>
      </c>
      <c r="N2626">
        <v>1.7</v>
      </c>
      <c r="O2626">
        <v>2334</v>
      </c>
      <c r="P2626">
        <v>4.55</v>
      </c>
      <c r="Q2626">
        <v>167</v>
      </c>
      <c r="R2626">
        <v>503</v>
      </c>
    </row>
    <row r="2627" spans="1:18" hidden="1" x14ac:dyDescent="0.2">
      <c r="A2627">
        <v>6</v>
      </c>
      <c r="B2627" t="s">
        <v>50</v>
      </c>
      <c r="E2627" t="s">
        <v>36</v>
      </c>
      <c r="F2627">
        <v>1175810</v>
      </c>
      <c r="G2627">
        <v>6</v>
      </c>
      <c r="H2627">
        <v>1</v>
      </c>
      <c r="I2627">
        <v>922</v>
      </c>
      <c r="J2627">
        <v>2005</v>
      </c>
      <c r="K2627" s="4">
        <v>45108</v>
      </c>
      <c r="L2627" t="s">
        <v>23</v>
      </c>
      <c r="M2627" t="s">
        <v>52</v>
      </c>
      <c r="N2627">
        <v>2.85</v>
      </c>
      <c r="O2627">
        <v>1919</v>
      </c>
      <c r="P2627">
        <v>3.74</v>
      </c>
      <c r="Q2627">
        <v>358</v>
      </c>
      <c r="R2627">
        <v>647</v>
      </c>
    </row>
    <row r="2628" spans="1:18" hidden="1" x14ac:dyDescent="0.2">
      <c r="A2628">
        <v>6</v>
      </c>
      <c r="B2628" t="s">
        <v>38</v>
      </c>
      <c r="E2628" t="s">
        <v>19</v>
      </c>
      <c r="F2628">
        <v>2326768</v>
      </c>
      <c r="G2628">
        <v>4</v>
      </c>
      <c r="H2628">
        <v>3</v>
      </c>
      <c r="I2628">
        <v>308</v>
      </c>
      <c r="J2628">
        <v>1987</v>
      </c>
      <c r="K2628" s="4">
        <v>45537</v>
      </c>
      <c r="L2628" t="s">
        <v>20</v>
      </c>
      <c r="M2628" t="s">
        <v>45</v>
      </c>
      <c r="N2628">
        <v>2.35</v>
      </c>
      <c r="O2628">
        <v>2093</v>
      </c>
      <c r="P2628">
        <v>4.83</v>
      </c>
      <c r="Q2628">
        <v>247</v>
      </c>
      <c r="R2628">
        <v>527</v>
      </c>
    </row>
    <row r="2629" spans="1:18" hidden="1" x14ac:dyDescent="0.2">
      <c r="A2629">
        <v>6</v>
      </c>
      <c r="B2629" t="s">
        <v>84</v>
      </c>
      <c r="E2629" t="s">
        <v>51</v>
      </c>
      <c r="F2629">
        <v>2715778</v>
      </c>
      <c r="G2629">
        <v>3</v>
      </c>
      <c r="H2629">
        <v>3</v>
      </c>
      <c r="I2629">
        <v>528</v>
      </c>
      <c r="J2629">
        <v>1969</v>
      </c>
      <c r="K2629" s="4">
        <v>45207</v>
      </c>
      <c r="L2629" t="s">
        <v>23</v>
      </c>
      <c r="M2629" t="s">
        <v>76</v>
      </c>
      <c r="N2629">
        <v>2.57</v>
      </c>
      <c r="O2629">
        <v>1115</v>
      </c>
      <c r="P2629">
        <v>2.9</v>
      </c>
      <c r="Q2629">
        <v>174</v>
      </c>
      <c r="R2629">
        <v>570</v>
      </c>
    </row>
    <row r="2630" spans="1:18" hidden="1" x14ac:dyDescent="0.2">
      <c r="A2630">
        <v>5</v>
      </c>
      <c r="B2630" t="s">
        <v>39</v>
      </c>
      <c r="E2630" t="s">
        <v>19</v>
      </c>
      <c r="F2630">
        <v>2274952</v>
      </c>
      <c r="G2630">
        <v>2</v>
      </c>
      <c r="H2630">
        <v>3</v>
      </c>
      <c r="I2630">
        <v>671</v>
      </c>
      <c r="J2630">
        <v>1970</v>
      </c>
      <c r="K2630" s="4">
        <v>44275</v>
      </c>
      <c r="L2630" t="s">
        <v>23</v>
      </c>
      <c r="M2630" t="s">
        <v>31</v>
      </c>
      <c r="N2630">
        <v>1.72</v>
      </c>
      <c r="O2630">
        <v>1677</v>
      </c>
      <c r="P2630">
        <v>4.07</v>
      </c>
      <c r="Q2630">
        <v>183</v>
      </c>
      <c r="R2630">
        <v>454</v>
      </c>
    </row>
    <row r="2631" spans="1:18" x14ac:dyDescent="0.2">
      <c r="A2631">
        <v>8</v>
      </c>
      <c r="B2631" t="s">
        <v>28</v>
      </c>
      <c r="E2631" t="s">
        <v>19</v>
      </c>
      <c r="F2631">
        <v>753320</v>
      </c>
      <c r="G2631">
        <v>2</v>
      </c>
      <c r="H2631">
        <v>1</v>
      </c>
      <c r="I2631">
        <v>327</v>
      </c>
      <c r="J2631">
        <v>1966</v>
      </c>
      <c r="K2631" s="4">
        <v>45592</v>
      </c>
      <c r="L2631" t="s">
        <v>20</v>
      </c>
      <c r="M2631" t="s">
        <v>21</v>
      </c>
      <c r="N2631">
        <v>1.74</v>
      </c>
      <c r="O2631">
        <v>1538</v>
      </c>
      <c r="P2631">
        <v>4.3600000000000003</v>
      </c>
      <c r="Q2631">
        <v>81</v>
      </c>
      <c r="R2631">
        <v>444</v>
      </c>
    </row>
    <row r="2632" spans="1:18" hidden="1" x14ac:dyDescent="0.2">
      <c r="A2632">
        <v>9</v>
      </c>
      <c r="B2632" t="s">
        <v>81</v>
      </c>
      <c r="E2632" t="s">
        <v>51</v>
      </c>
      <c r="F2632">
        <v>1804400</v>
      </c>
      <c r="G2632">
        <v>4</v>
      </c>
      <c r="H2632">
        <v>1</v>
      </c>
      <c r="I2632">
        <v>560</v>
      </c>
      <c r="J2632">
        <v>1998</v>
      </c>
      <c r="K2632" s="4">
        <v>44084</v>
      </c>
      <c r="L2632" t="s">
        <v>26</v>
      </c>
      <c r="M2632" t="s">
        <v>69</v>
      </c>
      <c r="N2632">
        <v>2.3199999999999998</v>
      </c>
      <c r="O2632">
        <v>2182</v>
      </c>
      <c r="P2632">
        <v>3.17</v>
      </c>
      <c r="Q2632">
        <v>165</v>
      </c>
      <c r="R2632">
        <v>635</v>
      </c>
    </row>
    <row r="2633" spans="1:18" x14ac:dyDescent="0.2">
      <c r="A2633">
        <v>8</v>
      </c>
      <c r="B2633" t="s">
        <v>94</v>
      </c>
      <c r="E2633" t="s">
        <v>29</v>
      </c>
      <c r="F2633">
        <v>1457235</v>
      </c>
      <c r="G2633">
        <v>5</v>
      </c>
      <c r="H2633">
        <v>2</v>
      </c>
      <c r="I2633">
        <v>702</v>
      </c>
      <c r="J2633">
        <v>1969</v>
      </c>
      <c r="K2633" s="4">
        <v>45719</v>
      </c>
      <c r="L2633" t="s">
        <v>30</v>
      </c>
      <c r="M2633" t="s">
        <v>47</v>
      </c>
      <c r="N2633">
        <v>2.29</v>
      </c>
      <c r="O2633">
        <v>1540</v>
      </c>
      <c r="P2633">
        <v>2.14</v>
      </c>
      <c r="Q2633">
        <v>246</v>
      </c>
      <c r="R2633">
        <v>374</v>
      </c>
    </row>
    <row r="2634" spans="1:18" hidden="1" x14ac:dyDescent="0.2">
      <c r="A2634">
        <v>5</v>
      </c>
      <c r="B2634" t="s">
        <v>46</v>
      </c>
      <c r="E2634" t="s">
        <v>36</v>
      </c>
      <c r="F2634">
        <v>2384869</v>
      </c>
      <c r="G2634">
        <v>2</v>
      </c>
      <c r="H2634">
        <v>3</v>
      </c>
      <c r="I2634">
        <v>132</v>
      </c>
      <c r="J2634">
        <v>1997</v>
      </c>
      <c r="K2634" s="4">
        <v>45691</v>
      </c>
      <c r="L2634" t="s">
        <v>23</v>
      </c>
      <c r="M2634" t="s">
        <v>59</v>
      </c>
      <c r="N2634">
        <v>3.45</v>
      </c>
      <c r="O2634">
        <v>1634</v>
      </c>
      <c r="P2634">
        <v>2.95</v>
      </c>
      <c r="Q2634">
        <v>49</v>
      </c>
      <c r="R2634">
        <v>471</v>
      </c>
    </row>
    <row r="2635" spans="1:18" hidden="1" x14ac:dyDescent="0.2">
      <c r="A2635">
        <v>9</v>
      </c>
      <c r="B2635" t="s">
        <v>61</v>
      </c>
      <c r="E2635" t="s">
        <v>36</v>
      </c>
      <c r="F2635">
        <v>1962854</v>
      </c>
      <c r="G2635">
        <v>5</v>
      </c>
      <c r="H2635">
        <v>1</v>
      </c>
      <c r="I2635">
        <v>557</v>
      </c>
      <c r="J2635">
        <v>2003</v>
      </c>
      <c r="K2635" s="4">
        <v>45032</v>
      </c>
      <c r="L2635" t="s">
        <v>26</v>
      </c>
      <c r="M2635" t="s">
        <v>60</v>
      </c>
      <c r="N2635">
        <v>1.76</v>
      </c>
      <c r="O2635">
        <v>1050</v>
      </c>
      <c r="P2635">
        <v>4.41</v>
      </c>
      <c r="Q2635">
        <v>387</v>
      </c>
      <c r="R2635">
        <v>657</v>
      </c>
    </row>
    <row r="2636" spans="1:18" hidden="1" x14ac:dyDescent="0.2">
      <c r="A2636">
        <v>2</v>
      </c>
      <c r="B2636" t="s">
        <v>93</v>
      </c>
      <c r="E2636" t="s">
        <v>103</v>
      </c>
      <c r="F2636">
        <v>2481530</v>
      </c>
      <c r="G2636">
        <v>5</v>
      </c>
      <c r="H2636">
        <v>1</v>
      </c>
      <c r="I2636">
        <v>337</v>
      </c>
      <c r="J2636">
        <v>1971</v>
      </c>
      <c r="K2636" s="4">
        <v>44847</v>
      </c>
      <c r="L2636" t="s">
        <v>23</v>
      </c>
      <c r="M2636" t="s">
        <v>69</v>
      </c>
      <c r="N2636">
        <v>1.96</v>
      </c>
      <c r="O2636">
        <v>2245</v>
      </c>
      <c r="P2636">
        <v>0.84</v>
      </c>
      <c r="Q2636">
        <v>256</v>
      </c>
      <c r="R2636">
        <v>480</v>
      </c>
    </row>
    <row r="2637" spans="1:18" hidden="1" x14ac:dyDescent="0.2">
      <c r="A2637">
        <v>9</v>
      </c>
      <c r="B2637" t="s">
        <v>53</v>
      </c>
      <c r="E2637" t="s">
        <v>51</v>
      </c>
      <c r="F2637">
        <v>2378762</v>
      </c>
      <c r="G2637">
        <v>2</v>
      </c>
      <c r="H2637">
        <v>2</v>
      </c>
      <c r="I2637">
        <v>472</v>
      </c>
      <c r="J2637">
        <v>1971</v>
      </c>
      <c r="K2637" s="4">
        <v>45335</v>
      </c>
      <c r="L2637" t="s">
        <v>20</v>
      </c>
      <c r="M2637" t="s">
        <v>63</v>
      </c>
      <c r="N2637">
        <v>2.33</v>
      </c>
      <c r="O2637">
        <v>895</v>
      </c>
      <c r="P2637">
        <v>4.3600000000000003</v>
      </c>
      <c r="Q2637">
        <v>98</v>
      </c>
      <c r="R2637">
        <v>342</v>
      </c>
    </row>
    <row r="2638" spans="1:18" hidden="1" x14ac:dyDescent="0.2">
      <c r="A2638">
        <v>9</v>
      </c>
      <c r="B2638" t="s">
        <v>90</v>
      </c>
      <c r="E2638" t="s">
        <v>29</v>
      </c>
      <c r="F2638">
        <v>1484717</v>
      </c>
      <c r="G2638">
        <v>5</v>
      </c>
      <c r="H2638">
        <v>3</v>
      </c>
      <c r="I2638">
        <v>613</v>
      </c>
      <c r="J2638">
        <v>1953</v>
      </c>
      <c r="K2638" s="4">
        <v>45865</v>
      </c>
      <c r="L2638" t="s">
        <v>26</v>
      </c>
      <c r="M2638" t="s">
        <v>47</v>
      </c>
      <c r="N2638">
        <v>1.54</v>
      </c>
      <c r="O2638">
        <v>992</v>
      </c>
      <c r="P2638">
        <v>2.16</v>
      </c>
      <c r="Q2638">
        <v>304</v>
      </c>
      <c r="R2638">
        <v>338</v>
      </c>
    </row>
    <row r="2639" spans="1:18" hidden="1" x14ac:dyDescent="0.2">
      <c r="A2639">
        <v>4</v>
      </c>
      <c r="B2639" t="s">
        <v>84</v>
      </c>
      <c r="E2639" t="s">
        <v>36</v>
      </c>
      <c r="F2639">
        <v>2468207</v>
      </c>
      <c r="G2639">
        <v>6</v>
      </c>
      <c r="H2639">
        <v>3</v>
      </c>
      <c r="I2639">
        <v>376</v>
      </c>
      <c r="J2639">
        <v>1976</v>
      </c>
      <c r="K2639" s="4">
        <v>45122</v>
      </c>
      <c r="L2639" t="s">
        <v>23</v>
      </c>
      <c r="M2639" t="s">
        <v>27</v>
      </c>
      <c r="N2639">
        <v>2.2799999999999998</v>
      </c>
      <c r="O2639">
        <v>2042</v>
      </c>
      <c r="P2639">
        <v>0.12</v>
      </c>
      <c r="Q2639">
        <v>388</v>
      </c>
      <c r="R2639">
        <v>301</v>
      </c>
    </row>
    <row r="2640" spans="1:18" hidden="1" x14ac:dyDescent="0.2">
      <c r="A2640">
        <v>4</v>
      </c>
      <c r="B2640" t="s">
        <v>96</v>
      </c>
      <c r="E2640" t="s">
        <v>36</v>
      </c>
      <c r="F2640">
        <v>1122535</v>
      </c>
      <c r="G2640">
        <v>3</v>
      </c>
      <c r="H2640">
        <v>3</v>
      </c>
      <c r="I2640">
        <v>898</v>
      </c>
      <c r="J2640">
        <v>2014</v>
      </c>
      <c r="K2640" s="4">
        <v>45548</v>
      </c>
      <c r="L2640" t="s">
        <v>20</v>
      </c>
      <c r="M2640" t="s">
        <v>35</v>
      </c>
      <c r="N2640">
        <v>2.97</v>
      </c>
      <c r="O2640">
        <v>1792</v>
      </c>
      <c r="P2640">
        <v>2.2400000000000002</v>
      </c>
      <c r="Q2640">
        <v>248</v>
      </c>
      <c r="R2640">
        <v>557</v>
      </c>
    </row>
    <row r="2641" spans="1:18" hidden="1" x14ac:dyDescent="0.2">
      <c r="A2641">
        <v>7</v>
      </c>
      <c r="B2641" t="s">
        <v>50</v>
      </c>
      <c r="E2641" t="s">
        <v>19</v>
      </c>
      <c r="F2641">
        <v>2292445</v>
      </c>
      <c r="G2641">
        <v>4</v>
      </c>
      <c r="H2641">
        <v>2</v>
      </c>
      <c r="I2641">
        <v>432</v>
      </c>
      <c r="J2641">
        <v>1996</v>
      </c>
      <c r="K2641" s="4">
        <v>44694</v>
      </c>
      <c r="L2641" t="s">
        <v>30</v>
      </c>
      <c r="M2641" t="s">
        <v>40</v>
      </c>
      <c r="N2641">
        <v>1.68</v>
      </c>
      <c r="O2641">
        <v>1843</v>
      </c>
      <c r="P2641">
        <v>3.24</v>
      </c>
      <c r="Q2641">
        <v>388</v>
      </c>
      <c r="R2641">
        <v>563</v>
      </c>
    </row>
    <row r="2642" spans="1:18" hidden="1" x14ac:dyDescent="0.2">
      <c r="A2642">
        <v>4</v>
      </c>
      <c r="B2642" t="s">
        <v>49</v>
      </c>
      <c r="E2642" t="s">
        <v>29</v>
      </c>
      <c r="F2642">
        <v>1290841</v>
      </c>
      <c r="G2642">
        <v>3</v>
      </c>
      <c r="H2642">
        <v>1</v>
      </c>
      <c r="I2642">
        <v>542</v>
      </c>
      <c r="J2642">
        <v>1954</v>
      </c>
      <c r="K2642" s="4">
        <v>45213</v>
      </c>
      <c r="L2642" t="s">
        <v>26</v>
      </c>
      <c r="M2642" t="s">
        <v>52</v>
      </c>
      <c r="N2642">
        <v>3.42</v>
      </c>
      <c r="O2642">
        <v>2168</v>
      </c>
      <c r="P2642">
        <v>3.7</v>
      </c>
      <c r="Q2642">
        <v>103</v>
      </c>
      <c r="R2642">
        <v>454</v>
      </c>
    </row>
    <row r="2643" spans="1:18" hidden="1" x14ac:dyDescent="0.2">
      <c r="A2643">
        <v>0</v>
      </c>
      <c r="B2643" t="s">
        <v>38</v>
      </c>
      <c r="E2643" t="s">
        <v>36</v>
      </c>
      <c r="F2643">
        <v>2332530</v>
      </c>
      <c r="G2643">
        <v>4</v>
      </c>
      <c r="H2643">
        <v>3</v>
      </c>
      <c r="I2643">
        <v>0</v>
      </c>
      <c r="J2643">
        <v>1994</v>
      </c>
      <c r="K2643" s="4">
        <v>45206</v>
      </c>
      <c r="L2643" t="s">
        <v>30</v>
      </c>
      <c r="M2643" t="s">
        <v>78</v>
      </c>
      <c r="N2643">
        <v>2.65</v>
      </c>
      <c r="O2643">
        <v>980</v>
      </c>
      <c r="P2643">
        <v>2.0099999999999998</v>
      </c>
      <c r="Q2643">
        <v>300</v>
      </c>
      <c r="R2643">
        <v>469</v>
      </c>
    </row>
    <row r="2644" spans="1:18" x14ac:dyDescent="0.2">
      <c r="A2644">
        <v>8</v>
      </c>
      <c r="B2644" t="s">
        <v>100</v>
      </c>
      <c r="E2644" t="s">
        <v>36</v>
      </c>
      <c r="F2644">
        <v>406534</v>
      </c>
      <c r="G2644">
        <v>0</v>
      </c>
      <c r="H2644">
        <v>2</v>
      </c>
      <c r="I2644">
        <v>740</v>
      </c>
      <c r="J2644">
        <v>1959</v>
      </c>
      <c r="K2644" s="4">
        <v>44238</v>
      </c>
      <c r="L2644" t="s">
        <v>23</v>
      </c>
      <c r="M2644" t="s">
        <v>66</v>
      </c>
      <c r="N2644">
        <v>3.3</v>
      </c>
      <c r="O2644">
        <v>2432</v>
      </c>
      <c r="P2644">
        <v>3.92</v>
      </c>
      <c r="Q2644">
        <v>71</v>
      </c>
      <c r="R2644">
        <v>484</v>
      </c>
    </row>
    <row r="2645" spans="1:18" hidden="1" x14ac:dyDescent="0.2">
      <c r="A2645">
        <v>7</v>
      </c>
      <c r="B2645" t="s">
        <v>49</v>
      </c>
      <c r="E2645" t="s">
        <v>29</v>
      </c>
      <c r="F2645">
        <v>1120878</v>
      </c>
      <c r="G2645">
        <v>2</v>
      </c>
      <c r="H2645">
        <v>2</v>
      </c>
      <c r="I2645">
        <v>182</v>
      </c>
      <c r="J2645">
        <v>2016</v>
      </c>
      <c r="K2645" s="4">
        <v>45768</v>
      </c>
      <c r="L2645" t="s">
        <v>20</v>
      </c>
      <c r="M2645" t="s">
        <v>77</v>
      </c>
      <c r="N2645">
        <v>3.49</v>
      </c>
      <c r="O2645">
        <v>836</v>
      </c>
      <c r="P2645">
        <v>0.45</v>
      </c>
      <c r="Q2645">
        <v>116</v>
      </c>
      <c r="R2645">
        <v>606</v>
      </c>
    </row>
    <row r="2646" spans="1:18" hidden="1" x14ac:dyDescent="0.2">
      <c r="A2646">
        <v>4</v>
      </c>
      <c r="B2646" t="s">
        <v>94</v>
      </c>
      <c r="E2646" t="s">
        <v>29</v>
      </c>
      <c r="F2646">
        <v>1344926</v>
      </c>
      <c r="G2646">
        <v>5</v>
      </c>
      <c r="H2646">
        <v>2</v>
      </c>
      <c r="I2646">
        <v>918</v>
      </c>
      <c r="J2646">
        <v>1983</v>
      </c>
      <c r="K2646" s="4">
        <v>44485</v>
      </c>
      <c r="L2646" t="s">
        <v>23</v>
      </c>
      <c r="M2646" t="s">
        <v>89</v>
      </c>
      <c r="N2646">
        <v>2.68</v>
      </c>
      <c r="O2646">
        <v>2480</v>
      </c>
      <c r="P2646">
        <v>2.57</v>
      </c>
      <c r="Q2646">
        <v>260</v>
      </c>
      <c r="R2646">
        <v>442</v>
      </c>
    </row>
    <row r="2647" spans="1:18" hidden="1" x14ac:dyDescent="0.2">
      <c r="A2647">
        <v>2</v>
      </c>
      <c r="B2647" t="s">
        <v>106</v>
      </c>
      <c r="E2647" t="s">
        <v>51</v>
      </c>
      <c r="F2647">
        <v>1180971</v>
      </c>
      <c r="G2647">
        <v>3</v>
      </c>
      <c r="H2647">
        <v>3</v>
      </c>
      <c r="I2647">
        <v>855</v>
      </c>
      <c r="J2647">
        <v>1990</v>
      </c>
      <c r="K2647" s="4">
        <v>44476</v>
      </c>
      <c r="L2647" t="s">
        <v>23</v>
      </c>
      <c r="M2647" t="s">
        <v>21</v>
      </c>
      <c r="N2647">
        <v>2.2999999999999998</v>
      </c>
      <c r="O2647">
        <v>1992</v>
      </c>
      <c r="P2647">
        <v>1.78</v>
      </c>
      <c r="Q2647">
        <v>211</v>
      </c>
      <c r="R2647">
        <v>360</v>
      </c>
    </row>
    <row r="2648" spans="1:18" hidden="1" x14ac:dyDescent="0.2">
      <c r="A2648">
        <v>3</v>
      </c>
      <c r="B2648" t="s">
        <v>88</v>
      </c>
      <c r="E2648" t="s">
        <v>36</v>
      </c>
      <c r="F2648">
        <v>1162189</v>
      </c>
      <c r="G2648">
        <v>2</v>
      </c>
      <c r="H2648">
        <v>2</v>
      </c>
      <c r="I2648">
        <v>547</v>
      </c>
      <c r="J2648">
        <v>1963</v>
      </c>
      <c r="K2648" s="4">
        <v>44784</v>
      </c>
      <c r="L2648" t="s">
        <v>20</v>
      </c>
      <c r="M2648" t="s">
        <v>42</v>
      </c>
      <c r="N2648">
        <v>2.35</v>
      </c>
      <c r="O2648">
        <v>2208</v>
      </c>
      <c r="P2648">
        <v>4.04</v>
      </c>
      <c r="Q2648">
        <v>233</v>
      </c>
      <c r="R2648">
        <v>464</v>
      </c>
    </row>
    <row r="2649" spans="1:18" hidden="1" x14ac:dyDescent="0.2">
      <c r="A2649">
        <v>2</v>
      </c>
      <c r="B2649" t="s">
        <v>84</v>
      </c>
      <c r="E2649" t="s">
        <v>19</v>
      </c>
      <c r="F2649">
        <v>2493291</v>
      </c>
      <c r="G2649">
        <v>1</v>
      </c>
      <c r="H2649">
        <v>1</v>
      </c>
      <c r="I2649">
        <v>72</v>
      </c>
      <c r="J2649">
        <v>1965</v>
      </c>
      <c r="K2649" s="4">
        <v>44885</v>
      </c>
      <c r="L2649" t="s">
        <v>30</v>
      </c>
      <c r="M2649" t="s">
        <v>97</v>
      </c>
      <c r="N2649">
        <v>2.67</v>
      </c>
      <c r="O2649">
        <v>1611</v>
      </c>
      <c r="P2649">
        <v>4.57</v>
      </c>
      <c r="Q2649">
        <v>109</v>
      </c>
      <c r="R2649">
        <v>354</v>
      </c>
    </row>
    <row r="2650" spans="1:18" hidden="1" x14ac:dyDescent="0.2">
      <c r="A2650">
        <v>6</v>
      </c>
      <c r="B2650" t="s">
        <v>18</v>
      </c>
      <c r="E2650" t="s">
        <v>51</v>
      </c>
      <c r="F2650">
        <v>1657327</v>
      </c>
      <c r="G2650">
        <v>4</v>
      </c>
      <c r="H2650">
        <v>3</v>
      </c>
      <c r="I2650">
        <v>58</v>
      </c>
      <c r="J2650">
        <v>1960</v>
      </c>
      <c r="K2650" s="4">
        <v>45513</v>
      </c>
      <c r="L2650" t="s">
        <v>26</v>
      </c>
      <c r="M2650" t="s">
        <v>58</v>
      </c>
      <c r="N2650">
        <v>2.2200000000000002</v>
      </c>
      <c r="O2650">
        <v>1152</v>
      </c>
      <c r="P2650">
        <v>3.9</v>
      </c>
      <c r="Q2650">
        <v>283</v>
      </c>
      <c r="R2650">
        <v>649</v>
      </c>
    </row>
    <row r="2651" spans="1:18" x14ac:dyDescent="0.2">
      <c r="A2651">
        <v>8</v>
      </c>
      <c r="B2651" t="s">
        <v>91</v>
      </c>
      <c r="E2651" t="s">
        <v>51</v>
      </c>
      <c r="F2651">
        <v>1810657</v>
      </c>
      <c r="G2651">
        <v>0</v>
      </c>
      <c r="H2651">
        <v>3</v>
      </c>
      <c r="I2651">
        <v>180</v>
      </c>
      <c r="J2651">
        <v>2005</v>
      </c>
      <c r="K2651" s="4">
        <v>45006</v>
      </c>
      <c r="L2651" t="s">
        <v>30</v>
      </c>
      <c r="M2651" t="s">
        <v>31</v>
      </c>
      <c r="N2651">
        <v>2.02</v>
      </c>
      <c r="O2651">
        <v>2063</v>
      </c>
      <c r="P2651">
        <v>4.4400000000000004</v>
      </c>
      <c r="Q2651">
        <v>58</v>
      </c>
      <c r="R2651">
        <v>365</v>
      </c>
    </row>
    <row r="2652" spans="1:18" hidden="1" x14ac:dyDescent="0.2">
      <c r="A2652">
        <v>0</v>
      </c>
      <c r="B2652" t="s">
        <v>48</v>
      </c>
      <c r="E2652" t="s">
        <v>36</v>
      </c>
      <c r="F2652">
        <v>1603068</v>
      </c>
      <c r="G2652">
        <v>2</v>
      </c>
      <c r="H2652">
        <v>2</v>
      </c>
      <c r="I2652">
        <v>412</v>
      </c>
      <c r="J2652">
        <v>1956</v>
      </c>
      <c r="K2652" s="4">
        <v>45540</v>
      </c>
      <c r="L2652" t="s">
        <v>20</v>
      </c>
      <c r="M2652" t="s">
        <v>58</v>
      </c>
      <c r="N2652">
        <v>3.02</v>
      </c>
      <c r="O2652">
        <v>972</v>
      </c>
      <c r="P2652">
        <v>3.1</v>
      </c>
      <c r="Q2652">
        <v>114</v>
      </c>
      <c r="R2652">
        <v>480</v>
      </c>
    </row>
    <row r="2653" spans="1:18" hidden="1" x14ac:dyDescent="0.2">
      <c r="A2653">
        <v>6</v>
      </c>
      <c r="B2653" t="s">
        <v>18</v>
      </c>
      <c r="E2653" t="s">
        <v>36</v>
      </c>
      <c r="F2653">
        <v>2134965</v>
      </c>
      <c r="G2653">
        <v>4</v>
      </c>
      <c r="H2653">
        <v>1</v>
      </c>
      <c r="I2653">
        <v>457</v>
      </c>
      <c r="J2653">
        <v>1993</v>
      </c>
      <c r="K2653" s="4">
        <v>44168</v>
      </c>
      <c r="L2653" t="s">
        <v>20</v>
      </c>
      <c r="M2653" t="s">
        <v>54</v>
      </c>
      <c r="N2653">
        <v>1.57</v>
      </c>
      <c r="O2653">
        <v>2099</v>
      </c>
      <c r="P2653">
        <v>1.59</v>
      </c>
      <c r="Q2653">
        <v>356</v>
      </c>
      <c r="R2653">
        <v>625</v>
      </c>
    </row>
    <row r="2654" spans="1:18" hidden="1" x14ac:dyDescent="0.2">
      <c r="A2654">
        <v>1</v>
      </c>
      <c r="B2654" t="s">
        <v>81</v>
      </c>
      <c r="E2654" t="s">
        <v>51</v>
      </c>
      <c r="F2654">
        <v>2352949</v>
      </c>
      <c r="G2654">
        <v>3</v>
      </c>
      <c r="H2654">
        <v>1</v>
      </c>
      <c r="I2654">
        <v>299</v>
      </c>
      <c r="J2654">
        <v>1991</v>
      </c>
      <c r="K2654" s="4">
        <v>44914</v>
      </c>
      <c r="L2654" t="s">
        <v>20</v>
      </c>
      <c r="M2654" t="s">
        <v>74</v>
      </c>
      <c r="N2654">
        <v>2.17</v>
      </c>
      <c r="O2654">
        <v>2011</v>
      </c>
      <c r="P2654">
        <v>0.84</v>
      </c>
      <c r="Q2654">
        <v>308</v>
      </c>
      <c r="R2654">
        <v>516</v>
      </c>
    </row>
    <row r="2655" spans="1:18" hidden="1" x14ac:dyDescent="0.2">
      <c r="A2655">
        <v>5</v>
      </c>
      <c r="B2655" t="s">
        <v>84</v>
      </c>
      <c r="E2655" t="s">
        <v>51</v>
      </c>
      <c r="F2655">
        <v>1252052</v>
      </c>
      <c r="G2655">
        <v>0</v>
      </c>
      <c r="H2655">
        <v>1</v>
      </c>
      <c r="I2655">
        <v>597</v>
      </c>
      <c r="J2655">
        <v>1990</v>
      </c>
      <c r="K2655" s="4">
        <v>45628</v>
      </c>
      <c r="L2655" t="s">
        <v>26</v>
      </c>
      <c r="M2655" t="s">
        <v>68</v>
      </c>
      <c r="N2655">
        <v>2.99</v>
      </c>
      <c r="O2655">
        <v>2090</v>
      </c>
      <c r="P2655">
        <v>0.7</v>
      </c>
      <c r="Q2655">
        <v>69</v>
      </c>
      <c r="R2655">
        <v>391</v>
      </c>
    </row>
    <row r="2656" spans="1:18" hidden="1" x14ac:dyDescent="0.2">
      <c r="A2656">
        <v>7</v>
      </c>
      <c r="B2656" t="s">
        <v>41</v>
      </c>
      <c r="E2656" t="s">
        <v>36</v>
      </c>
      <c r="F2656">
        <v>2762591</v>
      </c>
      <c r="G2656">
        <v>6</v>
      </c>
      <c r="H2656">
        <v>1</v>
      </c>
      <c r="I2656">
        <v>277</v>
      </c>
      <c r="J2656">
        <v>1951</v>
      </c>
      <c r="K2656" s="4">
        <v>44225</v>
      </c>
      <c r="L2656" t="s">
        <v>26</v>
      </c>
      <c r="M2656" t="s">
        <v>33</v>
      </c>
      <c r="N2656">
        <v>3</v>
      </c>
      <c r="O2656">
        <v>2014</v>
      </c>
      <c r="P2656">
        <v>4.4800000000000004</v>
      </c>
      <c r="Q2656">
        <v>391</v>
      </c>
      <c r="R2656">
        <v>595</v>
      </c>
    </row>
    <row r="2657" spans="1:18" hidden="1" x14ac:dyDescent="0.2">
      <c r="A2657">
        <v>9</v>
      </c>
      <c r="B2657" t="s">
        <v>84</v>
      </c>
      <c r="E2657" t="s">
        <v>29</v>
      </c>
      <c r="F2657">
        <v>2290108</v>
      </c>
      <c r="G2657">
        <v>4</v>
      </c>
      <c r="H2657">
        <v>1</v>
      </c>
      <c r="I2657">
        <v>935</v>
      </c>
      <c r="J2657">
        <v>2010</v>
      </c>
      <c r="K2657" s="4">
        <v>45680</v>
      </c>
      <c r="L2657" t="s">
        <v>26</v>
      </c>
      <c r="M2657" t="s">
        <v>77</v>
      </c>
      <c r="N2657">
        <v>1.86</v>
      </c>
      <c r="O2657">
        <v>888</v>
      </c>
      <c r="P2657">
        <v>3.21</v>
      </c>
      <c r="Q2657">
        <v>287</v>
      </c>
      <c r="R2657">
        <v>372</v>
      </c>
    </row>
    <row r="2658" spans="1:18" hidden="1" x14ac:dyDescent="0.2">
      <c r="A2658">
        <v>0</v>
      </c>
      <c r="B2658" t="s">
        <v>39</v>
      </c>
      <c r="E2658" t="s">
        <v>36</v>
      </c>
      <c r="F2658">
        <v>1020510</v>
      </c>
      <c r="G2658">
        <v>3</v>
      </c>
      <c r="H2658">
        <v>2</v>
      </c>
      <c r="I2658">
        <v>670</v>
      </c>
      <c r="J2658">
        <v>2017</v>
      </c>
      <c r="K2658" s="4">
        <v>44964</v>
      </c>
      <c r="L2658" t="s">
        <v>23</v>
      </c>
      <c r="M2658" t="s">
        <v>54</v>
      </c>
      <c r="N2658">
        <v>2.74</v>
      </c>
      <c r="O2658">
        <v>2344</v>
      </c>
      <c r="P2658">
        <v>2.46</v>
      </c>
      <c r="Q2658">
        <v>285</v>
      </c>
      <c r="R2658">
        <v>314</v>
      </c>
    </row>
    <row r="2659" spans="1:18" hidden="1" x14ac:dyDescent="0.2">
      <c r="A2659">
        <v>3</v>
      </c>
      <c r="B2659" t="s">
        <v>83</v>
      </c>
      <c r="E2659" t="s">
        <v>29</v>
      </c>
      <c r="F2659">
        <v>591663</v>
      </c>
      <c r="G2659">
        <v>3</v>
      </c>
      <c r="H2659">
        <v>1</v>
      </c>
      <c r="I2659">
        <v>319</v>
      </c>
      <c r="J2659">
        <v>1994</v>
      </c>
      <c r="K2659" s="4">
        <v>44240</v>
      </c>
      <c r="L2659" t="s">
        <v>30</v>
      </c>
      <c r="M2659" t="s">
        <v>56</v>
      </c>
      <c r="N2659">
        <v>2.04</v>
      </c>
      <c r="O2659">
        <v>2039</v>
      </c>
      <c r="P2659">
        <v>2.96</v>
      </c>
      <c r="Q2659">
        <v>112</v>
      </c>
      <c r="R2659">
        <v>517</v>
      </c>
    </row>
    <row r="2660" spans="1:18" hidden="1" x14ac:dyDescent="0.2">
      <c r="A2660">
        <v>3</v>
      </c>
      <c r="B2660" t="s">
        <v>65</v>
      </c>
      <c r="E2660" t="s">
        <v>19</v>
      </c>
      <c r="F2660">
        <v>2225739</v>
      </c>
      <c r="G2660">
        <v>5</v>
      </c>
      <c r="H2660">
        <v>2</v>
      </c>
      <c r="I2660">
        <v>100</v>
      </c>
      <c r="J2660">
        <v>1986</v>
      </c>
      <c r="K2660" s="4">
        <v>44170</v>
      </c>
      <c r="L2660" t="s">
        <v>30</v>
      </c>
      <c r="M2660" t="s">
        <v>82</v>
      </c>
      <c r="N2660">
        <v>2.1</v>
      </c>
      <c r="O2660">
        <v>1841</v>
      </c>
      <c r="P2660">
        <v>4.67</v>
      </c>
      <c r="Q2660">
        <v>301</v>
      </c>
      <c r="R2660">
        <v>338</v>
      </c>
    </row>
    <row r="2661" spans="1:18" hidden="1" x14ac:dyDescent="0.2">
      <c r="A2661">
        <v>5</v>
      </c>
      <c r="B2661" t="s">
        <v>96</v>
      </c>
      <c r="E2661" t="s">
        <v>51</v>
      </c>
      <c r="F2661">
        <v>2825556</v>
      </c>
      <c r="G2661">
        <v>4</v>
      </c>
      <c r="H2661">
        <v>1</v>
      </c>
      <c r="I2661">
        <v>589</v>
      </c>
      <c r="J2661">
        <v>1960</v>
      </c>
      <c r="K2661" s="4">
        <v>44954</v>
      </c>
      <c r="L2661" t="s">
        <v>30</v>
      </c>
      <c r="M2661" t="s">
        <v>63</v>
      </c>
      <c r="N2661">
        <v>2.99</v>
      </c>
      <c r="O2661">
        <v>1088</v>
      </c>
      <c r="P2661">
        <v>0.48</v>
      </c>
      <c r="Q2661">
        <v>299</v>
      </c>
      <c r="R2661">
        <v>542</v>
      </c>
    </row>
    <row r="2662" spans="1:18" hidden="1" x14ac:dyDescent="0.2">
      <c r="A2662">
        <v>3</v>
      </c>
      <c r="B2662" t="s">
        <v>93</v>
      </c>
      <c r="E2662" t="s">
        <v>29</v>
      </c>
      <c r="F2662">
        <v>505039</v>
      </c>
      <c r="G2662">
        <v>4</v>
      </c>
      <c r="H2662">
        <v>3</v>
      </c>
      <c r="I2662">
        <v>125</v>
      </c>
      <c r="J2662">
        <v>1975</v>
      </c>
      <c r="K2662" s="4">
        <v>44775</v>
      </c>
      <c r="L2662" t="s">
        <v>30</v>
      </c>
      <c r="M2662" t="s">
        <v>35</v>
      </c>
      <c r="N2662">
        <v>2.78</v>
      </c>
      <c r="O2662">
        <v>2093</v>
      </c>
      <c r="P2662">
        <v>0.67</v>
      </c>
      <c r="Q2662">
        <v>384</v>
      </c>
      <c r="R2662">
        <v>427</v>
      </c>
    </row>
    <row r="2663" spans="1:18" x14ac:dyDescent="0.2">
      <c r="A2663">
        <v>8</v>
      </c>
      <c r="B2663" t="s">
        <v>75</v>
      </c>
      <c r="E2663" t="s">
        <v>19</v>
      </c>
      <c r="F2663">
        <v>1625109</v>
      </c>
      <c r="G2663">
        <v>2</v>
      </c>
      <c r="H2663">
        <v>1</v>
      </c>
      <c r="I2663">
        <v>991</v>
      </c>
      <c r="J2663">
        <v>1954</v>
      </c>
      <c r="K2663" s="4">
        <v>45883</v>
      </c>
      <c r="L2663" t="s">
        <v>23</v>
      </c>
      <c r="M2663" t="s">
        <v>60</v>
      </c>
      <c r="N2663">
        <v>2.89</v>
      </c>
      <c r="O2663">
        <v>1236</v>
      </c>
      <c r="P2663">
        <v>4.0599999999999996</v>
      </c>
      <c r="Q2663">
        <v>85</v>
      </c>
      <c r="R2663">
        <v>314</v>
      </c>
    </row>
    <row r="2664" spans="1:18" hidden="1" x14ac:dyDescent="0.2">
      <c r="A2664">
        <v>6</v>
      </c>
      <c r="B2664" t="s">
        <v>101</v>
      </c>
      <c r="E2664" t="s">
        <v>51</v>
      </c>
      <c r="F2664">
        <v>2270451</v>
      </c>
      <c r="G2664">
        <v>4</v>
      </c>
      <c r="H2664">
        <v>3</v>
      </c>
      <c r="I2664">
        <v>934</v>
      </c>
      <c r="J2664">
        <v>2019</v>
      </c>
      <c r="K2664" s="4">
        <v>45611</v>
      </c>
      <c r="L2664" t="s">
        <v>30</v>
      </c>
      <c r="M2664" t="s">
        <v>33</v>
      </c>
      <c r="N2664">
        <v>2.96</v>
      </c>
      <c r="O2664">
        <v>1428</v>
      </c>
      <c r="P2664">
        <v>3.37</v>
      </c>
      <c r="Q2664">
        <v>181</v>
      </c>
      <c r="R2664">
        <v>335</v>
      </c>
    </row>
    <row r="2665" spans="1:18" hidden="1" x14ac:dyDescent="0.2">
      <c r="A2665">
        <v>3</v>
      </c>
      <c r="B2665" t="s">
        <v>102</v>
      </c>
      <c r="E2665" t="s">
        <v>19</v>
      </c>
      <c r="F2665">
        <v>1110810</v>
      </c>
      <c r="G2665">
        <v>3</v>
      </c>
      <c r="H2665">
        <v>1</v>
      </c>
      <c r="I2665">
        <v>201</v>
      </c>
      <c r="J2665">
        <v>1974</v>
      </c>
      <c r="K2665" s="4">
        <v>44831</v>
      </c>
      <c r="L2665" t="s">
        <v>23</v>
      </c>
      <c r="M2665" t="s">
        <v>52</v>
      </c>
      <c r="N2665">
        <v>2.2999999999999998</v>
      </c>
      <c r="O2665">
        <v>1823</v>
      </c>
      <c r="P2665">
        <v>4.17</v>
      </c>
      <c r="Q2665">
        <v>104</v>
      </c>
      <c r="R2665">
        <v>476</v>
      </c>
    </row>
    <row r="2666" spans="1:18" hidden="1" x14ac:dyDescent="0.2">
      <c r="A2666">
        <v>6</v>
      </c>
      <c r="B2666" t="s">
        <v>18</v>
      </c>
      <c r="E2666" t="s">
        <v>19</v>
      </c>
      <c r="F2666">
        <v>2174464</v>
      </c>
      <c r="G2666">
        <v>3</v>
      </c>
      <c r="H2666">
        <v>1</v>
      </c>
      <c r="I2666">
        <v>153</v>
      </c>
      <c r="J2666">
        <v>1991</v>
      </c>
      <c r="K2666" s="4">
        <v>44773</v>
      </c>
      <c r="L2666" t="s">
        <v>23</v>
      </c>
      <c r="M2666" t="s">
        <v>52</v>
      </c>
      <c r="N2666">
        <v>3.32</v>
      </c>
      <c r="O2666">
        <v>2317</v>
      </c>
      <c r="P2666">
        <v>4.97</v>
      </c>
      <c r="Q2666">
        <v>132</v>
      </c>
      <c r="R2666">
        <v>459</v>
      </c>
    </row>
    <row r="2667" spans="1:18" hidden="1" x14ac:dyDescent="0.2">
      <c r="A2667">
        <v>0</v>
      </c>
      <c r="B2667" t="s">
        <v>61</v>
      </c>
      <c r="E2667" t="s">
        <v>51</v>
      </c>
      <c r="F2667">
        <v>2553557</v>
      </c>
      <c r="G2667">
        <v>6</v>
      </c>
      <c r="H2667">
        <v>1</v>
      </c>
      <c r="I2667">
        <v>738</v>
      </c>
      <c r="J2667">
        <v>1956</v>
      </c>
      <c r="K2667" s="4">
        <v>44910</v>
      </c>
      <c r="L2667" t="s">
        <v>23</v>
      </c>
      <c r="M2667" t="s">
        <v>89</v>
      </c>
      <c r="N2667">
        <v>2.4900000000000002</v>
      </c>
      <c r="O2667">
        <v>2373</v>
      </c>
      <c r="P2667">
        <v>3.94</v>
      </c>
      <c r="Q2667">
        <v>383</v>
      </c>
      <c r="R2667">
        <v>538</v>
      </c>
    </row>
    <row r="2668" spans="1:18" hidden="1" x14ac:dyDescent="0.2">
      <c r="A2668">
        <v>4</v>
      </c>
      <c r="B2668" t="s">
        <v>102</v>
      </c>
      <c r="E2668" t="s">
        <v>103</v>
      </c>
      <c r="F2668">
        <v>2793954</v>
      </c>
      <c r="G2668">
        <v>6</v>
      </c>
      <c r="H2668">
        <v>2</v>
      </c>
      <c r="I2668">
        <v>356</v>
      </c>
      <c r="J2668">
        <v>1974</v>
      </c>
      <c r="K2668" s="4">
        <v>45866</v>
      </c>
      <c r="L2668" t="s">
        <v>23</v>
      </c>
      <c r="M2668" t="s">
        <v>33</v>
      </c>
      <c r="N2668">
        <v>3.27</v>
      </c>
      <c r="O2668">
        <v>2209</v>
      </c>
      <c r="P2668">
        <v>0.56000000000000005</v>
      </c>
      <c r="Q2668">
        <v>353</v>
      </c>
      <c r="R2668">
        <v>622</v>
      </c>
    </row>
    <row r="2669" spans="1:18" hidden="1" x14ac:dyDescent="0.2">
      <c r="A2669">
        <v>5</v>
      </c>
      <c r="B2669" t="s">
        <v>18</v>
      </c>
      <c r="E2669" t="s">
        <v>36</v>
      </c>
      <c r="F2669">
        <v>2413627</v>
      </c>
      <c r="G2669">
        <v>2</v>
      </c>
      <c r="H2669">
        <v>3</v>
      </c>
      <c r="I2669">
        <v>380</v>
      </c>
      <c r="J2669">
        <v>1985</v>
      </c>
      <c r="K2669" s="4">
        <v>44359</v>
      </c>
      <c r="L2669" t="s">
        <v>20</v>
      </c>
      <c r="M2669" t="s">
        <v>24</v>
      </c>
      <c r="N2669">
        <v>3.24</v>
      </c>
      <c r="O2669">
        <v>1844</v>
      </c>
      <c r="P2669">
        <v>2.81</v>
      </c>
      <c r="Q2669">
        <v>124</v>
      </c>
      <c r="R2669">
        <v>562</v>
      </c>
    </row>
    <row r="2670" spans="1:18" hidden="1" x14ac:dyDescent="0.2">
      <c r="A2670">
        <v>9</v>
      </c>
      <c r="B2670" t="s">
        <v>94</v>
      </c>
      <c r="E2670" t="s">
        <v>36</v>
      </c>
      <c r="F2670">
        <v>904736</v>
      </c>
      <c r="G2670">
        <v>5</v>
      </c>
      <c r="H2670">
        <v>3</v>
      </c>
      <c r="I2670">
        <v>407</v>
      </c>
      <c r="J2670">
        <v>1971</v>
      </c>
      <c r="K2670" s="4">
        <v>45815</v>
      </c>
      <c r="L2670" t="s">
        <v>30</v>
      </c>
      <c r="M2670" t="s">
        <v>59</v>
      </c>
      <c r="N2670">
        <v>1.68</v>
      </c>
      <c r="O2670">
        <v>1720</v>
      </c>
      <c r="P2670">
        <v>2.93</v>
      </c>
      <c r="Q2670">
        <v>294</v>
      </c>
      <c r="R2670">
        <v>313</v>
      </c>
    </row>
    <row r="2671" spans="1:18" hidden="1" x14ac:dyDescent="0.2">
      <c r="A2671">
        <v>4</v>
      </c>
      <c r="B2671" t="s">
        <v>55</v>
      </c>
      <c r="E2671" t="s">
        <v>36</v>
      </c>
      <c r="F2671">
        <v>1134231</v>
      </c>
      <c r="G2671">
        <v>4</v>
      </c>
      <c r="H2671">
        <v>2</v>
      </c>
      <c r="I2671">
        <v>871</v>
      </c>
      <c r="J2671">
        <v>1989</v>
      </c>
      <c r="K2671" s="4">
        <v>45237</v>
      </c>
      <c r="L2671" t="s">
        <v>23</v>
      </c>
      <c r="M2671" t="s">
        <v>76</v>
      </c>
      <c r="N2671">
        <v>3.12</v>
      </c>
      <c r="O2671">
        <v>1155</v>
      </c>
      <c r="P2671">
        <v>1.97</v>
      </c>
      <c r="Q2671">
        <v>277</v>
      </c>
      <c r="R2671">
        <v>398</v>
      </c>
    </row>
    <row r="2672" spans="1:18" hidden="1" x14ac:dyDescent="0.2">
      <c r="A2672">
        <v>6</v>
      </c>
      <c r="B2672" t="s">
        <v>84</v>
      </c>
      <c r="E2672" t="s">
        <v>36</v>
      </c>
      <c r="F2672">
        <v>2988429</v>
      </c>
      <c r="G2672">
        <v>4</v>
      </c>
      <c r="H2672">
        <v>1</v>
      </c>
      <c r="I2672">
        <v>133</v>
      </c>
      <c r="J2672">
        <v>1980</v>
      </c>
      <c r="K2672" s="4">
        <v>45663</v>
      </c>
      <c r="L2672" t="s">
        <v>20</v>
      </c>
      <c r="M2672" t="s">
        <v>68</v>
      </c>
      <c r="N2672">
        <v>1.72</v>
      </c>
      <c r="O2672">
        <v>1713</v>
      </c>
      <c r="P2672">
        <v>4.71</v>
      </c>
      <c r="Q2672">
        <v>352</v>
      </c>
      <c r="R2672">
        <v>677</v>
      </c>
    </row>
    <row r="2673" spans="1:18" hidden="1" x14ac:dyDescent="0.2">
      <c r="A2673">
        <v>7</v>
      </c>
      <c r="B2673" t="s">
        <v>55</v>
      </c>
      <c r="E2673" t="s">
        <v>29</v>
      </c>
      <c r="F2673">
        <v>2660717</v>
      </c>
      <c r="G2673">
        <v>3</v>
      </c>
      <c r="H2673">
        <v>2</v>
      </c>
      <c r="I2673">
        <v>267</v>
      </c>
      <c r="J2673">
        <v>1972</v>
      </c>
      <c r="K2673" s="4">
        <v>45436</v>
      </c>
      <c r="L2673" t="s">
        <v>20</v>
      </c>
      <c r="M2673" t="s">
        <v>45</v>
      </c>
      <c r="N2673">
        <v>2.2599999999999998</v>
      </c>
      <c r="O2673">
        <v>2077</v>
      </c>
      <c r="P2673">
        <v>2.25</v>
      </c>
      <c r="Q2673">
        <v>201</v>
      </c>
      <c r="R2673">
        <v>383</v>
      </c>
    </row>
    <row r="2674" spans="1:18" hidden="1" x14ac:dyDescent="0.2">
      <c r="A2674">
        <v>4</v>
      </c>
      <c r="B2674" t="s">
        <v>81</v>
      </c>
      <c r="E2674" t="s">
        <v>51</v>
      </c>
      <c r="F2674">
        <v>2882158</v>
      </c>
      <c r="G2674">
        <v>3</v>
      </c>
      <c r="H2674">
        <v>3</v>
      </c>
      <c r="I2674">
        <v>656</v>
      </c>
      <c r="J2674">
        <v>1985</v>
      </c>
      <c r="K2674" s="4">
        <v>44132</v>
      </c>
      <c r="L2674" t="s">
        <v>23</v>
      </c>
      <c r="M2674" t="s">
        <v>70</v>
      </c>
      <c r="N2674">
        <v>1.58</v>
      </c>
      <c r="O2674">
        <v>1280</v>
      </c>
      <c r="P2674">
        <v>3.66</v>
      </c>
      <c r="Q2674">
        <v>212</v>
      </c>
      <c r="R2674">
        <v>507</v>
      </c>
    </row>
    <row r="2675" spans="1:18" x14ac:dyDescent="0.2">
      <c r="A2675">
        <v>8</v>
      </c>
      <c r="B2675" t="s">
        <v>50</v>
      </c>
      <c r="E2675" t="s">
        <v>51</v>
      </c>
      <c r="F2675">
        <v>1153631</v>
      </c>
      <c r="G2675">
        <v>5</v>
      </c>
      <c r="H2675">
        <v>3</v>
      </c>
      <c r="I2675">
        <v>397</v>
      </c>
      <c r="J2675">
        <v>2019</v>
      </c>
      <c r="K2675" s="4">
        <v>44160</v>
      </c>
      <c r="L2675" t="s">
        <v>23</v>
      </c>
      <c r="M2675" t="s">
        <v>78</v>
      </c>
      <c r="N2675">
        <v>2.48</v>
      </c>
      <c r="O2675">
        <v>1514</v>
      </c>
      <c r="P2675">
        <v>0.72</v>
      </c>
      <c r="Q2675">
        <v>343</v>
      </c>
      <c r="R2675">
        <v>388</v>
      </c>
    </row>
    <row r="2676" spans="1:18" hidden="1" x14ac:dyDescent="0.2">
      <c r="A2676">
        <v>0</v>
      </c>
      <c r="B2676" t="s">
        <v>53</v>
      </c>
      <c r="E2676" t="s">
        <v>19</v>
      </c>
      <c r="F2676">
        <v>1920639</v>
      </c>
      <c r="G2676">
        <v>5</v>
      </c>
      <c r="H2676">
        <v>3</v>
      </c>
      <c r="I2676">
        <v>488</v>
      </c>
      <c r="J2676">
        <v>2009</v>
      </c>
      <c r="K2676" s="4">
        <v>44698</v>
      </c>
      <c r="L2676" t="s">
        <v>23</v>
      </c>
      <c r="M2676" t="s">
        <v>21</v>
      </c>
      <c r="N2676">
        <v>3.23</v>
      </c>
      <c r="O2676">
        <v>1412</v>
      </c>
      <c r="P2676">
        <v>1.03</v>
      </c>
      <c r="Q2676">
        <v>367</v>
      </c>
      <c r="R2676">
        <v>334</v>
      </c>
    </row>
    <row r="2677" spans="1:18" hidden="1" x14ac:dyDescent="0.2">
      <c r="A2677">
        <v>1</v>
      </c>
      <c r="B2677" t="s">
        <v>98</v>
      </c>
      <c r="E2677" t="s">
        <v>36</v>
      </c>
      <c r="F2677">
        <v>1749430</v>
      </c>
      <c r="G2677">
        <v>6</v>
      </c>
      <c r="H2677">
        <v>1</v>
      </c>
      <c r="I2677">
        <v>100</v>
      </c>
      <c r="J2677">
        <v>1955</v>
      </c>
      <c r="K2677" s="4">
        <v>45247</v>
      </c>
      <c r="L2677" t="s">
        <v>26</v>
      </c>
      <c r="M2677" t="s">
        <v>47</v>
      </c>
      <c r="N2677">
        <v>2.21</v>
      </c>
      <c r="O2677">
        <v>2308</v>
      </c>
      <c r="P2677">
        <v>0.71</v>
      </c>
      <c r="Q2677">
        <v>398</v>
      </c>
      <c r="R2677">
        <v>506</v>
      </c>
    </row>
    <row r="2678" spans="1:18" hidden="1" x14ac:dyDescent="0.2">
      <c r="A2678">
        <v>2</v>
      </c>
      <c r="B2678" t="s">
        <v>61</v>
      </c>
      <c r="E2678" t="s">
        <v>19</v>
      </c>
      <c r="F2678">
        <v>1325717</v>
      </c>
      <c r="G2678">
        <v>3</v>
      </c>
      <c r="H2678">
        <v>2</v>
      </c>
      <c r="I2678">
        <v>462</v>
      </c>
      <c r="J2678">
        <v>2020</v>
      </c>
      <c r="K2678" s="4">
        <v>44797</v>
      </c>
      <c r="L2678" t="s">
        <v>30</v>
      </c>
      <c r="M2678" t="s">
        <v>60</v>
      </c>
      <c r="N2678">
        <v>2.08</v>
      </c>
      <c r="O2678">
        <v>1847</v>
      </c>
      <c r="P2678">
        <v>2.69</v>
      </c>
      <c r="Q2678">
        <v>198</v>
      </c>
      <c r="R2678">
        <v>537</v>
      </c>
    </row>
    <row r="2679" spans="1:18" hidden="1" x14ac:dyDescent="0.2">
      <c r="A2679">
        <v>5</v>
      </c>
      <c r="B2679" t="s">
        <v>96</v>
      </c>
      <c r="E2679" t="s">
        <v>51</v>
      </c>
      <c r="F2679">
        <v>1586058</v>
      </c>
      <c r="G2679">
        <v>2</v>
      </c>
      <c r="H2679">
        <v>3</v>
      </c>
      <c r="I2679">
        <v>594</v>
      </c>
      <c r="J2679">
        <v>2014</v>
      </c>
      <c r="K2679" s="4">
        <v>45816</v>
      </c>
      <c r="L2679" t="s">
        <v>20</v>
      </c>
      <c r="M2679" t="s">
        <v>42</v>
      </c>
      <c r="N2679">
        <v>1.95</v>
      </c>
      <c r="O2679">
        <v>1414</v>
      </c>
      <c r="P2679">
        <v>4.8</v>
      </c>
      <c r="Q2679">
        <v>192</v>
      </c>
      <c r="R2679">
        <v>505</v>
      </c>
    </row>
    <row r="2680" spans="1:18" hidden="1" x14ac:dyDescent="0.2">
      <c r="A2680">
        <v>2</v>
      </c>
      <c r="B2680" t="s">
        <v>44</v>
      </c>
      <c r="E2680" t="s">
        <v>51</v>
      </c>
      <c r="F2680">
        <v>2675139</v>
      </c>
      <c r="G2680">
        <v>2</v>
      </c>
      <c r="H2680">
        <v>3</v>
      </c>
      <c r="I2680">
        <v>715</v>
      </c>
      <c r="J2680">
        <v>1980</v>
      </c>
      <c r="K2680" s="4">
        <v>44893</v>
      </c>
      <c r="L2680" t="s">
        <v>26</v>
      </c>
      <c r="M2680" t="s">
        <v>68</v>
      </c>
      <c r="N2680">
        <v>3.17</v>
      </c>
      <c r="O2680">
        <v>1451</v>
      </c>
      <c r="P2680">
        <v>2.02</v>
      </c>
      <c r="Q2680">
        <v>230</v>
      </c>
      <c r="R2680">
        <v>499</v>
      </c>
    </row>
    <row r="2681" spans="1:18" hidden="1" x14ac:dyDescent="0.2">
      <c r="A2681">
        <v>9</v>
      </c>
      <c r="B2681" t="s">
        <v>80</v>
      </c>
      <c r="E2681" t="s">
        <v>36</v>
      </c>
      <c r="F2681">
        <v>1244890</v>
      </c>
      <c r="G2681">
        <v>4</v>
      </c>
      <c r="H2681">
        <v>1</v>
      </c>
      <c r="I2681">
        <v>458</v>
      </c>
      <c r="J2681">
        <v>1971</v>
      </c>
      <c r="K2681" s="4">
        <v>45477</v>
      </c>
      <c r="L2681" t="s">
        <v>23</v>
      </c>
      <c r="M2681" t="s">
        <v>52</v>
      </c>
      <c r="N2681">
        <v>1.93</v>
      </c>
      <c r="O2681">
        <v>1445</v>
      </c>
      <c r="P2681">
        <v>4.1100000000000003</v>
      </c>
      <c r="Q2681">
        <v>168</v>
      </c>
      <c r="R2681">
        <v>603</v>
      </c>
    </row>
    <row r="2682" spans="1:18" hidden="1" x14ac:dyDescent="0.2">
      <c r="A2682">
        <v>3</v>
      </c>
      <c r="B2682" t="s">
        <v>80</v>
      </c>
      <c r="E2682" t="s">
        <v>36</v>
      </c>
      <c r="F2682">
        <v>804230</v>
      </c>
      <c r="G2682">
        <v>4</v>
      </c>
      <c r="H2682">
        <v>1</v>
      </c>
      <c r="I2682">
        <v>792</v>
      </c>
      <c r="J2682">
        <v>1974</v>
      </c>
      <c r="K2682" s="4">
        <v>45667</v>
      </c>
      <c r="L2682" t="s">
        <v>30</v>
      </c>
      <c r="M2682" t="s">
        <v>35</v>
      </c>
      <c r="N2682">
        <v>3.22</v>
      </c>
      <c r="O2682">
        <v>1011</v>
      </c>
      <c r="P2682">
        <v>0.51</v>
      </c>
      <c r="Q2682">
        <v>365</v>
      </c>
      <c r="R2682">
        <v>512</v>
      </c>
    </row>
    <row r="2683" spans="1:18" hidden="1" x14ac:dyDescent="0.2">
      <c r="A2683">
        <v>7</v>
      </c>
      <c r="B2683" t="s">
        <v>93</v>
      </c>
      <c r="E2683" t="s">
        <v>36</v>
      </c>
      <c r="F2683">
        <v>427978</v>
      </c>
      <c r="G2683">
        <v>5</v>
      </c>
      <c r="H2683">
        <v>2</v>
      </c>
      <c r="I2683">
        <v>897</v>
      </c>
      <c r="J2683">
        <v>1958</v>
      </c>
      <c r="K2683" s="4">
        <v>45629</v>
      </c>
      <c r="L2683" t="s">
        <v>20</v>
      </c>
      <c r="M2683" t="s">
        <v>37</v>
      </c>
      <c r="N2683">
        <v>2.21</v>
      </c>
      <c r="O2683">
        <v>1273</v>
      </c>
      <c r="P2683">
        <v>3.78</v>
      </c>
      <c r="Q2683">
        <v>241</v>
      </c>
      <c r="R2683">
        <v>300</v>
      </c>
    </row>
    <row r="2684" spans="1:18" hidden="1" x14ac:dyDescent="0.2">
      <c r="A2684">
        <v>7</v>
      </c>
      <c r="B2684" t="s">
        <v>32</v>
      </c>
      <c r="E2684" t="s">
        <v>51</v>
      </c>
      <c r="F2684">
        <v>629435</v>
      </c>
      <c r="G2684">
        <v>3</v>
      </c>
      <c r="H2684">
        <v>2</v>
      </c>
      <c r="I2684">
        <v>483</v>
      </c>
      <c r="J2684">
        <v>2011</v>
      </c>
      <c r="K2684" s="4">
        <v>44474</v>
      </c>
      <c r="L2684" t="s">
        <v>30</v>
      </c>
      <c r="M2684" t="s">
        <v>47</v>
      </c>
      <c r="N2684">
        <v>2.0099999999999998</v>
      </c>
      <c r="O2684">
        <v>1019</v>
      </c>
      <c r="P2684">
        <v>1.5</v>
      </c>
      <c r="Q2684">
        <v>134</v>
      </c>
      <c r="R2684">
        <v>442</v>
      </c>
    </row>
    <row r="2685" spans="1:18" hidden="1" x14ac:dyDescent="0.2">
      <c r="A2685">
        <v>7</v>
      </c>
      <c r="B2685" t="s">
        <v>25</v>
      </c>
      <c r="E2685" t="s">
        <v>29</v>
      </c>
      <c r="F2685">
        <v>2447144</v>
      </c>
      <c r="G2685">
        <v>3</v>
      </c>
      <c r="H2685">
        <v>1</v>
      </c>
      <c r="I2685">
        <v>472</v>
      </c>
      <c r="J2685">
        <v>1970</v>
      </c>
      <c r="K2685" s="4">
        <v>45181</v>
      </c>
      <c r="L2685" t="s">
        <v>30</v>
      </c>
      <c r="M2685" t="s">
        <v>45</v>
      </c>
      <c r="N2685">
        <v>2.19</v>
      </c>
      <c r="O2685">
        <v>1197</v>
      </c>
      <c r="P2685">
        <v>1.74</v>
      </c>
      <c r="Q2685">
        <v>227</v>
      </c>
      <c r="R2685">
        <v>437</v>
      </c>
    </row>
    <row r="2686" spans="1:18" hidden="1" x14ac:dyDescent="0.2">
      <c r="A2686">
        <v>2</v>
      </c>
      <c r="B2686" t="s">
        <v>50</v>
      </c>
      <c r="E2686" t="s">
        <v>19</v>
      </c>
      <c r="F2686">
        <v>1802878</v>
      </c>
      <c r="G2686">
        <v>4</v>
      </c>
      <c r="H2686">
        <v>2</v>
      </c>
      <c r="I2686">
        <v>205</v>
      </c>
      <c r="J2686">
        <v>2020</v>
      </c>
      <c r="K2686" s="4">
        <v>45484</v>
      </c>
      <c r="L2686" t="s">
        <v>30</v>
      </c>
      <c r="M2686" t="s">
        <v>60</v>
      </c>
      <c r="N2686">
        <v>1.9</v>
      </c>
      <c r="O2686">
        <v>2178</v>
      </c>
      <c r="P2686">
        <v>4.79</v>
      </c>
      <c r="Q2686">
        <v>282</v>
      </c>
      <c r="R2686">
        <v>352</v>
      </c>
    </row>
    <row r="2687" spans="1:18" hidden="1" x14ac:dyDescent="0.2">
      <c r="A2687">
        <v>2</v>
      </c>
      <c r="B2687" t="s">
        <v>73</v>
      </c>
      <c r="E2687" t="s">
        <v>29</v>
      </c>
      <c r="F2687">
        <v>2944453</v>
      </c>
      <c r="G2687">
        <v>4</v>
      </c>
      <c r="H2687">
        <v>1</v>
      </c>
      <c r="I2687">
        <v>588</v>
      </c>
      <c r="J2687">
        <v>1964</v>
      </c>
      <c r="K2687" s="4">
        <v>44133</v>
      </c>
      <c r="L2687" t="s">
        <v>30</v>
      </c>
      <c r="M2687" t="s">
        <v>52</v>
      </c>
      <c r="N2687">
        <v>1.95</v>
      </c>
      <c r="O2687">
        <v>1177</v>
      </c>
      <c r="P2687">
        <v>3.94</v>
      </c>
      <c r="Q2687">
        <v>211</v>
      </c>
      <c r="R2687">
        <v>305</v>
      </c>
    </row>
    <row r="2688" spans="1:18" hidden="1" x14ac:dyDescent="0.2">
      <c r="A2688">
        <v>5</v>
      </c>
      <c r="B2688" t="s">
        <v>48</v>
      </c>
      <c r="E2688" t="s">
        <v>36</v>
      </c>
      <c r="F2688">
        <v>1284181</v>
      </c>
      <c r="G2688">
        <v>2</v>
      </c>
      <c r="H2688">
        <v>2</v>
      </c>
      <c r="I2688">
        <v>266</v>
      </c>
      <c r="J2688">
        <v>1966</v>
      </c>
      <c r="K2688" s="4">
        <v>45824</v>
      </c>
      <c r="L2688" t="s">
        <v>20</v>
      </c>
      <c r="M2688" t="s">
        <v>52</v>
      </c>
      <c r="N2688">
        <v>1.56</v>
      </c>
      <c r="O2688">
        <v>2011</v>
      </c>
      <c r="P2688">
        <v>1.34</v>
      </c>
      <c r="Q2688">
        <v>42</v>
      </c>
      <c r="R2688">
        <v>384</v>
      </c>
    </row>
    <row r="2689" spans="1:18" x14ac:dyDescent="0.2">
      <c r="A2689">
        <v>8</v>
      </c>
      <c r="B2689" t="s">
        <v>90</v>
      </c>
      <c r="E2689" t="s">
        <v>51</v>
      </c>
      <c r="F2689">
        <v>2542351</v>
      </c>
      <c r="G2689">
        <v>0</v>
      </c>
      <c r="H2689">
        <v>3</v>
      </c>
      <c r="I2689">
        <v>483</v>
      </c>
      <c r="J2689">
        <v>1987</v>
      </c>
      <c r="K2689" s="4">
        <v>45792</v>
      </c>
      <c r="L2689" t="s">
        <v>20</v>
      </c>
      <c r="M2689" t="s">
        <v>70</v>
      </c>
      <c r="N2689">
        <v>2.8</v>
      </c>
      <c r="O2689">
        <v>974</v>
      </c>
      <c r="P2689">
        <v>2.14</v>
      </c>
      <c r="Q2689">
        <v>59</v>
      </c>
      <c r="R2689">
        <v>693</v>
      </c>
    </row>
    <row r="2690" spans="1:18" hidden="1" x14ac:dyDescent="0.2">
      <c r="A2690">
        <v>9</v>
      </c>
      <c r="B2690" t="s">
        <v>73</v>
      </c>
      <c r="E2690" t="s">
        <v>19</v>
      </c>
      <c r="F2690">
        <v>2466271</v>
      </c>
      <c r="G2690">
        <v>5</v>
      </c>
      <c r="H2690">
        <v>2</v>
      </c>
      <c r="I2690">
        <v>110</v>
      </c>
      <c r="J2690">
        <v>1967</v>
      </c>
      <c r="K2690" s="4">
        <v>44547</v>
      </c>
      <c r="L2690" t="s">
        <v>23</v>
      </c>
      <c r="M2690" t="s">
        <v>76</v>
      </c>
      <c r="N2690">
        <v>3.17</v>
      </c>
      <c r="O2690">
        <v>1780</v>
      </c>
      <c r="P2690">
        <v>4.46</v>
      </c>
      <c r="Q2690">
        <v>325</v>
      </c>
      <c r="R2690">
        <v>621</v>
      </c>
    </row>
    <row r="2691" spans="1:18" hidden="1" x14ac:dyDescent="0.2">
      <c r="A2691">
        <v>5</v>
      </c>
      <c r="B2691" t="s">
        <v>38</v>
      </c>
      <c r="E2691" t="s">
        <v>19</v>
      </c>
      <c r="F2691">
        <v>1013641</v>
      </c>
      <c r="G2691">
        <v>6</v>
      </c>
      <c r="H2691">
        <v>3</v>
      </c>
      <c r="I2691">
        <v>759</v>
      </c>
      <c r="J2691">
        <v>1964</v>
      </c>
      <c r="K2691" s="4">
        <v>45639</v>
      </c>
      <c r="L2691" t="s">
        <v>23</v>
      </c>
      <c r="M2691" t="s">
        <v>33</v>
      </c>
      <c r="N2691">
        <v>2.14</v>
      </c>
      <c r="O2691">
        <v>2397</v>
      </c>
      <c r="P2691">
        <v>1.18</v>
      </c>
      <c r="Q2691">
        <v>360</v>
      </c>
      <c r="R2691">
        <v>576</v>
      </c>
    </row>
    <row r="2692" spans="1:18" hidden="1" x14ac:dyDescent="0.2">
      <c r="A2692">
        <v>9</v>
      </c>
      <c r="B2692" t="s">
        <v>61</v>
      </c>
      <c r="E2692" t="s">
        <v>19</v>
      </c>
      <c r="F2692">
        <v>963972</v>
      </c>
      <c r="G2692">
        <v>6</v>
      </c>
      <c r="H2692">
        <v>2</v>
      </c>
      <c r="I2692">
        <v>157</v>
      </c>
      <c r="J2692">
        <v>1984</v>
      </c>
      <c r="K2692" s="4">
        <v>45832</v>
      </c>
      <c r="L2692" t="s">
        <v>30</v>
      </c>
      <c r="M2692" t="s">
        <v>33</v>
      </c>
      <c r="N2692">
        <v>2.76</v>
      </c>
      <c r="O2692">
        <v>2224</v>
      </c>
      <c r="P2692">
        <v>1.98</v>
      </c>
      <c r="Q2692">
        <v>324</v>
      </c>
      <c r="R2692">
        <v>628</v>
      </c>
    </row>
    <row r="2693" spans="1:18" hidden="1" x14ac:dyDescent="0.2">
      <c r="A2693">
        <v>1</v>
      </c>
      <c r="B2693" t="s">
        <v>32</v>
      </c>
      <c r="E2693" t="s">
        <v>36</v>
      </c>
      <c r="F2693">
        <v>2097595</v>
      </c>
      <c r="G2693">
        <v>-2</v>
      </c>
      <c r="H2693">
        <v>1</v>
      </c>
      <c r="I2693">
        <v>643</v>
      </c>
      <c r="J2693">
        <v>2001</v>
      </c>
      <c r="K2693" s="4">
        <v>45179</v>
      </c>
      <c r="L2693" t="s">
        <v>20</v>
      </c>
      <c r="M2693" t="s">
        <v>27</v>
      </c>
      <c r="N2693">
        <v>3.24</v>
      </c>
      <c r="O2693">
        <v>2188</v>
      </c>
      <c r="P2693">
        <v>1.51</v>
      </c>
      <c r="Q2693">
        <v>310</v>
      </c>
      <c r="R2693">
        <v>427</v>
      </c>
    </row>
    <row r="2694" spans="1:18" hidden="1" x14ac:dyDescent="0.2">
      <c r="A2694">
        <v>6</v>
      </c>
      <c r="B2694" t="s">
        <v>72</v>
      </c>
      <c r="E2694" t="s">
        <v>51</v>
      </c>
      <c r="F2694">
        <v>810723</v>
      </c>
      <c r="G2694">
        <v>2</v>
      </c>
      <c r="H2694">
        <v>2</v>
      </c>
      <c r="I2694">
        <v>898</v>
      </c>
      <c r="J2694">
        <v>1963</v>
      </c>
      <c r="K2694" s="4">
        <v>44540</v>
      </c>
      <c r="L2694" t="s">
        <v>23</v>
      </c>
      <c r="M2694" t="s">
        <v>69</v>
      </c>
      <c r="N2694">
        <v>1.93</v>
      </c>
      <c r="O2694">
        <v>1142</v>
      </c>
      <c r="P2694">
        <v>1.73</v>
      </c>
      <c r="Q2694">
        <v>48</v>
      </c>
      <c r="R2694">
        <v>619</v>
      </c>
    </row>
    <row r="2695" spans="1:18" hidden="1" x14ac:dyDescent="0.2">
      <c r="A2695">
        <v>2</v>
      </c>
      <c r="B2695" t="s">
        <v>72</v>
      </c>
      <c r="E2695" t="s">
        <v>51</v>
      </c>
      <c r="F2695">
        <v>1991359</v>
      </c>
      <c r="G2695">
        <v>4</v>
      </c>
      <c r="H2695">
        <v>3</v>
      </c>
      <c r="I2695">
        <v>641</v>
      </c>
      <c r="J2695">
        <v>2008</v>
      </c>
      <c r="K2695" s="4">
        <v>44092</v>
      </c>
      <c r="L2695" t="s">
        <v>30</v>
      </c>
      <c r="M2695" t="s">
        <v>37</v>
      </c>
      <c r="N2695">
        <v>1.5</v>
      </c>
      <c r="O2695">
        <v>1701</v>
      </c>
      <c r="P2695">
        <v>4.3899999999999997</v>
      </c>
      <c r="Q2695">
        <v>192</v>
      </c>
      <c r="R2695">
        <v>463</v>
      </c>
    </row>
    <row r="2696" spans="1:18" hidden="1" x14ac:dyDescent="0.2">
      <c r="A2696">
        <v>9</v>
      </c>
      <c r="B2696" t="s">
        <v>87</v>
      </c>
      <c r="E2696" t="s">
        <v>19</v>
      </c>
      <c r="F2696">
        <v>1612203</v>
      </c>
      <c r="G2696">
        <v>3</v>
      </c>
      <c r="H2696">
        <v>3</v>
      </c>
      <c r="I2696">
        <v>330</v>
      </c>
      <c r="J2696">
        <v>1973</v>
      </c>
      <c r="K2696" s="4">
        <v>44755</v>
      </c>
      <c r="L2696" t="s">
        <v>23</v>
      </c>
      <c r="M2696" t="s">
        <v>97</v>
      </c>
      <c r="N2696">
        <v>1.99</v>
      </c>
      <c r="O2696">
        <v>1540</v>
      </c>
      <c r="P2696">
        <v>2.23</v>
      </c>
      <c r="Q2696">
        <v>289</v>
      </c>
      <c r="R2696">
        <v>337</v>
      </c>
    </row>
    <row r="2697" spans="1:18" hidden="1" x14ac:dyDescent="0.2">
      <c r="A2697">
        <v>4</v>
      </c>
      <c r="B2697" t="s">
        <v>50</v>
      </c>
      <c r="E2697" t="s">
        <v>29</v>
      </c>
      <c r="F2697">
        <v>1346872</v>
      </c>
      <c r="G2697">
        <v>2</v>
      </c>
      <c r="H2697">
        <v>1</v>
      </c>
      <c r="I2697">
        <v>258</v>
      </c>
      <c r="J2697">
        <v>1990</v>
      </c>
      <c r="K2697" s="4">
        <v>44300</v>
      </c>
      <c r="L2697" t="s">
        <v>26</v>
      </c>
      <c r="M2697" t="s">
        <v>40</v>
      </c>
      <c r="N2697">
        <v>2.98</v>
      </c>
      <c r="O2697">
        <v>1511</v>
      </c>
      <c r="P2697">
        <v>3.02</v>
      </c>
      <c r="Q2697">
        <v>166</v>
      </c>
      <c r="R2697">
        <v>604</v>
      </c>
    </row>
    <row r="2698" spans="1:18" hidden="1" x14ac:dyDescent="0.2">
      <c r="A2698">
        <v>3</v>
      </c>
      <c r="B2698" t="s">
        <v>73</v>
      </c>
      <c r="E2698" t="s">
        <v>29</v>
      </c>
      <c r="F2698">
        <v>925502</v>
      </c>
      <c r="G2698">
        <v>4</v>
      </c>
      <c r="H2698">
        <v>3</v>
      </c>
      <c r="I2698">
        <v>608</v>
      </c>
      <c r="J2698">
        <v>1972</v>
      </c>
      <c r="K2698" s="4">
        <v>45457</v>
      </c>
      <c r="L2698" t="s">
        <v>23</v>
      </c>
      <c r="M2698" t="s">
        <v>52</v>
      </c>
      <c r="N2698">
        <v>2.21</v>
      </c>
      <c r="O2698">
        <v>1447</v>
      </c>
      <c r="P2698">
        <v>2.84</v>
      </c>
      <c r="Q2698">
        <v>175</v>
      </c>
      <c r="R2698">
        <v>437</v>
      </c>
    </row>
    <row r="2699" spans="1:18" hidden="1" x14ac:dyDescent="0.2">
      <c r="A2699">
        <v>6</v>
      </c>
      <c r="B2699" t="s">
        <v>105</v>
      </c>
      <c r="E2699" t="s">
        <v>36</v>
      </c>
      <c r="F2699">
        <v>479782</v>
      </c>
      <c r="G2699">
        <v>3</v>
      </c>
      <c r="H2699">
        <v>2</v>
      </c>
      <c r="I2699">
        <v>119</v>
      </c>
      <c r="J2699">
        <v>1987</v>
      </c>
      <c r="K2699" s="4">
        <v>45096</v>
      </c>
      <c r="L2699" t="s">
        <v>23</v>
      </c>
      <c r="M2699" t="s">
        <v>76</v>
      </c>
      <c r="N2699">
        <v>3.44</v>
      </c>
      <c r="O2699">
        <v>916</v>
      </c>
      <c r="P2699">
        <v>2.73</v>
      </c>
      <c r="Q2699">
        <v>207</v>
      </c>
      <c r="R2699">
        <v>666</v>
      </c>
    </row>
    <row r="2700" spans="1:18" hidden="1" x14ac:dyDescent="0.2">
      <c r="A2700">
        <v>1</v>
      </c>
      <c r="B2700" t="s">
        <v>93</v>
      </c>
      <c r="E2700" t="s">
        <v>51</v>
      </c>
      <c r="F2700">
        <v>1866493</v>
      </c>
      <c r="G2700">
        <v>1</v>
      </c>
      <c r="H2700">
        <v>2</v>
      </c>
      <c r="I2700">
        <v>538</v>
      </c>
      <c r="J2700">
        <v>1973</v>
      </c>
      <c r="K2700" s="4">
        <v>45838</v>
      </c>
      <c r="L2700" t="s">
        <v>23</v>
      </c>
      <c r="M2700" t="s">
        <v>70</v>
      </c>
      <c r="N2700">
        <v>1.84</v>
      </c>
      <c r="O2700">
        <v>863</v>
      </c>
      <c r="P2700">
        <v>4.78</v>
      </c>
      <c r="Q2700">
        <v>117</v>
      </c>
      <c r="R2700">
        <v>359</v>
      </c>
    </row>
    <row r="2701" spans="1:18" x14ac:dyDescent="0.2">
      <c r="A2701">
        <v>8</v>
      </c>
      <c r="B2701" t="s">
        <v>44</v>
      </c>
      <c r="E2701" t="s">
        <v>36</v>
      </c>
      <c r="F2701">
        <v>419669</v>
      </c>
      <c r="G2701">
        <v>3</v>
      </c>
      <c r="H2701">
        <v>1</v>
      </c>
      <c r="I2701">
        <v>690</v>
      </c>
      <c r="J2701">
        <v>1975</v>
      </c>
      <c r="K2701" s="4">
        <v>45082</v>
      </c>
      <c r="L2701" t="s">
        <v>30</v>
      </c>
      <c r="M2701" t="s">
        <v>45</v>
      </c>
      <c r="N2701">
        <v>1.67</v>
      </c>
      <c r="O2701">
        <v>2299</v>
      </c>
      <c r="P2701">
        <v>2.71</v>
      </c>
      <c r="Q2701">
        <v>161</v>
      </c>
      <c r="R2701">
        <v>662</v>
      </c>
    </row>
    <row r="2702" spans="1:18" hidden="1" x14ac:dyDescent="0.2">
      <c r="A2702">
        <v>7</v>
      </c>
      <c r="B2702" t="s">
        <v>84</v>
      </c>
      <c r="E2702" t="s">
        <v>29</v>
      </c>
      <c r="F2702">
        <v>2321015</v>
      </c>
      <c r="G2702">
        <v>4</v>
      </c>
      <c r="H2702">
        <v>1</v>
      </c>
      <c r="I2702">
        <v>185</v>
      </c>
      <c r="J2702">
        <v>1994</v>
      </c>
      <c r="K2702" s="4">
        <v>45698</v>
      </c>
      <c r="L2702" t="s">
        <v>23</v>
      </c>
      <c r="M2702" t="s">
        <v>47</v>
      </c>
      <c r="N2702">
        <v>3.4</v>
      </c>
      <c r="O2702">
        <v>1669</v>
      </c>
      <c r="P2702">
        <v>0.54</v>
      </c>
      <c r="Q2702">
        <v>207</v>
      </c>
      <c r="R2702">
        <v>526</v>
      </c>
    </row>
    <row r="2703" spans="1:18" hidden="1" x14ac:dyDescent="0.2">
      <c r="A2703">
        <v>2</v>
      </c>
      <c r="B2703" t="s">
        <v>53</v>
      </c>
      <c r="E2703" t="s">
        <v>19</v>
      </c>
      <c r="F2703">
        <v>1745158</v>
      </c>
      <c r="G2703">
        <v>2</v>
      </c>
      <c r="H2703">
        <v>3</v>
      </c>
      <c r="I2703">
        <v>84</v>
      </c>
      <c r="J2703">
        <v>2008</v>
      </c>
      <c r="K2703" s="4">
        <v>44621</v>
      </c>
      <c r="L2703" t="s">
        <v>26</v>
      </c>
      <c r="M2703" t="s">
        <v>97</v>
      </c>
      <c r="N2703">
        <v>3.02</v>
      </c>
      <c r="O2703">
        <v>1766</v>
      </c>
      <c r="P2703">
        <v>3.49</v>
      </c>
      <c r="Q2703">
        <v>189</v>
      </c>
      <c r="R2703">
        <v>419</v>
      </c>
    </row>
    <row r="2704" spans="1:18" x14ac:dyDescent="0.2">
      <c r="A2704">
        <v>8</v>
      </c>
      <c r="B2704" t="s">
        <v>95</v>
      </c>
      <c r="E2704" t="s">
        <v>36</v>
      </c>
      <c r="F2704">
        <v>1112507</v>
      </c>
      <c r="G2704">
        <v>4</v>
      </c>
      <c r="H2704">
        <v>3</v>
      </c>
      <c r="I2704">
        <v>345</v>
      </c>
      <c r="J2704">
        <v>1986</v>
      </c>
      <c r="K2704" s="4">
        <v>44353</v>
      </c>
      <c r="L2704" t="s">
        <v>30</v>
      </c>
      <c r="M2704" t="s">
        <v>85</v>
      </c>
      <c r="N2704">
        <v>3.26</v>
      </c>
      <c r="O2704">
        <v>1870</v>
      </c>
      <c r="P2704">
        <v>1.77</v>
      </c>
      <c r="Q2704">
        <v>312</v>
      </c>
      <c r="R2704">
        <v>532</v>
      </c>
    </row>
    <row r="2705" spans="1:18" hidden="1" x14ac:dyDescent="0.2">
      <c r="A2705">
        <v>9</v>
      </c>
      <c r="B2705" t="s">
        <v>18</v>
      </c>
      <c r="E2705" t="s">
        <v>36</v>
      </c>
      <c r="F2705">
        <v>2561102</v>
      </c>
      <c r="G2705">
        <v>6</v>
      </c>
      <c r="H2705">
        <v>3</v>
      </c>
      <c r="I2705">
        <v>958</v>
      </c>
      <c r="J2705">
        <v>2001</v>
      </c>
      <c r="K2705" s="4">
        <v>45791</v>
      </c>
      <c r="L2705" t="s">
        <v>23</v>
      </c>
      <c r="M2705" t="s">
        <v>69</v>
      </c>
      <c r="N2705">
        <v>2.73</v>
      </c>
      <c r="O2705">
        <v>2318</v>
      </c>
      <c r="P2705">
        <v>3.6</v>
      </c>
      <c r="Q2705">
        <v>393</v>
      </c>
      <c r="R2705">
        <v>575</v>
      </c>
    </row>
    <row r="2706" spans="1:18" hidden="1" x14ac:dyDescent="0.2">
      <c r="A2706">
        <v>1</v>
      </c>
      <c r="B2706" t="s">
        <v>94</v>
      </c>
      <c r="E2706" t="s">
        <v>36</v>
      </c>
      <c r="F2706">
        <v>2512595</v>
      </c>
      <c r="G2706">
        <v>2</v>
      </c>
      <c r="H2706">
        <v>3</v>
      </c>
      <c r="I2706">
        <v>217</v>
      </c>
      <c r="J2706">
        <v>1998</v>
      </c>
      <c r="K2706" s="4">
        <v>45280</v>
      </c>
      <c r="L2706" t="s">
        <v>30</v>
      </c>
      <c r="M2706" t="s">
        <v>74</v>
      </c>
      <c r="N2706">
        <v>2.2999999999999998</v>
      </c>
      <c r="O2706">
        <v>1748</v>
      </c>
      <c r="P2706">
        <v>1.26</v>
      </c>
      <c r="Q2706">
        <v>219</v>
      </c>
      <c r="R2706">
        <v>490</v>
      </c>
    </row>
    <row r="2707" spans="1:18" hidden="1" x14ac:dyDescent="0.2">
      <c r="A2707">
        <v>6</v>
      </c>
      <c r="B2707" t="s">
        <v>86</v>
      </c>
      <c r="E2707" t="s">
        <v>36</v>
      </c>
      <c r="F2707">
        <v>1732569</v>
      </c>
      <c r="G2707">
        <v>5</v>
      </c>
      <c r="H2707">
        <v>3</v>
      </c>
      <c r="I2707">
        <v>255</v>
      </c>
      <c r="J2707">
        <v>2014</v>
      </c>
      <c r="K2707" s="4">
        <v>44714</v>
      </c>
      <c r="L2707" t="s">
        <v>26</v>
      </c>
      <c r="M2707" t="s">
        <v>45</v>
      </c>
      <c r="N2707">
        <v>2.81</v>
      </c>
      <c r="O2707">
        <v>1119</v>
      </c>
      <c r="P2707">
        <v>4.53</v>
      </c>
      <c r="Q2707">
        <v>364</v>
      </c>
      <c r="R2707">
        <v>506</v>
      </c>
    </row>
    <row r="2708" spans="1:18" hidden="1" x14ac:dyDescent="0.2">
      <c r="A2708">
        <v>3</v>
      </c>
      <c r="B2708" t="s">
        <v>48</v>
      </c>
      <c r="E2708" t="s">
        <v>29</v>
      </c>
      <c r="F2708">
        <v>2921005</v>
      </c>
      <c r="G2708">
        <v>2</v>
      </c>
      <c r="H2708">
        <v>3</v>
      </c>
      <c r="I2708">
        <v>127</v>
      </c>
      <c r="J2708">
        <v>2016</v>
      </c>
      <c r="K2708" s="4">
        <v>45195</v>
      </c>
      <c r="L2708" t="s">
        <v>20</v>
      </c>
      <c r="M2708" t="s">
        <v>77</v>
      </c>
      <c r="N2708">
        <v>1.52</v>
      </c>
      <c r="O2708">
        <v>1716</v>
      </c>
      <c r="P2708">
        <v>2.96</v>
      </c>
      <c r="Q2708">
        <v>134</v>
      </c>
      <c r="R2708">
        <v>607</v>
      </c>
    </row>
    <row r="2709" spans="1:18" hidden="1" x14ac:dyDescent="0.2">
      <c r="A2709">
        <v>3</v>
      </c>
      <c r="B2709" t="s">
        <v>100</v>
      </c>
      <c r="E2709" t="s">
        <v>29</v>
      </c>
      <c r="F2709">
        <v>1882220</v>
      </c>
      <c r="G2709">
        <v>1</v>
      </c>
      <c r="H2709">
        <v>1</v>
      </c>
      <c r="I2709">
        <v>280</v>
      </c>
      <c r="J2709">
        <v>2019</v>
      </c>
      <c r="K2709" s="4">
        <v>44946</v>
      </c>
      <c r="L2709" t="s">
        <v>20</v>
      </c>
      <c r="M2709" t="s">
        <v>85</v>
      </c>
      <c r="N2709">
        <v>3.01</v>
      </c>
      <c r="O2709">
        <v>2466</v>
      </c>
      <c r="P2709">
        <v>3.64</v>
      </c>
      <c r="Q2709">
        <v>44</v>
      </c>
      <c r="R2709">
        <v>673</v>
      </c>
    </row>
    <row r="2710" spans="1:18" hidden="1" x14ac:dyDescent="0.2">
      <c r="A2710">
        <v>7</v>
      </c>
      <c r="B2710" t="s">
        <v>106</v>
      </c>
      <c r="E2710" t="s">
        <v>29</v>
      </c>
      <c r="F2710">
        <v>1899552</v>
      </c>
      <c r="G2710">
        <v>6</v>
      </c>
      <c r="H2710">
        <v>1</v>
      </c>
      <c r="I2710">
        <v>145</v>
      </c>
      <c r="J2710">
        <v>1953</v>
      </c>
      <c r="K2710" s="4">
        <v>45036</v>
      </c>
      <c r="L2710" t="s">
        <v>26</v>
      </c>
      <c r="M2710" t="s">
        <v>82</v>
      </c>
      <c r="N2710">
        <v>1.64</v>
      </c>
      <c r="O2710">
        <v>1230</v>
      </c>
      <c r="P2710">
        <v>1.53</v>
      </c>
      <c r="Q2710">
        <v>381</v>
      </c>
      <c r="R2710">
        <v>450</v>
      </c>
    </row>
    <row r="2711" spans="1:18" hidden="1" x14ac:dyDescent="0.2">
      <c r="A2711">
        <v>1</v>
      </c>
      <c r="B2711" t="s">
        <v>87</v>
      </c>
      <c r="E2711" t="s">
        <v>51</v>
      </c>
      <c r="F2711">
        <v>2591752</v>
      </c>
      <c r="G2711">
        <v>3</v>
      </c>
      <c r="H2711">
        <v>1</v>
      </c>
      <c r="I2711">
        <v>212</v>
      </c>
      <c r="J2711">
        <v>1963</v>
      </c>
      <c r="K2711" s="4">
        <v>44298</v>
      </c>
      <c r="L2711" t="s">
        <v>20</v>
      </c>
      <c r="M2711" t="s">
        <v>40</v>
      </c>
      <c r="N2711">
        <v>1.88</v>
      </c>
      <c r="O2711">
        <v>1402</v>
      </c>
      <c r="P2711">
        <v>2</v>
      </c>
      <c r="Q2711">
        <v>280</v>
      </c>
      <c r="R2711">
        <v>524</v>
      </c>
    </row>
    <row r="2712" spans="1:18" hidden="1" x14ac:dyDescent="0.2">
      <c r="A2712">
        <v>9</v>
      </c>
      <c r="B2712" t="s">
        <v>62</v>
      </c>
      <c r="E2712" t="s">
        <v>29</v>
      </c>
      <c r="F2712">
        <v>1546932</v>
      </c>
      <c r="G2712">
        <v>3</v>
      </c>
      <c r="H2712">
        <v>3</v>
      </c>
      <c r="I2712">
        <v>511</v>
      </c>
      <c r="J2712">
        <v>1953</v>
      </c>
      <c r="K2712" s="4">
        <v>45271</v>
      </c>
      <c r="L2712" t="s">
        <v>20</v>
      </c>
      <c r="M2712" t="s">
        <v>31</v>
      </c>
      <c r="N2712">
        <v>3.38</v>
      </c>
      <c r="O2712">
        <v>1695</v>
      </c>
      <c r="P2712">
        <v>0.11</v>
      </c>
      <c r="Q2712">
        <v>305</v>
      </c>
      <c r="R2712">
        <v>607</v>
      </c>
    </row>
    <row r="2713" spans="1:18" x14ac:dyDescent="0.2">
      <c r="A2713">
        <v>8</v>
      </c>
      <c r="B2713" t="s">
        <v>38</v>
      </c>
      <c r="E2713" t="s">
        <v>29</v>
      </c>
      <c r="F2713">
        <v>2068093</v>
      </c>
      <c r="G2713">
        <v>2</v>
      </c>
      <c r="H2713">
        <v>1</v>
      </c>
      <c r="I2713">
        <v>374</v>
      </c>
      <c r="J2713">
        <v>1977</v>
      </c>
      <c r="K2713" s="4">
        <v>45051</v>
      </c>
      <c r="L2713" t="s">
        <v>20</v>
      </c>
      <c r="M2713" t="s">
        <v>68</v>
      </c>
      <c r="N2713">
        <v>2.88</v>
      </c>
      <c r="O2713">
        <v>1352</v>
      </c>
      <c r="P2713">
        <v>3.92</v>
      </c>
      <c r="Q2713">
        <v>201</v>
      </c>
      <c r="R2713">
        <v>615</v>
      </c>
    </row>
    <row r="2714" spans="1:18" x14ac:dyDescent="0.2">
      <c r="A2714">
        <v>8</v>
      </c>
      <c r="B2714" t="s">
        <v>81</v>
      </c>
      <c r="E2714" t="s">
        <v>51</v>
      </c>
      <c r="F2714">
        <v>1924012</v>
      </c>
      <c r="G2714">
        <v>2</v>
      </c>
      <c r="H2714">
        <v>1</v>
      </c>
      <c r="I2714">
        <v>542</v>
      </c>
      <c r="J2714">
        <v>1988</v>
      </c>
      <c r="K2714" s="4">
        <v>45125</v>
      </c>
      <c r="L2714" t="s">
        <v>20</v>
      </c>
      <c r="M2714" t="s">
        <v>35</v>
      </c>
      <c r="N2714">
        <v>2.85</v>
      </c>
      <c r="O2714">
        <v>2464</v>
      </c>
      <c r="P2714">
        <v>1.9</v>
      </c>
      <c r="Q2714">
        <v>227</v>
      </c>
      <c r="R2714">
        <v>662</v>
      </c>
    </row>
    <row r="2715" spans="1:18" hidden="1" x14ac:dyDescent="0.2">
      <c r="A2715">
        <v>3</v>
      </c>
      <c r="B2715" t="s">
        <v>50</v>
      </c>
      <c r="E2715" t="s">
        <v>36</v>
      </c>
      <c r="F2715">
        <v>933900</v>
      </c>
      <c r="G2715">
        <v>4</v>
      </c>
      <c r="H2715">
        <v>3</v>
      </c>
      <c r="I2715">
        <v>868</v>
      </c>
      <c r="J2715">
        <v>1966</v>
      </c>
      <c r="K2715" s="4">
        <v>44618</v>
      </c>
      <c r="L2715" t="s">
        <v>20</v>
      </c>
      <c r="M2715" t="s">
        <v>33</v>
      </c>
      <c r="N2715">
        <v>1.75</v>
      </c>
      <c r="O2715">
        <v>1891</v>
      </c>
      <c r="P2715">
        <v>4.8600000000000003</v>
      </c>
      <c r="Q2715">
        <v>161</v>
      </c>
      <c r="R2715">
        <v>619</v>
      </c>
    </row>
    <row r="2716" spans="1:18" hidden="1" x14ac:dyDescent="0.2">
      <c r="A2716">
        <v>1</v>
      </c>
      <c r="B2716" t="s">
        <v>80</v>
      </c>
      <c r="E2716" t="s">
        <v>36</v>
      </c>
      <c r="F2716">
        <v>1701183</v>
      </c>
      <c r="G2716">
        <v>3</v>
      </c>
      <c r="H2716">
        <v>3</v>
      </c>
      <c r="I2716">
        <v>792</v>
      </c>
      <c r="J2716">
        <v>2016</v>
      </c>
      <c r="K2716" s="4">
        <v>44143</v>
      </c>
      <c r="L2716" t="s">
        <v>30</v>
      </c>
      <c r="M2716" t="s">
        <v>76</v>
      </c>
      <c r="N2716">
        <v>2.6</v>
      </c>
      <c r="O2716">
        <v>1757</v>
      </c>
      <c r="P2716">
        <v>1.3</v>
      </c>
      <c r="Q2716">
        <v>189</v>
      </c>
      <c r="R2716">
        <v>317</v>
      </c>
    </row>
    <row r="2717" spans="1:18" hidden="1" x14ac:dyDescent="0.2">
      <c r="A2717">
        <v>0</v>
      </c>
      <c r="B2717" t="s">
        <v>22</v>
      </c>
      <c r="E2717" t="s">
        <v>51</v>
      </c>
      <c r="F2717">
        <v>831959</v>
      </c>
      <c r="G2717">
        <v>3</v>
      </c>
      <c r="H2717">
        <v>1</v>
      </c>
      <c r="I2717">
        <v>272</v>
      </c>
      <c r="J2717">
        <v>2015</v>
      </c>
      <c r="K2717" s="4">
        <v>44340</v>
      </c>
      <c r="L2717" t="s">
        <v>23</v>
      </c>
      <c r="M2717" t="s">
        <v>77</v>
      </c>
      <c r="N2717">
        <v>3.17</v>
      </c>
      <c r="O2717">
        <v>924</v>
      </c>
      <c r="P2717">
        <v>2.83</v>
      </c>
      <c r="Q2717">
        <v>178</v>
      </c>
      <c r="R2717">
        <v>588</v>
      </c>
    </row>
    <row r="2718" spans="1:18" hidden="1" x14ac:dyDescent="0.2">
      <c r="A2718">
        <v>9</v>
      </c>
      <c r="B2718" t="s">
        <v>48</v>
      </c>
      <c r="E2718" t="s">
        <v>51</v>
      </c>
      <c r="F2718">
        <v>1758022</v>
      </c>
      <c r="G2718">
        <v>2</v>
      </c>
      <c r="H2718">
        <v>1</v>
      </c>
      <c r="I2718">
        <v>246</v>
      </c>
      <c r="J2718">
        <v>2000</v>
      </c>
      <c r="K2718" s="4">
        <v>45435</v>
      </c>
      <c r="L2718" t="s">
        <v>30</v>
      </c>
      <c r="M2718" t="s">
        <v>76</v>
      </c>
      <c r="N2718">
        <v>2.2400000000000002</v>
      </c>
      <c r="O2718">
        <v>1498</v>
      </c>
      <c r="P2718">
        <v>2.4300000000000002</v>
      </c>
      <c r="Q2718">
        <v>148</v>
      </c>
      <c r="R2718">
        <v>577</v>
      </c>
    </row>
    <row r="2719" spans="1:18" hidden="1" x14ac:dyDescent="0.2">
      <c r="A2719">
        <v>7</v>
      </c>
      <c r="B2719" t="s">
        <v>102</v>
      </c>
      <c r="E2719" t="s">
        <v>51</v>
      </c>
      <c r="F2719">
        <v>2697719</v>
      </c>
      <c r="G2719">
        <v>2</v>
      </c>
      <c r="H2719">
        <v>3</v>
      </c>
      <c r="I2719">
        <v>54</v>
      </c>
      <c r="J2719">
        <v>2018</v>
      </c>
      <c r="K2719" s="4">
        <v>45865</v>
      </c>
      <c r="L2719" t="s">
        <v>26</v>
      </c>
      <c r="M2719" t="s">
        <v>66</v>
      </c>
      <c r="N2719">
        <v>2.38</v>
      </c>
      <c r="O2719">
        <v>2044</v>
      </c>
      <c r="P2719">
        <v>1.19</v>
      </c>
      <c r="Q2719">
        <v>206</v>
      </c>
      <c r="R2719">
        <v>370</v>
      </c>
    </row>
    <row r="2720" spans="1:18" hidden="1" x14ac:dyDescent="0.2">
      <c r="A2720">
        <v>7</v>
      </c>
      <c r="B2720" t="s">
        <v>57</v>
      </c>
      <c r="E2720" t="s">
        <v>36</v>
      </c>
      <c r="F2720">
        <v>963945</v>
      </c>
      <c r="G2720">
        <v>5</v>
      </c>
      <c r="H2720">
        <v>1</v>
      </c>
      <c r="I2720">
        <v>114</v>
      </c>
      <c r="J2720">
        <v>1953</v>
      </c>
      <c r="K2720" s="4">
        <v>44528</v>
      </c>
      <c r="L2720" t="s">
        <v>26</v>
      </c>
      <c r="M2720" t="s">
        <v>21</v>
      </c>
      <c r="N2720">
        <v>1.91</v>
      </c>
      <c r="O2720">
        <v>2169</v>
      </c>
      <c r="P2720">
        <v>3.86</v>
      </c>
      <c r="Q2720">
        <v>380</v>
      </c>
      <c r="R2720">
        <v>649</v>
      </c>
    </row>
    <row r="2721" spans="1:18" hidden="1" x14ac:dyDescent="0.2">
      <c r="A2721">
        <v>2</v>
      </c>
      <c r="B2721" t="s">
        <v>71</v>
      </c>
      <c r="E2721" t="s">
        <v>36</v>
      </c>
      <c r="F2721">
        <v>2126653</v>
      </c>
      <c r="G2721">
        <v>2</v>
      </c>
      <c r="H2721">
        <v>2</v>
      </c>
      <c r="I2721">
        <v>615</v>
      </c>
      <c r="J2721">
        <v>1951</v>
      </c>
      <c r="K2721" s="4">
        <v>44399</v>
      </c>
      <c r="L2721" t="s">
        <v>23</v>
      </c>
      <c r="M2721" t="s">
        <v>77</v>
      </c>
      <c r="N2721">
        <v>1.61</v>
      </c>
      <c r="O2721">
        <v>2154</v>
      </c>
      <c r="P2721">
        <v>0.28000000000000003</v>
      </c>
      <c r="Q2721">
        <v>89</v>
      </c>
      <c r="R2721">
        <v>537</v>
      </c>
    </row>
    <row r="2722" spans="1:18" hidden="1" x14ac:dyDescent="0.2">
      <c r="A2722">
        <v>3</v>
      </c>
      <c r="B2722" t="s">
        <v>55</v>
      </c>
      <c r="E2722" t="s">
        <v>36</v>
      </c>
      <c r="F2722">
        <v>1374196</v>
      </c>
      <c r="G2722">
        <v>2</v>
      </c>
      <c r="H2722">
        <v>2</v>
      </c>
      <c r="I2722">
        <v>221</v>
      </c>
      <c r="J2722">
        <v>2000</v>
      </c>
      <c r="K2722" s="4">
        <v>44851</v>
      </c>
      <c r="L2722" t="s">
        <v>20</v>
      </c>
      <c r="M2722" t="s">
        <v>52</v>
      </c>
      <c r="N2722">
        <v>1.72</v>
      </c>
      <c r="O2722">
        <v>2294</v>
      </c>
      <c r="P2722">
        <v>2.17</v>
      </c>
      <c r="Q2722">
        <v>48</v>
      </c>
      <c r="R2722">
        <v>391</v>
      </c>
    </row>
    <row r="2723" spans="1:18" x14ac:dyDescent="0.2">
      <c r="A2723">
        <v>8</v>
      </c>
      <c r="B2723" t="s">
        <v>100</v>
      </c>
      <c r="E2723" t="s">
        <v>51</v>
      </c>
      <c r="F2723">
        <v>1652030</v>
      </c>
      <c r="G2723">
        <v>3</v>
      </c>
      <c r="H2723">
        <v>3</v>
      </c>
      <c r="I2723">
        <v>306</v>
      </c>
      <c r="J2723">
        <v>1996</v>
      </c>
      <c r="K2723" s="4">
        <v>45598</v>
      </c>
      <c r="L2723" t="s">
        <v>26</v>
      </c>
      <c r="M2723" t="s">
        <v>56</v>
      </c>
      <c r="N2723">
        <v>3.45</v>
      </c>
      <c r="O2723">
        <v>1843</v>
      </c>
      <c r="P2723">
        <v>4.47</v>
      </c>
      <c r="Q2723">
        <v>200</v>
      </c>
      <c r="R2723">
        <v>451</v>
      </c>
    </row>
    <row r="2724" spans="1:18" x14ac:dyDescent="0.2">
      <c r="A2724">
        <v>8</v>
      </c>
      <c r="B2724" t="s">
        <v>84</v>
      </c>
      <c r="E2724" t="s">
        <v>36</v>
      </c>
      <c r="F2724">
        <v>2142229</v>
      </c>
      <c r="G2724">
        <v>1</v>
      </c>
      <c r="H2724">
        <v>2</v>
      </c>
      <c r="I2724">
        <v>123</v>
      </c>
      <c r="J2724">
        <v>2008</v>
      </c>
      <c r="K2724" s="4">
        <v>44141</v>
      </c>
      <c r="L2724" t="s">
        <v>26</v>
      </c>
      <c r="M2724" t="s">
        <v>63</v>
      </c>
      <c r="N2724">
        <v>3.07</v>
      </c>
      <c r="O2724">
        <v>1170</v>
      </c>
      <c r="P2724">
        <v>3.91</v>
      </c>
      <c r="Q2724">
        <v>60</v>
      </c>
      <c r="R2724">
        <v>345</v>
      </c>
    </row>
    <row r="2725" spans="1:18" hidden="1" x14ac:dyDescent="0.2">
      <c r="A2725">
        <v>1</v>
      </c>
      <c r="B2725" t="s">
        <v>67</v>
      </c>
      <c r="E2725" t="s">
        <v>19</v>
      </c>
      <c r="F2725">
        <v>1673198</v>
      </c>
      <c r="G2725">
        <v>4</v>
      </c>
      <c r="H2725">
        <v>2</v>
      </c>
      <c r="I2725">
        <v>668</v>
      </c>
      <c r="J2725">
        <v>1954</v>
      </c>
      <c r="K2725" s="4">
        <v>44241</v>
      </c>
      <c r="L2725" t="s">
        <v>23</v>
      </c>
      <c r="M2725" t="s">
        <v>89</v>
      </c>
      <c r="N2725">
        <v>2.82</v>
      </c>
      <c r="O2725">
        <v>2272</v>
      </c>
      <c r="P2725">
        <v>4.63</v>
      </c>
      <c r="Q2725">
        <v>238</v>
      </c>
      <c r="R2725">
        <v>611</v>
      </c>
    </row>
    <row r="2726" spans="1:18" hidden="1" x14ac:dyDescent="0.2">
      <c r="A2726">
        <v>7</v>
      </c>
      <c r="B2726" t="s">
        <v>34</v>
      </c>
      <c r="E2726" t="s">
        <v>51</v>
      </c>
      <c r="F2726">
        <v>1415763</v>
      </c>
      <c r="G2726">
        <v>0</v>
      </c>
      <c r="H2726">
        <v>1</v>
      </c>
      <c r="I2726">
        <v>839</v>
      </c>
      <c r="J2726">
        <v>1965</v>
      </c>
      <c r="K2726" s="4">
        <v>44973</v>
      </c>
      <c r="L2726" t="s">
        <v>20</v>
      </c>
      <c r="M2726" t="s">
        <v>70</v>
      </c>
      <c r="N2726">
        <v>2.5299999999999998</v>
      </c>
      <c r="O2726">
        <v>1786</v>
      </c>
      <c r="P2726">
        <v>3.32</v>
      </c>
      <c r="Q2726">
        <v>65</v>
      </c>
      <c r="R2726">
        <v>345</v>
      </c>
    </row>
    <row r="2727" spans="1:18" hidden="1" x14ac:dyDescent="0.2">
      <c r="A2727">
        <v>1</v>
      </c>
      <c r="B2727" t="s">
        <v>106</v>
      </c>
      <c r="E2727" t="s">
        <v>19</v>
      </c>
      <c r="F2727">
        <v>2569840</v>
      </c>
      <c r="G2727">
        <v>4</v>
      </c>
      <c r="H2727">
        <v>3</v>
      </c>
      <c r="I2727">
        <v>564</v>
      </c>
      <c r="J2727">
        <v>2004</v>
      </c>
      <c r="K2727" s="4">
        <v>44172</v>
      </c>
      <c r="L2727" t="s">
        <v>26</v>
      </c>
      <c r="M2727" t="s">
        <v>82</v>
      </c>
      <c r="N2727">
        <v>3.03</v>
      </c>
      <c r="O2727">
        <v>1589</v>
      </c>
      <c r="P2727">
        <v>3.89</v>
      </c>
      <c r="Q2727">
        <v>234</v>
      </c>
      <c r="R2727">
        <v>508</v>
      </c>
    </row>
    <row r="2728" spans="1:18" hidden="1" x14ac:dyDescent="0.2">
      <c r="A2728">
        <v>1</v>
      </c>
      <c r="B2728" t="s">
        <v>50</v>
      </c>
      <c r="E2728" t="s">
        <v>36</v>
      </c>
      <c r="F2728">
        <v>2363906</v>
      </c>
      <c r="G2728">
        <v>6</v>
      </c>
      <c r="H2728">
        <v>2</v>
      </c>
      <c r="I2728">
        <v>183</v>
      </c>
      <c r="J2728">
        <v>2008</v>
      </c>
      <c r="K2728" s="4">
        <v>45532</v>
      </c>
      <c r="L2728" t="s">
        <v>30</v>
      </c>
      <c r="M2728" t="s">
        <v>59</v>
      </c>
      <c r="N2728">
        <v>2.62</v>
      </c>
      <c r="O2728">
        <v>849</v>
      </c>
      <c r="P2728">
        <v>2.85</v>
      </c>
      <c r="Q2728">
        <v>331</v>
      </c>
      <c r="R2728">
        <v>454</v>
      </c>
    </row>
    <row r="2729" spans="1:18" hidden="1" x14ac:dyDescent="0.2">
      <c r="A2729">
        <v>9</v>
      </c>
      <c r="B2729" t="s">
        <v>28</v>
      </c>
      <c r="E2729" t="s">
        <v>19</v>
      </c>
      <c r="F2729">
        <v>1623629</v>
      </c>
      <c r="G2729">
        <v>3</v>
      </c>
      <c r="H2729">
        <v>3</v>
      </c>
      <c r="I2729">
        <v>59</v>
      </c>
      <c r="J2729">
        <v>2018</v>
      </c>
      <c r="K2729" s="4">
        <v>45232</v>
      </c>
      <c r="L2729" t="s">
        <v>30</v>
      </c>
      <c r="M2729" t="s">
        <v>52</v>
      </c>
      <c r="N2729">
        <v>1.7</v>
      </c>
      <c r="O2729">
        <v>813</v>
      </c>
      <c r="P2729">
        <v>2.39</v>
      </c>
      <c r="Q2729">
        <v>94</v>
      </c>
      <c r="R2729">
        <v>599</v>
      </c>
    </row>
    <row r="2730" spans="1:18" x14ac:dyDescent="0.2">
      <c r="A2730">
        <v>8</v>
      </c>
      <c r="B2730" t="s">
        <v>81</v>
      </c>
      <c r="E2730" t="s">
        <v>19</v>
      </c>
      <c r="F2730">
        <v>1674285</v>
      </c>
      <c r="G2730">
        <v>4</v>
      </c>
      <c r="H2730">
        <v>3</v>
      </c>
      <c r="I2730">
        <v>386</v>
      </c>
      <c r="J2730">
        <v>1965</v>
      </c>
      <c r="K2730" s="4">
        <v>44069</v>
      </c>
      <c r="L2730" t="s">
        <v>20</v>
      </c>
      <c r="M2730" t="s">
        <v>60</v>
      </c>
      <c r="N2730">
        <v>1.99</v>
      </c>
      <c r="O2730">
        <v>1932</v>
      </c>
      <c r="P2730">
        <v>2.87</v>
      </c>
      <c r="Q2730">
        <v>241</v>
      </c>
      <c r="R2730">
        <v>686</v>
      </c>
    </row>
    <row r="2731" spans="1:18" hidden="1" x14ac:dyDescent="0.2">
      <c r="A2731">
        <v>7</v>
      </c>
      <c r="B2731" t="s">
        <v>86</v>
      </c>
      <c r="E2731" t="s">
        <v>36</v>
      </c>
      <c r="F2731">
        <v>2317790</v>
      </c>
      <c r="G2731">
        <v>2</v>
      </c>
      <c r="H2731">
        <v>3</v>
      </c>
      <c r="I2731">
        <v>395</v>
      </c>
      <c r="J2731">
        <v>1995</v>
      </c>
      <c r="K2731" s="4">
        <v>44274</v>
      </c>
      <c r="L2731" t="s">
        <v>23</v>
      </c>
      <c r="M2731" t="s">
        <v>76</v>
      </c>
      <c r="N2731">
        <v>2.93</v>
      </c>
      <c r="O2731">
        <v>2358</v>
      </c>
      <c r="P2731">
        <v>1.35</v>
      </c>
      <c r="Q2731">
        <v>146</v>
      </c>
      <c r="R2731">
        <v>304</v>
      </c>
    </row>
    <row r="2732" spans="1:18" hidden="1" x14ac:dyDescent="0.2">
      <c r="A2732">
        <v>0</v>
      </c>
      <c r="B2732" t="s">
        <v>73</v>
      </c>
      <c r="E2732" t="s">
        <v>19</v>
      </c>
      <c r="F2732">
        <v>2134129</v>
      </c>
      <c r="G2732">
        <v>2</v>
      </c>
      <c r="H2732">
        <v>2</v>
      </c>
      <c r="I2732">
        <v>474</v>
      </c>
      <c r="J2732">
        <v>1952</v>
      </c>
      <c r="K2732" s="4">
        <v>44495</v>
      </c>
      <c r="L2732" t="s">
        <v>23</v>
      </c>
      <c r="M2732" t="s">
        <v>63</v>
      </c>
      <c r="N2732">
        <v>2.08</v>
      </c>
      <c r="O2732">
        <v>1607</v>
      </c>
      <c r="P2732">
        <v>4.42</v>
      </c>
      <c r="Q2732">
        <v>107</v>
      </c>
      <c r="R2732">
        <v>672</v>
      </c>
    </row>
    <row r="2733" spans="1:18" x14ac:dyDescent="0.2">
      <c r="A2733">
        <v>8</v>
      </c>
      <c r="B2733" t="s">
        <v>94</v>
      </c>
      <c r="E2733" t="s">
        <v>36</v>
      </c>
      <c r="F2733">
        <v>2055041</v>
      </c>
      <c r="G2733">
        <v>5</v>
      </c>
      <c r="H2733">
        <v>2</v>
      </c>
      <c r="I2733">
        <v>986</v>
      </c>
      <c r="J2733">
        <v>2009</v>
      </c>
      <c r="K2733" s="4">
        <v>44619</v>
      </c>
      <c r="L2733" t="s">
        <v>20</v>
      </c>
      <c r="M2733" t="s">
        <v>56</v>
      </c>
      <c r="N2733">
        <v>2.09</v>
      </c>
      <c r="O2733">
        <v>2384</v>
      </c>
      <c r="P2733">
        <v>2.79</v>
      </c>
      <c r="Q2733">
        <v>286</v>
      </c>
      <c r="R2733">
        <v>467</v>
      </c>
    </row>
    <row r="2734" spans="1:18" hidden="1" x14ac:dyDescent="0.2">
      <c r="A2734">
        <v>4</v>
      </c>
      <c r="B2734" t="s">
        <v>81</v>
      </c>
      <c r="E2734" t="s">
        <v>51</v>
      </c>
      <c r="F2734">
        <v>2661042</v>
      </c>
      <c r="G2734">
        <v>6</v>
      </c>
      <c r="H2734">
        <v>3</v>
      </c>
      <c r="I2734">
        <v>479</v>
      </c>
      <c r="J2734">
        <v>1964</v>
      </c>
      <c r="K2734" s="4">
        <v>45420</v>
      </c>
      <c r="L2734" t="s">
        <v>23</v>
      </c>
      <c r="M2734" t="s">
        <v>47</v>
      </c>
      <c r="N2734">
        <v>2.67</v>
      </c>
      <c r="O2734">
        <v>1949</v>
      </c>
      <c r="P2734">
        <v>0.23</v>
      </c>
      <c r="Q2734">
        <v>398</v>
      </c>
      <c r="R2734">
        <v>337</v>
      </c>
    </row>
    <row r="2735" spans="1:18" hidden="1" x14ac:dyDescent="0.2">
      <c r="A2735">
        <v>9</v>
      </c>
      <c r="B2735" t="s">
        <v>94</v>
      </c>
      <c r="E2735" t="s">
        <v>51</v>
      </c>
      <c r="F2735">
        <v>1585119</v>
      </c>
      <c r="G2735">
        <v>4</v>
      </c>
      <c r="H2735">
        <v>3</v>
      </c>
      <c r="I2735">
        <v>121</v>
      </c>
      <c r="J2735">
        <v>2002</v>
      </c>
      <c r="K2735" s="4">
        <v>44627</v>
      </c>
      <c r="L2735" t="s">
        <v>20</v>
      </c>
      <c r="M2735" t="s">
        <v>70</v>
      </c>
      <c r="N2735">
        <v>2.74</v>
      </c>
      <c r="O2735">
        <v>2415</v>
      </c>
      <c r="P2735">
        <v>0.53</v>
      </c>
      <c r="Q2735">
        <v>381</v>
      </c>
      <c r="R2735">
        <v>691</v>
      </c>
    </row>
    <row r="2736" spans="1:18" hidden="1" x14ac:dyDescent="0.2">
      <c r="A2736">
        <v>5</v>
      </c>
      <c r="B2736" t="s">
        <v>95</v>
      </c>
      <c r="E2736" t="s">
        <v>51</v>
      </c>
      <c r="F2736">
        <v>2292138</v>
      </c>
      <c r="G2736">
        <v>3</v>
      </c>
      <c r="H2736">
        <v>2</v>
      </c>
      <c r="I2736">
        <v>70</v>
      </c>
      <c r="J2736">
        <v>2011</v>
      </c>
      <c r="K2736" s="4">
        <v>45427</v>
      </c>
      <c r="L2736" t="s">
        <v>26</v>
      </c>
      <c r="M2736" t="s">
        <v>76</v>
      </c>
      <c r="N2736">
        <v>2.48</v>
      </c>
      <c r="O2736">
        <v>951</v>
      </c>
      <c r="P2736">
        <v>2.5499999999999998</v>
      </c>
      <c r="Q2736">
        <v>170</v>
      </c>
      <c r="R2736">
        <v>339</v>
      </c>
    </row>
    <row r="2737" spans="1:18" hidden="1" x14ac:dyDescent="0.2">
      <c r="A2737">
        <v>0</v>
      </c>
      <c r="B2737" t="s">
        <v>41</v>
      </c>
      <c r="E2737" t="s">
        <v>51</v>
      </c>
      <c r="F2737">
        <v>778443</v>
      </c>
      <c r="G2737">
        <v>5</v>
      </c>
      <c r="H2737">
        <v>3</v>
      </c>
      <c r="I2737">
        <v>216</v>
      </c>
      <c r="J2737">
        <v>2021</v>
      </c>
      <c r="K2737" s="4">
        <v>45500</v>
      </c>
      <c r="L2737" t="s">
        <v>23</v>
      </c>
      <c r="M2737" t="s">
        <v>37</v>
      </c>
      <c r="N2737">
        <v>1.58</v>
      </c>
      <c r="O2737">
        <v>2281</v>
      </c>
      <c r="P2737">
        <v>4.42</v>
      </c>
      <c r="Q2737">
        <v>305</v>
      </c>
      <c r="R2737">
        <v>409</v>
      </c>
    </row>
    <row r="2738" spans="1:18" hidden="1" x14ac:dyDescent="0.2">
      <c r="A2738">
        <v>7</v>
      </c>
      <c r="B2738" t="s">
        <v>50</v>
      </c>
      <c r="E2738" t="s">
        <v>29</v>
      </c>
      <c r="F2738">
        <v>500713</v>
      </c>
      <c r="G2738">
        <v>2</v>
      </c>
      <c r="H2738">
        <v>3</v>
      </c>
      <c r="I2738">
        <v>110</v>
      </c>
      <c r="J2738">
        <v>1990</v>
      </c>
      <c r="K2738" s="4">
        <v>44890</v>
      </c>
      <c r="L2738" t="s">
        <v>20</v>
      </c>
      <c r="M2738" t="s">
        <v>82</v>
      </c>
      <c r="N2738">
        <v>2.64</v>
      </c>
      <c r="O2738">
        <v>2090</v>
      </c>
      <c r="P2738">
        <v>3.29</v>
      </c>
      <c r="Q2738">
        <v>62</v>
      </c>
      <c r="R2738">
        <v>385</v>
      </c>
    </row>
    <row r="2739" spans="1:18" hidden="1" x14ac:dyDescent="0.2">
      <c r="A2739">
        <v>9</v>
      </c>
      <c r="B2739" t="s">
        <v>90</v>
      </c>
      <c r="E2739" t="s">
        <v>19</v>
      </c>
      <c r="F2739">
        <v>962396</v>
      </c>
      <c r="G2739">
        <v>3</v>
      </c>
      <c r="H2739">
        <v>2</v>
      </c>
      <c r="I2739">
        <v>911</v>
      </c>
      <c r="J2739">
        <v>1981</v>
      </c>
      <c r="K2739" s="4">
        <v>45787</v>
      </c>
      <c r="L2739" t="s">
        <v>26</v>
      </c>
      <c r="M2739" t="s">
        <v>47</v>
      </c>
      <c r="N2739">
        <v>3.33</v>
      </c>
      <c r="O2739">
        <v>2116</v>
      </c>
      <c r="P2739">
        <v>2.56</v>
      </c>
      <c r="Q2739">
        <v>143</v>
      </c>
      <c r="R2739">
        <v>657</v>
      </c>
    </row>
    <row r="2740" spans="1:18" hidden="1" x14ac:dyDescent="0.2">
      <c r="A2740">
        <v>2</v>
      </c>
      <c r="B2740" t="s">
        <v>94</v>
      </c>
      <c r="E2740" t="s">
        <v>36</v>
      </c>
      <c r="F2740">
        <v>1595999</v>
      </c>
      <c r="G2740">
        <v>4</v>
      </c>
      <c r="H2740">
        <v>2</v>
      </c>
      <c r="I2740">
        <v>584</v>
      </c>
      <c r="J2740">
        <v>2004</v>
      </c>
      <c r="K2740" s="4">
        <v>44153</v>
      </c>
      <c r="L2740" t="s">
        <v>26</v>
      </c>
      <c r="M2740" t="s">
        <v>66</v>
      </c>
      <c r="N2740">
        <v>1.55</v>
      </c>
      <c r="O2740">
        <v>2270</v>
      </c>
      <c r="P2740">
        <v>4.55</v>
      </c>
      <c r="Q2740">
        <v>367</v>
      </c>
      <c r="R2740">
        <v>465</v>
      </c>
    </row>
    <row r="2741" spans="1:18" hidden="1" x14ac:dyDescent="0.2">
      <c r="A2741">
        <v>3</v>
      </c>
      <c r="B2741" t="s">
        <v>43</v>
      </c>
      <c r="E2741" t="s">
        <v>29</v>
      </c>
      <c r="F2741">
        <v>1592903</v>
      </c>
      <c r="G2741">
        <v>1</v>
      </c>
      <c r="H2741">
        <v>2</v>
      </c>
      <c r="I2741">
        <v>207</v>
      </c>
      <c r="J2741">
        <v>1958</v>
      </c>
      <c r="K2741" s="4">
        <v>44434</v>
      </c>
      <c r="L2741" t="s">
        <v>30</v>
      </c>
      <c r="M2741" t="s">
        <v>85</v>
      </c>
      <c r="N2741">
        <v>1.89</v>
      </c>
      <c r="O2741">
        <v>1819</v>
      </c>
      <c r="P2741">
        <v>0.79</v>
      </c>
      <c r="Q2741">
        <v>54</v>
      </c>
      <c r="R2741">
        <v>685</v>
      </c>
    </row>
    <row r="2742" spans="1:18" hidden="1" x14ac:dyDescent="0.2">
      <c r="A2742">
        <v>0</v>
      </c>
      <c r="B2742" t="s">
        <v>34</v>
      </c>
      <c r="E2742" t="s">
        <v>51</v>
      </c>
      <c r="F2742">
        <v>1819243</v>
      </c>
      <c r="G2742">
        <v>1</v>
      </c>
      <c r="H2742">
        <v>2</v>
      </c>
      <c r="I2742">
        <v>451</v>
      </c>
      <c r="J2742">
        <v>1973</v>
      </c>
      <c r="K2742" s="4">
        <v>44160</v>
      </c>
      <c r="L2742" t="s">
        <v>26</v>
      </c>
      <c r="M2742" t="s">
        <v>76</v>
      </c>
      <c r="N2742">
        <v>2.63</v>
      </c>
      <c r="O2742">
        <v>1596</v>
      </c>
      <c r="P2742">
        <v>4.91</v>
      </c>
      <c r="Q2742">
        <v>80</v>
      </c>
      <c r="R2742">
        <v>431</v>
      </c>
    </row>
    <row r="2743" spans="1:18" hidden="1" x14ac:dyDescent="0.2">
      <c r="A2743">
        <v>0</v>
      </c>
      <c r="B2743" t="s">
        <v>80</v>
      </c>
      <c r="E2743" t="s">
        <v>51</v>
      </c>
      <c r="F2743">
        <v>1702305</v>
      </c>
      <c r="G2743">
        <v>5</v>
      </c>
      <c r="H2743">
        <v>2</v>
      </c>
      <c r="I2743">
        <v>427</v>
      </c>
      <c r="J2743">
        <v>1974</v>
      </c>
      <c r="K2743" s="4">
        <v>45122</v>
      </c>
      <c r="L2743" t="s">
        <v>26</v>
      </c>
      <c r="M2743" t="s">
        <v>52</v>
      </c>
      <c r="N2743">
        <v>2.93</v>
      </c>
      <c r="O2743">
        <v>1768</v>
      </c>
      <c r="P2743">
        <v>3.73</v>
      </c>
      <c r="Q2743">
        <v>246</v>
      </c>
      <c r="R2743">
        <v>681</v>
      </c>
    </row>
    <row r="2744" spans="1:18" hidden="1" x14ac:dyDescent="0.2">
      <c r="A2744">
        <v>0</v>
      </c>
      <c r="B2744" t="s">
        <v>71</v>
      </c>
      <c r="E2744" t="s">
        <v>51</v>
      </c>
      <c r="F2744">
        <v>773146</v>
      </c>
      <c r="G2744">
        <v>1</v>
      </c>
      <c r="H2744">
        <v>3</v>
      </c>
      <c r="I2744">
        <v>64</v>
      </c>
      <c r="J2744">
        <v>1965</v>
      </c>
      <c r="K2744" s="4">
        <v>44484</v>
      </c>
      <c r="L2744" t="s">
        <v>30</v>
      </c>
      <c r="M2744" t="s">
        <v>40</v>
      </c>
      <c r="N2744">
        <v>3.43</v>
      </c>
      <c r="O2744">
        <v>2033</v>
      </c>
      <c r="P2744">
        <v>1.49</v>
      </c>
      <c r="Q2744">
        <v>105</v>
      </c>
      <c r="R2744">
        <v>339</v>
      </c>
    </row>
    <row r="2745" spans="1:18" x14ac:dyDescent="0.2">
      <c r="A2745">
        <v>8</v>
      </c>
      <c r="B2745" t="s">
        <v>98</v>
      </c>
      <c r="E2745" t="s">
        <v>51</v>
      </c>
      <c r="F2745">
        <v>2282680</v>
      </c>
      <c r="G2745">
        <v>2</v>
      </c>
      <c r="H2745">
        <v>1</v>
      </c>
      <c r="I2745">
        <v>996</v>
      </c>
      <c r="J2745">
        <v>1972</v>
      </c>
      <c r="K2745" s="4">
        <v>45875</v>
      </c>
      <c r="L2745" t="s">
        <v>30</v>
      </c>
      <c r="M2745" t="s">
        <v>89</v>
      </c>
      <c r="N2745">
        <v>1.54</v>
      </c>
      <c r="O2745">
        <v>2193</v>
      </c>
      <c r="P2745">
        <v>3.73</v>
      </c>
      <c r="Q2745">
        <v>47</v>
      </c>
      <c r="R2745">
        <v>555</v>
      </c>
    </row>
    <row r="2746" spans="1:18" hidden="1" x14ac:dyDescent="0.2">
      <c r="A2746">
        <v>5</v>
      </c>
      <c r="B2746" t="s">
        <v>104</v>
      </c>
      <c r="E2746" t="s">
        <v>29</v>
      </c>
      <c r="F2746">
        <v>1915372</v>
      </c>
      <c r="G2746">
        <v>2</v>
      </c>
      <c r="H2746">
        <v>2</v>
      </c>
      <c r="I2746">
        <v>508</v>
      </c>
      <c r="J2746">
        <v>1960</v>
      </c>
      <c r="K2746" s="4">
        <v>45041</v>
      </c>
      <c r="L2746" t="s">
        <v>23</v>
      </c>
      <c r="M2746" t="s">
        <v>35</v>
      </c>
      <c r="N2746">
        <v>3.17</v>
      </c>
      <c r="O2746">
        <v>1858</v>
      </c>
      <c r="P2746">
        <v>1.71</v>
      </c>
      <c r="Q2746">
        <v>201</v>
      </c>
      <c r="R2746">
        <v>356</v>
      </c>
    </row>
    <row r="2747" spans="1:18" hidden="1" x14ac:dyDescent="0.2">
      <c r="A2747">
        <v>1</v>
      </c>
      <c r="B2747" t="s">
        <v>96</v>
      </c>
      <c r="E2747" t="s">
        <v>36</v>
      </c>
      <c r="F2747">
        <v>1072700</v>
      </c>
      <c r="G2747">
        <v>3</v>
      </c>
      <c r="H2747">
        <v>3</v>
      </c>
      <c r="I2747">
        <v>512</v>
      </c>
      <c r="J2747">
        <v>2006</v>
      </c>
      <c r="K2747" s="4">
        <v>45020</v>
      </c>
      <c r="L2747" t="s">
        <v>26</v>
      </c>
      <c r="M2747" t="s">
        <v>31</v>
      </c>
      <c r="N2747">
        <v>1.72</v>
      </c>
      <c r="O2747">
        <v>2386</v>
      </c>
      <c r="P2747">
        <v>0.28000000000000003</v>
      </c>
      <c r="Q2747">
        <v>301</v>
      </c>
      <c r="R2747">
        <v>663</v>
      </c>
    </row>
    <row r="2748" spans="1:18" hidden="1" x14ac:dyDescent="0.2">
      <c r="A2748">
        <v>6</v>
      </c>
      <c r="B2748" t="s">
        <v>91</v>
      </c>
      <c r="E2748" t="s">
        <v>29</v>
      </c>
      <c r="F2748">
        <v>1259084</v>
      </c>
      <c r="G2748">
        <v>6</v>
      </c>
      <c r="H2748">
        <v>2</v>
      </c>
      <c r="I2748">
        <v>199</v>
      </c>
      <c r="J2748">
        <v>2020</v>
      </c>
      <c r="K2748" s="4">
        <v>44369</v>
      </c>
      <c r="L2748" t="s">
        <v>23</v>
      </c>
      <c r="M2748" t="s">
        <v>27</v>
      </c>
      <c r="N2748">
        <v>2.14</v>
      </c>
      <c r="O2748">
        <v>1271</v>
      </c>
      <c r="P2748">
        <v>1.43</v>
      </c>
      <c r="Q2748">
        <v>362</v>
      </c>
      <c r="R2748">
        <v>612</v>
      </c>
    </row>
    <row r="2749" spans="1:18" hidden="1" x14ac:dyDescent="0.2">
      <c r="A2749">
        <v>7</v>
      </c>
      <c r="B2749" t="s">
        <v>87</v>
      </c>
      <c r="E2749" t="s">
        <v>29</v>
      </c>
      <c r="F2749">
        <v>597964</v>
      </c>
      <c r="G2749">
        <v>1</v>
      </c>
      <c r="H2749">
        <v>3</v>
      </c>
      <c r="I2749">
        <v>880</v>
      </c>
      <c r="J2749">
        <v>1990</v>
      </c>
      <c r="K2749" s="4">
        <v>45467</v>
      </c>
      <c r="L2749" t="s">
        <v>26</v>
      </c>
      <c r="M2749" t="s">
        <v>35</v>
      </c>
      <c r="N2749">
        <v>3.28</v>
      </c>
      <c r="O2749">
        <v>1463</v>
      </c>
      <c r="P2749">
        <v>2.5499999999999998</v>
      </c>
      <c r="Q2749">
        <v>99</v>
      </c>
      <c r="R2749">
        <v>636</v>
      </c>
    </row>
    <row r="2750" spans="1:18" hidden="1" x14ac:dyDescent="0.2">
      <c r="A2750">
        <v>2</v>
      </c>
      <c r="B2750" t="s">
        <v>94</v>
      </c>
      <c r="E2750" t="s">
        <v>51</v>
      </c>
      <c r="F2750">
        <v>1057121</v>
      </c>
      <c r="G2750">
        <v>5</v>
      </c>
      <c r="H2750">
        <v>3</v>
      </c>
      <c r="I2750">
        <v>168</v>
      </c>
      <c r="J2750">
        <v>1976</v>
      </c>
      <c r="K2750" s="4">
        <v>45409</v>
      </c>
      <c r="L2750" t="s">
        <v>30</v>
      </c>
      <c r="M2750" t="s">
        <v>56</v>
      </c>
      <c r="N2750">
        <v>2.76</v>
      </c>
      <c r="O2750">
        <v>2219</v>
      </c>
      <c r="P2750">
        <v>0.51</v>
      </c>
      <c r="Q2750">
        <v>266</v>
      </c>
      <c r="R2750">
        <v>642</v>
      </c>
    </row>
    <row r="2751" spans="1:18" hidden="1" x14ac:dyDescent="0.2">
      <c r="A2751">
        <v>9</v>
      </c>
      <c r="B2751" t="s">
        <v>101</v>
      </c>
      <c r="E2751" t="s">
        <v>36</v>
      </c>
      <c r="F2751">
        <v>1077132</v>
      </c>
      <c r="G2751">
        <v>3</v>
      </c>
      <c r="H2751">
        <v>3</v>
      </c>
      <c r="I2751">
        <v>962</v>
      </c>
      <c r="J2751">
        <v>1964</v>
      </c>
      <c r="K2751" s="4">
        <v>45604</v>
      </c>
      <c r="L2751" t="s">
        <v>20</v>
      </c>
      <c r="M2751" t="s">
        <v>82</v>
      </c>
      <c r="N2751">
        <v>2.23</v>
      </c>
      <c r="O2751">
        <v>969</v>
      </c>
      <c r="P2751">
        <v>0.44</v>
      </c>
      <c r="Q2751">
        <v>147</v>
      </c>
      <c r="R2751">
        <v>526</v>
      </c>
    </row>
    <row r="2752" spans="1:18" hidden="1" x14ac:dyDescent="0.2">
      <c r="A2752">
        <v>3</v>
      </c>
      <c r="B2752" t="s">
        <v>44</v>
      </c>
      <c r="E2752" t="s">
        <v>19</v>
      </c>
      <c r="F2752">
        <v>2867526</v>
      </c>
      <c r="G2752">
        <v>2</v>
      </c>
      <c r="H2752">
        <v>3</v>
      </c>
      <c r="I2752">
        <v>62</v>
      </c>
      <c r="J2752">
        <v>1982</v>
      </c>
      <c r="K2752" s="4">
        <v>44118</v>
      </c>
      <c r="L2752" t="s">
        <v>30</v>
      </c>
      <c r="M2752" t="s">
        <v>76</v>
      </c>
      <c r="N2752">
        <v>3.33</v>
      </c>
      <c r="O2752">
        <v>1653</v>
      </c>
      <c r="P2752">
        <v>3.7</v>
      </c>
      <c r="Q2752">
        <v>137</v>
      </c>
      <c r="R2752">
        <v>328</v>
      </c>
    </row>
    <row r="2753" spans="1:18" hidden="1" x14ac:dyDescent="0.2">
      <c r="A2753">
        <v>0</v>
      </c>
      <c r="B2753" t="s">
        <v>57</v>
      </c>
      <c r="E2753" t="s">
        <v>29</v>
      </c>
      <c r="F2753">
        <v>2285690</v>
      </c>
      <c r="G2753">
        <v>3</v>
      </c>
      <c r="H2753">
        <v>3</v>
      </c>
      <c r="I2753">
        <v>465</v>
      </c>
      <c r="J2753">
        <v>1983</v>
      </c>
      <c r="K2753" s="4">
        <v>44482</v>
      </c>
      <c r="L2753" t="s">
        <v>20</v>
      </c>
      <c r="M2753" t="s">
        <v>82</v>
      </c>
      <c r="N2753">
        <v>3.4</v>
      </c>
      <c r="O2753">
        <v>816</v>
      </c>
      <c r="P2753">
        <v>3.1</v>
      </c>
      <c r="Q2753">
        <v>146</v>
      </c>
      <c r="R2753">
        <v>367</v>
      </c>
    </row>
    <row r="2754" spans="1:18" hidden="1" x14ac:dyDescent="0.2">
      <c r="A2754">
        <v>5</v>
      </c>
      <c r="B2754" t="s">
        <v>75</v>
      </c>
      <c r="E2754" t="s">
        <v>29</v>
      </c>
      <c r="F2754">
        <v>466451</v>
      </c>
      <c r="G2754">
        <v>3</v>
      </c>
      <c r="H2754">
        <v>3</v>
      </c>
      <c r="I2754">
        <v>776</v>
      </c>
      <c r="J2754">
        <v>1967</v>
      </c>
      <c r="K2754" s="4">
        <v>45016</v>
      </c>
      <c r="L2754" t="s">
        <v>30</v>
      </c>
      <c r="M2754" t="s">
        <v>69</v>
      </c>
      <c r="N2754">
        <v>3.26</v>
      </c>
      <c r="O2754">
        <v>2090</v>
      </c>
      <c r="P2754">
        <v>4.83</v>
      </c>
      <c r="Q2754">
        <v>131</v>
      </c>
      <c r="R2754">
        <v>570</v>
      </c>
    </row>
    <row r="2755" spans="1:18" hidden="1" x14ac:dyDescent="0.2">
      <c r="A2755">
        <v>4</v>
      </c>
      <c r="B2755" t="s">
        <v>90</v>
      </c>
      <c r="E2755" t="s">
        <v>51</v>
      </c>
      <c r="F2755">
        <v>1921113</v>
      </c>
      <c r="G2755">
        <v>2</v>
      </c>
      <c r="H2755">
        <v>1</v>
      </c>
      <c r="I2755">
        <v>302</v>
      </c>
      <c r="J2755">
        <v>1975</v>
      </c>
      <c r="K2755" s="4">
        <v>44451</v>
      </c>
      <c r="L2755" t="s">
        <v>30</v>
      </c>
      <c r="M2755" t="s">
        <v>21</v>
      </c>
      <c r="N2755">
        <v>2.16</v>
      </c>
      <c r="O2755">
        <v>2365</v>
      </c>
      <c r="P2755">
        <v>3.81</v>
      </c>
      <c r="Q2755">
        <v>124</v>
      </c>
      <c r="R2755">
        <v>649</v>
      </c>
    </row>
    <row r="2756" spans="1:18" hidden="1" x14ac:dyDescent="0.2">
      <c r="A2756">
        <v>3</v>
      </c>
      <c r="B2756" t="s">
        <v>91</v>
      </c>
      <c r="E2756" t="s">
        <v>51</v>
      </c>
      <c r="F2756">
        <v>563569</v>
      </c>
      <c r="G2756">
        <v>3</v>
      </c>
      <c r="H2756">
        <v>1</v>
      </c>
      <c r="I2756">
        <v>822</v>
      </c>
      <c r="J2756">
        <v>1979</v>
      </c>
      <c r="K2756" s="4">
        <v>44792</v>
      </c>
      <c r="L2756" t="s">
        <v>23</v>
      </c>
      <c r="M2756" t="s">
        <v>70</v>
      </c>
      <c r="N2756">
        <v>3.3</v>
      </c>
      <c r="O2756">
        <v>1568</v>
      </c>
      <c r="P2756">
        <v>1.65</v>
      </c>
      <c r="Q2756">
        <v>255</v>
      </c>
      <c r="R2756">
        <v>589</v>
      </c>
    </row>
    <row r="2757" spans="1:18" hidden="1" x14ac:dyDescent="0.2">
      <c r="A2757">
        <v>6</v>
      </c>
      <c r="B2757" t="s">
        <v>62</v>
      </c>
      <c r="E2757" t="s">
        <v>29</v>
      </c>
      <c r="F2757">
        <v>542354</v>
      </c>
      <c r="G2757">
        <v>4</v>
      </c>
      <c r="H2757">
        <v>1</v>
      </c>
      <c r="I2757">
        <v>824</v>
      </c>
      <c r="J2757">
        <v>1979</v>
      </c>
      <c r="K2757" s="4">
        <v>45507</v>
      </c>
      <c r="L2757" t="s">
        <v>26</v>
      </c>
      <c r="M2757" t="s">
        <v>97</v>
      </c>
      <c r="N2757">
        <v>1.89</v>
      </c>
      <c r="O2757">
        <v>2316</v>
      </c>
      <c r="P2757">
        <v>0.52</v>
      </c>
      <c r="Q2757">
        <v>381</v>
      </c>
      <c r="R2757">
        <v>513</v>
      </c>
    </row>
    <row r="2758" spans="1:18" hidden="1" x14ac:dyDescent="0.2">
      <c r="A2758">
        <v>3</v>
      </c>
      <c r="B2758" t="s">
        <v>44</v>
      </c>
      <c r="E2758" t="s">
        <v>29</v>
      </c>
      <c r="F2758">
        <v>1135501</v>
      </c>
      <c r="G2758">
        <v>2</v>
      </c>
      <c r="H2758">
        <v>1</v>
      </c>
      <c r="I2758">
        <v>403</v>
      </c>
      <c r="J2758">
        <v>1967</v>
      </c>
      <c r="K2758" s="4">
        <v>45679</v>
      </c>
      <c r="L2758" t="s">
        <v>26</v>
      </c>
      <c r="M2758" t="s">
        <v>97</v>
      </c>
      <c r="N2758">
        <v>2.29</v>
      </c>
      <c r="O2758">
        <v>2326</v>
      </c>
      <c r="P2758">
        <v>4.83</v>
      </c>
      <c r="Q2758">
        <v>169</v>
      </c>
      <c r="R2758">
        <v>566</v>
      </c>
    </row>
    <row r="2759" spans="1:18" hidden="1" x14ac:dyDescent="0.2">
      <c r="A2759">
        <v>7</v>
      </c>
      <c r="B2759" t="s">
        <v>80</v>
      </c>
      <c r="E2759" t="s">
        <v>36</v>
      </c>
      <c r="F2759">
        <v>2550358</v>
      </c>
      <c r="G2759">
        <v>3</v>
      </c>
      <c r="H2759">
        <v>1</v>
      </c>
      <c r="I2759">
        <v>861</v>
      </c>
      <c r="J2759">
        <v>1976</v>
      </c>
      <c r="K2759" s="4">
        <v>45695</v>
      </c>
      <c r="L2759" t="s">
        <v>30</v>
      </c>
      <c r="M2759" t="s">
        <v>89</v>
      </c>
      <c r="N2759">
        <v>3.47</v>
      </c>
      <c r="O2759">
        <v>2338</v>
      </c>
      <c r="P2759">
        <v>3.22</v>
      </c>
      <c r="Q2759">
        <v>125</v>
      </c>
      <c r="R2759">
        <v>585</v>
      </c>
    </row>
    <row r="2760" spans="1:18" x14ac:dyDescent="0.2">
      <c r="A2760">
        <v>8</v>
      </c>
      <c r="B2760" t="s">
        <v>87</v>
      </c>
      <c r="E2760" t="s">
        <v>29</v>
      </c>
      <c r="F2760">
        <v>1681441</v>
      </c>
      <c r="G2760">
        <v>1</v>
      </c>
      <c r="H2760">
        <v>1</v>
      </c>
      <c r="I2760">
        <v>939</v>
      </c>
      <c r="J2760">
        <v>1999</v>
      </c>
      <c r="K2760" s="4">
        <v>45152</v>
      </c>
      <c r="L2760" t="s">
        <v>20</v>
      </c>
      <c r="M2760" t="s">
        <v>21</v>
      </c>
      <c r="N2760">
        <v>2.81</v>
      </c>
      <c r="O2760">
        <v>1154</v>
      </c>
      <c r="P2760">
        <v>0.46</v>
      </c>
      <c r="Q2760">
        <v>61</v>
      </c>
      <c r="R2760">
        <v>416</v>
      </c>
    </row>
    <row r="2761" spans="1:18" hidden="1" x14ac:dyDescent="0.2">
      <c r="A2761">
        <v>3</v>
      </c>
      <c r="B2761" t="s">
        <v>81</v>
      </c>
      <c r="E2761" t="s">
        <v>51</v>
      </c>
      <c r="F2761">
        <v>1203761</v>
      </c>
      <c r="G2761">
        <v>2</v>
      </c>
      <c r="H2761">
        <v>2</v>
      </c>
      <c r="I2761">
        <v>607</v>
      </c>
      <c r="J2761">
        <v>1969</v>
      </c>
      <c r="K2761" s="4">
        <v>45432</v>
      </c>
      <c r="L2761" t="s">
        <v>26</v>
      </c>
      <c r="M2761" t="s">
        <v>69</v>
      </c>
      <c r="N2761">
        <v>2.59</v>
      </c>
      <c r="O2761">
        <v>1481</v>
      </c>
      <c r="P2761">
        <v>4.33</v>
      </c>
      <c r="Q2761">
        <v>53</v>
      </c>
      <c r="R2761">
        <v>670</v>
      </c>
    </row>
    <row r="2762" spans="1:18" hidden="1" x14ac:dyDescent="0.2">
      <c r="A2762">
        <v>6</v>
      </c>
      <c r="B2762" t="s">
        <v>104</v>
      </c>
      <c r="E2762" t="s">
        <v>29</v>
      </c>
      <c r="F2762">
        <v>1233514</v>
      </c>
      <c r="G2762">
        <v>4</v>
      </c>
      <c r="H2762">
        <v>2</v>
      </c>
      <c r="I2762">
        <v>874</v>
      </c>
      <c r="J2762">
        <v>1986</v>
      </c>
      <c r="K2762" s="4">
        <v>45318</v>
      </c>
      <c r="L2762" t="s">
        <v>23</v>
      </c>
      <c r="M2762" t="s">
        <v>60</v>
      </c>
      <c r="N2762">
        <v>1.98</v>
      </c>
      <c r="O2762">
        <v>918</v>
      </c>
      <c r="P2762">
        <v>0.87</v>
      </c>
      <c r="Q2762">
        <v>318</v>
      </c>
      <c r="R2762">
        <v>579</v>
      </c>
    </row>
    <row r="2763" spans="1:18" hidden="1" x14ac:dyDescent="0.2">
      <c r="A2763">
        <v>6</v>
      </c>
      <c r="B2763" t="s">
        <v>22</v>
      </c>
      <c r="E2763" t="s">
        <v>36</v>
      </c>
      <c r="F2763">
        <v>1424476</v>
      </c>
      <c r="G2763">
        <v>3</v>
      </c>
      <c r="H2763">
        <v>3</v>
      </c>
      <c r="I2763">
        <v>780</v>
      </c>
      <c r="J2763">
        <v>1990</v>
      </c>
      <c r="K2763" s="4">
        <v>45057</v>
      </c>
      <c r="L2763" t="s">
        <v>20</v>
      </c>
      <c r="M2763" t="s">
        <v>33</v>
      </c>
      <c r="N2763">
        <v>2.1</v>
      </c>
      <c r="O2763">
        <v>2366</v>
      </c>
      <c r="P2763">
        <v>1.52</v>
      </c>
      <c r="Q2763">
        <v>159</v>
      </c>
      <c r="R2763">
        <v>487</v>
      </c>
    </row>
    <row r="2764" spans="1:18" hidden="1" x14ac:dyDescent="0.2">
      <c r="A2764">
        <v>3</v>
      </c>
      <c r="B2764" t="s">
        <v>91</v>
      </c>
      <c r="E2764" t="s">
        <v>29</v>
      </c>
      <c r="F2764">
        <v>2130965</v>
      </c>
      <c r="G2764">
        <v>3</v>
      </c>
      <c r="H2764">
        <v>2</v>
      </c>
      <c r="I2764">
        <v>432</v>
      </c>
      <c r="J2764">
        <v>1995</v>
      </c>
      <c r="K2764" s="4">
        <v>45160</v>
      </c>
      <c r="L2764" t="s">
        <v>26</v>
      </c>
      <c r="M2764" t="s">
        <v>21</v>
      </c>
      <c r="N2764">
        <v>3.44</v>
      </c>
      <c r="O2764">
        <v>1839</v>
      </c>
      <c r="P2764">
        <v>3.09</v>
      </c>
      <c r="Q2764">
        <v>184</v>
      </c>
      <c r="R2764">
        <v>355</v>
      </c>
    </row>
    <row r="2765" spans="1:18" x14ac:dyDescent="0.2">
      <c r="A2765">
        <v>8</v>
      </c>
      <c r="B2765" t="s">
        <v>75</v>
      </c>
      <c r="E2765" t="s">
        <v>51</v>
      </c>
      <c r="F2765">
        <v>2967698</v>
      </c>
      <c r="G2765">
        <v>3</v>
      </c>
      <c r="H2765">
        <v>1</v>
      </c>
      <c r="I2765">
        <v>294</v>
      </c>
      <c r="J2765">
        <v>2002</v>
      </c>
      <c r="K2765" s="4">
        <v>44815</v>
      </c>
      <c r="L2765" t="s">
        <v>23</v>
      </c>
      <c r="M2765" t="s">
        <v>85</v>
      </c>
      <c r="N2765">
        <v>2.5</v>
      </c>
      <c r="O2765">
        <v>838</v>
      </c>
      <c r="P2765">
        <v>2.63</v>
      </c>
      <c r="Q2765">
        <v>171</v>
      </c>
      <c r="R2765">
        <v>456</v>
      </c>
    </row>
    <row r="2766" spans="1:18" hidden="1" x14ac:dyDescent="0.2">
      <c r="A2766">
        <v>6</v>
      </c>
      <c r="B2766" t="s">
        <v>83</v>
      </c>
      <c r="E2766" t="s">
        <v>19</v>
      </c>
      <c r="F2766">
        <v>1631301</v>
      </c>
      <c r="G2766">
        <v>1</v>
      </c>
      <c r="H2766">
        <v>2</v>
      </c>
      <c r="I2766">
        <v>742</v>
      </c>
      <c r="J2766">
        <v>1970</v>
      </c>
      <c r="K2766" s="4">
        <v>45012</v>
      </c>
      <c r="L2766" t="s">
        <v>26</v>
      </c>
      <c r="M2766" t="s">
        <v>85</v>
      </c>
      <c r="N2766">
        <v>2.09</v>
      </c>
      <c r="O2766">
        <v>1221</v>
      </c>
      <c r="P2766">
        <v>3.07</v>
      </c>
      <c r="Q2766">
        <v>51</v>
      </c>
      <c r="R2766">
        <v>397</v>
      </c>
    </row>
    <row r="2767" spans="1:18" hidden="1" x14ac:dyDescent="0.2">
      <c r="A2767">
        <v>5</v>
      </c>
      <c r="B2767" t="s">
        <v>99</v>
      </c>
      <c r="E2767" t="s">
        <v>36</v>
      </c>
      <c r="F2767">
        <v>2937797</v>
      </c>
      <c r="G2767">
        <v>4</v>
      </c>
      <c r="H2767">
        <v>3</v>
      </c>
      <c r="I2767">
        <v>381</v>
      </c>
      <c r="J2767">
        <v>2003</v>
      </c>
      <c r="K2767" s="4">
        <v>45545</v>
      </c>
      <c r="L2767" t="s">
        <v>23</v>
      </c>
      <c r="M2767" t="s">
        <v>21</v>
      </c>
      <c r="N2767">
        <v>2.44</v>
      </c>
      <c r="O2767">
        <v>1618</v>
      </c>
      <c r="P2767">
        <v>2.31</v>
      </c>
      <c r="Q2767">
        <v>259</v>
      </c>
      <c r="R2767">
        <v>436</v>
      </c>
    </row>
    <row r="2768" spans="1:18" hidden="1" x14ac:dyDescent="0.2">
      <c r="A2768">
        <v>9</v>
      </c>
      <c r="B2768" t="s">
        <v>75</v>
      </c>
      <c r="E2768" t="s">
        <v>19</v>
      </c>
      <c r="F2768">
        <v>1923701</v>
      </c>
      <c r="G2768">
        <v>3</v>
      </c>
      <c r="H2768">
        <v>1</v>
      </c>
      <c r="I2768">
        <v>104</v>
      </c>
      <c r="J2768">
        <v>2009</v>
      </c>
      <c r="K2768" s="4">
        <v>44540</v>
      </c>
      <c r="L2768" t="s">
        <v>30</v>
      </c>
      <c r="M2768" t="s">
        <v>58</v>
      </c>
      <c r="N2768">
        <v>1.91</v>
      </c>
      <c r="O2768">
        <v>2402</v>
      </c>
      <c r="P2768">
        <v>3.36</v>
      </c>
      <c r="Q2768">
        <v>234</v>
      </c>
      <c r="R2768">
        <v>458</v>
      </c>
    </row>
    <row r="2769" spans="1:18" x14ac:dyDescent="0.2">
      <c r="A2769">
        <v>8</v>
      </c>
      <c r="B2769" t="s">
        <v>80</v>
      </c>
      <c r="E2769" t="s">
        <v>29</v>
      </c>
      <c r="F2769">
        <v>2239962</v>
      </c>
      <c r="G2769">
        <v>2</v>
      </c>
      <c r="H2769">
        <v>1</v>
      </c>
      <c r="I2769">
        <v>684</v>
      </c>
      <c r="J2769">
        <v>2017</v>
      </c>
      <c r="K2769" s="4">
        <v>45033</v>
      </c>
      <c r="L2769" t="s">
        <v>26</v>
      </c>
      <c r="M2769" t="s">
        <v>70</v>
      </c>
      <c r="N2769">
        <v>1.97</v>
      </c>
      <c r="O2769">
        <v>2390</v>
      </c>
      <c r="P2769">
        <v>0.97</v>
      </c>
      <c r="Q2769">
        <v>235</v>
      </c>
      <c r="R2769">
        <v>564</v>
      </c>
    </row>
    <row r="2770" spans="1:18" hidden="1" x14ac:dyDescent="0.2">
      <c r="A2770">
        <v>7</v>
      </c>
      <c r="B2770" t="s">
        <v>44</v>
      </c>
      <c r="E2770" t="s">
        <v>29</v>
      </c>
      <c r="F2770">
        <v>2625829</v>
      </c>
      <c r="G2770">
        <v>3</v>
      </c>
      <c r="H2770">
        <v>3</v>
      </c>
      <c r="I2770">
        <v>465</v>
      </c>
      <c r="J2770">
        <v>1965</v>
      </c>
      <c r="K2770" s="4">
        <v>45356</v>
      </c>
      <c r="L2770" t="s">
        <v>20</v>
      </c>
      <c r="M2770" t="s">
        <v>45</v>
      </c>
      <c r="N2770">
        <v>2.5099999999999998</v>
      </c>
      <c r="O2770">
        <v>2059</v>
      </c>
      <c r="P2770">
        <v>0.15</v>
      </c>
      <c r="Q2770">
        <v>220</v>
      </c>
      <c r="R2770">
        <v>620</v>
      </c>
    </row>
    <row r="2771" spans="1:18" hidden="1" x14ac:dyDescent="0.2">
      <c r="A2771">
        <v>3</v>
      </c>
      <c r="B2771" t="s">
        <v>80</v>
      </c>
      <c r="E2771" t="s">
        <v>29</v>
      </c>
      <c r="F2771">
        <v>2715695</v>
      </c>
      <c r="G2771">
        <v>1</v>
      </c>
      <c r="H2771">
        <v>1</v>
      </c>
      <c r="I2771">
        <v>454</v>
      </c>
      <c r="J2771">
        <v>1998</v>
      </c>
      <c r="K2771" s="4">
        <v>45137</v>
      </c>
      <c r="L2771" t="s">
        <v>20</v>
      </c>
      <c r="M2771" t="s">
        <v>66</v>
      </c>
      <c r="N2771">
        <v>3.2</v>
      </c>
      <c r="O2771">
        <v>1016</v>
      </c>
      <c r="P2771">
        <v>4.8099999999999996</v>
      </c>
      <c r="Q2771">
        <v>112</v>
      </c>
      <c r="R2771">
        <v>691</v>
      </c>
    </row>
    <row r="2772" spans="1:18" hidden="1" x14ac:dyDescent="0.2">
      <c r="A2772">
        <v>4</v>
      </c>
      <c r="B2772" t="s">
        <v>71</v>
      </c>
      <c r="E2772" t="s">
        <v>19</v>
      </c>
      <c r="F2772">
        <v>735260</v>
      </c>
      <c r="G2772">
        <v>4</v>
      </c>
      <c r="H2772">
        <v>2</v>
      </c>
      <c r="I2772">
        <v>496</v>
      </c>
      <c r="J2772">
        <v>1993</v>
      </c>
      <c r="K2772" s="4">
        <v>45300</v>
      </c>
      <c r="L2772" t="s">
        <v>26</v>
      </c>
      <c r="M2772" t="s">
        <v>59</v>
      </c>
      <c r="N2772">
        <v>3.35</v>
      </c>
      <c r="O2772">
        <v>1184</v>
      </c>
      <c r="P2772">
        <v>0.99</v>
      </c>
      <c r="Q2772">
        <v>214</v>
      </c>
      <c r="R2772">
        <v>313</v>
      </c>
    </row>
    <row r="2773" spans="1:18" x14ac:dyDescent="0.2">
      <c r="A2773">
        <v>8</v>
      </c>
      <c r="B2773" t="s">
        <v>46</v>
      </c>
      <c r="E2773" t="s">
        <v>29</v>
      </c>
      <c r="F2773">
        <v>1326513</v>
      </c>
      <c r="G2773">
        <v>3</v>
      </c>
      <c r="H2773">
        <v>2</v>
      </c>
      <c r="I2773">
        <v>728</v>
      </c>
      <c r="J2773">
        <v>1969</v>
      </c>
      <c r="K2773" s="4">
        <v>45557</v>
      </c>
      <c r="L2773" t="s">
        <v>26</v>
      </c>
      <c r="M2773" t="s">
        <v>37</v>
      </c>
      <c r="N2773">
        <v>2.13</v>
      </c>
      <c r="O2773">
        <v>1281</v>
      </c>
      <c r="P2773">
        <v>4.58</v>
      </c>
      <c r="Q2773">
        <v>114</v>
      </c>
      <c r="R2773">
        <v>392</v>
      </c>
    </row>
    <row r="2774" spans="1:18" hidden="1" x14ac:dyDescent="0.2">
      <c r="A2774">
        <v>6</v>
      </c>
      <c r="B2774" t="s">
        <v>105</v>
      </c>
      <c r="E2774" t="s">
        <v>19</v>
      </c>
      <c r="F2774">
        <v>2796033</v>
      </c>
      <c r="G2774">
        <v>3</v>
      </c>
      <c r="H2774">
        <v>3</v>
      </c>
      <c r="I2774">
        <v>826</v>
      </c>
      <c r="J2774">
        <v>1981</v>
      </c>
      <c r="K2774" s="4">
        <v>44516</v>
      </c>
      <c r="L2774" t="s">
        <v>26</v>
      </c>
      <c r="M2774" t="s">
        <v>60</v>
      </c>
      <c r="N2774">
        <v>1.57</v>
      </c>
      <c r="O2774">
        <v>1093</v>
      </c>
      <c r="P2774">
        <v>4.8</v>
      </c>
      <c r="Q2774">
        <v>168</v>
      </c>
      <c r="R2774">
        <v>651</v>
      </c>
    </row>
    <row r="2775" spans="1:18" hidden="1" x14ac:dyDescent="0.2">
      <c r="A2775">
        <v>2</v>
      </c>
      <c r="B2775" t="s">
        <v>102</v>
      </c>
      <c r="E2775" t="s">
        <v>29</v>
      </c>
      <c r="F2775">
        <v>2902173</v>
      </c>
      <c r="G2775">
        <v>2</v>
      </c>
      <c r="H2775">
        <v>3</v>
      </c>
      <c r="I2775">
        <v>240</v>
      </c>
      <c r="J2775">
        <v>1986</v>
      </c>
      <c r="K2775" s="4">
        <v>44078</v>
      </c>
      <c r="L2775" t="s">
        <v>26</v>
      </c>
      <c r="M2775" t="s">
        <v>40</v>
      </c>
      <c r="N2775">
        <v>2.2200000000000002</v>
      </c>
      <c r="O2775">
        <v>1203</v>
      </c>
      <c r="P2775">
        <v>3.12</v>
      </c>
      <c r="Q2775">
        <v>227</v>
      </c>
      <c r="R2775">
        <v>668</v>
      </c>
    </row>
    <row r="2776" spans="1:18" hidden="1" x14ac:dyDescent="0.2">
      <c r="A2776">
        <v>2</v>
      </c>
      <c r="B2776" t="s">
        <v>100</v>
      </c>
      <c r="E2776" t="s">
        <v>36</v>
      </c>
      <c r="F2776">
        <v>1581704</v>
      </c>
      <c r="G2776">
        <v>6</v>
      </c>
      <c r="H2776">
        <v>2</v>
      </c>
      <c r="I2776">
        <v>105</v>
      </c>
      <c r="J2776">
        <v>1958</v>
      </c>
      <c r="K2776" s="4">
        <v>44382</v>
      </c>
      <c r="L2776" t="s">
        <v>30</v>
      </c>
      <c r="M2776" t="s">
        <v>52</v>
      </c>
      <c r="N2776">
        <v>3.1</v>
      </c>
      <c r="O2776">
        <v>1007</v>
      </c>
      <c r="P2776">
        <v>2.48</v>
      </c>
      <c r="Q2776">
        <v>344</v>
      </c>
      <c r="R2776">
        <v>478</v>
      </c>
    </row>
    <row r="2777" spans="1:18" hidden="1" x14ac:dyDescent="0.2">
      <c r="A2777">
        <v>7</v>
      </c>
      <c r="B2777" t="s">
        <v>72</v>
      </c>
      <c r="E2777" t="s">
        <v>36</v>
      </c>
      <c r="F2777">
        <v>1812560</v>
      </c>
      <c r="G2777">
        <v>3</v>
      </c>
      <c r="H2777">
        <v>1</v>
      </c>
      <c r="I2777">
        <v>644</v>
      </c>
      <c r="J2777">
        <v>1980</v>
      </c>
      <c r="K2777" s="4">
        <v>44417</v>
      </c>
      <c r="L2777" t="s">
        <v>23</v>
      </c>
      <c r="M2777" t="s">
        <v>52</v>
      </c>
      <c r="N2777">
        <v>2.4500000000000002</v>
      </c>
      <c r="O2777">
        <v>1803</v>
      </c>
      <c r="P2777">
        <v>2.52</v>
      </c>
      <c r="Q2777">
        <v>88</v>
      </c>
      <c r="R2777">
        <v>671</v>
      </c>
    </row>
    <row r="2778" spans="1:18" x14ac:dyDescent="0.2">
      <c r="A2778">
        <v>8</v>
      </c>
      <c r="B2778" t="s">
        <v>99</v>
      </c>
      <c r="E2778" t="s">
        <v>51</v>
      </c>
      <c r="F2778">
        <v>1727663</v>
      </c>
      <c r="G2778">
        <v>3</v>
      </c>
      <c r="H2778">
        <v>1</v>
      </c>
      <c r="I2778">
        <v>175</v>
      </c>
      <c r="J2778">
        <v>2015</v>
      </c>
      <c r="K2778" s="4">
        <v>44743</v>
      </c>
      <c r="L2778" t="s">
        <v>23</v>
      </c>
      <c r="M2778" t="s">
        <v>21</v>
      </c>
      <c r="N2778">
        <v>2.17</v>
      </c>
      <c r="O2778">
        <v>2159</v>
      </c>
      <c r="P2778">
        <v>1.04</v>
      </c>
      <c r="Q2778">
        <v>205</v>
      </c>
      <c r="R2778">
        <v>561</v>
      </c>
    </row>
    <row r="2779" spans="1:18" hidden="1" x14ac:dyDescent="0.2">
      <c r="A2779">
        <v>5</v>
      </c>
      <c r="B2779" t="s">
        <v>67</v>
      </c>
      <c r="E2779" t="s">
        <v>51</v>
      </c>
      <c r="F2779">
        <v>1896275</v>
      </c>
      <c r="G2779">
        <v>-2</v>
      </c>
      <c r="H2779">
        <v>2</v>
      </c>
      <c r="I2779">
        <v>692</v>
      </c>
      <c r="J2779">
        <v>1959</v>
      </c>
      <c r="K2779" s="4">
        <v>44210</v>
      </c>
      <c r="L2779" t="s">
        <v>20</v>
      </c>
      <c r="M2779" t="s">
        <v>40</v>
      </c>
      <c r="N2779">
        <v>3.01</v>
      </c>
      <c r="O2779">
        <v>2333</v>
      </c>
      <c r="P2779">
        <v>4.55</v>
      </c>
      <c r="Q2779">
        <v>229</v>
      </c>
      <c r="R2779">
        <v>668</v>
      </c>
    </row>
    <row r="2780" spans="1:18" hidden="1" x14ac:dyDescent="0.2">
      <c r="A2780">
        <v>9</v>
      </c>
      <c r="B2780" t="s">
        <v>99</v>
      </c>
      <c r="E2780" t="s">
        <v>19</v>
      </c>
      <c r="F2780">
        <v>1324849</v>
      </c>
      <c r="G2780">
        <v>5</v>
      </c>
      <c r="H2780">
        <v>2</v>
      </c>
      <c r="I2780">
        <v>321</v>
      </c>
      <c r="J2780">
        <v>2016</v>
      </c>
      <c r="K2780" s="4">
        <v>45768</v>
      </c>
      <c r="L2780" t="s">
        <v>23</v>
      </c>
      <c r="M2780" t="s">
        <v>52</v>
      </c>
      <c r="N2780">
        <v>3.27</v>
      </c>
      <c r="O2780">
        <v>1406</v>
      </c>
      <c r="P2780">
        <v>2.87</v>
      </c>
      <c r="Q2780">
        <v>310</v>
      </c>
      <c r="R2780">
        <v>661</v>
      </c>
    </row>
    <row r="2781" spans="1:18" x14ac:dyDescent="0.2">
      <c r="A2781">
        <v>8</v>
      </c>
      <c r="B2781" t="s">
        <v>73</v>
      </c>
      <c r="E2781" t="s">
        <v>19</v>
      </c>
      <c r="F2781">
        <v>954316</v>
      </c>
      <c r="G2781">
        <v>2</v>
      </c>
      <c r="H2781">
        <v>2</v>
      </c>
      <c r="I2781">
        <v>491</v>
      </c>
      <c r="J2781">
        <v>1955</v>
      </c>
      <c r="K2781" s="4">
        <v>45726</v>
      </c>
      <c r="L2781" t="s">
        <v>26</v>
      </c>
      <c r="M2781" t="s">
        <v>76</v>
      </c>
      <c r="N2781">
        <v>1.84</v>
      </c>
      <c r="O2781">
        <v>1746</v>
      </c>
      <c r="P2781">
        <v>1.46</v>
      </c>
      <c r="Q2781">
        <v>107</v>
      </c>
      <c r="R2781">
        <v>487</v>
      </c>
    </row>
    <row r="2782" spans="1:18" hidden="1" x14ac:dyDescent="0.2">
      <c r="A2782">
        <v>7</v>
      </c>
      <c r="B2782" t="s">
        <v>55</v>
      </c>
      <c r="E2782" t="s">
        <v>51</v>
      </c>
      <c r="F2782">
        <v>2207449</v>
      </c>
      <c r="G2782">
        <v>3</v>
      </c>
      <c r="H2782">
        <v>2</v>
      </c>
      <c r="I2782">
        <v>96</v>
      </c>
      <c r="J2782">
        <v>2012</v>
      </c>
      <c r="K2782" s="4">
        <v>44520</v>
      </c>
      <c r="L2782" t="s">
        <v>26</v>
      </c>
      <c r="M2782" t="s">
        <v>45</v>
      </c>
      <c r="N2782">
        <v>3.17</v>
      </c>
      <c r="O2782">
        <v>921</v>
      </c>
      <c r="P2782">
        <v>4.0999999999999996</v>
      </c>
      <c r="Q2782">
        <v>232</v>
      </c>
      <c r="R2782">
        <v>317</v>
      </c>
    </row>
    <row r="2783" spans="1:18" hidden="1" x14ac:dyDescent="0.2">
      <c r="A2783">
        <v>9</v>
      </c>
      <c r="B2783" t="s">
        <v>46</v>
      </c>
      <c r="E2783" t="s">
        <v>36</v>
      </c>
      <c r="F2783">
        <v>2196772</v>
      </c>
      <c r="G2783">
        <v>0</v>
      </c>
      <c r="H2783">
        <v>1</v>
      </c>
      <c r="I2783">
        <v>532</v>
      </c>
      <c r="J2783">
        <v>1974</v>
      </c>
      <c r="K2783" s="4">
        <v>44350</v>
      </c>
      <c r="L2783" t="s">
        <v>26</v>
      </c>
      <c r="M2783" t="s">
        <v>40</v>
      </c>
      <c r="N2783">
        <v>3.36</v>
      </c>
      <c r="O2783">
        <v>954</v>
      </c>
      <c r="P2783">
        <v>2.19</v>
      </c>
      <c r="Q2783">
        <v>68</v>
      </c>
      <c r="R2783">
        <v>375</v>
      </c>
    </row>
    <row r="2784" spans="1:18" hidden="1" x14ac:dyDescent="0.2">
      <c r="A2784">
        <v>1</v>
      </c>
      <c r="B2784" t="s">
        <v>87</v>
      </c>
      <c r="E2784" t="s">
        <v>36</v>
      </c>
      <c r="F2784">
        <v>2631830</v>
      </c>
      <c r="G2784">
        <v>3</v>
      </c>
      <c r="H2784">
        <v>2</v>
      </c>
      <c r="I2784">
        <v>427</v>
      </c>
      <c r="J2784">
        <v>1979</v>
      </c>
      <c r="K2784" s="4">
        <v>45491</v>
      </c>
      <c r="L2784" t="s">
        <v>30</v>
      </c>
      <c r="M2784" t="s">
        <v>40</v>
      </c>
      <c r="N2784">
        <v>2.57</v>
      </c>
      <c r="O2784">
        <v>2488</v>
      </c>
      <c r="P2784">
        <v>0.9</v>
      </c>
      <c r="Q2784">
        <v>287</v>
      </c>
      <c r="R2784">
        <v>551</v>
      </c>
    </row>
    <row r="2785" spans="1:18" hidden="1" x14ac:dyDescent="0.2">
      <c r="A2785">
        <v>4</v>
      </c>
      <c r="B2785" t="s">
        <v>101</v>
      </c>
      <c r="E2785" t="s">
        <v>51</v>
      </c>
      <c r="F2785">
        <v>1935326</v>
      </c>
      <c r="G2785">
        <v>5</v>
      </c>
      <c r="H2785">
        <v>1</v>
      </c>
      <c r="I2785">
        <v>201</v>
      </c>
      <c r="J2785">
        <v>1990</v>
      </c>
      <c r="K2785" s="4">
        <v>44866</v>
      </c>
      <c r="L2785" t="s">
        <v>26</v>
      </c>
      <c r="M2785" t="s">
        <v>78</v>
      </c>
      <c r="N2785">
        <v>3.13</v>
      </c>
      <c r="O2785">
        <v>2128</v>
      </c>
      <c r="P2785">
        <v>1.38</v>
      </c>
      <c r="Q2785">
        <v>330</v>
      </c>
      <c r="R2785">
        <v>562</v>
      </c>
    </row>
    <row r="2786" spans="1:18" hidden="1" x14ac:dyDescent="0.2">
      <c r="A2786">
        <v>2</v>
      </c>
      <c r="B2786" t="s">
        <v>39</v>
      </c>
      <c r="E2786" t="s">
        <v>51</v>
      </c>
      <c r="F2786">
        <v>1560498</v>
      </c>
      <c r="G2786">
        <v>1</v>
      </c>
      <c r="H2786">
        <v>2</v>
      </c>
      <c r="I2786">
        <v>546</v>
      </c>
      <c r="J2786">
        <v>2012</v>
      </c>
      <c r="K2786" s="4">
        <v>44427</v>
      </c>
      <c r="L2786" t="s">
        <v>20</v>
      </c>
      <c r="M2786" t="s">
        <v>31</v>
      </c>
      <c r="N2786">
        <v>1.92</v>
      </c>
      <c r="O2786">
        <v>1712</v>
      </c>
      <c r="P2786">
        <v>0.25</v>
      </c>
      <c r="Q2786">
        <v>108</v>
      </c>
      <c r="R2786">
        <v>312</v>
      </c>
    </row>
    <row r="2787" spans="1:18" hidden="1" x14ac:dyDescent="0.2">
      <c r="A2787">
        <v>5</v>
      </c>
      <c r="B2787" t="s">
        <v>88</v>
      </c>
      <c r="E2787" t="s">
        <v>29</v>
      </c>
      <c r="F2787">
        <v>563206</v>
      </c>
      <c r="G2787">
        <v>5</v>
      </c>
      <c r="H2787">
        <v>3</v>
      </c>
      <c r="I2787">
        <v>216</v>
      </c>
      <c r="J2787">
        <v>1978</v>
      </c>
      <c r="K2787" s="4">
        <v>45621</v>
      </c>
      <c r="L2787" t="s">
        <v>30</v>
      </c>
      <c r="M2787" t="s">
        <v>21</v>
      </c>
      <c r="N2787">
        <v>2.54</v>
      </c>
      <c r="O2787">
        <v>1126</v>
      </c>
      <c r="P2787">
        <v>0.61</v>
      </c>
      <c r="Q2787">
        <v>368</v>
      </c>
      <c r="R2787">
        <v>516</v>
      </c>
    </row>
    <row r="2788" spans="1:18" hidden="1" x14ac:dyDescent="0.2">
      <c r="A2788">
        <v>1</v>
      </c>
      <c r="B2788" t="s">
        <v>90</v>
      </c>
      <c r="E2788" t="s">
        <v>19</v>
      </c>
      <c r="F2788">
        <v>1337557</v>
      </c>
      <c r="G2788">
        <v>4</v>
      </c>
      <c r="H2788">
        <v>1</v>
      </c>
      <c r="I2788">
        <v>271</v>
      </c>
      <c r="J2788">
        <v>1971</v>
      </c>
      <c r="K2788" s="4">
        <v>45615</v>
      </c>
      <c r="L2788" t="s">
        <v>20</v>
      </c>
      <c r="M2788" t="s">
        <v>59</v>
      </c>
      <c r="N2788">
        <v>3.46</v>
      </c>
      <c r="O2788">
        <v>1483</v>
      </c>
      <c r="P2788">
        <v>3.37</v>
      </c>
      <c r="Q2788">
        <v>213</v>
      </c>
      <c r="R2788">
        <v>621</v>
      </c>
    </row>
    <row r="2789" spans="1:18" hidden="1" x14ac:dyDescent="0.2">
      <c r="A2789">
        <v>4</v>
      </c>
      <c r="B2789" t="s">
        <v>88</v>
      </c>
      <c r="E2789" t="s">
        <v>29</v>
      </c>
      <c r="F2789">
        <v>590515</v>
      </c>
      <c r="G2789">
        <v>2</v>
      </c>
      <c r="H2789">
        <v>3</v>
      </c>
      <c r="I2789">
        <v>721</v>
      </c>
      <c r="J2789">
        <v>1977</v>
      </c>
      <c r="K2789" s="4">
        <v>45317</v>
      </c>
      <c r="L2789" t="s">
        <v>26</v>
      </c>
      <c r="M2789" t="s">
        <v>42</v>
      </c>
      <c r="N2789">
        <v>2.76</v>
      </c>
      <c r="O2789">
        <v>2050</v>
      </c>
      <c r="P2789">
        <v>4.5</v>
      </c>
      <c r="Q2789">
        <v>198</v>
      </c>
      <c r="R2789">
        <v>511</v>
      </c>
    </row>
    <row r="2790" spans="1:18" hidden="1" x14ac:dyDescent="0.2">
      <c r="A2790">
        <v>0</v>
      </c>
      <c r="B2790" t="s">
        <v>55</v>
      </c>
      <c r="E2790" t="s">
        <v>29</v>
      </c>
      <c r="F2790">
        <v>2169868</v>
      </c>
      <c r="G2790">
        <v>3</v>
      </c>
      <c r="H2790">
        <v>1</v>
      </c>
      <c r="I2790">
        <v>928</v>
      </c>
      <c r="J2790">
        <v>1990</v>
      </c>
      <c r="K2790" s="4">
        <v>44140</v>
      </c>
      <c r="L2790" t="s">
        <v>20</v>
      </c>
      <c r="M2790" t="s">
        <v>21</v>
      </c>
      <c r="N2790">
        <v>3.43</v>
      </c>
      <c r="O2790">
        <v>1896</v>
      </c>
      <c r="P2790">
        <v>2.23</v>
      </c>
      <c r="Q2790">
        <v>203</v>
      </c>
      <c r="R2790">
        <v>471</v>
      </c>
    </row>
    <row r="2791" spans="1:18" hidden="1" x14ac:dyDescent="0.2">
      <c r="A2791">
        <v>3</v>
      </c>
      <c r="B2791" t="s">
        <v>102</v>
      </c>
      <c r="E2791" t="s">
        <v>29</v>
      </c>
      <c r="F2791">
        <v>1638113</v>
      </c>
      <c r="G2791">
        <v>4</v>
      </c>
      <c r="H2791">
        <v>1</v>
      </c>
      <c r="I2791">
        <v>254</v>
      </c>
      <c r="J2791">
        <v>1967</v>
      </c>
      <c r="K2791" s="4">
        <v>45199</v>
      </c>
      <c r="L2791" t="s">
        <v>30</v>
      </c>
      <c r="M2791" t="s">
        <v>31</v>
      </c>
      <c r="N2791">
        <v>1.54</v>
      </c>
      <c r="O2791">
        <v>1294</v>
      </c>
      <c r="P2791">
        <v>2.87</v>
      </c>
      <c r="Q2791">
        <v>386</v>
      </c>
      <c r="R2791">
        <v>639</v>
      </c>
    </row>
    <row r="2792" spans="1:18" hidden="1" x14ac:dyDescent="0.2">
      <c r="A2792">
        <v>2</v>
      </c>
      <c r="B2792" t="s">
        <v>57</v>
      </c>
      <c r="E2792" t="s">
        <v>29</v>
      </c>
      <c r="F2792">
        <v>1423327</v>
      </c>
      <c r="G2792">
        <v>3</v>
      </c>
      <c r="H2792">
        <v>2</v>
      </c>
      <c r="I2792">
        <v>739</v>
      </c>
      <c r="J2792">
        <v>1964</v>
      </c>
      <c r="K2792" s="4">
        <v>44215</v>
      </c>
      <c r="L2792" t="s">
        <v>30</v>
      </c>
      <c r="M2792" t="s">
        <v>40</v>
      </c>
      <c r="N2792">
        <v>3.12</v>
      </c>
      <c r="O2792">
        <v>1240</v>
      </c>
      <c r="P2792">
        <v>4.13</v>
      </c>
      <c r="Q2792">
        <v>312</v>
      </c>
      <c r="R2792">
        <v>505</v>
      </c>
    </row>
    <row r="2793" spans="1:18" hidden="1" x14ac:dyDescent="0.2">
      <c r="A2793">
        <v>9</v>
      </c>
      <c r="B2793" t="s">
        <v>32</v>
      </c>
      <c r="E2793" t="s">
        <v>36</v>
      </c>
      <c r="F2793">
        <v>1371649</v>
      </c>
      <c r="G2793">
        <v>2</v>
      </c>
      <c r="H2793">
        <v>3</v>
      </c>
      <c r="I2793">
        <v>615</v>
      </c>
      <c r="J2793">
        <v>2016</v>
      </c>
      <c r="K2793" s="4">
        <v>45398</v>
      </c>
      <c r="L2793" t="s">
        <v>26</v>
      </c>
      <c r="M2793" t="s">
        <v>76</v>
      </c>
      <c r="N2793">
        <v>1.94</v>
      </c>
      <c r="O2793">
        <v>1547</v>
      </c>
      <c r="P2793">
        <v>0.85</v>
      </c>
      <c r="Q2793">
        <v>135</v>
      </c>
      <c r="R2793">
        <v>386</v>
      </c>
    </row>
    <row r="2794" spans="1:18" hidden="1" x14ac:dyDescent="0.2">
      <c r="A2794">
        <v>3</v>
      </c>
      <c r="B2794" t="s">
        <v>73</v>
      </c>
      <c r="E2794" t="s">
        <v>19</v>
      </c>
      <c r="F2794">
        <v>2321145</v>
      </c>
      <c r="G2794">
        <v>0</v>
      </c>
      <c r="H2794">
        <v>3</v>
      </c>
      <c r="I2794">
        <v>564</v>
      </c>
      <c r="J2794">
        <v>1961</v>
      </c>
      <c r="K2794" s="4">
        <v>44536</v>
      </c>
      <c r="L2794" t="s">
        <v>20</v>
      </c>
      <c r="M2794" t="s">
        <v>42</v>
      </c>
      <c r="N2794">
        <v>1.55</v>
      </c>
      <c r="O2794">
        <v>2309</v>
      </c>
      <c r="P2794">
        <v>2.41</v>
      </c>
      <c r="Q2794">
        <v>40</v>
      </c>
      <c r="R2794">
        <v>586</v>
      </c>
    </row>
    <row r="2795" spans="1:18" hidden="1" x14ac:dyDescent="0.2">
      <c r="A2795">
        <v>1</v>
      </c>
      <c r="B2795" t="s">
        <v>88</v>
      </c>
      <c r="E2795" t="s">
        <v>36</v>
      </c>
      <c r="F2795">
        <v>2721543</v>
      </c>
      <c r="G2795">
        <v>4</v>
      </c>
      <c r="H2795">
        <v>3</v>
      </c>
      <c r="I2795">
        <v>605</v>
      </c>
      <c r="J2795">
        <v>1972</v>
      </c>
      <c r="K2795" s="4">
        <v>44087</v>
      </c>
      <c r="L2795" t="s">
        <v>26</v>
      </c>
      <c r="M2795" t="s">
        <v>31</v>
      </c>
      <c r="N2795">
        <v>2.67</v>
      </c>
      <c r="O2795">
        <v>1073</v>
      </c>
      <c r="P2795">
        <v>2.74</v>
      </c>
      <c r="Q2795">
        <v>394</v>
      </c>
      <c r="R2795">
        <v>368</v>
      </c>
    </row>
    <row r="2796" spans="1:18" hidden="1" x14ac:dyDescent="0.2">
      <c r="A2796">
        <v>5</v>
      </c>
      <c r="B2796" t="s">
        <v>104</v>
      </c>
      <c r="E2796" t="s">
        <v>19</v>
      </c>
      <c r="F2796">
        <v>400816</v>
      </c>
      <c r="G2796">
        <v>3</v>
      </c>
      <c r="H2796">
        <v>3</v>
      </c>
      <c r="I2796">
        <v>967</v>
      </c>
      <c r="J2796">
        <v>1960</v>
      </c>
      <c r="K2796" s="4">
        <v>45872</v>
      </c>
      <c r="L2796" t="s">
        <v>26</v>
      </c>
      <c r="M2796" t="s">
        <v>97</v>
      </c>
      <c r="N2796">
        <v>3.26</v>
      </c>
      <c r="O2796">
        <v>2297</v>
      </c>
      <c r="P2796">
        <v>2.42</v>
      </c>
      <c r="Q2796">
        <v>309</v>
      </c>
      <c r="R2796">
        <v>323</v>
      </c>
    </row>
    <row r="2797" spans="1:18" hidden="1" x14ac:dyDescent="0.2">
      <c r="A2797">
        <v>0</v>
      </c>
      <c r="B2797" t="s">
        <v>61</v>
      </c>
      <c r="E2797" t="s">
        <v>29</v>
      </c>
      <c r="F2797">
        <v>1328680</v>
      </c>
      <c r="G2797">
        <v>6</v>
      </c>
      <c r="H2797">
        <v>3</v>
      </c>
      <c r="I2797">
        <v>867</v>
      </c>
      <c r="J2797">
        <v>2006</v>
      </c>
      <c r="K2797" s="4">
        <v>45177</v>
      </c>
      <c r="L2797" t="s">
        <v>20</v>
      </c>
      <c r="M2797" t="s">
        <v>47</v>
      </c>
      <c r="N2797">
        <v>2.84</v>
      </c>
      <c r="O2797">
        <v>836</v>
      </c>
      <c r="P2797">
        <v>3.51</v>
      </c>
      <c r="Q2797">
        <v>361</v>
      </c>
      <c r="R2797">
        <v>481</v>
      </c>
    </row>
    <row r="2798" spans="1:18" hidden="1" x14ac:dyDescent="0.2">
      <c r="A2798">
        <v>7</v>
      </c>
      <c r="B2798" t="s">
        <v>83</v>
      </c>
      <c r="E2798" t="s">
        <v>51</v>
      </c>
      <c r="F2798">
        <v>2236528</v>
      </c>
      <c r="G2798">
        <v>3</v>
      </c>
      <c r="H2798">
        <v>1</v>
      </c>
      <c r="I2798">
        <v>976</v>
      </c>
      <c r="J2798">
        <v>1982</v>
      </c>
      <c r="K2798" s="4">
        <v>44438</v>
      </c>
      <c r="L2798" t="s">
        <v>26</v>
      </c>
      <c r="M2798" t="s">
        <v>68</v>
      </c>
      <c r="N2798">
        <v>2.8</v>
      </c>
      <c r="O2798">
        <v>2132</v>
      </c>
      <c r="P2798">
        <v>4.29</v>
      </c>
      <c r="Q2798">
        <v>307</v>
      </c>
      <c r="R2798">
        <v>377</v>
      </c>
    </row>
    <row r="2799" spans="1:18" hidden="1" x14ac:dyDescent="0.2">
      <c r="A2799">
        <v>2</v>
      </c>
      <c r="B2799" t="s">
        <v>25</v>
      </c>
      <c r="E2799" t="s">
        <v>36</v>
      </c>
      <c r="F2799">
        <v>2805979</v>
      </c>
      <c r="G2799">
        <v>3</v>
      </c>
      <c r="H2799">
        <v>2</v>
      </c>
      <c r="I2799">
        <v>761</v>
      </c>
      <c r="J2799">
        <v>1976</v>
      </c>
      <c r="K2799" s="4">
        <v>45820</v>
      </c>
      <c r="L2799" t="s">
        <v>23</v>
      </c>
      <c r="M2799" t="s">
        <v>69</v>
      </c>
      <c r="N2799">
        <v>1.74</v>
      </c>
      <c r="O2799">
        <v>1115</v>
      </c>
      <c r="P2799">
        <v>1.96</v>
      </c>
      <c r="Q2799">
        <v>141</v>
      </c>
      <c r="R2799">
        <v>365</v>
      </c>
    </row>
    <row r="2800" spans="1:18" hidden="1" x14ac:dyDescent="0.2">
      <c r="A2800">
        <v>5</v>
      </c>
      <c r="B2800" t="s">
        <v>87</v>
      </c>
      <c r="E2800" t="s">
        <v>51</v>
      </c>
      <c r="F2800">
        <v>1481574</v>
      </c>
      <c r="G2800">
        <v>2</v>
      </c>
      <c r="H2800">
        <v>1</v>
      </c>
      <c r="I2800">
        <v>51</v>
      </c>
      <c r="J2800">
        <v>2005</v>
      </c>
      <c r="K2800" s="4">
        <v>45239</v>
      </c>
      <c r="L2800" t="s">
        <v>30</v>
      </c>
      <c r="M2800" t="s">
        <v>58</v>
      </c>
      <c r="N2800">
        <v>3.5</v>
      </c>
      <c r="O2800">
        <v>1715</v>
      </c>
      <c r="P2800">
        <v>2.4300000000000002</v>
      </c>
      <c r="Q2800">
        <v>90</v>
      </c>
      <c r="R2800">
        <v>516</v>
      </c>
    </row>
    <row r="2801" spans="1:18" hidden="1" x14ac:dyDescent="0.2">
      <c r="A2801">
        <v>7</v>
      </c>
      <c r="B2801" t="s">
        <v>49</v>
      </c>
      <c r="E2801" t="s">
        <v>51</v>
      </c>
      <c r="F2801">
        <v>2651584</v>
      </c>
      <c r="G2801">
        <v>0</v>
      </c>
      <c r="H2801">
        <v>2</v>
      </c>
      <c r="I2801">
        <v>146</v>
      </c>
      <c r="J2801">
        <v>1999</v>
      </c>
      <c r="K2801" s="4">
        <v>45636</v>
      </c>
      <c r="L2801" t="s">
        <v>23</v>
      </c>
      <c r="M2801" t="s">
        <v>97</v>
      </c>
      <c r="N2801">
        <v>3.32</v>
      </c>
      <c r="O2801">
        <v>1455</v>
      </c>
      <c r="P2801">
        <v>2.74</v>
      </c>
      <c r="Q2801">
        <v>57</v>
      </c>
      <c r="R2801">
        <v>308</v>
      </c>
    </row>
    <row r="2802" spans="1:18" hidden="1" x14ac:dyDescent="0.2">
      <c r="A2802">
        <v>1</v>
      </c>
      <c r="B2802" t="s">
        <v>38</v>
      </c>
      <c r="E2802" t="s">
        <v>19</v>
      </c>
      <c r="F2802">
        <v>1615213</v>
      </c>
      <c r="G2802">
        <v>0</v>
      </c>
      <c r="H2802">
        <v>3</v>
      </c>
      <c r="I2802">
        <v>391</v>
      </c>
      <c r="J2802">
        <v>2018</v>
      </c>
      <c r="K2802" s="4">
        <v>45579</v>
      </c>
      <c r="L2802" t="s">
        <v>20</v>
      </c>
      <c r="M2802" t="s">
        <v>66</v>
      </c>
      <c r="N2802">
        <v>2.5</v>
      </c>
      <c r="O2802">
        <v>1571</v>
      </c>
      <c r="P2802">
        <v>2.4500000000000002</v>
      </c>
      <c r="Q2802">
        <v>80</v>
      </c>
      <c r="R2802">
        <v>316</v>
      </c>
    </row>
    <row r="2803" spans="1:18" hidden="1" x14ac:dyDescent="0.2">
      <c r="A2803">
        <v>0</v>
      </c>
      <c r="B2803" t="s">
        <v>57</v>
      </c>
      <c r="E2803" t="s">
        <v>19</v>
      </c>
      <c r="F2803">
        <v>877309</v>
      </c>
      <c r="G2803">
        <v>3</v>
      </c>
      <c r="H2803">
        <v>3</v>
      </c>
      <c r="I2803">
        <v>861</v>
      </c>
      <c r="J2803">
        <v>2002</v>
      </c>
      <c r="K2803" s="4">
        <v>45364</v>
      </c>
      <c r="L2803" t="s">
        <v>26</v>
      </c>
      <c r="M2803" t="s">
        <v>31</v>
      </c>
      <c r="N2803">
        <v>2.8</v>
      </c>
      <c r="O2803">
        <v>2457</v>
      </c>
      <c r="P2803">
        <v>3.79</v>
      </c>
      <c r="Q2803">
        <v>264</v>
      </c>
      <c r="R2803">
        <v>503</v>
      </c>
    </row>
    <row r="2804" spans="1:18" hidden="1" x14ac:dyDescent="0.2">
      <c r="A2804">
        <v>7</v>
      </c>
      <c r="B2804" t="s">
        <v>105</v>
      </c>
      <c r="E2804" t="s">
        <v>29</v>
      </c>
      <c r="F2804">
        <v>2713571</v>
      </c>
      <c r="G2804">
        <v>3</v>
      </c>
      <c r="H2804">
        <v>1</v>
      </c>
      <c r="I2804">
        <v>551</v>
      </c>
      <c r="J2804">
        <v>2007</v>
      </c>
      <c r="K2804" s="4">
        <v>44736</v>
      </c>
      <c r="L2804" t="s">
        <v>30</v>
      </c>
      <c r="M2804" t="s">
        <v>97</v>
      </c>
      <c r="N2804">
        <v>1.74</v>
      </c>
      <c r="O2804">
        <v>2364</v>
      </c>
      <c r="P2804">
        <v>3.52</v>
      </c>
      <c r="Q2804">
        <v>285</v>
      </c>
      <c r="R2804">
        <v>499</v>
      </c>
    </row>
    <row r="2805" spans="1:18" hidden="1" x14ac:dyDescent="0.2">
      <c r="A2805">
        <v>3</v>
      </c>
      <c r="B2805" t="s">
        <v>99</v>
      </c>
      <c r="E2805" t="s">
        <v>29</v>
      </c>
      <c r="F2805">
        <v>2952659</v>
      </c>
      <c r="G2805">
        <v>1</v>
      </c>
      <c r="H2805">
        <v>1</v>
      </c>
      <c r="I2805">
        <v>129</v>
      </c>
      <c r="J2805">
        <v>1977</v>
      </c>
      <c r="K2805" s="4">
        <v>45012</v>
      </c>
      <c r="L2805" t="s">
        <v>26</v>
      </c>
      <c r="M2805" t="s">
        <v>42</v>
      </c>
      <c r="N2805">
        <v>1.94</v>
      </c>
      <c r="O2805">
        <v>887</v>
      </c>
      <c r="P2805">
        <v>2.83</v>
      </c>
      <c r="Q2805">
        <v>159</v>
      </c>
      <c r="R2805">
        <v>443</v>
      </c>
    </row>
    <row r="2806" spans="1:18" hidden="1" x14ac:dyDescent="0.2">
      <c r="A2806">
        <v>3</v>
      </c>
      <c r="B2806" t="s">
        <v>95</v>
      </c>
      <c r="E2806" t="s">
        <v>51</v>
      </c>
      <c r="F2806">
        <v>617728</v>
      </c>
      <c r="G2806">
        <v>5</v>
      </c>
      <c r="H2806">
        <v>1</v>
      </c>
      <c r="I2806">
        <v>473</v>
      </c>
      <c r="J2806">
        <v>1959</v>
      </c>
      <c r="K2806" s="4">
        <v>44582</v>
      </c>
      <c r="L2806" t="s">
        <v>30</v>
      </c>
      <c r="M2806" t="s">
        <v>52</v>
      </c>
      <c r="N2806">
        <v>1.67</v>
      </c>
      <c r="O2806">
        <v>2306</v>
      </c>
      <c r="P2806">
        <v>3.57</v>
      </c>
      <c r="Q2806">
        <v>297</v>
      </c>
      <c r="R2806">
        <v>487</v>
      </c>
    </row>
    <row r="2807" spans="1:18" hidden="1" x14ac:dyDescent="0.2">
      <c r="A2807">
        <v>9</v>
      </c>
      <c r="B2807" t="s">
        <v>86</v>
      </c>
      <c r="E2807" t="s">
        <v>29</v>
      </c>
      <c r="F2807">
        <v>933132</v>
      </c>
      <c r="G2807">
        <v>3</v>
      </c>
      <c r="H2807">
        <v>3</v>
      </c>
      <c r="I2807">
        <v>612</v>
      </c>
      <c r="J2807">
        <v>1956</v>
      </c>
      <c r="K2807" s="4">
        <v>45010</v>
      </c>
      <c r="L2807" t="s">
        <v>26</v>
      </c>
      <c r="M2807" t="s">
        <v>35</v>
      </c>
      <c r="N2807">
        <v>1.82</v>
      </c>
      <c r="O2807">
        <v>2323</v>
      </c>
      <c r="P2807">
        <v>0.18</v>
      </c>
      <c r="Q2807">
        <v>275</v>
      </c>
      <c r="R2807">
        <v>646</v>
      </c>
    </row>
    <row r="2808" spans="1:18" hidden="1" x14ac:dyDescent="0.2">
      <c r="A2808">
        <v>0</v>
      </c>
      <c r="B2808" t="s">
        <v>64</v>
      </c>
      <c r="E2808" t="s">
        <v>19</v>
      </c>
      <c r="F2808">
        <v>680876</v>
      </c>
      <c r="G2808">
        <v>3</v>
      </c>
      <c r="H2808">
        <v>1</v>
      </c>
      <c r="I2808">
        <v>144</v>
      </c>
      <c r="J2808">
        <v>1988</v>
      </c>
      <c r="K2808" s="4">
        <v>44459</v>
      </c>
      <c r="L2808" t="s">
        <v>20</v>
      </c>
      <c r="M2808" t="s">
        <v>31</v>
      </c>
      <c r="N2808">
        <v>1.79</v>
      </c>
      <c r="O2808">
        <v>2063</v>
      </c>
      <c r="P2808">
        <v>0.76</v>
      </c>
      <c r="Q2808">
        <v>280</v>
      </c>
      <c r="R2808">
        <v>459</v>
      </c>
    </row>
    <row r="2809" spans="1:18" hidden="1" x14ac:dyDescent="0.2">
      <c r="A2809">
        <v>0</v>
      </c>
      <c r="B2809" t="s">
        <v>46</v>
      </c>
      <c r="E2809" t="s">
        <v>36</v>
      </c>
      <c r="F2809">
        <v>1930768</v>
      </c>
      <c r="G2809">
        <v>1</v>
      </c>
      <c r="H2809">
        <v>2</v>
      </c>
      <c r="I2809">
        <v>288</v>
      </c>
      <c r="J2809">
        <v>1995</v>
      </c>
      <c r="K2809" s="4">
        <v>44409</v>
      </c>
      <c r="L2809" t="s">
        <v>30</v>
      </c>
      <c r="M2809" t="s">
        <v>21</v>
      </c>
      <c r="N2809">
        <v>2.66</v>
      </c>
      <c r="O2809">
        <v>1421</v>
      </c>
      <c r="P2809">
        <v>4.32</v>
      </c>
      <c r="Q2809">
        <v>58</v>
      </c>
      <c r="R2809">
        <v>587</v>
      </c>
    </row>
    <row r="2810" spans="1:18" hidden="1" x14ac:dyDescent="0.2">
      <c r="A2810">
        <v>7</v>
      </c>
      <c r="B2810" t="s">
        <v>106</v>
      </c>
      <c r="E2810" t="s">
        <v>36</v>
      </c>
      <c r="F2810">
        <v>2924841</v>
      </c>
      <c r="G2810">
        <v>2</v>
      </c>
      <c r="H2810">
        <v>1</v>
      </c>
      <c r="I2810">
        <v>758</v>
      </c>
      <c r="J2810">
        <v>1957</v>
      </c>
      <c r="K2810" s="4">
        <v>44531</v>
      </c>
      <c r="L2810" t="s">
        <v>20</v>
      </c>
      <c r="M2810" t="s">
        <v>69</v>
      </c>
      <c r="N2810">
        <v>3.12</v>
      </c>
      <c r="O2810">
        <v>1136</v>
      </c>
      <c r="P2810">
        <v>4.75</v>
      </c>
      <c r="Q2810">
        <v>42</v>
      </c>
      <c r="R2810">
        <v>389</v>
      </c>
    </row>
    <row r="2811" spans="1:18" hidden="1" x14ac:dyDescent="0.2">
      <c r="A2811">
        <v>3</v>
      </c>
      <c r="B2811" t="s">
        <v>105</v>
      </c>
      <c r="E2811" t="s">
        <v>51</v>
      </c>
      <c r="F2811">
        <v>2434890</v>
      </c>
      <c r="G2811">
        <v>4</v>
      </c>
      <c r="H2811">
        <v>3</v>
      </c>
      <c r="I2811">
        <v>94</v>
      </c>
      <c r="J2811">
        <v>1963</v>
      </c>
      <c r="K2811" s="4">
        <v>45607</v>
      </c>
      <c r="L2811" t="s">
        <v>26</v>
      </c>
      <c r="M2811" t="s">
        <v>76</v>
      </c>
      <c r="N2811">
        <v>3.12</v>
      </c>
      <c r="O2811">
        <v>2377</v>
      </c>
      <c r="P2811">
        <v>2.37</v>
      </c>
      <c r="Q2811">
        <v>283</v>
      </c>
      <c r="R2811">
        <v>301</v>
      </c>
    </row>
    <row r="2812" spans="1:18" hidden="1" x14ac:dyDescent="0.2">
      <c r="A2812">
        <v>2</v>
      </c>
      <c r="B2812" t="s">
        <v>102</v>
      </c>
      <c r="E2812" t="s">
        <v>36</v>
      </c>
      <c r="F2812">
        <v>1183330</v>
      </c>
      <c r="G2812">
        <v>3</v>
      </c>
      <c r="H2812">
        <v>1</v>
      </c>
      <c r="I2812">
        <v>894</v>
      </c>
      <c r="J2812">
        <v>2008</v>
      </c>
      <c r="K2812" s="4">
        <v>45309</v>
      </c>
      <c r="L2812" t="s">
        <v>30</v>
      </c>
      <c r="M2812" t="s">
        <v>31</v>
      </c>
      <c r="N2812">
        <v>3.44</v>
      </c>
      <c r="O2812">
        <v>1713</v>
      </c>
      <c r="P2812">
        <v>1.1200000000000001</v>
      </c>
      <c r="Q2812">
        <v>306</v>
      </c>
      <c r="R2812">
        <v>318</v>
      </c>
    </row>
    <row r="2813" spans="1:18" hidden="1" x14ac:dyDescent="0.2">
      <c r="A2813">
        <v>3</v>
      </c>
      <c r="B2813" t="s">
        <v>99</v>
      </c>
      <c r="E2813" t="s">
        <v>51</v>
      </c>
      <c r="F2813">
        <v>655352</v>
      </c>
      <c r="G2813">
        <v>3</v>
      </c>
      <c r="H2813">
        <v>1</v>
      </c>
      <c r="I2813">
        <v>500</v>
      </c>
      <c r="J2813">
        <v>1956</v>
      </c>
      <c r="K2813" s="4">
        <v>45083</v>
      </c>
      <c r="L2813" t="s">
        <v>26</v>
      </c>
      <c r="M2813" t="s">
        <v>97</v>
      </c>
      <c r="N2813">
        <v>2.87</v>
      </c>
      <c r="O2813">
        <v>2382</v>
      </c>
      <c r="P2813">
        <v>4.72</v>
      </c>
      <c r="Q2813">
        <v>273</v>
      </c>
      <c r="R2813">
        <v>583</v>
      </c>
    </row>
    <row r="2814" spans="1:18" hidden="1" x14ac:dyDescent="0.2">
      <c r="A2814">
        <v>6</v>
      </c>
      <c r="B2814" t="s">
        <v>91</v>
      </c>
      <c r="E2814" t="s">
        <v>19</v>
      </c>
      <c r="F2814">
        <v>2971911</v>
      </c>
      <c r="G2814">
        <v>2</v>
      </c>
      <c r="H2814">
        <v>1</v>
      </c>
      <c r="I2814">
        <v>217</v>
      </c>
      <c r="J2814">
        <v>2021</v>
      </c>
      <c r="K2814" s="4">
        <v>45797</v>
      </c>
      <c r="L2814" t="s">
        <v>30</v>
      </c>
      <c r="M2814" t="s">
        <v>54</v>
      </c>
      <c r="N2814">
        <v>2.2200000000000002</v>
      </c>
      <c r="O2814">
        <v>2307</v>
      </c>
      <c r="P2814">
        <v>2.15</v>
      </c>
      <c r="Q2814">
        <v>200</v>
      </c>
      <c r="R2814">
        <v>312</v>
      </c>
    </row>
    <row r="2815" spans="1:18" hidden="1" x14ac:dyDescent="0.2">
      <c r="A2815">
        <v>9</v>
      </c>
      <c r="B2815" t="s">
        <v>55</v>
      </c>
      <c r="E2815" t="s">
        <v>19</v>
      </c>
      <c r="F2815">
        <v>518131</v>
      </c>
      <c r="G2815">
        <v>2</v>
      </c>
      <c r="H2815">
        <v>2</v>
      </c>
      <c r="I2815">
        <v>257</v>
      </c>
      <c r="J2815">
        <v>1974</v>
      </c>
      <c r="K2815" s="4">
        <v>44110</v>
      </c>
      <c r="L2815" t="s">
        <v>30</v>
      </c>
      <c r="M2815" t="s">
        <v>70</v>
      </c>
      <c r="N2815">
        <v>2.2599999999999998</v>
      </c>
      <c r="O2815">
        <v>1055</v>
      </c>
      <c r="P2815">
        <v>3.62</v>
      </c>
      <c r="Q2815">
        <v>101</v>
      </c>
      <c r="R2815">
        <v>593</v>
      </c>
    </row>
    <row r="2816" spans="1:18" hidden="1" x14ac:dyDescent="0.2">
      <c r="A2816">
        <v>7</v>
      </c>
      <c r="B2816" t="s">
        <v>105</v>
      </c>
      <c r="E2816" t="s">
        <v>29</v>
      </c>
      <c r="F2816">
        <v>2316869</v>
      </c>
      <c r="G2816">
        <v>6</v>
      </c>
      <c r="H2816">
        <v>1</v>
      </c>
      <c r="I2816">
        <v>488</v>
      </c>
      <c r="J2816">
        <v>1964</v>
      </c>
      <c r="K2816" s="4">
        <v>44134</v>
      </c>
      <c r="L2816" t="s">
        <v>26</v>
      </c>
      <c r="M2816" t="s">
        <v>56</v>
      </c>
      <c r="N2816">
        <v>1.94</v>
      </c>
      <c r="O2816">
        <v>2245</v>
      </c>
      <c r="P2816">
        <v>4.1500000000000004</v>
      </c>
      <c r="Q2816">
        <v>343</v>
      </c>
      <c r="R2816">
        <v>387</v>
      </c>
    </row>
    <row r="2817" spans="1:18" hidden="1" x14ac:dyDescent="0.2">
      <c r="A2817">
        <v>4</v>
      </c>
      <c r="B2817" t="s">
        <v>34</v>
      </c>
      <c r="E2817" t="s">
        <v>51</v>
      </c>
      <c r="F2817">
        <v>2709668</v>
      </c>
      <c r="G2817">
        <v>1</v>
      </c>
      <c r="H2817">
        <v>3</v>
      </c>
      <c r="I2817">
        <v>265</v>
      </c>
      <c r="J2817">
        <v>2009</v>
      </c>
      <c r="K2817" s="4">
        <v>44146</v>
      </c>
      <c r="L2817" t="s">
        <v>26</v>
      </c>
      <c r="M2817" t="s">
        <v>54</v>
      </c>
      <c r="N2817">
        <v>1.94</v>
      </c>
      <c r="O2817">
        <v>1103</v>
      </c>
      <c r="P2817">
        <v>4.25</v>
      </c>
      <c r="Q2817">
        <v>101</v>
      </c>
      <c r="R2817">
        <v>601</v>
      </c>
    </row>
    <row r="2818" spans="1:18" hidden="1" x14ac:dyDescent="0.2">
      <c r="A2818">
        <v>2</v>
      </c>
      <c r="B2818" t="s">
        <v>72</v>
      </c>
      <c r="E2818" t="s">
        <v>51</v>
      </c>
      <c r="F2818">
        <v>2982635</v>
      </c>
      <c r="G2818">
        <v>3</v>
      </c>
      <c r="H2818">
        <v>2</v>
      </c>
      <c r="I2818">
        <v>829</v>
      </c>
      <c r="J2818">
        <v>1970</v>
      </c>
      <c r="K2818" s="4">
        <v>45682</v>
      </c>
      <c r="L2818" t="s">
        <v>20</v>
      </c>
      <c r="M2818" t="s">
        <v>33</v>
      </c>
      <c r="N2818">
        <v>2.34</v>
      </c>
      <c r="O2818">
        <v>876</v>
      </c>
      <c r="P2818">
        <v>4.8099999999999996</v>
      </c>
      <c r="Q2818">
        <v>82</v>
      </c>
      <c r="R2818">
        <v>326</v>
      </c>
    </row>
    <row r="2819" spans="1:18" hidden="1" x14ac:dyDescent="0.2">
      <c r="A2819">
        <v>7</v>
      </c>
      <c r="B2819" t="s">
        <v>34</v>
      </c>
      <c r="E2819" t="s">
        <v>19</v>
      </c>
      <c r="F2819">
        <v>461196</v>
      </c>
      <c r="G2819">
        <v>3</v>
      </c>
      <c r="H2819">
        <v>1</v>
      </c>
      <c r="I2819">
        <v>730</v>
      </c>
      <c r="J2819">
        <v>2005</v>
      </c>
      <c r="K2819" s="4">
        <v>44699</v>
      </c>
      <c r="L2819" t="s">
        <v>23</v>
      </c>
      <c r="M2819" t="s">
        <v>52</v>
      </c>
      <c r="N2819">
        <v>1.9</v>
      </c>
      <c r="O2819">
        <v>1667</v>
      </c>
      <c r="P2819">
        <v>3.84</v>
      </c>
      <c r="Q2819">
        <v>97</v>
      </c>
      <c r="R2819">
        <v>653</v>
      </c>
    </row>
    <row r="2820" spans="1:18" hidden="1" x14ac:dyDescent="0.2">
      <c r="A2820">
        <v>1</v>
      </c>
      <c r="B2820" t="s">
        <v>22</v>
      </c>
      <c r="E2820" t="s">
        <v>19</v>
      </c>
      <c r="F2820">
        <v>2821958</v>
      </c>
      <c r="G2820">
        <v>5</v>
      </c>
      <c r="H2820">
        <v>2</v>
      </c>
      <c r="I2820">
        <v>532</v>
      </c>
      <c r="J2820">
        <v>1951</v>
      </c>
      <c r="K2820" s="4">
        <v>44819</v>
      </c>
      <c r="L2820" t="s">
        <v>20</v>
      </c>
      <c r="M2820" t="s">
        <v>58</v>
      </c>
      <c r="N2820">
        <v>3.35</v>
      </c>
      <c r="O2820">
        <v>1034</v>
      </c>
      <c r="P2820">
        <v>2.17</v>
      </c>
      <c r="Q2820">
        <v>393</v>
      </c>
      <c r="R2820">
        <v>310</v>
      </c>
    </row>
    <row r="2821" spans="1:18" hidden="1" x14ac:dyDescent="0.2">
      <c r="A2821">
        <v>1</v>
      </c>
      <c r="B2821" t="s">
        <v>104</v>
      </c>
      <c r="E2821" t="s">
        <v>29</v>
      </c>
      <c r="F2821">
        <v>1240882</v>
      </c>
      <c r="G2821">
        <v>6</v>
      </c>
      <c r="H2821">
        <v>3</v>
      </c>
      <c r="I2821">
        <v>667</v>
      </c>
      <c r="J2821">
        <v>1962</v>
      </c>
      <c r="K2821" s="4">
        <v>44725</v>
      </c>
      <c r="L2821" t="s">
        <v>26</v>
      </c>
      <c r="M2821" t="s">
        <v>52</v>
      </c>
      <c r="N2821">
        <v>2.61</v>
      </c>
      <c r="O2821">
        <v>1682</v>
      </c>
      <c r="P2821">
        <v>3.09</v>
      </c>
      <c r="Q2821">
        <v>325</v>
      </c>
      <c r="R2821">
        <v>447</v>
      </c>
    </row>
    <row r="2822" spans="1:18" hidden="1" x14ac:dyDescent="0.2">
      <c r="A2822">
        <v>7</v>
      </c>
      <c r="B2822" t="s">
        <v>44</v>
      </c>
      <c r="E2822" t="s">
        <v>36</v>
      </c>
      <c r="F2822">
        <v>2929692</v>
      </c>
      <c r="G2822">
        <v>6</v>
      </c>
      <c r="H2822">
        <v>3</v>
      </c>
      <c r="I2822">
        <v>946</v>
      </c>
      <c r="J2822">
        <v>1995</v>
      </c>
      <c r="K2822" s="4">
        <v>44814</v>
      </c>
      <c r="L2822" t="s">
        <v>30</v>
      </c>
      <c r="M2822" t="s">
        <v>27</v>
      </c>
      <c r="N2822">
        <v>2.06</v>
      </c>
      <c r="O2822">
        <v>1579</v>
      </c>
      <c r="P2822">
        <v>4.28</v>
      </c>
      <c r="Q2822">
        <v>354</v>
      </c>
      <c r="R2822">
        <v>304</v>
      </c>
    </row>
    <row r="2823" spans="1:18" hidden="1" x14ac:dyDescent="0.2">
      <c r="A2823">
        <v>0</v>
      </c>
      <c r="B2823" t="s">
        <v>25</v>
      </c>
      <c r="E2823" t="s">
        <v>36</v>
      </c>
      <c r="F2823">
        <v>782077</v>
      </c>
      <c r="G2823">
        <v>4</v>
      </c>
      <c r="H2823">
        <v>2</v>
      </c>
      <c r="I2823">
        <v>293</v>
      </c>
      <c r="J2823">
        <v>2009</v>
      </c>
      <c r="K2823" s="4">
        <v>45214</v>
      </c>
      <c r="L2823" t="s">
        <v>30</v>
      </c>
      <c r="M2823" t="s">
        <v>74</v>
      </c>
      <c r="N2823">
        <v>2.84</v>
      </c>
      <c r="O2823">
        <v>847</v>
      </c>
      <c r="P2823">
        <v>1.96</v>
      </c>
      <c r="Q2823">
        <v>400</v>
      </c>
      <c r="R2823">
        <v>400</v>
      </c>
    </row>
    <row r="2824" spans="1:18" hidden="1" x14ac:dyDescent="0.2">
      <c r="A2824">
        <v>1</v>
      </c>
      <c r="B2824" t="s">
        <v>18</v>
      </c>
      <c r="E2824" t="s">
        <v>19</v>
      </c>
      <c r="F2824">
        <v>2723526</v>
      </c>
      <c r="G2824">
        <v>5</v>
      </c>
      <c r="H2824">
        <v>2</v>
      </c>
      <c r="I2824">
        <v>635</v>
      </c>
      <c r="J2824">
        <v>1995</v>
      </c>
      <c r="K2824" s="4">
        <v>44222</v>
      </c>
      <c r="L2824" t="s">
        <v>26</v>
      </c>
      <c r="M2824" t="s">
        <v>52</v>
      </c>
      <c r="N2824">
        <v>1.59</v>
      </c>
      <c r="O2824">
        <v>2096</v>
      </c>
      <c r="P2824">
        <v>2.11</v>
      </c>
      <c r="Q2824">
        <v>244</v>
      </c>
      <c r="R2824">
        <v>653</v>
      </c>
    </row>
    <row r="2825" spans="1:18" hidden="1" x14ac:dyDescent="0.2">
      <c r="A2825">
        <v>3</v>
      </c>
      <c r="B2825" t="s">
        <v>57</v>
      </c>
      <c r="E2825" t="s">
        <v>19</v>
      </c>
      <c r="F2825">
        <v>1052294</v>
      </c>
      <c r="G2825">
        <v>3</v>
      </c>
      <c r="H2825">
        <v>2</v>
      </c>
      <c r="I2825">
        <v>769</v>
      </c>
      <c r="J2825">
        <v>1991</v>
      </c>
      <c r="K2825" s="4">
        <v>45372</v>
      </c>
      <c r="L2825" t="s">
        <v>30</v>
      </c>
      <c r="M2825" t="s">
        <v>47</v>
      </c>
      <c r="N2825">
        <v>2.4500000000000002</v>
      </c>
      <c r="O2825">
        <v>2473</v>
      </c>
      <c r="P2825">
        <v>2</v>
      </c>
      <c r="Q2825">
        <v>120</v>
      </c>
      <c r="R2825">
        <v>637</v>
      </c>
    </row>
    <row r="2826" spans="1:18" hidden="1" x14ac:dyDescent="0.2">
      <c r="A2826">
        <v>4</v>
      </c>
      <c r="B2826" t="s">
        <v>75</v>
      </c>
      <c r="E2826" t="s">
        <v>29</v>
      </c>
      <c r="F2826">
        <v>2607259</v>
      </c>
      <c r="G2826">
        <v>0</v>
      </c>
      <c r="H2826">
        <v>3</v>
      </c>
      <c r="I2826">
        <v>378</v>
      </c>
      <c r="J2826">
        <v>2017</v>
      </c>
      <c r="K2826" s="4">
        <v>44438</v>
      </c>
      <c r="L2826" t="s">
        <v>20</v>
      </c>
      <c r="M2826" t="s">
        <v>42</v>
      </c>
      <c r="N2826">
        <v>1.75</v>
      </c>
      <c r="O2826">
        <v>1347</v>
      </c>
      <c r="P2826">
        <v>2.2999999999999998</v>
      </c>
      <c r="Q2826">
        <v>74</v>
      </c>
      <c r="R2826">
        <v>318</v>
      </c>
    </row>
    <row r="2827" spans="1:18" hidden="1" x14ac:dyDescent="0.2">
      <c r="A2827">
        <v>4</v>
      </c>
      <c r="B2827" t="s">
        <v>106</v>
      </c>
      <c r="E2827" t="s">
        <v>51</v>
      </c>
      <c r="F2827">
        <v>2462554</v>
      </c>
      <c r="G2827">
        <v>3</v>
      </c>
      <c r="H2827">
        <v>3</v>
      </c>
      <c r="I2827">
        <v>601</v>
      </c>
      <c r="J2827">
        <v>1990</v>
      </c>
      <c r="K2827" s="4">
        <v>44140</v>
      </c>
      <c r="L2827" t="s">
        <v>30</v>
      </c>
      <c r="M2827" t="s">
        <v>70</v>
      </c>
      <c r="N2827">
        <v>1.8</v>
      </c>
      <c r="O2827">
        <v>1520</v>
      </c>
      <c r="P2827">
        <v>1.35</v>
      </c>
      <c r="Q2827">
        <v>231</v>
      </c>
      <c r="R2827">
        <v>594</v>
      </c>
    </row>
    <row r="2828" spans="1:18" hidden="1" x14ac:dyDescent="0.2">
      <c r="A2828">
        <v>1</v>
      </c>
      <c r="B2828" t="s">
        <v>41</v>
      </c>
      <c r="E2828" t="s">
        <v>51</v>
      </c>
      <c r="F2828">
        <v>1416318</v>
      </c>
      <c r="G2828">
        <v>4</v>
      </c>
      <c r="H2828">
        <v>3</v>
      </c>
      <c r="I2828">
        <v>971</v>
      </c>
      <c r="J2828">
        <v>1961</v>
      </c>
      <c r="K2828" s="4">
        <v>45188</v>
      </c>
      <c r="L2828" t="s">
        <v>30</v>
      </c>
      <c r="M2828" t="s">
        <v>54</v>
      </c>
      <c r="N2828">
        <v>2.2000000000000002</v>
      </c>
      <c r="O2828">
        <v>2443</v>
      </c>
      <c r="P2828">
        <v>4.8499999999999996</v>
      </c>
      <c r="Q2828">
        <v>340</v>
      </c>
      <c r="R2828">
        <v>494</v>
      </c>
    </row>
    <row r="2829" spans="1:18" hidden="1" x14ac:dyDescent="0.2">
      <c r="A2829">
        <v>3</v>
      </c>
      <c r="B2829" t="s">
        <v>55</v>
      </c>
      <c r="E2829" t="s">
        <v>19</v>
      </c>
      <c r="F2829">
        <v>2117842</v>
      </c>
      <c r="G2829">
        <v>2</v>
      </c>
      <c r="H2829">
        <v>3</v>
      </c>
      <c r="I2829">
        <v>245</v>
      </c>
      <c r="J2829">
        <v>2002</v>
      </c>
      <c r="K2829" s="4">
        <v>45088</v>
      </c>
      <c r="L2829" t="s">
        <v>30</v>
      </c>
      <c r="M2829" t="s">
        <v>68</v>
      </c>
      <c r="N2829">
        <v>1.75</v>
      </c>
      <c r="O2829">
        <v>1037</v>
      </c>
      <c r="P2829">
        <v>2.74</v>
      </c>
      <c r="Q2829">
        <v>228</v>
      </c>
      <c r="R2829">
        <v>355</v>
      </c>
    </row>
    <row r="2830" spans="1:18" hidden="1" x14ac:dyDescent="0.2">
      <c r="A2830">
        <v>7</v>
      </c>
      <c r="B2830" t="s">
        <v>101</v>
      </c>
      <c r="E2830" t="s">
        <v>51</v>
      </c>
      <c r="F2830">
        <v>601541</v>
      </c>
      <c r="G2830">
        <v>1</v>
      </c>
      <c r="H2830">
        <v>1</v>
      </c>
      <c r="I2830">
        <v>843</v>
      </c>
      <c r="J2830">
        <v>2022</v>
      </c>
      <c r="K2830" s="4">
        <v>45301</v>
      </c>
      <c r="L2830" t="s">
        <v>26</v>
      </c>
      <c r="M2830" t="s">
        <v>42</v>
      </c>
      <c r="N2830">
        <v>2.88</v>
      </c>
      <c r="O2830">
        <v>2375</v>
      </c>
      <c r="P2830">
        <v>0.22</v>
      </c>
      <c r="Q2830">
        <v>144</v>
      </c>
      <c r="R2830">
        <v>612</v>
      </c>
    </row>
    <row r="2831" spans="1:18" hidden="1" x14ac:dyDescent="0.2">
      <c r="A2831">
        <v>4</v>
      </c>
      <c r="B2831" t="s">
        <v>84</v>
      </c>
      <c r="E2831" t="s">
        <v>36</v>
      </c>
      <c r="F2831">
        <v>1192305</v>
      </c>
      <c r="G2831">
        <v>4</v>
      </c>
      <c r="H2831">
        <v>1</v>
      </c>
      <c r="I2831">
        <v>864</v>
      </c>
      <c r="J2831">
        <v>2006</v>
      </c>
      <c r="K2831" s="4">
        <v>44098</v>
      </c>
      <c r="L2831" t="s">
        <v>30</v>
      </c>
      <c r="M2831" t="s">
        <v>58</v>
      </c>
      <c r="N2831">
        <v>1.87</v>
      </c>
      <c r="O2831">
        <v>1427</v>
      </c>
      <c r="P2831">
        <v>0.64</v>
      </c>
      <c r="Q2831">
        <v>316</v>
      </c>
      <c r="R2831">
        <v>356</v>
      </c>
    </row>
    <row r="2832" spans="1:18" hidden="1" x14ac:dyDescent="0.2">
      <c r="A2832">
        <v>4</v>
      </c>
      <c r="B2832" t="s">
        <v>99</v>
      </c>
      <c r="E2832" t="s">
        <v>19</v>
      </c>
      <c r="F2832">
        <v>647748</v>
      </c>
      <c r="G2832">
        <v>1</v>
      </c>
      <c r="H2832">
        <v>1</v>
      </c>
      <c r="I2832">
        <v>187</v>
      </c>
      <c r="J2832">
        <v>1952</v>
      </c>
      <c r="K2832" s="4">
        <v>44973</v>
      </c>
      <c r="L2832" t="s">
        <v>23</v>
      </c>
      <c r="M2832" t="s">
        <v>63</v>
      </c>
      <c r="N2832">
        <v>3.25</v>
      </c>
      <c r="O2832">
        <v>2031</v>
      </c>
      <c r="P2832">
        <v>4.16</v>
      </c>
      <c r="Q2832">
        <v>69</v>
      </c>
      <c r="R2832">
        <v>427</v>
      </c>
    </row>
    <row r="2833" spans="1:18" hidden="1" x14ac:dyDescent="0.2">
      <c r="A2833">
        <v>0</v>
      </c>
      <c r="B2833" t="s">
        <v>46</v>
      </c>
      <c r="E2833" t="s">
        <v>36</v>
      </c>
      <c r="F2833">
        <v>2504468</v>
      </c>
      <c r="G2833">
        <v>2</v>
      </c>
      <c r="H2833">
        <v>2</v>
      </c>
      <c r="I2833">
        <v>784</v>
      </c>
      <c r="J2833">
        <v>1985</v>
      </c>
      <c r="K2833" s="4">
        <v>45623</v>
      </c>
      <c r="L2833" t="s">
        <v>26</v>
      </c>
      <c r="M2833" t="s">
        <v>54</v>
      </c>
      <c r="N2833">
        <v>3.36</v>
      </c>
      <c r="O2833">
        <v>1493</v>
      </c>
      <c r="P2833">
        <v>1.89</v>
      </c>
      <c r="Q2833">
        <v>229</v>
      </c>
      <c r="R2833">
        <v>512</v>
      </c>
    </row>
    <row r="2834" spans="1:18" hidden="1" x14ac:dyDescent="0.2">
      <c r="A2834">
        <v>1</v>
      </c>
      <c r="B2834" t="s">
        <v>101</v>
      </c>
      <c r="E2834" t="s">
        <v>36</v>
      </c>
      <c r="F2834">
        <v>2287169</v>
      </c>
      <c r="G2834">
        <v>3</v>
      </c>
      <c r="H2834">
        <v>3</v>
      </c>
      <c r="I2834">
        <v>374</v>
      </c>
      <c r="J2834">
        <v>2008</v>
      </c>
      <c r="K2834" s="4">
        <v>45576</v>
      </c>
      <c r="L2834" t="s">
        <v>30</v>
      </c>
      <c r="M2834" t="s">
        <v>85</v>
      </c>
      <c r="N2834">
        <v>2.21</v>
      </c>
      <c r="O2834">
        <v>2108</v>
      </c>
      <c r="P2834">
        <v>3.09</v>
      </c>
      <c r="Q2834">
        <v>219</v>
      </c>
      <c r="R2834">
        <v>497</v>
      </c>
    </row>
    <row r="2835" spans="1:18" hidden="1" x14ac:dyDescent="0.2">
      <c r="A2835">
        <v>6</v>
      </c>
      <c r="B2835" t="s">
        <v>87</v>
      </c>
      <c r="E2835" t="s">
        <v>29</v>
      </c>
      <c r="F2835">
        <v>2945099</v>
      </c>
      <c r="G2835">
        <v>1</v>
      </c>
      <c r="H2835">
        <v>3</v>
      </c>
      <c r="I2835">
        <v>651</v>
      </c>
      <c r="J2835">
        <v>1967</v>
      </c>
      <c r="K2835" s="4">
        <v>44549</v>
      </c>
      <c r="L2835" t="s">
        <v>23</v>
      </c>
      <c r="M2835" t="s">
        <v>58</v>
      </c>
      <c r="N2835">
        <v>2.56</v>
      </c>
      <c r="O2835">
        <v>917</v>
      </c>
      <c r="P2835">
        <v>0.91</v>
      </c>
      <c r="Q2835">
        <v>63</v>
      </c>
      <c r="R2835">
        <v>646</v>
      </c>
    </row>
    <row r="2836" spans="1:18" hidden="1" x14ac:dyDescent="0.2">
      <c r="A2836">
        <v>5</v>
      </c>
      <c r="B2836" t="s">
        <v>83</v>
      </c>
      <c r="E2836" t="s">
        <v>36</v>
      </c>
      <c r="F2836">
        <v>420424</v>
      </c>
      <c r="G2836">
        <v>5</v>
      </c>
      <c r="H2836">
        <v>1</v>
      </c>
      <c r="I2836">
        <v>704</v>
      </c>
      <c r="J2836">
        <v>1996</v>
      </c>
      <c r="K2836" s="4">
        <v>45353</v>
      </c>
      <c r="L2836" t="s">
        <v>23</v>
      </c>
      <c r="M2836" t="s">
        <v>82</v>
      </c>
      <c r="N2836">
        <v>3.1</v>
      </c>
      <c r="O2836">
        <v>1926</v>
      </c>
      <c r="P2836">
        <v>4.17</v>
      </c>
      <c r="Q2836">
        <v>292</v>
      </c>
      <c r="R2836">
        <v>511</v>
      </c>
    </row>
    <row r="2837" spans="1:18" x14ac:dyDescent="0.2">
      <c r="A2837">
        <v>8</v>
      </c>
      <c r="B2837" t="s">
        <v>61</v>
      </c>
      <c r="E2837" t="s">
        <v>51</v>
      </c>
      <c r="F2837">
        <v>837794</v>
      </c>
      <c r="G2837">
        <v>3</v>
      </c>
      <c r="H2837">
        <v>2</v>
      </c>
      <c r="I2837">
        <v>500</v>
      </c>
      <c r="J2837">
        <v>1970</v>
      </c>
      <c r="K2837" s="4">
        <v>45603</v>
      </c>
      <c r="L2837" t="s">
        <v>26</v>
      </c>
      <c r="M2837" t="s">
        <v>24</v>
      </c>
      <c r="N2837">
        <v>2.42</v>
      </c>
      <c r="O2837">
        <v>1709</v>
      </c>
      <c r="P2837">
        <v>3.39</v>
      </c>
      <c r="Q2837">
        <v>220</v>
      </c>
      <c r="R2837">
        <v>641</v>
      </c>
    </row>
    <row r="2838" spans="1:18" hidden="1" x14ac:dyDescent="0.2">
      <c r="A2838">
        <v>9</v>
      </c>
      <c r="B2838" t="s">
        <v>65</v>
      </c>
      <c r="E2838" t="s">
        <v>51</v>
      </c>
      <c r="F2838">
        <v>2496282</v>
      </c>
      <c r="G2838">
        <v>4</v>
      </c>
      <c r="H2838">
        <v>1</v>
      </c>
      <c r="I2838">
        <v>979</v>
      </c>
      <c r="J2838">
        <v>1980</v>
      </c>
      <c r="K2838" s="4">
        <v>45569</v>
      </c>
      <c r="L2838" t="s">
        <v>26</v>
      </c>
      <c r="M2838" t="s">
        <v>21</v>
      </c>
      <c r="N2838">
        <v>1.59</v>
      </c>
      <c r="O2838">
        <v>2436</v>
      </c>
      <c r="P2838">
        <v>4.22</v>
      </c>
      <c r="Q2838">
        <v>268</v>
      </c>
      <c r="R2838">
        <v>585</v>
      </c>
    </row>
    <row r="2839" spans="1:18" hidden="1" x14ac:dyDescent="0.2">
      <c r="A2839">
        <v>0</v>
      </c>
      <c r="B2839" t="s">
        <v>106</v>
      </c>
      <c r="E2839" t="s">
        <v>51</v>
      </c>
      <c r="F2839">
        <v>2277771</v>
      </c>
      <c r="G2839">
        <v>3</v>
      </c>
      <c r="H2839">
        <v>2</v>
      </c>
      <c r="I2839">
        <v>322</v>
      </c>
      <c r="J2839">
        <v>1981</v>
      </c>
      <c r="K2839" s="4">
        <v>44408</v>
      </c>
      <c r="L2839" t="s">
        <v>23</v>
      </c>
      <c r="M2839" t="s">
        <v>63</v>
      </c>
      <c r="N2839">
        <v>2.58</v>
      </c>
      <c r="O2839">
        <v>2171</v>
      </c>
      <c r="P2839">
        <v>2.62</v>
      </c>
      <c r="Q2839">
        <v>227</v>
      </c>
      <c r="R2839">
        <v>465</v>
      </c>
    </row>
    <row r="2840" spans="1:18" hidden="1" x14ac:dyDescent="0.2">
      <c r="A2840">
        <v>9</v>
      </c>
      <c r="B2840" t="s">
        <v>94</v>
      </c>
      <c r="E2840" t="s">
        <v>29</v>
      </c>
      <c r="F2840">
        <v>2813692</v>
      </c>
      <c r="G2840">
        <v>6</v>
      </c>
      <c r="H2840">
        <v>3</v>
      </c>
      <c r="I2840">
        <v>618</v>
      </c>
      <c r="J2840">
        <v>1994</v>
      </c>
      <c r="K2840" s="4">
        <v>44899</v>
      </c>
      <c r="L2840" t="s">
        <v>23</v>
      </c>
      <c r="M2840" t="s">
        <v>37</v>
      </c>
      <c r="N2840">
        <v>1.69</v>
      </c>
      <c r="O2840">
        <v>1642</v>
      </c>
      <c r="P2840">
        <v>0.38</v>
      </c>
      <c r="Q2840">
        <v>345</v>
      </c>
      <c r="R2840">
        <v>390</v>
      </c>
    </row>
    <row r="2841" spans="1:18" hidden="1" x14ac:dyDescent="0.2">
      <c r="A2841">
        <v>9</v>
      </c>
      <c r="B2841" t="s">
        <v>43</v>
      </c>
      <c r="E2841" t="s">
        <v>29</v>
      </c>
      <c r="F2841">
        <v>718872</v>
      </c>
      <c r="G2841">
        <v>5</v>
      </c>
      <c r="H2841">
        <v>2</v>
      </c>
      <c r="I2841">
        <v>689</v>
      </c>
      <c r="J2841">
        <v>1950</v>
      </c>
      <c r="K2841" s="4">
        <v>45697</v>
      </c>
      <c r="L2841" t="s">
        <v>23</v>
      </c>
      <c r="M2841" t="s">
        <v>85</v>
      </c>
      <c r="N2841">
        <v>2.34</v>
      </c>
      <c r="O2841">
        <v>1131</v>
      </c>
      <c r="P2841">
        <v>4.54</v>
      </c>
      <c r="Q2841">
        <v>382</v>
      </c>
      <c r="R2841">
        <v>652</v>
      </c>
    </row>
    <row r="2842" spans="1:18" hidden="1" x14ac:dyDescent="0.2">
      <c r="A2842">
        <v>1</v>
      </c>
      <c r="B2842" t="s">
        <v>44</v>
      </c>
      <c r="E2842" t="s">
        <v>51</v>
      </c>
      <c r="F2842">
        <v>510168</v>
      </c>
      <c r="G2842">
        <v>4</v>
      </c>
      <c r="H2842">
        <v>1</v>
      </c>
      <c r="I2842">
        <v>777</v>
      </c>
      <c r="J2842">
        <v>1950</v>
      </c>
      <c r="K2842" s="4">
        <v>44585</v>
      </c>
      <c r="L2842" t="s">
        <v>23</v>
      </c>
      <c r="M2842" t="s">
        <v>54</v>
      </c>
      <c r="N2842">
        <v>2.29</v>
      </c>
      <c r="O2842">
        <v>1754</v>
      </c>
      <c r="P2842">
        <v>0.7</v>
      </c>
      <c r="Q2842">
        <v>340</v>
      </c>
      <c r="R2842">
        <v>615</v>
      </c>
    </row>
    <row r="2843" spans="1:18" hidden="1" x14ac:dyDescent="0.2">
      <c r="A2843">
        <v>4</v>
      </c>
      <c r="B2843" t="s">
        <v>95</v>
      </c>
      <c r="E2843" t="s">
        <v>29</v>
      </c>
      <c r="F2843">
        <v>2501801</v>
      </c>
      <c r="G2843">
        <v>5</v>
      </c>
      <c r="H2843">
        <v>2</v>
      </c>
      <c r="I2843">
        <v>413</v>
      </c>
      <c r="J2843">
        <v>1986</v>
      </c>
      <c r="K2843" s="4">
        <v>44943</v>
      </c>
      <c r="L2843" t="s">
        <v>23</v>
      </c>
      <c r="M2843" t="s">
        <v>63</v>
      </c>
      <c r="N2843">
        <v>1.93</v>
      </c>
      <c r="O2843">
        <v>2499</v>
      </c>
      <c r="P2843">
        <v>0.22</v>
      </c>
      <c r="Q2843">
        <v>321</v>
      </c>
      <c r="R2843">
        <v>625</v>
      </c>
    </row>
    <row r="2844" spans="1:18" hidden="1" x14ac:dyDescent="0.2">
      <c r="A2844">
        <v>9</v>
      </c>
      <c r="B2844" t="s">
        <v>46</v>
      </c>
      <c r="E2844" t="s">
        <v>36</v>
      </c>
      <c r="F2844">
        <v>2860927</v>
      </c>
      <c r="G2844">
        <v>4</v>
      </c>
      <c r="H2844">
        <v>1</v>
      </c>
      <c r="I2844">
        <v>783</v>
      </c>
      <c r="J2844">
        <v>1991</v>
      </c>
      <c r="K2844" s="4">
        <v>44270</v>
      </c>
      <c r="L2844" t="s">
        <v>30</v>
      </c>
      <c r="M2844" t="s">
        <v>31</v>
      </c>
      <c r="N2844">
        <v>1.53</v>
      </c>
      <c r="O2844">
        <v>2053</v>
      </c>
      <c r="P2844">
        <v>1.42</v>
      </c>
      <c r="Q2844">
        <v>337</v>
      </c>
      <c r="R2844">
        <v>553</v>
      </c>
    </row>
    <row r="2845" spans="1:18" hidden="1" x14ac:dyDescent="0.2">
      <c r="A2845">
        <v>0</v>
      </c>
      <c r="B2845" t="s">
        <v>61</v>
      </c>
      <c r="E2845" t="s">
        <v>36</v>
      </c>
      <c r="F2845">
        <v>558833</v>
      </c>
      <c r="G2845">
        <v>0</v>
      </c>
      <c r="H2845">
        <v>2</v>
      </c>
      <c r="I2845">
        <v>178</v>
      </c>
      <c r="J2845">
        <v>1996</v>
      </c>
      <c r="K2845" s="4">
        <v>45373</v>
      </c>
      <c r="L2845" t="s">
        <v>20</v>
      </c>
      <c r="M2845" t="s">
        <v>31</v>
      </c>
      <c r="N2845">
        <v>2.0499999999999998</v>
      </c>
      <c r="O2845">
        <v>1596</v>
      </c>
      <c r="P2845">
        <v>1.43</v>
      </c>
      <c r="Q2845">
        <v>80</v>
      </c>
      <c r="R2845">
        <v>325</v>
      </c>
    </row>
    <row r="2846" spans="1:18" hidden="1" x14ac:dyDescent="0.2">
      <c r="A2846">
        <v>2</v>
      </c>
      <c r="B2846" t="s">
        <v>50</v>
      </c>
      <c r="E2846" t="s">
        <v>29</v>
      </c>
      <c r="F2846">
        <v>2153027</v>
      </c>
      <c r="G2846">
        <v>0</v>
      </c>
      <c r="H2846">
        <v>3</v>
      </c>
      <c r="I2846">
        <v>714</v>
      </c>
      <c r="J2846">
        <v>2008</v>
      </c>
      <c r="K2846" s="4">
        <v>44112</v>
      </c>
      <c r="L2846" t="s">
        <v>20</v>
      </c>
      <c r="M2846" t="s">
        <v>68</v>
      </c>
      <c r="N2846">
        <v>3.16</v>
      </c>
      <c r="O2846">
        <v>1045</v>
      </c>
      <c r="P2846">
        <v>3.74</v>
      </c>
      <c r="Q2846">
        <v>45</v>
      </c>
      <c r="R2846">
        <v>387</v>
      </c>
    </row>
    <row r="2847" spans="1:18" hidden="1" x14ac:dyDescent="0.2">
      <c r="A2847">
        <v>2</v>
      </c>
      <c r="B2847" t="s">
        <v>57</v>
      </c>
      <c r="E2847" t="s">
        <v>19</v>
      </c>
      <c r="F2847">
        <v>1979595</v>
      </c>
      <c r="G2847">
        <v>2</v>
      </c>
      <c r="H2847">
        <v>3</v>
      </c>
      <c r="I2847">
        <v>230</v>
      </c>
      <c r="J2847">
        <v>1985</v>
      </c>
      <c r="K2847" s="4">
        <v>45255</v>
      </c>
      <c r="L2847" t="s">
        <v>30</v>
      </c>
      <c r="M2847" t="s">
        <v>40</v>
      </c>
      <c r="N2847">
        <v>2.86</v>
      </c>
      <c r="O2847">
        <v>897</v>
      </c>
      <c r="P2847">
        <v>1.6</v>
      </c>
      <c r="Q2847">
        <v>239</v>
      </c>
      <c r="R2847">
        <v>582</v>
      </c>
    </row>
    <row r="2848" spans="1:18" hidden="1" x14ac:dyDescent="0.2">
      <c r="A2848">
        <v>1</v>
      </c>
      <c r="B2848" t="s">
        <v>28</v>
      </c>
      <c r="E2848" t="s">
        <v>51</v>
      </c>
      <c r="F2848">
        <v>2059125</v>
      </c>
      <c r="G2848">
        <v>2</v>
      </c>
      <c r="H2848">
        <v>3</v>
      </c>
      <c r="I2848">
        <v>849</v>
      </c>
      <c r="J2848">
        <v>1969</v>
      </c>
      <c r="K2848" s="4">
        <v>45384</v>
      </c>
      <c r="L2848" t="s">
        <v>23</v>
      </c>
      <c r="M2848" t="s">
        <v>21</v>
      </c>
      <c r="N2848">
        <v>2.61</v>
      </c>
      <c r="O2848">
        <v>1593</v>
      </c>
      <c r="P2848">
        <v>1.35</v>
      </c>
      <c r="Q2848">
        <v>127</v>
      </c>
      <c r="R2848">
        <v>506</v>
      </c>
    </row>
    <row r="2849" spans="1:18" hidden="1" x14ac:dyDescent="0.2">
      <c r="A2849">
        <v>0</v>
      </c>
      <c r="B2849" t="s">
        <v>88</v>
      </c>
      <c r="E2849" t="s">
        <v>51</v>
      </c>
      <c r="F2849">
        <v>1963858</v>
      </c>
      <c r="G2849">
        <v>2</v>
      </c>
      <c r="H2849">
        <v>3</v>
      </c>
      <c r="I2849">
        <v>153</v>
      </c>
      <c r="J2849">
        <v>1954</v>
      </c>
      <c r="K2849" s="4">
        <v>45614</v>
      </c>
      <c r="L2849" t="s">
        <v>20</v>
      </c>
      <c r="M2849" t="s">
        <v>42</v>
      </c>
      <c r="N2849">
        <v>1.89</v>
      </c>
      <c r="O2849">
        <v>1137</v>
      </c>
      <c r="P2849">
        <v>0.32</v>
      </c>
      <c r="Q2849">
        <v>229</v>
      </c>
      <c r="R2849">
        <v>436</v>
      </c>
    </row>
    <row r="2850" spans="1:18" hidden="1" x14ac:dyDescent="0.2">
      <c r="A2850">
        <v>9</v>
      </c>
      <c r="B2850" t="s">
        <v>83</v>
      </c>
      <c r="E2850" t="s">
        <v>51</v>
      </c>
      <c r="F2850">
        <v>623353</v>
      </c>
      <c r="G2850">
        <v>1</v>
      </c>
      <c r="H2850">
        <v>3</v>
      </c>
      <c r="I2850">
        <v>253</v>
      </c>
      <c r="J2850">
        <v>1972</v>
      </c>
      <c r="K2850" s="4">
        <v>45634</v>
      </c>
      <c r="L2850" t="s">
        <v>20</v>
      </c>
      <c r="M2850" t="s">
        <v>68</v>
      </c>
      <c r="N2850">
        <v>1.75</v>
      </c>
      <c r="O2850">
        <v>1061</v>
      </c>
      <c r="P2850">
        <v>0.24</v>
      </c>
      <c r="Q2850">
        <v>150</v>
      </c>
      <c r="R2850">
        <v>329</v>
      </c>
    </row>
    <row r="2851" spans="1:18" hidden="1" x14ac:dyDescent="0.2">
      <c r="A2851">
        <v>9</v>
      </c>
      <c r="B2851" t="s">
        <v>104</v>
      </c>
      <c r="E2851" t="s">
        <v>29</v>
      </c>
      <c r="F2851">
        <v>1931016</v>
      </c>
      <c r="G2851">
        <v>4</v>
      </c>
      <c r="H2851">
        <v>2</v>
      </c>
      <c r="I2851">
        <v>755</v>
      </c>
      <c r="J2851">
        <v>2020</v>
      </c>
      <c r="K2851" s="4">
        <v>45095</v>
      </c>
      <c r="L2851" t="s">
        <v>26</v>
      </c>
      <c r="M2851" t="s">
        <v>78</v>
      </c>
      <c r="N2851">
        <v>2.41</v>
      </c>
      <c r="O2851">
        <v>1777</v>
      </c>
      <c r="P2851">
        <v>4.91</v>
      </c>
      <c r="Q2851">
        <v>316</v>
      </c>
      <c r="R2851">
        <v>635</v>
      </c>
    </row>
    <row r="2852" spans="1:18" hidden="1" x14ac:dyDescent="0.2">
      <c r="A2852">
        <v>9</v>
      </c>
      <c r="B2852" t="s">
        <v>96</v>
      </c>
      <c r="E2852" t="s">
        <v>29</v>
      </c>
      <c r="F2852">
        <v>2069836</v>
      </c>
      <c r="G2852">
        <v>4</v>
      </c>
      <c r="H2852">
        <v>1</v>
      </c>
      <c r="I2852">
        <v>602</v>
      </c>
      <c r="J2852">
        <v>2020</v>
      </c>
      <c r="K2852" s="4">
        <v>44753</v>
      </c>
      <c r="L2852" t="s">
        <v>26</v>
      </c>
      <c r="M2852" t="s">
        <v>27</v>
      </c>
      <c r="N2852">
        <v>2.2000000000000002</v>
      </c>
      <c r="O2852">
        <v>1555</v>
      </c>
      <c r="P2852">
        <v>0.87</v>
      </c>
      <c r="Q2852">
        <v>234</v>
      </c>
      <c r="R2852">
        <v>358</v>
      </c>
    </row>
    <row r="2853" spans="1:18" hidden="1" x14ac:dyDescent="0.2">
      <c r="A2853">
        <v>2</v>
      </c>
      <c r="B2853" t="s">
        <v>73</v>
      </c>
      <c r="E2853" t="s">
        <v>29</v>
      </c>
      <c r="F2853">
        <v>2090236</v>
      </c>
      <c r="G2853">
        <v>5</v>
      </c>
      <c r="H2853">
        <v>3</v>
      </c>
      <c r="I2853">
        <v>359</v>
      </c>
      <c r="J2853">
        <v>1998</v>
      </c>
      <c r="K2853" s="4">
        <v>44267</v>
      </c>
      <c r="L2853" t="s">
        <v>20</v>
      </c>
      <c r="M2853" t="s">
        <v>60</v>
      </c>
      <c r="N2853">
        <v>2.41</v>
      </c>
      <c r="O2853">
        <v>2126</v>
      </c>
      <c r="P2853">
        <v>1.87</v>
      </c>
      <c r="Q2853">
        <v>385</v>
      </c>
      <c r="R2853">
        <v>388</v>
      </c>
    </row>
    <row r="2854" spans="1:18" hidden="1" x14ac:dyDescent="0.2">
      <c r="A2854">
        <v>0</v>
      </c>
      <c r="B2854" t="s">
        <v>62</v>
      </c>
      <c r="E2854" t="s">
        <v>36</v>
      </c>
      <c r="F2854">
        <v>2070090</v>
      </c>
      <c r="G2854">
        <v>1</v>
      </c>
      <c r="H2854">
        <v>3</v>
      </c>
      <c r="I2854">
        <v>73</v>
      </c>
      <c r="J2854">
        <v>2009</v>
      </c>
      <c r="K2854" s="4">
        <v>45216</v>
      </c>
      <c r="L2854" t="s">
        <v>26</v>
      </c>
      <c r="M2854" t="s">
        <v>40</v>
      </c>
      <c r="N2854">
        <v>1.94</v>
      </c>
      <c r="O2854">
        <v>834</v>
      </c>
      <c r="P2854">
        <v>3.07</v>
      </c>
      <c r="Q2854">
        <v>95</v>
      </c>
      <c r="R2854">
        <v>390</v>
      </c>
    </row>
    <row r="2855" spans="1:18" hidden="1" x14ac:dyDescent="0.2">
      <c r="A2855">
        <v>6</v>
      </c>
      <c r="B2855" t="s">
        <v>84</v>
      </c>
      <c r="E2855" t="s">
        <v>36</v>
      </c>
      <c r="F2855">
        <v>2878917</v>
      </c>
      <c r="G2855">
        <v>5</v>
      </c>
      <c r="H2855">
        <v>1</v>
      </c>
      <c r="I2855">
        <v>768</v>
      </c>
      <c r="J2855">
        <v>2021</v>
      </c>
      <c r="K2855" s="4">
        <v>45634</v>
      </c>
      <c r="L2855" t="s">
        <v>30</v>
      </c>
      <c r="M2855" t="s">
        <v>78</v>
      </c>
      <c r="N2855">
        <v>2.02</v>
      </c>
      <c r="O2855">
        <v>1634</v>
      </c>
      <c r="P2855">
        <v>0.96</v>
      </c>
      <c r="Q2855">
        <v>393</v>
      </c>
      <c r="R2855">
        <v>680</v>
      </c>
    </row>
    <row r="2856" spans="1:18" hidden="1" x14ac:dyDescent="0.2">
      <c r="A2856">
        <v>3</v>
      </c>
      <c r="B2856" t="s">
        <v>80</v>
      </c>
      <c r="E2856" t="s">
        <v>19</v>
      </c>
      <c r="F2856">
        <v>686076</v>
      </c>
      <c r="G2856">
        <v>3</v>
      </c>
      <c r="H2856">
        <v>1</v>
      </c>
      <c r="I2856">
        <v>126</v>
      </c>
      <c r="J2856">
        <v>1992</v>
      </c>
      <c r="K2856" s="4">
        <v>44116</v>
      </c>
      <c r="L2856" t="s">
        <v>30</v>
      </c>
      <c r="M2856" t="s">
        <v>33</v>
      </c>
      <c r="N2856">
        <v>2.85</v>
      </c>
      <c r="O2856">
        <v>1704</v>
      </c>
      <c r="P2856">
        <v>4.93</v>
      </c>
      <c r="Q2856">
        <v>120</v>
      </c>
      <c r="R2856">
        <v>495</v>
      </c>
    </row>
    <row r="2857" spans="1:18" x14ac:dyDescent="0.2">
      <c r="A2857">
        <v>8</v>
      </c>
      <c r="B2857" t="s">
        <v>18</v>
      </c>
      <c r="E2857" t="s">
        <v>29</v>
      </c>
      <c r="F2857">
        <v>2477857</v>
      </c>
      <c r="G2857">
        <v>4</v>
      </c>
      <c r="H2857">
        <v>3</v>
      </c>
      <c r="I2857">
        <v>598</v>
      </c>
      <c r="J2857">
        <v>2015</v>
      </c>
      <c r="K2857" s="4">
        <v>45616</v>
      </c>
      <c r="L2857" t="s">
        <v>26</v>
      </c>
      <c r="M2857" t="s">
        <v>47</v>
      </c>
      <c r="N2857">
        <v>2.68</v>
      </c>
      <c r="O2857">
        <v>2448</v>
      </c>
      <c r="P2857">
        <v>4.4400000000000004</v>
      </c>
      <c r="Q2857">
        <v>171</v>
      </c>
      <c r="R2857">
        <v>430</v>
      </c>
    </row>
    <row r="2858" spans="1:18" hidden="1" x14ac:dyDescent="0.2">
      <c r="A2858">
        <v>1</v>
      </c>
      <c r="B2858" t="s">
        <v>93</v>
      </c>
      <c r="E2858" t="s">
        <v>29</v>
      </c>
      <c r="F2858">
        <v>2314958</v>
      </c>
      <c r="G2858">
        <v>3</v>
      </c>
      <c r="H2858">
        <v>3</v>
      </c>
      <c r="I2858">
        <v>816</v>
      </c>
      <c r="J2858">
        <v>1950</v>
      </c>
      <c r="K2858" s="4">
        <v>44460</v>
      </c>
      <c r="L2858" t="s">
        <v>23</v>
      </c>
      <c r="M2858" t="s">
        <v>82</v>
      </c>
      <c r="N2858">
        <v>3.26</v>
      </c>
      <c r="O2858">
        <v>1775</v>
      </c>
      <c r="P2858">
        <v>3.74</v>
      </c>
      <c r="Q2858">
        <v>142</v>
      </c>
      <c r="R2858">
        <v>520</v>
      </c>
    </row>
    <row r="2859" spans="1:18" hidden="1" x14ac:dyDescent="0.2">
      <c r="A2859">
        <v>2</v>
      </c>
      <c r="B2859" t="s">
        <v>106</v>
      </c>
      <c r="E2859" t="s">
        <v>29</v>
      </c>
      <c r="F2859">
        <v>2689869</v>
      </c>
      <c r="G2859">
        <v>3</v>
      </c>
      <c r="H2859">
        <v>2</v>
      </c>
      <c r="I2859">
        <v>590</v>
      </c>
      <c r="J2859">
        <v>2010</v>
      </c>
      <c r="K2859" s="4">
        <v>45485</v>
      </c>
      <c r="L2859" t="s">
        <v>20</v>
      </c>
      <c r="M2859" t="s">
        <v>27</v>
      </c>
      <c r="N2859">
        <v>3.45</v>
      </c>
      <c r="O2859">
        <v>1665</v>
      </c>
      <c r="P2859">
        <v>3.59</v>
      </c>
      <c r="Q2859">
        <v>113</v>
      </c>
      <c r="R2859">
        <v>523</v>
      </c>
    </row>
    <row r="2860" spans="1:18" hidden="1" x14ac:dyDescent="0.2">
      <c r="A2860">
        <v>3</v>
      </c>
      <c r="B2860" t="s">
        <v>106</v>
      </c>
      <c r="E2860" t="s">
        <v>51</v>
      </c>
      <c r="F2860">
        <v>1254254</v>
      </c>
      <c r="G2860">
        <v>5</v>
      </c>
      <c r="H2860">
        <v>1</v>
      </c>
      <c r="I2860">
        <v>635</v>
      </c>
      <c r="J2860">
        <v>1986</v>
      </c>
      <c r="K2860" s="4">
        <v>45564</v>
      </c>
      <c r="L2860" t="s">
        <v>20</v>
      </c>
      <c r="M2860" t="s">
        <v>85</v>
      </c>
      <c r="N2860">
        <v>3.43</v>
      </c>
      <c r="O2860">
        <v>1780</v>
      </c>
      <c r="P2860">
        <v>3.12</v>
      </c>
      <c r="Q2860">
        <v>329</v>
      </c>
      <c r="R2860">
        <v>467</v>
      </c>
    </row>
    <row r="2861" spans="1:18" hidden="1" x14ac:dyDescent="0.2">
      <c r="A2861">
        <v>4</v>
      </c>
      <c r="B2861" t="s">
        <v>34</v>
      </c>
      <c r="E2861" t="s">
        <v>29</v>
      </c>
      <c r="F2861">
        <v>2765761</v>
      </c>
      <c r="G2861">
        <v>4</v>
      </c>
      <c r="H2861">
        <v>1</v>
      </c>
      <c r="I2861">
        <v>210</v>
      </c>
      <c r="J2861">
        <v>1978</v>
      </c>
      <c r="K2861" s="4">
        <v>45318</v>
      </c>
      <c r="L2861" t="s">
        <v>30</v>
      </c>
      <c r="M2861" t="s">
        <v>56</v>
      </c>
      <c r="N2861">
        <v>2.41</v>
      </c>
      <c r="O2861">
        <v>1312</v>
      </c>
      <c r="P2861">
        <v>3.98</v>
      </c>
      <c r="Q2861">
        <v>164</v>
      </c>
      <c r="R2861">
        <v>537</v>
      </c>
    </row>
    <row r="2862" spans="1:18" hidden="1" x14ac:dyDescent="0.2">
      <c r="A2862">
        <v>9</v>
      </c>
      <c r="B2862" t="s">
        <v>102</v>
      </c>
      <c r="E2862" t="s">
        <v>29</v>
      </c>
      <c r="F2862">
        <v>488593</v>
      </c>
      <c r="G2862">
        <v>4</v>
      </c>
      <c r="H2862">
        <v>2</v>
      </c>
      <c r="I2862">
        <v>325</v>
      </c>
      <c r="J2862">
        <v>1991</v>
      </c>
      <c r="K2862" s="4">
        <v>44980</v>
      </c>
      <c r="L2862" t="s">
        <v>30</v>
      </c>
      <c r="M2862" t="s">
        <v>60</v>
      </c>
      <c r="N2862">
        <v>1.84</v>
      </c>
      <c r="O2862">
        <v>2278</v>
      </c>
      <c r="P2862">
        <v>4.7</v>
      </c>
      <c r="Q2862">
        <v>282</v>
      </c>
      <c r="R2862">
        <v>636</v>
      </c>
    </row>
    <row r="2863" spans="1:18" hidden="1" x14ac:dyDescent="0.2">
      <c r="A2863">
        <v>0</v>
      </c>
      <c r="B2863" t="s">
        <v>32</v>
      </c>
      <c r="E2863" t="s">
        <v>29</v>
      </c>
      <c r="F2863">
        <v>2218512</v>
      </c>
      <c r="G2863">
        <v>3</v>
      </c>
      <c r="H2863">
        <v>3</v>
      </c>
      <c r="I2863">
        <v>762</v>
      </c>
      <c r="J2863">
        <v>1998</v>
      </c>
      <c r="K2863" s="4">
        <v>45001</v>
      </c>
      <c r="L2863" t="s">
        <v>30</v>
      </c>
      <c r="M2863" t="s">
        <v>89</v>
      </c>
      <c r="N2863">
        <v>1.76</v>
      </c>
      <c r="O2863">
        <v>1934</v>
      </c>
      <c r="P2863">
        <v>1.54</v>
      </c>
      <c r="Q2863">
        <v>89</v>
      </c>
      <c r="R2863">
        <v>700</v>
      </c>
    </row>
    <row r="2864" spans="1:18" hidden="1" x14ac:dyDescent="0.2">
      <c r="A2864">
        <v>7</v>
      </c>
      <c r="B2864" t="s">
        <v>34</v>
      </c>
      <c r="E2864" t="s">
        <v>51</v>
      </c>
      <c r="F2864">
        <v>708450</v>
      </c>
      <c r="G2864">
        <v>1</v>
      </c>
      <c r="H2864">
        <v>3</v>
      </c>
      <c r="I2864">
        <v>399</v>
      </c>
      <c r="J2864">
        <v>2002</v>
      </c>
      <c r="K2864" s="4">
        <v>45806</v>
      </c>
      <c r="L2864" t="s">
        <v>20</v>
      </c>
      <c r="M2864" t="s">
        <v>40</v>
      </c>
      <c r="N2864">
        <v>2.15</v>
      </c>
      <c r="O2864">
        <v>1504</v>
      </c>
      <c r="P2864">
        <v>2.85</v>
      </c>
      <c r="Q2864">
        <v>118</v>
      </c>
      <c r="R2864">
        <v>439</v>
      </c>
    </row>
    <row r="2865" spans="1:18" hidden="1" x14ac:dyDescent="0.2">
      <c r="A2865">
        <v>2</v>
      </c>
      <c r="B2865" t="s">
        <v>101</v>
      </c>
      <c r="E2865" t="s">
        <v>36</v>
      </c>
      <c r="F2865">
        <v>2545226</v>
      </c>
      <c r="G2865">
        <v>1</v>
      </c>
      <c r="H2865">
        <v>1</v>
      </c>
      <c r="I2865">
        <v>677</v>
      </c>
      <c r="J2865">
        <v>2021</v>
      </c>
      <c r="K2865" s="4">
        <v>44389</v>
      </c>
      <c r="L2865" t="s">
        <v>30</v>
      </c>
      <c r="M2865" t="s">
        <v>66</v>
      </c>
      <c r="N2865">
        <v>1.83</v>
      </c>
      <c r="O2865">
        <v>1643</v>
      </c>
      <c r="P2865">
        <v>4.68</v>
      </c>
      <c r="Q2865">
        <v>133</v>
      </c>
      <c r="R2865">
        <v>603</v>
      </c>
    </row>
    <row r="2866" spans="1:18" hidden="1" x14ac:dyDescent="0.2">
      <c r="A2866">
        <v>6</v>
      </c>
      <c r="B2866" t="s">
        <v>50</v>
      </c>
      <c r="E2866" t="s">
        <v>36</v>
      </c>
      <c r="F2866">
        <v>990435</v>
      </c>
      <c r="G2866">
        <v>1</v>
      </c>
      <c r="H2866">
        <v>1</v>
      </c>
      <c r="I2866">
        <v>71</v>
      </c>
      <c r="J2866">
        <v>1955</v>
      </c>
      <c r="K2866" s="4">
        <v>44874</v>
      </c>
      <c r="L2866" t="s">
        <v>30</v>
      </c>
      <c r="M2866" t="s">
        <v>40</v>
      </c>
      <c r="N2866">
        <v>1.81</v>
      </c>
      <c r="O2866">
        <v>1418</v>
      </c>
      <c r="P2866">
        <v>0.7</v>
      </c>
      <c r="Q2866">
        <v>158</v>
      </c>
      <c r="R2866">
        <v>338</v>
      </c>
    </row>
    <row r="2867" spans="1:18" x14ac:dyDescent="0.2">
      <c r="A2867">
        <v>8</v>
      </c>
      <c r="B2867" t="s">
        <v>92</v>
      </c>
      <c r="E2867" t="s">
        <v>51</v>
      </c>
      <c r="F2867">
        <v>1776972</v>
      </c>
      <c r="G2867">
        <v>5</v>
      </c>
      <c r="H2867">
        <v>2</v>
      </c>
      <c r="I2867">
        <v>330</v>
      </c>
      <c r="J2867">
        <v>2004</v>
      </c>
      <c r="K2867" s="4">
        <v>44977</v>
      </c>
      <c r="L2867" t="s">
        <v>20</v>
      </c>
      <c r="M2867" t="s">
        <v>33</v>
      </c>
      <c r="N2867">
        <v>2.4900000000000002</v>
      </c>
      <c r="O2867">
        <v>1140</v>
      </c>
      <c r="P2867">
        <v>0.31</v>
      </c>
      <c r="Q2867">
        <v>271</v>
      </c>
      <c r="R2867">
        <v>457</v>
      </c>
    </row>
    <row r="2868" spans="1:18" hidden="1" x14ac:dyDescent="0.2">
      <c r="A2868">
        <v>1</v>
      </c>
      <c r="B2868" t="s">
        <v>18</v>
      </c>
      <c r="E2868" t="s">
        <v>36</v>
      </c>
      <c r="F2868">
        <v>1767202</v>
      </c>
      <c r="G2868">
        <v>3</v>
      </c>
      <c r="H2868">
        <v>3</v>
      </c>
      <c r="I2868">
        <v>903</v>
      </c>
      <c r="J2868">
        <v>1974</v>
      </c>
      <c r="K2868" s="4">
        <v>45810</v>
      </c>
      <c r="L2868" t="s">
        <v>23</v>
      </c>
      <c r="M2868" t="s">
        <v>21</v>
      </c>
      <c r="N2868">
        <v>3.33</v>
      </c>
      <c r="O2868">
        <v>1936</v>
      </c>
      <c r="P2868">
        <v>4.1900000000000004</v>
      </c>
      <c r="Q2868">
        <v>161</v>
      </c>
      <c r="R2868">
        <v>672</v>
      </c>
    </row>
    <row r="2869" spans="1:18" hidden="1" x14ac:dyDescent="0.2">
      <c r="A2869">
        <v>4</v>
      </c>
      <c r="B2869" t="s">
        <v>48</v>
      </c>
      <c r="E2869" t="s">
        <v>51</v>
      </c>
      <c r="F2869">
        <v>1142059</v>
      </c>
      <c r="G2869">
        <v>2</v>
      </c>
      <c r="H2869">
        <v>2</v>
      </c>
      <c r="I2869">
        <v>922</v>
      </c>
      <c r="J2869">
        <v>2003</v>
      </c>
      <c r="K2869" s="4">
        <v>45460</v>
      </c>
      <c r="L2869" t="s">
        <v>30</v>
      </c>
      <c r="M2869" t="s">
        <v>68</v>
      </c>
      <c r="N2869">
        <v>2.0099999999999998</v>
      </c>
      <c r="O2869">
        <v>1754</v>
      </c>
      <c r="P2869">
        <v>3.64</v>
      </c>
      <c r="Q2869">
        <v>206</v>
      </c>
      <c r="R2869">
        <v>478</v>
      </c>
    </row>
    <row r="2870" spans="1:18" hidden="1" x14ac:dyDescent="0.2">
      <c r="A2870">
        <v>2</v>
      </c>
      <c r="B2870" t="s">
        <v>25</v>
      </c>
      <c r="E2870" t="s">
        <v>29</v>
      </c>
      <c r="F2870">
        <v>1422580</v>
      </c>
      <c r="G2870">
        <v>6</v>
      </c>
      <c r="H2870">
        <v>3</v>
      </c>
      <c r="I2870">
        <v>370</v>
      </c>
      <c r="J2870">
        <v>1975</v>
      </c>
      <c r="K2870" s="4">
        <v>44516</v>
      </c>
      <c r="L2870" t="s">
        <v>20</v>
      </c>
      <c r="M2870" t="s">
        <v>82</v>
      </c>
      <c r="N2870">
        <v>2.89</v>
      </c>
      <c r="O2870">
        <v>2265</v>
      </c>
      <c r="P2870">
        <v>3.71</v>
      </c>
      <c r="Q2870">
        <v>380</v>
      </c>
      <c r="R2870">
        <v>560</v>
      </c>
    </row>
    <row r="2871" spans="1:18" hidden="1" x14ac:dyDescent="0.2">
      <c r="A2871">
        <v>4</v>
      </c>
      <c r="B2871" t="s">
        <v>71</v>
      </c>
      <c r="E2871" t="s">
        <v>51</v>
      </c>
      <c r="F2871">
        <v>2372467</v>
      </c>
      <c r="G2871">
        <v>3</v>
      </c>
      <c r="H2871">
        <v>2</v>
      </c>
      <c r="I2871">
        <v>183</v>
      </c>
      <c r="J2871">
        <v>1987</v>
      </c>
      <c r="K2871" s="4">
        <v>44264</v>
      </c>
      <c r="L2871" t="s">
        <v>30</v>
      </c>
      <c r="M2871" t="s">
        <v>59</v>
      </c>
      <c r="N2871">
        <v>2.4</v>
      </c>
      <c r="O2871">
        <v>2332</v>
      </c>
      <c r="P2871">
        <v>3.88</v>
      </c>
      <c r="Q2871">
        <v>140</v>
      </c>
      <c r="R2871">
        <v>360</v>
      </c>
    </row>
    <row r="2872" spans="1:18" hidden="1" x14ac:dyDescent="0.2">
      <c r="A2872">
        <v>7</v>
      </c>
      <c r="B2872" t="s">
        <v>61</v>
      </c>
      <c r="E2872" t="s">
        <v>19</v>
      </c>
      <c r="F2872">
        <v>460033</v>
      </c>
      <c r="G2872">
        <v>2</v>
      </c>
      <c r="H2872">
        <v>1</v>
      </c>
      <c r="I2872">
        <v>820</v>
      </c>
      <c r="J2872">
        <v>1981</v>
      </c>
      <c r="K2872" s="4">
        <v>45406</v>
      </c>
      <c r="L2872" t="s">
        <v>20</v>
      </c>
      <c r="M2872" t="s">
        <v>24</v>
      </c>
      <c r="N2872">
        <v>1.97</v>
      </c>
      <c r="O2872">
        <v>2282</v>
      </c>
      <c r="P2872">
        <v>1.44</v>
      </c>
      <c r="Q2872">
        <v>112</v>
      </c>
      <c r="R2872">
        <v>525</v>
      </c>
    </row>
    <row r="2873" spans="1:18" hidden="1" x14ac:dyDescent="0.2">
      <c r="A2873">
        <v>0</v>
      </c>
      <c r="B2873" t="s">
        <v>72</v>
      </c>
      <c r="E2873" t="s">
        <v>19</v>
      </c>
      <c r="F2873">
        <v>2421779</v>
      </c>
      <c r="G2873">
        <v>3</v>
      </c>
      <c r="H2873">
        <v>1</v>
      </c>
      <c r="I2873">
        <v>870</v>
      </c>
      <c r="J2873">
        <v>2015</v>
      </c>
      <c r="K2873" s="4">
        <v>45450</v>
      </c>
      <c r="L2873" t="s">
        <v>20</v>
      </c>
      <c r="M2873" t="s">
        <v>63</v>
      </c>
      <c r="N2873">
        <v>3.04</v>
      </c>
      <c r="O2873">
        <v>2181</v>
      </c>
      <c r="P2873">
        <v>1.02</v>
      </c>
      <c r="Q2873">
        <v>174</v>
      </c>
      <c r="R2873">
        <v>525</v>
      </c>
    </row>
    <row r="2874" spans="1:18" hidden="1" x14ac:dyDescent="0.2">
      <c r="A2874">
        <v>3</v>
      </c>
      <c r="B2874" t="s">
        <v>94</v>
      </c>
      <c r="E2874" t="s">
        <v>51</v>
      </c>
      <c r="F2874">
        <v>624801</v>
      </c>
      <c r="G2874">
        <v>4</v>
      </c>
      <c r="H2874">
        <v>2</v>
      </c>
      <c r="I2874">
        <v>915</v>
      </c>
      <c r="J2874">
        <v>1959</v>
      </c>
      <c r="K2874" s="4">
        <v>44260</v>
      </c>
      <c r="L2874" t="s">
        <v>30</v>
      </c>
      <c r="M2874" t="s">
        <v>70</v>
      </c>
      <c r="N2874">
        <v>3.06</v>
      </c>
      <c r="O2874">
        <v>989</v>
      </c>
      <c r="P2874">
        <v>2.04</v>
      </c>
      <c r="Q2874">
        <v>257</v>
      </c>
      <c r="R2874">
        <v>610</v>
      </c>
    </row>
    <row r="2875" spans="1:18" hidden="1" x14ac:dyDescent="0.2">
      <c r="A2875">
        <v>2</v>
      </c>
      <c r="B2875" t="s">
        <v>49</v>
      </c>
      <c r="E2875" t="s">
        <v>19</v>
      </c>
      <c r="F2875">
        <v>2112673</v>
      </c>
      <c r="G2875">
        <v>5</v>
      </c>
      <c r="H2875">
        <v>1</v>
      </c>
      <c r="I2875">
        <v>602</v>
      </c>
      <c r="J2875">
        <v>2012</v>
      </c>
      <c r="K2875" s="4">
        <v>45883</v>
      </c>
      <c r="L2875" t="s">
        <v>20</v>
      </c>
      <c r="M2875" t="s">
        <v>59</v>
      </c>
      <c r="N2875">
        <v>2.0699999999999998</v>
      </c>
      <c r="O2875">
        <v>1282</v>
      </c>
      <c r="P2875">
        <v>4.59</v>
      </c>
      <c r="Q2875">
        <v>266</v>
      </c>
      <c r="R2875">
        <v>328</v>
      </c>
    </row>
    <row r="2876" spans="1:18" hidden="1" x14ac:dyDescent="0.2">
      <c r="A2876">
        <v>0</v>
      </c>
      <c r="B2876" t="s">
        <v>64</v>
      </c>
      <c r="E2876" t="s">
        <v>51</v>
      </c>
      <c r="F2876">
        <v>1290349</v>
      </c>
      <c r="G2876">
        <v>1</v>
      </c>
      <c r="H2876">
        <v>2</v>
      </c>
      <c r="I2876">
        <v>492</v>
      </c>
      <c r="J2876">
        <v>2022</v>
      </c>
      <c r="K2876" s="4">
        <v>44716</v>
      </c>
      <c r="L2876" t="s">
        <v>20</v>
      </c>
      <c r="M2876" t="s">
        <v>45</v>
      </c>
      <c r="N2876">
        <v>2.54</v>
      </c>
      <c r="O2876">
        <v>902</v>
      </c>
      <c r="P2876">
        <v>4.17</v>
      </c>
      <c r="Q2876">
        <v>60</v>
      </c>
      <c r="R2876">
        <v>436</v>
      </c>
    </row>
    <row r="2877" spans="1:18" hidden="1" x14ac:dyDescent="0.2">
      <c r="A2877">
        <v>1</v>
      </c>
      <c r="B2877" t="s">
        <v>49</v>
      </c>
      <c r="E2877" t="s">
        <v>19</v>
      </c>
      <c r="F2877">
        <v>2047793</v>
      </c>
      <c r="G2877">
        <v>1</v>
      </c>
      <c r="H2877">
        <v>2</v>
      </c>
      <c r="I2877">
        <v>853</v>
      </c>
      <c r="J2877">
        <v>2019</v>
      </c>
      <c r="K2877" s="4">
        <v>45864</v>
      </c>
      <c r="L2877" t="s">
        <v>26</v>
      </c>
      <c r="M2877" t="s">
        <v>68</v>
      </c>
      <c r="N2877">
        <v>2.3199999999999998</v>
      </c>
      <c r="O2877">
        <v>1425</v>
      </c>
      <c r="P2877">
        <v>3.83</v>
      </c>
      <c r="Q2877">
        <v>111</v>
      </c>
      <c r="R2877">
        <v>490</v>
      </c>
    </row>
    <row r="2878" spans="1:18" hidden="1" x14ac:dyDescent="0.2">
      <c r="A2878">
        <v>1</v>
      </c>
      <c r="B2878" t="s">
        <v>106</v>
      </c>
      <c r="E2878" t="s">
        <v>36</v>
      </c>
      <c r="F2878">
        <v>2161412</v>
      </c>
      <c r="G2878">
        <v>1</v>
      </c>
      <c r="H2878">
        <v>2</v>
      </c>
      <c r="I2878">
        <v>399</v>
      </c>
      <c r="J2878">
        <v>1971</v>
      </c>
      <c r="K2878" s="4">
        <v>44716</v>
      </c>
      <c r="L2878" t="s">
        <v>20</v>
      </c>
      <c r="M2878" t="s">
        <v>31</v>
      </c>
      <c r="N2878">
        <v>2.82</v>
      </c>
      <c r="O2878">
        <v>1452</v>
      </c>
      <c r="P2878">
        <v>2.41</v>
      </c>
      <c r="Q2878">
        <v>81</v>
      </c>
      <c r="R2878">
        <v>473</v>
      </c>
    </row>
    <row r="2879" spans="1:18" hidden="1" x14ac:dyDescent="0.2">
      <c r="A2879">
        <v>3</v>
      </c>
      <c r="B2879" t="s">
        <v>71</v>
      </c>
      <c r="E2879" t="s">
        <v>19</v>
      </c>
      <c r="F2879">
        <v>1728168</v>
      </c>
      <c r="G2879">
        <v>5</v>
      </c>
      <c r="H2879">
        <v>2</v>
      </c>
      <c r="I2879">
        <v>308</v>
      </c>
      <c r="J2879">
        <v>1951</v>
      </c>
      <c r="K2879" s="4">
        <v>44903</v>
      </c>
      <c r="L2879" t="s">
        <v>26</v>
      </c>
      <c r="M2879" t="s">
        <v>45</v>
      </c>
      <c r="N2879">
        <v>1.97</v>
      </c>
      <c r="O2879">
        <v>1574</v>
      </c>
      <c r="P2879">
        <v>3.77</v>
      </c>
      <c r="Q2879">
        <v>396</v>
      </c>
      <c r="R2879">
        <v>686</v>
      </c>
    </row>
    <row r="2880" spans="1:18" hidden="1" x14ac:dyDescent="0.2">
      <c r="A2880">
        <v>6</v>
      </c>
      <c r="B2880" t="s">
        <v>80</v>
      </c>
      <c r="E2880" t="s">
        <v>29</v>
      </c>
      <c r="F2880">
        <v>1962936</v>
      </c>
      <c r="G2880">
        <v>2</v>
      </c>
      <c r="H2880">
        <v>3</v>
      </c>
      <c r="I2880">
        <v>494</v>
      </c>
      <c r="J2880">
        <v>1984</v>
      </c>
      <c r="K2880" s="4">
        <v>45428</v>
      </c>
      <c r="L2880" t="s">
        <v>26</v>
      </c>
      <c r="M2880" t="s">
        <v>68</v>
      </c>
      <c r="N2880">
        <v>3.46</v>
      </c>
      <c r="O2880">
        <v>2177</v>
      </c>
      <c r="P2880">
        <v>3.88</v>
      </c>
      <c r="Q2880">
        <v>165</v>
      </c>
      <c r="R2880">
        <v>437</v>
      </c>
    </row>
    <row r="2881" spans="1:18" hidden="1" x14ac:dyDescent="0.2">
      <c r="A2881">
        <v>1</v>
      </c>
      <c r="B2881" t="s">
        <v>105</v>
      </c>
      <c r="E2881" t="s">
        <v>51</v>
      </c>
      <c r="F2881">
        <v>2137600</v>
      </c>
      <c r="G2881">
        <v>1</v>
      </c>
      <c r="H2881">
        <v>3</v>
      </c>
      <c r="I2881">
        <v>953</v>
      </c>
      <c r="J2881">
        <v>1954</v>
      </c>
      <c r="K2881" s="4">
        <v>45031</v>
      </c>
      <c r="L2881" t="s">
        <v>30</v>
      </c>
      <c r="M2881" t="s">
        <v>31</v>
      </c>
      <c r="N2881">
        <v>1.78</v>
      </c>
      <c r="O2881">
        <v>919</v>
      </c>
      <c r="P2881">
        <v>0.15</v>
      </c>
      <c r="Q2881">
        <v>116</v>
      </c>
      <c r="R2881">
        <v>496</v>
      </c>
    </row>
    <row r="2882" spans="1:18" hidden="1" x14ac:dyDescent="0.2">
      <c r="A2882">
        <v>9</v>
      </c>
      <c r="B2882" t="s">
        <v>48</v>
      </c>
      <c r="E2882" t="s">
        <v>51</v>
      </c>
      <c r="F2882">
        <v>1438676</v>
      </c>
      <c r="G2882">
        <v>5</v>
      </c>
      <c r="H2882">
        <v>2</v>
      </c>
      <c r="I2882">
        <v>977</v>
      </c>
      <c r="J2882">
        <v>1976</v>
      </c>
      <c r="K2882" s="4">
        <v>44547</v>
      </c>
      <c r="L2882" t="s">
        <v>20</v>
      </c>
      <c r="M2882" t="s">
        <v>89</v>
      </c>
      <c r="N2882">
        <v>1.83</v>
      </c>
      <c r="O2882">
        <v>2075</v>
      </c>
      <c r="P2882">
        <v>3.24</v>
      </c>
      <c r="Q2882">
        <v>251</v>
      </c>
      <c r="R2882">
        <v>348</v>
      </c>
    </row>
    <row r="2883" spans="1:18" hidden="1" x14ac:dyDescent="0.2">
      <c r="A2883">
        <v>1</v>
      </c>
      <c r="B2883" t="s">
        <v>101</v>
      </c>
      <c r="E2883" t="s">
        <v>51</v>
      </c>
      <c r="F2883">
        <v>2966667</v>
      </c>
      <c r="G2883">
        <v>3</v>
      </c>
      <c r="H2883">
        <v>2</v>
      </c>
      <c r="I2883">
        <v>190</v>
      </c>
      <c r="J2883">
        <v>1951</v>
      </c>
      <c r="K2883" s="4">
        <v>44669</v>
      </c>
      <c r="L2883" t="s">
        <v>26</v>
      </c>
      <c r="M2883" t="s">
        <v>85</v>
      </c>
      <c r="N2883">
        <v>3.14</v>
      </c>
      <c r="O2883">
        <v>2275</v>
      </c>
      <c r="P2883">
        <v>4.55</v>
      </c>
      <c r="Q2883">
        <v>176</v>
      </c>
      <c r="R2883">
        <v>540</v>
      </c>
    </row>
    <row r="2884" spans="1:18" hidden="1" x14ac:dyDescent="0.2">
      <c r="A2884">
        <v>3</v>
      </c>
      <c r="B2884" t="s">
        <v>34</v>
      </c>
      <c r="E2884" t="s">
        <v>29</v>
      </c>
      <c r="F2884">
        <v>2760302</v>
      </c>
      <c r="G2884">
        <v>3</v>
      </c>
      <c r="H2884">
        <v>1</v>
      </c>
      <c r="I2884">
        <v>433</v>
      </c>
      <c r="J2884">
        <v>1960</v>
      </c>
      <c r="K2884" s="4">
        <v>44912</v>
      </c>
      <c r="L2884" t="s">
        <v>23</v>
      </c>
      <c r="M2884" t="s">
        <v>76</v>
      </c>
      <c r="N2884">
        <v>1.91</v>
      </c>
      <c r="O2884">
        <v>1536</v>
      </c>
      <c r="P2884">
        <v>2.0299999999999998</v>
      </c>
      <c r="Q2884">
        <v>195</v>
      </c>
      <c r="R2884">
        <v>362</v>
      </c>
    </row>
    <row r="2885" spans="1:18" hidden="1" x14ac:dyDescent="0.2">
      <c r="A2885">
        <v>7</v>
      </c>
      <c r="B2885" t="s">
        <v>92</v>
      </c>
      <c r="E2885" t="s">
        <v>19</v>
      </c>
      <c r="F2885">
        <v>2829562</v>
      </c>
      <c r="G2885">
        <v>6</v>
      </c>
      <c r="H2885">
        <v>1</v>
      </c>
      <c r="I2885">
        <v>782</v>
      </c>
      <c r="J2885">
        <v>1985</v>
      </c>
      <c r="K2885" s="4">
        <v>45367</v>
      </c>
      <c r="L2885" t="s">
        <v>20</v>
      </c>
      <c r="M2885" t="s">
        <v>37</v>
      </c>
      <c r="N2885">
        <v>2.08</v>
      </c>
      <c r="O2885">
        <v>1053</v>
      </c>
      <c r="P2885">
        <v>2.06</v>
      </c>
      <c r="Q2885">
        <v>347</v>
      </c>
      <c r="R2885">
        <v>535</v>
      </c>
    </row>
    <row r="2886" spans="1:18" hidden="1" x14ac:dyDescent="0.2">
      <c r="A2886">
        <v>3</v>
      </c>
      <c r="B2886" t="s">
        <v>25</v>
      </c>
      <c r="E2886" t="s">
        <v>29</v>
      </c>
      <c r="F2886">
        <v>456263</v>
      </c>
      <c r="G2886">
        <v>3</v>
      </c>
      <c r="H2886">
        <v>1</v>
      </c>
      <c r="I2886">
        <v>933</v>
      </c>
      <c r="J2886">
        <v>1986</v>
      </c>
      <c r="K2886" s="4">
        <v>44117</v>
      </c>
      <c r="L2886" t="s">
        <v>23</v>
      </c>
      <c r="M2886" t="s">
        <v>89</v>
      </c>
      <c r="N2886">
        <v>2.85</v>
      </c>
      <c r="O2886">
        <v>2109</v>
      </c>
      <c r="P2886">
        <v>3.54</v>
      </c>
      <c r="Q2886">
        <v>95</v>
      </c>
      <c r="R2886">
        <v>585</v>
      </c>
    </row>
    <row r="2887" spans="1:18" hidden="1" x14ac:dyDescent="0.2">
      <c r="A2887">
        <v>9</v>
      </c>
      <c r="B2887" t="s">
        <v>65</v>
      </c>
      <c r="E2887" t="s">
        <v>29</v>
      </c>
      <c r="F2887">
        <v>995515</v>
      </c>
      <c r="G2887">
        <v>4</v>
      </c>
      <c r="H2887">
        <v>2</v>
      </c>
      <c r="I2887">
        <v>747</v>
      </c>
      <c r="J2887">
        <v>1951</v>
      </c>
      <c r="K2887" s="4">
        <v>44242</v>
      </c>
      <c r="L2887" t="s">
        <v>20</v>
      </c>
      <c r="M2887" t="s">
        <v>69</v>
      </c>
      <c r="N2887">
        <v>3</v>
      </c>
      <c r="O2887">
        <v>1220</v>
      </c>
      <c r="P2887">
        <v>2.39</v>
      </c>
      <c r="Q2887">
        <v>225</v>
      </c>
      <c r="R2887">
        <v>490</v>
      </c>
    </row>
    <row r="2888" spans="1:18" hidden="1" x14ac:dyDescent="0.2">
      <c r="A2888">
        <v>4</v>
      </c>
      <c r="B2888" t="s">
        <v>22</v>
      </c>
      <c r="E2888" t="s">
        <v>29</v>
      </c>
      <c r="F2888">
        <v>920560</v>
      </c>
      <c r="G2888">
        <v>2</v>
      </c>
      <c r="H2888">
        <v>1</v>
      </c>
      <c r="I2888">
        <v>115</v>
      </c>
      <c r="J2888">
        <v>2014</v>
      </c>
      <c r="K2888" s="4">
        <v>45544</v>
      </c>
      <c r="L2888" t="s">
        <v>20</v>
      </c>
      <c r="M2888" t="s">
        <v>35</v>
      </c>
      <c r="N2888">
        <v>2.14</v>
      </c>
      <c r="O2888">
        <v>1573</v>
      </c>
      <c r="P2888">
        <v>0.21</v>
      </c>
      <c r="Q2888">
        <v>229</v>
      </c>
      <c r="R2888">
        <v>531</v>
      </c>
    </row>
    <row r="2889" spans="1:18" hidden="1" x14ac:dyDescent="0.2">
      <c r="A2889">
        <v>5</v>
      </c>
      <c r="B2889" t="s">
        <v>34</v>
      </c>
      <c r="E2889" t="s">
        <v>36</v>
      </c>
      <c r="F2889">
        <v>606222</v>
      </c>
      <c r="G2889">
        <v>3</v>
      </c>
      <c r="H2889">
        <v>2</v>
      </c>
      <c r="I2889">
        <v>291</v>
      </c>
      <c r="J2889">
        <v>2011</v>
      </c>
      <c r="K2889" s="4">
        <v>44541</v>
      </c>
      <c r="L2889" t="s">
        <v>23</v>
      </c>
      <c r="M2889" t="s">
        <v>40</v>
      </c>
      <c r="N2889">
        <v>1.72</v>
      </c>
      <c r="O2889">
        <v>1264</v>
      </c>
      <c r="P2889">
        <v>2.19</v>
      </c>
      <c r="Q2889">
        <v>263</v>
      </c>
      <c r="R2889">
        <v>564</v>
      </c>
    </row>
    <row r="2890" spans="1:18" hidden="1" x14ac:dyDescent="0.2">
      <c r="A2890">
        <v>0</v>
      </c>
      <c r="B2890" t="s">
        <v>61</v>
      </c>
      <c r="E2890" t="s">
        <v>36</v>
      </c>
      <c r="F2890">
        <v>1703076</v>
      </c>
      <c r="G2890">
        <v>5</v>
      </c>
      <c r="H2890">
        <v>1</v>
      </c>
      <c r="I2890">
        <v>899</v>
      </c>
      <c r="J2890">
        <v>1955</v>
      </c>
      <c r="K2890" s="4">
        <v>45283</v>
      </c>
      <c r="L2890" t="s">
        <v>20</v>
      </c>
      <c r="M2890" t="s">
        <v>24</v>
      </c>
      <c r="N2890">
        <v>2.89</v>
      </c>
      <c r="O2890">
        <v>1835</v>
      </c>
      <c r="P2890">
        <v>4</v>
      </c>
      <c r="Q2890">
        <v>334</v>
      </c>
      <c r="R2890">
        <v>384</v>
      </c>
    </row>
    <row r="2891" spans="1:18" hidden="1" x14ac:dyDescent="0.2">
      <c r="A2891">
        <v>7</v>
      </c>
      <c r="B2891" t="s">
        <v>73</v>
      </c>
      <c r="E2891" t="s">
        <v>51</v>
      </c>
      <c r="F2891">
        <v>2916923</v>
      </c>
      <c r="G2891">
        <v>3</v>
      </c>
      <c r="H2891">
        <v>3</v>
      </c>
      <c r="I2891">
        <v>1000</v>
      </c>
      <c r="J2891">
        <v>1982</v>
      </c>
      <c r="K2891" s="4">
        <v>44161</v>
      </c>
      <c r="L2891" t="s">
        <v>20</v>
      </c>
      <c r="M2891" t="s">
        <v>69</v>
      </c>
      <c r="N2891">
        <v>2.39</v>
      </c>
      <c r="O2891">
        <v>1861</v>
      </c>
      <c r="P2891">
        <v>1.99</v>
      </c>
      <c r="Q2891">
        <v>144</v>
      </c>
      <c r="R2891">
        <v>367</v>
      </c>
    </row>
    <row r="2892" spans="1:18" hidden="1" x14ac:dyDescent="0.2">
      <c r="A2892">
        <v>7</v>
      </c>
      <c r="B2892" t="s">
        <v>53</v>
      </c>
      <c r="E2892" t="s">
        <v>29</v>
      </c>
      <c r="F2892">
        <v>2517879</v>
      </c>
      <c r="G2892">
        <v>4</v>
      </c>
      <c r="H2892">
        <v>2</v>
      </c>
      <c r="I2892">
        <v>738</v>
      </c>
      <c r="J2892">
        <v>1985</v>
      </c>
      <c r="K2892" s="4">
        <v>44510</v>
      </c>
      <c r="L2892" t="s">
        <v>26</v>
      </c>
      <c r="M2892" t="s">
        <v>42</v>
      </c>
      <c r="N2892">
        <v>3.33</v>
      </c>
      <c r="O2892">
        <v>1184</v>
      </c>
      <c r="P2892">
        <v>3.7</v>
      </c>
      <c r="Q2892">
        <v>386</v>
      </c>
      <c r="R2892">
        <v>626</v>
      </c>
    </row>
    <row r="2893" spans="1:18" hidden="1" x14ac:dyDescent="0.2">
      <c r="A2893">
        <v>4</v>
      </c>
      <c r="B2893" t="s">
        <v>94</v>
      </c>
      <c r="E2893" t="s">
        <v>51</v>
      </c>
      <c r="F2893">
        <v>574719</v>
      </c>
      <c r="G2893">
        <v>5</v>
      </c>
      <c r="H2893">
        <v>2</v>
      </c>
      <c r="I2893">
        <v>709</v>
      </c>
      <c r="J2893">
        <v>2004</v>
      </c>
      <c r="K2893" s="4">
        <v>44814</v>
      </c>
      <c r="L2893" t="s">
        <v>30</v>
      </c>
      <c r="M2893" t="s">
        <v>89</v>
      </c>
      <c r="N2893">
        <v>3</v>
      </c>
      <c r="O2893">
        <v>2092</v>
      </c>
      <c r="P2893">
        <v>1.64</v>
      </c>
      <c r="Q2893">
        <v>320</v>
      </c>
      <c r="R2893">
        <v>443</v>
      </c>
    </row>
    <row r="2894" spans="1:18" hidden="1" x14ac:dyDescent="0.2">
      <c r="A2894">
        <v>0</v>
      </c>
      <c r="B2894" t="s">
        <v>41</v>
      </c>
      <c r="E2894" t="s">
        <v>36</v>
      </c>
      <c r="F2894">
        <v>1993593</v>
      </c>
      <c r="G2894">
        <v>4</v>
      </c>
      <c r="H2894">
        <v>3</v>
      </c>
      <c r="I2894">
        <v>579</v>
      </c>
      <c r="J2894">
        <v>2015</v>
      </c>
      <c r="K2894" s="4">
        <v>45860</v>
      </c>
      <c r="L2894" t="s">
        <v>23</v>
      </c>
      <c r="M2894" t="s">
        <v>76</v>
      </c>
      <c r="N2894">
        <v>2.1</v>
      </c>
      <c r="O2894">
        <v>1243</v>
      </c>
      <c r="P2894">
        <v>1.91</v>
      </c>
      <c r="Q2894">
        <v>304</v>
      </c>
      <c r="R2894">
        <v>658</v>
      </c>
    </row>
    <row r="2895" spans="1:18" hidden="1" x14ac:dyDescent="0.2">
      <c r="A2895">
        <v>9</v>
      </c>
      <c r="B2895" t="s">
        <v>43</v>
      </c>
      <c r="E2895" t="s">
        <v>29</v>
      </c>
      <c r="F2895">
        <v>1846078</v>
      </c>
      <c r="G2895">
        <v>4</v>
      </c>
      <c r="H2895">
        <v>1</v>
      </c>
      <c r="I2895">
        <v>709</v>
      </c>
      <c r="J2895">
        <v>1993</v>
      </c>
      <c r="K2895" s="4">
        <v>45277</v>
      </c>
      <c r="L2895" t="s">
        <v>30</v>
      </c>
      <c r="M2895" t="s">
        <v>31</v>
      </c>
      <c r="N2895">
        <v>2.0699999999999998</v>
      </c>
      <c r="O2895">
        <v>1520</v>
      </c>
      <c r="P2895">
        <v>4.13</v>
      </c>
      <c r="Q2895">
        <v>326</v>
      </c>
      <c r="R2895">
        <v>582</v>
      </c>
    </row>
    <row r="2896" spans="1:18" hidden="1" x14ac:dyDescent="0.2">
      <c r="A2896">
        <v>1</v>
      </c>
      <c r="B2896" t="s">
        <v>65</v>
      </c>
      <c r="E2896" t="s">
        <v>51</v>
      </c>
      <c r="F2896">
        <v>2665041</v>
      </c>
      <c r="G2896">
        <v>5</v>
      </c>
      <c r="H2896">
        <v>2</v>
      </c>
      <c r="I2896">
        <v>74</v>
      </c>
      <c r="J2896">
        <v>1994</v>
      </c>
      <c r="K2896" s="4">
        <v>44258</v>
      </c>
      <c r="L2896" t="s">
        <v>26</v>
      </c>
      <c r="M2896" t="s">
        <v>78</v>
      </c>
      <c r="N2896">
        <v>3.29</v>
      </c>
      <c r="O2896">
        <v>1178</v>
      </c>
      <c r="P2896">
        <v>0.99</v>
      </c>
      <c r="Q2896">
        <v>327</v>
      </c>
      <c r="R2896">
        <v>359</v>
      </c>
    </row>
    <row r="2897" spans="1:18" hidden="1" x14ac:dyDescent="0.2">
      <c r="A2897">
        <v>2</v>
      </c>
      <c r="B2897" t="s">
        <v>39</v>
      </c>
      <c r="E2897" t="s">
        <v>19</v>
      </c>
      <c r="F2897">
        <v>817900</v>
      </c>
      <c r="G2897">
        <v>6</v>
      </c>
      <c r="H2897">
        <v>1</v>
      </c>
      <c r="I2897">
        <v>292</v>
      </c>
      <c r="J2897">
        <v>2021</v>
      </c>
      <c r="K2897" s="4">
        <v>45435</v>
      </c>
      <c r="L2897" t="s">
        <v>23</v>
      </c>
      <c r="M2897" t="s">
        <v>69</v>
      </c>
      <c r="N2897">
        <v>2.2799999999999998</v>
      </c>
      <c r="O2897">
        <v>1457</v>
      </c>
      <c r="P2897">
        <v>2.4500000000000002</v>
      </c>
      <c r="Q2897">
        <v>328</v>
      </c>
      <c r="R2897">
        <v>560</v>
      </c>
    </row>
    <row r="2898" spans="1:18" hidden="1" x14ac:dyDescent="0.2">
      <c r="A2898">
        <v>4</v>
      </c>
      <c r="B2898" t="s">
        <v>49</v>
      </c>
      <c r="E2898" t="s">
        <v>51</v>
      </c>
      <c r="F2898">
        <v>1283473</v>
      </c>
      <c r="G2898">
        <v>4</v>
      </c>
      <c r="H2898">
        <v>2</v>
      </c>
      <c r="I2898">
        <v>77</v>
      </c>
      <c r="J2898">
        <v>1964</v>
      </c>
      <c r="K2898" s="4">
        <v>44474</v>
      </c>
      <c r="L2898" t="s">
        <v>26</v>
      </c>
      <c r="M2898" t="s">
        <v>52</v>
      </c>
      <c r="N2898">
        <v>1.65</v>
      </c>
      <c r="O2898">
        <v>1763</v>
      </c>
      <c r="P2898">
        <v>4.49</v>
      </c>
      <c r="Q2898">
        <v>202</v>
      </c>
      <c r="R2898">
        <v>647</v>
      </c>
    </row>
    <row r="2899" spans="1:18" x14ac:dyDescent="0.2">
      <c r="A2899">
        <v>8</v>
      </c>
      <c r="B2899" t="s">
        <v>98</v>
      </c>
      <c r="E2899" t="s">
        <v>29</v>
      </c>
      <c r="F2899">
        <v>2179934</v>
      </c>
      <c r="G2899">
        <v>2</v>
      </c>
      <c r="H2899">
        <v>2</v>
      </c>
      <c r="I2899">
        <v>667</v>
      </c>
      <c r="J2899">
        <v>1994</v>
      </c>
      <c r="K2899" s="4">
        <v>44739</v>
      </c>
      <c r="L2899" t="s">
        <v>30</v>
      </c>
      <c r="M2899" t="s">
        <v>69</v>
      </c>
      <c r="N2899">
        <v>1.9</v>
      </c>
      <c r="O2899">
        <v>2476</v>
      </c>
      <c r="P2899">
        <v>0.65</v>
      </c>
      <c r="Q2899">
        <v>51</v>
      </c>
      <c r="R2899">
        <v>499</v>
      </c>
    </row>
    <row r="2900" spans="1:18" hidden="1" x14ac:dyDescent="0.2">
      <c r="A2900">
        <v>2</v>
      </c>
      <c r="B2900" t="s">
        <v>72</v>
      </c>
      <c r="E2900" t="s">
        <v>19</v>
      </c>
      <c r="F2900">
        <v>1892118</v>
      </c>
      <c r="G2900">
        <v>3</v>
      </c>
      <c r="H2900">
        <v>2</v>
      </c>
      <c r="I2900">
        <v>370</v>
      </c>
      <c r="J2900">
        <v>2013</v>
      </c>
      <c r="K2900" s="4">
        <v>45082</v>
      </c>
      <c r="L2900" t="s">
        <v>30</v>
      </c>
      <c r="M2900" t="s">
        <v>97</v>
      </c>
      <c r="N2900">
        <v>1.76</v>
      </c>
      <c r="O2900">
        <v>1448</v>
      </c>
      <c r="P2900">
        <v>1.94</v>
      </c>
      <c r="Q2900">
        <v>304</v>
      </c>
      <c r="R2900">
        <v>420</v>
      </c>
    </row>
    <row r="2901" spans="1:18" x14ac:dyDescent="0.2">
      <c r="A2901">
        <v>8</v>
      </c>
      <c r="B2901" t="s">
        <v>61</v>
      </c>
      <c r="E2901" t="s">
        <v>51</v>
      </c>
      <c r="F2901">
        <v>2442992</v>
      </c>
      <c r="G2901">
        <v>1</v>
      </c>
      <c r="H2901">
        <v>3</v>
      </c>
      <c r="I2901">
        <v>770</v>
      </c>
      <c r="J2901">
        <v>2017</v>
      </c>
      <c r="K2901" s="4">
        <v>44500</v>
      </c>
      <c r="L2901" t="s">
        <v>30</v>
      </c>
      <c r="M2901" t="s">
        <v>35</v>
      </c>
      <c r="N2901">
        <v>1.84</v>
      </c>
      <c r="O2901">
        <v>2019</v>
      </c>
      <c r="P2901">
        <v>1.21</v>
      </c>
      <c r="Q2901">
        <v>83</v>
      </c>
      <c r="R2901">
        <v>454</v>
      </c>
    </row>
    <row r="2902" spans="1:18" hidden="1" x14ac:dyDescent="0.2">
      <c r="A2902">
        <v>4</v>
      </c>
      <c r="B2902" t="s">
        <v>96</v>
      </c>
      <c r="E2902" t="s">
        <v>29</v>
      </c>
      <c r="F2902">
        <v>1579520</v>
      </c>
      <c r="G2902">
        <v>4</v>
      </c>
      <c r="H2902">
        <v>3</v>
      </c>
      <c r="I2902">
        <v>785</v>
      </c>
      <c r="J2902">
        <v>2013</v>
      </c>
      <c r="K2902" s="4">
        <v>45135</v>
      </c>
      <c r="L2902" t="s">
        <v>23</v>
      </c>
      <c r="M2902" t="s">
        <v>68</v>
      </c>
      <c r="N2902">
        <v>3.34</v>
      </c>
      <c r="O2902">
        <v>1147</v>
      </c>
      <c r="P2902">
        <v>3.57</v>
      </c>
      <c r="Q2902">
        <v>325</v>
      </c>
      <c r="R2902">
        <v>313</v>
      </c>
    </row>
    <row r="2903" spans="1:18" hidden="1" x14ac:dyDescent="0.2">
      <c r="A2903">
        <v>6</v>
      </c>
      <c r="B2903" t="s">
        <v>84</v>
      </c>
      <c r="E2903" t="s">
        <v>29</v>
      </c>
      <c r="F2903">
        <v>2549534</v>
      </c>
      <c r="G2903">
        <v>4</v>
      </c>
      <c r="H2903">
        <v>2</v>
      </c>
      <c r="I2903">
        <v>495</v>
      </c>
      <c r="J2903">
        <v>2001</v>
      </c>
      <c r="K2903" s="4">
        <v>44117</v>
      </c>
      <c r="L2903" t="s">
        <v>26</v>
      </c>
      <c r="M2903" t="s">
        <v>70</v>
      </c>
      <c r="N2903">
        <v>2.82</v>
      </c>
      <c r="O2903">
        <v>973</v>
      </c>
      <c r="P2903">
        <v>3.15</v>
      </c>
      <c r="Q2903">
        <v>303</v>
      </c>
      <c r="R2903">
        <v>653</v>
      </c>
    </row>
    <row r="2904" spans="1:18" hidden="1" x14ac:dyDescent="0.2">
      <c r="A2904">
        <v>4</v>
      </c>
      <c r="B2904" t="s">
        <v>80</v>
      </c>
      <c r="E2904" t="s">
        <v>36</v>
      </c>
      <c r="F2904">
        <v>629146</v>
      </c>
      <c r="G2904">
        <v>4</v>
      </c>
      <c r="H2904">
        <v>2</v>
      </c>
      <c r="I2904">
        <v>326</v>
      </c>
      <c r="J2904">
        <v>1987</v>
      </c>
      <c r="K2904" s="4">
        <v>44522</v>
      </c>
      <c r="L2904" t="s">
        <v>26</v>
      </c>
      <c r="M2904" t="s">
        <v>78</v>
      </c>
      <c r="N2904">
        <v>2.5299999999999998</v>
      </c>
      <c r="O2904">
        <v>944</v>
      </c>
      <c r="P2904">
        <v>1.26</v>
      </c>
      <c r="Q2904">
        <v>296</v>
      </c>
      <c r="R2904">
        <v>311</v>
      </c>
    </row>
    <row r="2905" spans="1:18" hidden="1" x14ac:dyDescent="0.2">
      <c r="A2905">
        <v>4</v>
      </c>
      <c r="B2905" t="s">
        <v>34</v>
      </c>
      <c r="E2905" t="s">
        <v>51</v>
      </c>
      <c r="F2905">
        <v>968888</v>
      </c>
      <c r="G2905">
        <v>3</v>
      </c>
      <c r="H2905">
        <v>2</v>
      </c>
      <c r="I2905">
        <v>633</v>
      </c>
      <c r="J2905">
        <v>1953</v>
      </c>
      <c r="K2905" s="4">
        <v>45660</v>
      </c>
      <c r="L2905" t="s">
        <v>26</v>
      </c>
      <c r="M2905" t="s">
        <v>52</v>
      </c>
      <c r="N2905">
        <v>2.0099999999999998</v>
      </c>
      <c r="O2905">
        <v>1051</v>
      </c>
      <c r="P2905">
        <v>1.36</v>
      </c>
      <c r="Q2905">
        <v>100</v>
      </c>
      <c r="R2905">
        <v>506</v>
      </c>
    </row>
    <row r="2906" spans="1:18" x14ac:dyDescent="0.2">
      <c r="A2906">
        <v>8</v>
      </c>
      <c r="B2906" t="s">
        <v>49</v>
      </c>
      <c r="E2906" t="s">
        <v>29</v>
      </c>
      <c r="F2906">
        <v>436659</v>
      </c>
      <c r="G2906">
        <v>3</v>
      </c>
      <c r="H2906">
        <v>2</v>
      </c>
      <c r="I2906">
        <v>834</v>
      </c>
      <c r="J2906">
        <v>1954</v>
      </c>
      <c r="K2906" s="4">
        <v>44999</v>
      </c>
      <c r="L2906" t="s">
        <v>23</v>
      </c>
      <c r="M2906" t="s">
        <v>27</v>
      </c>
      <c r="N2906">
        <v>2.42</v>
      </c>
      <c r="O2906">
        <v>2322</v>
      </c>
      <c r="P2906">
        <v>2.81</v>
      </c>
      <c r="Q2906">
        <v>140</v>
      </c>
      <c r="R2906">
        <v>391</v>
      </c>
    </row>
    <row r="2907" spans="1:18" hidden="1" x14ac:dyDescent="0.2">
      <c r="A2907">
        <v>5</v>
      </c>
      <c r="B2907" t="s">
        <v>98</v>
      </c>
      <c r="E2907" t="s">
        <v>51</v>
      </c>
      <c r="F2907">
        <v>1586670</v>
      </c>
      <c r="G2907">
        <v>4</v>
      </c>
      <c r="H2907">
        <v>3</v>
      </c>
      <c r="I2907">
        <v>792</v>
      </c>
      <c r="J2907">
        <v>2007</v>
      </c>
      <c r="K2907" s="4">
        <v>44915</v>
      </c>
      <c r="L2907" t="s">
        <v>20</v>
      </c>
      <c r="M2907" t="s">
        <v>63</v>
      </c>
      <c r="N2907">
        <v>1.8</v>
      </c>
      <c r="O2907">
        <v>1738</v>
      </c>
      <c r="P2907">
        <v>2.75</v>
      </c>
      <c r="Q2907">
        <v>263</v>
      </c>
      <c r="R2907">
        <v>307</v>
      </c>
    </row>
    <row r="2908" spans="1:18" hidden="1" x14ac:dyDescent="0.2">
      <c r="A2908">
        <v>7</v>
      </c>
      <c r="B2908" t="s">
        <v>18</v>
      </c>
      <c r="E2908" t="s">
        <v>29</v>
      </c>
      <c r="F2908">
        <v>1828954</v>
      </c>
      <c r="G2908">
        <v>5</v>
      </c>
      <c r="H2908">
        <v>3</v>
      </c>
      <c r="I2908">
        <v>107</v>
      </c>
      <c r="J2908">
        <v>1951</v>
      </c>
      <c r="K2908" s="4">
        <v>44129</v>
      </c>
      <c r="L2908" t="s">
        <v>26</v>
      </c>
      <c r="M2908" t="s">
        <v>85</v>
      </c>
      <c r="N2908">
        <v>1.94</v>
      </c>
      <c r="O2908">
        <v>2410</v>
      </c>
      <c r="P2908">
        <v>1.74</v>
      </c>
      <c r="Q2908">
        <v>398</v>
      </c>
      <c r="R2908">
        <v>467</v>
      </c>
    </row>
    <row r="2909" spans="1:18" hidden="1" x14ac:dyDescent="0.2">
      <c r="A2909">
        <v>4</v>
      </c>
      <c r="B2909" t="s">
        <v>91</v>
      </c>
      <c r="E2909" t="s">
        <v>29</v>
      </c>
      <c r="F2909">
        <v>2134388</v>
      </c>
      <c r="G2909">
        <v>6</v>
      </c>
      <c r="H2909">
        <v>3</v>
      </c>
      <c r="I2909">
        <v>69</v>
      </c>
      <c r="J2909">
        <v>2011</v>
      </c>
      <c r="K2909" s="4">
        <v>44227</v>
      </c>
      <c r="L2909" t="s">
        <v>26</v>
      </c>
      <c r="M2909" t="s">
        <v>59</v>
      </c>
      <c r="N2909">
        <v>2.29</v>
      </c>
      <c r="O2909">
        <v>1594</v>
      </c>
      <c r="P2909">
        <v>1.89</v>
      </c>
      <c r="Q2909">
        <v>341</v>
      </c>
      <c r="R2909">
        <v>625</v>
      </c>
    </row>
    <row r="2910" spans="1:18" hidden="1" x14ac:dyDescent="0.2">
      <c r="A2910">
        <v>9</v>
      </c>
      <c r="B2910" t="s">
        <v>91</v>
      </c>
      <c r="E2910" t="s">
        <v>51</v>
      </c>
      <c r="F2910">
        <v>1904697</v>
      </c>
      <c r="G2910">
        <v>4</v>
      </c>
      <c r="H2910">
        <v>3</v>
      </c>
      <c r="I2910">
        <v>667</v>
      </c>
      <c r="J2910">
        <v>1967</v>
      </c>
      <c r="K2910" s="4">
        <v>45339</v>
      </c>
      <c r="L2910" t="s">
        <v>20</v>
      </c>
      <c r="M2910" t="s">
        <v>68</v>
      </c>
      <c r="N2910">
        <v>2.11</v>
      </c>
      <c r="O2910">
        <v>1346</v>
      </c>
      <c r="P2910">
        <v>0.34</v>
      </c>
      <c r="Q2910">
        <v>342</v>
      </c>
      <c r="R2910">
        <v>332</v>
      </c>
    </row>
    <row r="2911" spans="1:18" hidden="1" x14ac:dyDescent="0.2">
      <c r="A2911">
        <v>4</v>
      </c>
      <c r="B2911" t="s">
        <v>55</v>
      </c>
      <c r="E2911" t="s">
        <v>19</v>
      </c>
      <c r="F2911">
        <v>853985</v>
      </c>
      <c r="G2911">
        <v>5</v>
      </c>
      <c r="H2911">
        <v>2</v>
      </c>
      <c r="I2911">
        <v>467</v>
      </c>
      <c r="J2911">
        <v>1970</v>
      </c>
      <c r="K2911" s="4">
        <v>45770</v>
      </c>
      <c r="L2911" t="s">
        <v>26</v>
      </c>
      <c r="M2911" t="s">
        <v>21</v>
      </c>
      <c r="N2911">
        <v>3.06</v>
      </c>
      <c r="O2911">
        <v>945</v>
      </c>
      <c r="P2911">
        <v>4.34</v>
      </c>
      <c r="Q2911">
        <v>389</v>
      </c>
      <c r="R2911">
        <v>562</v>
      </c>
    </row>
    <row r="2912" spans="1:18" hidden="1" x14ac:dyDescent="0.2">
      <c r="A2912">
        <v>4</v>
      </c>
      <c r="B2912" t="s">
        <v>90</v>
      </c>
      <c r="E2912" t="s">
        <v>29</v>
      </c>
      <c r="F2912">
        <v>642107</v>
      </c>
      <c r="G2912">
        <v>5</v>
      </c>
      <c r="H2912">
        <v>3</v>
      </c>
      <c r="I2912">
        <v>291</v>
      </c>
      <c r="J2912">
        <v>1983</v>
      </c>
      <c r="K2912" s="4">
        <v>44507</v>
      </c>
      <c r="L2912" t="s">
        <v>26</v>
      </c>
      <c r="M2912" t="s">
        <v>76</v>
      </c>
      <c r="N2912">
        <v>2.46</v>
      </c>
      <c r="O2912">
        <v>915</v>
      </c>
      <c r="P2912">
        <v>3.32</v>
      </c>
      <c r="Q2912">
        <v>353</v>
      </c>
      <c r="R2912">
        <v>483</v>
      </c>
    </row>
    <row r="2913" spans="1:18" hidden="1" x14ac:dyDescent="0.2">
      <c r="A2913">
        <v>2</v>
      </c>
      <c r="B2913" t="s">
        <v>98</v>
      </c>
      <c r="E2913" t="s">
        <v>19</v>
      </c>
      <c r="F2913">
        <v>2126676</v>
      </c>
      <c r="G2913">
        <v>2</v>
      </c>
      <c r="H2913">
        <v>3</v>
      </c>
      <c r="I2913">
        <v>314</v>
      </c>
      <c r="J2913">
        <v>1968</v>
      </c>
      <c r="K2913" s="4">
        <v>45442</v>
      </c>
      <c r="L2913" t="s">
        <v>26</v>
      </c>
      <c r="M2913" t="s">
        <v>70</v>
      </c>
      <c r="N2913">
        <v>3.06</v>
      </c>
      <c r="O2913">
        <v>1883</v>
      </c>
      <c r="P2913">
        <v>2.2000000000000002</v>
      </c>
      <c r="Q2913">
        <v>191</v>
      </c>
      <c r="R2913">
        <v>361</v>
      </c>
    </row>
    <row r="2914" spans="1:18" hidden="1" x14ac:dyDescent="0.2">
      <c r="A2914">
        <v>6</v>
      </c>
      <c r="B2914" t="s">
        <v>99</v>
      </c>
      <c r="E2914" t="s">
        <v>51</v>
      </c>
      <c r="F2914">
        <v>1218526</v>
      </c>
      <c r="G2914">
        <v>3</v>
      </c>
      <c r="H2914">
        <v>2</v>
      </c>
      <c r="I2914">
        <v>211</v>
      </c>
      <c r="J2914">
        <v>2000</v>
      </c>
      <c r="K2914" s="4">
        <v>45086</v>
      </c>
      <c r="L2914" t="s">
        <v>20</v>
      </c>
      <c r="M2914" t="s">
        <v>40</v>
      </c>
      <c r="N2914">
        <v>2.77</v>
      </c>
      <c r="O2914">
        <v>1586</v>
      </c>
      <c r="P2914">
        <v>0.52</v>
      </c>
      <c r="Q2914">
        <v>253</v>
      </c>
      <c r="R2914">
        <v>373</v>
      </c>
    </row>
    <row r="2915" spans="1:18" hidden="1" x14ac:dyDescent="0.2">
      <c r="A2915">
        <v>5</v>
      </c>
      <c r="B2915" t="s">
        <v>79</v>
      </c>
      <c r="E2915" t="s">
        <v>29</v>
      </c>
      <c r="F2915">
        <v>417792</v>
      </c>
      <c r="G2915">
        <v>3</v>
      </c>
      <c r="H2915">
        <v>1</v>
      </c>
      <c r="I2915">
        <v>278</v>
      </c>
      <c r="J2915">
        <v>2020</v>
      </c>
      <c r="K2915" s="4">
        <v>45253</v>
      </c>
      <c r="L2915" t="s">
        <v>30</v>
      </c>
      <c r="M2915" t="s">
        <v>52</v>
      </c>
      <c r="N2915">
        <v>3</v>
      </c>
      <c r="O2915">
        <v>1225</v>
      </c>
      <c r="P2915">
        <v>3.42</v>
      </c>
      <c r="Q2915">
        <v>134</v>
      </c>
      <c r="R2915">
        <v>487</v>
      </c>
    </row>
    <row r="2916" spans="1:18" hidden="1" x14ac:dyDescent="0.2">
      <c r="A2916">
        <v>9</v>
      </c>
      <c r="B2916" t="s">
        <v>61</v>
      </c>
      <c r="E2916" t="s">
        <v>29</v>
      </c>
      <c r="F2916">
        <v>2145859</v>
      </c>
      <c r="G2916">
        <v>1</v>
      </c>
      <c r="H2916">
        <v>1</v>
      </c>
      <c r="I2916">
        <v>204</v>
      </c>
      <c r="J2916">
        <v>1999</v>
      </c>
      <c r="K2916" s="4">
        <v>44088</v>
      </c>
      <c r="L2916" t="s">
        <v>23</v>
      </c>
      <c r="M2916" t="s">
        <v>77</v>
      </c>
      <c r="N2916">
        <v>1.98</v>
      </c>
      <c r="O2916">
        <v>1230</v>
      </c>
      <c r="P2916">
        <v>1.95</v>
      </c>
      <c r="Q2916">
        <v>41</v>
      </c>
      <c r="R2916">
        <v>441</v>
      </c>
    </row>
    <row r="2917" spans="1:18" x14ac:dyDescent="0.2">
      <c r="A2917">
        <v>8</v>
      </c>
      <c r="B2917" t="s">
        <v>49</v>
      </c>
      <c r="E2917" t="s">
        <v>19</v>
      </c>
      <c r="F2917">
        <v>2578474</v>
      </c>
      <c r="G2917">
        <v>2</v>
      </c>
      <c r="H2917">
        <v>2</v>
      </c>
      <c r="I2917">
        <v>613</v>
      </c>
      <c r="J2917">
        <v>1963</v>
      </c>
      <c r="K2917" s="4">
        <v>45375</v>
      </c>
      <c r="L2917" t="s">
        <v>26</v>
      </c>
      <c r="M2917" t="s">
        <v>85</v>
      </c>
      <c r="N2917">
        <v>2.61</v>
      </c>
      <c r="O2917">
        <v>1375</v>
      </c>
      <c r="P2917">
        <v>0.88</v>
      </c>
      <c r="Q2917">
        <v>108</v>
      </c>
      <c r="R2917">
        <v>598</v>
      </c>
    </row>
    <row r="2918" spans="1:18" hidden="1" x14ac:dyDescent="0.2">
      <c r="A2918">
        <v>4</v>
      </c>
      <c r="B2918" t="s">
        <v>79</v>
      </c>
      <c r="E2918" t="s">
        <v>51</v>
      </c>
      <c r="F2918">
        <v>1241391</v>
      </c>
      <c r="G2918">
        <v>5</v>
      </c>
      <c r="H2918">
        <v>2</v>
      </c>
      <c r="I2918">
        <v>745</v>
      </c>
      <c r="J2918">
        <v>2003</v>
      </c>
      <c r="K2918" s="4">
        <v>45305</v>
      </c>
      <c r="L2918" t="s">
        <v>20</v>
      </c>
      <c r="M2918" t="s">
        <v>63</v>
      </c>
      <c r="N2918">
        <v>2.84</v>
      </c>
      <c r="O2918">
        <v>829</v>
      </c>
      <c r="P2918">
        <v>1.75</v>
      </c>
      <c r="Q2918">
        <v>368</v>
      </c>
      <c r="R2918">
        <v>690</v>
      </c>
    </row>
    <row r="2919" spans="1:18" hidden="1" x14ac:dyDescent="0.2">
      <c r="A2919">
        <v>5</v>
      </c>
      <c r="B2919" t="s">
        <v>84</v>
      </c>
      <c r="E2919" t="s">
        <v>19</v>
      </c>
      <c r="F2919">
        <v>1839618</v>
      </c>
      <c r="G2919">
        <v>6</v>
      </c>
      <c r="H2919">
        <v>3</v>
      </c>
      <c r="I2919">
        <v>331</v>
      </c>
      <c r="J2919">
        <v>2019</v>
      </c>
      <c r="K2919" s="4">
        <v>44245</v>
      </c>
      <c r="L2919" t="s">
        <v>23</v>
      </c>
      <c r="M2919" t="s">
        <v>89</v>
      </c>
      <c r="N2919">
        <v>1.53</v>
      </c>
      <c r="O2919">
        <v>987</v>
      </c>
      <c r="P2919">
        <v>2.37</v>
      </c>
      <c r="Q2919">
        <v>358</v>
      </c>
      <c r="R2919">
        <v>597</v>
      </c>
    </row>
    <row r="2920" spans="1:18" hidden="1" x14ac:dyDescent="0.2">
      <c r="A2920">
        <v>9</v>
      </c>
      <c r="B2920" t="s">
        <v>22</v>
      </c>
      <c r="E2920" t="s">
        <v>36</v>
      </c>
      <c r="F2920">
        <v>2436319</v>
      </c>
      <c r="G2920">
        <v>2</v>
      </c>
      <c r="H2920">
        <v>3</v>
      </c>
      <c r="I2920">
        <v>0</v>
      </c>
      <c r="J2920">
        <v>1965</v>
      </c>
      <c r="K2920" s="4">
        <v>45737</v>
      </c>
      <c r="L2920" t="s">
        <v>30</v>
      </c>
      <c r="M2920" t="s">
        <v>37</v>
      </c>
      <c r="N2920">
        <v>2.36</v>
      </c>
      <c r="O2920">
        <v>984</v>
      </c>
      <c r="P2920">
        <v>0.37</v>
      </c>
      <c r="Q2920">
        <v>195</v>
      </c>
      <c r="R2920">
        <v>534</v>
      </c>
    </row>
    <row r="2921" spans="1:18" hidden="1" x14ac:dyDescent="0.2">
      <c r="A2921">
        <v>3</v>
      </c>
      <c r="B2921" t="s">
        <v>34</v>
      </c>
      <c r="E2921" t="s">
        <v>36</v>
      </c>
      <c r="F2921">
        <v>2521777</v>
      </c>
      <c r="G2921">
        <v>3</v>
      </c>
      <c r="H2921">
        <v>3</v>
      </c>
      <c r="I2921">
        <v>933</v>
      </c>
      <c r="J2921">
        <v>1974</v>
      </c>
      <c r="K2921" s="4">
        <v>45058</v>
      </c>
      <c r="L2921" t="s">
        <v>23</v>
      </c>
      <c r="M2921" t="s">
        <v>56</v>
      </c>
      <c r="N2921">
        <v>2.57</v>
      </c>
      <c r="O2921">
        <v>1225</v>
      </c>
      <c r="P2921">
        <v>4.1100000000000003</v>
      </c>
      <c r="Q2921">
        <v>152</v>
      </c>
      <c r="R2921">
        <v>357</v>
      </c>
    </row>
    <row r="2922" spans="1:18" hidden="1" x14ac:dyDescent="0.2">
      <c r="A2922">
        <v>2</v>
      </c>
      <c r="B2922" t="s">
        <v>64</v>
      </c>
      <c r="E2922" t="s">
        <v>19</v>
      </c>
      <c r="F2922">
        <v>1023055</v>
      </c>
      <c r="G2922">
        <v>6</v>
      </c>
      <c r="H2922">
        <v>2</v>
      </c>
      <c r="I2922">
        <v>998</v>
      </c>
      <c r="J2922">
        <v>2013</v>
      </c>
      <c r="K2922" s="4">
        <v>45682</v>
      </c>
      <c r="L2922" t="s">
        <v>23</v>
      </c>
      <c r="M2922" t="s">
        <v>47</v>
      </c>
      <c r="N2922">
        <v>3.49</v>
      </c>
      <c r="O2922">
        <v>2460</v>
      </c>
      <c r="P2922">
        <v>3.5</v>
      </c>
      <c r="Q2922">
        <v>359</v>
      </c>
      <c r="R2922">
        <v>329</v>
      </c>
    </row>
    <row r="2923" spans="1:18" hidden="1" x14ac:dyDescent="0.2">
      <c r="A2923">
        <v>4</v>
      </c>
      <c r="B2923" t="s">
        <v>104</v>
      </c>
      <c r="E2923" t="s">
        <v>51</v>
      </c>
      <c r="F2923">
        <v>2718744</v>
      </c>
      <c r="G2923">
        <v>2</v>
      </c>
      <c r="H2923">
        <v>3</v>
      </c>
      <c r="I2923">
        <v>580</v>
      </c>
      <c r="J2923">
        <v>1973</v>
      </c>
      <c r="K2923" s="4">
        <v>44066</v>
      </c>
      <c r="L2923" t="s">
        <v>30</v>
      </c>
      <c r="M2923" t="s">
        <v>58</v>
      </c>
      <c r="N2923">
        <v>2.73</v>
      </c>
      <c r="O2923">
        <v>1520</v>
      </c>
      <c r="P2923">
        <v>1.93</v>
      </c>
      <c r="Q2923">
        <v>156</v>
      </c>
      <c r="R2923">
        <v>686</v>
      </c>
    </row>
    <row r="2924" spans="1:18" hidden="1" x14ac:dyDescent="0.2">
      <c r="A2924">
        <v>0</v>
      </c>
      <c r="B2924" t="s">
        <v>90</v>
      </c>
      <c r="E2924" t="s">
        <v>29</v>
      </c>
      <c r="F2924">
        <v>1007715</v>
      </c>
      <c r="G2924">
        <v>1</v>
      </c>
      <c r="H2924">
        <v>2</v>
      </c>
      <c r="I2924">
        <v>664</v>
      </c>
      <c r="J2924">
        <v>2009</v>
      </c>
      <c r="K2924" s="4">
        <v>44876</v>
      </c>
      <c r="L2924" t="s">
        <v>20</v>
      </c>
      <c r="M2924" t="s">
        <v>35</v>
      </c>
      <c r="N2924">
        <v>1.95</v>
      </c>
      <c r="O2924">
        <v>1674</v>
      </c>
      <c r="P2924">
        <v>4.08</v>
      </c>
      <c r="Q2924">
        <v>151</v>
      </c>
      <c r="R2924">
        <v>631</v>
      </c>
    </row>
    <row r="2925" spans="1:18" hidden="1" x14ac:dyDescent="0.2">
      <c r="A2925">
        <v>4</v>
      </c>
      <c r="B2925" t="s">
        <v>62</v>
      </c>
      <c r="E2925" t="s">
        <v>29</v>
      </c>
      <c r="F2925">
        <v>1327723</v>
      </c>
      <c r="G2925">
        <v>1</v>
      </c>
      <c r="H2925">
        <v>3</v>
      </c>
      <c r="I2925">
        <v>777</v>
      </c>
      <c r="J2925">
        <v>1975</v>
      </c>
      <c r="K2925" s="4">
        <v>45254</v>
      </c>
      <c r="L2925" t="s">
        <v>26</v>
      </c>
      <c r="M2925" t="s">
        <v>70</v>
      </c>
      <c r="N2925">
        <v>2.6</v>
      </c>
      <c r="O2925">
        <v>1118</v>
      </c>
      <c r="P2925">
        <v>4.6900000000000004</v>
      </c>
      <c r="Q2925">
        <v>95</v>
      </c>
      <c r="R2925">
        <v>481</v>
      </c>
    </row>
    <row r="2926" spans="1:18" hidden="1" x14ac:dyDescent="0.2">
      <c r="A2926">
        <v>2</v>
      </c>
      <c r="B2926" t="s">
        <v>50</v>
      </c>
      <c r="E2926" t="s">
        <v>51</v>
      </c>
      <c r="F2926">
        <v>2805809</v>
      </c>
      <c r="G2926">
        <v>2</v>
      </c>
      <c r="H2926">
        <v>3</v>
      </c>
      <c r="I2926">
        <v>563</v>
      </c>
      <c r="J2926">
        <v>2021</v>
      </c>
      <c r="K2926" s="4">
        <v>45849</v>
      </c>
      <c r="L2926" t="s">
        <v>20</v>
      </c>
      <c r="M2926" t="s">
        <v>40</v>
      </c>
      <c r="N2926">
        <v>2.91</v>
      </c>
      <c r="O2926">
        <v>2214</v>
      </c>
      <c r="P2926">
        <v>0.16</v>
      </c>
      <c r="Q2926">
        <v>210</v>
      </c>
      <c r="R2926">
        <v>359</v>
      </c>
    </row>
    <row r="2927" spans="1:18" hidden="1" x14ac:dyDescent="0.2">
      <c r="A2927">
        <v>9</v>
      </c>
      <c r="B2927" t="s">
        <v>64</v>
      </c>
      <c r="E2927" t="s">
        <v>19</v>
      </c>
      <c r="F2927">
        <v>2377951</v>
      </c>
      <c r="G2927">
        <v>1</v>
      </c>
      <c r="H2927">
        <v>2</v>
      </c>
      <c r="I2927">
        <v>133</v>
      </c>
      <c r="J2927">
        <v>1979</v>
      </c>
      <c r="K2927" s="4">
        <v>44101</v>
      </c>
      <c r="L2927" t="s">
        <v>20</v>
      </c>
      <c r="M2927" t="s">
        <v>70</v>
      </c>
      <c r="N2927">
        <v>2.66</v>
      </c>
      <c r="O2927">
        <v>1996</v>
      </c>
      <c r="P2927">
        <v>4.22</v>
      </c>
      <c r="Q2927">
        <v>71</v>
      </c>
      <c r="R2927">
        <v>453</v>
      </c>
    </row>
    <row r="2928" spans="1:18" hidden="1" x14ac:dyDescent="0.2">
      <c r="A2928">
        <v>7</v>
      </c>
      <c r="B2928" t="s">
        <v>48</v>
      </c>
      <c r="E2928" t="s">
        <v>36</v>
      </c>
      <c r="F2928">
        <v>1242533</v>
      </c>
      <c r="G2928">
        <v>5</v>
      </c>
      <c r="H2928">
        <v>1</v>
      </c>
      <c r="I2928">
        <v>270</v>
      </c>
      <c r="J2928">
        <v>2021</v>
      </c>
      <c r="K2928" s="4">
        <v>45382</v>
      </c>
      <c r="L2928" t="s">
        <v>20</v>
      </c>
      <c r="M2928" t="s">
        <v>27</v>
      </c>
      <c r="N2928">
        <v>3.39</v>
      </c>
      <c r="O2928">
        <v>1034</v>
      </c>
      <c r="P2928">
        <v>4.88</v>
      </c>
      <c r="Q2928">
        <v>248</v>
      </c>
      <c r="R2928">
        <v>535</v>
      </c>
    </row>
    <row r="2929" spans="1:18" hidden="1" x14ac:dyDescent="0.2">
      <c r="A2929">
        <v>0</v>
      </c>
      <c r="B2929" t="s">
        <v>92</v>
      </c>
      <c r="E2929" t="s">
        <v>19</v>
      </c>
      <c r="F2929">
        <v>1070285</v>
      </c>
      <c r="G2929">
        <v>3</v>
      </c>
      <c r="H2929">
        <v>3</v>
      </c>
      <c r="I2929">
        <v>764</v>
      </c>
      <c r="J2929">
        <v>1977</v>
      </c>
      <c r="K2929" s="4">
        <v>44382</v>
      </c>
      <c r="L2929" t="s">
        <v>23</v>
      </c>
      <c r="M2929" t="s">
        <v>59</v>
      </c>
      <c r="N2929">
        <v>3.37</v>
      </c>
      <c r="O2929">
        <v>1143</v>
      </c>
      <c r="P2929">
        <v>4.4000000000000004</v>
      </c>
      <c r="Q2929">
        <v>136</v>
      </c>
      <c r="R2929">
        <v>331</v>
      </c>
    </row>
    <row r="2930" spans="1:18" hidden="1" x14ac:dyDescent="0.2">
      <c r="A2930">
        <v>7</v>
      </c>
      <c r="B2930" t="s">
        <v>100</v>
      </c>
      <c r="E2930" t="s">
        <v>36</v>
      </c>
      <c r="F2930">
        <v>538167</v>
      </c>
      <c r="G2930">
        <v>6</v>
      </c>
      <c r="H2930">
        <v>2</v>
      </c>
      <c r="I2930">
        <v>177</v>
      </c>
      <c r="J2930">
        <v>1970</v>
      </c>
      <c r="K2930" s="4">
        <v>44465</v>
      </c>
      <c r="L2930" t="s">
        <v>20</v>
      </c>
      <c r="M2930" t="s">
        <v>47</v>
      </c>
      <c r="N2930">
        <v>3.02</v>
      </c>
      <c r="O2930">
        <v>2006</v>
      </c>
      <c r="P2930">
        <v>0.61</v>
      </c>
      <c r="Q2930">
        <v>388</v>
      </c>
      <c r="R2930">
        <v>654</v>
      </c>
    </row>
    <row r="2931" spans="1:18" hidden="1" x14ac:dyDescent="0.2">
      <c r="A2931">
        <v>6</v>
      </c>
      <c r="B2931" t="s">
        <v>104</v>
      </c>
      <c r="E2931" t="s">
        <v>19</v>
      </c>
      <c r="F2931">
        <v>2904862</v>
      </c>
      <c r="G2931">
        <v>4</v>
      </c>
      <c r="H2931">
        <v>1</v>
      </c>
      <c r="I2931">
        <v>958</v>
      </c>
      <c r="J2931">
        <v>1984</v>
      </c>
      <c r="K2931" s="4">
        <v>44299</v>
      </c>
      <c r="L2931" t="s">
        <v>23</v>
      </c>
      <c r="M2931" t="s">
        <v>27</v>
      </c>
      <c r="N2931">
        <v>1.8</v>
      </c>
      <c r="O2931">
        <v>1642</v>
      </c>
      <c r="P2931">
        <v>1.77</v>
      </c>
      <c r="Q2931">
        <v>184</v>
      </c>
      <c r="R2931">
        <v>462</v>
      </c>
    </row>
    <row r="2932" spans="1:18" hidden="1" x14ac:dyDescent="0.2">
      <c r="A2932">
        <v>5</v>
      </c>
      <c r="B2932" t="s">
        <v>105</v>
      </c>
      <c r="E2932" t="s">
        <v>51</v>
      </c>
      <c r="F2932">
        <v>2161793</v>
      </c>
      <c r="G2932">
        <v>4</v>
      </c>
      <c r="H2932">
        <v>1</v>
      </c>
      <c r="I2932">
        <v>312</v>
      </c>
      <c r="J2932">
        <v>1961</v>
      </c>
      <c r="K2932" s="4">
        <v>44108</v>
      </c>
      <c r="L2932" t="s">
        <v>26</v>
      </c>
      <c r="M2932" t="s">
        <v>63</v>
      </c>
      <c r="N2932">
        <v>2.4500000000000002</v>
      </c>
      <c r="O2932">
        <v>1462</v>
      </c>
      <c r="P2932">
        <v>2.79</v>
      </c>
      <c r="Q2932">
        <v>244</v>
      </c>
      <c r="R2932">
        <v>534</v>
      </c>
    </row>
    <row r="2933" spans="1:18" hidden="1" x14ac:dyDescent="0.2">
      <c r="A2933">
        <v>9</v>
      </c>
      <c r="B2933" t="s">
        <v>38</v>
      </c>
      <c r="E2933" t="s">
        <v>19</v>
      </c>
      <c r="F2933">
        <v>1204104</v>
      </c>
      <c r="G2933">
        <v>4</v>
      </c>
      <c r="H2933">
        <v>3</v>
      </c>
      <c r="I2933">
        <v>857</v>
      </c>
      <c r="J2933">
        <v>1978</v>
      </c>
      <c r="K2933" s="4">
        <v>44457</v>
      </c>
      <c r="L2933" t="s">
        <v>23</v>
      </c>
      <c r="M2933" t="s">
        <v>74</v>
      </c>
      <c r="N2933">
        <v>1.72</v>
      </c>
      <c r="O2933">
        <v>1806</v>
      </c>
      <c r="P2933">
        <v>4.18</v>
      </c>
      <c r="Q2933">
        <v>348</v>
      </c>
      <c r="R2933">
        <v>433</v>
      </c>
    </row>
    <row r="2934" spans="1:18" hidden="1" x14ac:dyDescent="0.2">
      <c r="A2934">
        <v>7</v>
      </c>
      <c r="B2934" t="s">
        <v>50</v>
      </c>
      <c r="E2934" t="s">
        <v>29</v>
      </c>
      <c r="F2934">
        <v>1285907</v>
      </c>
      <c r="G2934">
        <v>2</v>
      </c>
      <c r="H2934">
        <v>2</v>
      </c>
      <c r="I2934">
        <v>164</v>
      </c>
      <c r="J2934">
        <v>1984</v>
      </c>
      <c r="K2934" s="4">
        <v>44986</v>
      </c>
      <c r="L2934" t="s">
        <v>23</v>
      </c>
      <c r="M2934" t="s">
        <v>27</v>
      </c>
      <c r="N2934">
        <v>3.43</v>
      </c>
      <c r="O2934">
        <v>2080</v>
      </c>
      <c r="P2934">
        <v>1.36</v>
      </c>
      <c r="Q2934">
        <v>47</v>
      </c>
      <c r="R2934">
        <v>569</v>
      </c>
    </row>
    <row r="2935" spans="1:18" hidden="1" x14ac:dyDescent="0.2">
      <c r="A2935">
        <v>6</v>
      </c>
      <c r="B2935" t="s">
        <v>92</v>
      </c>
      <c r="E2935" t="s">
        <v>29</v>
      </c>
      <c r="F2935">
        <v>1750096</v>
      </c>
      <c r="G2935">
        <v>2</v>
      </c>
      <c r="H2935">
        <v>2</v>
      </c>
      <c r="I2935">
        <v>437</v>
      </c>
      <c r="J2935">
        <v>2022</v>
      </c>
      <c r="K2935" s="4">
        <v>44756</v>
      </c>
      <c r="L2935" t="s">
        <v>30</v>
      </c>
      <c r="M2935" t="s">
        <v>35</v>
      </c>
      <c r="N2935">
        <v>2.17</v>
      </c>
      <c r="O2935">
        <v>2487</v>
      </c>
      <c r="P2935">
        <v>2.52</v>
      </c>
      <c r="Q2935">
        <v>165</v>
      </c>
      <c r="R2935">
        <v>593</v>
      </c>
    </row>
    <row r="2936" spans="1:18" hidden="1" x14ac:dyDescent="0.2">
      <c r="A2936">
        <v>1</v>
      </c>
      <c r="B2936" t="s">
        <v>44</v>
      </c>
      <c r="E2936" t="s">
        <v>19</v>
      </c>
      <c r="F2936">
        <v>511597</v>
      </c>
      <c r="G2936">
        <v>3</v>
      </c>
      <c r="H2936">
        <v>2</v>
      </c>
      <c r="I2936">
        <v>65</v>
      </c>
      <c r="J2936">
        <v>1994</v>
      </c>
      <c r="K2936" s="4">
        <v>44266</v>
      </c>
      <c r="L2936" t="s">
        <v>30</v>
      </c>
      <c r="M2936" t="s">
        <v>59</v>
      </c>
      <c r="N2936">
        <v>3.29</v>
      </c>
      <c r="O2936">
        <v>1181</v>
      </c>
      <c r="P2936">
        <v>4.2699999999999996</v>
      </c>
      <c r="Q2936">
        <v>103</v>
      </c>
      <c r="R2936">
        <v>462</v>
      </c>
    </row>
    <row r="2937" spans="1:18" hidden="1" x14ac:dyDescent="0.2">
      <c r="A2937">
        <v>5</v>
      </c>
      <c r="B2937" t="s">
        <v>93</v>
      </c>
      <c r="E2937" t="s">
        <v>29</v>
      </c>
      <c r="F2937">
        <v>826594</v>
      </c>
      <c r="G2937">
        <v>3</v>
      </c>
      <c r="H2937">
        <v>1</v>
      </c>
      <c r="I2937">
        <v>564</v>
      </c>
      <c r="J2937">
        <v>1963</v>
      </c>
      <c r="K2937" s="4">
        <v>44885</v>
      </c>
      <c r="L2937" t="s">
        <v>23</v>
      </c>
      <c r="M2937" t="s">
        <v>42</v>
      </c>
      <c r="N2937">
        <v>2.36</v>
      </c>
      <c r="O2937">
        <v>1420</v>
      </c>
      <c r="P2937">
        <v>1.66</v>
      </c>
      <c r="Q2937">
        <v>293</v>
      </c>
      <c r="R2937">
        <v>685</v>
      </c>
    </row>
    <row r="2938" spans="1:18" hidden="1" x14ac:dyDescent="0.2">
      <c r="A2938">
        <v>5</v>
      </c>
      <c r="B2938" t="s">
        <v>87</v>
      </c>
      <c r="E2938" t="s">
        <v>19</v>
      </c>
      <c r="F2938">
        <v>1998449</v>
      </c>
      <c r="G2938">
        <v>1</v>
      </c>
      <c r="H2938">
        <v>3</v>
      </c>
      <c r="I2938">
        <v>911</v>
      </c>
      <c r="J2938">
        <v>1978</v>
      </c>
      <c r="K2938" s="4">
        <v>44203</v>
      </c>
      <c r="L2938" t="s">
        <v>20</v>
      </c>
      <c r="M2938" t="s">
        <v>85</v>
      </c>
      <c r="N2938">
        <v>1.74</v>
      </c>
      <c r="O2938">
        <v>1612</v>
      </c>
      <c r="P2938">
        <v>3.99</v>
      </c>
      <c r="Q2938">
        <v>71</v>
      </c>
      <c r="R2938">
        <v>667</v>
      </c>
    </row>
    <row r="2939" spans="1:18" hidden="1" x14ac:dyDescent="0.2">
      <c r="A2939">
        <v>4</v>
      </c>
      <c r="B2939" t="s">
        <v>46</v>
      </c>
      <c r="E2939" t="s">
        <v>36</v>
      </c>
      <c r="F2939">
        <v>2433010</v>
      </c>
      <c r="G2939">
        <v>2</v>
      </c>
      <c r="H2939">
        <v>3</v>
      </c>
      <c r="I2939">
        <v>646</v>
      </c>
      <c r="J2939">
        <v>2001</v>
      </c>
      <c r="K2939" s="4">
        <v>44781</v>
      </c>
      <c r="L2939" t="s">
        <v>20</v>
      </c>
      <c r="M2939" t="s">
        <v>59</v>
      </c>
      <c r="N2939">
        <v>1.73</v>
      </c>
      <c r="O2939">
        <v>862</v>
      </c>
      <c r="P2939">
        <v>1.56</v>
      </c>
      <c r="Q2939">
        <v>64</v>
      </c>
      <c r="R2939">
        <v>546</v>
      </c>
    </row>
    <row r="2940" spans="1:18" hidden="1" x14ac:dyDescent="0.2">
      <c r="A2940">
        <v>7</v>
      </c>
      <c r="B2940" t="s">
        <v>43</v>
      </c>
      <c r="E2940" t="s">
        <v>51</v>
      </c>
      <c r="F2940">
        <v>2992323</v>
      </c>
      <c r="G2940">
        <v>4</v>
      </c>
      <c r="H2940">
        <v>2</v>
      </c>
      <c r="I2940">
        <v>59</v>
      </c>
      <c r="J2940">
        <v>2014</v>
      </c>
      <c r="K2940" s="4">
        <v>45580</v>
      </c>
      <c r="L2940" t="s">
        <v>30</v>
      </c>
      <c r="M2940" t="s">
        <v>12</v>
      </c>
      <c r="N2940">
        <v>1.91</v>
      </c>
      <c r="O2940">
        <v>2188</v>
      </c>
      <c r="P2940">
        <v>0.3</v>
      </c>
      <c r="Q2940">
        <v>231</v>
      </c>
      <c r="R2940">
        <v>426</v>
      </c>
    </row>
    <row r="2941" spans="1:18" hidden="1" x14ac:dyDescent="0.2">
      <c r="A2941">
        <v>1</v>
      </c>
      <c r="B2941" t="s">
        <v>62</v>
      </c>
      <c r="E2941" t="s">
        <v>51</v>
      </c>
      <c r="F2941">
        <v>2065707</v>
      </c>
      <c r="G2941">
        <v>2</v>
      </c>
      <c r="H2941">
        <v>1</v>
      </c>
      <c r="I2941">
        <v>443</v>
      </c>
      <c r="J2941">
        <v>1988</v>
      </c>
      <c r="K2941" s="4">
        <v>45221</v>
      </c>
      <c r="L2941" t="s">
        <v>23</v>
      </c>
      <c r="M2941" t="s">
        <v>54</v>
      </c>
      <c r="N2941">
        <v>2.52</v>
      </c>
      <c r="O2941">
        <v>1918</v>
      </c>
      <c r="P2941">
        <v>4.7</v>
      </c>
      <c r="Q2941">
        <v>214</v>
      </c>
      <c r="R2941">
        <v>345</v>
      </c>
    </row>
    <row r="2942" spans="1:18" hidden="1" x14ac:dyDescent="0.2">
      <c r="A2942">
        <v>4</v>
      </c>
      <c r="B2942" t="s">
        <v>102</v>
      </c>
      <c r="E2942" t="s">
        <v>51</v>
      </c>
      <c r="F2942">
        <v>2804205</v>
      </c>
      <c r="G2942">
        <v>4</v>
      </c>
      <c r="H2942">
        <v>2</v>
      </c>
      <c r="I2942">
        <v>906</v>
      </c>
      <c r="J2942">
        <v>1964</v>
      </c>
      <c r="K2942" s="4">
        <v>44314</v>
      </c>
      <c r="L2942" t="s">
        <v>20</v>
      </c>
      <c r="M2942" t="s">
        <v>78</v>
      </c>
      <c r="N2942">
        <v>2.83</v>
      </c>
      <c r="O2942">
        <v>1748</v>
      </c>
      <c r="P2942">
        <v>1.3</v>
      </c>
      <c r="Q2942">
        <v>301</v>
      </c>
      <c r="R2942">
        <v>632</v>
      </c>
    </row>
    <row r="2943" spans="1:18" hidden="1" x14ac:dyDescent="0.2">
      <c r="A2943">
        <v>2</v>
      </c>
      <c r="B2943" t="s">
        <v>18</v>
      </c>
      <c r="E2943" t="s">
        <v>29</v>
      </c>
      <c r="F2943">
        <v>2284816</v>
      </c>
      <c r="G2943">
        <v>4</v>
      </c>
      <c r="H2943">
        <v>1</v>
      </c>
      <c r="I2943">
        <v>582</v>
      </c>
      <c r="J2943">
        <v>1952</v>
      </c>
      <c r="K2943" s="4">
        <v>44332</v>
      </c>
      <c r="L2943" t="s">
        <v>20</v>
      </c>
      <c r="M2943" t="s">
        <v>33</v>
      </c>
      <c r="N2943">
        <v>2.29</v>
      </c>
      <c r="O2943">
        <v>1133</v>
      </c>
      <c r="P2943">
        <v>0.27</v>
      </c>
      <c r="Q2943">
        <v>227</v>
      </c>
      <c r="R2943">
        <v>587</v>
      </c>
    </row>
    <row r="2944" spans="1:18" hidden="1" x14ac:dyDescent="0.2">
      <c r="A2944">
        <v>9</v>
      </c>
      <c r="B2944" t="s">
        <v>75</v>
      </c>
      <c r="E2944" t="s">
        <v>51</v>
      </c>
      <c r="F2944">
        <v>2473689</v>
      </c>
      <c r="G2944">
        <v>5</v>
      </c>
      <c r="H2944">
        <v>1</v>
      </c>
      <c r="I2944">
        <v>708</v>
      </c>
      <c r="J2944">
        <v>2008</v>
      </c>
      <c r="K2944" s="4">
        <v>45275</v>
      </c>
      <c r="L2944" t="s">
        <v>26</v>
      </c>
      <c r="M2944" t="s">
        <v>37</v>
      </c>
      <c r="N2944">
        <v>2.4300000000000002</v>
      </c>
      <c r="O2944">
        <v>1424</v>
      </c>
      <c r="P2944">
        <v>2.34</v>
      </c>
      <c r="Q2944">
        <v>311</v>
      </c>
      <c r="R2944">
        <v>442</v>
      </c>
    </row>
    <row r="2945" spans="1:18" hidden="1" x14ac:dyDescent="0.2">
      <c r="A2945">
        <v>9</v>
      </c>
      <c r="B2945" t="s">
        <v>34</v>
      </c>
      <c r="E2945" t="s">
        <v>29</v>
      </c>
      <c r="F2945">
        <v>1920219</v>
      </c>
      <c r="G2945">
        <v>5</v>
      </c>
      <c r="H2945">
        <v>2</v>
      </c>
      <c r="I2945">
        <v>72</v>
      </c>
      <c r="J2945">
        <v>1962</v>
      </c>
      <c r="K2945" s="4">
        <v>44260</v>
      </c>
      <c r="L2945" t="s">
        <v>20</v>
      </c>
      <c r="M2945" t="s">
        <v>70</v>
      </c>
      <c r="N2945">
        <v>1.95</v>
      </c>
      <c r="O2945">
        <v>1234</v>
      </c>
      <c r="P2945">
        <v>1.56</v>
      </c>
      <c r="Q2945">
        <v>380</v>
      </c>
      <c r="R2945">
        <v>474</v>
      </c>
    </row>
    <row r="2946" spans="1:18" hidden="1" x14ac:dyDescent="0.2">
      <c r="A2946">
        <v>1</v>
      </c>
      <c r="B2946" t="s">
        <v>53</v>
      </c>
      <c r="E2946" t="s">
        <v>51</v>
      </c>
      <c r="F2946">
        <v>1790250</v>
      </c>
      <c r="G2946">
        <v>2</v>
      </c>
      <c r="H2946">
        <v>3</v>
      </c>
      <c r="I2946">
        <v>65</v>
      </c>
      <c r="J2946">
        <v>1990</v>
      </c>
      <c r="K2946" s="4">
        <v>44653</v>
      </c>
      <c r="L2946" t="s">
        <v>30</v>
      </c>
      <c r="M2946" t="s">
        <v>24</v>
      </c>
      <c r="N2946">
        <v>1.92</v>
      </c>
      <c r="O2946">
        <v>2258</v>
      </c>
      <c r="P2946">
        <v>2.34</v>
      </c>
      <c r="Q2946">
        <v>88</v>
      </c>
      <c r="R2946">
        <v>369</v>
      </c>
    </row>
    <row r="2947" spans="1:18" hidden="1" x14ac:dyDescent="0.2">
      <c r="A2947">
        <v>7</v>
      </c>
      <c r="B2947" t="s">
        <v>39</v>
      </c>
      <c r="E2947" t="s">
        <v>51</v>
      </c>
      <c r="F2947">
        <v>2186289</v>
      </c>
      <c r="G2947">
        <v>2</v>
      </c>
      <c r="H2947">
        <v>1</v>
      </c>
      <c r="I2947">
        <v>633</v>
      </c>
      <c r="J2947">
        <v>1991</v>
      </c>
      <c r="K2947" s="4">
        <v>44490</v>
      </c>
      <c r="L2947" t="s">
        <v>20</v>
      </c>
      <c r="M2947" t="s">
        <v>56</v>
      </c>
      <c r="N2947">
        <v>2.2599999999999998</v>
      </c>
      <c r="O2947">
        <v>1715</v>
      </c>
      <c r="P2947">
        <v>4.8</v>
      </c>
      <c r="Q2947">
        <v>46</v>
      </c>
      <c r="R2947">
        <v>643</v>
      </c>
    </row>
    <row r="2948" spans="1:18" hidden="1" x14ac:dyDescent="0.2">
      <c r="A2948">
        <v>6</v>
      </c>
      <c r="B2948" t="s">
        <v>34</v>
      </c>
      <c r="E2948" t="s">
        <v>51</v>
      </c>
      <c r="F2948">
        <v>2182172</v>
      </c>
      <c r="G2948">
        <v>0</v>
      </c>
      <c r="H2948">
        <v>1</v>
      </c>
      <c r="I2948">
        <v>445</v>
      </c>
      <c r="J2948">
        <v>1974</v>
      </c>
      <c r="K2948" s="4">
        <v>44129</v>
      </c>
      <c r="L2948" t="s">
        <v>20</v>
      </c>
      <c r="M2948" t="s">
        <v>40</v>
      </c>
      <c r="N2948">
        <v>3.09</v>
      </c>
      <c r="O2948">
        <v>2393</v>
      </c>
      <c r="P2948">
        <v>1.24</v>
      </c>
      <c r="Q2948">
        <v>78</v>
      </c>
      <c r="R2948">
        <v>665</v>
      </c>
    </row>
    <row r="2949" spans="1:18" hidden="1" x14ac:dyDescent="0.2">
      <c r="A2949">
        <v>0</v>
      </c>
      <c r="B2949" t="s">
        <v>81</v>
      </c>
      <c r="E2949" t="s">
        <v>19</v>
      </c>
      <c r="F2949">
        <v>2678467</v>
      </c>
      <c r="G2949">
        <v>3</v>
      </c>
      <c r="H2949">
        <v>3</v>
      </c>
      <c r="I2949">
        <v>712</v>
      </c>
      <c r="J2949">
        <v>1986</v>
      </c>
      <c r="K2949" s="4">
        <v>44154</v>
      </c>
      <c r="L2949" t="s">
        <v>30</v>
      </c>
      <c r="M2949" t="s">
        <v>69</v>
      </c>
      <c r="N2949">
        <v>3.35</v>
      </c>
      <c r="O2949">
        <v>824</v>
      </c>
      <c r="P2949">
        <v>2.39</v>
      </c>
      <c r="Q2949">
        <v>126</v>
      </c>
      <c r="R2949">
        <v>470</v>
      </c>
    </row>
    <row r="2950" spans="1:18" hidden="1" x14ac:dyDescent="0.2">
      <c r="A2950">
        <v>1</v>
      </c>
      <c r="B2950" t="s">
        <v>90</v>
      </c>
      <c r="E2950" t="s">
        <v>29</v>
      </c>
      <c r="F2950">
        <v>2165352</v>
      </c>
      <c r="G2950">
        <v>2</v>
      </c>
      <c r="H2950">
        <v>2</v>
      </c>
      <c r="I2950">
        <v>396</v>
      </c>
      <c r="J2950">
        <v>2017</v>
      </c>
      <c r="K2950" s="4">
        <v>44470</v>
      </c>
      <c r="L2950" t="s">
        <v>20</v>
      </c>
      <c r="M2950" t="s">
        <v>21</v>
      </c>
      <c r="N2950">
        <v>2.2999999999999998</v>
      </c>
      <c r="O2950">
        <v>2291</v>
      </c>
      <c r="P2950">
        <v>1.53</v>
      </c>
      <c r="Q2950">
        <v>141</v>
      </c>
      <c r="R2950">
        <v>506</v>
      </c>
    </row>
    <row r="2951" spans="1:18" x14ac:dyDescent="0.2">
      <c r="A2951">
        <v>8</v>
      </c>
      <c r="B2951" t="s">
        <v>94</v>
      </c>
      <c r="E2951" t="s">
        <v>29</v>
      </c>
      <c r="F2951">
        <v>751690</v>
      </c>
      <c r="G2951">
        <v>4</v>
      </c>
      <c r="H2951">
        <v>1</v>
      </c>
      <c r="I2951">
        <v>257</v>
      </c>
      <c r="J2951">
        <v>1974</v>
      </c>
      <c r="K2951" s="4">
        <v>45590</v>
      </c>
      <c r="L2951" t="s">
        <v>26</v>
      </c>
      <c r="M2951" t="s">
        <v>70</v>
      </c>
      <c r="N2951">
        <v>2.91</v>
      </c>
      <c r="O2951">
        <v>1951</v>
      </c>
      <c r="P2951">
        <v>0.4</v>
      </c>
      <c r="Q2951">
        <v>396</v>
      </c>
      <c r="R2951">
        <v>607</v>
      </c>
    </row>
    <row r="2952" spans="1:18" hidden="1" x14ac:dyDescent="0.2">
      <c r="A2952">
        <v>3</v>
      </c>
      <c r="B2952" t="s">
        <v>39</v>
      </c>
      <c r="E2952" t="s">
        <v>36</v>
      </c>
      <c r="F2952">
        <v>1785854</v>
      </c>
      <c r="G2952">
        <v>3</v>
      </c>
      <c r="H2952">
        <v>3</v>
      </c>
      <c r="I2952">
        <v>595</v>
      </c>
      <c r="J2952">
        <v>1986</v>
      </c>
      <c r="K2952" s="4">
        <v>45534</v>
      </c>
      <c r="L2952" t="s">
        <v>30</v>
      </c>
      <c r="M2952" t="s">
        <v>60</v>
      </c>
      <c r="N2952">
        <v>2.17</v>
      </c>
      <c r="O2952">
        <v>1351</v>
      </c>
      <c r="P2952">
        <v>1.06</v>
      </c>
      <c r="Q2952">
        <v>239</v>
      </c>
      <c r="R2952">
        <v>325</v>
      </c>
    </row>
    <row r="2953" spans="1:18" hidden="1" x14ac:dyDescent="0.2">
      <c r="A2953">
        <v>9</v>
      </c>
      <c r="B2953" t="s">
        <v>61</v>
      </c>
      <c r="E2953" t="s">
        <v>29</v>
      </c>
      <c r="F2953">
        <v>417650</v>
      </c>
      <c r="G2953">
        <v>0</v>
      </c>
      <c r="H2953">
        <v>2</v>
      </c>
      <c r="I2953">
        <v>869</v>
      </c>
      <c r="J2953">
        <v>1958</v>
      </c>
      <c r="K2953" s="4">
        <v>44981</v>
      </c>
      <c r="L2953" t="s">
        <v>20</v>
      </c>
      <c r="M2953" t="s">
        <v>54</v>
      </c>
      <c r="N2953">
        <v>2.11</v>
      </c>
      <c r="O2953">
        <v>1785</v>
      </c>
      <c r="P2953">
        <v>2.2999999999999998</v>
      </c>
      <c r="Q2953">
        <v>63</v>
      </c>
      <c r="R2953">
        <v>645</v>
      </c>
    </row>
    <row r="2954" spans="1:18" hidden="1" x14ac:dyDescent="0.2">
      <c r="A2954">
        <v>9</v>
      </c>
      <c r="B2954" t="s">
        <v>96</v>
      </c>
      <c r="E2954" t="s">
        <v>51</v>
      </c>
      <c r="F2954">
        <v>2280575</v>
      </c>
      <c r="G2954">
        <v>4</v>
      </c>
      <c r="H2954">
        <v>3</v>
      </c>
      <c r="I2954">
        <v>930</v>
      </c>
      <c r="J2954">
        <v>1955</v>
      </c>
      <c r="K2954" s="4">
        <v>44999</v>
      </c>
      <c r="L2954" t="s">
        <v>23</v>
      </c>
      <c r="M2954" t="s">
        <v>24</v>
      </c>
      <c r="N2954">
        <v>3.12</v>
      </c>
      <c r="O2954">
        <v>1433</v>
      </c>
      <c r="P2954">
        <v>2.35</v>
      </c>
      <c r="Q2954">
        <v>293</v>
      </c>
      <c r="R2954">
        <v>368</v>
      </c>
    </row>
    <row r="2955" spans="1:18" hidden="1" x14ac:dyDescent="0.2">
      <c r="A2955">
        <v>2</v>
      </c>
      <c r="B2955" t="s">
        <v>83</v>
      </c>
      <c r="E2955" t="s">
        <v>51</v>
      </c>
      <c r="F2955">
        <v>1284925</v>
      </c>
      <c r="G2955">
        <v>1</v>
      </c>
      <c r="H2955">
        <v>3</v>
      </c>
      <c r="I2955">
        <v>886</v>
      </c>
      <c r="J2955">
        <v>1956</v>
      </c>
      <c r="K2955" s="4">
        <v>44520</v>
      </c>
      <c r="L2955" t="s">
        <v>23</v>
      </c>
      <c r="M2955" t="s">
        <v>85</v>
      </c>
      <c r="N2955">
        <v>1.64</v>
      </c>
      <c r="O2955">
        <v>2051</v>
      </c>
      <c r="P2955">
        <v>0.87</v>
      </c>
      <c r="Q2955">
        <v>43</v>
      </c>
      <c r="R2955">
        <v>561</v>
      </c>
    </row>
    <row r="2956" spans="1:18" hidden="1" x14ac:dyDescent="0.2">
      <c r="A2956">
        <v>2</v>
      </c>
      <c r="B2956" t="s">
        <v>94</v>
      </c>
      <c r="E2956" t="s">
        <v>19</v>
      </c>
      <c r="F2956">
        <v>567058</v>
      </c>
      <c r="G2956">
        <v>4</v>
      </c>
      <c r="H2956">
        <v>2</v>
      </c>
      <c r="I2956">
        <v>547</v>
      </c>
      <c r="J2956">
        <v>2026</v>
      </c>
      <c r="K2956" s="4">
        <v>45759</v>
      </c>
      <c r="L2956" t="s">
        <v>23</v>
      </c>
      <c r="M2956" t="s">
        <v>33</v>
      </c>
      <c r="N2956">
        <v>2.33</v>
      </c>
      <c r="O2956">
        <v>1524</v>
      </c>
      <c r="P2956">
        <v>1.4</v>
      </c>
      <c r="Q2956">
        <v>211</v>
      </c>
      <c r="R2956">
        <v>551</v>
      </c>
    </row>
    <row r="2957" spans="1:18" hidden="1" x14ac:dyDescent="0.2">
      <c r="A2957">
        <v>5</v>
      </c>
      <c r="B2957" t="s">
        <v>48</v>
      </c>
      <c r="E2957" t="s">
        <v>29</v>
      </c>
      <c r="F2957">
        <v>418871</v>
      </c>
      <c r="G2957">
        <v>4</v>
      </c>
      <c r="H2957">
        <v>3</v>
      </c>
      <c r="I2957">
        <v>186</v>
      </c>
      <c r="J2957">
        <v>2007</v>
      </c>
      <c r="K2957" s="4">
        <v>45224</v>
      </c>
      <c r="L2957" t="s">
        <v>30</v>
      </c>
      <c r="M2957" t="s">
        <v>85</v>
      </c>
      <c r="N2957">
        <v>2.84</v>
      </c>
      <c r="O2957">
        <v>2399</v>
      </c>
      <c r="P2957">
        <v>3.08</v>
      </c>
      <c r="Q2957">
        <v>250</v>
      </c>
      <c r="R2957">
        <v>370</v>
      </c>
    </row>
    <row r="2958" spans="1:18" hidden="1" x14ac:dyDescent="0.2">
      <c r="A2958">
        <v>4</v>
      </c>
      <c r="B2958" t="s">
        <v>55</v>
      </c>
      <c r="E2958" t="s">
        <v>36</v>
      </c>
      <c r="F2958">
        <v>2238698</v>
      </c>
      <c r="G2958">
        <v>6</v>
      </c>
      <c r="H2958">
        <v>2</v>
      </c>
      <c r="I2958">
        <v>700</v>
      </c>
      <c r="J2958">
        <v>1991</v>
      </c>
      <c r="K2958" s="4">
        <v>44746</v>
      </c>
      <c r="L2958" t="s">
        <v>30</v>
      </c>
      <c r="M2958" t="s">
        <v>52</v>
      </c>
      <c r="N2958">
        <v>1.98</v>
      </c>
      <c r="O2958">
        <v>1667</v>
      </c>
      <c r="P2958">
        <v>1.56</v>
      </c>
      <c r="Q2958">
        <v>373</v>
      </c>
      <c r="R2958">
        <v>640</v>
      </c>
    </row>
    <row r="2959" spans="1:18" hidden="1" x14ac:dyDescent="0.2">
      <c r="A2959">
        <v>5</v>
      </c>
      <c r="B2959" t="s">
        <v>65</v>
      </c>
      <c r="E2959" t="s">
        <v>19</v>
      </c>
      <c r="F2959">
        <v>873994</v>
      </c>
      <c r="G2959">
        <v>4</v>
      </c>
      <c r="H2959">
        <v>3</v>
      </c>
      <c r="I2959">
        <v>783</v>
      </c>
      <c r="J2959">
        <v>1992</v>
      </c>
      <c r="K2959" s="4">
        <v>44860</v>
      </c>
      <c r="L2959" t="s">
        <v>30</v>
      </c>
      <c r="M2959" t="s">
        <v>12</v>
      </c>
      <c r="N2959">
        <v>3.29</v>
      </c>
      <c r="O2959">
        <v>1571</v>
      </c>
      <c r="P2959">
        <v>4.13</v>
      </c>
      <c r="Q2959">
        <v>239</v>
      </c>
      <c r="R2959">
        <v>672</v>
      </c>
    </row>
    <row r="2960" spans="1:18" hidden="1" x14ac:dyDescent="0.2">
      <c r="A2960">
        <v>4</v>
      </c>
      <c r="B2960" t="s">
        <v>83</v>
      </c>
      <c r="E2960" t="s">
        <v>19</v>
      </c>
      <c r="F2960">
        <v>2825173</v>
      </c>
      <c r="G2960">
        <v>0</v>
      </c>
      <c r="H2960">
        <v>3</v>
      </c>
      <c r="I2960">
        <v>158</v>
      </c>
      <c r="J2960">
        <v>1979</v>
      </c>
      <c r="K2960" s="4">
        <v>45699</v>
      </c>
      <c r="L2960" t="s">
        <v>23</v>
      </c>
      <c r="M2960" t="s">
        <v>74</v>
      </c>
      <c r="N2960">
        <v>2.73</v>
      </c>
      <c r="O2960">
        <v>1570</v>
      </c>
      <c r="P2960">
        <v>2.61</v>
      </c>
      <c r="Q2960">
        <v>49</v>
      </c>
      <c r="R2960">
        <v>312</v>
      </c>
    </row>
    <row r="2961" spans="1:18" hidden="1" x14ac:dyDescent="0.2">
      <c r="A2961">
        <v>1</v>
      </c>
      <c r="B2961" t="s">
        <v>102</v>
      </c>
      <c r="E2961" t="s">
        <v>29</v>
      </c>
      <c r="F2961">
        <v>2336427</v>
      </c>
      <c r="G2961">
        <v>4</v>
      </c>
      <c r="H2961">
        <v>1</v>
      </c>
      <c r="I2961">
        <v>59</v>
      </c>
      <c r="J2961">
        <v>1999</v>
      </c>
      <c r="K2961" s="4">
        <v>45596</v>
      </c>
      <c r="L2961" t="s">
        <v>23</v>
      </c>
      <c r="M2961" t="s">
        <v>89</v>
      </c>
      <c r="N2961">
        <v>2.41</v>
      </c>
      <c r="O2961">
        <v>922</v>
      </c>
      <c r="P2961">
        <v>4.8499999999999996</v>
      </c>
      <c r="Q2961">
        <v>215</v>
      </c>
      <c r="R2961">
        <v>488</v>
      </c>
    </row>
    <row r="2962" spans="1:18" hidden="1" x14ac:dyDescent="0.2">
      <c r="A2962">
        <v>9</v>
      </c>
      <c r="B2962" t="s">
        <v>34</v>
      </c>
      <c r="E2962" t="s">
        <v>19</v>
      </c>
      <c r="F2962">
        <v>798407</v>
      </c>
      <c r="G2962">
        <v>5</v>
      </c>
      <c r="H2962">
        <v>1</v>
      </c>
      <c r="I2962">
        <v>736</v>
      </c>
      <c r="J2962">
        <v>1990</v>
      </c>
      <c r="K2962" s="4">
        <v>44277</v>
      </c>
      <c r="L2962" t="s">
        <v>23</v>
      </c>
      <c r="M2962" t="s">
        <v>21</v>
      </c>
      <c r="N2962">
        <v>1.9</v>
      </c>
      <c r="O2962">
        <v>1542</v>
      </c>
      <c r="P2962">
        <v>1.33</v>
      </c>
      <c r="Q2962">
        <v>341</v>
      </c>
      <c r="R2962">
        <v>364</v>
      </c>
    </row>
    <row r="2963" spans="1:18" hidden="1" x14ac:dyDescent="0.2">
      <c r="A2963">
        <v>5</v>
      </c>
      <c r="B2963" t="s">
        <v>67</v>
      </c>
      <c r="E2963" t="s">
        <v>51</v>
      </c>
      <c r="F2963">
        <v>2163348</v>
      </c>
      <c r="G2963">
        <v>2</v>
      </c>
      <c r="H2963">
        <v>3</v>
      </c>
      <c r="I2963">
        <v>761</v>
      </c>
      <c r="J2963">
        <v>1995</v>
      </c>
      <c r="K2963" s="4">
        <v>45247</v>
      </c>
      <c r="L2963" t="s">
        <v>26</v>
      </c>
      <c r="M2963" t="s">
        <v>66</v>
      </c>
      <c r="N2963">
        <v>1.97</v>
      </c>
      <c r="O2963">
        <v>1519</v>
      </c>
      <c r="P2963">
        <v>2.86</v>
      </c>
      <c r="Q2963">
        <v>216</v>
      </c>
      <c r="R2963">
        <v>641</v>
      </c>
    </row>
    <row r="2964" spans="1:18" hidden="1" x14ac:dyDescent="0.2">
      <c r="A2964">
        <v>5</v>
      </c>
      <c r="B2964" t="s">
        <v>94</v>
      </c>
      <c r="E2964" t="s">
        <v>36</v>
      </c>
      <c r="F2964">
        <v>1502974</v>
      </c>
      <c r="G2964">
        <v>3</v>
      </c>
      <c r="H2964">
        <v>2</v>
      </c>
      <c r="I2964">
        <v>801</v>
      </c>
      <c r="J2964">
        <v>1995</v>
      </c>
      <c r="K2964" s="4">
        <v>45755</v>
      </c>
      <c r="L2964" t="s">
        <v>20</v>
      </c>
      <c r="M2964" t="s">
        <v>47</v>
      </c>
      <c r="N2964">
        <v>2.98</v>
      </c>
      <c r="O2964">
        <v>891</v>
      </c>
      <c r="P2964">
        <v>4.46</v>
      </c>
      <c r="Q2964">
        <v>124</v>
      </c>
      <c r="R2964">
        <v>410</v>
      </c>
    </row>
    <row r="2965" spans="1:18" x14ac:dyDescent="0.2">
      <c r="A2965">
        <v>8</v>
      </c>
      <c r="B2965" t="s">
        <v>41</v>
      </c>
      <c r="E2965" t="s">
        <v>36</v>
      </c>
      <c r="F2965">
        <v>1415642</v>
      </c>
      <c r="G2965">
        <v>6</v>
      </c>
      <c r="H2965">
        <v>1</v>
      </c>
      <c r="I2965">
        <v>710</v>
      </c>
      <c r="J2965">
        <v>2014</v>
      </c>
      <c r="K2965" s="4">
        <v>44862</v>
      </c>
      <c r="L2965" t="s">
        <v>30</v>
      </c>
      <c r="M2965" t="s">
        <v>69</v>
      </c>
      <c r="N2965">
        <v>2.2999999999999998</v>
      </c>
      <c r="O2965">
        <v>1385</v>
      </c>
      <c r="P2965">
        <v>2.1</v>
      </c>
      <c r="Q2965">
        <v>387</v>
      </c>
      <c r="R2965">
        <v>371</v>
      </c>
    </row>
    <row r="2966" spans="1:18" hidden="1" x14ac:dyDescent="0.2">
      <c r="A2966">
        <v>0</v>
      </c>
      <c r="B2966" t="s">
        <v>65</v>
      </c>
      <c r="E2966" t="s">
        <v>19</v>
      </c>
      <c r="F2966">
        <v>2033513</v>
      </c>
      <c r="G2966">
        <v>2</v>
      </c>
      <c r="H2966">
        <v>1</v>
      </c>
      <c r="I2966">
        <v>528</v>
      </c>
      <c r="J2966">
        <v>2007</v>
      </c>
      <c r="K2966" s="4">
        <v>44132</v>
      </c>
      <c r="L2966" t="s">
        <v>26</v>
      </c>
      <c r="M2966" t="s">
        <v>68</v>
      </c>
      <c r="N2966">
        <v>3.38</v>
      </c>
      <c r="O2966">
        <v>2149</v>
      </c>
      <c r="P2966">
        <v>0.12</v>
      </c>
      <c r="Q2966">
        <v>177</v>
      </c>
      <c r="R2966">
        <v>568</v>
      </c>
    </row>
    <row r="2967" spans="1:18" hidden="1" x14ac:dyDescent="0.2">
      <c r="A2967">
        <v>3</v>
      </c>
      <c r="B2967" t="s">
        <v>44</v>
      </c>
      <c r="E2967" t="s">
        <v>51</v>
      </c>
      <c r="F2967">
        <v>2912543</v>
      </c>
      <c r="G2967">
        <v>4</v>
      </c>
      <c r="H2967">
        <v>3</v>
      </c>
      <c r="I2967">
        <v>577</v>
      </c>
      <c r="J2967">
        <v>1953</v>
      </c>
      <c r="K2967" s="4">
        <v>45364</v>
      </c>
      <c r="L2967" t="s">
        <v>30</v>
      </c>
      <c r="M2967" t="s">
        <v>58</v>
      </c>
      <c r="N2967">
        <v>1.52</v>
      </c>
      <c r="O2967">
        <v>1907</v>
      </c>
      <c r="P2967">
        <v>3.39</v>
      </c>
      <c r="Q2967">
        <v>277</v>
      </c>
      <c r="R2967">
        <v>349</v>
      </c>
    </row>
    <row r="2968" spans="1:18" x14ac:dyDescent="0.2">
      <c r="A2968">
        <v>8</v>
      </c>
      <c r="B2968" t="s">
        <v>105</v>
      </c>
      <c r="E2968" t="s">
        <v>51</v>
      </c>
      <c r="F2968">
        <v>1079105</v>
      </c>
      <c r="G2968">
        <v>3</v>
      </c>
      <c r="H2968">
        <v>1</v>
      </c>
      <c r="I2968">
        <v>228</v>
      </c>
      <c r="J2968">
        <v>2009</v>
      </c>
      <c r="K2968" s="4">
        <v>44759</v>
      </c>
      <c r="L2968" t="s">
        <v>23</v>
      </c>
      <c r="M2968" t="s">
        <v>24</v>
      </c>
      <c r="N2968">
        <v>1.77</v>
      </c>
      <c r="O2968">
        <v>2389</v>
      </c>
      <c r="P2968">
        <v>0.37</v>
      </c>
      <c r="Q2968">
        <v>234</v>
      </c>
      <c r="R2968">
        <v>317</v>
      </c>
    </row>
    <row r="2969" spans="1:18" x14ac:dyDescent="0.2">
      <c r="A2969">
        <v>8</v>
      </c>
      <c r="B2969" t="s">
        <v>106</v>
      </c>
      <c r="E2969" t="s">
        <v>29</v>
      </c>
      <c r="F2969">
        <v>1793484</v>
      </c>
      <c r="G2969">
        <v>2</v>
      </c>
      <c r="H2969">
        <v>2</v>
      </c>
      <c r="I2969">
        <v>485</v>
      </c>
      <c r="J2969">
        <v>2005</v>
      </c>
      <c r="K2969" s="4">
        <v>45793</v>
      </c>
      <c r="L2969" t="s">
        <v>30</v>
      </c>
      <c r="M2969" t="s">
        <v>45</v>
      </c>
      <c r="N2969">
        <v>3.45</v>
      </c>
      <c r="O2969">
        <v>2252</v>
      </c>
      <c r="P2969">
        <v>2.9</v>
      </c>
      <c r="Q2969">
        <v>133</v>
      </c>
      <c r="R2969">
        <v>615</v>
      </c>
    </row>
    <row r="2970" spans="1:18" x14ac:dyDescent="0.2">
      <c r="A2970">
        <v>8</v>
      </c>
      <c r="B2970" t="s">
        <v>22</v>
      </c>
      <c r="E2970" t="s">
        <v>36</v>
      </c>
      <c r="F2970">
        <v>553402</v>
      </c>
      <c r="G2970">
        <v>5</v>
      </c>
      <c r="H2970">
        <v>2</v>
      </c>
      <c r="I2970">
        <v>618</v>
      </c>
      <c r="J2970">
        <v>1980</v>
      </c>
      <c r="K2970" s="4">
        <v>44148</v>
      </c>
      <c r="L2970" t="s">
        <v>30</v>
      </c>
      <c r="M2970" t="s">
        <v>47</v>
      </c>
      <c r="N2970">
        <v>2.02</v>
      </c>
      <c r="O2970">
        <v>1652</v>
      </c>
      <c r="P2970">
        <v>4.38</v>
      </c>
      <c r="Q2970">
        <v>268</v>
      </c>
      <c r="R2970">
        <v>407</v>
      </c>
    </row>
    <row r="2971" spans="1:18" hidden="1" x14ac:dyDescent="0.2">
      <c r="A2971">
        <v>2</v>
      </c>
      <c r="B2971" t="s">
        <v>73</v>
      </c>
      <c r="E2971" t="s">
        <v>29</v>
      </c>
      <c r="F2971">
        <v>2790132</v>
      </c>
      <c r="G2971">
        <v>5</v>
      </c>
      <c r="H2971">
        <v>1</v>
      </c>
      <c r="I2971">
        <v>1000</v>
      </c>
      <c r="J2971">
        <v>1988</v>
      </c>
      <c r="K2971" s="4">
        <v>44611</v>
      </c>
      <c r="L2971" t="s">
        <v>20</v>
      </c>
      <c r="M2971" t="s">
        <v>21</v>
      </c>
      <c r="N2971">
        <v>1.53</v>
      </c>
      <c r="O2971">
        <v>1947</v>
      </c>
      <c r="P2971">
        <v>2.2599999999999998</v>
      </c>
      <c r="Q2971">
        <v>329</v>
      </c>
      <c r="R2971">
        <v>363</v>
      </c>
    </row>
    <row r="2972" spans="1:18" hidden="1" x14ac:dyDescent="0.2">
      <c r="A2972">
        <v>7</v>
      </c>
      <c r="B2972" t="s">
        <v>55</v>
      </c>
      <c r="E2972" t="s">
        <v>29</v>
      </c>
      <c r="F2972">
        <v>1268043</v>
      </c>
      <c r="G2972">
        <v>4</v>
      </c>
      <c r="H2972">
        <v>1</v>
      </c>
      <c r="I2972">
        <v>641</v>
      </c>
      <c r="J2972">
        <v>1988</v>
      </c>
      <c r="K2972" s="4">
        <v>45211</v>
      </c>
      <c r="L2972" t="s">
        <v>20</v>
      </c>
      <c r="M2972" t="s">
        <v>63</v>
      </c>
      <c r="N2972">
        <v>2.69</v>
      </c>
      <c r="O2972">
        <v>1471</v>
      </c>
      <c r="P2972">
        <v>2.4</v>
      </c>
      <c r="Q2972">
        <v>276</v>
      </c>
      <c r="R2972">
        <v>384</v>
      </c>
    </row>
    <row r="2973" spans="1:18" hidden="1" x14ac:dyDescent="0.2">
      <c r="A2973">
        <v>0</v>
      </c>
      <c r="B2973" t="s">
        <v>43</v>
      </c>
      <c r="E2973" t="s">
        <v>36</v>
      </c>
      <c r="F2973">
        <v>1997972</v>
      </c>
      <c r="G2973">
        <v>3</v>
      </c>
      <c r="H2973">
        <v>1</v>
      </c>
      <c r="I2973">
        <v>953</v>
      </c>
      <c r="J2973">
        <v>1955</v>
      </c>
      <c r="K2973" s="4">
        <v>44760</v>
      </c>
      <c r="L2973" t="s">
        <v>30</v>
      </c>
      <c r="M2973" t="s">
        <v>35</v>
      </c>
      <c r="N2973">
        <v>2.88</v>
      </c>
      <c r="O2973">
        <v>994</v>
      </c>
      <c r="P2973">
        <v>4.92</v>
      </c>
      <c r="Q2973">
        <v>315</v>
      </c>
      <c r="R2973">
        <v>497</v>
      </c>
    </row>
    <row r="2974" spans="1:18" hidden="1" x14ac:dyDescent="0.2">
      <c r="A2974">
        <v>7</v>
      </c>
      <c r="B2974" t="s">
        <v>105</v>
      </c>
      <c r="E2974" t="s">
        <v>19</v>
      </c>
      <c r="F2974">
        <v>488290</v>
      </c>
      <c r="G2974">
        <v>3</v>
      </c>
      <c r="H2974">
        <v>2</v>
      </c>
      <c r="I2974">
        <v>79</v>
      </c>
      <c r="J2974">
        <v>1977</v>
      </c>
      <c r="K2974" s="4">
        <v>44351</v>
      </c>
      <c r="L2974" t="s">
        <v>20</v>
      </c>
      <c r="M2974" t="s">
        <v>63</v>
      </c>
      <c r="N2974">
        <v>2.84</v>
      </c>
      <c r="O2974">
        <v>2433</v>
      </c>
      <c r="P2974">
        <v>3.59</v>
      </c>
      <c r="Q2974">
        <v>213</v>
      </c>
      <c r="R2974">
        <v>408</v>
      </c>
    </row>
    <row r="2975" spans="1:18" hidden="1" x14ac:dyDescent="0.2">
      <c r="A2975">
        <v>0</v>
      </c>
      <c r="B2975" t="s">
        <v>28</v>
      </c>
      <c r="E2975" t="s">
        <v>29</v>
      </c>
      <c r="F2975">
        <v>2035581</v>
      </c>
      <c r="G2975">
        <v>3</v>
      </c>
      <c r="H2975">
        <v>1</v>
      </c>
      <c r="I2975">
        <v>983</v>
      </c>
      <c r="J2975">
        <v>1972</v>
      </c>
      <c r="K2975" s="4">
        <v>45544</v>
      </c>
      <c r="L2975" t="s">
        <v>30</v>
      </c>
      <c r="M2975" t="s">
        <v>31</v>
      </c>
      <c r="N2975">
        <v>2.65</v>
      </c>
      <c r="O2975">
        <v>1177</v>
      </c>
      <c r="P2975">
        <v>1.63</v>
      </c>
      <c r="Q2975">
        <v>254</v>
      </c>
      <c r="R2975">
        <v>514</v>
      </c>
    </row>
    <row r="2976" spans="1:18" x14ac:dyDescent="0.2">
      <c r="A2976">
        <v>8</v>
      </c>
      <c r="B2976" t="s">
        <v>57</v>
      </c>
      <c r="E2976" t="s">
        <v>29</v>
      </c>
      <c r="F2976">
        <v>1753720</v>
      </c>
      <c r="G2976">
        <v>2</v>
      </c>
      <c r="H2976">
        <v>1</v>
      </c>
      <c r="I2976">
        <v>507</v>
      </c>
      <c r="J2976">
        <v>1973</v>
      </c>
      <c r="K2976" s="4">
        <v>45785</v>
      </c>
      <c r="L2976" t="s">
        <v>30</v>
      </c>
      <c r="M2976" t="s">
        <v>74</v>
      </c>
      <c r="N2976">
        <v>2.19</v>
      </c>
      <c r="O2976">
        <v>2257</v>
      </c>
      <c r="P2976">
        <v>0.75</v>
      </c>
      <c r="Q2976">
        <v>187</v>
      </c>
      <c r="R2976">
        <v>302</v>
      </c>
    </row>
    <row r="2977" spans="1:18" hidden="1" x14ac:dyDescent="0.2">
      <c r="A2977">
        <v>7</v>
      </c>
      <c r="B2977" t="s">
        <v>49</v>
      </c>
      <c r="E2977" t="s">
        <v>36</v>
      </c>
      <c r="F2977">
        <v>970784</v>
      </c>
      <c r="G2977">
        <v>3</v>
      </c>
      <c r="H2977">
        <v>1</v>
      </c>
      <c r="I2977">
        <v>224</v>
      </c>
      <c r="J2977">
        <v>1994</v>
      </c>
      <c r="K2977" s="4">
        <v>45773</v>
      </c>
      <c r="L2977" t="s">
        <v>30</v>
      </c>
      <c r="M2977" t="s">
        <v>56</v>
      </c>
      <c r="N2977">
        <v>2.2999999999999998</v>
      </c>
      <c r="O2977">
        <v>1328</v>
      </c>
      <c r="P2977">
        <v>0.51</v>
      </c>
      <c r="Q2977">
        <v>211</v>
      </c>
      <c r="R2977">
        <v>401</v>
      </c>
    </row>
    <row r="2978" spans="1:18" hidden="1" x14ac:dyDescent="0.2">
      <c r="A2978">
        <v>1</v>
      </c>
      <c r="B2978" t="s">
        <v>105</v>
      </c>
      <c r="E2978" t="s">
        <v>51</v>
      </c>
      <c r="F2978">
        <v>2268796</v>
      </c>
      <c r="G2978">
        <v>2</v>
      </c>
      <c r="H2978">
        <v>1</v>
      </c>
      <c r="I2978">
        <v>96</v>
      </c>
      <c r="J2978">
        <v>1972</v>
      </c>
      <c r="K2978" s="4">
        <v>44333</v>
      </c>
      <c r="L2978" t="s">
        <v>30</v>
      </c>
      <c r="M2978" t="s">
        <v>24</v>
      </c>
      <c r="N2978">
        <v>3.3</v>
      </c>
      <c r="O2978">
        <v>1814</v>
      </c>
      <c r="P2978">
        <v>1.79</v>
      </c>
      <c r="Q2978">
        <v>111</v>
      </c>
      <c r="R2978">
        <v>466</v>
      </c>
    </row>
    <row r="2979" spans="1:18" hidden="1" x14ac:dyDescent="0.2">
      <c r="A2979">
        <v>0</v>
      </c>
      <c r="B2979" t="s">
        <v>81</v>
      </c>
      <c r="E2979" t="s">
        <v>36</v>
      </c>
      <c r="F2979">
        <v>2198996</v>
      </c>
      <c r="G2979">
        <v>5</v>
      </c>
      <c r="H2979">
        <v>1</v>
      </c>
      <c r="I2979">
        <v>482</v>
      </c>
      <c r="J2979">
        <v>2022</v>
      </c>
      <c r="K2979" s="4">
        <v>45766</v>
      </c>
      <c r="L2979" t="s">
        <v>20</v>
      </c>
      <c r="M2979" t="s">
        <v>33</v>
      </c>
      <c r="N2979">
        <v>2.9</v>
      </c>
      <c r="O2979">
        <v>2003</v>
      </c>
      <c r="P2979">
        <v>1.82</v>
      </c>
      <c r="Q2979">
        <v>266</v>
      </c>
      <c r="R2979">
        <v>585</v>
      </c>
    </row>
    <row r="2980" spans="1:18" hidden="1" x14ac:dyDescent="0.2">
      <c r="A2980">
        <v>7</v>
      </c>
      <c r="B2980" t="s">
        <v>57</v>
      </c>
      <c r="E2980" t="s">
        <v>19</v>
      </c>
      <c r="F2980">
        <v>2131518</v>
      </c>
      <c r="G2980">
        <v>4</v>
      </c>
      <c r="H2980">
        <v>1</v>
      </c>
      <c r="I2980">
        <v>992</v>
      </c>
      <c r="J2980">
        <v>2018</v>
      </c>
      <c r="K2980" s="4">
        <v>45680</v>
      </c>
      <c r="L2980" t="s">
        <v>23</v>
      </c>
      <c r="M2980" t="s">
        <v>82</v>
      </c>
      <c r="N2980">
        <v>2.14</v>
      </c>
      <c r="O2980">
        <v>1751</v>
      </c>
      <c r="P2980">
        <v>0.32</v>
      </c>
      <c r="Q2980">
        <v>173</v>
      </c>
      <c r="R2980">
        <v>485</v>
      </c>
    </row>
    <row r="2981" spans="1:18" hidden="1" x14ac:dyDescent="0.2">
      <c r="A2981">
        <v>3</v>
      </c>
      <c r="B2981" t="s">
        <v>99</v>
      </c>
      <c r="E2981" t="s">
        <v>29</v>
      </c>
      <c r="F2981">
        <v>2063984</v>
      </c>
      <c r="G2981">
        <v>1</v>
      </c>
      <c r="H2981">
        <v>2</v>
      </c>
      <c r="I2981">
        <v>574</v>
      </c>
      <c r="J2981">
        <v>2000</v>
      </c>
      <c r="K2981" s="4">
        <v>44879</v>
      </c>
      <c r="L2981" t="s">
        <v>23</v>
      </c>
      <c r="M2981" t="s">
        <v>42</v>
      </c>
      <c r="N2981">
        <v>3.04</v>
      </c>
      <c r="O2981">
        <v>2464</v>
      </c>
      <c r="P2981">
        <v>0.47</v>
      </c>
      <c r="Q2981">
        <v>154</v>
      </c>
      <c r="R2981">
        <v>466</v>
      </c>
    </row>
    <row r="2982" spans="1:18" hidden="1" x14ac:dyDescent="0.2">
      <c r="A2982">
        <v>7</v>
      </c>
      <c r="B2982" t="s">
        <v>80</v>
      </c>
      <c r="E2982" t="s">
        <v>19</v>
      </c>
      <c r="F2982">
        <v>1085488</v>
      </c>
      <c r="G2982">
        <v>4</v>
      </c>
      <c r="H2982">
        <v>2</v>
      </c>
      <c r="I2982">
        <v>241</v>
      </c>
      <c r="J2982">
        <v>1987</v>
      </c>
      <c r="K2982" s="4">
        <v>44076</v>
      </c>
      <c r="L2982" t="s">
        <v>26</v>
      </c>
      <c r="M2982" t="s">
        <v>54</v>
      </c>
      <c r="N2982">
        <v>2.87</v>
      </c>
      <c r="O2982">
        <v>1845</v>
      </c>
      <c r="P2982">
        <v>3.89</v>
      </c>
      <c r="Q2982">
        <v>369</v>
      </c>
      <c r="R2982">
        <v>552</v>
      </c>
    </row>
    <row r="2983" spans="1:18" hidden="1" x14ac:dyDescent="0.2">
      <c r="A2983">
        <v>6</v>
      </c>
      <c r="B2983" t="s">
        <v>104</v>
      </c>
      <c r="E2983" t="s">
        <v>51</v>
      </c>
      <c r="F2983">
        <v>1236186</v>
      </c>
      <c r="G2983">
        <v>1</v>
      </c>
      <c r="H2983">
        <v>2</v>
      </c>
      <c r="I2983">
        <v>855</v>
      </c>
      <c r="J2983">
        <v>2002</v>
      </c>
      <c r="K2983" s="4">
        <v>45345</v>
      </c>
      <c r="L2983" t="s">
        <v>26</v>
      </c>
      <c r="M2983" t="s">
        <v>74</v>
      </c>
      <c r="N2983">
        <v>2.8</v>
      </c>
      <c r="O2983">
        <v>1862</v>
      </c>
      <c r="P2983">
        <v>1.81</v>
      </c>
      <c r="Q2983">
        <v>93</v>
      </c>
      <c r="R2983">
        <v>433</v>
      </c>
    </row>
    <row r="2984" spans="1:18" hidden="1" x14ac:dyDescent="0.2">
      <c r="A2984">
        <v>0</v>
      </c>
      <c r="B2984" t="s">
        <v>91</v>
      </c>
      <c r="E2984" t="s">
        <v>29</v>
      </c>
      <c r="F2984">
        <v>965963</v>
      </c>
      <c r="G2984">
        <v>4</v>
      </c>
      <c r="H2984">
        <v>3</v>
      </c>
      <c r="I2984">
        <v>528</v>
      </c>
      <c r="J2984">
        <v>1965</v>
      </c>
      <c r="K2984" s="4">
        <v>44677</v>
      </c>
      <c r="L2984" t="s">
        <v>20</v>
      </c>
      <c r="M2984" t="s">
        <v>68</v>
      </c>
      <c r="N2984">
        <v>2.82</v>
      </c>
      <c r="O2984">
        <v>1958</v>
      </c>
      <c r="P2984">
        <v>1.35</v>
      </c>
      <c r="Q2984">
        <v>348</v>
      </c>
      <c r="R2984">
        <v>433</v>
      </c>
    </row>
    <row r="2985" spans="1:18" x14ac:dyDescent="0.2">
      <c r="A2985">
        <v>8</v>
      </c>
      <c r="B2985" t="s">
        <v>96</v>
      </c>
      <c r="E2985" t="s">
        <v>29</v>
      </c>
      <c r="F2985">
        <v>902610</v>
      </c>
      <c r="G2985">
        <v>1</v>
      </c>
      <c r="H2985">
        <v>2</v>
      </c>
      <c r="I2985">
        <v>656</v>
      </c>
      <c r="J2985">
        <v>1992</v>
      </c>
      <c r="K2985" s="4">
        <v>44326</v>
      </c>
      <c r="L2985" t="s">
        <v>30</v>
      </c>
      <c r="M2985" t="s">
        <v>66</v>
      </c>
      <c r="N2985">
        <v>2.86</v>
      </c>
      <c r="O2985">
        <v>1079</v>
      </c>
      <c r="P2985">
        <v>3.02</v>
      </c>
      <c r="Q2985">
        <v>149</v>
      </c>
      <c r="R2985">
        <v>696</v>
      </c>
    </row>
    <row r="2986" spans="1:18" hidden="1" x14ac:dyDescent="0.2">
      <c r="A2986">
        <v>6</v>
      </c>
      <c r="B2986" t="s">
        <v>62</v>
      </c>
      <c r="E2986" t="s">
        <v>51</v>
      </c>
      <c r="F2986">
        <v>2832726</v>
      </c>
      <c r="G2986">
        <v>5</v>
      </c>
      <c r="H2986">
        <v>2</v>
      </c>
      <c r="I2986">
        <v>860</v>
      </c>
      <c r="J2986">
        <v>2015</v>
      </c>
      <c r="K2986" s="4">
        <v>45768</v>
      </c>
      <c r="L2986" t="s">
        <v>20</v>
      </c>
      <c r="M2986" t="s">
        <v>78</v>
      </c>
      <c r="N2986">
        <v>2.87</v>
      </c>
      <c r="O2986">
        <v>1693</v>
      </c>
      <c r="P2986">
        <v>3.96</v>
      </c>
      <c r="Q2986">
        <v>328</v>
      </c>
      <c r="R2986">
        <v>693</v>
      </c>
    </row>
    <row r="2987" spans="1:18" hidden="1" x14ac:dyDescent="0.2">
      <c r="A2987">
        <v>6</v>
      </c>
      <c r="B2987" t="s">
        <v>43</v>
      </c>
      <c r="E2987" t="s">
        <v>29</v>
      </c>
      <c r="F2987">
        <v>1249071</v>
      </c>
      <c r="G2987">
        <v>4</v>
      </c>
      <c r="H2987">
        <v>3</v>
      </c>
      <c r="I2987">
        <v>824</v>
      </c>
      <c r="J2987">
        <v>1952</v>
      </c>
      <c r="K2987" s="4">
        <v>45823</v>
      </c>
      <c r="L2987" t="s">
        <v>26</v>
      </c>
      <c r="M2987" t="s">
        <v>59</v>
      </c>
      <c r="N2987">
        <v>2.23</v>
      </c>
      <c r="O2987">
        <v>1912</v>
      </c>
      <c r="P2987">
        <v>4.54</v>
      </c>
      <c r="Q2987">
        <v>171</v>
      </c>
      <c r="R2987">
        <v>577</v>
      </c>
    </row>
    <row r="2988" spans="1:18" x14ac:dyDescent="0.2">
      <c r="A2988">
        <v>8</v>
      </c>
      <c r="B2988" t="s">
        <v>101</v>
      </c>
      <c r="E2988" t="s">
        <v>51</v>
      </c>
      <c r="F2988">
        <v>1211415</v>
      </c>
      <c r="G2988">
        <v>5</v>
      </c>
      <c r="H2988">
        <v>1</v>
      </c>
      <c r="I2988">
        <v>411</v>
      </c>
      <c r="J2988">
        <v>1980</v>
      </c>
      <c r="K2988" s="4">
        <v>44231</v>
      </c>
      <c r="L2988" t="s">
        <v>26</v>
      </c>
      <c r="M2988" t="s">
        <v>85</v>
      </c>
      <c r="N2988">
        <v>1.68</v>
      </c>
      <c r="O2988">
        <v>1903</v>
      </c>
      <c r="P2988">
        <v>2.81</v>
      </c>
      <c r="Q2988">
        <v>353</v>
      </c>
      <c r="R2988">
        <v>585</v>
      </c>
    </row>
    <row r="2989" spans="1:18" x14ac:dyDescent="0.2">
      <c r="A2989">
        <v>8</v>
      </c>
      <c r="B2989" t="s">
        <v>61</v>
      </c>
      <c r="E2989" t="s">
        <v>19</v>
      </c>
      <c r="F2989">
        <v>666648</v>
      </c>
      <c r="G2989">
        <v>5</v>
      </c>
      <c r="H2989">
        <v>3</v>
      </c>
      <c r="I2989">
        <v>951</v>
      </c>
      <c r="J2989">
        <v>1989</v>
      </c>
      <c r="K2989" s="4">
        <v>45409</v>
      </c>
      <c r="L2989" t="s">
        <v>26</v>
      </c>
      <c r="M2989" t="s">
        <v>58</v>
      </c>
      <c r="N2989">
        <v>1.68</v>
      </c>
      <c r="O2989">
        <v>1350</v>
      </c>
      <c r="P2989">
        <v>0.28000000000000003</v>
      </c>
      <c r="Q2989">
        <v>372</v>
      </c>
      <c r="R2989">
        <v>459</v>
      </c>
    </row>
    <row r="2990" spans="1:18" hidden="1" x14ac:dyDescent="0.2">
      <c r="A2990">
        <v>0</v>
      </c>
      <c r="B2990" t="s">
        <v>88</v>
      </c>
      <c r="E2990" t="s">
        <v>51</v>
      </c>
      <c r="F2990">
        <v>1411410</v>
      </c>
      <c r="G2990">
        <v>2</v>
      </c>
      <c r="H2990">
        <v>3</v>
      </c>
      <c r="I2990">
        <v>531</v>
      </c>
      <c r="J2990">
        <v>2011</v>
      </c>
      <c r="K2990" s="4">
        <v>45069</v>
      </c>
      <c r="L2990" t="s">
        <v>20</v>
      </c>
      <c r="M2990" t="s">
        <v>35</v>
      </c>
      <c r="N2990">
        <v>1.61</v>
      </c>
      <c r="O2990">
        <v>2207</v>
      </c>
      <c r="P2990">
        <v>3.16</v>
      </c>
      <c r="Q2990">
        <v>196</v>
      </c>
      <c r="R2990">
        <v>668</v>
      </c>
    </row>
    <row r="2991" spans="1:18" hidden="1" x14ac:dyDescent="0.2">
      <c r="A2991">
        <v>6</v>
      </c>
      <c r="B2991" t="s">
        <v>91</v>
      </c>
      <c r="E2991" t="s">
        <v>29</v>
      </c>
      <c r="F2991">
        <v>1749370</v>
      </c>
      <c r="G2991">
        <v>6</v>
      </c>
      <c r="H2991">
        <v>2</v>
      </c>
      <c r="I2991">
        <v>100</v>
      </c>
      <c r="J2991">
        <v>2006</v>
      </c>
      <c r="K2991" s="4">
        <v>45635</v>
      </c>
      <c r="L2991" t="s">
        <v>23</v>
      </c>
      <c r="M2991" t="s">
        <v>47</v>
      </c>
      <c r="N2991">
        <v>3.48</v>
      </c>
      <c r="O2991">
        <v>1720</v>
      </c>
      <c r="P2991">
        <v>0.37</v>
      </c>
      <c r="Q2991">
        <v>363</v>
      </c>
      <c r="R2991">
        <v>696</v>
      </c>
    </row>
    <row r="2992" spans="1:18" hidden="1" x14ac:dyDescent="0.2">
      <c r="A2992">
        <v>9</v>
      </c>
      <c r="B2992" t="s">
        <v>91</v>
      </c>
      <c r="E2992" t="s">
        <v>19</v>
      </c>
      <c r="F2992">
        <v>1459974</v>
      </c>
      <c r="G2992">
        <v>4</v>
      </c>
      <c r="H2992">
        <v>1</v>
      </c>
      <c r="I2992">
        <v>94</v>
      </c>
      <c r="J2992">
        <v>2004</v>
      </c>
      <c r="K2992" s="4">
        <v>44614</v>
      </c>
      <c r="L2992" t="s">
        <v>26</v>
      </c>
      <c r="M2992" t="s">
        <v>63</v>
      </c>
      <c r="N2992">
        <v>2.0099999999999998</v>
      </c>
      <c r="O2992">
        <v>1414</v>
      </c>
      <c r="P2992">
        <v>1.1399999999999999</v>
      </c>
      <c r="Q2992">
        <v>304</v>
      </c>
      <c r="R2992">
        <v>568</v>
      </c>
    </row>
    <row r="2993" spans="1:18" hidden="1" x14ac:dyDescent="0.2">
      <c r="A2993">
        <v>2</v>
      </c>
      <c r="B2993" t="s">
        <v>79</v>
      </c>
      <c r="E2993" t="s">
        <v>51</v>
      </c>
      <c r="F2993">
        <v>1506636</v>
      </c>
      <c r="G2993">
        <v>4</v>
      </c>
      <c r="H2993">
        <v>1</v>
      </c>
      <c r="I2993">
        <v>177</v>
      </c>
      <c r="J2993">
        <v>2009</v>
      </c>
      <c r="K2993" s="4">
        <v>45257</v>
      </c>
      <c r="L2993" t="s">
        <v>20</v>
      </c>
      <c r="M2993" t="s">
        <v>40</v>
      </c>
      <c r="N2993">
        <v>2.5299999999999998</v>
      </c>
      <c r="O2993">
        <v>2059</v>
      </c>
      <c r="P2993">
        <v>0.69</v>
      </c>
      <c r="Q2993">
        <v>338</v>
      </c>
      <c r="R2993">
        <v>459</v>
      </c>
    </row>
    <row r="2994" spans="1:18" hidden="1" x14ac:dyDescent="0.2">
      <c r="A2994">
        <v>7</v>
      </c>
      <c r="B2994" t="s">
        <v>90</v>
      </c>
      <c r="E2994" t="s">
        <v>19</v>
      </c>
      <c r="F2994">
        <v>524670</v>
      </c>
      <c r="G2994">
        <v>0</v>
      </c>
      <c r="H2994">
        <v>2</v>
      </c>
      <c r="I2994">
        <v>338</v>
      </c>
      <c r="J2994">
        <v>1966</v>
      </c>
      <c r="K2994" s="4">
        <v>45463</v>
      </c>
      <c r="L2994" t="s">
        <v>23</v>
      </c>
      <c r="M2994" t="s">
        <v>42</v>
      </c>
      <c r="N2994">
        <v>1.74</v>
      </c>
      <c r="O2994">
        <v>2449</v>
      </c>
      <c r="P2994">
        <v>2.92</v>
      </c>
      <c r="Q2994">
        <v>61</v>
      </c>
      <c r="R2994">
        <v>405</v>
      </c>
    </row>
    <row r="2995" spans="1:18" hidden="1" x14ac:dyDescent="0.2">
      <c r="A2995">
        <v>2</v>
      </c>
      <c r="B2995" t="s">
        <v>83</v>
      </c>
      <c r="E2995" t="s">
        <v>51</v>
      </c>
      <c r="F2995">
        <v>1711008</v>
      </c>
      <c r="G2995">
        <v>5</v>
      </c>
      <c r="H2995">
        <v>1</v>
      </c>
      <c r="I2995">
        <v>606</v>
      </c>
      <c r="J2995">
        <v>1988</v>
      </c>
      <c r="K2995" s="4">
        <v>45506</v>
      </c>
      <c r="L2995" t="s">
        <v>30</v>
      </c>
      <c r="M2995" t="s">
        <v>52</v>
      </c>
      <c r="N2995">
        <v>2.89</v>
      </c>
      <c r="O2995">
        <v>997</v>
      </c>
      <c r="P2995">
        <v>2.65</v>
      </c>
      <c r="Q2995">
        <v>316</v>
      </c>
      <c r="R2995">
        <v>509</v>
      </c>
    </row>
    <row r="2996" spans="1:18" hidden="1" x14ac:dyDescent="0.2">
      <c r="A2996">
        <v>0</v>
      </c>
      <c r="B2996" t="s">
        <v>98</v>
      </c>
      <c r="E2996" t="s">
        <v>51</v>
      </c>
      <c r="F2996">
        <v>849482</v>
      </c>
      <c r="G2996">
        <v>1</v>
      </c>
      <c r="H2996">
        <v>1</v>
      </c>
      <c r="I2996">
        <v>651</v>
      </c>
      <c r="J2996">
        <v>2008</v>
      </c>
      <c r="K2996" s="4">
        <v>45793</v>
      </c>
      <c r="L2996" t="s">
        <v>20</v>
      </c>
      <c r="M2996" t="s">
        <v>66</v>
      </c>
      <c r="N2996">
        <v>2.75</v>
      </c>
      <c r="O2996">
        <v>1035</v>
      </c>
      <c r="P2996">
        <v>2.81</v>
      </c>
      <c r="Q2996">
        <v>147</v>
      </c>
      <c r="R2996">
        <v>692</v>
      </c>
    </row>
  </sheetData>
  <autoFilter ref="A1:R2996" xr:uid="{00000000-0001-0000-0000-000000000000}">
    <filterColumn colId="0">
      <filters>
        <filter val="8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94631-5E2F-4872-8CBF-EE22C2E90288}">
  <sheetPr filterMode="1">
    <tabColor theme="6" tint="0.39997558519241921"/>
  </sheetPr>
  <dimension ref="A1:R3010"/>
  <sheetViews>
    <sheetView zoomScale="118" workbookViewId="0">
      <pane xSplit="6" ySplit="1" topLeftCell="L33" activePane="bottomRight" state="frozen"/>
      <selection pane="topRight" activeCell="G1" sqref="G1"/>
      <selection pane="bottomLeft" activeCell="A2" sqref="A2"/>
      <selection pane="bottomRight" activeCell="D315" sqref="D315"/>
    </sheetView>
  </sheetViews>
  <sheetFormatPr baseColWidth="10" defaultColWidth="8.83203125" defaultRowHeight="15" x14ac:dyDescent="0.2"/>
  <cols>
    <col min="1" max="1" width="11.6640625" customWidth="1"/>
    <col min="2" max="2" width="20" customWidth="1"/>
    <col min="3" max="3" width="23.6640625" customWidth="1"/>
    <col min="4" max="4" width="29.1640625" customWidth="1"/>
    <col min="5" max="5" width="12.83203125" bestFit="1" customWidth="1"/>
    <col min="6" max="6" width="9.6640625" bestFit="1" customWidth="1"/>
    <col min="7" max="18" width="14.1640625" customWidth="1"/>
  </cols>
  <sheetData>
    <row r="1" spans="1:18" s="3" customFormat="1" ht="47.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hidden="1" x14ac:dyDescent="0.2">
      <c r="A2">
        <v>5</v>
      </c>
      <c r="B2" t="s">
        <v>100</v>
      </c>
      <c r="E2" t="s">
        <v>19</v>
      </c>
      <c r="F2">
        <v>1936967</v>
      </c>
      <c r="G2">
        <v>5</v>
      </c>
      <c r="H2">
        <v>1</v>
      </c>
      <c r="I2">
        <v>140</v>
      </c>
      <c r="J2">
        <v>1999</v>
      </c>
      <c r="K2" s="4">
        <v>45302</v>
      </c>
      <c r="L2" t="s">
        <v>23</v>
      </c>
      <c r="M2" t="s">
        <v>82</v>
      </c>
      <c r="N2">
        <v>3.39</v>
      </c>
      <c r="O2">
        <v>1733</v>
      </c>
      <c r="P2">
        <v>3.32</v>
      </c>
      <c r="Q2">
        <v>302</v>
      </c>
      <c r="R2">
        <v>303</v>
      </c>
    </row>
    <row r="3" spans="1:18" hidden="1" x14ac:dyDescent="0.2">
      <c r="A3">
        <v>3</v>
      </c>
      <c r="B3" t="s">
        <v>39</v>
      </c>
      <c r="E3" t="s">
        <v>36</v>
      </c>
      <c r="F3">
        <v>884945</v>
      </c>
      <c r="G3">
        <v>5</v>
      </c>
      <c r="H3">
        <v>2</v>
      </c>
      <c r="I3">
        <v>525</v>
      </c>
      <c r="J3">
        <v>2016</v>
      </c>
      <c r="K3" s="4">
        <v>45757</v>
      </c>
      <c r="L3" t="s">
        <v>20</v>
      </c>
      <c r="M3" t="s">
        <v>76</v>
      </c>
      <c r="N3">
        <v>2.4700000000000002</v>
      </c>
      <c r="O3">
        <v>2294</v>
      </c>
      <c r="P3">
        <v>3.08</v>
      </c>
      <c r="Q3">
        <v>364</v>
      </c>
      <c r="R3">
        <v>520</v>
      </c>
    </row>
    <row r="4" spans="1:18" hidden="1" x14ac:dyDescent="0.2">
      <c r="A4">
        <v>4</v>
      </c>
      <c r="B4" t="s">
        <v>72</v>
      </c>
      <c r="E4" t="s">
        <v>51</v>
      </c>
      <c r="F4">
        <v>526791</v>
      </c>
      <c r="G4">
        <v>2</v>
      </c>
      <c r="H4">
        <v>2</v>
      </c>
      <c r="I4">
        <v>691</v>
      </c>
      <c r="J4">
        <v>1951</v>
      </c>
      <c r="K4" s="4">
        <v>44957</v>
      </c>
      <c r="L4" t="s">
        <v>30</v>
      </c>
      <c r="M4" t="s">
        <v>21</v>
      </c>
      <c r="N4">
        <v>1.58</v>
      </c>
      <c r="O4">
        <v>2433</v>
      </c>
      <c r="P4">
        <v>2.54</v>
      </c>
      <c r="Q4">
        <v>146</v>
      </c>
      <c r="R4">
        <v>641</v>
      </c>
    </row>
    <row r="5" spans="1:18" hidden="1" x14ac:dyDescent="0.2">
      <c r="A5">
        <v>4</v>
      </c>
      <c r="B5" t="s">
        <v>79</v>
      </c>
      <c r="E5" t="s">
        <v>29</v>
      </c>
      <c r="F5">
        <v>962318</v>
      </c>
      <c r="G5">
        <v>6</v>
      </c>
      <c r="H5">
        <v>1</v>
      </c>
      <c r="I5">
        <v>491</v>
      </c>
      <c r="J5">
        <v>1990</v>
      </c>
      <c r="K5" s="4">
        <v>44415</v>
      </c>
      <c r="L5" t="s">
        <v>26</v>
      </c>
      <c r="M5" t="s">
        <v>56</v>
      </c>
      <c r="N5">
        <v>2.97</v>
      </c>
      <c r="O5">
        <v>1428</v>
      </c>
      <c r="P5">
        <v>3.04</v>
      </c>
      <c r="Q5">
        <v>392</v>
      </c>
      <c r="R5">
        <v>609</v>
      </c>
    </row>
    <row r="6" spans="1:18" hidden="1" x14ac:dyDescent="0.2">
      <c r="A6">
        <v>7</v>
      </c>
      <c r="B6" t="s">
        <v>100</v>
      </c>
      <c r="E6" t="s">
        <v>51</v>
      </c>
      <c r="F6">
        <v>2081519</v>
      </c>
      <c r="G6">
        <v>5</v>
      </c>
      <c r="H6">
        <v>2</v>
      </c>
      <c r="I6">
        <v>774</v>
      </c>
      <c r="J6">
        <v>1958</v>
      </c>
      <c r="K6" s="4">
        <v>45443</v>
      </c>
      <c r="L6" t="s">
        <v>30</v>
      </c>
      <c r="M6" t="s">
        <v>37</v>
      </c>
      <c r="N6">
        <v>2.31</v>
      </c>
      <c r="O6">
        <v>1017</v>
      </c>
      <c r="P6">
        <v>1.43</v>
      </c>
      <c r="Q6">
        <v>309</v>
      </c>
      <c r="R6">
        <v>563</v>
      </c>
    </row>
    <row r="7" spans="1:18" hidden="1" x14ac:dyDescent="0.2">
      <c r="A7">
        <v>4</v>
      </c>
      <c r="B7" t="s">
        <v>50</v>
      </c>
      <c r="E7" t="s">
        <v>51</v>
      </c>
      <c r="F7">
        <v>2995613</v>
      </c>
      <c r="G7">
        <v>2</v>
      </c>
      <c r="H7">
        <v>2</v>
      </c>
      <c r="I7">
        <v>145</v>
      </c>
      <c r="J7">
        <v>1996</v>
      </c>
      <c r="K7" s="4">
        <v>45163</v>
      </c>
      <c r="L7" t="s">
        <v>23</v>
      </c>
      <c r="M7" t="s">
        <v>70</v>
      </c>
      <c r="N7">
        <v>2.68</v>
      </c>
      <c r="O7">
        <v>1568</v>
      </c>
      <c r="P7">
        <v>3.1</v>
      </c>
      <c r="Q7">
        <v>172</v>
      </c>
      <c r="R7">
        <v>512</v>
      </c>
    </row>
    <row r="8" spans="1:18" hidden="1" x14ac:dyDescent="0.2">
      <c r="A8">
        <v>7</v>
      </c>
      <c r="B8" t="s">
        <v>102</v>
      </c>
      <c r="E8" t="s">
        <v>51</v>
      </c>
      <c r="F8">
        <v>899433</v>
      </c>
      <c r="G8">
        <v>2</v>
      </c>
      <c r="H8">
        <v>1</v>
      </c>
      <c r="I8">
        <v>305</v>
      </c>
      <c r="J8">
        <v>1995</v>
      </c>
      <c r="K8" s="4">
        <v>44103</v>
      </c>
      <c r="L8" t="s">
        <v>23</v>
      </c>
      <c r="M8" t="s">
        <v>77</v>
      </c>
      <c r="N8">
        <v>2.21</v>
      </c>
      <c r="O8">
        <v>2298</v>
      </c>
      <c r="P8">
        <v>4.07</v>
      </c>
      <c r="Q8">
        <v>122</v>
      </c>
      <c r="R8">
        <v>427</v>
      </c>
    </row>
    <row r="9" spans="1:18" hidden="1" x14ac:dyDescent="0.2">
      <c r="A9">
        <v>4</v>
      </c>
      <c r="B9" t="s">
        <v>71</v>
      </c>
      <c r="E9" t="s">
        <v>51</v>
      </c>
      <c r="F9">
        <v>1086020</v>
      </c>
      <c r="G9">
        <v>5</v>
      </c>
      <c r="H9">
        <v>3</v>
      </c>
      <c r="I9">
        <v>364</v>
      </c>
      <c r="J9">
        <v>2016</v>
      </c>
      <c r="K9" s="4">
        <v>44230</v>
      </c>
      <c r="L9" t="s">
        <v>30</v>
      </c>
      <c r="M9" t="s">
        <v>70</v>
      </c>
      <c r="N9">
        <v>2.4700000000000002</v>
      </c>
      <c r="O9">
        <v>1250</v>
      </c>
      <c r="P9">
        <v>1.26</v>
      </c>
      <c r="Q9">
        <v>393</v>
      </c>
      <c r="R9">
        <v>431</v>
      </c>
    </row>
    <row r="10" spans="1:18" hidden="1" x14ac:dyDescent="0.2">
      <c r="A10">
        <v>3</v>
      </c>
      <c r="B10" t="s">
        <v>53</v>
      </c>
      <c r="E10" t="s">
        <v>29</v>
      </c>
      <c r="F10">
        <v>1543087</v>
      </c>
      <c r="G10">
        <v>1</v>
      </c>
      <c r="H10">
        <v>1</v>
      </c>
      <c r="I10">
        <v>237</v>
      </c>
      <c r="J10">
        <v>1972</v>
      </c>
      <c r="K10" s="4">
        <v>44873</v>
      </c>
      <c r="L10" t="s">
        <v>26</v>
      </c>
      <c r="M10" t="s">
        <v>31</v>
      </c>
      <c r="N10">
        <v>2.15</v>
      </c>
      <c r="O10">
        <v>2068</v>
      </c>
      <c r="P10">
        <v>1.68</v>
      </c>
      <c r="Q10">
        <v>154</v>
      </c>
      <c r="R10">
        <v>569</v>
      </c>
    </row>
    <row r="11" spans="1:18" hidden="1" x14ac:dyDescent="0.2">
      <c r="A11">
        <v>1</v>
      </c>
      <c r="B11" t="s">
        <v>93</v>
      </c>
      <c r="E11" t="s">
        <v>19</v>
      </c>
      <c r="F11">
        <v>1866856</v>
      </c>
      <c r="G11">
        <v>3</v>
      </c>
      <c r="H11">
        <v>2</v>
      </c>
      <c r="I11">
        <v>832</v>
      </c>
      <c r="J11">
        <v>1990</v>
      </c>
      <c r="K11" s="4">
        <v>45550</v>
      </c>
      <c r="L11" t="s">
        <v>26</v>
      </c>
      <c r="M11" t="s">
        <v>82</v>
      </c>
      <c r="N11">
        <v>1.72</v>
      </c>
      <c r="O11">
        <v>1843</v>
      </c>
      <c r="P11">
        <v>3.12</v>
      </c>
      <c r="Q11">
        <v>136</v>
      </c>
      <c r="R11">
        <v>410</v>
      </c>
    </row>
    <row r="12" spans="1:18" hidden="1" x14ac:dyDescent="0.2">
      <c r="A12">
        <v>0</v>
      </c>
      <c r="B12" t="s">
        <v>18</v>
      </c>
      <c r="E12" t="s">
        <v>19</v>
      </c>
      <c r="F12">
        <v>2667413</v>
      </c>
      <c r="G12">
        <v>6</v>
      </c>
      <c r="H12">
        <v>2</v>
      </c>
      <c r="I12">
        <v>827</v>
      </c>
      <c r="J12">
        <v>2004</v>
      </c>
      <c r="K12" s="4">
        <v>45323</v>
      </c>
      <c r="L12" t="s">
        <v>26</v>
      </c>
      <c r="M12" t="s">
        <v>33</v>
      </c>
      <c r="N12">
        <v>3.3</v>
      </c>
      <c r="O12">
        <v>1568</v>
      </c>
      <c r="P12">
        <v>0.56999999999999995</v>
      </c>
      <c r="Q12">
        <v>355</v>
      </c>
      <c r="R12">
        <v>426</v>
      </c>
    </row>
    <row r="13" spans="1:18" hidden="1" x14ac:dyDescent="0.2">
      <c r="A13">
        <v>5</v>
      </c>
      <c r="B13" t="s">
        <v>86</v>
      </c>
      <c r="E13" t="s">
        <v>36</v>
      </c>
      <c r="F13">
        <v>2373955</v>
      </c>
      <c r="G13">
        <v>2</v>
      </c>
      <c r="H13">
        <v>3</v>
      </c>
      <c r="I13">
        <v>885</v>
      </c>
      <c r="J13">
        <v>1965</v>
      </c>
      <c r="K13" s="4">
        <v>44448</v>
      </c>
      <c r="L13" t="s">
        <v>26</v>
      </c>
      <c r="M13" t="s">
        <v>54</v>
      </c>
      <c r="N13">
        <v>2.38</v>
      </c>
      <c r="O13">
        <v>1779</v>
      </c>
      <c r="P13">
        <v>3.14</v>
      </c>
      <c r="Q13">
        <v>230</v>
      </c>
      <c r="R13">
        <v>426</v>
      </c>
    </row>
    <row r="14" spans="1:18" hidden="1" x14ac:dyDescent="0.2">
      <c r="A14">
        <v>3</v>
      </c>
      <c r="B14" t="s">
        <v>92</v>
      </c>
      <c r="E14" t="s">
        <v>36</v>
      </c>
      <c r="F14">
        <v>2744360</v>
      </c>
      <c r="G14">
        <v>0</v>
      </c>
      <c r="H14">
        <v>3</v>
      </c>
      <c r="I14">
        <v>433</v>
      </c>
      <c r="J14">
        <v>2020</v>
      </c>
      <c r="K14" s="4">
        <v>44940</v>
      </c>
      <c r="L14" t="s">
        <v>30</v>
      </c>
      <c r="M14" t="s">
        <v>74</v>
      </c>
      <c r="N14">
        <v>3.02</v>
      </c>
      <c r="O14">
        <v>1147</v>
      </c>
      <c r="P14">
        <v>1.2</v>
      </c>
      <c r="Q14">
        <v>74</v>
      </c>
      <c r="R14">
        <v>511</v>
      </c>
    </row>
    <row r="15" spans="1:18" hidden="1" x14ac:dyDescent="0.2">
      <c r="A15">
        <v>6</v>
      </c>
      <c r="B15" t="s">
        <v>57</v>
      </c>
      <c r="E15" t="s">
        <v>36</v>
      </c>
      <c r="F15">
        <v>1745804</v>
      </c>
      <c r="G15">
        <v>4</v>
      </c>
      <c r="H15">
        <v>2</v>
      </c>
      <c r="I15">
        <v>417</v>
      </c>
      <c r="J15">
        <v>1953</v>
      </c>
      <c r="K15" s="4">
        <v>44788</v>
      </c>
      <c r="L15" t="s">
        <v>30</v>
      </c>
      <c r="M15" t="s">
        <v>56</v>
      </c>
      <c r="N15">
        <v>2.69</v>
      </c>
      <c r="O15">
        <v>2309</v>
      </c>
      <c r="P15">
        <v>1.1000000000000001</v>
      </c>
      <c r="Q15">
        <v>204</v>
      </c>
      <c r="R15">
        <v>373</v>
      </c>
    </row>
    <row r="16" spans="1:18" hidden="1" x14ac:dyDescent="0.2">
      <c r="A16">
        <v>7</v>
      </c>
      <c r="B16" t="s">
        <v>67</v>
      </c>
      <c r="E16" t="s">
        <v>19</v>
      </c>
      <c r="F16">
        <v>1909900</v>
      </c>
      <c r="G16">
        <v>4</v>
      </c>
      <c r="H16">
        <v>2</v>
      </c>
      <c r="I16">
        <v>710</v>
      </c>
      <c r="J16">
        <v>1988</v>
      </c>
      <c r="K16" s="4">
        <v>45807</v>
      </c>
      <c r="L16" t="s">
        <v>26</v>
      </c>
      <c r="M16" t="s">
        <v>33</v>
      </c>
      <c r="N16">
        <v>2.4900000000000002</v>
      </c>
      <c r="O16">
        <v>1766</v>
      </c>
      <c r="P16">
        <v>4.58</v>
      </c>
      <c r="Q16">
        <v>238</v>
      </c>
      <c r="R16">
        <v>430</v>
      </c>
    </row>
    <row r="17" spans="1:18" hidden="1" x14ac:dyDescent="0.2">
      <c r="A17">
        <v>7</v>
      </c>
      <c r="B17" t="s">
        <v>25</v>
      </c>
      <c r="E17" t="s">
        <v>19</v>
      </c>
      <c r="F17">
        <v>891662</v>
      </c>
      <c r="G17">
        <v>2</v>
      </c>
      <c r="H17">
        <v>3</v>
      </c>
      <c r="I17">
        <v>494</v>
      </c>
      <c r="J17">
        <v>1966</v>
      </c>
      <c r="K17" s="4">
        <v>44563</v>
      </c>
      <c r="L17" t="s">
        <v>30</v>
      </c>
      <c r="M17" t="s">
        <v>37</v>
      </c>
      <c r="N17">
        <v>2.8</v>
      </c>
      <c r="O17">
        <v>1892</v>
      </c>
      <c r="P17">
        <v>2.85</v>
      </c>
      <c r="Q17">
        <v>73</v>
      </c>
      <c r="R17">
        <v>697</v>
      </c>
    </row>
    <row r="18" spans="1:18" hidden="1" x14ac:dyDescent="0.2">
      <c r="A18">
        <v>2</v>
      </c>
      <c r="B18" t="s">
        <v>81</v>
      </c>
      <c r="E18" t="s">
        <v>19</v>
      </c>
      <c r="F18">
        <v>1169061</v>
      </c>
      <c r="G18">
        <v>0</v>
      </c>
      <c r="H18">
        <v>3</v>
      </c>
      <c r="I18">
        <v>860</v>
      </c>
      <c r="J18">
        <v>2009</v>
      </c>
      <c r="K18" s="4">
        <v>44851</v>
      </c>
      <c r="L18" t="s">
        <v>30</v>
      </c>
      <c r="M18" t="s">
        <v>42</v>
      </c>
      <c r="N18">
        <v>2.1</v>
      </c>
      <c r="O18">
        <v>2216</v>
      </c>
      <c r="P18">
        <v>0.24</v>
      </c>
      <c r="Q18">
        <v>45</v>
      </c>
      <c r="R18">
        <v>607</v>
      </c>
    </row>
    <row r="19" spans="1:18" hidden="1" x14ac:dyDescent="0.2">
      <c r="A19">
        <v>2</v>
      </c>
      <c r="B19" t="s">
        <v>72</v>
      </c>
      <c r="E19" t="s">
        <v>29</v>
      </c>
      <c r="F19">
        <v>2432278</v>
      </c>
      <c r="G19">
        <v>4</v>
      </c>
      <c r="H19">
        <v>3</v>
      </c>
      <c r="I19">
        <v>107</v>
      </c>
      <c r="J19">
        <v>1963</v>
      </c>
      <c r="K19" s="4">
        <v>45426</v>
      </c>
      <c r="L19" t="s">
        <v>23</v>
      </c>
      <c r="M19" t="s">
        <v>42</v>
      </c>
      <c r="N19">
        <v>1.88</v>
      </c>
      <c r="O19">
        <v>1289</v>
      </c>
      <c r="P19">
        <v>1.0900000000000001</v>
      </c>
      <c r="Q19">
        <v>386</v>
      </c>
      <c r="R19">
        <v>592</v>
      </c>
    </row>
    <row r="20" spans="1:18" hidden="1" x14ac:dyDescent="0.2">
      <c r="A20">
        <v>6</v>
      </c>
      <c r="B20" t="s">
        <v>98</v>
      </c>
      <c r="E20" t="s">
        <v>19</v>
      </c>
      <c r="F20">
        <v>1956168</v>
      </c>
      <c r="G20">
        <v>4</v>
      </c>
      <c r="H20">
        <v>2</v>
      </c>
      <c r="I20">
        <v>318</v>
      </c>
      <c r="J20">
        <v>1950</v>
      </c>
      <c r="K20" s="4">
        <v>45832</v>
      </c>
      <c r="L20" t="s">
        <v>30</v>
      </c>
      <c r="M20" t="s">
        <v>56</v>
      </c>
      <c r="N20">
        <v>2.6</v>
      </c>
      <c r="O20">
        <v>1156</v>
      </c>
      <c r="P20">
        <v>4.71</v>
      </c>
      <c r="Q20">
        <v>243</v>
      </c>
      <c r="R20">
        <v>550</v>
      </c>
    </row>
    <row r="21" spans="1:18" hidden="1" x14ac:dyDescent="0.2">
      <c r="A21">
        <v>7</v>
      </c>
      <c r="B21" t="s">
        <v>83</v>
      </c>
      <c r="E21" t="s">
        <v>103</v>
      </c>
      <c r="F21">
        <v>2561605</v>
      </c>
      <c r="G21">
        <v>3</v>
      </c>
      <c r="H21">
        <v>2</v>
      </c>
      <c r="I21">
        <v>494</v>
      </c>
      <c r="J21">
        <v>2021</v>
      </c>
      <c r="K21" s="4">
        <v>44557</v>
      </c>
      <c r="L21" t="s">
        <v>20</v>
      </c>
      <c r="M21" t="s">
        <v>54</v>
      </c>
      <c r="N21">
        <v>2.48</v>
      </c>
      <c r="O21">
        <v>1364</v>
      </c>
      <c r="P21">
        <v>2.31</v>
      </c>
      <c r="Q21">
        <v>280</v>
      </c>
      <c r="R21">
        <v>511</v>
      </c>
    </row>
    <row r="22" spans="1:18" hidden="1" x14ac:dyDescent="0.2">
      <c r="A22">
        <v>6</v>
      </c>
      <c r="B22" t="s">
        <v>100</v>
      </c>
      <c r="E22" t="s">
        <v>36</v>
      </c>
      <c r="F22">
        <v>523033</v>
      </c>
      <c r="G22">
        <v>3</v>
      </c>
      <c r="H22">
        <v>3</v>
      </c>
      <c r="I22">
        <v>788</v>
      </c>
      <c r="J22">
        <v>1991</v>
      </c>
      <c r="K22" s="4">
        <v>45796</v>
      </c>
      <c r="L22" t="s">
        <v>23</v>
      </c>
      <c r="M22" t="s">
        <v>89</v>
      </c>
      <c r="N22">
        <v>2.31</v>
      </c>
      <c r="O22">
        <v>921</v>
      </c>
      <c r="P22">
        <v>1.5</v>
      </c>
      <c r="Q22">
        <v>150</v>
      </c>
      <c r="R22">
        <v>581</v>
      </c>
    </row>
    <row r="23" spans="1:18" hidden="1" x14ac:dyDescent="0.2">
      <c r="A23">
        <v>1</v>
      </c>
      <c r="B23" t="s">
        <v>87</v>
      </c>
      <c r="E23" t="s">
        <v>36</v>
      </c>
      <c r="F23">
        <v>1151269</v>
      </c>
      <c r="G23">
        <v>4</v>
      </c>
      <c r="H23">
        <v>2</v>
      </c>
      <c r="I23">
        <v>957</v>
      </c>
      <c r="J23">
        <v>1988</v>
      </c>
      <c r="K23" s="4">
        <v>44140</v>
      </c>
      <c r="L23" t="s">
        <v>26</v>
      </c>
      <c r="M23" t="s">
        <v>42</v>
      </c>
      <c r="N23">
        <v>3.38</v>
      </c>
      <c r="O23">
        <v>2139</v>
      </c>
      <c r="P23">
        <v>1.68</v>
      </c>
      <c r="Q23">
        <v>352</v>
      </c>
      <c r="R23">
        <v>673</v>
      </c>
    </row>
    <row r="24" spans="1:18" hidden="1" x14ac:dyDescent="0.2">
      <c r="A24">
        <v>1</v>
      </c>
      <c r="B24" t="s">
        <v>53</v>
      </c>
      <c r="E24" t="s">
        <v>36</v>
      </c>
      <c r="F24">
        <v>2662784</v>
      </c>
      <c r="G24">
        <v>5</v>
      </c>
      <c r="H24">
        <v>1</v>
      </c>
      <c r="I24">
        <v>625</v>
      </c>
      <c r="J24">
        <v>1954</v>
      </c>
      <c r="K24" s="4">
        <v>44111</v>
      </c>
      <c r="L24" t="s">
        <v>23</v>
      </c>
      <c r="M24" t="s">
        <v>47</v>
      </c>
      <c r="N24">
        <v>2.6</v>
      </c>
      <c r="O24">
        <v>847</v>
      </c>
      <c r="P24">
        <v>2.06</v>
      </c>
      <c r="Q24">
        <v>259</v>
      </c>
      <c r="R24">
        <v>450</v>
      </c>
    </row>
    <row r="25" spans="1:18" hidden="1" x14ac:dyDescent="0.2">
      <c r="A25">
        <v>2</v>
      </c>
      <c r="B25" t="s">
        <v>80</v>
      </c>
      <c r="E25" t="s">
        <v>29</v>
      </c>
      <c r="F25">
        <v>605597</v>
      </c>
      <c r="G25">
        <v>5</v>
      </c>
      <c r="H25">
        <v>3</v>
      </c>
      <c r="I25">
        <v>183</v>
      </c>
      <c r="J25">
        <v>1999</v>
      </c>
      <c r="K25" s="4">
        <v>45502</v>
      </c>
      <c r="L25" t="s">
        <v>30</v>
      </c>
      <c r="M25" t="s">
        <v>37</v>
      </c>
      <c r="N25">
        <v>1.76</v>
      </c>
      <c r="O25">
        <v>1933</v>
      </c>
      <c r="P25">
        <v>0.39</v>
      </c>
      <c r="Q25">
        <v>278</v>
      </c>
      <c r="R25">
        <v>406</v>
      </c>
    </row>
    <row r="26" spans="1:18" hidden="1" x14ac:dyDescent="0.2">
      <c r="A26">
        <v>9</v>
      </c>
      <c r="B26" t="s">
        <v>44</v>
      </c>
      <c r="E26" t="s">
        <v>51</v>
      </c>
      <c r="F26">
        <v>1262106</v>
      </c>
      <c r="G26">
        <v>3</v>
      </c>
      <c r="H26">
        <v>1</v>
      </c>
      <c r="I26">
        <v>500</v>
      </c>
      <c r="J26">
        <v>1989</v>
      </c>
      <c r="K26" s="4">
        <v>44728</v>
      </c>
      <c r="L26" t="s">
        <v>23</v>
      </c>
      <c r="M26" t="s">
        <v>78</v>
      </c>
      <c r="N26">
        <v>3.06</v>
      </c>
      <c r="O26">
        <v>1083</v>
      </c>
      <c r="P26">
        <v>3.2</v>
      </c>
      <c r="Q26">
        <v>176</v>
      </c>
      <c r="R26">
        <v>700</v>
      </c>
    </row>
    <row r="27" spans="1:18" hidden="1" x14ac:dyDescent="0.2">
      <c r="A27">
        <v>5</v>
      </c>
      <c r="B27" t="s">
        <v>94</v>
      </c>
      <c r="E27" t="s">
        <v>29</v>
      </c>
      <c r="F27">
        <v>776773</v>
      </c>
      <c r="G27">
        <v>3</v>
      </c>
      <c r="H27">
        <v>3</v>
      </c>
      <c r="I27">
        <v>565</v>
      </c>
      <c r="J27">
        <v>2003</v>
      </c>
      <c r="K27" s="4">
        <v>44916</v>
      </c>
      <c r="L27" t="s">
        <v>30</v>
      </c>
      <c r="M27" t="s">
        <v>82</v>
      </c>
      <c r="N27">
        <v>1.56</v>
      </c>
      <c r="O27">
        <v>1293</v>
      </c>
      <c r="P27">
        <v>2.72</v>
      </c>
      <c r="Q27">
        <v>109</v>
      </c>
      <c r="R27">
        <v>696</v>
      </c>
    </row>
    <row r="28" spans="1:18" hidden="1" x14ac:dyDescent="0.2">
      <c r="A28">
        <v>1</v>
      </c>
      <c r="B28" t="s">
        <v>98</v>
      </c>
      <c r="E28" t="s">
        <v>29</v>
      </c>
      <c r="F28">
        <v>434401</v>
      </c>
      <c r="G28">
        <v>3</v>
      </c>
      <c r="H28">
        <v>1</v>
      </c>
      <c r="I28">
        <v>947</v>
      </c>
      <c r="J28">
        <v>1966</v>
      </c>
      <c r="K28" s="4">
        <v>44223</v>
      </c>
      <c r="L28" t="s">
        <v>30</v>
      </c>
      <c r="M28" t="s">
        <v>77</v>
      </c>
      <c r="N28">
        <v>2.9</v>
      </c>
      <c r="O28">
        <v>1544</v>
      </c>
      <c r="P28">
        <v>4.3499999999999996</v>
      </c>
      <c r="Q28">
        <v>163</v>
      </c>
      <c r="R28">
        <v>550</v>
      </c>
    </row>
    <row r="29" spans="1:18" hidden="1" x14ac:dyDescent="0.2">
      <c r="A29">
        <v>7</v>
      </c>
      <c r="B29" t="s">
        <v>86</v>
      </c>
      <c r="E29" t="s">
        <v>51</v>
      </c>
      <c r="F29">
        <v>1899449</v>
      </c>
      <c r="G29">
        <v>1</v>
      </c>
      <c r="H29">
        <v>3</v>
      </c>
      <c r="I29">
        <v>855</v>
      </c>
      <c r="J29">
        <v>1968</v>
      </c>
      <c r="K29" s="4">
        <v>44878</v>
      </c>
      <c r="L29" t="s">
        <v>30</v>
      </c>
      <c r="M29" t="s">
        <v>74</v>
      </c>
      <c r="N29">
        <v>3.39</v>
      </c>
      <c r="O29">
        <v>2148</v>
      </c>
      <c r="P29">
        <v>2.4</v>
      </c>
      <c r="Q29">
        <v>140</v>
      </c>
      <c r="R29">
        <v>663</v>
      </c>
    </row>
    <row r="30" spans="1:18" hidden="1" x14ac:dyDescent="0.2">
      <c r="A30">
        <v>0</v>
      </c>
      <c r="B30" t="s">
        <v>62</v>
      </c>
      <c r="E30" t="s">
        <v>19</v>
      </c>
      <c r="F30">
        <v>1546311</v>
      </c>
      <c r="G30">
        <v>5</v>
      </c>
      <c r="H30">
        <v>1</v>
      </c>
      <c r="I30">
        <v>898</v>
      </c>
      <c r="J30">
        <v>2017</v>
      </c>
      <c r="K30" s="4">
        <v>44358</v>
      </c>
      <c r="L30" t="s">
        <v>23</v>
      </c>
      <c r="M30" t="s">
        <v>63</v>
      </c>
      <c r="N30">
        <v>1.84</v>
      </c>
      <c r="O30">
        <v>1533</v>
      </c>
      <c r="P30">
        <v>2.4500000000000002</v>
      </c>
      <c r="Q30">
        <v>391</v>
      </c>
      <c r="R30">
        <v>303</v>
      </c>
    </row>
    <row r="31" spans="1:18" hidden="1" x14ac:dyDescent="0.2">
      <c r="A31">
        <v>4</v>
      </c>
      <c r="B31" t="s">
        <v>46</v>
      </c>
      <c r="E31" t="s">
        <v>51</v>
      </c>
      <c r="F31">
        <v>2042668</v>
      </c>
      <c r="G31">
        <v>5</v>
      </c>
      <c r="H31">
        <v>2</v>
      </c>
      <c r="I31">
        <v>87</v>
      </c>
      <c r="J31">
        <v>1962</v>
      </c>
      <c r="K31" s="4">
        <v>45771</v>
      </c>
      <c r="L31" t="s">
        <v>20</v>
      </c>
      <c r="M31" t="s">
        <v>60</v>
      </c>
      <c r="N31">
        <v>2.94</v>
      </c>
      <c r="O31">
        <v>1252</v>
      </c>
      <c r="P31">
        <v>2.33</v>
      </c>
      <c r="Q31">
        <v>354</v>
      </c>
      <c r="R31">
        <v>340</v>
      </c>
    </row>
    <row r="32" spans="1:18" hidden="1" x14ac:dyDescent="0.2">
      <c r="A32">
        <v>1</v>
      </c>
      <c r="B32" t="s">
        <v>86</v>
      </c>
      <c r="E32" t="s">
        <v>29</v>
      </c>
      <c r="F32">
        <v>2826982</v>
      </c>
      <c r="G32">
        <v>5</v>
      </c>
      <c r="H32">
        <v>1</v>
      </c>
      <c r="I32">
        <v>491</v>
      </c>
      <c r="J32">
        <v>2016</v>
      </c>
      <c r="K32" s="4">
        <v>44191</v>
      </c>
      <c r="L32" t="s">
        <v>30</v>
      </c>
      <c r="M32" t="s">
        <v>45</v>
      </c>
      <c r="N32">
        <v>2</v>
      </c>
      <c r="O32">
        <v>1513</v>
      </c>
      <c r="P32">
        <v>2.91</v>
      </c>
      <c r="Q32">
        <v>364</v>
      </c>
      <c r="R32">
        <v>579</v>
      </c>
    </row>
    <row r="33" spans="1:18" x14ac:dyDescent="0.2">
      <c r="A33">
        <v>8</v>
      </c>
      <c r="B33" t="s">
        <v>46</v>
      </c>
      <c r="C33" t="str">
        <f>VLOOKUP(B33, 'Council Area'!A2:B51, 2)</f>
        <v>Ku-ring-gai Council</v>
      </c>
      <c r="D33" t="str">
        <f>_xlfn.XLOOKUP(B33, 'Council Area'!A2:A51, 'Council Area'!B2:B51)</f>
        <v>Ku-ring-gai Council</v>
      </c>
      <c r="E33" t="s">
        <v>29</v>
      </c>
      <c r="F33">
        <v>538096</v>
      </c>
      <c r="G33">
        <v>4</v>
      </c>
      <c r="H33">
        <v>1</v>
      </c>
      <c r="I33">
        <v>236</v>
      </c>
      <c r="J33">
        <v>1996</v>
      </c>
      <c r="K33" s="4">
        <v>45610</v>
      </c>
      <c r="L33" t="s">
        <v>26</v>
      </c>
      <c r="M33" t="s">
        <v>58</v>
      </c>
      <c r="N33">
        <v>2.42</v>
      </c>
      <c r="O33">
        <v>1841</v>
      </c>
      <c r="P33">
        <v>3.87</v>
      </c>
      <c r="Q33">
        <v>243</v>
      </c>
      <c r="R33">
        <v>611</v>
      </c>
    </row>
    <row r="34" spans="1:18" hidden="1" x14ac:dyDescent="0.2">
      <c r="A34">
        <v>3</v>
      </c>
      <c r="B34" t="s">
        <v>18</v>
      </c>
      <c r="E34" t="s">
        <v>19</v>
      </c>
      <c r="F34">
        <v>1697132</v>
      </c>
      <c r="G34">
        <v>3</v>
      </c>
      <c r="H34">
        <v>2</v>
      </c>
      <c r="I34">
        <v>51</v>
      </c>
      <c r="J34">
        <v>1970</v>
      </c>
      <c r="K34" s="4">
        <v>45745</v>
      </c>
      <c r="L34" t="s">
        <v>26</v>
      </c>
      <c r="M34" t="s">
        <v>66</v>
      </c>
      <c r="N34">
        <v>2.64</v>
      </c>
      <c r="O34">
        <v>1779</v>
      </c>
      <c r="P34">
        <v>0.48</v>
      </c>
      <c r="Q34">
        <v>263</v>
      </c>
      <c r="R34">
        <v>491</v>
      </c>
    </row>
    <row r="35" spans="1:18" hidden="1" x14ac:dyDescent="0.2">
      <c r="A35">
        <v>0</v>
      </c>
      <c r="B35" t="s">
        <v>67</v>
      </c>
      <c r="E35" t="s">
        <v>36</v>
      </c>
      <c r="F35">
        <v>2140120</v>
      </c>
      <c r="G35">
        <v>6</v>
      </c>
      <c r="H35">
        <v>2</v>
      </c>
      <c r="I35">
        <v>139</v>
      </c>
      <c r="J35">
        <v>1993</v>
      </c>
      <c r="K35" s="4">
        <v>45157</v>
      </c>
      <c r="L35" t="s">
        <v>23</v>
      </c>
      <c r="M35" t="s">
        <v>59</v>
      </c>
      <c r="N35">
        <v>1.98</v>
      </c>
      <c r="O35">
        <v>1699</v>
      </c>
      <c r="P35">
        <v>1.94</v>
      </c>
      <c r="Q35">
        <v>358</v>
      </c>
      <c r="R35">
        <v>310</v>
      </c>
    </row>
    <row r="36" spans="1:18" hidden="1" x14ac:dyDescent="0.2">
      <c r="A36">
        <v>4</v>
      </c>
      <c r="B36" t="s">
        <v>62</v>
      </c>
      <c r="E36" t="s">
        <v>19</v>
      </c>
      <c r="F36">
        <v>2803271</v>
      </c>
      <c r="G36">
        <v>2</v>
      </c>
      <c r="H36">
        <v>2</v>
      </c>
      <c r="I36">
        <v>735</v>
      </c>
      <c r="J36">
        <v>2021</v>
      </c>
      <c r="K36" s="4">
        <v>45346</v>
      </c>
      <c r="L36" t="s">
        <v>20</v>
      </c>
      <c r="M36" t="s">
        <v>40</v>
      </c>
      <c r="N36">
        <v>1.65</v>
      </c>
      <c r="O36">
        <v>1025</v>
      </c>
      <c r="P36">
        <v>3.17</v>
      </c>
      <c r="Q36">
        <v>181</v>
      </c>
      <c r="R36">
        <v>339</v>
      </c>
    </row>
    <row r="37" spans="1:18" hidden="1" x14ac:dyDescent="0.2">
      <c r="A37">
        <v>1</v>
      </c>
      <c r="B37" t="s">
        <v>61</v>
      </c>
      <c r="E37" t="s">
        <v>36</v>
      </c>
      <c r="F37">
        <v>1711359</v>
      </c>
      <c r="G37">
        <v>1</v>
      </c>
      <c r="H37">
        <v>2</v>
      </c>
      <c r="I37">
        <v>797</v>
      </c>
      <c r="J37">
        <v>1972</v>
      </c>
      <c r="K37" s="4">
        <v>44674</v>
      </c>
      <c r="L37" t="s">
        <v>26</v>
      </c>
      <c r="M37" t="s">
        <v>70</v>
      </c>
      <c r="N37">
        <v>1.7</v>
      </c>
      <c r="O37">
        <v>1217</v>
      </c>
      <c r="P37">
        <v>3.25</v>
      </c>
      <c r="Q37">
        <v>90</v>
      </c>
      <c r="R37">
        <v>381</v>
      </c>
    </row>
    <row r="38" spans="1:18" x14ac:dyDescent="0.2">
      <c r="A38">
        <v>8</v>
      </c>
      <c r="B38" t="s">
        <v>44</v>
      </c>
      <c r="C38" t="str">
        <f>VLOOKUP(B38, 'Council Area'!$A$2:$B$51, 2)</f>
        <v>Inner West Council</v>
      </c>
      <c r="D38" t="str">
        <f>_xlfn.XLOOKUP(B38, 'Council Area'!$A$2:$A$51, 'Council Area'!$B$2:$B$51)</f>
        <v>Inner West Council</v>
      </c>
      <c r="E38" t="s">
        <v>29</v>
      </c>
      <c r="F38">
        <v>2488052</v>
      </c>
      <c r="G38">
        <v>0</v>
      </c>
      <c r="H38">
        <v>3</v>
      </c>
      <c r="I38">
        <v>632</v>
      </c>
      <c r="J38">
        <v>2011</v>
      </c>
      <c r="K38" s="4">
        <v>45680</v>
      </c>
      <c r="L38" t="s">
        <v>20</v>
      </c>
      <c r="M38" t="s">
        <v>54</v>
      </c>
      <c r="N38">
        <v>3.22</v>
      </c>
      <c r="O38">
        <v>1324</v>
      </c>
      <c r="P38">
        <v>2.96</v>
      </c>
      <c r="Q38">
        <v>77</v>
      </c>
      <c r="R38">
        <v>400</v>
      </c>
    </row>
    <row r="39" spans="1:18" hidden="1" x14ac:dyDescent="0.2">
      <c r="A39">
        <v>3</v>
      </c>
      <c r="B39" t="s">
        <v>80</v>
      </c>
      <c r="E39" t="s">
        <v>51</v>
      </c>
      <c r="F39">
        <v>2804395</v>
      </c>
      <c r="G39">
        <v>2</v>
      </c>
      <c r="H39">
        <v>2</v>
      </c>
      <c r="I39">
        <v>498</v>
      </c>
      <c r="J39">
        <v>1986</v>
      </c>
      <c r="K39" s="4">
        <v>44337</v>
      </c>
      <c r="L39" t="s">
        <v>23</v>
      </c>
      <c r="M39" t="s">
        <v>97</v>
      </c>
      <c r="N39">
        <v>2.25</v>
      </c>
      <c r="O39">
        <v>1491</v>
      </c>
      <c r="P39">
        <v>0.44</v>
      </c>
      <c r="Q39">
        <v>238</v>
      </c>
      <c r="R39">
        <v>360</v>
      </c>
    </row>
    <row r="40" spans="1:18" hidden="1" x14ac:dyDescent="0.2">
      <c r="A40">
        <v>1</v>
      </c>
      <c r="B40" t="s">
        <v>106</v>
      </c>
      <c r="E40" t="s">
        <v>19</v>
      </c>
      <c r="F40">
        <v>485888</v>
      </c>
      <c r="G40">
        <v>1</v>
      </c>
      <c r="H40">
        <v>2</v>
      </c>
      <c r="I40">
        <v>692</v>
      </c>
      <c r="J40">
        <v>1952</v>
      </c>
      <c r="K40" s="4">
        <v>44663</v>
      </c>
      <c r="L40" t="s">
        <v>20</v>
      </c>
      <c r="M40" t="s">
        <v>63</v>
      </c>
      <c r="N40">
        <v>1.82</v>
      </c>
      <c r="O40">
        <v>1104</v>
      </c>
      <c r="P40">
        <v>3.13</v>
      </c>
      <c r="Q40">
        <v>70</v>
      </c>
      <c r="R40">
        <v>689</v>
      </c>
    </row>
    <row r="41" spans="1:18" hidden="1" x14ac:dyDescent="0.2">
      <c r="A41">
        <v>1</v>
      </c>
      <c r="B41" t="s">
        <v>87</v>
      </c>
      <c r="E41" t="s">
        <v>19</v>
      </c>
      <c r="F41">
        <v>2322754</v>
      </c>
      <c r="G41">
        <v>0</v>
      </c>
      <c r="H41">
        <v>2</v>
      </c>
      <c r="I41">
        <v>892</v>
      </c>
      <c r="J41">
        <v>1958</v>
      </c>
      <c r="K41" s="4">
        <v>45627</v>
      </c>
      <c r="L41" t="s">
        <v>23</v>
      </c>
      <c r="M41" t="s">
        <v>54</v>
      </c>
      <c r="N41">
        <v>2.34</v>
      </c>
      <c r="O41">
        <v>1874</v>
      </c>
      <c r="P41">
        <v>3.46</v>
      </c>
      <c r="Q41">
        <v>45</v>
      </c>
      <c r="R41">
        <v>656</v>
      </c>
    </row>
    <row r="42" spans="1:18" x14ac:dyDescent="0.2">
      <c r="A42">
        <v>8</v>
      </c>
      <c r="B42" t="s">
        <v>98</v>
      </c>
      <c r="C42" t="str">
        <f>VLOOKUP(B42, 'Council Area'!$A$2:$B$51, 2)</f>
        <v>Parramatta City Council</v>
      </c>
      <c r="D42" t="str">
        <f>_xlfn.XLOOKUP(B42, 'Council Area'!$A$2:$A$51, 'Council Area'!$B$2:$B$51)</f>
        <v>Parramatta City Council</v>
      </c>
      <c r="E42" t="s">
        <v>36</v>
      </c>
      <c r="F42">
        <v>1256488</v>
      </c>
      <c r="G42">
        <v>3</v>
      </c>
      <c r="H42">
        <v>2</v>
      </c>
      <c r="I42">
        <v>777</v>
      </c>
      <c r="J42">
        <v>1969</v>
      </c>
      <c r="K42" s="4">
        <v>44673</v>
      </c>
      <c r="L42" t="s">
        <v>20</v>
      </c>
      <c r="M42" t="s">
        <v>40</v>
      </c>
      <c r="N42">
        <v>3.4</v>
      </c>
      <c r="O42">
        <v>1041</v>
      </c>
      <c r="P42">
        <v>4.1900000000000004</v>
      </c>
      <c r="Q42">
        <v>285</v>
      </c>
      <c r="R42">
        <v>665</v>
      </c>
    </row>
    <row r="43" spans="1:18" hidden="1" x14ac:dyDescent="0.2">
      <c r="A43">
        <v>3</v>
      </c>
      <c r="B43" t="s">
        <v>96</v>
      </c>
      <c r="E43" t="s">
        <v>29</v>
      </c>
      <c r="F43">
        <v>1736098</v>
      </c>
      <c r="G43">
        <v>5</v>
      </c>
      <c r="H43">
        <v>3</v>
      </c>
      <c r="I43">
        <v>128</v>
      </c>
      <c r="J43">
        <v>1973</v>
      </c>
      <c r="K43" s="4">
        <v>45501</v>
      </c>
      <c r="L43" t="s">
        <v>23</v>
      </c>
      <c r="M43" t="s">
        <v>56</v>
      </c>
      <c r="N43">
        <v>2.13</v>
      </c>
      <c r="O43">
        <v>1625</v>
      </c>
      <c r="P43">
        <v>3.09</v>
      </c>
      <c r="Q43">
        <v>274</v>
      </c>
      <c r="R43">
        <v>483</v>
      </c>
    </row>
    <row r="44" spans="1:18" x14ac:dyDescent="0.2">
      <c r="A44">
        <v>8</v>
      </c>
      <c r="B44" t="s">
        <v>75</v>
      </c>
      <c r="C44" t="str">
        <f>VLOOKUP(B44, 'Council Area'!$A$2:$B$51, 2)</f>
        <v>Inner West Council</v>
      </c>
      <c r="D44" t="str">
        <f>_xlfn.XLOOKUP(B44, 'Council Area'!$A$2:$A$51, 'Council Area'!$B$2:$B$51)</f>
        <v>Inner West Council</v>
      </c>
      <c r="E44" t="s">
        <v>29</v>
      </c>
      <c r="F44">
        <v>1778980</v>
      </c>
      <c r="G44">
        <v>5</v>
      </c>
      <c r="H44">
        <v>3</v>
      </c>
      <c r="I44">
        <v>941</v>
      </c>
      <c r="J44">
        <v>2002</v>
      </c>
      <c r="K44" s="4">
        <v>45727</v>
      </c>
      <c r="L44" t="s">
        <v>20</v>
      </c>
      <c r="M44" t="s">
        <v>45</v>
      </c>
      <c r="N44">
        <v>2.57</v>
      </c>
      <c r="O44">
        <v>2451</v>
      </c>
      <c r="P44">
        <v>4.0599999999999996</v>
      </c>
      <c r="Q44">
        <v>373</v>
      </c>
      <c r="R44">
        <v>606</v>
      </c>
    </row>
    <row r="45" spans="1:18" hidden="1" x14ac:dyDescent="0.2">
      <c r="A45">
        <v>9</v>
      </c>
      <c r="B45" t="s">
        <v>28</v>
      </c>
      <c r="E45" t="s">
        <v>36</v>
      </c>
      <c r="F45">
        <v>2524763</v>
      </c>
      <c r="G45">
        <v>3</v>
      </c>
      <c r="H45">
        <v>2</v>
      </c>
      <c r="I45">
        <v>349</v>
      </c>
      <c r="J45">
        <v>2005</v>
      </c>
      <c r="K45" s="4">
        <v>44082</v>
      </c>
      <c r="L45" t="s">
        <v>20</v>
      </c>
      <c r="M45" t="s">
        <v>37</v>
      </c>
      <c r="N45">
        <v>1.92</v>
      </c>
      <c r="O45">
        <v>1501</v>
      </c>
      <c r="P45">
        <v>3.66</v>
      </c>
      <c r="Q45">
        <v>115</v>
      </c>
      <c r="R45">
        <v>363</v>
      </c>
    </row>
    <row r="46" spans="1:18" hidden="1" x14ac:dyDescent="0.2">
      <c r="A46">
        <v>0</v>
      </c>
      <c r="B46" t="s">
        <v>34</v>
      </c>
      <c r="E46" t="s">
        <v>19</v>
      </c>
      <c r="F46">
        <v>2593186</v>
      </c>
      <c r="G46">
        <v>0</v>
      </c>
      <c r="H46">
        <v>2</v>
      </c>
      <c r="I46">
        <v>976</v>
      </c>
      <c r="J46">
        <v>1971</v>
      </c>
      <c r="K46" s="4">
        <v>44213</v>
      </c>
      <c r="L46" t="s">
        <v>30</v>
      </c>
      <c r="M46" t="s">
        <v>35</v>
      </c>
      <c r="N46">
        <v>1.66</v>
      </c>
      <c r="O46">
        <v>918</v>
      </c>
      <c r="P46">
        <v>0.11</v>
      </c>
      <c r="Q46">
        <v>42</v>
      </c>
      <c r="R46">
        <v>654</v>
      </c>
    </row>
    <row r="47" spans="1:18" hidden="1" x14ac:dyDescent="0.2">
      <c r="A47">
        <v>5</v>
      </c>
      <c r="B47" t="s">
        <v>25</v>
      </c>
      <c r="E47" t="s">
        <v>36</v>
      </c>
      <c r="F47">
        <v>2735765</v>
      </c>
      <c r="G47">
        <v>6</v>
      </c>
      <c r="H47">
        <v>1</v>
      </c>
      <c r="I47">
        <v>568</v>
      </c>
      <c r="J47">
        <v>2022</v>
      </c>
      <c r="K47" s="4">
        <v>44131</v>
      </c>
      <c r="L47" t="s">
        <v>26</v>
      </c>
      <c r="M47" t="s">
        <v>89</v>
      </c>
      <c r="N47">
        <v>3.44</v>
      </c>
      <c r="O47">
        <v>2167</v>
      </c>
      <c r="P47">
        <v>3.33</v>
      </c>
      <c r="Q47">
        <v>333</v>
      </c>
      <c r="R47">
        <v>611</v>
      </c>
    </row>
    <row r="48" spans="1:18" hidden="1" x14ac:dyDescent="0.2">
      <c r="A48">
        <v>3</v>
      </c>
      <c r="B48" t="s">
        <v>105</v>
      </c>
      <c r="E48" t="s">
        <v>51</v>
      </c>
      <c r="F48">
        <v>1776997</v>
      </c>
      <c r="G48">
        <v>2</v>
      </c>
      <c r="H48">
        <v>3</v>
      </c>
      <c r="I48">
        <v>70</v>
      </c>
      <c r="J48">
        <v>2003</v>
      </c>
      <c r="K48" s="4">
        <v>45077</v>
      </c>
      <c r="L48" t="s">
        <v>20</v>
      </c>
      <c r="M48" t="s">
        <v>74</v>
      </c>
      <c r="N48">
        <v>2.81</v>
      </c>
      <c r="O48">
        <v>953</v>
      </c>
      <c r="P48">
        <v>0.99</v>
      </c>
      <c r="Q48">
        <v>194</v>
      </c>
      <c r="R48">
        <v>625</v>
      </c>
    </row>
    <row r="49" spans="1:18" hidden="1" x14ac:dyDescent="0.2">
      <c r="A49">
        <v>5</v>
      </c>
      <c r="B49" t="s">
        <v>46</v>
      </c>
      <c r="E49" t="s">
        <v>29</v>
      </c>
      <c r="F49">
        <v>1812186</v>
      </c>
      <c r="G49">
        <v>3</v>
      </c>
      <c r="H49">
        <v>3</v>
      </c>
      <c r="I49">
        <v>167</v>
      </c>
      <c r="J49">
        <v>1999</v>
      </c>
      <c r="K49" s="4">
        <v>45831</v>
      </c>
      <c r="L49" t="s">
        <v>30</v>
      </c>
      <c r="M49" t="s">
        <v>33</v>
      </c>
      <c r="N49">
        <v>3.25</v>
      </c>
      <c r="O49">
        <v>1187</v>
      </c>
      <c r="P49">
        <v>4.5999999999999996</v>
      </c>
      <c r="Q49">
        <v>146</v>
      </c>
      <c r="R49">
        <v>573</v>
      </c>
    </row>
    <row r="50" spans="1:18" hidden="1" x14ac:dyDescent="0.2">
      <c r="A50">
        <v>6</v>
      </c>
      <c r="B50" t="s">
        <v>48</v>
      </c>
      <c r="E50" t="s">
        <v>29</v>
      </c>
      <c r="F50">
        <v>1854695</v>
      </c>
      <c r="G50">
        <v>3</v>
      </c>
      <c r="H50">
        <v>1</v>
      </c>
      <c r="I50">
        <v>901</v>
      </c>
      <c r="J50">
        <v>1971</v>
      </c>
      <c r="K50" s="4">
        <v>44103</v>
      </c>
      <c r="L50" t="s">
        <v>20</v>
      </c>
      <c r="M50" t="s">
        <v>45</v>
      </c>
      <c r="N50">
        <v>2.25</v>
      </c>
      <c r="O50">
        <v>1887</v>
      </c>
      <c r="P50">
        <v>4.32</v>
      </c>
      <c r="Q50">
        <v>209</v>
      </c>
      <c r="R50">
        <v>529</v>
      </c>
    </row>
    <row r="51" spans="1:18" hidden="1" x14ac:dyDescent="0.2">
      <c r="A51">
        <v>2</v>
      </c>
      <c r="B51" t="s">
        <v>50</v>
      </c>
      <c r="E51" t="s">
        <v>51</v>
      </c>
      <c r="F51">
        <v>2020143</v>
      </c>
      <c r="G51">
        <v>4</v>
      </c>
      <c r="H51">
        <v>1</v>
      </c>
      <c r="I51">
        <v>254</v>
      </c>
      <c r="J51">
        <v>1972</v>
      </c>
      <c r="K51" s="4">
        <v>44645</v>
      </c>
      <c r="L51" t="s">
        <v>30</v>
      </c>
      <c r="M51" t="s">
        <v>85</v>
      </c>
      <c r="N51">
        <v>2.31</v>
      </c>
      <c r="O51">
        <v>1474</v>
      </c>
      <c r="P51">
        <v>1.45</v>
      </c>
      <c r="Q51">
        <v>292</v>
      </c>
      <c r="R51">
        <v>429</v>
      </c>
    </row>
    <row r="52" spans="1:18" hidden="1" x14ac:dyDescent="0.2">
      <c r="A52">
        <v>0</v>
      </c>
      <c r="B52" t="s">
        <v>32</v>
      </c>
      <c r="E52" t="s">
        <v>19</v>
      </c>
      <c r="F52">
        <v>2239543</v>
      </c>
      <c r="G52">
        <v>1</v>
      </c>
      <c r="H52">
        <v>2</v>
      </c>
      <c r="I52">
        <v>586</v>
      </c>
      <c r="J52">
        <v>1986</v>
      </c>
      <c r="K52" s="4">
        <v>44383</v>
      </c>
      <c r="L52" t="s">
        <v>30</v>
      </c>
      <c r="M52" t="s">
        <v>63</v>
      </c>
      <c r="N52">
        <v>2.0099999999999998</v>
      </c>
      <c r="O52">
        <v>2350</v>
      </c>
      <c r="P52">
        <v>2.5499999999999998</v>
      </c>
      <c r="Q52">
        <v>65</v>
      </c>
      <c r="R52">
        <v>583</v>
      </c>
    </row>
    <row r="53" spans="1:18" hidden="1" x14ac:dyDescent="0.2">
      <c r="A53">
        <v>4</v>
      </c>
      <c r="B53" t="s">
        <v>39</v>
      </c>
      <c r="E53" t="s">
        <v>51</v>
      </c>
      <c r="F53">
        <v>1690089</v>
      </c>
      <c r="G53">
        <v>3</v>
      </c>
      <c r="H53">
        <v>2</v>
      </c>
      <c r="I53">
        <v>505</v>
      </c>
      <c r="J53">
        <v>1972</v>
      </c>
      <c r="K53" s="4">
        <v>45220</v>
      </c>
      <c r="L53" t="s">
        <v>30</v>
      </c>
      <c r="M53" t="s">
        <v>74</v>
      </c>
      <c r="N53">
        <v>3.42</v>
      </c>
      <c r="O53">
        <v>1966</v>
      </c>
      <c r="P53">
        <v>1.37</v>
      </c>
      <c r="Q53">
        <v>315</v>
      </c>
      <c r="R53">
        <v>658</v>
      </c>
    </row>
    <row r="54" spans="1:18" hidden="1" x14ac:dyDescent="0.2">
      <c r="A54">
        <v>2</v>
      </c>
      <c r="B54" t="s">
        <v>79</v>
      </c>
      <c r="E54" t="s">
        <v>36</v>
      </c>
      <c r="F54">
        <v>1579632</v>
      </c>
      <c r="G54">
        <v>4</v>
      </c>
      <c r="H54">
        <v>1</v>
      </c>
      <c r="I54">
        <v>714</v>
      </c>
      <c r="J54">
        <v>1959</v>
      </c>
      <c r="K54" s="4">
        <v>44561</v>
      </c>
      <c r="L54" t="s">
        <v>30</v>
      </c>
      <c r="M54" t="s">
        <v>69</v>
      </c>
      <c r="N54">
        <v>2.62</v>
      </c>
      <c r="O54">
        <v>2061</v>
      </c>
      <c r="P54">
        <v>2.14</v>
      </c>
      <c r="Q54">
        <v>163</v>
      </c>
      <c r="R54">
        <v>310</v>
      </c>
    </row>
    <row r="55" spans="1:18" hidden="1" x14ac:dyDescent="0.2">
      <c r="A55">
        <v>9</v>
      </c>
      <c r="B55" t="s">
        <v>67</v>
      </c>
      <c r="E55" t="s">
        <v>51</v>
      </c>
      <c r="F55">
        <v>494147</v>
      </c>
      <c r="G55">
        <v>3</v>
      </c>
      <c r="H55">
        <v>1</v>
      </c>
      <c r="I55">
        <v>790</v>
      </c>
      <c r="J55">
        <v>1953</v>
      </c>
      <c r="K55" s="4">
        <v>45183</v>
      </c>
      <c r="L55" t="s">
        <v>20</v>
      </c>
      <c r="M55" t="s">
        <v>78</v>
      </c>
      <c r="N55">
        <v>1.8</v>
      </c>
      <c r="O55">
        <v>2062</v>
      </c>
      <c r="P55">
        <v>3.05</v>
      </c>
      <c r="Q55">
        <v>184</v>
      </c>
      <c r="R55">
        <v>408</v>
      </c>
    </row>
    <row r="56" spans="1:18" x14ac:dyDescent="0.2">
      <c r="A56">
        <v>8</v>
      </c>
      <c r="B56" t="s">
        <v>99</v>
      </c>
      <c r="C56" t="str">
        <f>VLOOKUP(B56, 'Council Area'!$A$2:$B$51, 2)</f>
        <v>Canterbury-Bankstown Council</v>
      </c>
      <c r="D56" t="str">
        <f>_xlfn.XLOOKUP(B56, 'Council Area'!$A$2:$A$51, 'Council Area'!$B$2:$B$51)</f>
        <v>Canterbury-Bankstown Council</v>
      </c>
      <c r="E56" t="s">
        <v>19</v>
      </c>
      <c r="F56">
        <v>2085921</v>
      </c>
      <c r="G56">
        <v>6</v>
      </c>
      <c r="H56">
        <v>1</v>
      </c>
      <c r="I56">
        <v>998</v>
      </c>
      <c r="J56">
        <v>2021</v>
      </c>
      <c r="K56" s="4">
        <v>44512</v>
      </c>
      <c r="L56" t="s">
        <v>26</v>
      </c>
      <c r="M56" t="s">
        <v>37</v>
      </c>
      <c r="N56">
        <v>1.52</v>
      </c>
      <c r="O56">
        <v>1700</v>
      </c>
      <c r="P56">
        <v>4.09</v>
      </c>
      <c r="Q56">
        <v>355</v>
      </c>
      <c r="R56">
        <v>450</v>
      </c>
    </row>
    <row r="57" spans="1:18" hidden="1" x14ac:dyDescent="0.2">
      <c r="A57">
        <v>6</v>
      </c>
      <c r="B57" t="s">
        <v>48</v>
      </c>
      <c r="E57" t="s">
        <v>51</v>
      </c>
      <c r="F57">
        <v>1265093</v>
      </c>
      <c r="G57">
        <v>2</v>
      </c>
      <c r="H57">
        <v>1</v>
      </c>
      <c r="I57">
        <v>784</v>
      </c>
      <c r="J57">
        <v>1979</v>
      </c>
      <c r="K57" s="4">
        <v>44742</v>
      </c>
      <c r="L57" t="s">
        <v>26</v>
      </c>
      <c r="M57" t="s">
        <v>97</v>
      </c>
      <c r="N57">
        <v>2.59</v>
      </c>
      <c r="O57">
        <v>1356</v>
      </c>
      <c r="P57">
        <v>1.05</v>
      </c>
      <c r="Q57">
        <v>227</v>
      </c>
      <c r="R57">
        <v>337</v>
      </c>
    </row>
    <row r="58" spans="1:18" hidden="1" x14ac:dyDescent="0.2">
      <c r="A58">
        <v>3</v>
      </c>
      <c r="B58" t="s">
        <v>83</v>
      </c>
      <c r="E58" t="s">
        <v>51</v>
      </c>
      <c r="F58">
        <v>980954</v>
      </c>
      <c r="G58">
        <v>2</v>
      </c>
      <c r="H58">
        <v>1</v>
      </c>
      <c r="I58">
        <v>627</v>
      </c>
      <c r="J58">
        <v>2000</v>
      </c>
      <c r="K58" s="4">
        <v>44894</v>
      </c>
      <c r="L58" t="s">
        <v>30</v>
      </c>
      <c r="M58" t="s">
        <v>77</v>
      </c>
      <c r="N58">
        <v>3.44</v>
      </c>
      <c r="O58">
        <v>2452</v>
      </c>
      <c r="P58">
        <v>3.04</v>
      </c>
      <c r="Q58">
        <v>116</v>
      </c>
      <c r="R58">
        <v>572</v>
      </c>
    </row>
    <row r="59" spans="1:18" hidden="1" x14ac:dyDescent="0.2">
      <c r="A59">
        <v>2</v>
      </c>
      <c r="B59" t="s">
        <v>98</v>
      </c>
      <c r="E59" t="s">
        <v>36</v>
      </c>
      <c r="F59">
        <v>1995915</v>
      </c>
      <c r="G59">
        <v>4</v>
      </c>
      <c r="H59">
        <v>3</v>
      </c>
      <c r="I59">
        <v>241</v>
      </c>
      <c r="J59">
        <v>1955</v>
      </c>
      <c r="K59" s="4">
        <v>44639</v>
      </c>
      <c r="L59" t="s">
        <v>30</v>
      </c>
      <c r="M59" t="s">
        <v>70</v>
      </c>
      <c r="N59">
        <v>2.1</v>
      </c>
      <c r="O59">
        <v>897</v>
      </c>
      <c r="P59">
        <v>4.8899999999999997</v>
      </c>
      <c r="Q59">
        <v>372</v>
      </c>
      <c r="R59">
        <v>604</v>
      </c>
    </row>
    <row r="60" spans="1:18" hidden="1" x14ac:dyDescent="0.2">
      <c r="A60">
        <v>3</v>
      </c>
      <c r="B60" t="s">
        <v>64</v>
      </c>
      <c r="E60" t="s">
        <v>51</v>
      </c>
      <c r="F60">
        <v>2900417</v>
      </c>
      <c r="G60">
        <v>0</v>
      </c>
      <c r="H60">
        <v>3</v>
      </c>
      <c r="I60">
        <v>416</v>
      </c>
      <c r="J60">
        <v>2010</v>
      </c>
      <c r="K60" s="4">
        <v>44511</v>
      </c>
      <c r="L60" t="s">
        <v>30</v>
      </c>
      <c r="M60" t="s">
        <v>31</v>
      </c>
      <c r="N60">
        <v>3.48</v>
      </c>
      <c r="O60">
        <v>2183</v>
      </c>
      <c r="P60">
        <v>3.83</v>
      </c>
      <c r="Q60">
        <v>59</v>
      </c>
      <c r="R60">
        <v>482</v>
      </c>
    </row>
    <row r="61" spans="1:18" hidden="1" x14ac:dyDescent="0.2">
      <c r="A61">
        <v>0</v>
      </c>
      <c r="B61" t="s">
        <v>102</v>
      </c>
      <c r="E61" t="s">
        <v>51</v>
      </c>
      <c r="F61">
        <v>2254111</v>
      </c>
      <c r="G61">
        <v>2</v>
      </c>
      <c r="H61">
        <v>2</v>
      </c>
      <c r="I61">
        <v>312</v>
      </c>
      <c r="J61">
        <v>1969</v>
      </c>
      <c r="K61" s="4">
        <v>44460</v>
      </c>
      <c r="L61" t="s">
        <v>20</v>
      </c>
      <c r="M61" t="s">
        <v>37</v>
      </c>
      <c r="N61">
        <v>1.56</v>
      </c>
      <c r="O61">
        <v>1647</v>
      </c>
      <c r="P61">
        <v>4.7</v>
      </c>
      <c r="Q61">
        <v>58</v>
      </c>
      <c r="R61">
        <v>397</v>
      </c>
    </row>
    <row r="62" spans="1:18" hidden="1" x14ac:dyDescent="0.2">
      <c r="A62">
        <v>0</v>
      </c>
      <c r="B62" t="s">
        <v>50</v>
      </c>
      <c r="E62" t="s">
        <v>51</v>
      </c>
      <c r="F62">
        <v>2664502</v>
      </c>
      <c r="G62">
        <v>0</v>
      </c>
      <c r="H62">
        <v>2</v>
      </c>
      <c r="I62">
        <v>572</v>
      </c>
      <c r="J62">
        <v>2016</v>
      </c>
      <c r="K62" s="4">
        <v>45740</v>
      </c>
      <c r="L62" t="s">
        <v>26</v>
      </c>
      <c r="M62" t="s">
        <v>74</v>
      </c>
      <c r="N62">
        <v>3.15</v>
      </c>
      <c r="O62">
        <v>891</v>
      </c>
      <c r="P62">
        <v>0.71</v>
      </c>
      <c r="Q62">
        <v>79</v>
      </c>
      <c r="R62">
        <v>352</v>
      </c>
    </row>
    <row r="63" spans="1:18" hidden="1" x14ac:dyDescent="0.2">
      <c r="A63">
        <v>3</v>
      </c>
      <c r="B63" t="s">
        <v>32</v>
      </c>
      <c r="E63" t="s">
        <v>36</v>
      </c>
      <c r="F63">
        <v>1833385</v>
      </c>
      <c r="G63">
        <v>4</v>
      </c>
      <c r="H63">
        <v>1</v>
      </c>
      <c r="I63">
        <v>281</v>
      </c>
      <c r="J63">
        <v>2014</v>
      </c>
      <c r="K63" s="4">
        <v>45359</v>
      </c>
      <c r="L63" t="s">
        <v>26</v>
      </c>
      <c r="M63" t="s">
        <v>21</v>
      </c>
      <c r="N63">
        <v>3.41</v>
      </c>
      <c r="O63">
        <v>980</v>
      </c>
      <c r="P63">
        <v>4.34</v>
      </c>
      <c r="Q63">
        <v>271</v>
      </c>
      <c r="R63">
        <v>699</v>
      </c>
    </row>
    <row r="64" spans="1:18" hidden="1" x14ac:dyDescent="0.2">
      <c r="A64">
        <v>7</v>
      </c>
      <c r="B64" t="s">
        <v>106</v>
      </c>
      <c r="E64" t="s">
        <v>51</v>
      </c>
      <c r="F64">
        <v>1411887</v>
      </c>
      <c r="G64">
        <v>3</v>
      </c>
      <c r="H64">
        <v>1</v>
      </c>
      <c r="I64">
        <v>151</v>
      </c>
      <c r="J64">
        <v>2018</v>
      </c>
      <c r="K64" s="4">
        <v>44092</v>
      </c>
      <c r="L64" t="s">
        <v>30</v>
      </c>
      <c r="M64" t="s">
        <v>97</v>
      </c>
      <c r="N64">
        <v>3.12</v>
      </c>
      <c r="O64">
        <v>2331</v>
      </c>
      <c r="P64">
        <v>3.15</v>
      </c>
      <c r="Q64">
        <v>300</v>
      </c>
      <c r="R64">
        <v>538</v>
      </c>
    </row>
    <row r="65" spans="1:18" hidden="1" x14ac:dyDescent="0.2">
      <c r="A65">
        <v>7</v>
      </c>
      <c r="B65" t="s">
        <v>18</v>
      </c>
      <c r="E65" t="s">
        <v>51</v>
      </c>
      <c r="F65">
        <v>2251516</v>
      </c>
      <c r="G65">
        <v>1</v>
      </c>
      <c r="H65">
        <v>2</v>
      </c>
      <c r="I65">
        <v>725</v>
      </c>
      <c r="J65">
        <v>1991</v>
      </c>
      <c r="K65" s="4">
        <v>45718</v>
      </c>
      <c r="L65" t="s">
        <v>26</v>
      </c>
      <c r="M65" t="s">
        <v>56</v>
      </c>
      <c r="N65">
        <v>2.14</v>
      </c>
      <c r="O65">
        <v>1812</v>
      </c>
      <c r="P65">
        <v>1.75</v>
      </c>
      <c r="Q65">
        <v>60</v>
      </c>
      <c r="R65">
        <v>385</v>
      </c>
    </row>
    <row r="66" spans="1:18" hidden="1" x14ac:dyDescent="0.2">
      <c r="A66">
        <v>4</v>
      </c>
      <c r="B66" t="s">
        <v>38</v>
      </c>
      <c r="E66" t="s">
        <v>51</v>
      </c>
      <c r="F66">
        <v>2639521</v>
      </c>
      <c r="G66">
        <v>1</v>
      </c>
      <c r="H66">
        <v>3</v>
      </c>
      <c r="I66">
        <v>265</v>
      </c>
      <c r="J66">
        <v>1950</v>
      </c>
      <c r="K66" s="4">
        <v>44328</v>
      </c>
      <c r="L66" t="s">
        <v>30</v>
      </c>
      <c r="M66" t="s">
        <v>21</v>
      </c>
      <c r="N66">
        <v>1.65</v>
      </c>
      <c r="O66">
        <v>1287</v>
      </c>
      <c r="P66">
        <v>0.57999999999999996</v>
      </c>
      <c r="Q66">
        <v>80</v>
      </c>
      <c r="R66">
        <v>384</v>
      </c>
    </row>
    <row r="67" spans="1:18" hidden="1" x14ac:dyDescent="0.2">
      <c r="A67">
        <v>4</v>
      </c>
      <c r="B67" t="s">
        <v>90</v>
      </c>
      <c r="E67" t="s">
        <v>19</v>
      </c>
      <c r="F67">
        <v>2948168</v>
      </c>
      <c r="G67">
        <v>2</v>
      </c>
      <c r="H67">
        <v>1</v>
      </c>
      <c r="I67">
        <v>215</v>
      </c>
      <c r="J67">
        <v>1976</v>
      </c>
      <c r="K67" s="4">
        <v>44530</v>
      </c>
      <c r="L67" t="s">
        <v>20</v>
      </c>
      <c r="M67" t="s">
        <v>76</v>
      </c>
      <c r="N67">
        <v>3.32</v>
      </c>
      <c r="O67">
        <v>852</v>
      </c>
      <c r="P67">
        <v>1.5</v>
      </c>
      <c r="Q67">
        <v>140</v>
      </c>
      <c r="R67">
        <v>688</v>
      </c>
    </row>
    <row r="68" spans="1:18" x14ac:dyDescent="0.2">
      <c r="A68">
        <v>8</v>
      </c>
      <c r="B68" t="s">
        <v>73</v>
      </c>
      <c r="C68" t="str">
        <f>VLOOKUP(B68, 'Council Area'!$A$2:$B$51, 2)</f>
        <v>Ku-ring-gai Council</v>
      </c>
      <c r="D68" t="str">
        <f>_xlfn.XLOOKUP(B68, 'Council Area'!$A$2:$A$51, 'Council Area'!$B$2:$B$51)</f>
        <v>Ku-ring-gai Council</v>
      </c>
      <c r="E68" t="s">
        <v>19</v>
      </c>
      <c r="F68">
        <v>1484200</v>
      </c>
      <c r="G68">
        <v>2</v>
      </c>
      <c r="H68">
        <v>2</v>
      </c>
      <c r="I68">
        <v>948</v>
      </c>
      <c r="J68">
        <v>1998</v>
      </c>
      <c r="K68" s="4">
        <v>44179</v>
      </c>
      <c r="L68" t="s">
        <v>23</v>
      </c>
      <c r="M68" t="s">
        <v>21</v>
      </c>
      <c r="N68">
        <v>3.42</v>
      </c>
      <c r="O68">
        <v>1487</v>
      </c>
      <c r="P68">
        <v>4.03</v>
      </c>
      <c r="Q68">
        <v>116</v>
      </c>
      <c r="R68">
        <v>658</v>
      </c>
    </row>
    <row r="69" spans="1:18" hidden="1" x14ac:dyDescent="0.2">
      <c r="A69">
        <v>2</v>
      </c>
      <c r="B69" t="s">
        <v>94</v>
      </c>
      <c r="E69" t="s">
        <v>51</v>
      </c>
      <c r="F69">
        <v>1633616</v>
      </c>
      <c r="G69">
        <v>5</v>
      </c>
      <c r="H69">
        <v>3</v>
      </c>
      <c r="I69">
        <v>584</v>
      </c>
      <c r="J69">
        <v>1953</v>
      </c>
      <c r="K69" s="4">
        <v>44980</v>
      </c>
      <c r="L69" t="s">
        <v>20</v>
      </c>
      <c r="M69" t="s">
        <v>52</v>
      </c>
      <c r="N69">
        <v>2.16</v>
      </c>
      <c r="O69">
        <v>2337</v>
      </c>
      <c r="P69">
        <v>2.08</v>
      </c>
      <c r="Q69">
        <v>302</v>
      </c>
      <c r="R69">
        <v>419</v>
      </c>
    </row>
    <row r="70" spans="1:18" hidden="1" x14ac:dyDescent="0.2">
      <c r="A70">
        <v>6</v>
      </c>
      <c r="B70" t="s">
        <v>90</v>
      </c>
      <c r="E70" t="s">
        <v>36</v>
      </c>
      <c r="F70">
        <v>2914399</v>
      </c>
      <c r="G70">
        <v>3</v>
      </c>
      <c r="H70">
        <v>1</v>
      </c>
      <c r="I70">
        <v>284</v>
      </c>
      <c r="J70">
        <v>1993</v>
      </c>
      <c r="K70" s="4">
        <v>45408</v>
      </c>
      <c r="L70" t="s">
        <v>30</v>
      </c>
      <c r="M70" t="s">
        <v>31</v>
      </c>
      <c r="N70">
        <v>1.7</v>
      </c>
      <c r="O70">
        <v>1741</v>
      </c>
      <c r="P70">
        <v>2.29</v>
      </c>
      <c r="Q70">
        <v>246</v>
      </c>
      <c r="R70">
        <v>354</v>
      </c>
    </row>
    <row r="71" spans="1:18" hidden="1" x14ac:dyDescent="0.2">
      <c r="A71">
        <v>4</v>
      </c>
      <c r="B71" t="s">
        <v>81</v>
      </c>
      <c r="E71" t="s">
        <v>19</v>
      </c>
      <c r="F71">
        <v>1459070</v>
      </c>
      <c r="G71">
        <v>2</v>
      </c>
      <c r="H71">
        <v>3</v>
      </c>
      <c r="I71">
        <v>583</v>
      </c>
      <c r="J71">
        <v>1968</v>
      </c>
      <c r="K71" s="4">
        <v>45705</v>
      </c>
      <c r="L71" t="s">
        <v>23</v>
      </c>
      <c r="M71" t="s">
        <v>76</v>
      </c>
      <c r="N71">
        <v>2.7</v>
      </c>
      <c r="O71">
        <v>1727</v>
      </c>
      <c r="P71">
        <v>3.24</v>
      </c>
      <c r="Q71">
        <v>136</v>
      </c>
      <c r="R71">
        <v>650</v>
      </c>
    </row>
    <row r="72" spans="1:18" hidden="1" x14ac:dyDescent="0.2">
      <c r="A72">
        <v>0</v>
      </c>
      <c r="B72" t="s">
        <v>87</v>
      </c>
      <c r="E72" t="s">
        <v>51</v>
      </c>
      <c r="F72">
        <v>1817047</v>
      </c>
      <c r="G72">
        <v>4</v>
      </c>
      <c r="H72">
        <v>2</v>
      </c>
      <c r="I72">
        <v>786</v>
      </c>
      <c r="J72">
        <v>1957</v>
      </c>
      <c r="K72" s="4">
        <v>45067</v>
      </c>
      <c r="L72" t="s">
        <v>26</v>
      </c>
      <c r="M72" t="s">
        <v>78</v>
      </c>
      <c r="N72">
        <v>1.56</v>
      </c>
      <c r="O72">
        <v>2252</v>
      </c>
      <c r="P72">
        <v>0.72</v>
      </c>
      <c r="Q72">
        <v>241</v>
      </c>
      <c r="R72">
        <v>410</v>
      </c>
    </row>
    <row r="73" spans="1:18" hidden="1" x14ac:dyDescent="0.2">
      <c r="A73">
        <v>0</v>
      </c>
      <c r="B73" t="s">
        <v>83</v>
      </c>
      <c r="E73" t="s">
        <v>51</v>
      </c>
      <c r="F73">
        <v>2935312</v>
      </c>
      <c r="G73">
        <v>5</v>
      </c>
      <c r="H73">
        <v>1</v>
      </c>
      <c r="I73">
        <v>382</v>
      </c>
      <c r="J73">
        <v>1992</v>
      </c>
      <c r="K73" s="4">
        <v>45001</v>
      </c>
      <c r="L73" t="s">
        <v>26</v>
      </c>
      <c r="M73" t="s">
        <v>37</v>
      </c>
      <c r="N73">
        <v>1.66</v>
      </c>
      <c r="O73">
        <v>961</v>
      </c>
      <c r="P73">
        <v>4.71</v>
      </c>
      <c r="Q73">
        <v>272</v>
      </c>
      <c r="R73">
        <v>322</v>
      </c>
    </row>
    <row r="74" spans="1:18" hidden="1" x14ac:dyDescent="0.2">
      <c r="A74">
        <v>0</v>
      </c>
      <c r="B74" t="s">
        <v>53</v>
      </c>
      <c r="E74" t="s">
        <v>51</v>
      </c>
      <c r="F74">
        <v>1580090</v>
      </c>
      <c r="G74">
        <v>2</v>
      </c>
      <c r="H74">
        <v>2</v>
      </c>
      <c r="I74">
        <v>667</v>
      </c>
      <c r="J74">
        <v>1967</v>
      </c>
      <c r="K74" s="4">
        <v>44383</v>
      </c>
      <c r="L74" t="s">
        <v>26</v>
      </c>
      <c r="M74" t="s">
        <v>85</v>
      </c>
      <c r="N74">
        <v>1.57</v>
      </c>
      <c r="O74">
        <v>1239</v>
      </c>
      <c r="P74">
        <v>1.42</v>
      </c>
      <c r="Q74">
        <v>92</v>
      </c>
      <c r="R74">
        <v>500</v>
      </c>
    </row>
    <row r="75" spans="1:18" hidden="1" x14ac:dyDescent="0.2">
      <c r="A75">
        <v>2</v>
      </c>
      <c r="B75" t="s">
        <v>105</v>
      </c>
      <c r="E75" t="s">
        <v>36</v>
      </c>
      <c r="F75">
        <v>2376880</v>
      </c>
      <c r="G75">
        <v>5</v>
      </c>
      <c r="H75">
        <v>1</v>
      </c>
      <c r="I75">
        <v>956</v>
      </c>
      <c r="J75">
        <v>1998</v>
      </c>
      <c r="K75" s="4">
        <v>45095</v>
      </c>
      <c r="L75" t="s">
        <v>26</v>
      </c>
      <c r="M75" t="s">
        <v>89</v>
      </c>
      <c r="N75">
        <v>2.59</v>
      </c>
      <c r="O75">
        <v>1650</v>
      </c>
      <c r="P75">
        <v>2.1</v>
      </c>
      <c r="Q75">
        <v>290</v>
      </c>
      <c r="R75">
        <v>680</v>
      </c>
    </row>
    <row r="76" spans="1:18" hidden="1" x14ac:dyDescent="0.2">
      <c r="A76">
        <v>7</v>
      </c>
      <c r="B76" t="s">
        <v>34</v>
      </c>
      <c r="E76" t="s">
        <v>36</v>
      </c>
      <c r="F76">
        <v>990663</v>
      </c>
      <c r="G76">
        <v>3</v>
      </c>
      <c r="H76">
        <v>3</v>
      </c>
      <c r="I76">
        <v>375</v>
      </c>
      <c r="J76">
        <v>2017</v>
      </c>
      <c r="K76" s="4">
        <v>45000</v>
      </c>
      <c r="L76" t="s">
        <v>23</v>
      </c>
      <c r="M76" t="s">
        <v>24</v>
      </c>
      <c r="N76">
        <v>1.53</v>
      </c>
      <c r="O76">
        <v>2142</v>
      </c>
      <c r="P76">
        <v>3.16</v>
      </c>
      <c r="Q76">
        <v>230</v>
      </c>
      <c r="R76">
        <v>636</v>
      </c>
    </row>
    <row r="77" spans="1:18" hidden="1" x14ac:dyDescent="0.2">
      <c r="A77">
        <v>4</v>
      </c>
      <c r="B77" t="s">
        <v>105</v>
      </c>
      <c r="E77" t="s">
        <v>51</v>
      </c>
      <c r="F77">
        <v>691135</v>
      </c>
      <c r="G77">
        <v>5</v>
      </c>
      <c r="H77">
        <v>3</v>
      </c>
      <c r="I77">
        <v>768</v>
      </c>
      <c r="J77">
        <v>1991</v>
      </c>
      <c r="K77" s="4">
        <v>44575</v>
      </c>
      <c r="L77" t="s">
        <v>23</v>
      </c>
      <c r="M77" t="s">
        <v>58</v>
      </c>
      <c r="N77">
        <v>3</v>
      </c>
      <c r="O77">
        <v>851</v>
      </c>
      <c r="P77">
        <v>1.37</v>
      </c>
      <c r="Q77">
        <v>350</v>
      </c>
      <c r="R77">
        <v>442</v>
      </c>
    </row>
    <row r="78" spans="1:18" hidden="1" x14ac:dyDescent="0.2">
      <c r="A78">
        <v>2</v>
      </c>
      <c r="B78" t="s">
        <v>94</v>
      </c>
      <c r="E78" t="s">
        <v>29</v>
      </c>
      <c r="F78">
        <v>1532380</v>
      </c>
      <c r="G78">
        <v>4</v>
      </c>
      <c r="H78">
        <v>2</v>
      </c>
      <c r="I78">
        <v>332</v>
      </c>
      <c r="J78">
        <v>1972</v>
      </c>
      <c r="K78" s="4">
        <v>45591</v>
      </c>
      <c r="L78" t="s">
        <v>23</v>
      </c>
      <c r="M78" t="s">
        <v>59</v>
      </c>
      <c r="N78">
        <v>1.69</v>
      </c>
      <c r="O78">
        <v>883</v>
      </c>
      <c r="P78">
        <v>0.21</v>
      </c>
      <c r="Q78">
        <v>172</v>
      </c>
      <c r="R78">
        <v>688</v>
      </c>
    </row>
    <row r="79" spans="1:18" hidden="1" x14ac:dyDescent="0.2">
      <c r="A79">
        <v>5</v>
      </c>
      <c r="B79" t="s">
        <v>32</v>
      </c>
      <c r="E79" t="s">
        <v>51</v>
      </c>
      <c r="F79">
        <v>1493898</v>
      </c>
      <c r="G79">
        <v>3</v>
      </c>
      <c r="H79">
        <v>1</v>
      </c>
      <c r="I79">
        <v>251</v>
      </c>
      <c r="J79">
        <v>1971</v>
      </c>
      <c r="K79" s="4">
        <v>45455</v>
      </c>
      <c r="L79" t="s">
        <v>23</v>
      </c>
      <c r="M79" t="s">
        <v>78</v>
      </c>
      <c r="N79">
        <v>3.29</v>
      </c>
      <c r="O79">
        <v>1341</v>
      </c>
      <c r="P79">
        <v>3.13</v>
      </c>
      <c r="Q79">
        <v>231</v>
      </c>
      <c r="R79">
        <v>497</v>
      </c>
    </row>
    <row r="80" spans="1:18" hidden="1" x14ac:dyDescent="0.2">
      <c r="A80">
        <v>6</v>
      </c>
      <c r="B80" t="s">
        <v>95</v>
      </c>
      <c r="E80" t="s">
        <v>36</v>
      </c>
      <c r="F80">
        <v>1212119</v>
      </c>
      <c r="G80">
        <v>1</v>
      </c>
      <c r="H80">
        <v>1</v>
      </c>
      <c r="I80">
        <v>750</v>
      </c>
      <c r="J80">
        <v>2010</v>
      </c>
      <c r="K80" s="4">
        <v>44314</v>
      </c>
      <c r="L80" t="s">
        <v>23</v>
      </c>
      <c r="M80" t="s">
        <v>66</v>
      </c>
      <c r="N80">
        <v>3.37</v>
      </c>
      <c r="O80">
        <v>1319</v>
      </c>
      <c r="P80">
        <v>1.8</v>
      </c>
      <c r="Q80">
        <v>155</v>
      </c>
      <c r="R80">
        <v>634</v>
      </c>
    </row>
    <row r="81" spans="1:18" hidden="1" x14ac:dyDescent="0.2">
      <c r="A81">
        <v>3</v>
      </c>
      <c r="B81" t="s">
        <v>93</v>
      </c>
      <c r="E81" t="s">
        <v>29</v>
      </c>
      <c r="F81">
        <v>2360422</v>
      </c>
      <c r="G81">
        <v>5</v>
      </c>
      <c r="H81">
        <v>2</v>
      </c>
      <c r="I81">
        <v>948</v>
      </c>
      <c r="J81">
        <v>1977</v>
      </c>
      <c r="K81" s="4">
        <v>44605</v>
      </c>
      <c r="L81" t="s">
        <v>20</v>
      </c>
      <c r="M81" t="s">
        <v>58</v>
      </c>
      <c r="N81">
        <v>3.23</v>
      </c>
      <c r="O81">
        <v>1683</v>
      </c>
      <c r="P81">
        <v>1.62</v>
      </c>
      <c r="Q81">
        <v>346</v>
      </c>
      <c r="R81">
        <v>657</v>
      </c>
    </row>
    <row r="82" spans="1:18" x14ac:dyDescent="0.2">
      <c r="A82">
        <v>8</v>
      </c>
      <c r="B82" t="s">
        <v>91</v>
      </c>
      <c r="C82" t="str">
        <f>VLOOKUP(B82, 'Council Area'!$A$2:$B$51, 2)</f>
        <v>Northern Beaches Council</v>
      </c>
      <c r="D82" t="str">
        <f>_xlfn.XLOOKUP(B82, 'Council Area'!$A$2:$A$51, 'Council Area'!$B$2:$B$51)</f>
        <v>Northern Beaches Council</v>
      </c>
      <c r="E82" t="s">
        <v>51</v>
      </c>
      <c r="F82">
        <v>1226492</v>
      </c>
      <c r="G82">
        <v>0</v>
      </c>
      <c r="H82">
        <v>2</v>
      </c>
      <c r="I82">
        <v>453</v>
      </c>
      <c r="J82">
        <v>1964</v>
      </c>
      <c r="K82" s="4">
        <v>44667</v>
      </c>
      <c r="L82" t="s">
        <v>23</v>
      </c>
      <c r="M82" t="s">
        <v>35</v>
      </c>
      <c r="N82">
        <v>2.08</v>
      </c>
      <c r="O82">
        <v>2087</v>
      </c>
      <c r="P82">
        <v>0.46</v>
      </c>
      <c r="Q82">
        <v>72</v>
      </c>
      <c r="R82">
        <v>556</v>
      </c>
    </row>
    <row r="83" spans="1:18" hidden="1" x14ac:dyDescent="0.2">
      <c r="A83">
        <v>6</v>
      </c>
      <c r="B83" t="s">
        <v>41</v>
      </c>
      <c r="E83" t="s">
        <v>36</v>
      </c>
      <c r="F83">
        <v>755550</v>
      </c>
      <c r="G83">
        <v>1</v>
      </c>
      <c r="H83">
        <v>2</v>
      </c>
      <c r="I83">
        <v>542</v>
      </c>
      <c r="J83">
        <v>1985</v>
      </c>
      <c r="K83" s="4">
        <v>44588</v>
      </c>
      <c r="L83" t="s">
        <v>30</v>
      </c>
      <c r="M83" t="s">
        <v>54</v>
      </c>
      <c r="N83">
        <v>1.7</v>
      </c>
      <c r="O83">
        <v>1556</v>
      </c>
      <c r="P83">
        <v>4.4800000000000004</v>
      </c>
      <c r="Q83">
        <v>137</v>
      </c>
      <c r="R83">
        <v>559</v>
      </c>
    </row>
    <row r="84" spans="1:18" hidden="1" x14ac:dyDescent="0.2">
      <c r="A84">
        <v>6</v>
      </c>
      <c r="B84" t="s">
        <v>43</v>
      </c>
      <c r="E84" t="s">
        <v>51</v>
      </c>
      <c r="F84">
        <v>1139513</v>
      </c>
      <c r="G84">
        <v>4</v>
      </c>
      <c r="H84">
        <v>1</v>
      </c>
      <c r="I84">
        <v>996</v>
      </c>
      <c r="J84">
        <v>1987</v>
      </c>
      <c r="K84" s="4">
        <v>44092</v>
      </c>
      <c r="L84" t="s">
        <v>26</v>
      </c>
      <c r="M84" t="s">
        <v>40</v>
      </c>
      <c r="N84">
        <v>1.96</v>
      </c>
      <c r="O84">
        <v>1089</v>
      </c>
      <c r="P84">
        <v>3.13</v>
      </c>
      <c r="Q84">
        <v>350</v>
      </c>
      <c r="R84">
        <v>349</v>
      </c>
    </row>
    <row r="85" spans="1:18" hidden="1" x14ac:dyDescent="0.2">
      <c r="A85">
        <v>6</v>
      </c>
      <c r="B85" t="s">
        <v>39</v>
      </c>
      <c r="E85" t="s">
        <v>29</v>
      </c>
      <c r="F85">
        <v>2416831</v>
      </c>
      <c r="G85">
        <v>5</v>
      </c>
      <c r="H85">
        <v>2</v>
      </c>
      <c r="I85">
        <v>361</v>
      </c>
      <c r="J85">
        <v>1990</v>
      </c>
      <c r="K85" s="4">
        <v>44672</v>
      </c>
      <c r="L85" t="s">
        <v>20</v>
      </c>
      <c r="M85" t="s">
        <v>47</v>
      </c>
      <c r="N85">
        <v>2.36</v>
      </c>
      <c r="O85">
        <v>1509</v>
      </c>
      <c r="P85">
        <v>4.4000000000000004</v>
      </c>
      <c r="Q85">
        <v>250</v>
      </c>
      <c r="R85">
        <v>660</v>
      </c>
    </row>
    <row r="86" spans="1:18" hidden="1" x14ac:dyDescent="0.2">
      <c r="A86">
        <v>2</v>
      </c>
      <c r="B86" t="s">
        <v>34</v>
      </c>
      <c r="E86" t="s">
        <v>29</v>
      </c>
      <c r="F86">
        <v>1128096</v>
      </c>
      <c r="G86">
        <v>3</v>
      </c>
      <c r="H86">
        <v>1</v>
      </c>
      <c r="I86">
        <v>931</v>
      </c>
      <c r="J86">
        <v>1998</v>
      </c>
      <c r="K86" s="4">
        <v>44906</v>
      </c>
      <c r="L86" t="s">
        <v>30</v>
      </c>
      <c r="M86" t="s">
        <v>60</v>
      </c>
      <c r="N86">
        <v>2.82</v>
      </c>
      <c r="O86">
        <v>1475</v>
      </c>
      <c r="P86">
        <v>2.44</v>
      </c>
      <c r="Q86">
        <v>206</v>
      </c>
      <c r="R86">
        <v>643</v>
      </c>
    </row>
    <row r="87" spans="1:18" hidden="1" x14ac:dyDescent="0.2">
      <c r="A87">
        <v>3</v>
      </c>
      <c r="B87" t="s">
        <v>94</v>
      </c>
      <c r="E87" t="s">
        <v>36</v>
      </c>
      <c r="F87">
        <v>2713954</v>
      </c>
      <c r="G87">
        <v>3</v>
      </c>
      <c r="H87">
        <v>1</v>
      </c>
      <c r="I87">
        <v>552</v>
      </c>
      <c r="J87">
        <v>1972</v>
      </c>
      <c r="K87" s="4">
        <v>45776</v>
      </c>
      <c r="L87" t="s">
        <v>30</v>
      </c>
      <c r="M87" t="s">
        <v>60</v>
      </c>
      <c r="N87">
        <v>2.5</v>
      </c>
      <c r="O87">
        <v>2281</v>
      </c>
      <c r="P87">
        <v>1.07</v>
      </c>
      <c r="Q87">
        <v>169</v>
      </c>
      <c r="R87">
        <v>386</v>
      </c>
    </row>
    <row r="88" spans="1:18" hidden="1" x14ac:dyDescent="0.2">
      <c r="A88">
        <v>9</v>
      </c>
      <c r="B88" t="s">
        <v>34</v>
      </c>
      <c r="E88" t="s">
        <v>51</v>
      </c>
      <c r="F88">
        <v>2813121</v>
      </c>
      <c r="G88">
        <v>6</v>
      </c>
      <c r="H88">
        <v>3</v>
      </c>
      <c r="I88">
        <v>283</v>
      </c>
      <c r="J88">
        <v>1969</v>
      </c>
      <c r="K88" s="4">
        <v>45212</v>
      </c>
      <c r="L88" t="s">
        <v>20</v>
      </c>
      <c r="M88" t="s">
        <v>33</v>
      </c>
      <c r="N88">
        <v>2.86</v>
      </c>
      <c r="O88">
        <v>1415</v>
      </c>
      <c r="P88">
        <v>0.44</v>
      </c>
      <c r="Q88">
        <v>372</v>
      </c>
      <c r="R88">
        <v>449</v>
      </c>
    </row>
    <row r="89" spans="1:18" hidden="1" x14ac:dyDescent="0.2">
      <c r="A89">
        <v>1</v>
      </c>
      <c r="B89" t="s">
        <v>79</v>
      </c>
      <c r="E89" t="s">
        <v>19</v>
      </c>
      <c r="F89">
        <v>881816</v>
      </c>
      <c r="G89">
        <v>3</v>
      </c>
      <c r="H89">
        <v>2</v>
      </c>
      <c r="I89">
        <v>738</v>
      </c>
      <c r="J89">
        <v>1984</v>
      </c>
      <c r="K89" s="4">
        <v>45355</v>
      </c>
      <c r="L89" t="s">
        <v>30</v>
      </c>
      <c r="M89" t="s">
        <v>24</v>
      </c>
      <c r="N89">
        <v>1.8</v>
      </c>
      <c r="O89">
        <v>1303</v>
      </c>
      <c r="P89">
        <v>1.84</v>
      </c>
      <c r="Q89">
        <v>188</v>
      </c>
      <c r="R89">
        <v>425</v>
      </c>
    </row>
    <row r="90" spans="1:18" hidden="1" x14ac:dyDescent="0.2">
      <c r="A90">
        <v>5</v>
      </c>
      <c r="B90" t="s">
        <v>101</v>
      </c>
      <c r="E90" t="s">
        <v>36</v>
      </c>
      <c r="F90">
        <v>2848223</v>
      </c>
      <c r="G90">
        <v>2</v>
      </c>
      <c r="H90">
        <v>1</v>
      </c>
      <c r="I90">
        <v>386</v>
      </c>
      <c r="J90">
        <v>1976</v>
      </c>
      <c r="K90" s="4">
        <v>45314</v>
      </c>
      <c r="L90" t="s">
        <v>20</v>
      </c>
      <c r="M90" t="s">
        <v>45</v>
      </c>
      <c r="N90">
        <v>1.85</v>
      </c>
      <c r="O90">
        <v>2137</v>
      </c>
      <c r="P90">
        <v>3.96</v>
      </c>
      <c r="Q90">
        <v>104</v>
      </c>
      <c r="R90">
        <v>517</v>
      </c>
    </row>
    <row r="91" spans="1:18" hidden="1" x14ac:dyDescent="0.2">
      <c r="A91">
        <v>3</v>
      </c>
      <c r="B91" t="s">
        <v>93</v>
      </c>
      <c r="E91" t="s">
        <v>51</v>
      </c>
      <c r="F91">
        <v>2029488</v>
      </c>
      <c r="G91">
        <v>5</v>
      </c>
      <c r="H91">
        <v>1</v>
      </c>
      <c r="I91">
        <v>524</v>
      </c>
      <c r="J91">
        <v>1982</v>
      </c>
      <c r="K91" s="4">
        <v>45855</v>
      </c>
      <c r="L91" t="s">
        <v>26</v>
      </c>
      <c r="M91" t="s">
        <v>69</v>
      </c>
      <c r="N91">
        <v>2.82</v>
      </c>
      <c r="O91">
        <v>2045</v>
      </c>
      <c r="P91">
        <v>3.06</v>
      </c>
      <c r="Q91">
        <v>274</v>
      </c>
      <c r="R91">
        <v>422</v>
      </c>
    </row>
    <row r="92" spans="1:18" hidden="1" x14ac:dyDescent="0.2">
      <c r="A92">
        <v>2</v>
      </c>
      <c r="B92" t="s">
        <v>67</v>
      </c>
      <c r="E92" t="s">
        <v>19</v>
      </c>
      <c r="F92">
        <v>1740428</v>
      </c>
      <c r="G92">
        <v>3</v>
      </c>
      <c r="H92">
        <v>1</v>
      </c>
      <c r="I92">
        <v>92</v>
      </c>
      <c r="J92">
        <v>1968</v>
      </c>
      <c r="K92" s="4">
        <v>45261</v>
      </c>
      <c r="L92" t="s">
        <v>23</v>
      </c>
      <c r="M92" t="s">
        <v>74</v>
      </c>
      <c r="N92">
        <v>2.61</v>
      </c>
      <c r="O92">
        <v>1627</v>
      </c>
      <c r="P92">
        <v>2.63</v>
      </c>
      <c r="Q92">
        <v>254</v>
      </c>
      <c r="R92">
        <v>404</v>
      </c>
    </row>
    <row r="93" spans="1:18" hidden="1" x14ac:dyDescent="0.2">
      <c r="A93">
        <v>4</v>
      </c>
      <c r="B93" t="s">
        <v>71</v>
      </c>
      <c r="E93" t="s">
        <v>51</v>
      </c>
      <c r="F93">
        <v>1892543</v>
      </c>
      <c r="G93">
        <v>3</v>
      </c>
      <c r="H93">
        <v>3</v>
      </c>
      <c r="I93">
        <v>719</v>
      </c>
      <c r="J93">
        <v>2012</v>
      </c>
      <c r="K93" s="4">
        <v>45869</v>
      </c>
      <c r="L93" t="s">
        <v>26</v>
      </c>
      <c r="M93" t="s">
        <v>69</v>
      </c>
      <c r="N93">
        <v>2.76</v>
      </c>
      <c r="O93">
        <v>2268</v>
      </c>
      <c r="P93">
        <v>3.55</v>
      </c>
      <c r="Q93">
        <v>112</v>
      </c>
      <c r="R93">
        <v>623</v>
      </c>
    </row>
    <row r="94" spans="1:18" hidden="1" x14ac:dyDescent="0.2">
      <c r="A94">
        <v>4</v>
      </c>
      <c r="B94" t="s">
        <v>92</v>
      </c>
      <c r="E94" t="s">
        <v>51</v>
      </c>
      <c r="F94">
        <v>1626201</v>
      </c>
      <c r="G94">
        <v>4</v>
      </c>
      <c r="H94">
        <v>2</v>
      </c>
      <c r="I94">
        <v>528</v>
      </c>
      <c r="J94">
        <v>1974</v>
      </c>
      <c r="K94" s="4">
        <v>44187</v>
      </c>
      <c r="L94" t="s">
        <v>20</v>
      </c>
      <c r="M94" t="s">
        <v>69</v>
      </c>
      <c r="N94">
        <v>1.98</v>
      </c>
      <c r="O94">
        <v>1730</v>
      </c>
      <c r="P94">
        <v>4.8099999999999996</v>
      </c>
      <c r="Q94">
        <v>216</v>
      </c>
      <c r="R94">
        <v>640</v>
      </c>
    </row>
    <row r="95" spans="1:18" hidden="1" x14ac:dyDescent="0.2">
      <c r="A95">
        <v>1</v>
      </c>
      <c r="B95" t="s">
        <v>65</v>
      </c>
      <c r="E95" t="s">
        <v>29</v>
      </c>
      <c r="F95">
        <v>2300067</v>
      </c>
      <c r="G95">
        <v>2</v>
      </c>
      <c r="H95">
        <v>2</v>
      </c>
      <c r="I95">
        <v>488</v>
      </c>
      <c r="J95">
        <v>1954</v>
      </c>
      <c r="K95" s="4">
        <v>45531</v>
      </c>
      <c r="L95" t="s">
        <v>23</v>
      </c>
      <c r="M95" t="s">
        <v>58</v>
      </c>
      <c r="N95">
        <v>1.63</v>
      </c>
      <c r="O95">
        <v>1713</v>
      </c>
      <c r="P95">
        <v>0.2</v>
      </c>
      <c r="Q95">
        <v>152</v>
      </c>
      <c r="R95">
        <v>498</v>
      </c>
    </row>
    <row r="96" spans="1:18" hidden="1" x14ac:dyDescent="0.2">
      <c r="A96">
        <v>3</v>
      </c>
      <c r="B96" t="s">
        <v>50</v>
      </c>
      <c r="E96" t="s">
        <v>19</v>
      </c>
      <c r="F96">
        <v>466781</v>
      </c>
      <c r="G96">
        <v>0</v>
      </c>
      <c r="H96">
        <v>3</v>
      </c>
      <c r="I96">
        <v>663</v>
      </c>
      <c r="J96">
        <v>1967</v>
      </c>
      <c r="K96" s="4">
        <v>45509</v>
      </c>
      <c r="L96" t="s">
        <v>26</v>
      </c>
      <c r="M96" t="s">
        <v>66</v>
      </c>
      <c r="N96">
        <v>2.73</v>
      </c>
      <c r="O96">
        <v>1910</v>
      </c>
      <c r="P96">
        <v>1.8</v>
      </c>
      <c r="Q96">
        <v>76</v>
      </c>
      <c r="R96">
        <v>571</v>
      </c>
    </row>
    <row r="97" spans="1:18" hidden="1" x14ac:dyDescent="0.2">
      <c r="A97">
        <v>0</v>
      </c>
      <c r="B97" t="s">
        <v>72</v>
      </c>
      <c r="E97" t="s">
        <v>36</v>
      </c>
      <c r="F97">
        <v>2465986</v>
      </c>
      <c r="G97">
        <v>4</v>
      </c>
      <c r="H97">
        <v>2</v>
      </c>
      <c r="I97">
        <v>809</v>
      </c>
      <c r="J97">
        <v>1958</v>
      </c>
      <c r="K97" s="4">
        <v>45407</v>
      </c>
      <c r="L97" t="s">
        <v>26</v>
      </c>
      <c r="M97" t="s">
        <v>54</v>
      </c>
      <c r="N97">
        <v>1.91</v>
      </c>
      <c r="O97">
        <v>2181</v>
      </c>
      <c r="P97">
        <v>2.78</v>
      </c>
      <c r="Q97">
        <v>366</v>
      </c>
      <c r="R97">
        <v>420</v>
      </c>
    </row>
    <row r="98" spans="1:18" hidden="1" x14ac:dyDescent="0.2">
      <c r="A98">
        <v>5</v>
      </c>
      <c r="B98" t="s">
        <v>64</v>
      </c>
      <c r="E98" t="s">
        <v>36</v>
      </c>
      <c r="F98">
        <v>2672341</v>
      </c>
      <c r="G98">
        <v>4</v>
      </c>
      <c r="H98">
        <v>1</v>
      </c>
      <c r="I98">
        <v>500</v>
      </c>
      <c r="J98">
        <v>1951</v>
      </c>
      <c r="K98" s="4">
        <v>45566</v>
      </c>
      <c r="L98" t="s">
        <v>26</v>
      </c>
      <c r="M98" t="s">
        <v>66</v>
      </c>
      <c r="N98">
        <v>3.25</v>
      </c>
      <c r="O98">
        <v>2227</v>
      </c>
      <c r="P98">
        <v>4.92</v>
      </c>
      <c r="Q98">
        <v>349</v>
      </c>
      <c r="R98">
        <v>554</v>
      </c>
    </row>
    <row r="99" spans="1:18" hidden="1" x14ac:dyDescent="0.2">
      <c r="A99">
        <v>3</v>
      </c>
      <c r="B99" t="s">
        <v>72</v>
      </c>
      <c r="E99" t="s">
        <v>19</v>
      </c>
      <c r="F99">
        <v>2054716</v>
      </c>
      <c r="G99">
        <v>4</v>
      </c>
      <c r="H99">
        <v>1</v>
      </c>
      <c r="I99">
        <v>969</v>
      </c>
      <c r="J99">
        <v>1993</v>
      </c>
      <c r="K99" s="4">
        <v>45277</v>
      </c>
      <c r="L99" t="s">
        <v>30</v>
      </c>
      <c r="M99" t="s">
        <v>70</v>
      </c>
      <c r="N99">
        <v>1.93</v>
      </c>
      <c r="O99">
        <v>978</v>
      </c>
      <c r="P99">
        <v>4.32</v>
      </c>
      <c r="Q99">
        <v>326</v>
      </c>
      <c r="R99">
        <v>510</v>
      </c>
    </row>
    <row r="100" spans="1:18" hidden="1" x14ac:dyDescent="0.2">
      <c r="A100">
        <v>2</v>
      </c>
      <c r="B100" t="s">
        <v>81</v>
      </c>
      <c r="E100" t="s">
        <v>51</v>
      </c>
      <c r="F100">
        <v>406239</v>
      </c>
      <c r="G100">
        <v>4</v>
      </c>
      <c r="H100">
        <v>2</v>
      </c>
      <c r="I100">
        <v>630</v>
      </c>
      <c r="J100">
        <v>1958</v>
      </c>
      <c r="K100" s="4">
        <v>44766</v>
      </c>
      <c r="L100" t="s">
        <v>23</v>
      </c>
      <c r="M100" t="s">
        <v>76</v>
      </c>
      <c r="N100">
        <v>1.88</v>
      </c>
      <c r="O100">
        <v>940</v>
      </c>
      <c r="P100">
        <v>0.85</v>
      </c>
      <c r="Q100">
        <v>266</v>
      </c>
      <c r="R100">
        <v>514</v>
      </c>
    </row>
    <row r="101" spans="1:18" hidden="1" x14ac:dyDescent="0.2">
      <c r="A101">
        <v>6</v>
      </c>
      <c r="B101" t="s">
        <v>67</v>
      </c>
      <c r="E101" t="s">
        <v>29</v>
      </c>
      <c r="F101">
        <v>2874071</v>
      </c>
      <c r="G101">
        <v>0</v>
      </c>
      <c r="H101">
        <v>3</v>
      </c>
      <c r="I101">
        <v>590</v>
      </c>
      <c r="J101">
        <v>1966</v>
      </c>
      <c r="K101" s="4">
        <v>45144</v>
      </c>
      <c r="L101" t="s">
        <v>30</v>
      </c>
      <c r="M101" t="s">
        <v>31</v>
      </c>
      <c r="N101">
        <v>2.38</v>
      </c>
      <c r="O101">
        <v>1840</v>
      </c>
      <c r="P101">
        <v>3.12</v>
      </c>
      <c r="Q101">
        <v>48</v>
      </c>
      <c r="R101">
        <v>669</v>
      </c>
    </row>
    <row r="102" spans="1:18" hidden="1" x14ac:dyDescent="0.2">
      <c r="A102">
        <v>4</v>
      </c>
      <c r="B102" t="s">
        <v>25</v>
      </c>
      <c r="E102" t="s">
        <v>19</v>
      </c>
      <c r="F102">
        <v>2377115</v>
      </c>
      <c r="G102">
        <v>5</v>
      </c>
      <c r="H102">
        <v>3</v>
      </c>
      <c r="I102">
        <v>989</v>
      </c>
      <c r="J102">
        <v>1954</v>
      </c>
      <c r="K102" s="4">
        <v>45532</v>
      </c>
      <c r="L102" t="s">
        <v>20</v>
      </c>
      <c r="M102" t="s">
        <v>63</v>
      </c>
      <c r="N102">
        <v>2.71</v>
      </c>
      <c r="O102">
        <v>2114</v>
      </c>
      <c r="P102">
        <v>1.57</v>
      </c>
      <c r="Q102">
        <v>323</v>
      </c>
      <c r="R102">
        <v>663</v>
      </c>
    </row>
    <row r="103" spans="1:18" hidden="1" x14ac:dyDescent="0.2">
      <c r="A103">
        <v>1</v>
      </c>
      <c r="B103" t="s">
        <v>87</v>
      </c>
      <c r="E103" t="s">
        <v>29</v>
      </c>
      <c r="F103">
        <v>2378244</v>
      </c>
      <c r="G103">
        <v>1</v>
      </c>
      <c r="H103">
        <v>2</v>
      </c>
      <c r="I103">
        <v>761</v>
      </c>
      <c r="J103">
        <v>1955</v>
      </c>
      <c r="K103" s="4">
        <v>45158</v>
      </c>
      <c r="L103" t="s">
        <v>23</v>
      </c>
      <c r="M103" t="s">
        <v>74</v>
      </c>
      <c r="N103">
        <v>3.28</v>
      </c>
      <c r="O103">
        <v>1056</v>
      </c>
      <c r="P103">
        <v>4.87</v>
      </c>
      <c r="Q103">
        <v>159</v>
      </c>
      <c r="R103">
        <v>562</v>
      </c>
    </row>
    <row r="104" spans="1:18" hidden="1" x14ac:dyDescent="0.2">
      <c r="A104">
        <v>4</v>
      </c>
      <c r="B104" t="s">
        <v>84</v>
      </c>
      <c r="E104" t="s">
        <v>19</v>
      </c>
      <c r="F104">
        <v>1542491</v>
      </c>
      <c r="G104">
        <v>2</v>
      </c>
      <c r="H104">
        <v>2</v>
      </c>
      <c r="I104">
        <v>467</v>
      </c>
      <c r="J104">
        <v>1988</v>
      </c>
      <c r="K104" s="4">
        <v>44199</v>
      </c>
      <c r="L104" t="s">
        <v>26</v>
      </c>
      <c r="M104" t="s">
        <v>35</v>
      </c>
      <c r="N104">
        <v>3.26</v>
      </c>
      <c r="O104">
        <v>1781</v>
      </c>
      <c r="P104">
        <v>2.58</v>
      </c>
      <c r="Q104">
        <v>230</v>
      </c>
      <c r="R104">
        <v>571</v>
      </c>
    </row>
    <row r="105" spans="1:18" hidden="1" x14ac:dyDescent="0.2">
      <c r="A105">
        <v>1</v>
      </c>
      <c r="B105" t="s">
        <v>62</v>
      </c>
      <c r="E105" t="s">
        <v>19</v>
      </c>
      <c r="F105">
        <v>1557202</v>
      </c>
      <c r="G105">
        <v>2</v>
      </c>
      <c r="H105">
        <v>1</v>
      </c>
      <c r="I105">
        <v>603</v>
      </c>
      <c r="J105">
        <v>1978</v>
      </c>
      <c r="K105" s="4">
        <v>44070</v>
      </c>
      <c r="L105" t="s">
        <v>23</v>
      </c>
      <c r="M105" t="s">
        <v>82</v>
      </c>
      <c r="N105">
        <v>2.4700000000000002</v>
      </c>
      <c r="O105">
        <v>1113</v>
      </c>
      <c r="P105">
        <v>3.5</v>
      </c>
      <c r="Q105">
        <v>43</v>
      </c>
      <c r="R105">
        <v>514</v>
      </c>
    </row>
    <row r="106" spans="1:18" hidden="1" x14ac:dyDescent="0.2">
      <c r="A106">
        <v>0</v>
      </c>
      <c r="B106" t="s">
        <v>90</v>
      </c>
      <c r="E106" t="s">
        <v>36</v>
      </c>
      <c r="F106">
        <v>1104181</v>
      </c>
      <c r="G106">
        <v>3</v>
      </c>
      <c r="H106">
        <v>3</v>
      </c>
      <c r="I106">
        <v>666</v>
      </c>
      <c r="J106">
        <v>2018</v>
      </c>
      <c r="K106" s="4">
        <v>45469</v>
      </c>
      <c r="L106" t="s">
        <v>30</v>
      </c>
      <c r="M106" t="s">
        <v>33</v>
      </c>
      <c r="N106">
        <v>3.36</v>
      </c>
      <c r="O106">
        <v>2265</v>
      </c>
      <c r="P106">
        <v>0.85</v>
      </c>
      <c r="Q106">
        <v>135</v>
      </c>
      <c r="R106">
        <v>574</v>
      </c>
    </row>
    <row r="107" spans="1:18" hidden="1" x14ac:dyDescent="0.2">
      <c r="A107">
        <v>7</v>
      </c>
      <c r="B107" t="s">
        <v>99</v>
      </c>
      <c r="E107" t="s">
        <v>36</v>
      </c>
      <c r="F107">
        <v>1854747</v>
      </c>
      <c r="G107">
        <v>2</v>
      </c>
      <c r="H107">
        <v>1</v>
      </c>
      <c r="I107">
        <v>604</v>
      </c>
      <c r="J107">
        <v>2009</v>
      </c>
      <c r="K107" s="4">
        <v>45646</v>
      </c>
      <c r="L107" t="s">
        <v>30</v>
      </c>
      <c r="M107" t="s">
        <v>97</v>
      </c>
      <c r="N107">
        <v>3.46</v>
      </c>
      <c r="O107">
        <v>1846</v>
      </c>
      <c r="P107">
        <v>4.74</v>
      </c>
      <c r="Q107">
        <v>177</v>
      </c>
      <c r="R107">
        <v>404</v>
      </c>
    </row>
    <row r="108" spans="1:18" hidden="1" x14ac:dyDescent="0.2">
      <c r="A108">
        <v>3</v>
      </c>
      <c r="B108" t="s">
        <v>104</v>
      </c>
      <c r="E108" t="s">
        <v>51</v>
      </c>
      <c r="F108">
        <v>652364</v>
      </c>
      <c r="G108">
        <v>5</v>
      </c>
      <c r="H108">
        <v>2</v>
      </c>
      <c r="I108">
        <v>540</v>
      </c>
      <c r="J108">
        <v>1971</v>
      </c>
      <c r="K108" s="4">
        <v>45566</v>
      </c>
      <c r="L108" t="s">
        <v>20</v>
      </c>
      <c r="M108" t="s">
        <v>37</v>
      </c>
      <c r="N108">
        <v>1.88</v>
      </c>
      <c r="O108">
        <v>1302</v>
      </c>
      <c r="P108">
        <v>1.55</v>
      </c>
      <c r="Q108">
        <v>243</v>
      </c>
      <c r="R108">
        <v>652</v>
      </c>
    </row>
    <row r="109" spans="1:18" hidden="1" x14ac:dyDescent="0.2">
      <c r="A109">
        <v>5</v>
      </c>
      <c r="B109" t="s">
        <v>64</v>
      </c>
      <c r="E109" t="s">
        <v>19</v>
      </c>
      <c r="F109">
        <v>2573638</v>
      </c>
      <c r="G109">
        <v>3</v>
      </c>
      <c r="H109">
        <v>3</v>
      </c>
      <c r="I109">
        <v>839</v>
      </c>
      <c r="J109">
        <v>2010</v>
      </c>
      <c r="K109" s="4">
        <v>44601</v>
      </c>
      <c r="L109" t="s">
        <v>30</v>
      </c>
      <c r="M109" t="s">
        <v>31</v>
      </c>
      <c r="N109">
        <v>2.3199999999999998</v>
      </c>
      <c r="O109">
        <v>951</v>
      </c>
      <c r="P109">
        <v>2.13</v>
      </c>
      <c r="Q109">
        <v>245</v>
      </c>
      <c r="R109">
        <v>628</v>
      </c>
    </row>
    <row r="110" spans="1:18" hidden="1" x14ac:dyDescent="0.2">
      <c r="A110">
        <v>5</v>
      </c>
      <c r="B110" t="s">
        <v>102</v>
      </c>
      <c r="E110" t="s">
        <v>36</v>
      </c>
      <c r="F110">
        <v>2807812</v>
      </c>
      <c r="G110">
        <v>4</v>
      </c>
      <c r="H110">
        <v>3</v>
      </c>
      <c r="I110">
        <v>66</v>
      </c>
      <c r="J110">
        <v>1958</v>
      </c>
      <c r="K110" s="4">
        <v>45751</v>
      </c>
      <c r="L110" t="s">
        <v>20</v>
      </c>
      <c r="M110" t="s">
        <v>78</v>
      </c>
      <c r="N110">
        <v>1.58</v>
      </c>
      <c r="O110">
        <v>1498</v>
      </c>
      <c r="P110">
        <v>0.89</v>
      </c>
      <c r="Q110">
        <v>304</v>
      </c>
      <c r="R110">
        <v>438</v>
      </c>
    </row>
    <row r="111" spans="1:18" hidden="1" x14ac:dyDescent="0.2">
      <c r="A111">
        <v>4</v>
      </c>
      <c r="B111" t="s">
        <v>87</v>
      </c>
      <c r="E111" t="s">
        <v>51</v>
      </c>
      <c r="F111">
        <v>1680623</v>
      </c>
      <c r="G111">
        <v>1</v>
      </c>
      <c r="H111">
        <v>2</v>
      </c>
      <c r="I111">
        <v>642</v>
      </c>
      <c r="J111">
        <v>2014</v>
      </c>
      <c r="K111" s="4">
        <v>45038</v>
      </c>
      <c r="L111" t="s">
        <v>30</v>
      </c>
      <c r="M111" t="s">
        <v>77</v>
      </c>
      <c r="N111">
        <v>3.1</v>
      </c>
      <c r="O111">
        <v>1268</v>
      </c>
      <c r="P111">
        <v>2.98</v>
      </c>
      <c r="Q111">
        <v>74</v>
      </c>
      <c r="R111">
        <v>599</v>
      </c>
    </row>
    <row r="112" spans="1:18" hidden="1" x14ac:dyDescent="0.2">
      <c r="A112">
        <v>5</v>
      </c>
      <c r="B112" t="s">
        <v>96</v>
      </c>
      <c r="E112" t="s">
        <v>36</v>
      </c>
      <c r="F112">
        <v>883300</v>
      </c>
      <c r="G112">
        <v>2</v>
      </c>
      <c r="H112">
        <v>2</v>
      </c>
      <c r="I112">
        <v>358</v>
      </c>
      <c r="J112">
        <v>1990</v>
      </c>
      <c r="K112" s="4">
        <v>44475</v>
      </c>
      <c r="L112" t="s">
        <v>20</v>
      </c>
      <c r="M112" t="s">
        <v>54</v>
      </c>
      <c r="N112">
        <v>2.15</v>
      </c>
      <c r="O112">
        <v>2214</v>
      </c>
      <c r="P112">
        <v>2.3199999999999998</v>
      </c>
      <c r="Q112">
        <v>207</v>
      </c>
      <c r="R112">
        <v>309</v>
      </c>
    </row>
    <row r="113" spans="1:18" hidden="1" x14ac:dyDescent="0.2">
      <c r="A113">
        <v>3</v>
      </c>
      <c r="B113" t="s">
        <v>86</v>
      </c>
      <c r="E113" t="s">
        <v>51</v>
      </c>
      <c r="F113">
        <v>1861511</v>
      </c>
      <c r="G113">
        <v>4</v>
      </c>
      <c r="H113">
        <v>2</v>
      </c>
      <c r="I113">
        <v>625</v>
      </c>
      <c r="J113">
        <v>2011</v>
      </c>
      <c r="K113" s="4">
        <v>44408</v>
      </c>
      <c r="L113" t="s">
        <v>26</v>
      </c>
      <c r="M113" t="s">
        <v>21</v>
      </c>
      <c r="N113">
        <v>3.45</v>
      </c>
      <c r="O113">
        <v>868</v>
      </c>
      <c r="P113">
        <v>0.81</v>
      </c>
      <c r="Q113">
        <v>315</v>
      </c>
      <c r="R113">
        <v>482</v>
      </c>
    </row>
    <row r="114" spans="1:18" hidden="1" x14ac:dyDescent="0.2">
      <c r="A114">
        <v>0</v>
      </c>
      <c r="B114" t="s">
        <v>84</v>
      </c>
      <c r="E114" t="s">
        <v>51</v>
      </c>
      <c r="F114">
        <v>1715932</v>
      </c>
      <c r="G114">
        <v>2</v>
      </c>
      <c r="H114">
        <v>3</v>
      </c>
      <c r="I114">
        <v>619</v>
      </c>
      <c r="J114">
        <v>1980</v>
      </c>
      <c r="K114" s="4">
        <v>44528</v>
      </c>
      <c r="L114" t="s">
        <v>23</v>
      </c>
      <c r="M114" t="s">
        <v>70</v>
      </c>
      <c r="N114">
        <v>2.99</v>
      </c>
      <c r="O114">
        <v>1967</v>
      </c>
      <c r="P114">
        <v>1.74</v>
      </c>
      <c r="Q114">
        <v>157</v>
      </c>
      <c r="R114">
        <v>681</v>
      </c>
    </row>
    <row r="115" spans="1:18" hidden="1" x14ac:dyDescent="0.2">
      <c r="A115">
        <v>0</v>
      </c>
      <c r="B115" t="s">
        <v>99</v>
      </c>
      <c r="E115" t="s">
        <v>36</v>
      </c>
      <c r="F115">
        <v>521710</v>
      </c>
      <c r="G115">
        <v>2</v>
      </c>
      <c r="H115">
        <v>3</v>
      </c>
      <c r="I115">
        <v>541</v>
      </c>
      <c r="J115">
        <v>1964</v>
      </c>
      <c r="K115" s="4">
        <v>45835</v>
      </c>
      <c r="L115" t="s">
        <v>26</v>
      </c>
      <c r="M115" t="s">
        <v>89</v>
      </c>
      <c r="N115">
        <v>3</v>
      </c>
      <c r="O115">
        <v>1249</v>
      </c>
      <c r="P115">
        <v>2.06</v>
      </c>
      <c r="Q115">
        <v>60</v>
      </c>
      <c r="R115">
        <v>570</v>
      </c>
    </row>
    <row r="116" spans="1:18" hidden="1" x14ac:dyDescent="0.2">
      <c r="A116">
        <v>7</v>
      </c>
      <c r="B116" t="s">
        <v>106</v>
      </c>
      <c r="E116" t="s">
        <v>36</v>
      </c>
      <c r="F116">
        <v>2550682</v>
      </c>
      <c r="G116">
        <v>4</v>
      </c>
      <c r="H116">
        <v>2</v>
      </c>
      <c r="I116">
        <v>102</v>
      </c>
      <c r="J116">
        <v>2015</v>
      </c>
      <c r="K116" s="4">
        <v>44140</v>
      </c>
      <c r="L116" t="s">
        <v>26</v>
      </c>
      <c r="M116" t="s">
        <v>66</v>
      </c>
      <c r="N116">
        <v>3.46</v>
      </c>
      <c r="O116">
        <v>2376</v>
      </c>
      <c r="P116">
        <v>3.45</v>
      </c>
      <c r="Q116">
        <v>349</v>
      </c>
      <c r="R116">
        <v>344</v>
      </c>
    </row>
    <row r="117" spans="1:18" hidden="1" x14ac:dyDescent="0.2">
      <c r="A117">
        <v>9</v>
      </c>
      <c r="B117" t="s">
        <v>67</v>
      </c>
      <c r="E117" t="s">
        <v>29</v>
      </c>
      <c r="F117">
        <v>1627423</v>
      </c>
      <c r="G117">
        <v>5</v>
      </c>
      <c r="H117">
        <v>1</v>
      </c>
      <c r="I117">
        <v>743</v>
      </c>
      <c r="J117">
        <v>1954</v>
      </c>
      <c r="K117" s="4">
        <v>44274</v>
      </c>
      <c r="L117" t="s">
        <v>26</v>
      </c>
      <c r="M117" t="s">
        <v>70</v>
      </c>
      <c r="N117">
        <v>2.95</v>
      </c>
      <c r="O117">
        <v>816</v>
      </c>
      <c r="P117">
        <v>2.7</v>
      </c>
      <c r="Q117">
        <v>349</v>
      </c>
      <c r="R117">
        <v>356</v>
      </c>
    </row>
    <row r="118" spans="1:18" hidden="1" x14ac:dyDescent="0.2">
      <c r="A118">
        <v>5</v>
      </c>
      <c r="B118" t="s">
        <v>80</v>
      </c>
      <c r="E118" t="s">
        <v>29</v>
      </c>
      <c r="F118">
        <v>2364131</v>
      </c>
      <c r="G118">
        <v>4</v>
      </c>
      <c r="H118">
        <v>3</v>
      </c>
      <c r="I118">
        <v>430</v>
      </c>
      <c r="J118">
        <v>2014</v>
      </c>
      <c r="K118" s="4">
        <v>44827</v>
      </c>
      <c r="L118" t="s">
        <v>23</v>
      </c>
      <c r="M118" t="s">
        <v>70</v>
      </c>
      <c r="N118">
        <v>2.44</v>
      </c>
      <c r="O118">
        <v>1288</v>
      </c>
      <c r="P118">
        <v>1.86</v>
      </c>
      <c r="Q118">
        <v>322</v>
      </c>
      <c r="R118">
        <v>332</v>
      </c>
    </row>
    <row r="119" spans="1:18" hidden="1" x14ac:dyDescent="0.2">
      <c r="A119">
        <v>2</v>
      </c>
      <c r="B119" t="s">
        <v>91</v>
      </c>
      <c r="E119" t="s">
        <v>29</v>
      </c>
      <c r="F119">
        <v>2729754</v>
      </c>
      <c r="G119">
        <v>2</v>
      </c>
      <c r="H119">
        <v>2</v>
      </c>
      <c r="I119">
        <v>796</v>
      </c>
      <c r="J119">
        <v>2012</v>
      </c>
      <c r="K119" s="4">
        <v>44328</v>
      </c>
      <c r="L119" t="s">
        <v>20</v>
      </c>
      <c r="M119" t="s">
        <v>76</v>
      </c>
      <c r="N119">
        <v>3.11</v>
      </c>
      <c r="O119">
        <v>2380</v>
      </c>
      <c r="P119">
        <v>2.52</v>
      </c>
      <c r="Q119">
        <v>109</v>
      </c>
      <c r="R119">
        <v>458</v>
      </c>
    </row>
    <row r="120" spans="1:18" hidden="1" x14ac:dyDescent="0.2">
      <c r="A120">
        <v>2</v>
      </c>
      <c r="B120" t="s">
        <v>71</v>
      </c>
      <c r="E120" t="s">
        <v>19</v>
      </c>
      <c r="F120">
        <v>488718</v>
      </c>
      <c r="G120">
        <v>1</v>
      </c>
      <c r="H120">
        <v>3</v>
      </c>
      <c r="I120">
        <v>328</v>
      </c>
      <c r="J120">
        <v>2020</v>
      </c>
      <c r="K120" s="4">
        <v>45126</v>
      </c>
      <c r="L120" t="s">
        <v>30</v>
      </c>
      <c r="M120" t="s">
        <v>42</v>
      </c>
      <c r="N120">
        <v>1.88</v>
      </c>
      <c r="O120">
        <v>2149</v>
      </c>
      <c r="P120">
        <v>0.85</v>
      </c>
      <c r="Q120">
        <v>125</v>
      </c>
      <c r="R120">
        <v>454</v>
      </c>
    </row>
    <row r="121" spans="1:18" hidden="1" x14ac:dyDescent="0.2">
      <c r="A121">
        <v>1</v>
      </c>
      <c r="B121" t="s">
        <v>67</v>
      </c>
      <c r="E121" t="s">
        <v>51</v>
      </c>
      <c r="F121">
        <v>710495</v>
      </c>
      <c r="G121">
        <v>1</v>
      </c>
      <c r="H121">
        <v>1</v>
      </c>
      <c r="I121">
        <v>216</v>
      </c>
      <c r="J121">
        <v>1986</v>
      </c>
      <c r="K121" s="4">
        <v>44983</v>
      </c>
      <c r="L121" t="s">
        <v>23</v>
      </c>
      <c r="M121" t="s">
        <v>40</v>
      </c>
      <c r="N121">
        <v>2.27</v>
      </c>
      <c r="O121">
        <v>1814</v>
      </c>
      <c r="P121">
        <v>0.11</v>
      </c>
      <c r="Q121">
        <v>136</v>
      </c>
      <c r="R121">
        <v>674</v>
      </c>
    </row>
    <row r="122" spans="1:18" x14ac:dyDescent="0.2">
      <c r="A122">
        <v>8</v>
      </c>
      <c r="B122" t="s">
        <v>38</v>
      </c>
      <c r="C122" t="str">
        <f>VLOOKUP(B122, 'Council Area'!$A$2:$B$51, 2)</f>
        <v>Sutherland Shire Council</v>
      </c>
      <c r="D122" t="str">
        <f>_xlfn.XLOOKUP(B122, 'Council Area'!$A$2:$A$51, 'Council Area'!$B$2:$B$51)</f>
        <v>Sutherland Shire Council</v>
      </c>
      <c r="E122" t="s">
        <v>19</v>
      </c>
      <c r="F122">
        <v>2518595</v>
      </c>
      <c r="G122">
        <v>3</v>
      </c>
      <c r="H122">
        <v>2</v>
      </c>
      <c r="I122">
        <v>380</v>
      </c>
      <c r="J122">
        <v>1974</v>
      </c>
      <c r="K122" s="4">
        <v>44371</v>
      </c>
      <c r="L122" t="s">
        <v>30</v>
      </c>
      <c r="M122" t="s">
        <v>74</v>
      </c>
      <c r="N122">
        <v>2.11</v>
      </c>
      <c r="O122">
        <v>1075</v>
      </c>
      <c r="P122">
        <v>3.15</v>
      </c>
      <c r="Q122">
        <v>290</v>
      </c>
      <c r="R122">
        <v>316</v>
      </c>
    </row>
    <row r="123" spans="1:18" hidden="1" x14ac:dyDescent="0.2">
      <c r="A123">
        <v>5</v>
      </c>
      <c r="B123" t="s">
        <v>41</v>
      </c>
      <c r="E123" t="s">
        <v>19</v>
      </c>
      <c r="F123">
        <v>1620627</v>
      </c>
      <c r="G123">
        <v>4</v>
      </c>
      <c r="H123">
        <v>1</v>
      </c>
      <c r="I123">
        <v>310</v>
      </c>
      <c r="J123">
        <v>1962</v>
      </c>
      <c r="K123" s="4">
        <v>44325</v>
      </c>
      <c r="L123" t="s">
        <v>20</v>
      </c>
      <c r="M123" t="s">
        <v>40</v>
      </c>
      <c r="N123">
        <v>2.2599999999999998</v>
      </c>
      <c r="O123">
        <v>1259</v>
      </c>
      <c r="P123">
        <v>3.56</v>
      </c>
      <c r="Q123">
        <v>384</v>
      </c>
      <c r="R123">
        <v>323</v>
      </c>
    </row>
    <row r="124" spans="1:18" hidden="1" x14ac:dyDescent="0.2">
      <c r="A124">
        <v>7</v>
      </c>
      <c r="B124" t="s">
        <v>92</v>
      </c>
      <c r="E124" t="s">
        <v>36</v>
      </c>
      <c r="F124">
        <v>1591866</v>
      </c>
      <c r="G124">
        <v>4</v>
      </c>
      <c r="H124">
        <v>3</v>
      </c>
      <c r="I124">
        <v>919</v>
      </c>
      <c r="J124">
        <v>1950</v>
      </c>
      <c r="K124" s="4">
        <v>45704</v>
      </c>
      <c r="L124" t="s">
        <v>30</v>
      </c>
      <c r="M124" t="s">
        <v>89</v>
      </c>
      <c r="N124">
        <v>2.4700000000000002</v>
      </c>
      <c r="O124">
        <v>1565</v>
      </c>
      <c r="P124">
        <v>4.26</v>
      </c>
      <c r="Q124">
        <v>196</v>
      </c>
      <c r="R124">
        <v>393</v>
      </c>
    </row>
    <row r="125" spans="1:18" hidden="1" x14ac:dyDescent="0.2">
      <c r="A125">
        <v>1</v>
      </c>
      <c r="B125" t="s">
        <v>39</v>
      </c>
      <c r="E125" t="s">
        <v>36</v>
      </c>
      <c r="F125">
        <v>1476385</v>
      </c>
      <c r="G125">
        <v>4</v>
      </c>
      <c r="H125">
        <v>3</v>
      </c>
      <c r="I125">
        <v>148</v>
      </c>
      <c r="J125">
        <v>1972</v>
      </c>
      <c r="K125" s="4">
        <v>45045</v>
      </c>
      <c r="L125" t="s">
        <v>23</v>
      </c>
      <c r="M125" t="s">
        <v>45</v>
      </c>
      <c r="N125">
        <v>2.31</v>
      </c>
      <c r="O125">
        <v>1542</v>
      </c>
      <c r="P125">
        <v>1.55</v>
      </c>
      <c r="Q125">
        <v>309</v>
      </c>
      <c r="R125">
        <v>673</v>
      </c>
    </row>
    <row r="126" spans="1:18" hidden="1" x14ac:dyDescent="0.2">
      <c r="A126">
        <v>1</v>
      </c>
      <c r="B126" t="s">
        <v>44</v>
      </c>
      <c r="E126" t="s">
        <v>29</v>
      </c>
      <c r="F126">
        <v>1095472</v>
      </c>
      <c r="G126">
        <v>3</v>
      </c>
      <c r="H126">
        <v>1</v>
      </c>
      <c r="I126">
        <v>535</v>
      </c>
      <c r="J126">
        <v>1971</v>
      </c>
      <c r="K126" s="4">
        <v>44990</v>
      </c>
      <c r="L126" t="s">
        <v>23</v>
      </c>
      <c r="M126" t="s">
        <v>78</v>
      </c>
      <c r="N126">
        <v>2.78</v>
      </c>
      <c r="O126">
        <v>2050</v>
      </c>
      <c r="P126">
        <v>0.88</v>
      </c>
      <c r="Q126">
        <v>201</v>
      </c>
      <c r="R126">
        <v>498</v>
      </c>
    </row>
    <row r="127" spans="1:18" hidden="1" x14ac:dyDescent="0.2">
      <c r="A127">
        <v>7</v>
      </c>
      <c r="B127" t="s">
        <v>99</v>
      </c>
      <c r="E127" t="s">
        <v>19</v>
      </c>
      <c r="F127">
        <v>2950239</v>
      </c>
      <c r="G127">
        <v>3</v>
      </c>
      <c r="H127">
        <v>1</v>
      </c>
      <c r="I127">
        <v>236</v>
      </c>
      <c r="J127">
        <v>2022</v>
      </c>
      <c r="K127" s="4">
        <v>45553</v>
      </c>
      <c r="L127" t="s">
        <v>30</v>
      </c>
      <c r="M127" t="s">
        <v>54</v>
      </c>
      <c r="N127">
        <v>2.56</v>
      </c>
      <c r="O127">
        <v>848</v>
      </c>
      <c r="P127">
        <v>2.11</v>
      </c>
      <c r="Q127">
        <v>306</v>
      </c>
      <c r="R127">
        <v>464</v>
      </c>
    </row>
    <row r="128" spans="1:18" hidden="1" x14ac:dyDescent="0.2">
      <c r="A128">
        <v>5</v>
      </c>
      <c r="B128" t="s">
        <v>92</v>
      </c>
      <c r="E128" t="s">
        <v>36</v>
      </c>
      <c r="F128">
        <v>2330245</v>
      </c>
      <c r="G128">
        <v>1</v>
      </c>
      <c r="H128">
        <v>1</v>
      </c>
      <c r="I128">
        <v>521</v>
      </c>
      <c r="J128">
        <v>2009</v>
      </c>
      <c r="K128" s="4">
        <v>44390</v>
      </c>
      <c r="L128" t="s">
        <v>23</v>
      </c>
      <c r="M128" t="s">
        <v>45</v>
      </c>
      <c r="N128">
        <v>1.56</v>
      </c>
      <c r="O128">
        <v>808</v>
      </c>
      <c r="P128">
        <v>2.92</v>
      </c>
      <c r="Q128">
        <v>61</v>
      </c>
      <c r="R128">
        <v>521</v>
      </c>
    </row>
    <row r="129" spans="1:18" hidden="1" x14ac:dyDescent="0.2">
      <c r="A129">
        <v>5</v>
      </c>
      <c r="B129" t="s">
        <v>49</v>
      </c>
      <c r="E129" t="s">
        <v>36</v>
      </c>
      <c r="F129">
        <v>819079</v>
      </c>
      <c r="G129">
        <v>2</v>
      </c>
      <c r="H129">
        <v>2</v>
      </c>
      <c r="I129">
        <v>230</v>
      </c>
      <c r="J129">
        <v>2000</v>
      </c>
      <c r="K129" s="4">
        <v>44217</v>
      </c>
      <c r="L129" t="s">
        <v>20</v>
      </c>
      <c r="M129" t="s">
        <v>47</v>
      </c>
      <c r="N129">
        <v>1.89</v>
      </c>
      <c r="O129">
        <v>1442</v>
      </c>
      <c r="P129">
        <v>1.28</v>
      </c>
      <c r="Q129">
        <v>45</v>
      </c>
      <c r="R129">
        <v>630</v>
      </c>
    </row>
    <row r="130" spans="1:18" x14ac:dyDescent="0.2">
      <c r="A130">
        <v>8</v>
      </c>
      <c r="B130" t="s">
        <v>92</v>
      </c>
      <c r="C130" t="str">
        <f>VLOOKUP(B130, 'Council Area'!$A$2:$B$51, 2)</f>
        <v>Randwick City Council</v>
      </c>
      <c r="D130" t="str">
        <f>_xlfn.XLOOKUP(B130, 'Council Area'!$A$2:$A$51, 'Council Area'!$B$2:$B$51)</f>
        <v>Randwick City Council</v>
      </c>
      <c r="E130" t="s">
        <v>19</v>
      </c>
      <c r="F130">
        <v>2729157</v>
      </c>
      <c r="G130">
        <v>1</v>
      </c>
      <c r="H130">
        <v>2</v>
      </c>
      <c r="I130">
        <v>483</v>
      </c>
      <c r="J130">
        <v>1987</v>
      </c>
      <c r="K130" s="4">
        <v>44716</v>
      </c>
      <c r="L130" t="s">
        <v>26</v>
      </c>
      <c r="M130" t="s">
        <v>31</v>
      </c>
      <c r="N130">
        <v>3.17</v>
      </c>
      <c r="O130">
        <v>1472</v>
      </c>
      <c r="P130">
        <v>2.85</v>
      </c>
      <c r="Q130">
        <v>157</v>
      </c>
      <c r="R130">
        <v>548</v>
      </c>
    </row>
    <row r="131" spans="1:18" hidden="1" x14ac:dyDescent="0.2">
      <c r="A131">
        <v>3</v>
      </c>
      <c r="B131" t="s">
        <v>95</v>
      </c>
      <c r="E131" t="s">
        <v>29</v>
      </c>
      <c r="F131">
        <v>2767933</v>
      </c>
      <c r="G131">
        <v>4</v>
      </c>
      <c r="H131">
        <v>2</v>
      </c>
      <c r="I131">
        <v>540</v>
      </c>
      <c r="J131">
        <v>1971</v>
      </c>
      <c r="K131" s="4">
        <v>45666</v>
      </c>
      <c r="L131" t="s">
        <v>26</v>
      </c>
      <c r="M131" t="s">
        <v>31</v>
      </c>
      <c r="N131">
        <v>1.91</v>
      </c>
      <c r="O131">
        <v>2421</v>
      </c>
      <c r="P131">
        <v>2.31</v>
      </c>
      <c r="Q131">
        <v>355</v>
      </c>
      <c r="R131">
        <v>659</v>
      </c>
    </row>
    <row r="132" spans="1:18" hidden="1" x14ac:dyDescent="0.2">
      <c r="A132">
        <v>1</v>
      </c>
      <c r="B132" t="s">
        <v>99</v>
      </c>
      <c r="E132" t="s">
        <v>29</v>
      </c>
      <c r="F132">
        <v>1562282</v>
      </c>
      <c r="G132">
        <v>3</v>
      </c>
      <c r="H132">
        <v>2</v>
      </c>
      <c r="I132">
        <v>794</v>
      </c>
      <c r="J132">
        <v>1999</v>
      </c>
      <c r="K132" s="4">
        <v>45882</v>
      </c>
      <c r="L132" t="s">
        <v>30</v>
      </c>
      <c r="M132" t="s">
        <v>97</v>
      </c>
      <c r="N132">
        <v>2.48</v>
      </c>
      <c r="O132">
        <v>1515</v>
      </c>
      <c r="P132">
        <v>3.55</v>
      </c>
      <c r="Q132">
        <v>284</v>
      </c>
      <c r="R132">
        <v>447</v>
      </c>
    </row>
    <row r="133" spans="1:18" hidden="1" x14ac:dyDescent="0.2">
      <c r="A133">
        <v>4</v>
      </c>
      <c r="B133" t="s">
        <v>104</v>
      </c>
      <c r="E133" t="s">
        <v>36</v>
      </c>
      <c r="F133">
        <v>2365948</v>
      </c>
      <c r="G133">
        <v>4</v>
      </c>
      <c r="H133">
        <v>2</v>
      </c>
      <c r="I133">
        <v>938</v>
      </c>
      <c r="J133">
        <v>2002</v>
      </c>
      <c r="K133" s="4">
        <v>44102</v>
      </c>
      <c r="L133" t="s">
        <v>30</v>
      </c>
      <c r="M133" t="s">
        <v>21</v>
      </c>
      <c r="N133">
        <v>1.54</v>
      </c>
      <c r="O133">
        <v>853</v>
      </c>
      <c r="P133">
        <v>4.24</v>
      </c>
      <c r="Q133">
        <v>258</v>
      </c>
      <c r="R133">
        <v>389</v>
      </c>
    </row>
    <row r="134" spans="1:18" hidden="1" x14ac:dyDescent="0.2">
      <c r="A134">
        <v>0</v>
      </c>
      <c r="B134" t="s">
        <v>18</v>
      </c>
      <c r="E134" t="s">
        <v>29</v>
      </c>
      <c r="F134">
        <v>564782</v>
      </c>
      <c r="G134">
        <v>1</v>
      </c>
      <c r="H134">
        <v>2</v>
      </c>
      <c r="I134">
        <v>297</v>
      </c>
      <c r="J134">
        <v>1966</v>
      </c>
      <c r="K134" s="4">
        <v>44615</v>
      </c>
      <c r="L134" t="s">
        <v>20</v>
      </c>
      <c r="M134" t="s">
        <v>70</v>
      </c>
      <c r="N134">
        <v>3.11</v>
      </c>
      <c r="O134">
        <v>931</v>
      </c>
      <c r="P134">
        <v>3.89</v>
      </c>
      <c r="Q134">
        <v>148</v>
      </c>
      <c r="R134">
        <v>417</v>
      </c>
    </row>
    <row r="135" spans="1:18" hidden="1" x14ac:dyDescent="0.2">
      <c r="A135">
        <v>2</v>
      </c>
      <c r="B135" t="s">
        <v>32</v>
      </c>
      <c r="E135" t="s">
        <v>36</v>
      </c>
      <c r="F135">
        <v>2555382</v>
      </c>
      <c r="G135">
        <v>3</v>
      </c>
      <c r="H135">
        <v>2</v>
      </c>
      <c r="I135">
        <v>943</v>
      </c>
      <c r="J135">
        <v>2000</v>
      </c>
      <c r="K135" s="4">
        <v>44849</v>
      </c>
      <c r="L135" t="s">
        <v>23</v>
      </c>
      <c r="M135" t="s">
        <v>21</v>
      </c>
      <c r="N135">
        <v>1.88</v>
      </c>
      <c r="O135">
        <v>2008</v>
      </c>
      <c r="P135">
        <v>0.75</v>
      </c>
      <c r="Q135">
        <v>206</v>
      </c>
      <c r="R135">
        <v>615</v>
      </c>
    </row>
    <row r="136" spans="1:18" hidden="1" x14ac:dyDescent="0.2">
      <c r="A136">
        <v>9</v>
      </c>
      <c r="B136" t="s">
        <v>34</v>
      </c>
      <c r="E136" t="s">
        <v>51</v>
      </c>
      <c r="F136">
        <v>1986881</v>
      </c>
      <c r="G136">
        <v>4</v>
      </c>
      <c r="H136">
        <v>2</v>
      </c>
      <c r="I136">
        <v>51</v>
      </c>
      <c r="J136">
        <v>2017</v>
      </c>
      <c r="K136" s="4">
        <v>45574</v>
      </c>
      <c r="L136" t="s">
        <v>26</v>
      </c>
      <c r="M136" t="s">
        <v>24</v>
      </c>
      <c r="N136">
        <v>2.0699999999999998</v>
      </c>
      <c r="O136">
        <v>2266</v>
      </c>
      <c r="P136">
        <v>1.36</v>
      </c>
      <c r="Q136">
        <v>265</v>
      </c>
      <c r="R136">
        <v>317</v>
      </c>
    </row>
    <row r="137" spans="1:18" hidden="1" x14ac:dyDescent="0.2">
      <c r="A137">
        <v>1</v>
      </c>
      <c r="B137" t="s">
        <v>98</v>
      </c>
      <c r="E137" t="s">
        <v>51</v>
      </c>
      <c r="F137">
        <v>601869</v>
      </c>
      <c r="G137">
        <v>2</v>
      </c>
      <c r="H137">
        <v>1</v>
      </c>
      <c r="I137">
        <v>770</v>
      </c>
      <c r="J137">
        <v>1957</v>
      </c>
      <c r="K137" s="4">
        <v>45130</v>
      </c>
      <c r="L137" t="s">
        <v>20</v>
      </c>
      <c r="M137" t="s">
        <v>35</v>
      </c>
      <c r="N137">
        <v>3.32</v>
      </c>
      <c r="O137">
        <v>2229</v>
      </c>
      <c r="P137">
        <v>3.99</v>
      </c>
      <c r="Q137">
        <v>162</v>
      </c>
      <c r="R137">
        <v>436</v>
      </c>
    </row>
    <row r="138" spans="1:18" hidden="1" x14ac:dyDescent="0.2">
      <c r="A138">
        <v>5</v>
      </c>
      <c r="B138" t="s">
        <v>92</v>
      </c>
      <c r="E138" t="s">
        <v>51</v>
      </c>
      <c r="F138">
        <v>400584</v>
      </c>
      <c r="G138">
        <v>1</v>
      </c>
      <c r="H138">
        <v>2</v>
      </c>
      <c r="I138">
        <v>837</v>
      </c>
      <c r="J138">
        <v>1959</v>
      </c>
      <c r="K138" s="4">
        <v>44822</v>
      </c>
      <c r="L138" t="s">
        <v>26</v>
      </c>
      <c r="M138" t="s">
        <v>68</v>
      </c>
      <c r="N138">
        <v>3.33</v>
      </c>
      <c r="O138">
        <v>991</v>
      </c>
      <c r="P138">
        <v>0.68</v>
      </c>
      <c r="Q138">
        <v>129</v>
      </c>
      <c r="R138">
        <v>323</v>
      </c>
    </row>
    <row r="139" spans="1:18" hidden="1" x14ac:dyDescent="0.2">
      <c r="A139">
        <v>1</v>
      </c>
      <c r="B139" t="s">
        <v>55</v>
      </c>
      <c r="E139" t="s">
        <v>19</v>
      </c>
      <c r="F139">
        <v>2771652</v>
      </c>
      <c r="G139">
        <v>5</v>
      </c>
      <c r="H139">
        <v>3</v>
      </c>
      <c r="I139">
        <v>622</v>
      </c>
      <c r="J139">
        <v>2022</v>
      </c>
      <c r="K139" s="4">
        <v>45767</v>
      </c>
      <c r="L139" t="s">
        <v>20</v>
      </c>
      <c r="M139" t="s">
        <v>45</v>
      </c>
      <c r="N139">
        <v>1.96</v>
      </c>
      <c r="O139">
        <v>2478</v>
      </c>
      <c r="P139">
        <v>1.1599999999999999</v>
      </c>
      <c r="Q139">
        <v>333</v>
      </c>
      <c r="R139">
        <v>574</v>
      </c>
    </row>
    <row r="140" spans="1:18" hidden="1" x14ac:dyDescent="0.2">
      <c r="A140">
        <v>1</v>
      </c>
      <c r="B140" t="s">
        <v>34</v>
      </c>
      <c r="E140" t="s">
        <v>29</v>
      </c>
      <c r="F140">
        <v>2067262</v>
      </c>
      <c r="G140">
        <v>2</v>
      </c>
      <c r="H140">
        <v>2</v>
      </c>
      <c r="I140">
        <v>717</v>
      </c>
      <c r="J140">
        <v>2012</v>
      </c>
      <c r="K140" s="4">
        <v>45708</v>
      </c>
      <c r="L140" t="s">
        <v>30</v>
      </c>
      <c r="M140" t="s">
        <v>52</v>
      </c>
      <c r="N140">
        <v>1.68</v>
      </c>
      <c r="O140">
        <v>1453</v>
      </c>
      <c r="P140">
        <v>0.12</v>
      </c>
      <c r="Q140">
        <v>53</v>
      </c>
      <c r="R140">
        <v>590</v>
      </c>
    </row>
    <row r="141" spans="1:18" hidden="1" x14ac:dyDescent="0.2">
      <c r="A141">
        <v>1</v>
      </c>
      <c r="B141" t="s">
        <v>96</v>
      </c>
      <c r="E141" t="s">
        <v>36</v>
      </c>
      <c r="F141">
        <v>2805843</v>
      </c>
      <c r="G141">
        <v>2</v>
      </c>
      <c r="H141">
        <v>1</v>
      </c>
      <c r="I141">
        <v>636</v>
      </c>
      <c r="J141">
        <v>1950</v>
      </c>
      <c r="K141" s="4">
        <v>44894</v>
      </c>
      <c r="L141" t="s">
        <v>23</v>
      </c>
      <c r="M141" t="s">
        <v>77</v>
      </c>
      <c r="N141">
        <v>2.88</v>
      </c>
      <c r="O141">
        <v>950</v>
      </c>
      <c r="P141">
        <v>0.67</v>
      </c>
      <c r="Q141">
        <v>100</v>
      </c>
      <c r="R141">
        <v>538</v>
      </c>
    </row>
    <row r="142" spans="1:18" hidden="1" x14ac:dyDescent="0.2">
      <c r="A142">
        <v>1</v>
      </c>
      <c r="B142" t="s">
        <v>86</v>
      </c>
      <c r="E142" t="s">
        <v>51</v>
      </c>
      <c r="F142">
        <v>2615442</v>
      </c>
      <c r="G142">
        <v>2</v>
      </c>
      <c r="H142">
        <v>2</v>
      </c>
      <c r="I142">
        <v>534</v>
      </c>
      <c r="J142">
        <v>1963</v>
      </c>
      <c r="K142" s="4">
        <v>44865</v>
      </c>
      <c r="L142" t="s">
        <v>23</v>
      </c>
      <c r="M142" t="s">
        <v>66</v>
      </c>
      <c r="N142">
        <v>1.59</v>
      </c>
      <c r="O142">
        <v>2430</v>
      </c>
      <c r="P142">
        <v>1.35</v>
      </c>
      <c r="Q142">
        <v>223</v>
      </c>
      <c r="R142">
        <v>572</v>
      </c>
    </row>
    <row r="143" spans="1:18" hidden="1" x14ac:dyDescent="0.2">
      <c r="A143">
        <v>0</v>
      </c>
      <c r="B143" t="s">
        <v>95</v>
      </c>
      <c r="E143" t="s">
        <v>36</v>
      </c>
      <c r="F143">
        <v>886381</v>
      </c>
      <c r="G143">
        <v>1</v>
      </c>
      <c r="H143">
        <v>2</v>
      </c>
      <c r="I143">
        <v>164</v>
      </c>
      <c r="J143">
        <v>2018</v>
      </c>
      <c r="K143" s="4">
        <v>45147</v>
      </c>
      <c r="L143" t="s">
        <v>23</v>
      </c>
      <c r="M143" t="s">
        <v>31</v>
      </c>
      <c r="N143">
        <v>3.5</v>
      </c>
      <c r="O143">
        <v>1170</v>
      </c>
      <c r="P143">
        <v>0.96</v>
      </c>
      <c r="Q143">
        <v>102</v>
      </c>
      <c r="R143">
        <v>380</v>
      </c>
    </row>
    <row r="144" spans="1:18" hidden="1" x14ac:dyDescent="0.2">
      <c r="A144">
        <v>5</v>
      </c>
      <c r="B144" t="s">
        <v>34</v>
      </c>
      <c r="E144" t="s">
        <v>36</v>
      </c>
      <c r="F144">
        <v>2375223</v>
      </c>
      <c r="G144">
        <v>2</v>
      </c>
      <c r="H144">
        <v>2</v>
      </c>
      <c r="I144">
        <v>440</v>
      </c>
      <c r="J144">
        <v>2002</v>
      </c>
      <c r="K144" s="4">
        <v>45486</v>
      </c>
      <c r="L144" t="s">
        <v>20</v>
      </c>
      <c r="M144" t="s">
        <v>33</v>
      </c>
      <c r="N144">
        <v>2.94</v>
      </c>
      <c r="O144">
        <v>1211</v>
      </c>
      <c r="P144">
        <v>2.72</v>
      </c>
      <c r="Q144">
        <v>62</v>
      </c>
      <c r="R144">
        <v>447</v>
      </c>
    </row>
    <row r="145" spans="1:18" hidden="1" x14ac:dyDescent="0.2">
      <c r="A145">
        <v>7</v>
      </c>
      <c r="B145" t="s">
        <v>80</v>
      </c>
      <c r="E145" t="s">
        <v>19</v>
      </c>
      <c r="F145">
        <v>2233323</v>
      </c>
      <c r="G145">
        <v>1</v>
      </c>
      <c r="H145">
        <v>3</v>
      </c>
      <c r="I145">
        <v>340</v>
      </c>
      <c r="J145">
        <v>1989</v>
      </c>
      <c r="K145" s="4">
        <v>45624</v>
      </c>
      <c r="L145" t="s">
        <v>20</v>
      </c>
      <c r="M145" t="s">
        <v>77</v>
      </c>
      <c r="N145">
        <v>1.57</v>
      </c>
      <c r="O145">
        <v>1154</v>
      </c>
      <c r="P145">
        <v>4.78</v>
      </c>
      <c r="Q145">
        <v>78</v>
      </c>
      <c r="R145">
        <v>595</v>
      </c>
    </row>
    <row r="146" spans="1:18" hidden="1" x14ac:dyDescent="0.2">
      <c r="A146">
        <v>3</v>
      </c>
      <c r="B146" t="s">
        <v>99</v>
      </c>
      <c r="E146" t="s">
        <v>36</v>
      </c>
      <c r="F146">
        <v>947995</v>
      </c>
      <c r="G146">
        <v>2</v>
      </c>
      <c r="H146">
        <v>2</v>
      </c>
      <c r="I146">
        <v>234</v>
      </c>
      <c r="J146">
        <v>1994</v>
      </c>
      <c r="K146" s="4">
        <v>45851</v>
      </c>
      <c r="L146" t="s">
        <v>26</v>
      </c>
      <c r="M146" t="s">
        <v>85</v>
      </c>
      <c r="N146">
        <v>1.73</v>
      </c>
      <c r="O146">
        <v>1429</v>
      </c>
      <c r="P146">
        <v>3.82</v>
      </c>
      <c r="Q146">
        <v>103</v>
      </c>
      <c r="R146">
        <v>486</v>
      </c>
    </row>
    <row r="147" spans="1:18" x14ac:dyDescent="0.2">
      <c r="A147">
        <v>8</v>
      </c>
      <c r="B147" t="s">
        <v>72</v>
      </c>
      <c r="C147" t="str">
        <f>VLOOKUP(B147, 'Council Area'!$A$2:$B$51, 2)</f>
        <v>Hornsby Shire Council</v>
      </c>
      <c r="D147" t="str">
        <f>_xlfn.XLOOKUP(B147, 'Council Area'!$A$2:$A$51, 'Council Area'!$B$2:$B$51)</f>
        <v>Hornsby Shire Council</v>
      </c>
      <c r="E147" t="s">
        <v>19</v>
      </c>
      <c r="F147">
        <v>2340435</v>
      </c>
      <c r="G147">
        <v>5</v>
      </c>
      <c r="H147">
        <v>3</v>
      </c>
      <c r="I147">
        <v>352</v>
      </c>
      <c r="J147">
        <v>1954</v>
      </c>
      <c r="K147" s="4">
        <v>44427</v>
      </c>
      <c r="L147" t="s">
        <v>26</v>
      </c>
      <c r="M147" t="s">
        <v>77</v>
      </c>
      <c r="N147">
        <v>3.23</v>
      </c>
      <c r="O147">
        <v>2003</v>
      </c>
      <c r="P147">
        <v>4.42</v>
      </c>
      <c r="Q147">
        <v>397</v>
      </c>
      <c r="R147">
        <v>617</v>
      </c>
    </row>
    <row r="148" spans="1:18" hidden="1" x14ac:dyDescent="0.2">
      <c r="A148">
        <v>1</v>
      </c>
      <c r="B148" t="s">
        <v>105</v>
      </c>
      <c r="E148" t="s">
        <v>36</v>
      </c>
      <c r="F148">
        <v>425034</v>
      </c>
      <c r="G148">
        <v>1</v>
      </c>
      <c r="H148">
        <v>1</v>
      </c>
      <c r="I148">
        <v>258</v>
      </c>
      <c r="J148">
        <v>2003</v>
      </c>
      <c r="K148" s="4">
        <v>44590</v>
      </c>
      <c r="L148" t="s">
        <v>23</v>
      </c>
      <c r="M148" t="s">
        <v>40</v>
      </c>
      <c r="N148">
        <v>2.67</v>
      </c>
      <c r="O148">
        <v>945</v>
      </c>
      <c r="P148">
        <v>0.93</v>
      </c>
      <c r="Q148">
        <v>87</v>
      </c>
      <c r="R148">
        <v>463</v>
      </c>
    </row>
    <row r="149" spans="1:18" hidden="1" x14ac:dyDescent="0.2">
      <c r="A149">
        <v>0</v>
      </c>
      <c r="B149" t="s">
        <v>98</v>
      </c>
      <c r="E149" t="s">
        <v>29</v>
      </c>
      <c r="F149">
        <v>2404178</v>
      </c>
      <c r="G149">
        <v>1</v>
      </c>
      <c r="H149">
        <v>2</v>
      </c>
      <c r="I149">
        <v>710</v>
      </c>
      <c r="J149">
        <v>1960</v>
      </c>
      <c r="K149" s="4">
        <v>44943</v>
      </c>
      <c r="L149" t="s">
        <v>26</v>
      </c>
      <c r="M149" t="s">
        <v>85</v>
      </c>
      <c r="N149">
        <v>2.5299999999999998</v>
      </c>
      <c r="O149">
        <v>1714</v>
      </c>
      <c r="P149">
        <v>2.68</v>
      </c>
      <c r="Q149">
        <v>41</v>
      </c>
      <c r="R149">
        <v>593</v>
      </c>
    </row>
    <row r="150" spans="1:18" hidden="1" x14ac:dyDescent="0.2">
      <c r="A150">
        <v>1</v>
      </c>
      <c r="B150" t="s">
        <v>57</v>
      </c>
      <c r="E150" t="s">
        <v>51</v>
      </c>
      <c r="F150">
        <v>2523271</v>
      </c>
      <c r="G150">
        <v>5</v>
      </c>
      <c r="H150">
        <v>1</v>
      </c>
      <c r="I150">
        <v>424</v>
      </c>
      <c r="J150">
        <v>2015</v>
      </c>
      <c r="K150" s="4">
        <v>45219</v>
      </c>
      <c r="L150" t="s">
        <v>26</v>
      </c>
      <c r="M150" t="s">
        <v>76</v>
      </c>
      <c r="N150">
        <v>1.66</v>
      </c>
      <c r="O150">
        <v>2177</v>
      </c>
      <c r="P150">
        <v>0.2</v>
      </c>
      <c r="Q150">
        <v>390</v>
      </c>
      <c r="R150">
        <v>499</v>
      </c>
    </row>
    <row r="151" spans="1:18" x14ac:dyDescent="0.2">
      <c r="A151">
        <v>8</v>
      </c>
      <c r="B151" t="s">
        <v>28</v>
      </c>
      <c r="C151" t="str">
        <f>VLOOKUP(B151, 'Council Area'!$A$2:$B$51, 2)</f>
        <v>City of Sydney</v>
      </c>
      <c r="D151" t="str">
        <f>_xlfn.XLOOKUP(B151, 'Council Area'!$A$2:$A$51, 'Council Area'!$B$2:$B$51)</f>
        <v>City of Sydney</v>
      </c>
      <c r="E151" t="s">
        <v>29</v>
      </c>
      <c r="F151">
        <v>2162008</v>
      </c>
      <c r="G151">
        <v>3</v>
      </c>
      <c r="H151">
        <v>2</v>
      </c>
      <c r="I151">
        <v>705</v>
      </c>
      <c r="J151">
        <v>2013</v>
      </c>
      <c r="K151" s="4">
        <v>44539</v>
      </c>
      <c r="L151" t="s">
        <v>30</v>
      </c>
      <c r="M151" t="s">
        <v>56</v>
      </c>
      <c r="N151">
        <v>1.9</v>
      </c>
      <c r="O151">
        <v>1382</v>
      </c>
      <c r="P151">
        <v>0.23</v>
      </c>
      <c r="Q151">
        <v>97</v>
      </c>
      <c r="R151">
        <v>445</v>
      </c>
    </row>
    <row r="152" spans="1:18" hidden="1" x14ac:dyDescent="0.2">
      <c r="A152">
        <v>6</v>
      </c>
      <c r="B152" t="s">
        <v>106</v>
      </c>
      <c r="E152" t="s">
        <v>51</v>
      </c>
      <c r="F152">
        <v>1196514</v>
      </c>
      <c r="G152">
        <v>3</v>
      </c>
      <c r="H152">
        <v>3</v>
      </c>
      <c r="I152">
        <v>241</v>
      </c>
      <c r="J152">
        <v>2006</v>
      </c>
      <c r="K152" s="4">
        <v>44897</v>
      </c>
      <c r="L152" t="s">
        <v>26</v>
      </c>
      <c r="M152" t="s">
        <v>56</v>
      </c>
      <c r="N152">
        <v>2.4300000000000002</v>
      </c>
      <c r="O152">
        <v>1193</v>
      </c>
      <c r="P152">
        <v>1.1100000000000001</v>
      </c>
      <c r="Q152">
        <v>104</v>
      </c>
      <c r="R152">
        <v>689</v>
      </c>
    </row>
    <row r="153" spans="1:18" hidden="1" x14ac:dyDescent="0.2">
      <c r="A153">
        <v>1</v>
      </c>
      <c r="B153" t="s">
        <v>22</v>
      </c>
      <c r="E153" t="s">
        <v>19</v>
      </c>
      <c r="F153">
        <v>1649618</v>
      </c>
      <c r="G153">
        <v>2</v>
      </c>
      <c r="H153">
        <v>1</v>
      </c>
      <c r="I153">
        <v>62</v>
      </c>
      <c r="J153">
        <v>1996</v>
      </c>
      <c r="K153" s="4">
        <v>45369</v>
      </c>
      <c r="L153" t="s">
        <v>20</v>
      </c>
      <c r="M153" t="s">
        <v>66</v>
      </c>
      <c r="N153">
        <v>1.54</v>
      </c>
      <c r="O153">
        <v>1220</v>
      </c>
      <c r="P153">
        <v>2.5</v>
      </c>
      <c r="Q153">
        <v>162</v>
      </c>
      <c r="R153">
        <v>312</v>
      </c>
    </row>
    <row r="154" spans="1:18" hidden="1" x14ac:dyDescent="0.2">
      <c r="A154">
        <v>9</v>
      </c>
      <c r="B154" t="s">
        <v>104</v>
      </c>
      <c r="E154" t="s">
        <v>36</v>
      </c>
      <c r="F154">
        <v>1598267</v>
      </c>
      <c r="G154">
        <v>1</v>
      </c>
      <c r="H154">
        <v>2</v>
      </c>
      <c r="I154">
        <v>599</v>
      </c>
      <c r="J154">
        <v>1981</v>
      </c>
      <c r="K154" s="4">
        <v>45618</v>
      </c>
      <c r="L154" t="s">
        <v>20</v>
      </c>
      <c r="M154" t="s">
        <v>31</v>
      </c>
      <c r="N154">
        <v>2.5</v>
      </c>
      <c r="O154">
        <v>969</v>
      </c>
      <c r="P154">
        <v>3.6</v>
      </c>
      <c r="Q154">
        <v>118</v>
      </c>
      <c r="R154">
        <v>359</v>
      </c>
    </row>
    <row r="155" spans="1:18" hidden="1" x14ac:dyDescent="0.2">
      <c r="A155">
        <v>2</v>
      </c>
      <c r="B155" t="s">
        <v>34</v>
      </c>
      <c r="E155" t="s">
        <v>29</v>
      </c>
      <c r="F155">
        <v>1119794</v>
      </c>
      <c r="G155">
        <v>6</v>
      </c>
      <c r="H155">
        <v>1</v>
      </c>
      <c r="I155">
        <v>183</v>
      </c>
      <c r="J155">
        <v>1978</v>
      </c>
      <c r="K155" s="4">
        <v>45407</v>
      </c>
      <c r="L155" t="s">
        <v>23</v>
      </c>
      <c r="M155" t="s">
        <v>69</v>
      </c>
      <c r="N155">
        <v>1.61</v>
      </c>
      <c r="O155">
        <v>905</v>
      </c>
      <c r="P155">
        <v>1.54</v>
      </c>
      <c r="Q155">
        <v>351</v>
      </c>
      <c r="R155">
        <v>401</v>
      </c>
    </row>
    <row r="156" spans="1:18" hidden="1" x14ac:dyDescent="0.2">
      <c r="A156">
        <v>5</v>
      </c>
      <c r="B156" t="s">
        <v>104</v>
      </c>
      <c r="E156" t="s">
        <v>51</v>
      </c>
      <c r="F156">
        <v>2606031</v>
      </c>
      <c r="G156">
        <v>4</v>
      </c>
      <c r="H156">
        <v>2</v>
      </c>
      <c r="I156">
        <v>329</v>
      </c>
      <c r="J156">
        <v>2007</v>
      </c>
      <c r="K156" s="4">
        <v>44847</v>
      </c>
      <c r="L156" t="s">
        <v>20</v>
      </c>
      <c r="M156" t="s">
        <v>85</v>
      </c>
      <c r="N156">
        <v>2.97</v>
      </c>
      <c r="O156">
        <v>2372</v>
      </c>
      <c r="P156">
        <v>1.72</v>
      </c>
      <c r="Q156">
        <v>261</v>
      </c>
      <c r="R156">
        <v>442</v>
      </c>
    </row>
    <row r="157" spans="1:18" hidden="1" x14ac:dyDescent="0.2">
      <c r="A157">
        <v>1</v>
      </c>
      <c r="B157" t="s">
        <v>41</v>
      </c>
      <c r="E157" t="s">
        <v>36</v>
      </c>
      <c r="F157">
        <v>847509</v>
      </c>
      <c r="G157">
        <v>2</v>
      </c>
      <c r="H157">
        <v>1</v>
      </c>
      <c r="I157">
        <v>188</v>
      </c>
      <c r="J157">
        <v>1978</v>
      </c>
      <c r="K157" s="4">
        <v>45883</v>
      </c>
      <c r="L157" t="s">
        <v>30</v>
      </c>
      <c r="M157" t="s">
        <v>89</v>
      </c>
      <c r="N157">
        <v>2.5299999999999998</v>
      </c>
      <c r="O157">
        <v>1352</v>
      </c>
      <c r="P157">
        <v>4.37</v>
      </c>
      <c r="Q157">
        <v>49</v>
      </c>
      <c r="R157">
        <v>473</v>
      </c>
    </row>
    <row r="158" spans="1:18" hidden="1" x14ac:dyDescent="0.2">
      <c r="A158">
        <v>1</v>
      </c>
      <c r="B158" t="s">
        <v>75</v>
      </c>
      <c r="E158" t="s">
        <v>29</v>
      </c>
      <c r="F158">
        <v>440046</v>
      </c>
      <c r="G158">
        <v>3</v>
      </c>
      <c r="H158">
        <v>1</v>
      </c>
      <c r="I158">
        <v>480</v>
      </c>
      <c r="J158">
        <v>1983</v>
      </c>
      <c r="K158" s="4">
        <v>45327</v>
      </c>
      <c r="L158" t="s">
        <v>20</v>
      </c>
      <c r="M158" t="s">
        <v>77</v>
      </c>
      <c r="N158">
        <v>3.2</v>
      </c>
      <c r="O158">
        <v>1498</v>
      </c>
      <c r="P158">
        <v>4.9400000000000004</v>
      </c>
      <c r="Q158">
        <v>167</v>
      </c>
      <c r="R158">
        <v>451</v>
      </c>
    </row>
    <row r="159" spans="1:18" hidden="1" x14ac:dyDescent="0.2">
      <c r="A159">
        <v>0</v>
      </c>
      <c r="B159" t="s">
        <v>80</v>
      </c>
      <c r="E159" t="s">
        <v>29</v>
      </c>
      <c r="F159">
        <v>1499471</v>
      </c>
      <c r="G159">
        <v>2</v>
      </c>
      <c r="H159">
        <v>3</v>
      </c>
      <c r="I159">
        <v>750</v>
      </c>
      <c r="J159">
        <v>1987</v>
      </c>
      <c r="K159" s="4">
        <v>45645</v>
      </c>
      <c r="L159" t="s">
        <v>20</v>
      </c>
      <c r="M159" t="s">
        <v>47</v>
      </c>
      <c r="N159">
        <v>2.4500000000000002</v>
      </c>
      <c r="O159">
        <v>1191</v>
      </c>
      <c r="P159">
        <v>3.64</v>
      </c>
      <c r="Q159">
        <v>50</v>
      </c>
      <c r="R159">
        <v>667</v>
      </c>
    </row>
    <row r="160" spans="1:18" hidden="1" x14ac:dyDescent="0.2">
      <c r="A160">
        <v>5</v>
      </c>
      <c r="B160" t="s">
        <v>25</v>
      </c>
      <c r="E160" t="s">
        <v>51</v>
      </c>
      <c r="F160">
        <v>583508</v>
      </c>
      <c r="G160">
        <v>3</v>
      </c>
      <c r="H160">
        <v>2</v>
      </c>
      <c r="I160">
        <v>140</v>
      </c>
      <c r="J160">
        <v>1978</v>
      </c>
      <c r="K160" s="4">
        <v>44231</v>
      </c>
      <c r="L160" t="s">
        <v>26</v>
      </c>
      <c r="M160" t="s">
        <v>89</v>
      </c>
      <c r="N160">
        <v>2.11</v>
      </c>
      <c r="O160">
        <v>2470</v>
      </c>
      <c r="P160">
        <v>0.17</v>
      </c>
      <c r="Q160">
        <v>111</v>
      </c>
      <c r="R160">
        <v>520</v>
      </c>
    </row>
    <row r="161" spans="1:18" hidden="1" x14ac:dyDescent="0.2">
      <c r="A161">
        <v>0</v>
      </c>
      <c r="B161" t="s">
        <v>67</v>
      </c>
      <c r="E161" t="s">
        <v>51</v>
      </c>
      <c r="F161">
        <v>2661461</v>
      </c>
      <c r="G161">
        <v>4</v>
      </c>
      <c r="H161">
        <v>2</v>
      </c>
      <c r="I161">
        <v>880</v>
      </c>
      <c r="J161">
        <v>2015</v>
      </c>
      <c r="K161" s="4">
        <v>44293</v>
      </c>
      <c r="L161" t="s">
        <v>26</v>
      </c>
      <c r="M161" t="s">
        <v>68</v>
      </c>
      <c r="N161">
        <v>2.25</v>
      </c>
      <c r="O161">
        <v>2279</v>
      </c>
      <c r="P161">
        <v>1.27</v>
      </c>
      <c r="Q161">
        <v>392</v>
      </c>
      <c r="R161">
        <v>698</v>
      </c>
    </row>
    <row r="162" spans="1:18" hidden="1" x14ac:dyDescent="0.2">
      <c r="A162">
        <v>2</v>
      </c>
      <c r="B162" t="s">
        <v>101</v>
      </c>
      <c r="E162" t="s">
        <v>29</v>
      </c>
      <c r="F162">
        <v>1354343</v>
      </c>
      <c r="G162">
        <v>2</v>
      </c>
      <c r="H162">
        <v>3</v>
      </c>
      <c r="I162">
        <v>754</v>
      </c>
      <c r="J162">
        <v>2009</v>
      </c>
      <c r="K162" s="4">
        <v>44284</v>
      </c>
      <c r="L162" t="s">
        <v>20</v>
      </c>
      <c r="M162" t="s">
        <v>89</v>
      </c>
      <c r="N162">
        <v>1.96</v>
      </c>
      <c r="O162">
        <v>1026</v>
      </c>
      <c r="P162">
        <v>0.98</v>
      </c>
      <c r="Q162">
        <v>46</v>
      </c>
      <c r="R162">
        <v>649</v>
      </c>
    </row>
    <row r="163" spans="1:18" hidden="1" x14ac:dyDescent="0.2">
      <c r="A163">
        <v>9</v>
      </c>
      <c r="B163" t="s">
        <v>46</v>
      </c>
      <c r="E163" t="s">
        <v>19</v>
      </c>
      <c r="F163">
        <v>2522471</v>
      </c>
      <c r="G163">
        <v>1</v>
      </c>
      <c r="H163">
        <v>2</v>
      </c>
      <c r="I163">
        <v>312</v>
      </c>
      <c r="J163">
        <v>1997</v>
      </c>
      <c r="K163" s="4">
        <v>44676</v>
      </c>
      <c r="L163" t="s">
        <v>30</v>
      </c>
      <c r="M163" t="s">
        <v>74</v>
      </c>
      <c r="N163">
        <v>2.92</v>
      </c>
      <c r="O163">
        <v>1512</v>
      </c>
      <c r="P163">
        <v>0.16</v>
      </c>
      <c r="Q163">
        <v>84</v>
      </c>
      <c r="R163">
        <v>344</v>
      </c>
    </row>
    <row r="164" spans="1:18" hidden="1" x14ac:dyDescent="0.2">
      <c r="A164">
        <v>2</v>
      </c>
      <c r="B164" t="s">
        <v>43</v>
      </c>
      <c r="E164" t="s">
        <v>29</v>
      </c>
      <c r="F164">
        <v>2658281</v>
      </c>
      <c r="G164">
        <v>1</v>
      </c>
      <c r="H164">
        <v>1</v>
      </c>
      <c r="I164">
        <v>84</v>
      </c>
      <c r="J164">
        <v>1974</v>
      </c>
      <c r="K164" s="4">
        <v>44869</v>
      </c>
      <c r="L164" t="s">
        <v>23</v>
      </c>
      <c r="M164" t="s">
        <v>68</v>
      </c>
      <c r="N164">
        <v>3.44</v>
      </c>
      <c r="O164">
        <v>1453</v>
      </c>
      <c r="P164">
        <v>2.92</v>
      </c>
      <c r="Q164">
        <v>120</v>
      </c>
      <c r="R164">
        <v>420</v>
      </c>
    </row>
    <row r="165" spans="1:18" hidden="1" x14ac:dyDescent="0.2">
      <c r="A165">
        <v>4</v>
      </c>
      <c r="B165" t="s">
        <v>65</v>
      </c>
      <c r="E165" t="s">
        <v>29</v>
      </c>
      <c r="F165">
        <v>1946304</v>
      </c>
      <c r="G165">
        <v>2</v>
      </c>
      <c r="H165">
        <v>1</v>
      </c>
      <c r="I165">
        <v>914</v>
      </c>
      <c r="J165">
        <v>2026</v>
      </c>
      <c r="K165" s="4">
        <v>44701</v>
      </c>
      <c r="L165" t="s">
        <v>23</v>
      </c>
      <c r="M165" t="s">
        <v>97</v>
      </c>
      <c r="N165">
        <v>2.1</v>
      </c>
      <c r="O165">
        <v>1538</v>
      </c>
      <c r="P165">
        <v>3.62</v>
      </c>
      <c r="Q165">
        <v>201</v>
      </c>
      <c r="R165">
        <v>336</v>
      </c>
    </row>
    <row r="166" spans="1:18" hidden="1" x14ac:dyDescent="0.2">
      <c r="A166">
        <v>1</v>
      </c>
      <c r="B166" t="s">
        <v>22</v>
      </c>
      <c r="E166" t="s">
        <v>51</v>
      </c>
      <c r="F166">
        <v>580091</v>
      </c>
      <c r="G166">
        <v>5</v>
      </c>
      <c r="H166">
        <v>3</v>
      </c>
      <c r="I166">
        <v>278</v>
      </c>
      <c r="J166">
        <v>1953</v>
      </c>
      <c r="K166" s="4">
        <v>44298</v>
      </c>
      <c r="L166" t="s">
        <v>20</v>
      </c>
      <c r="M166" t="s">
        <v>21</v>
      </c>
      <c r="N166">
        <v>2.86</v>
      </c>
      <c r="O166">
        <v>1805</v>
      </c>
      <c r="P166">
        <v>4.5199999999999996</v>
      </c>
      <c r="Q166">
        <v>321</v>
      </c>
      <c r="R166">
        <v>697</v>
      </c>
    </row>
    <row r="167" spans="1:18" hidden="1" x14ac:dyDescent="0.2">
      <c r="A167">
        <v>6</v>
      </c>
      <c r="B167" t="s">
        <v>101</v>
      </c>
      <c r="E167" t="s">
        <v>19</v>
      </c>
      <c r="F167">
        <v>1473464</v>
      </c>
      <c r="G167">
        <v>3</v>
      </c>
      <c r="H167">
        <v>3</v>
      </c>
      <c r="I167">
        <v>497</v>
      </c>
      <c r="J167">
        <v>2014</v>
      </c>
      <c r="K167" s="4">
        <v>44670</v>
      </c>
      <c r="L167" t="s">
        <v>26</v>
      </c>
      <c r="M167" t="s">
        <v>70</v>
      </c>
      <c r="N167">
        <v>1.99</v>
      </c>
      <c r="O167">
        <v>1389</v>
      </c>
      <c r="P167">
        <v>2.88</v>
      </c>
      <c r="Q167">
        <v>257</v>
      </c>
      <c r="R167">
        <v>375</v>
      </c>
    </row>
    <row r="168" spans="1:18" hidden="1" x14ac:dyDescent="0.2">
      <c r="A168">
        <v>1</v>
      </c>
      <c r="B168" t="s">
        <v>72</v>
      </c>
      <c r="E168" t="s">
        <v>51</v>
      </c>
      <c r="F168">
        <v>1266375</v>
      </c>
      <c r="G168">
        <v>1</v>
      </c>
      <c r="H168">
        <v>2</v>
      </c>
      <c r="I168">
        <v>123</v>
      </c>
      <c r="J168">
        <v>2026</v>
      </c>
      <c r="K168" s="4">
        <v>44963</v>
      </c>
      <c r="L168" t="s">
        <v>30</v>
      </c>
      <c r="M168" t="s">
        <v>35</v>
      </c>
      <c r="N168">
        <v>3.13</v>
      </c>
      <c r="O168">
        <v>839</v>
      </c>
      <c r="P168">
        <v>1.33</v>
      </c>
      <c r="Q168">
        <v>108</v>
      </c>
      <c r="R168">
        <v>357</v>
      </c>
    </row>
    <row r="169" spans="1:18" hidden="1" x14ac:dyDescent="0.2">
      <c r="A169">
        <v>2</v>
      </c>
      <c r="B169" t="s">
        <v>101</v>
      </c>
      <c r="E169" t="s">
        <v>19</v>
      </c>
      <c r="F169">
        <v>621605</v>
      </c>
      <c r="G169">
        <v>3</v>
      </c>
      <c r="H169">
        <v>2</v>
      </c>
      <c r="I169">
        <v>134</v>
      </c>
      <c r="J169">
        <v>1972</v>
      </c>
      <c r="K169" s="4">
        <v>44930</v>
      </c>
      <c r="L169" t="s">
        <v>30</v>
      </c>
      <c r="M169" t="s">
        <v>24</v>
      </c>
      <c r="N169">
        <v>3.26</v>
      </c>
      <c r="O169">
        <v>1104</v>
      </c>
      <c r="P169">
        <v>2.23</v>
      </c>
      <c r="Q169">
        <v>213</v>
      </c>
      <c r="R169">
        <v>481</v>
      </c>
    </row>
    <row r="170" spans="1:18" x14ac:dyDescent="0.2">
      <c r="A170">
        <v>8</v>
      </c>
      <c r="B170" t="s">
        <v>99</v>
      </c>
      <c r="C170" t="str">
        <f>VLOOKUP(B170, 'Council Area'!$A$2:$B$51, 2)</f>
        <v>Canterbury-Bankstown Council</v>
      </c>
      <c r="D170" t="str">
        <f>_xlfn.XLOOKUP(B170, 'Council Area'!$A$2:$A$51, 'Council Area'!$B$2:$B$51)</f>
        <v>Canterbury-Bankstown Council</v>
      </c>
      <c r="E170" t="s">
        <v>36</v>
      </c>
      <c r="F170">
        <v>517794</v>
      </c>
      <c r="G170">
        <v>4</v>
      </c>
      <c r="H170">
        <v>3</v>
      </c>
      <c r="I170">
        <v>87</v>
      </c>
      <c r="J170">
        <v>1992</v>
      </c>
      <c r="K170" s="4">
        <v>44166</v>
      </c>
      <c r="L170" t="s">
        <v>20</v>
      </c>
      <c r="M170" t="s">
        <v>24</v>
      </c>
      <c r="N170">
        <v>1.54</v>
      </c>
      <c r="O170">
        <v>869</v>
      </c>
      <c r="P170">
        <v>0.22</v>
      </c>
      <c r="Q170">
        <v>270</v>
      </c>
      <c r="R170">
        <v>619</v>
      </c>
    </row>
    <row r="171" spans="1:18" hidden="1" x14ac:dyDescent="0.2">
      <c r="A171">
        <v>6</v>
      </c>
      <c r="B171" t="s">
        <v>18</v>
      </c>
      <c r="E171" t="s">
        <v>36</v>
      </c>
      <c r="F171">
        <v>404257</v>
      </c>
      <c r="G171">
        <v>5</v>
      </c>
      <c r="H171">
        <v>1</v>
      </c>
      <c r="I171">
        <v>925</v>
      </c>
      <c r="J171">
        <v>1960</v>
      </c>
      <c r="K171" s="4">
        <v>44854</v>
      </c>
      <c r="L171" t="s">
        <v>23</v>
      </c>
      <c r="M171" t="s">
        <v>82</v>
      </c>
      <c r="N171">
        <v>2.5499999999999998</v>
      </c>
      <c r="O171">
        <v>1591</v>
      </c>
      <c r="P171">
        <v>0.64</v>
      </c>
      <c r="Q171">
        <v>296</v>
      </c>
      <c r="R171">
        <v>693</v>
      </c>
    </row>
    <row r="172" spans="1:18" hidden="1" x14ac:dyDescent="0.2">
      <c r="A172">
        <v>5</v>
      </c>
      <c r="B172" t="s">
        <v>102</v>
      </c>
      <c r="E172" t="s">
        <v>19</v>
      </c>
      <c r="F172">
        <v>844075</v>
      </c>
      <c r="G172">
        <v>6</v>
      </c>
      <c r="H172">
        <v>2</v>
      </c>
      <c r="I172">
        <v>382</v>
      </c>
      <c r="J172">
        <v>1956</v>
      </c>
      <c r="K172" s="4">
        <v>44254</v>
      </c>
      <c r="L172" t="s">
        <v>20</v>
      </c>
      <c r="M172" t="s">
        <v>69</v>
      </c>
      <c r="N172">
        <v>1.99</v>
      </c>
      <c r="O172">
        <v>2332</v>
      </c>
      <c r="P172">
        <v>4.55</v>
      </c>
      <c r="Q172">
        <v>367</v>
      </c>
      <c r="R172">
        <v>662</v>
      </c>
    </row>
    <row r="173" spans="1:18" hidden="1" x14ac:dyDescent="0.2">
      <c r="A173">
        <v>2</v>
      </c>
      <c r="B173" t="s">
        <v>75</v>
      </c>
      <c r="E173" t="s">
        <v>29</v>
      </c>
      <c r="F173">
        <v>2665431</v>
      </c>
      <c r="G173">
        <v>1</v>
      </c>
      <c r="H173">
        <v>3</v>
      </c>
      <c r="I173">
        <v>527</v>
      </c>
      <c r="J173">
        <v>1983</v>
      </c>
      <c r="K173" s="4">
        <v>45159</v>
      </c>
      <c r="L173" t="s">
        <v>20</v>
      </c>
      <c r="M173" t="s">
        <v>68</v>
      </c>
      <c r="N173">
        <v>1.51</v>
      </c>
      <c r="O173">
        <v>1576</v>
      </c>
      <c r="P173">
        <v>0.78</v>
      </c>
      <c r="Q173">
        <v>136</v>
      </c>
      <c r="R173">
        <v>516</v>
      </c>
    </row>
    <row r="174" spans="1:18" hidden="1" x14ac:dyDescent="0.2">
      <c r="A174">
        <v>2</v>
      </c>
      <c r="B174" t="s">
        <v>43</v>
      </c>
      <c r="E174" t="s">
        <v>19</v>
      </c>
      <c r="F174">
        <v>742973</v>
      </c>
      <c r="G174">
        <v>4</v>
      </c>
      <c r="H174">
        <v>1</v>
      </c>
      <c r="I174">
        <v>396</v>
      </c>
      <c r="J174">
        <v>1995</v>
      </c>
      <c r="K174" s="4">
        <v>45581</v>
      </c>
      <c r="L174" t="s">
        <v>23</v>
      </c>
      <c r="M174" t="s">
        <v>82</v>
      </c>
      <c r="N174">
        <v>2.7</v>
      </c>
      <c r="O174">
        <v>963</v>
      </c>
      <c r="P174">
        <v>2.52</v>
      </c>
      <c r="Q174">
        <v>198</v>
      </c>
      <c r="R174">
        <v>498</v>
      </c>
    </row>
    <row r="175" spans="1:18" hidden="1" x14ac:dyDescent="0.2">
      <c r="A175">
        <v>0</v>
      </c>
      <c r="B175" t="s">
        <v>62</v>
      </c>
      <c r="E175" t="s">
        <v>51</v>
      </c>
      <c r="F175">
        <v>2313438</v>
      </c>
      <c r="G175">
        <v>3</v>
      </c>
      <c r="H175">
        <v>2</v>
      </c>
      <c r="I175">
        <v>657</v>
      </c>
      <c r="J175">
        <v>1982</v>
      </c>
      <c r="K175" s="4">
        <v>44339</v>
      </c>
      <c r="L175" t="s">
        <v>20</v>
      </c>
      <c r="M175" t="s">
        <v>58</v>
      </c>
      <c r="N175">
        <v>3.2</v>
      </c>
      <c r="O175">
        <v>2374</v>
      </c>
      <c r="P175">
        <v>3.88</v>
      </c>
      <c r="Q175">
        <v>197</v>
      </c>
      <c r="R175">
        <v>382</v>
      </c>
    </row>
    <row r="176" spans="1:18" hidden="1" x14ac:dyDescent="0.2">
      <c r="A176">
        <v>9</v>
      </c>
      <c r="B176" t="s">
        <v>32</v>
      </c>
      <c r="E176" t="s">
        <v>51</v>
      </c>
      <c r="F176">
        <v>1602009</v>
      </c>
      <c r="G176">
        <v>4</v>
      </c>
      <c r="H176">
        <v>3</v>
      </c>
      <c r="I176">
        <v>764</v>
      </c>
      <c r="J176">
        <v>1978</v>
      </c>
      <c r="K176" s="4">
        <v>44207</v>
      </c>
      <c r="L176" t="s">
        <v>20</v>
      </c>
      <c r="M176" t="s">
        <v>89</v>
      </c>
      <c r="N176">
        <v>3.38</v>
      </c>
      <c r="O176">
        <v>1169</v>
      </c>
      <c r="P176">
        <v>3.96</v>
      </c>
      <c r="Q176">
        <v>193</v>
      </c>
      <c r="R176">
        <v>331</v>
      </c>
    </row>
    <row r="177" spans="1:18" hidden="1" x14ac:dyDescent="0.2">
      <c r="A177">
        <v>2</v>
      </c>
      <c r="B177" t="s">
        <v>100</v>
      </c>
      <c r="E177" t="s">
        <v>29</v>
      </c>
      <c r="F177">
        <v>1666242</v>
      </c>
      <c r="G177">
        <v>1</v>
      </c>
      <c r="H177">
        <v>3</v>
      </c>
      <c r="I177">
        <v>743</v>
      </c>
      <c r="J177">
        <v>1996</v>
      </c>
      <c r="K177" s="4">
        <v>44610</v>
      </c>
      <c r="L177" t="s">
        <v>20</v>
      </c>
      <c r="M177" t="s">
        <v>68</v>
      </c>
      <c r="N177">
        <v>1.97</v>
      </c>
      <c r="O177">
        <v>1682</v>
      </c>
      <c r="P177">
        <v>0.84</v>
      </c>
      <c r="Q177">
        <v>139</v>
      </c>
      <c r="R177">
        <v>465</v>
      </c>
    </row>
    <row r="178" spans="1:18" x14ac:dyDescent="0.2">
      <c r="A178">
        <v>8</v>
      </c>
      <c r="B178" t="s">
        <v>46</v>
      </c>
      <c r="C178" t="str">
        <f>VLOOKUP(B178, 'Council Area'!$A$2:$B$51, 2)</f>
        <v>Ku-ring-gai Council</v>
      </c>
      <c r="D178" t="str">
        <f>_xlfn.XLOOKUP(B178, 'Council Area'!$A$2:$A$51, 'Council Area'!$B$2:$B$51)</f>
        <v>Ku-ring-gai Council</v>
      </c>
      <c r="E178" t="s">
        <v>36</v>
      </c>
      <c r="F178">
        <v>551879</v>
      </c>
      <c r="G178">
        <v>2</v>
      </c>
      <c r="H178">
        <v>1</v>
      </c>
      <c r="I178">
        <v>438</v>
      </c>
      <c r="J178">
        <v>1996</v>
      </c>
      <c r="K178" s="4">
        <v>44681</v>
      </c>
      <c r="L178" t="s">
        <v>20</v>
      </c>
      <c r="M178" t="s">
        <v>74</v>
      </c>
      <c r="N178">
        <v>3.32</v>
      </c>
      <c r="O178">
        <v>2347</v>
      </c>
      <c r="P178">
        <v>4.78</v>
      </c>
      <c r="Q178">
        <v>198</v>
      </c>
      <c r="R178">
        <v>429</v>
      </c>
    </row>
    <row r="179" spans="1:18" hidden="1" x14ac:dyDescent="0.2">
      <c r="A179">
        <v>0</v>
      </c>
      <c r="B179" t="s">
        <v>43</v>
      </c>
      <c r="E179" t="s">
        <v>36</v>
      </c>
      <c r="F179">
        <v>1651904</v>
      </c>
      <c r="G179">
        <v>3</v>
      </c>
      <c r="H179">
        <v>1</v>
      </c>
      <c r="I179">
        <v>781</v>
      </c>
      <c r="J179">
        <v>1971</v>
      </c>
      <c r="K179" s="4">
        <v>44978</v>
      </c>
      <c r="L179" t="s">
        <v>30</v>
      </c>
      <c r="M179" t="s">
        <v>54</v>
      </c>
      <c r="N179">
        <v>2.98</v>
      </c>
      <c r="O179">
        <v>2325</v>
      </c>
      <c r="P179">
        <v>0.34</v>
      </c>
      <c r="Q179">
        <v>266</v>
      </c>
      <c r="R179">
        <v>592</v>
      </c>
    </row>
    <row r="180" spans="1:18" hidden="1" x14ac:dyDescent="0.2">
      <c r="A180">
        <v>6</v>
      </c>
      <c r="B180" t="s">
        <v>81</v>
      </c>
      <c r="E180" t="s">
        <v>19</v>
      </c>
      <c r="F180">
        <v>2999303</v>
      </c>
      <c r="G180">
        <v>3</v>
      </c>
      <c r="H180">
        <v>2</v>
      </c>
      <c r="I180">
        <v>68</v>
      </c>
      <c r="J180">
        <v>1980</v>
      </c>
      <c r="K180" s="4">
        <v>45740</v>
      </c>
      <c r="L180" t="s">
        <v>26</v>
      </c>
      <c r="M180" t="s">
        <v>40</v>
      </c>
      <c r="N180">
        <v>2.79</v>
      </c>
      <c r="O180">
        <v>806</v>
      </c>
      <c r="P180">
        <v>4.7300000000000004</v>
      </c>
      <c r="Q180">
        <v>284</v>
      </c>
      <c r="R180">
        <v>585</v>
      </c>
    </row>
    <row r="181" spans="1:18" hidden="1" x14ac:dyDescent="0.2">
      <c r="A181">
        <v>2</v>
      </c>
      <c r="B181" t="s">
        <v>83</v>
      </c>
      <c r="E181" t="s">
        <v>36</v>
      </c>
      <c r="F181">
        <v>955427</v>
      </c>
      <c r="G181">
        <v>3</v>
      </c>
      <c r="H181">
        <v>3</v>
      </c>
      <c r="I181">
        <v>594</v>
      </c>
      <c r="J181">
        <v>1998</v>
      </c>
      <c r="K181" s="4">
        <v>44630</v>
      </c>
      <c r="L181" t="s">
        <v>20</v>
      </c>
      <c r="M181" t="s">
        <v>76</v>
      </c>
      <c r="N181">
        <v>2.61</v>
      </c>
      <c r="O181">
        <v>2232</v>
      </c>
      <c r="P181">
        <v>2.69</v>
      </c>
      <c r="Q181">
        <v>182</v>
      </c>
      <c r="R181">
        <v>661</v>
      </c>
    </row>
    <row r="182" spans="1:18" hidden="1" x14ac:dyDescent="0.2">
      <c r="A182">
        <v>4</v>
      </c>
      <c r="B182" t="s">
        <v>81</v>
      </c>
      <c r="E182" t="s">
        <v>51</v>
      </c>
      <c r="F182">
        <v>659878</v>
      </c>
      <c r="G182">
        <v>3</v>
      </c>
      <c r="H182">
        <v>2</v>
      </c>
      <c r="I182">
        <v>147</v>
      </c>
      <c r="J182">
        <v>2004</v>
      </c>
      <c r="K182" s="4">
        <v>44806</v>
      </c>
      <c r="L182" t="s">
        <v>30</v>
      </c>
      <c r="M182" t="s">
        <v>58</v>
      </c>
      <c r="N182">
        <v>3.07</v>
      </c>
      <c r="O182">
        <v>1076</v>
      </c>
      <c r="P182">
        <v>4.0999999999999996</v>
      </c>
      <c r="Q182">
        <v>185</v>
      </c>
      <c r="R182">
        <v>591</v>
      </c>
    </row>
    <row r="183" spans="1:18" hidden="1" x14ac:dyDescent="0.2">
      <c r="A183">
        <v>3</v>
      </c>
      <c r="B183" t="s">
        <v>84</v>
      </c>
      <c r="E183" t="s">
        <v>29</v>
      </c>
      <c r="F183">
        <v>918155</v>
      </c>
      <c r="G183">
        <v>6</v>
      </c>
      <c r="H183">
        <v>2</v>
      </c>
      <c r="I183">
        <v>244</v>
      </c>
      <c r="J183">
        <v>1970</v>
      </c>
      <c r="K183" s="4">
        <v>44425</v>
      </c>
      <c r="L183" t="s">
        <v>30</v>
      </c>
      <c r="M183" t="s">
        <v>52</v>
      </c>
      <c r="N183">
        <v>2.84</v>
      </c>
      <c r="O183">
        <v>818</v>
      </c>
      <c r="P183">
        <v>0.77</v>
      </c>
      <c r="Q183">
        <v>351</v>
      </c>
      <c r="R183">
        <v>646</v>
      </c>
    </row>
    <row r="184" spans="1:18" x14ac:dyDescent="0.2">
      <c r="A184">
        <v>8</v>
      </c>
      <c r="B184" t="s">
        <v>100</v>
      </c>
      <c r="C184" t="str">
        <f>VLOOKUP(B184, 'Council Area'!$A$2:$B$51, 2)</f>
        <v>Northern Beaches Council</v>
      </c>
      <c r="D184" t="str">
        <f>_xlfn.XLOOKUP(B184, 'Council Area'!$A$2:$A$51, 'Council Area'!$B$2:$B$51)</f>
        <v>Northern Beaches Council</v>
      </c>
      <c r="E184" t="s">
        <v>51</v>
      </c>
      <c r="F184">
        <v>2630926</v>
      </c>
      <c r="G184">
        <v>4</v>
      </c>
      <c r="H184">
        <v>3</v>
      </c>
      <c r="I184">
        <v>702</v>
      </c>
      <c r="J184">
        <v>2022</v>
      </c>
      <c r="K184" s="4">
        <v>45756</v>
      </c>
      <c r="L184" t="s">
        <v>30</v>
      </c>
      <c r="M184" t="s">
        <v>56</v>
      </c>
      <c r="N184">
        <v>1.89</v>
      </c>
      <c r="O184">
        <v>1419</v>
      </c>
      <c r="P184">
        <v>1.83</v>
      </c>
      <c r="Q184">
        <v>254</v>
      </c>
      <c r="R184">
        <v>524</v>
      </c>
    </row>
    <row r="185" spans="1:18" hidden="1" x14ac:dyDescent="0.2">
      <c r="A185">
        <v>2</v>
      </c>
      <c r="B185" t="s">
        <v>34</v>
      </c>
      <c r="E185" t="s">
        <v>29</v>
      </c>
      <c r="F185">
        <v>1451409</v>
      </c>
      <c r="G185">
        <v>2</v>
      </c>
      <c r="H185">
        <v>1</v>
      </c>
      <c r="I185">
        <v>119</v>
      </c>
      <c r="J185">
        <v>2010</v>
      </c>
      <c r="K185" s="4">
        <v>45232</v>
      </c>
      <c r="L185" t="s">
        <v>26</v>
      </c>
      <c r="M185" t="s">
        <v>60</v>
      </c>
      <c r="N185">
        <v>1.55</v>
      </c>
      <c r="O185">
        <v>1320</v>
      </c>
      <c r="P185">
        <v>4.6399999999999997</v>
      </c>
      <c r="Q185">
        <v>87</v>
      </c>
      <c r="R185">
        <v>322</v>
      </c>
    </row>
    <row r="186" spans="1:18" hidden="1" x14ac:dyDescent="0.2">
      <c r="A186">
        <v>9</v>
      </c>
      <c r="B186" t="s">
        <v>105</v>
      </c>
      <c r="E186" t="s">
        <v>29</v>
      </c>
      <c r="F186">
        <v>2935673</v>
      </c>
      <c r="G186">
        <v>2</v>
      </c>
      <c r="H186">
        <v>2</v>
      </c>
      <c r="I186">
        <v>441</v>
      </c>
      <c r="J186">
        <v>1965</v>
      </c>
      <c r="K186" s="4">
        <v>45774</v>
      </c>
      <c r="L186" t="s">
        <v>26</v>
      </c>
      <c r="M186" t="s">
        <v>68</v>
      </c>
      <c r="N186">
        <v>2.89</v>
      </c>
      <c r="O186">
        <v>1972</v>
      </c>
      <c r="P186">
        <v>4.03</v>
      </c>
      <c r="Q186">
        <v>236</v>
      </c>
      <c r="R186">
        <v>335</v>
      </c>
    </row>
    <row r="187" spans="1:18" hidden="1" x14ac:dyDescent="0.2">
      <c r="A187">
        <v>5</v>
      </c>
      <c r="B187" t="s">
        <v>94</v>
      </c>
      <c r="E187" t="s">
        <v>51</v>
      </c>
      <c r="F187">
        <v>2922050</v>
      </c>
      <c r="G187">
        <v>3</v>
      </c>
      <c r="H187">
        <v>3</v>
      </c>
      <c r="I187">
        <v>809</v>
      </c>
      <c r="J187">
        <v>1971</v>
      </c>
      <c r="K187" s="4">
        <v>44162</v>
      </c>
      <c r="L187" t="s">
        <v>23</v>
      </c>
      <c r="M187" t="s">
        <v>58</v>
      </c>
      <c r="N187">
        <v>3</v>
      </c>
      <c r="O187">
        <v>1034</v>
      </c>
      <c r="P187">
        <v>3.05</v>
      </c>
      <c r="Q187">
        <v>163</v>
      </c>
      <c r="R187">
        <v>513</v>
      </c>
    </row>
    <row r="188" spans="1:18" hidden="1" x14ac:dyDescent="0.2">
      <c r="A188">
        <v>0</v>
      </c>
      <c r="B188" t="s">
        <v>32</v>
      </c>
      <c r="E188" t="s">
        <v>19</v>
      </c>
      <c r="F188">
        <v>1041467</v>
      </c>
      <c r="G188">
        <v>3</v>
      </c>
      <c r="H188">
        <v>3</v>
      </c>
      <c r="I188">
        <v>978</v>
      </c>
      <c r="J188">
        <v>1983</v>
      </c>
      <c r="K188" s="4">
        <v>45148</v>
      </c>
      <c r="L188" t="s">
        <v>23</v>
      </c>
      <c r="M188" t="s">
        <v>33</v>
      </c>
      <c r="N188">
        <v>2.12</v>
      </c>
      <c r="O188">
        <v>1023</v>
      </c>
      <c r="P188">
        <v>3.69</v>
      </c>
      <c r="Q188">
        <v>114</v>
      </c>
      <c r="R188">
        <v>529</v>
      </c>
    </row>
    <row r="189" spans="1:18" hidden="1" x14ac:dyDescent="0.2">
      <c r="A189">
        <v>9</v>
      </c>
      <c r="B189" t="s">
        <v>106</v>
      </c>
      <c r="E189" t="s">
        <v>103</v>
      </c>
      <c r="F189">
        <v>2915853</v>
      </c>
      <c r="G189">
        <v>2</v>
      </c>
      <c r="H189">
        <v>2</v>
      </c>
      <c r="I189">
        <v>520</v>
      </c>
      <c r="J189">
        <v>1970</v>
      </c>
      <c r="K189" s="4">
        <v>45255</v>
      </c>
      <c r="L189" t="s">
        <v>26</v>
      </c>
      <c r="M189" t="s">
        <v>60</v>
      </c>
      <c r="N189">
        <v>3.08</v>
      </c>
      <c r="O189">
        <v>1432</v>
      </c>
      <c r="P189">
        <v>3.71</v>
      </c>
      <c r="Q189">
        <v>139</v>
      </c>
      <c r="R189">
        <v>454</v>
      </c>
    </row>
    <row r="190" spans="1:18" hidden="1" x14ac:dyDescent="0.2">
      <c r="A190">
        <v>3</v>
      </c>
      <c r="B190" t="s">
        <v>67</v>
      </c>
      <c r="E190" t="s">
        <v>29</v>
      </c>
      <c r="F190">
        <v>1777812</v>
      </c>
      <c r="G190">
        <v>4</v>
      </c>
      <c r="H190">
        <v>3</v>
      </c>
      <c r="I190">
        <v>882</v>
      </c>
      <c r="J190">
        <v>1965</v>
      </c>
      <c r="K190" s="4">
        <v>45192</v>
      </c>
      <c r="L190" t="s">
        <v>23</v>
      </c>
      <c r="M190" t="s">
        <v>52</v>
      </c>
      <c r="N190">
        <v>3.15</v>
      </c>
      <c r="O190">
        <v>1257</v>
      </c>
      <c r="P190">
        <v>0.26</v>
      </c>
      <c r="Q190">
        <v>227</v>
      </c>
      <c r="R190">
        <v>373</v>
      </c>
    </row>
    <row r="191" spans="1:18" x14ac:dyDescent="0.2">
      <c r="A191">
        <v>8</v>
      </c>
      <c r="B191" t="s">
        <v>50</v>
      </c>
      <c r="C191" t="str">
        <f>VLOOKUP(B191, 'Council Area'!$A$2:$B$51, 2)</f>
        <v>Canterbury-Bankstown Council</v>
      </c>
      <c r="D191" t="str">
        <f>_xlfn.XLOOKUP(B191, 'Council Area'!$A$2:$A$51, 'Council Area'!$B$2:$B$51)</f>
        <v>Canterbury-Bankstown Council</v>
      </c>
      <c r="E191" t="s">
        <v>19</v>
      </c>
      <c r="F191">
        <v>530849</v>
      </c>
      <c r="G191">
        <v>3</v>
      </c>
      <c r="H191">
        <v>2</v>
      </c>
      <c r="I191">
        <v>105</v>
      </c>
      <c r="J191">
        <v>1953</v>
      </c>
      <c r="K191" s="4">
        <v>44576</v>
      </c>
      <c r="L191" t="s">
        <v>26</v>
      </c>
      <c r="M191" t="s">
        <v>42</v>
      </c>
      <c r="N191">
        <v>3.37</v>
      </c>
      <c r="O191">
        <v>2358</v>
      </c>
      <c r="P191">
        <v>2.86</v>
      </c>
      <c r="Q191">
        <v>303</v>
      </c>
      <c r="R191">
        <v>427</v>
      </c>
    </row>
    <row r="192" spans="1:18" hidden="1" x14ac:dyDescent="0.2">
      <c r="A192">
        <v>9</v>
      </c>
      <c r="B192" t="s">
        <v>98</v>
      </c>
      <c r="E192" t="s">
        <v>36</v>
      </c>
      <c r="F192">
        <v>1147607</v>
      </c>
      <c r="G192">
        <v>2</v>
      </c>
      <c r="H192">
        <v>1</v>
      </c>
      <c r="I192">
        <v>831</v>
      </c>
      <c r="J192">
        <v>2020</v>
      </c>
      <c r="K192" s="4">
        <v>45299</v>
      </c>
      <c r="L192" t="s">
        <v>26</v>
      </c>
      <c r="M192" t="s">
        <v>78</v>
      </c>
      <c r="N192">
        <v>2.85</v>
      </c>
      <c r="O192">
        <v>1476</v>
      </c>
      <c r="P192">
        <v>0.33</v>
      </c>
      <c r="Q192">
        <v>106</v>
      </c>
      <c r="R192">
        <v>324</v>
      </c>
    </row>
    <row r="193" spans="1:18" hidden="1" x14ac:dyDescent="0.2">
      <c r="A193">
        <v>5</v>
      </c>
      <c r="B193" t="s">
        <v>92</v>
      </c>
      <c r="E193" t="s">
        <v>36</v>
      </c>
      <c r="F193">
        <v>2563010</v>
      </c>
      <c r="G193">
        <v>1</v>
      </c>
      <c r="H193">
        <v>3</v>
      </c>
      <c r="I193">
        <v>374</v>
      </c>
      <c r="J193">
        <v>1950</v>
      </c>
      <c r="K193" s="4">
        <v>45261</v>
      </c>
      <c r="L193" t="s">
        <v>30</v>
      </c>
      <c r="M193" t="s">
        <v>97</v>
      </c>
      <c r="N193">
        <v>3.19</v>
      </c>
      <c r="O193">
        <v>1007</v>
      </c>
      <c r="P193">
        <v>0.31</v>
      </c>
      <c r="Q193">
        <v>144</v>
      </c>
      <c r="R193">
        <v>674</v>
      </c>
    </row>
    <row r="194" spans="1:18" x14ac:dyDescent="0.2">
      <c r="A194">
        <v>8</v>
      </c>
      <c r="B194" t="s">
        <v>94</v>
      </c>
      <c r="C194" t="str">
        <f>VLOOKUP(B194, 'Council Area'!$A$2:$B$51, 2)</f>
        <v>Sutherland Shire Council</v>
      </c>
      <c r="D194" t="str">
        <f>_xlfn.XLOOKUP(B194, 'Council Area'!$A$2:$A$51, 'Council Area'!$B$2:$B$51)</f>
        <v>Sutherland Shire Council</v>
      </c>
      <c r="E194" t="s">
        <v>19</v>
      </c>
      <c r="F194">
        <v>912151</v>
      </c>
      <c r="G194">
        <v>0</v>
      </c>
      <c r="H194">
        <v>1</v>
      </c>
      <c r="I194">
        <v>352</v>
      </c>
      <c r="J194">
        <v>1967</v>
      </c>
      <c r="K194" s="4">
        <v>44143</v>
      </c>
      <c r="L194" t="s">
        <v>30</v>
      </c>
      <c r="M194" t="s">
        <v>68</v>
      </c>
      <c r="N194">
        <v>2.08</v>
      </c>
      <c r="O194">
        <v>2323</v>
      </c>
      <c r="P194">
        <v>3.31</v>
      </c>
      <c r="Q194">
        <v>71</v>
      </c>
      <c r="R194">
        <v>369</v>
      </c>
    </row>
    <row r="195" spans="1:18" hidden="1" x14ac:dyDescent="0.2">
      <c r="A195">
        <v>5</v>
      </c>
      <c r="B195" t="s">
        <v>62</v>
      </c>
      <c r="E195" t="s">
        <v>51</v>
      </c>
      <c r="F195">
        <v>2347868</v>
      </c>
      <c r="G195">
        <v>4</v>
      </c>
      <c r="H195">
        <v>1</v>
      </c>
      <c r="I195">
        <v>184</v>
      </c>
      <c r="J195">
        <v>2018</v>
      </c>
      <c r="K195" s="4">
        <v>45485</v>
      </c>
      <c r="L195" t="s">
        <v>30</v>
      </c>
      <c r="M195" t="s">
        <v>97</v>
      </c>
      <c r="N195">
        <v>2.92</v>
      </c>
      <c r="O195">
        <v>1538</v>
      </c>
      <c r="P195">
        <v>3.64</v>
      </c>
      <c r="Q195">
        <v>361</v>
      </c>
      <c r="R195">
        <v>369</v>
      </c>
    </row>
    <row r="196" spans="1:18" hidden="1" x14ac:dyDescent="0.2">
      <c r="A196">
        <v>6</v>
      </c>
      <c r="B196" t="s">
        <v>48</v>
      </c>
      <c r="E196" t="s">
        <v>51</v>
      </c>
      <c r="F196">
        <v>677570</v>
      </c>
      <c r="G196">
        <v>4</v>
      </c>
      <c r="H196">
        <v>3</v>
      </c>
      <c r="I196">
        <v>626</v>
      </c>
      <c r="J196">
        <v>1981</v>
      </c>
      <c r="K196" s="4">
        <v>44259</v>
      </c>
      <c r="L196" t="s">
        <v>23</v>
      </c>
      <c r="M196" t="s">
        <v>40</v>
      </c>
      <c r="N196">
        <v>2.44</v>
      </c>
      <c r="O196">
        <v>1111</v>
      </c>
      <c r="P196">
        <v>4.96</v>
      </c>
      <c r="Q196">
        <v>336</v>
      </c>
      <c r="R196">
        <v>393</v>
      </c>
    </row>
    <row r="197" spans="1:18" hidden="1" x14ac:dyDescent="0.2">
      <c r="A197">
        <v>7</v>
      </c>
      <c r="B197" t="s">
        <v>41</v>
      </c>
      <c r="E197" t="s">
        <v>19</v>
      </c>
      <c r="F197">
        <v>472132</v>
      </c>
      <c r="G197">
        <v>5</v>
      </c>
      <c r="H197">
        <v>3</v>
      </c>
      <c r="I197">
        <v>306</v>
      </c>
      <c r="J197">
        <v>1990</v>
      </c>
      <c r="K197" s="4">
        <v>44500</v>
      </c>
      <c r="L197" t="s">
        <v>26</v>
      </c>
      <c r="M197" t="s">
        <v>33</v>
      </c>
      <c r="N197">
        <v>2.0699999999999998</v>
      </c>
      <c r="O197">
        <v>2219</v>
      </c>
      <c r="P197">
        <v>2.91</v>
      </c>
      <c r="Q197">
        <v>272</v>
      </c>
      <c r="R197">
        <v>487</v>
      </c>
    </row>
    <row r="198" spans="1:18" hidden="1" x14ac:dyDescent="0.2">
      <c r="A198">
        <v>0</v>
      </c>
      <c r="B198" t="s">
        <v>53</v>
      </c>
      <c r="E198" t="s">
        <v>19</v>
      </c>
      <c r="F198">
        <v>633602</v>
      </c>
      <c r="G198">
        <v>2</v>
      </c>
      <c r="H198">
        <v>1</v>
      </c>
      <c r="I198">
        <v>844</v>
      </c>
      <c r="J198">
        <v>2004</v>
      </c>
      <c r="K198" s="4">
        <v>45628</v>
      </c>
      <c r="L198" t="s">
        <v>30</v>
      </c>
      <c r="M198" t="s">
        <v>77</v>
      </c>
      <c r="N198">
        <v>1.86</v>
      </c>
      <c r="O198">
        <v>1435</v>
      </c>
      <c r="P198">
        <v>1.1599999999999999</v>
      </c>
      <c r="Q198">
        <v>82</v>
      </c>
      <c r="R198">
        <v>302</v>
      </c>
    </row>
    <row r="199" spans="1:18" x14ac:dyDescent="0.2">
      <c r="A199">
        <v>8</v>
      </c>
      <c r="B199" t="s">
        <v>106</v>
      </c>
      <c r="C199" t="str">
        <f>VLOOKUP(B199, 'Council Area'!$A$2:$B$51, 2)</f>
        <v>Hornsby Shire Council</v>
      </c>
      <c r="D199" t="str">
        <f>_xlfn.XLOOKUP(B199, 'Council Area'!$A$2:$A$51, 'Council Area'!$B$2:$B$51)</f>
        <v>Hornsby Shire Council</v>
      </c>
      <c r="E199" t="s">
        <v>19</v>
      </c>
      <c r="F199">
        <v>2358256</v>
      </c>
      <c r="G199">
        <v>4</v>
      </c>
      <c r="H199">
        <v>1</v>
      </c>
      <c r="I199">
        <v>990</v>
      </c>
      <c r="J199">
        <v>2003</v>
      </c>
      <c r="K199" s="4">
        <v>44356</v>
      </c>
      <c r="L199" t="s">
        <v>26</v>
      </c>
      <c r="M199" t="s">
        <v>42</v>
      </c>
      <c r="N199">
        <v>1.79</v>
      </c>
      <c r="O199">
        <v>1958</v>
      </c>
      <c r="P199">
        <v>4.51</v>
      </c>
      <c r="Q199">
        <v>389</v>
      </c>
      <c r="R199">
        <v>347</v>
      </c>
    </row>
    <row r="200" spans="1:18" hidden="1" x14ac:dyDescent="0.2">
      <c r="A200">
        <v>5</v>
      </c>
      <c r="B200" t="s">
        <v>92</v>
      </c>
      <c r="E200" t="s">
        <v>19</v>
      </c>
      <c r="F200">
        <v>852077</v>
      </c>
      <c r="G200">
        <v>4</v>
      </c>
      <c r="H200">
        <v>1</v>
      </c>
      <c r="I200">
        <v>496</v>
      </c>
      <c r="J200">
        <v>2001</v>
      </c>
      <c r="K200" s="4">
        <v>44852</v>
      </c>
      <c r="L200" t="s">
        <v>30</v>
      </c>
      <c r="M200" t="s">
        <v>77</v>
      </c>
      <c r="N200">
        <v>1.74</v>
      </c>
      <c r="O200">
        <v>1622</v>
      </c>
      <c r="P200">
        <v>0.24</v>
      </c>
      <c r="Q200">
        <v>314</v>
      </c>
      <c r="R200">
        <v>657</v>
      </c>
    </row>
    <row r="201" spans="1:18" hidden="1" x14ac:dyDescent="0.2">
      <c r="A201">
        <v>7</v>
      </c>
      <c r="B201" t="s">
        <v>98</v>
      </c>
      <c r="E201" t="s">
        <v>29</v>
      </c>
      <c r="F201">
        <v>2355701</v>
      </c>
      <c r="G201">
        <v>1</v>
      </c>
      <c r="H201">
        <v>3</v>
      </c>
      <c r="I201">
        <v>901</v>
      </c>
      <c r="J201">
        <v>1973</v>
      </c>
      <c r="K201" s="4">
        <v>45305</v>
      </c>
      <c r="L201" t="s">
        <v>26</v>
      </c>
      <c r="M201" t="s">
        <v>70</v>
      </c>
      <c r="N201">
        <v>1.79</v>
      </c>
      <c r="O201">
        <v>1456</v>
      </c>
      <c r="P201">
        <v>2.29</v>
      </c>
      <c r="Q201">
        <v>132</v>
      </c>
      <c r="R201">
        <v>586</v>
      </c>
    </row>
    <row r="202" spans="1:18" hidden="1" x14ac:dyDescent="0.2">
      <c r="A202">
        <v>4</v>
      </c>
      <c r="B202" t="s">
        <v>87</v>
      </c>
      <c r="E202" t="s">
        <v>19</v>
      </c>
      <c r="F202">
        <v>1441409</v>
      </c>
      <c r="G202">
        <v>0</v>
      </c>
      <c r="H202">
        <v>1</v>
      </c>
      <c r="I202">
        <v>506</v>
      </c>
      <c r="J202">
        <v>2004</v>
      </c>
      <c r="K202" s="4">
        <v>45079</v>
      </c>
      <c r="L202" t="s">
        <v>23</v>
      </c>
      <c r="M202" t="s">
        <v>54</v>
      </c>
      <c r="N202">
        <v>2.15</v>
      </c>
      <c r="O202">
        <v>2115</v>
      </c>
      <c r="P202">
        <v>2.31</v>
      </c>
      <c r="Q202">
        <v>60</v>
      </c>
      <c r="R202">
        <v>507</v>
      </c>
    </row>
    <row r="203" spans="1:18" hidden="1" x14ac:dyDescent="0.2">
      <c r="A203">
        <v>4</v>
      </c>
      <c r="B203" t="s">
        <v>79</v>
      </c>
      <c r="E203" t="s">
        <v>51</v>
      </c>
      <c r="F203">
        <v>1903782</v>
      </c>
      <c r="G203">
        <v>3</v>
      </c>
      <c r="H203">
        <v>3</v>
      </c>
      <c r="I203">
        <v>954</v>
      </c>
      <c r="J203">
        <v>1960</v>
      </c>
      <c r="K203" s="4">
        <v>44551</v>
      </c>
      <c r="L203" t="s">
        <v>26</v>
      </c>
      <c r="M203" t="s">
        <v>56</v>
      </c>
      <c r="N203">
        <v>3.4</v>
      </c>
      <c r="O203">
        <v>1865</v>
      </c>
      <c r="P203">
        <v>4.49</v>
      </c>
      <c r="Q203">
        <v>117</v>
      </c>
      <c r="R203">
        <v>565</v>
      </c>
    </row>
    <row r="204" spans="1:18" hidden="1" x14ac:dyDescent="0.2">
      <c r="A204">
        <v>5</v>
      </c>
      <c r="B204" t="s">
        <v>84</v>
      </c>
      <c r="E204" t="s">
        <v>51</v>
      </c>
      <c r="F204">
        <v>1277904</v>
      </c>
      <c r="G204">
        <v>1</v>
      </c>
      <c r="H204">
        <v>3</v>
      </c>
      <c r="I204">
        <v>779</v>
      </c>
      <c r="J204">
        <v>1976</v>
      </c>
      <c r="K204" s="4">
        <v>45720</v>
      </c>
      <c r="L204" t="s">
        <v>26</v>
      </c>
      <c r="M204" t="s">
        <v>35</v>
      </c>
      <c r="N204">
        <v>2.71</v>
      </c>
      <c r="O204">
        <v>1999</v>
      </c>
      <c r="P204">
        <v>1.95</v>
      </c>
      <c r="Q204">
        <v>116</v>
      </c>
      <c r="R204">
        <v>529</v>
      </c>
    </row>
    <row r="205" spans="1:18" hidden="1" x14ac:dyDescent="0.2">
      <c r="A205">
        <v>9</v>
      </c>
      <c r="B205" t="s">
        <v>39</v>
      </c>
      <c r="E205" t="s">
        <v>19</v>
      </c>
      <c r="F205">
        <v>1421350</v>
      </c>
      <c r="G205">
        <v>3</v>
      </c>
      <c r="H205">
        <v>3</v>
      </c>
      <c r="I205">
        <v>632</v>
      </c>
      <c r="J205">
        <v>1993</v>
      </c>
      <c r="K205" s="4">
        <v>45576</v>
      </c>
      <c r="L205" t="s">
        <v>26</v>
      </c>
      <c r="M205" t="s">
        <v>42</v>
      </c>
      <c r="N205">
        <v>2.79</v>
      </c>
      <c r="O205">
        <v>1633</v>
      </c>
      <c r="P205">
        <v>3.05</v>
      </c>
      <c r="Q205">
        <v>293</v>
      </c>
      <c r="R205">
        <v>333</v>
      </c>
    </row>
    <row r="206" spans="1:18" hidden="1" x14ac:dyDescent="0.2">
      <c r="A206">
        <v>0</v>
      </c>
      <c r="B206" t="s">
        <v>57</v>
      </c>
      <c r="E206" t="s">
        <v>19</v>
      </c>
      <c r="F206">
        <v>2344765</v>
      </c>
      <c r="G206">
        <v>2</v>
      </c>
      <c r="H206">
        <v>1</v>
      </c>
      <c r="I206">
        <v>160</v>
      </c>
      <c r="J206">
        <v>1987</v>
      </c>
      <c r="K206" s="4">
        <v>44377</v>
      </c>
      <c r="L206" t="s">
        <v>20</v>
      </c>
      <c r="M206" t="s">
        <v>63</v>
      </c>
      <c r="N206">
        <v>1.96</v>
      </c>
      <c r="O206">
        <v>1684</v>
      </c>
      <c r="P206">
        <v>0.74</v>
      </c>
      <c r="Q206">
        <v>140</v>
      </c>
      <c r="R206">
        <v>603</v>
      </c>
    </row>
    <row r="207" spans="1:18" hidden="1" x14ac:dyDescent="0.2">
      <c r="A207">
        <v>7</v>
      </c>
      <c r="B207" t="s">
        <v>102</v>
      </c>
      <c r="E207" t="s">
        <v>51</v>
      </c>
      <c r="F207">
        <v>2262700</v>
      </c>
      <c r="G207">
        <v>5</v>
      </c>
      <c r="H207">
        <v>3</v>
      </c>
      <c r="I207">
        <v>966</v>
      </c>
      <c r="J207">
        <v>1975</v>
      </c>
      <c r="K207" s="4">
        <v>45600</v>
      </c>
      <c r="L207" t="s">
        <v>26</v>
      </c>
      <c r="M207" t="s">
        <v>33</v>
      </c>
      <c r="N207">
        <v>2.63</v>
      </c>
      <c r="O207">
        <v>1424</v>
      </c>
      <c r="P207">
        <v>2.82</v>
      </c>
      <c r="Q207">
        <v>244</v>
      </c>
      <c r="R207">
        <v>421</v>
      </c>
    </row>
    <row r="208" spans="1:18" hidden="1" x14ac:dyDescent="0.2">
      <c r="A208">
        <v>4</v>
      </c>
      <c r="B208" t="s">
        <v>81</v>
      </c>
      <c r="E208" t="s">
        <v>51</v>
      </c>
      <c r="F208">
        <v>1925031</v>
      </c>
      <c r="G208">
        <v>3</v>
      </c>
      <c r="H208">
        <v>3</v>
      </c>
      <c r="I208">
        <v>125</v>
      </c>
      <c r="J208">
        <v>1991</v>
      </c>
      <c r="K208" s="4">
        <v>45590</v>
      </c>
      <c r="L208" t="s">
        <v>23</v>
      </c>
      <c r="M208" t="s">
        <v>63</v>
      </c>
      <c r="N208">
        <v>2.44</v>
      </c>
      <c r="O208">
        <v>1098</v>
      </c>
      <c r="P208">
        <v>1.78</v>
      </c>
      <c r="Q208">
        <v>221</v>
      </c>
      <c r="R208">
        <v>651</v>
      </c>
    </row>
    <row r="209" spans="1:18" hidden="1" x14ac:dyDescent="0.2">
      <c r="A209">
        <v>7</v>
      </c>
      <c r="B209" t="s">
        <v>105</v>
      </c>
      <c r="E209" t="s">
        <v>19</v>
      </c>
      <c r="F209">
        <v>2134397</v>
      </c>
      <c r="G209">
        <v>4</v>
      </c>
      <c r="H209">
        <v>1</v>
      </c>
      <c r="I209">
        <v>633</v>
      </c>
      <c r="J209">
        <v>1957</v>
      </c>
      <c r="K209" s="4">
        <v>44810</v>
      </c>
      <c r="L209" t="s">
        <v>26</v>
      </c>
      <c r="M209" t="s">
        <v>33</v>
      </c>
      <c r="N209">
        <v>2.46</v>
      </c>
      <c r="O209">
        <v>1851</v>
      </c>
      <c r="P209">
        <v>0.73</v>
      </c>
      <c r="Q209">
        <v>166</v>
      </c>
      <c r="R209">
        <v>649</v>
      </c>
    </row>
    <row r="210" spans="1:18" hidden="1" x14ac:dyDescent="0.2">
      <c r="A210">
        <v>9</v>
      </c>
      <c r="B210" t="s">
        <v>94</v>
      </c>
      <c r="E210" t="s">
        <v>51</v>
      </c>
      <c r="F210">
        <v>2676601</v>
      </c>
      <c r="G210">
        <v>5</v>
      </c>
      <c r="H210">
        <v>2</v>
      </c>
      <c r="I210">
        <v>149</v>
      </c>
      <c r="J210">
        <v>1959</v>
      </c>
      <c r="K210" s="4">
        <v>45803</v>
      </c>
      <c r="L210" t="s">
        <v>23</v>
      </c>
      <c r="M210" t="s">
        <v>89</v>
      </c>
      <c r="N210">
        <v>2.76</v>
      </c>
      <c r="O210">
        <v>1310</v>
      </c>
      <c r="P210">
        <v>3.13</v>
      </c>
      <c r="Q210">
        <v>305</v>
      </c>
      <c r="R210">
        <v>605</v>
      </c>
    </row>
    <row r="211" spans="1:18" hidden="1" x14ac:dyDescent="0.2">
      <c r="A211">
        <v>7</v>
      </c>
      <c r="B211" t="s">
        <v>18</v>
      </c>
      <c r="E211" t="s">
        <v>29</v>
      </c>
      <c r="F211">
        <v>934005</v>
      </c>
      <c r="G211">
        <v>4</v>
      </c>
      <c r="H211">
        <v>1</v>
      </c>
      <c r="I211">
        <v>390</v>
      </c>
      <c r="J211">
        <v>1953</v>
      </c>
      <c r="K211" s="4">
        <v>44187</v>
      </c>
      <c r="L211" t="s">
        <v>26</v>
      </c>
      <c r="M211" t="s">
        <v>59</v>
      </c>
      <c r="N211">
        <v>2.38</v>
      </c>
      <c r="O211">
        <v>1997</v>
      </c>
      <c r="P211">
        <v>1.51</v>
      </c>
      <c r="Q211">
        <v>179</v>
      </c>
      <c r="R211">
        <v>622</v>
      </c>
    </row>
    <row r="212" spans="1:18" hidden="1" x14ac:dyDescent="0.2">
      <c r="A212">
        <v>6</v>
      </c>
      <c r="B212" t="s">
        <v>79</v>
      </c>
      <c r="E212" t="s">
        <v>51</v>
      </c>
      <c r="F212">
        <v>2801025</v>
      </c>
      <c r="G212">
        <v>0</v>
      </c>
      <c r="H212">
        <v>2</v>
      </c>
      <c r="I212">
        <v>822</v>
      </c>
      <c r="J212">
        <v>2000</v>
      </c>
      <c r="K212" s="4">
        <v>45203</v>
      </c>
      <c r="L212" t="s">
        <v>20</v>
      </c>
      <c r="M212" t="s">
        <v>70</v>
      </c>
      <c r="N212">
        <v>1.65</v>
      </c>
      <c r="O212">
        <v>1298</v>
      </c>
      <c r="P212">
        <v>2.17</v>
      </c>
      <c r="Q212">
        <v>59</v>
      </c>
      <c r="R212">
        <v>326</v>
      </c>
    </row>
    <row r="213" spans="1:18" hidden="1" x14ac:dyDescent="0.2">
      <c r="A213">
        <v>4</v>
      </c>
      <c r="B213" t="s">
        <v>65</v>
      </c>
      <c r="E213" t="s">
        <v>29</v>
      </c>
      <c r="F213">
        <v>566986</v>
      </c>
      <c r="G213">
        <v>2</v>
      </c>
      <c r="H213">
        <v>2</v>
      </c>
      <c r="I213">
        <v>435</v>
      </c>
      <c r="J213">
        <v>1959</v>
      </c>
      <c r="K213" s="4">
        <v>45876</v>
      </c>
      <c r="L213" t="s">
        <v>30</v>
      </c>
      <c r="M213" t="s">
        <v>97</v>
      </c>
      <c r="N213">
        <v>3.41</v>
      </c>
      <c r="O213">
        <v>1239</v>
      </c>
      <c r="P213">
        <v>1.87</v>
      </c>
      <c r="Q213">
        <v>206</v>
      </c>
      <c r="R213">
        <v>537</v>
      </c>
    </row>
    <row r="214" spans="1:18" hidden="1" x14ac:dyDescent="0.2">
      <c r="A214">
        <v>9</v>
      </c>
      <c r="B214" t="s">
        <v>39</v>
      </c>
      <c r="E214" t="s">
        <v>51</v>
      </c>
      <c r="F214">
        <v>2069982</v>
      </c>
      <c r="G214">
        <v>4</v>
      </c>
      <c r="H214">
        <v>1</v>
      </c>
      <c r="I214">
        <v>111</v>
      </c>
      <c r="J214">
        <v>1986</v>
      </c>
      <c r="K214" s="4">
        <v>44736</v>
      </c>
      <c r="L214" t="s">
        <v>30</v>
      </c>
      <c r="M214" t="s">
        <v>68</v>
      </c>
      <c r="N214">
        <v>1.77</v>
      </c>
      <c r="O214">
        <v>1924</v>
      </c>
      <c r="P214">
        <v>4.93</v>
      </c>
      <c r="Q214">
        <v>391</v>
      </c>
      <c r="R214">
        <v>306</v>
      </c>
    </row>
    <row r="215" spans="1:18" hidden="1" x14ac:dyDescent="0.2">
      <c r="A215">
        <v>6</v>
      </c>
      <c r="B215" t="s">
        <v>49</v>
      </c>
      <c r="E215" t="s">
        <v>51</v>
      </c>
      <c r="F215">
        <v>1046646</v>
      </c>
      <c r="G215">
        <v>6</v>
      </c>
      <c r="H215">
        <v>3</v>
      </c>
      <c r="I215">
        <v>797</v>
      </c>
      <c r="J215">
        <v>2019</v>
      </c>
      <c r="K215" s="4">
        <v>45045</v>
      </c>
      <c r="L215" t="s">
        <v>26</v>
      </c>
      <c r="M215" t="s">
        <v>52</v>
      </c>
      <c r="N215">
        <v>2.85</v>
      </c>
      <c r="O215">
        <v>1009</v>
      </c>
      <c r="P215">
        <v>0.73</v>
      </c>
      <c r="Q215">
        <v>385</v>
      </c>
      <c r="R215">
        <v>597</v>
      </c>
    </row>
    <row r="216" spans="1:18" hidden="1" x14ac:dyDescent="0.2">
      <c r="A216">
        <v>0</v>
      </c>
      <c r="B216" t="s">
        <v>49</v>
      </c>
      <c r="E216" t="s">
        <v>29</v>
      </c>
      <c r="F216">
        <v>2512364</v>
      </c>
      <c r="G216">
        <v>2</v>
      </c>
      <c r="H216">
        <v>3</v>
      </c>
      <c r="I216">
        <v>932</v>
      </c>
      <c r="J216">
        <v>1977</v>
      </c>
      <c r="K216" s="4">
        <v>44278</v>
      </c>
      <c r="L216" t="s">
        <v>20</v>
      </c>
      <c r="M216" t="s">
        <v>42</v>
      </c>
      <c r="N216">
        <v>1.54</v>
      </c>
      <c r="O216">
        <v>1767</v>
      </c>
      <c r="P216">
        <v>2.11</v>
      </c>
      <c r="Q216">
        <v>202</v>
      </c>
      <c r="R216">
        <v>650</v>
      </c>
    </row>
    <row r="217" spans="1:18" hidden="1" x14ac:dyDescent="0.2">
      <c r="A217">
        <v>3</v>
      </c>
      <c r="B217" t="s">
        <v>99</v>
      </c>
      <c r="E217" t="s">
        <v>29</v>
      </c>
      <c r="F217">
        <v>2840035</v>
      </c>
      <c r="G217">
        <v>1</v>
      </c>
      <c r="H217">
        <v>2</v>
      </c>
      <c r="I217">
        <v>525</v>
      </c>
      <c r="J217">
        <v>1976</v>
      </c>
      <c r="K217" s="4">
        <v>44260</v>
      </c>
      <c r="L217" t="s">
        <v>30</v>
      </c>
      <c r="M217" t="s">
        <v>21</v>
      </c>
      <c r="N217">
        <v>2.06</v>
      </c>
      <c r="O217">
        <v>2446</v>
      </c>
      <c r="P217">
        <v>1.03</v>
      </c>
      <c r="Q217">
        <v>76</v>
      </c>
      <c r="R217">
        <v>391</v>
      </c>
    </row>
    <row r="218" spans="1:18" x14ac:dyDescent="0.2">
      <c r="A218">
        <v>8</v>
      </c>
      <c r="B218" t="s">
        <v>73</v>
      </c>
      <c r="C218" t="str">
        <f>VLOOKUP(B218, 'Council Area'!$A$2:$B$51, 2)</f>
        <v>Ku-ring-gai Council</v>
      </c>
      <c r="D218" t="str">
        <f>_xlfn.XLOOKUP(B218, 'Council Area'!$A$2:$A$51, 'Council Area'!$B$2:$B$51)</f>
        <v>Ku-ring-gai Council</v>
      </c>
      <c r="E218" t="s">
        <v>51</v>
      </c>
      <c r="F218">
        <v>1715874</v>
      </c>
      <c r="G218">
        <v>5</v>
      </c>
      <c r="H218">
        <v>3</v>
      </c>
      <c r="I218">
        <v>628</v>
      </c>
      <c r="J218">
        <v>1971</v>
      </c>
      <c r="K218" s="4">
        <v>45842</v>
      </c>
      <c r="L218" t="s">
        <v>30</v>
      </c>
      <c r="M218" t="s">
        <v>60</v>
      </c>
      <c r="N218">
        <v>3.44</v>
      </c>
      <c r="O218">
        <v>2333</v>
      </c>
      <c r="P218">
        <v>4.3099999999999996</v>
      </c>
      <c r="Q218">
        <v>390</v>
      </c>
      <c r="R218">
        <v>603</v>
      </c>
    </row>
    <row r="219" spans="1:18" hidden="1" x14ac:dyDescent="0.2">
      <c r="A219">
        <v>7</v>
      </c>
      <c r="B219" t="s">
        <v>61</v>
      </c>
      <c r="E219" t="s">
        <v>19</v>
      </c>
      <c r="F219">
        <v>2080257</v>
      </c>
      <c r="G219">
        <v>3</v>
      </c>
      <c r="H219">
        <v>1</v>
      </c>
      <c r="I219">
        <v>628</v>
      </c>
      <c r="J219">
        <v>1956</v>
      </c>
      <c r="K219" s="4">
        <v>44615</v>
      </c>
      <c r="L219" t="s">
        <v>26</v>
      </c>
      <c r="M219" t="s">
        <v>37</v>
      </c>
      <c r="N219">
        <v>3.02</v>
      </c>
      <c r="O219">
        <v>1394</v>
      </c>
      <c r="P219">
        <v>0.24</v>
      </c>
      <c r="Q219">
        <v>104</v>
      </c>
      <c r="R219">
        <v>643</v>
      </c>
    </row>
    <row r="220" spans="1:18" x14ac:dyDescent="0.2">
      <c r="A220">
        <v>8</v>
      </c>
      <c r="B220" t="s">
        <v>102</v>
      </c>
      <c r="C220" t="str">
        <f>VLOOKUP(B220, 'Council Area'!$A$2:$B$51, 2)</f>
        <v>City of Sydney</v>
      </c>
      <c r="D220" t="str">
        <f>_xlfn.XLOOKUP(B220, 'Council Area'!$A$2:$A$51, 'Council Area'!$B$2:$B$51)</f>
        <v>City of Sydney</v>
      </c>
      <c r="E220" t="s">
        <v>51</v>
      </c>
      <c r="F220">
        <v>2391665</v>
      </c>
      <c r="G220">
        <v>2</v>
      </c>
      <c r="H220">
        <v>1</v>
      </c>
      <c r="I220">
        <v>899</v>
      </c>
      <c r="J220">
        <v>2014</v>
      </c>
      <c r="K220" s="4">
        <v>45537</v>
      </c>
      <c r="L220" t="s">
        <v>26</v>
      </c>
      <c r="M220" t="s">
        <v>45</v>
      </c>
      <c r="N220">
        <v>3.33</v>
      </c>
      <c r="O220">
        <v>1083</v>
      </c>
      <c r="P220">
        <v>1.4</v>
      </c>
      <c r="Q220">
        <v>127</v>
      </c>
      <c r="R220">
        <v>335</v>
      </c>
    </row>
    <row r="221" spans="1:18" hidden="1" x14ac:dyDescent="0.2">
      <c r="A221">
        <v>0</v>
      </c>
      <c r="B221" t="s">
        <v>73</v>
      </c>
      <c r="E221" t="s">
        <v>19</v>
      </c>
      <c r="F221">
        <v>1283466</v>
      </c>
      <c r="G221">
        <v>3</v>
      </c>
      <c r="H221">
        <v>3</v>
      </c>
      <c r="I221">
        <v>95</v>
      </c>
      <c r="J221">
        <v>1979</v>
      </c>
      <c r="K221" s="4">
        <v>45327</v>
      </c>
      <c r="L221" t="s">
        <v>26</v>
      </c>
      <c r="M221" t="s">
        <v>60</v>
      </c>
      <c r="N221">
        <v>2.38</v>
      </c>
      <c r="O221">
        <v>1089</v>
      </c>
      <c r="P221">
        <v>2.97</v>
      </c>
      <c r="Q221">
        <v>234</v>
      </c>
      <c r="R221">
        <v>651</v>
      </c>
    </row>
    <row r="222" spans="1:18" hidden="1" x14ac:dyDescent="0.2">
      <c r="A222">
        <v>0</v>
      </c>
      <c r="B222" t="s">
        <v>84</v>
      </c>
      <c r="E222" t="s">
        <v>29</v>
      </c>
      <c r="F222">
        <v>1519708</v>
      </c>
      <c r="G222">
        <v>2</v>
      </c>
      <c r="H222">
        <v>3</v>
      </c>
      <c r="I222">
        <v>283</v>
      </c>
      <c r="J222">
        <v>1992</v>
      </c>
      <c r="K222" s="4">
        <v>44487</v>
      </c>
      <c r="L222" t="s">
        <v>23</v>
      </c>
      <c r="M222" t="s">
        <v>35</v>
      </c>
      <c r="N222">
        <v>3.27</v>
      </c>
      <c r="O222">
        <v>1342</v>
      </c>
      <c r="P222">
        <v>1.04</v>
      </c>
      <c r="Q222">
        <v>220</v>
      </c>
      <c r="R222">
        <v>337</v>
      </c>
    </row>
    <row r="223" spans="1:18" x14ac:dyDescent="0.2">
      <c r="A223">
        <v>8</v>
      </c>
      <c r="B223" t="s">
        <v>71</v>
      </c>
      <c r="C223" t="str">
        <f>VLOOKUP(B223, 'Council Area'!$A$2:$B$51, 2)</f>
        <v>Hornsby Shire Council</v>
      </c>
      <c r="D223" t="str">
        <f>_xlfn.XLOOKUP(B223, 'Council Area'!$A$2:$A$51, 'Council Area'!$B$2:$B$51)</f>
        <v>Hornsby Shire Council</v>
      </c>
      <c r="E223" t="s">
        <v>51</v>
      </c>
      <c r="F223">
        <v>1752561</v>
      </c>
      <c r="G223">
        <v>1</v>
      </c>
      <c r="H223">
        <v>3</v>
      </c>
      <c r="I223">
        <v>607</v>
      </c>
      <c r="J223">
        <v>1973</v>
      </c>
      <c r="K223" s="4">
        <v>45031</v>
      </c>
      <c r="L223" t="s">
        <v>20</v>
      </c>
      <c r="M223" t="s">
        <v>74</v>
      </c>
      <c r="N223">
        <v>2.4900000000000002</v>
      </c>
      <c r="O223">
        <v>2259</v>
      </c>
      <c r="P223">
        <v>4.05</v>
      </c>
      <c r="Q223">
        <v>94</v>
      </c>
      <c r="R223">
        <v>321</v>
      </c>
    </row>
    <row r="224" spans="1:18" x14ac:dyDescent="0.2">
      <c r="A224">
        <v>8</v>
      </c>
      <c r="B224" t="s">
        <v>44</v>
      </c>
      <c r="C224" t="str">
        <f>VLOOKUP(B224, 'Council Area'!$A$2:$B$51, 2)</f>
        <v>Inner West Council</v>
      </c>
      <c r="D224" t="str">
        <f>_xlfn.XLOOKUP(B224, 'Council Area'!$A$2:$A$51, 'Council Area'!$B$2:$B$51)</f>
        <v>Inner West Council</v>
      </c>
      <c r="E224" t="s">
        <v>36</v>
      </c>
      <c r="F224">
        <v>1185465</v>
      </c>
      <c r="G224">
        <v>5</v>
      </c>
      <c r="H224">
        <v>3</v>
      </c>
      <c r="I224">
        <v>78</v>
      </c>
      <c r="J224">
        <v>2019</v>
      </c>
      <c r="K224" s="4">
        <v>45608</v>
      </c>
      <c r="L224" t="s">
        <v>26</v>
      </c>
      <c r="M224" t="s">
        <v>85</v>
      </c>
      <c r="N224">
        <v>2.92</v>
      </c>
      <c r="O224">
        <v>1390</v>
      </c>
      <c r="P224">
        <v>3.55</v>
      </c>
      <c r="Q224">
        <v>322</v>
      </c>
      <c r="R224">
        <v>647</v>
      </c>
    </row>
    <row r="225" spans="1:18" hidden="1" x14ac:dyDescent="0.2">
      <c r="A225">
        <v>0</v>
      </c>
      <c r="B225" t="s">
        <v>53</v>
      </c>
      <c r="E225" t="s">
        <v>29</v>
      </c>
      <c r="F225">
        <v>2364183</v>
      </c>
      <c r="G225">
        <v>1</v>
      </c>
      <c r="H225">
        <v>2</v>
      </c>
      <c r="I225">
        <v>328</v>
      </c>
      <c r="J225">
        <v>2020</v>
      </c>
      <c r="K225" s="4">
        <v>44400</v>
      </c>
      <c r="L225" t="s">
        <v>23</v>
      </c>
      <c r="M225" t="s">
        <v>68</v>
      </c>
      <c r="N225">
        <v>3.11</v>
      </c>
      <c r="O225">
        <v>2178</v>
      </c>
      <c r="P225">
        <v>2.65</v>
      </c>
      <c r="Q225">
        <v>115</v>
      </c>
      <c r="R225">
        <v>614</v>
      </c>
    </row>
    <row r="226" spans="1:18" hidden="1" x14ac:dyDescent="0.2">
      <c r="A226">
        <v>9</v>
      </c>
      <c r="B226" t="s">
        <v>25</v>
      </c>
      <c r="E226" t="s">
        <v>29</v>
      </c>
      <c r="F226">
        <v>614214</v>
      </c>
      <c r="G226">
        <v>4</v>
      </c>
      <c r="H226">
        <v>3</v>
      </c>
      <c r="I226">
        <v>136</v>
      </c>
      <c r="J226">
        <v>1969</v>
      </c>
      <c r="K226" s="4">
        <v>44571</v>
      </c>
      <c r="L226" t="s">
        <v>20</v>
      </c>
      <c r="M226" t="s">
        <v>21</v>
      </c>
      <c r="N226">
        <v>3.05</v>
      </c>
      <c r="O226">
        <v>2214</v>
      </c>
      <c r="P226">
        <v>3.68</v>
      </c>
      <c r="Q226">
        <v>304</v>
      </c>
      <c r="R226">
        <v>341</v>
      </c>
    </row>
    <row r="227" spans="1:18" hidden="1" x14ac:dyDescent="0.2">
      <c r="A227">
        <v>5</v>
      </c>
      <c r="B227" t="s">
        <v>25</v>
      </c>
      <c r="E227" t="s">
        <v>29</v>
      </c>
      <c r="F227">
        <v>1747482</v>
      </c>
      <c r="G227">
        <v>2</v>
      </c>
      <c r="H227">
        <v>1</v>
      </c>
      <c r="I227">
        <v>541</v>
      </c>
      <c r="J227">
        <v>1976</v>
      </c>
      <c r="K227" s="4">
        <v>44964</v>
      </c>
      <c r="L227" t="s">
        <v>23</v>
      </c>
      <c r="M227" t="s">
        <v>63</v>
      </c>
      <c r="N227">
        <v>3.02</v>
      </c>
      <c r="O227">
        <v>1265</v>
      </c>
      <c r="P227">
        <v>4.42</v>
      </c>
      <c r="Q227">
        <v>118</v>
      </c>
      <c r="R227">
        <v>688</v>
      </c>
    </row>
    <row r="228" spans="1:18" hidden="1" x14ac:dyDescent="0.2">
      <c r="A228">
        <v>3</v>
      </c>
      <c r="B228" t="s">
        <v>48</v>
      </c>
      <c r="E228" t="s">
        <v>51</v>
      </c>
      <c r="F228">
        <v>495865</v>
      </c>
      <c r="G228">
        <v>4</v>
      </c>
      <c r="H228">
        <v>1</v>
      </c>
      <c r="I228">
        <v>166</v>
      </c>
      <c r="J228">
        <v>1985</v>
      </c>
      <c r="K228" s="4">
        <v>44505</v>
      </c>
      <c r="L228" t="s">
        <v>23</v>
      </c>
      <c r="M228" t="s">
        <v>45</v>
      </c>
      <c r="N228">
        <v>2.0699999999999998</v>
      </c>
      <c r="O228">
        <v>870</v>
      </c>
      <c r="P228">
        <v>1.65</v>
      </c>
      <c r="Q228">
        <v>284</v>
      </c>
      <c r="R228">
        <v>555</v>
      </c>
    </row>
    <row r="229" spans="1:18" hidden="1" x14ac:dyDescent="0.2">
      <c r="A229">
        <v>6</v>
      </c>
      <c r="B229" t="s">
        <v>79</v>
      </c>
      <c r="E229" t="s">
        <v>36</v>
      </c>
      <c r="F229">
        <v>555236</v>
      </c>
      <c r="G229">
        <v>4</v>
      </c>
      <c r="H229">
        <v>3</v>
      </c>
      <c r="I229">
        <v>382</v>
      </c>
      <c r="J229">
        <v>1975</v>
      </c>
      <c r="K229" s="4">
        <v>44838</v>
      </c>
      <c r="L229" t="s">
        <v>26</v>
      </c>
      <c r="M229" t="s">
        <v>82</v>
      </c>
      <c r="N229">
        <v>3.4</v>
      </c>
      <c r="O229">
        <v>2305</v>
      </c>
      <c r="P229">
        <v>3.13</v>
      </c>
      <c r="Q229">
        <v>203</v>
      </c>
      <c r="R229">
        <v>676</v>
      </c>
    </row>
    <row r="230" spans="1:18" x14ac:dyDescent="0.2">
      <c r="A230">
        <v>8</v>
      </c>
      <c r="B230" t="s">
        <v>83</v>
      </c>
      <c r="C230" t="str">
        <f>VLOOKUP(B230, 'Council Area'!$A$2:$B$51, 2)</f>
        <v>Canterbury-Bankstown Council</v>
      </c>
      <c r="D230" t="str">
        <f>_xlfn.XLOOKUP(B230, 'Council Area'!$A$2:$A$51, 'Council Area'!$B$2:$B$51)</f>
        <v>Canterbury-Bankstown Council</v>
      </c>
      <c r="E230" t="s">
        <v>29</v>
      </c>
      <c r="F230">
        <v>567597</v>
      </c>
      <c r="G230">
        <v>5</v>
      </c>
      <c r="H230">
        <v>1</v>
      </c>
      <c r="I230">
        <v>646</v>
      </c>
      <c r="J230">
        <v>1997</v>
      </c>
      <c r="K230" s="4">
        <v>44189</v>
      </c>
      <c r="L230" t="s">
        <v>20</v>
      </c>
      <c r="M230" t="s">
        <v>59</v>
      </c>
      <c r="N230">
        <v>1.98</v>
      </c>
      <c r="O230">
        <v>1213</v>
      </c>
      <c r="P230">
        <v>3.86</v>
      </c>
      <c r="Q230">
        <v>272</v>
      </c>
      <c r="R230">
        <v>633</v>
      </c>
    </row>
    <row r="231" spans="1:18" hidden="1" x14ac:dyDescent="0.2">
      <c r="A231">
        <v>9</v>
      </c>
      <c r="B231" t="s">
        <v>94</v>
      </c>
      <c r="E231" t="s">
        <v>19</v>
      </c>
      <c r="F231">
        <v>2437260</v>
      </c>
      <c r="G231">
        <v>4</v>
      </c>
      <c r="H231">
        <v>2</v>
      </c>
      <c r="I231">
        <v>330</v>
      </c>
      <c r="J231">
        <v>2008</v>
      </c>
      <c r="K231" s="4">
        <v>45314</v>
      </c>
      <c r="L231" t="s">
        <v>23</v>
      </c>
      <c r="M231" t="s">
        <v>21</v>
      </c>
      <c r="N231">
        <v>3.43</v>
      </c>
      <c r="O231">
        <v>1295</v>
      </c>
      <c r="P231">
        <v>0.23</v>
      </c>
      <c r="Q231">
        <v>283</v>
      </c>
      <c r="R231">
        <v>348</v>
      </c>
    </row>
    <row r="232" spans="1:18" hidden="1" x14ac:dyDescent="0.2">
      <c r="A232">
        <v>7</v>
      </c>
      <c r="B232" t="s">
        <v>91</v>
      </c>
      <c r="E232" t="s">
        <v>51</v>
      </c>
      <c r="F232">
        <v>754310</v>
      </c>
      <c r="G232">
        <v>1</v>
      </c>
      <c r="H232">
        <v>1</v>
      </c>
      <c r="I232">
        <v>92</v>
      </c>
      <c r="J232">
        <v>2005</v>
      </c>
      <c r="K232" s="4">
        <v>45279</v>
      </c>
      <c r="L232" t="s">
        <v>23</v>
      </c>
      <c r="M232" t="s">
        <v>58</v>
      </c>
      <c r="N232">
        <v>1.79</v>
      </c>
      <c r="O232">
        <v>1401</v>
      </c>
      <c r="P232">
        <v>0.92</v>
      </c>
      <c r="Q232">
        <v>60</v>
      </c>
      <c r="R232">
        <v>503</v>
      </c>
    </row>
    <row r="233" spans="1:18" hidden="1" x14ac:dyDescent="0.2">
      <c r="A233">
        <v>2</v>
      </c>
      <c r="B233" t="s">
        <v>105</v>
      </c>
      <c r="E233" t="s">
        <v>29</v>
      </c>
      <c r="F233">
        <v>2618247</v>
      </c>
      <c r="G233">
        <v>3</v>
      </c>
      <c r="H233">
        <v>1</v>
      </c>
      <c r="I233">
        <v>252</v>
      </c>
      <c r="J233">
        <v>1984</v>
      </c>
      <c r="K233" s="4">
        <v>45238</v>
      </c>
      <c r="L233" t="s">
        <v>30</v>
      </c>
      <c r="M233" t="s">
        <v>42</v>
      </c>
      <c r="N233">
        <v>1.84</v>
      </c>
      <c r="O233">
        <v>1139</v>
      </c>
      <c r="P233">
        <v>4.2300000000000004</v>
      </c>
      <c r="Q233">
        <v>313</v>
      </c>
      <c r="R233">
        <v>555</v>
      </c>
    </row>
    <row r="234" spans="1:18" hidden="1" x14ac:dyDescent="0.2">
      <c r="A234">
        <v>4</v>
      </c>
      <c r="B234" t="s">
        <v>95</v>
      </c>
      <c r="E234" t="s">
        <v>29</v>
      </c>
      <c r="F234">
        <v>2707572</v>
      </c>
      <c r="G234">
        <v>0</v>
      </c>
      <c r="H234">
        <v>2</v>
      </c>
      <c r="I234">
        <v>920</v>
      </c>
      <c r="J234">
        <v>1963</v>
      </c>
      <c r="K234" s="4">
        <v>44415</v>
      </c>
      <c r="L234" t="s">
        <v>23</v>
      </c>
      <c r="M234" t="s">
        <v>66</v>
      </c>
      <c r="N234">
        <v>2.71</v>
      </c>
      <c r="O234">
        <v>1863</v>
      </c>
      <c r="P234">
        <v>4.47</v>
      </c>
      <c r="Q234">
        <v>49</v>
      </c>
      <c r="R234">
        <v>539</v>
      </c>
    </row>
    <row r="235" spans="1:18" hidden="1" x14ac:dyDescent="0.2">
      <c r="A235">
        <v>5</v>
      </c>
      <c r="B235" t="s">
        <v>80</v>
      </c>
      <c r="E235" t="s">
        <v>19</v>
      </c>
      <c r="F235">
        <v>1504689</v>
      </c>
      <c r="G235">
        <v>1</v>
      </c>
      <c r="H235">
        <v>1</v>
      </c>
      <c r="I235">
        <v>725</v>
      </c>
      <c r="J235">
        <v>1993</v>
      </c>
      <c r="K235" s="4">
        <v>44474</v>
      </c>
      <c r="L235" t="s">
        <v>23</v>
      </c>
      <c r="M235" t="s">
        <v>97</v>
      </c>
      <c r="N235">
        <v>2.13</v>
      </c>
      <c r="O235">
        <v>1996</v>
      </c>
      <c r="P235">
        <v>2.23</v>
      </c>
      <c r="Q235">
        <v>118</v>
      </c>
      <c r="R235">
        <v>444</v>
      </c>
    </row>
    <row r="236" spans="1:18" hidden="1" x14ac:dyDescent="0.2">
      <c r="A236">
        <v>0</v>
      </c>
      <c r="B236" t="s">
        <v>18</v>
      </c>
      <c r="E236" t="s">
        <v>19</v>
      </c>
      <c r="F236">
        <v>1654420</v>
      </c>
      <c r="G236">
        <v>4</v>
      </c>
      <c r="H236">
        <v>1</v>
      </c>
      <c r="I236">
        <v>1000</v>
      </c>
      <c r="J236">
        <v>1968</v>
      </c>
      <c r="K236" s="4">
        <v>45831</v>
      </c>
      <c r="L236" t="s">
        <v>20</v>
      </c>
      <c r="M236" t="s">
        <v>21</v>
      </c>
      <c r="N236">
        <v>2.72</v>
      </c>
      <c r="O236">
        <v>1924</v>
      </c>
      <c r="P236">
        <v>3.93</v>
      </c>
      <c r="Q236">
        <v>315</v>
      </c>
      <c r="R236">
        <v>508</v>
      </c>
    </row>
    <row r="237" spans="1:18" hidden="1" x14ac:dyDescent="0.2">
      <c r="A237">
        <v>9</v>
      </c>
      <c r="B237" t="s">
        <v>80</v>
      </c>
      <c r="E237" t="s">
        <v>29</v>
      </c>
      <c r="F237">
        <v>1175712</v>
      </c>
      <c r="G237">
        <v>4</v>
      </c>
      <c r="H237">
        <v>1</v>
      </c>
      <c r="I237">
        <v>791</v>
      </c>
      <c r="J237">
        <v>1977</v>
      </c>
      <c r="K237" s="4">
        <v>45054</v>
      </c>
      <c r="L237" t="s">
        <v>20</v>
      </c>
      <c r="M237" t="s">
        <v>77</v>
      </c>
      <c r="N237">
        <v>2.64</v>
      </c>
      <c r="O237">
        <v>1179</v>
      </c>
      <c r="P237">
        <v>4.54</v>
      </c>
      <c r="Q237">
        <v>299</v>
      </c>
      <c r="R237">
        <v>577</v>
      </c>
    </row>
    <row r="238" spans="1:18" hidden="1" x14ac:dyDescent="0.2">
      <c r="A238">
        <v>9</v>
      </c>
      <c r="B238" t="s">
        <v>25</v>
      </c>
      <c r="E238" t="s">
        <v>19</v>
      </c>
      <c r="F238">
        <v>498904</v>
      </c>
      <c r="G238">
        <v>4</v>
      </c>
      <c r="H238">
        <v>2</v>
      </c>
      <c r="I238">
        <v>563</v>
      </c>
      <c r="J238">
        <v>1975</v>
      </c>
      <c r="K238" s="4">
        <v>44670</v>
      </c>
      <c r="L238" t="s">
        <v>26</v>
      </c>
      <c r="M238" t="s">
        <v>76</v>
      </c>
      <c r="N238">
        <v>2.58</v>
      </c>
      <c r="O238">
        <v>2361</v>
      </c>
      <c r="P238">
        <v>3.87</v>
      </c>
      <c r="Q238">
        <v>258</v>
      </c>
      <c r="R238">
        <v>671</v>
      </c>
    </row>
    <row r="239" spans="1:18" hidden="1" x14ac:dyDescent="0.2">
      <c r="A239">
        <v>0</v>
      </c>
      <c r="B239" t="s">
        <v>98</v>
      </c>
      <c r="E239" t="s">
        <v>36</v>
      </c>
      <c r="F239">
        <v>1813749</v>
      </c>
      <c r="G239">
        <v>3</v>
      </c>
      <c r="H239">
        <v>2</v>
      </c>
      <c r="I239">
        <v>342</v>
      </c>
      <c r="J239">
        <v>1972</v>
      </c>
      <c r="K239" s="4">
        <v>44969</v>
      </c>
      <c r="L239" t="s">
        <v>23</v>
      </c>
      <c r="M239" t="s">
        <v>52</v>
      </c>
      <c r="N239">
        <v>2.87</v>
      </c>
      <c r="O239">
        <v>2092</v>
      </c>
      <c r="P239">
        <v>3.16</v>
      </c>
      <c r="Q239">
        <v>82</v>
      </c>
      <c r="R239">
        <v>352</v>
      </c>
    </row>
    <row r="240" spans="1:18" hidden="1" x14ac:dyDescent="0.2">
      <c r="A240">
        <v>3</v>
      </c>
      <c r="B240" t="s">
        <v>104</v>
      </c>
      <c r="E240" t="s">
        <v>51</v>
      </c>
      <c r="F240">
        <v>2598428</v>
      </c>
      <c r="G240">
        <v>2</v>
      </c>
      <c r="H240">
        <v>3</v>
      </c>
      <c r="I240">
        <v>476</v>
      </c>
      <c r="J240">
        <v>2000</v>
      </c>
      <c r="K240" s="4">
        <v>45046</v>
      </c>
      <c r="L240" t="s">
        <v>20</v>
      </c>
      <c r="M240" t="s">
        <v>74</v>
      </c>
      <c r="N240">
        <v>2.63</v>
      </c>
      <c r="O240">
        <v>2098</v>
      </c>
      <c r="P240">
        <v>3.73</v>
      </c>
      <c r="Q240">
        <v>186</v>
      </c>
      <c r="R240">
        <v>384</v>
      </c>
    </row>
    <row r="241" spans="1:18" hidden="1" x14ac:dyDescent="0.2">
      <c r="A241">
        <v>2</v>
      </c>
      <c r="B241" t="s">
        <v>75</v>
      </c>
      <c r="E241" t="s">
        <v>29</v>
      </c>
      <c r="F241">
        <v>473479</v>
      </c>
      <c r="G241">
        <v>4</v>
      </c>
      <c r="H241">
        <v>3</v>
      </c>
      <c r="I241">
        <v>657</v>
      </c>
      <c r="J241">
        <v>1982</v>
      </c>
      <c r="K241" s="4">
        <v>44487</v>
      </c>
      <c r="L241" t="s">
        <v>23</v>
      </c>
      <c r="M241" t="s">
        <v>74</v>
      </c>
      <c r="N241">
        <v>3.24</v>
      </c>
      <c r="O241">
        <v>2374</v>
      </c>
      <c r="P241">
        <v>1.67</v>
      </c>
      <c r="Q241">
        <v>358</v>
      </c>
      <c r="R241">
        <v>688</v>
      </c>
    </row>
    <row r="242" spans="1:18" hidden="1" x14ac:dyDescent="0.2">
      <c r="A242">
        <v>4</v>
      </c>
      <c r="B242" t="s">
        <v>88</v>
      </c>
      <c r="E242" t="s">
        <v>51</v>
      </c>
      <c r="F242">
        <v>691242</v>
      </c>
      <c r="G242">
        <v>2</v>
      </c>
      <c r="H242">
        <v>2</v>
      </c>
      <c r="I242">
        <v>302</v>
      </c>
      <c r="J242">
        <v>1995</v>
      </c>
      <c r="K242" s="4">
        <v>45274</v>
      </c>
      <c r="L242" t="s">
        <v>20</v>
      </c>
      <c r="M242" t="s">
        <v>68</v>
      </c>
      <c r="N242">
        <v>2.86</v>
      </c>
      <c r="O242">
        <v>890</v>
      </c>
      <c r="P242">
        <v>1.27</v>
      </c>
      <c r="Q242">
        <v>223</v>
      </c>
      <c r="R242">
        <v>551</v>
      </c>
    </row>
    <row r="243" spans="1:18" hidden="1" x14ac:dyDescent="0.2">
      <c r="A243">
        <v>2</v>
      </c>
      <c r="B243" t="s">
        <v>92</v>
      </c>
      <c r="E243" t="s">
        <v>29</v>
      </c>
      <c r="F243">
        <v>2963479</v>
      </c>
      <c r="G243">
        <v>4</v>
      </c>
      <c r="H243">
        <v>1</v>
      </c>
      <c r="I243">
        <v>200</v>
      </c>
      <c r="J243">
        <v>1998</v>
      </c>
      <c r="K243" s="4">
        <v>44898</v>
      </c>
      <c r="L243" t="s">
        <v>30</v>
      </c>
      <c r="M243" t="s">
        <v>70</v>
      </c>
      <c r="N243">
        <v>2.73</v>
      </c>
      <c r="O243">
        <v>1393</v>
      </c>
      <c r="P243">
        <v>1.78</v>
      </c>
      <c r="Q243">
        <v>328</v>
      </c>
      <c r="R243">
        <v>456</v>
      </c>
    </row>
    <row r="244" spans="1:18" hidden="1" x14ac:dyDescent="0.2">
      <c r="A244">
        <v>4</v>
      </c>
      <c r="B244" t="s">
        <v>88</v>
      </c>
      <c r="E244" t="s">
        <v>29</v>
      </c>
      <c r="F244">
        <v>1603891</v>
      </c>
      <c r="G244">
        <v>3</v>
      </c>
      <c r="H244">
        <v>2</v>
      </c>
      <c r="I244">
        <v>866</v>
      </c>
      <c r="J244">
        <v>1978</v>
      </c>
      <c r="K244" s="4">
        <v>44113</v>
      </c>
      <c r="L244" t="s">
        <v>23</v>
      </c>
      <c r="M244" t="s">
        <v>33</v>
      </c>
      <c r="N244">
        <v>1.7</v>
      </c>
      <c r="O244">
        <v>854</v>
      </c>
      <c r="P244">
        <v>0.36</v>
      </c>
      <c r="Q244">
        <v>131</v>
      </c>
      <c r="R244">
        <v>508</v>
      </c>
    </row>
    <row r="245" spans="1:18" hidden="1" x14ac:dyDescent="0.2">
      <c r="A245">
        <v>7</v>
      </c>
      <c r="B245" t="s">
        <v>41</v>
      </c>
      <c r="E245" t="s">
        <v>36</v>
      </c>
      <c r="F245">
        <v>1441532</v>
      </c>
      <c r="G245">
        <v>6</v>
      </c>
      <c r="H245">
        <v>3</v>
      </c>
      <c r="I245">
        <v>261</v>
      </c>
      <c r="J245">
        <v>1992</v>
      </c>
      <c r="K245" s="4">
        <v>44532</v>
      </c>
      <c r="L245" t="s">
        <v>23</v>
      </c>
      <c r="M245" t="s">
        <v>37</v>
      </c>
      <c r="N245">
        <v>2.89</v>
      </c>
      <c r="O245">
        <v>1039</v>
      </c>
      <c r="P245">
        <v>3.24</v>
      </c>
      <c r="Q245">
        <v>366</v>
      </c>
      <c r="R245">
        <v>386</v>
      </c>
    </row>
    <row r="246" spans="1:18" hidden="1" x14ac:dyDescent="0.2">
      <c r="A246">
        <v>1</v>
      </c>
      <c r="B246" t="s">
        <v>53</v>
      </c>
      <c r="E246" t="s">
        <v>29</v>
      </c>
      <c r="F246">
        <v>749703</v>
      </c>
      <c r="G246">
        <v>3</v>
      </c>
      <c r="H246">
        <v>2</v>
      </c>
      <c r="I246">
        <v>465</v>
      </c>
      <c r="J246">
        <v>2001</v>
      </c>
      <c r="K246" s="4">
        <v>45304</v>
      </c>
      <c r="L246" t="s">
        <v>30</v>
      </c>
      <c r="M246" t="s">
        <v>33</v>
      </c>
      <c r="N246">
        <v>3.07</v>
      </c>
      <c r="O246">
        <v>829</v>
      </c>
      <c r="P246">
        <v>1.31</v>
      </c>
      <c r="Q246">
        <v>126</v>
      </c>
      <c r="R246">
        <v>444</v>
      </c>
    </row>
    <row r="247" spans="1:18" hidden="1" x14ac:dyDescent="0.2">
      <c r="A247">
        <v>4</v>
      </c>
      <c r="B247" t="s">
        <v>62</v>
      </c>
      <c r="E247" t="s">
        <v>36</v>
      </c>
      <c r="F247">
        <v>2091614</v>
      </c>
      <c r="G247">
        <v>2</v>
      </c>
      <c r="H247">
        <v>3</v>
      </c>
      <c r="I247">
        <v>147</v>
      </c>
      <c r="J247">
        <v>1964</v>
      </c>
      <c r="K247" s="4">
        <v>45684</v>
      </c>
      <c r="L247" t="s">
        <v>26</v>
      </c>
      <c r="M247" t="s">
        <v>68</v>
      </c>
      <c r="N247">
        <v>2.62</v>
      </c>
      <c r="O247">
        <v>1797</v>
      </c>
      <c r="P247">
        <v>0.95</v>
      </c>
      <c r="Q247">
        <v>184</v>
      </c>
      <c r="R247">
        <v>393</v>
      </c>
    </row>
    <row r="248" spans="1:18" hidden="1" x14ac:dyDescent="0.2">
      <c r="A248">
        <v>2</v>
      </c>
      <c r="B248" t="s">
        <v>43</v>
      </c>
      <c r="E248" t="s">
        <v>51</v>
      </c>
      <c r="F248">
        <v>1519499</v>
      </c>
      <c r="G248">
        <v>4</v>
      </c>
      <c r="H248">
        <v>2</v>
      </c>
      <c r="I248">
        <v>92</v>
      </c>
      <c r="J248">
        <v>1959</v>
      </c>
      <c r="K248" s="4">
        <v>45246</v>
      </c>
      <c r="L248" t="s">
        <v>26</v>
      </c>
      <c r="M248" t="s">
        <v>33</v>
      </c>
      <c r="N248">
        <v>1.55</v>
      </c>
      <c r="O248">
        <v>1025</v>
      </c>
      <c r="P248">
        <v>3.53</v>
      </c>
      <c r="Q248">
        <v>180</v>
      </c>
      <c r="R248">
        <v>577</v>
      </c>
    </row>
    <row r="249" spans="1:18" hidden="1" x14ac:dyDescent="0.2">
      <c r="A249">
        <v>1</v>
      </c>
      <c r="B249" t="s">
        <v>83</v>
      </c>
      <c r="E249" t="s">
        <v>29</v>
      </c>
      <c r="F249">
        <v>455205</v>
      </c>
      <c r="G249">
        <v>4</v>
      </c>
      <c r="H249">
        <v>1</v>
      </c>
      <c r="I249">
        <v>929</v>
      </c>
      <c r="J249">
        <v>1959</v>
      </c>
      <c r="K249" s="4">
        <v>45625</v>
      </c>
      <c r="L249" t="s">
        <v>23</v>
      </c>
      <c r="M249" t="s">
        <v>47</v>
      </c>
      <c r="N249">
        <v>2.14</v>
      </c>
      <c r="O249">
        <v>2365</v>
      </c>
      <c r="P249">
        <v>0.3</v>
      </c>
      <c r="Q249">
        <v>217</v>
      </c>
      <c r="R249">
        <v>581</v>
      </c>
    </row>
    <row r="250" spans="1:18" hidden="1" x14ac:dyDescent="0.2">
      <c r="A250">
        <v>9</v>
      </c>
      <c r="B250" t="s">
        <v>57</v>
      </c>
      <c r="E250" t="s">
        <v>51</v>
      </c>
      <c r="F250">
        <v>2189202</v>
      </c>
      <c r="G250">
        <v>4</v>
      </c>
      <c r="H250">
        <v>3</v>
      </c>
      <c r="I250">
        <v>575</v>
      </c>
      <c r="J250">
        <v>1977</v>
      </c>
      <c r="K250" s="4">
        <v>45792</v>
      </c>
      <c r="L250" t="s">
        <v>23</v>
      </c>
      <c r="M250" t="s">
        <v>27</v>
      </c>
      <c r="N250">
        <v>2</v>
      </c>
      <c r="O250">
        <v>1490</v>
      </c>
      <c r="P250">
        <v>0.97</v>
      </c>
      <c r="Q250">
        <v>197</v>
      </c>
      <c r="R250">
        <v>344</v>
      </c>
    </row>
    <row r="251" spans="1:18" hidden="1" x14ac:dyDescent="0.2">
      <c r="A251">
        <v>6</v>
      </c>
      <c r="B251" t="s">
        <v>64</v>
      </c>
      <c r="E251" t="s">
        <v>29</v>
      </c>
      <c r="F251">
        <v>436711</v>
      </c>
      <c r="G251">
        <v>4</v>
      </c>
      <c r="H251">
        <v>2</v>
      </c>
      <c r="I251">
        <v>808</v>
      </c>
      <c r="J251">
        <v>1975</v>
      </c>
      <c r="K251" s="4">
        <v>44800</v>
      </c>
      <c r="L251" t="s">
        <v>30</v>
      </c>
      <c r="M251" t="s">
        <v>24</v>
      </c>
      <c r="N251">
        <v>2.82</v>
      </c>
      <c r="O251">
        <v>1901</v>
      </c>
      <c r="P251">
        <v>4.3099999999999996</v>
      </c>
      <c r="Q251">
        <v>261</v>
      </c>
      <c r="R251">
        <v>561</v>
      </c>
    </row>
    <row r="252" spans="1:18" hidden="1" x14ac:dyDescent="0.2">
      <c r="A252">
        <v>5</v>
      </c>
      <c r="B252" t="s">
        <v>71</v>
      </c>
      <c r="E252" t="s">
        <v>29</v>
      </c>
      <c r="F252">
        <v>2997993</v>
      </c>
      <c r="G252">
        <v>4</v>
      </c>
      <c r="H252">
        <v>1</v>
      </c>
      <c r="I252">
        <v>237</v>
      </c>
      <c r="J252">
        <v>1982</v>
      </c>
      <c r="K252" s="4">
        <v>45801</v>
      </c>
      <c r="L252" t="s">
        <v>30</v>
      </c>
      <c r="M252" t="s">
        <v>89</v>
      </c>
      <c r="N252">
        <v>2.7</v>
      </c>
      <c r="O252">
        <v>1985</v>
      </c>
      <c r="P252">
        <v>3.12</v>
      </c>
      <c r="Q252">
        <v>196</v>
      </c>
      <c r="R252">
        <v>594</v>
      </c>
    </row>
    <row r="253" spans="1:18" hidden="1" x14ac:dyDescent="0.2">
      <c r="A253">
        <v>7</v>
      </c>
      <c r="B253" t="s">
        <v>83</v>
      </c>
      <c r="E253" t="s">
        <v>51</v>
      </c>
      <c r="F253">
        <v>1026383</v>
      </c>
      <c r="G253">
        <v>5</v>
      </c>
      <c r="H253">
        <v>1</v>
      </c>
      <c r="I253">
        <v>489</v>
      </c>
      <c r="J253">
        <v>1956</v>
      </c>
      <c r="K253" s="4">
        <v>45827</v>
      </c>
      <c r="L253" t="s">
        <v>23</v>
      </c>
      <c r="M253" t="s">
        <v>77</v>
      </c>
      <c r="N253">
        <v>3.43</v>
      </c>
      <c r="O253">
        <v>826</v>
      </c>
      <c r="P253">
        <v>4.16</v>
      </c>
      <c r="Q253">
        <v>327</v>
      </c>
      <c r="R253">
        <v>426</v>
      </c>
    </row>
    <row r="254" spans="1:18" hidden="1" x14ac:dyDescent="0.2">
      <c r="A254">
        <v>6</v>
      </c>
      <c r="B254" t="s">
        <v>25</v>
      </c>
      <c r="E254" t="s">
        <v>19</v>
      </c>
      <c r="F254">
        <v>2709950</v>
      </c>
      <c r="G254">
        <v>5</v>
      </c>
      <c r="H254">
        <v>2</v>
      </c>
      <c r="I254">
        <v>550</v>
      </c>
      <c r="J254">
        <v>2009</v>
      </c>
      <c r="K254" s="4">
        <v>45723</v>
      </c>
      <c r="L254" t="s">
        <v>23</v>
      </c>
      <c r="M254" t="s">
        <v>58</v>
      </c>
      <c r="N254">
        <v>3.42</v>
      </c>
      <c r="O254">
        <v>1633</v>
      </c>
      <c r="P254">
        <v>1.1299999999999999</v>
      </c>
      <c r="Q254">
        <v>385</v>
      </c>
      <c r="R254">
        <v>359</v>
      </c>
    </row>
    <row r="255" spans="1:18" hidden="1" x14ac:dyDescent="0.2">
      <c r="A255">
        <v>3</v>
      </c>
      <c r="B255" t="s">
        <v>38</v>
      </c>
      <c r="E255" t="s">
        <v>19</v>
      </c>
      <c r="F255">
        <v>2386066</v>
      </c>
      <c r="G255">
        <v>2</v>
      </c>
      <c r="H255">
        <v>3</v>
      </c>
      <c r="I255">
        <v>522</v>
      </c>
      <c r="J255">
        <v>1994</v>
      </c>
      <c r="K255" s="4">
        <v>44782</v>
      </c>
      <c r="L255" t="s">
        <v>30</v>
      </c>
      <c r="M255" t="s">
        <v>54</v>
      </c>
      <c r="N255">
        <v>2.2400000000000002</v>
      </c>
      <c r="O255">
        <v>1114</v>
      </c>
      <c r="P255">
        <v>2.1</v>
      </c>
      <c r="Q255">
        <v>233</v>
      </c>
      <c r="R255">
        <v>642</v>
      </c>
    </row>
    <row r="256" spans="1:18" x14ac:dyDescent="0.2">
      <c r="A256">
        <v>8</v>
      </c>
      <c r="B256" t="s">
        <v>41</v>
      </c>
      <c r="C256" t="str">
        <f>VLOOKUP(B256, 'Council Area'!$A$2:$B$51, 2)</f>
        <v>Parramatta City Council</v>
      </c>
      <c r="D256" t="str">
        <f>_xlfn.XLOOKUP(B256, 'Council Area'!$A$2:$A$51, 'Council Area'!$B$2:$B$51)</f>
        <v>Parramatta City Council</v>
      </c>
      <c r="E256" t="s">
        <v>51</v>
      </c>
      <c r="F256">
        <v>679961</v>
      </c>
      <c r="G256">
        <v>5</v>
      </c>
      <c r="H256">
        <v>1</v>
      </c>
      <c r="I256">
        <v>643</v>
      </c>
      <c r="J256">
        <v>2010</v>
      </c>
      <c r="K256" s="4">
        <v>44917</v>
      </c>
      <c r="L256" t="s">
        <v>23</v>
      </c>
      <c r="M256" t="s">
        <v>82</v>
      </c>
      <c r="N256">
        <v>3.37</v>
      </c>
      <c r="O256">
        <v>1190</v>
      </c>
      <c r="P256">
        <v>0.86</v>
      </c>
      <c r="Q256">
        <v>316</v>
      </c>
      <c r="R256">
        <v>582</v>
      </c>
    </row>
    <row r="257" spans="1:18" hidden="1" x14ac:dyDescent="0.2">
      <c r="A257">
        <v>6</v>
      </c>
      <c r="B257" t="s">
        <v>98</v>
      </c>
      <c r="E257" t="s">
        <v>36</v>
      </c>
      <c r="F257">
        <v>2065293</v>
      </c>
      <c r="G257">
        <v>6</v>
      </c>
      <c r="H257">
        <v>1</v>
      </c>
      <c r="I257">
        <v>900</v>
      </c>
      <c r="J257">
        <v>1977</v>
      </c>
      <c r="K257" s="4">
        <v>44080</v>
      </c>
      <c r="L257" t="s">
        <v>20</v>
      </c>
      <c r="M257" t="s">
        <v>89</v>
      </c>
      <c r="N257">
        <v>2.66</v>
      </c>
      <c r="O257">
        <v>1084</v>
      </c>
      <c r="P257">
        <v>0.34</v>
      </c>
      <c r="Q257">
        <v>361</v>
      </c>
      <c r="R257">
        <v>688</v>
      </c>
    </row>
    <row r="258" spans="1:18" hidden="1" x14ac:dyDescent="0.2">
      <c r="A258">
        <v>6</v>
      </c>
      <c r="B258" t="s">
        <v>88</v>
      </c>
      <c r="E258" t="s">
        <v>51</v>
      </c>
      <c r="F258">
        <v>750376</v>
      </c>
      <c r="G258">
        <v>6</v>
      </c>
      <c r="H258">
        <v>2</v>
      </c>
      <c r="I258">
        <v>745</v>
      </c>
      <c r="J258">
        <v>1979</v>
      </c>
      <c r="K258" s="4">
        <v>45443</v>
      </c>
      <c r="L258" t="s">
        <v>26</v>
      </c>
      <c r="M258" t="s">
        <v>56</v>
      </c>
      <c r="N258">
        <v>2.63</v>
      </c>
      <c r="O258">
        <v>892</v>
      </c>
      <c r="P258">
        <v>4.2300000000000004</v>
      </c>
      <c r="Q258">
        <v>352</v>
      </c>
      <c r="R258">
        <v>477</v>
      </c>
    </row>
    <row r="259" spans="1:18" hidden="1" x14ac:dyDescent="0.2">
      <c r="A259">
        <v>5</v>
      </c>
      <c r="B259" t="s">
        <v>18</v>
      </c>
      <c r="E259" t="s">
        <v>51</v>
      </c>
      <c r="F259">
        <v>812938</v>
      </c>
      <c r="G259">
        <v>1</v>
      </c>
      <c r="H259">
        <v>2</v>
      </c>
      <c r="I259">
        <v>581</v>
      </c>
      <c r="J259">
        <v>1970</v>
      </c>
      <c r="K259" s="4">
        <v>45300</v>
      </c>
      <c r="L259" t="s">
        <v>20</v>
      </c>
      <c r="M259" t="s">
        <v>68</v>
      </c>
      <c r="N259">
        <v>3.29</v>
      </c>
      <c r="O259">
        <v>2342</v>
      </c>
      <c r="P259">
        <v>4.6900000000000004</v>
      </c>
      <c r="Q259">
        <v>93</v>
      </c>
      <c r="R259">
        <v>305</v>
      </c>
    </row>
    <row r="260" spans="1:18" hidden="1" x14ac:dyDescent="0.2">
      <c r="A260">
        <v>2</v>
      </c>
      <c r="B260" t="s">
        <v>75</v>
      </c>
      <c r="E260" t="s">
        <v>36</v>
      </c>
      <c r="F260">
        <v>2435854</v>
      </c>
      <c r="G260">
        <v>2</v>
      </c>
      <c r="H260">
        <v>1</v>
      </c>
      <c r="I260">
        <v>599</v>
      </c>
      <c r="J260">
        <v>2002</v>
      </c>
      <c r="K260" s="4">
        <v>45760</v>
      </c>
      <c r="L260" t="s">
        <v>20</v>
      </c>
      <c r="M260" t="s">
        <v>58</v>
      </c>
      <c r="N260">
        <v>3.29</v>
      </c>
      <c r="O260">
        <v>1738</v>
      </c>
      <c r="P260">
        <v>2.3199999999999998</v>
      </c>
      <c r="Q260">
        <v>132</v>
      </c>
      <c r="R260">
        <v>318</v>
      </c>
    </row>
    <row r="261" spans="1:18" hidden="1" x14ac:dyDescent="0.2">
      <c r="A261">
        <v>4</v>
      </c>
      <c r="B261" t="s">
        <v>39</v>
      </c>
      <c r="E261" t="s">
        <v>51</v>
      </c>
      <c r="F261">
        <v>2033478</v>
      </c>
      <c r="G261">
        <v>4</v>
      </c>
      <c r="H261">
        <v>2</v>
      </c>
      <c r="I261">
        <v>624</v>
      </c>
      <c r="J261">
        <v>1989</v>
      </c>
      <c r="K261" s="4">
        <v>45095</v>
      </c>
      <c r="L261" t="s">
        <v>30</v>
      </c>
      <c r="M261" t="s">
        <v>68</v>
      </c>
      <c r="N261">
        <v>2.81</v>
      </c>
      <c r="O261">
        <v>968</v>
      </c>
      <c r="P261">
        <v>0.35</v>
      </c>
      <c r="Q261">
        <v>376</v>
      </c>
      <c r="R261">
        <v>643</v>
      </c>
    </row>
    <row r="262" spans="1:18" hidden="1" x14ac:dyDescent="0.2">
      <c r="A262">
        <v>9</v>
      </c>
      <c r="B262" t="s">
        <v>94</v>
      </c>
      <c r="E262" t="s">
        <v>51</v>
      </c>
      <c r="F262">
        <v>2160548</v>
      </c>
      <c r="G262">
        <v>2</v>
      </c>
      <c r="H262">
        <v>2</v>
      </c>
      <c r="I262">
        <v>421</v>
      </c>
      <c r="J262">
        <v>2005</v>
      </c>
      <c r="K262" s="4">
        <v>44151</v>
      </c>
      <c r="L262" t="s">
        <v>30</v>
      </c>
      <c r="M262" t="s">
        <v>24</v>
      </c>
      <c r="N262">
        <v>3.41</v>
      </c>
      <c r="O262">
        <v>1811</v>
      </c>
      <c r="P262">
        <v>3.82</v>
      </c>
      <c r="Q262">
        <v>102</v>
      </c>
      <c r="R262">
        <v>332</v>
      </c>
    </row>
    <row r="263" spans="1:18" x14ac:dyDescent="0.2">
      <c r="A263">
        <v>8</v>
      </c>
      <c r="B263" t="s">
        <v>34</v>
      </c>
      <c r="C263" t="str">
        <f>VLOOKUP(B263, 'Council Area'!$A$2:$B$51, 2)</f>
        <v>City of Sydney</v>
      </c>
      <c r="D263" t="str">
        <f>_xlfn.XLOOKUP(B263, 'Council Area'!$A$2:$A$51, 'Council Area'!$B$2:$B$51)</f>
        <v>City of Sydney</v>
      </c>
      <c r="E263" t="s">
        <v>29</v>
      </c>
      <c r="F263">
        <v>556626</v>
      </c>
      <c r="G263">
        <v>5</v>
      </c>
      <c r="H263">
        <v>3</v>
      </c>
      <c r="I263">
        <v>983</v>
      </c>
      <c r="J263">
        <v>1991</v>
      </c>
      <c r="K263" s="4">
        <v>44822</v>
      </c>
      <c r="L263" t="s">
        <v>26</v>
      </c>
      <c r="M263" t="s">
        <v>60</v>
      </c>
      <c r="N263">
        <v>1.56</v>
      </c>
      <c r="O263">
        <v>1399</v>
      </c>
      <c r="P263">
        <v>4.4000000000000004</v>
      </c>
      <c r="Q263">
        <v>345</v>
      </c>
      <c r="R263">
        <v>464</v>
      </c>
    </row>
    <row r="264" spans="1:18" hidden="1" x14ac:dyDescent="0.2">
      <c r="A264">
        <v>3</v>
      </c>
      <c r="B264" t="s">
        <v>67</v>
      </c>
      <c r="E264" t="s">
        <v>51</v>
      </c>
      <c r="F264">
        <v>2107071</v>
      </c>
      <c r="G264">
        <v>5</v>
      </c>
      <c r="H264">
        <v>3</v>
      </c>
      <c r="I264">
        <v>902</v>
      </c>
      <c r="J264">
        <v>1973</v>
      </c>
      <c r="K264" s="4">
        <v>44225</v>
      </c>
      <c r="L264" t="s">
        <v>30</v>
      </c>
      <c r="M264" t="s">
        <v>33</v>
      </c>
      <c r="N264">
        <v>3.26</v>
      </c>
      <c r="O264">
        <v>2014</v>
      </c>
      <c r="P264">
        <v>3.8</v>
      </c>
      <c r="Q264">
        <v>245</v>
      </c>
      <c r="R264">
        <v>429</v>
      </c>
    </row>
    <row r="265" spans="1:18" hidden="1" x14ac:dyDescent="0.2">
      <c r="A265">
        <v>6</v>
      </c>
      <c r="B265" t="s">
        <v>55</v>
      </c>
      <c r="E265" t="s">
        <v>36</v>
      </c>
      <c r="F265">
        <v>1769417</v>
      </c>
      <c r="G265">
        <v>5</v>
      </c>
      <c r="H265">
        <v>1</v>
      </c>
      <c r="I265">
        <v>590</v>
      </c>
      <c r="J265">
        <v>1958</v>
      </c>
      <c r="K265" s="4">
        <v>44238</v>
      </c>
      <c r="L265" t="s">
        <v>23</v>
      </c>
      <c r="M265" t="s">
        <v>69</v>
      </c>
      <c r="N265">
        <v>2.02</v>
      </c>
      <c r="O265">
        <v>2335</v>
      </c>
      <c r="P265">
        <v>1.77</v>
      </c>
      <c r="Q265">
        <v>283</v>
      </c>
      <c r="R265">
        <v>319</v>
      </c>
    </row>
    <row r="266" spans="1:18" hidden="1" x14ac:dyDescent="0.2">
      <c r="A266">
        <v>6</v>
      </c>
      <c r="B266" t="s">
        <v>90</v>
      </c>
      <c r="E266" t="s">
        <v>51</v>
      </c>
      <c r="F266">
        <v>1125251</v>
      </c>
      <c r="G266">
        <v>4</v>
      </c>
      <c r="H266">
        <v>1</v>
      </c>
      <c r="I266">
        <v>580</v>
      </c>
      <c r="J266">
        <v>1994</v>
      </c>
      <c r="K266" s="4">
        <v>45656</v>
      </c>
      <c r="L266" t="s">
        <v>20</v>
      </c>
      <c r="M266" t="s">
        <v>24</v>
      </c>
      <c r="N266">
        <v>3.29</v>
      </c>
      <c r="O266">
        <v>1389</v>
      </c>
      <c r="P266">
        <v>0.91</v>
      </c>
      <c r="Q266">
        <v>243</v>
      </c>
      <c r="R266">
        <v>482</v>
      </c>
    </row>
    <row r="267" spans="1:18" hidden="1" x14ac:dyDescent="0.2">
      <c r="A267">
        <v>3</v>
      </c>
      <c r="B267" t="s">
        <v>18</v>
      </c>
      <c r="E267" t="s">
        <v>29</v>
      </c>
      <c r="F267">
        <v>1356880</v>
      </c>
      <c r="G267">
        <v>4</v>
      </c>
      <c r="H267">
        <v>2</v>
      </c>
      <c r="I267">
        <v>122</v>
      </c>
      <c r="J267">
        <v>1952</v>
      </c>
      <c r="K267" s="4">
        <v>45261</v>
      </c>
      <c r="L267" t="s">
        <v>26</v>
      </c>
      <c r="M267" t="s">
        <v>89</v>
      </c>
      <c r="N267">
        <v>1.73</v>
      </c>
      <c r="O267">
        <v>985</v>
      </c>
      <c r="P267">
        <v>2.95</v>
      </c>
      <c r="Q267">
        <v>169</v>
      </c>
      <c r="R267">
        <v>670</v>
      </c>
    </row>
    <row r="268" spans="1:18" hidden="1" x14ac:dyDescent="0.2">
      <c r="A268">
        <v>3</v>
      </c>
      <c r="B268" t="s">
        <v>41</v>
      </c>
      <c r="E268" t="s">
        <v>29</v>
      </c>
      <c r="F268">
        <v>2919876</v>
      </c>
      <c r="G268">
        <v>2</v>
      </c>
      <c r="H268">
        <v>2</v>
      </c>
      <c r="I268">
        <v>742</v>
      </c>
      <c r="J268">
        <v>1987</v>
      </c>
      <c r="K268" s="4">
        <v>45870</v>
      </c>
      <c r="L268" t="s">
        <v>23</v>
      </c>
      <c r="M268" t="s">
        <v>70</v>
      </c>
      <c r="N268">
        <v>2.77</v>
      </c>
      <c r="O268">
        <v>1183</v>
      </c>
      <c r="P268">
        <v>2.38</v>
      </c>
      <c r="Q268">
        <v>226</v>
      </c>
      <c r="R268">
        <v>495</v>
      </c>
    </row>
    <row r="269" spans="1:18" hidden="1" x14ac:dyDescent="0.2">
      <c r="A269">
        <v>7</v>
      </c>
      <c r="B269" t="s">
        <v>75</v>
      </c>
      <c r="E269" t="s">
        <v>29</v>
      </c>
      <c r="F269">
        <v>1100472</v>
      </c>
      <c r="G269">
        <v>1</v>
      </c>
      <c r="H269">
        <v>3</v>
      </c>
      <c r="I269">
        <v>234</v>
      </c>
      <c r="J269">
        <v>1953</v>
      </c>
      <c r="K269" s="4">
        <v>45536</v>
      </c>
      <c r="L269" t="s">
        <v>23</v>
      </c>
      <c r="M269" t="s">
        <v>85</v>
      </c>
      <c r="N269">
        <v>3.03</v>
      </c>
      <c r="O269">
        <v>2341</v>
      </c>
      <c r="P269">
        <v>1.19</v>
      </c>
      <c r="Q269">
        <v>50</v>
      </c>
      <c r="R269">
        <v>402</v>
      </c>
    </row>
    <row r="270" spans="1:18" hidden="1" x14ac:dyDescent="0.2">
      <c r="A270">
        <v>1</v>
      </c>
      <c r="B270" t="s">
        <v>22</v>
      </c>
      <c r="E270" t="s">
        <v>51</v>
      </c>
      <c r="F270">
        <v>1755596</v>
      </c>
      <c r="G270">
        <v>1</v>
      </c>
      <c r="H270">
        <v>3</v>
      </c>
      <c r="I270">
        <v>706</v>
      </c>
      <c r="J270">
        <v>1995</v>
      </c>
      <c r="K270" s="4">
        <v>44569</v>
      </c>
      <c r="L270" t="s">
        <v>23</v>
      </c>
      <c r="M270" t="s">
        <v>78</v>
      </c>
      <c r="N270">
        <v>2.99</v>
      </c>
      <c r="O270">
        <v>2134</v>
      </c>
      <c r="P270">
        <v>2.54</v>
      </c>
      <c r="Q270">
        <v>67</v>
      </c>
      <c r="R270">
        <v>411</v>
      </c>
    </row>
    <row r="271" spans="1:18" hidden="1" x14ac:dyDescent="0.2">
      <c r="A271">
        <v>7</v>
      </c>
      <c r="B271" t="s">
        <v>104</v>
      </c>
      <c r="E271" t="s">
        <v>36</v>
      </c>
      <c r="F271">
        <v>2482071</v>
      </c>
      <c r="G271">
        <v>4</v>
      </c>
      <c r="H271">
        <v>1</v>
      </c>
      <c r="I271">
        <v>579</v>
      </c>
      <c r="J271">
        <v>2010</v>
      </c>
      <c r="K271" s="4">
        <v>45511</v>
      </c>
      <c r="L271" t="s">
        <v>26</v>
      </c>
      <c r="M271" t="s">
        <v>97</v>
      </c>
      <c r="N271">
        <v>1.83</v>
      </c>
      <c r="O271">
        <v>2020</v>
      </c>
      <c r="P271">
        <v>2.38</v>
      </c>
      <c r="Q271">
        <v>321</v>
      </c>
      <c r="R271">
        <v>431</v>
      </c>
    </row>
    <row r="272" spans="1:18" hidden="1" x14ac:dyDescent="0.2">
      <c r="A272">
        <v>7</v>
      </c>
      <c r="B272" t="s">
        <v>90</v>
      </c>
      <c r="E272" t="s">
        <v>51</v>
      </c>
      <c r="F272">
        <v>1792835</v>
      </c>
      <c r="G272">
        <v>4</v>
      </c>
      <c r="H272">
        <v>1</v>
      </c>
      <c r="I272">
        <v>939</v>
      </c>
      <c r="J272">
        <v>2017</v>
      </c>
      <c r="K272" s="4">
        <v>44934</v>
      </c>
      <c r="L272" t="s">
        <v>23</v>
      </c>
      <c r="M272" t="s">
        <v>59</v>
      </c>
      <c r="N272">
        <v>2.58</v>
      </c>
      <c r="O272">
        <v>803</v>
      </c>
      <c r="P272">
        <v>4</v>
      </c>
      <c r="Q272">
        <v>223</v>
      </c>
      <c r="R272">
        <v>603</v>
      </c>
    </row>
    <row r="273" spans="1:18" x14ac:dyDescent="0.2">
      <c r="A273">
        <v>8</v>
      </c>
      <c r="B273" t="s">
        <v>79</v>
      </c>
      <c r="C273" t="str">
        <f>VLOOKUP(B273, 'Council Area'!$A$2:$B$51, 2)</f>
        <v>Parramatta City Council</v>
      </c>
      <c r="D273" t="str">
        <f>_xlfn.XLOOKUP(B273, 'Council Area'!$A$2:$A$51, 'Council Area'!$B$2:$B$51)</f>
        <v>Parramatta City Council</v>
      </c>
      <c r="E273" t="s">
        <v>36</v>
      </c>
      <c r="F273">
        <v>1729801</v>
      </c>
      <c r="G273">
        <v>3</v>
      </c>
      <c r="H273">
        <v>2</v>
      </c>
      <c r="I273">
        <v>334</v>
      </c>
      <c r="J273">
        <v>1990</v>
      </c>
      <c r="K273" s="4">
        <v>44375</v>
      </c>
      <c r="L273" t="s">
        <v>26</v>
      </c>
      <c r="M273" t="s">
        <v>59</v>
      </c>
      <c r="N273">
        <v>2.94</v>
      </c>
      <c r="O273">
        <v>1266</v>
      </c>
      <c r="P273">
        <v>4.05</v>
      </c>
      <c r="Q273">
        <v>136</v>
      </c>
      <c r="R273">
        <v>359</v>
      </c>
    </row>
    <row r="274" spans="1:18" hidden="1" x14ac:dyDescent="0.2">
      <c r="A274">
        <v>1</v>
      </c>
      <c r="B274" t="s">
        <v>84</v>
      </c>
      <c r="E274" t="s">
        <v>19</v>
      </c>
      <c r="F274">
        <v>1892383</v>
      </c>
      <c r="G274">
        <v>3</v>
      </c>
      <c r="H274">
        <v>2</v>
      </c>
      <c r="I274">
        <v>631</v>
      </c>
      <c r="J274">
        <v>2004</v>
      </c>
      <c r="K274" s="4">
        <v>45636</v>
      </c>
      <c r="L274" t="s">
        <v>26</v>
      </c>
      <c r="M274" t="s">
        <v>70</v>
      </c>
      <c r="N274">
        <v>2.27</v>
      </c>
      <c r="O274">
        <v>867</v>
      </c>
      <c r="P274">
        <v>1.95</v>
      </c>
      <c r="Q274">
        <v>270</v>
      </c>
      <c r="R274">
        <v>659</v>
      </c>
    </row>
    <row r="275" spans="1:18" hidden="1" x14ac:dyDescent="0.2">
      <c r="A275">
        <v>5</v>
      </c>
      <c r="B275" t="s">
        <v>57</v>
      </c>
      <c r="E275" t="s">
        <v>19</v>
      </c>
      <c r="F275">
        <v>469761</v>
      </c>
      <c r="G275">
        <v>6</v>
      </c>
      <c r="H275">
        <v>3</v>
      </c>
      <c r="I275">
        <v>636</v>
      </c>
      <c r="J275">
        <v>1972</v>
      </c>
      <c r="K275" s="4">
        <v>45074</v>
      </c>
      <c r="L275" t="s">
        <v>20</v>
      </c>
      <c r="M275" t="s">
        <v>69</v>
      </c>
      <c r="N275">
        <v>1.71</v>
      </c>
      <c r="O275">
        <v>1977</v>
      </c>
      <c r="P275">
        <v>2.72</v>
      </c>
      <c r="Q275">
        <v>332</v>
      </c>
      <c r="R275">
        <v>651</v>
      </c>
    </row>
    <row r="276" spans="1:18" hidden="1" x14ac:dyDescent="0.2">
      <c r="A276">
        <v>7</v>
      </c>
      <c r="B276" t="s">
        <v>55</v>
      </c>
      <c r="E276" t="s">
        <v>36</v>
      </c>
      <c r="F276">
        <v>1390764</v>
      </c>
      <c r="G276">
        <v>4</v>
      </c>
      <c r="H276">
        <v>1</v>
      </c>
      <c r="I276">
        <v>442</v>
      </c>
      <c r="J276">
        <v>2015</v>
      </c>
      <c r="K276" s="4">
        <v>44551</v>
      </c>
      <c r="L276" t="s">
        <v>26</v>
      </c>
      <c r="M276" t="s">
        <v>21</v>
      </c>
      <c r="N276">
        <v>3.45</v>
      </c>
      <c r="O276">
        <v>2458</v>
      </c>
      <c r="P276">
        <v>3.5</v>
      </c>
      <c r="Q276">
        <v>242</v>
      </c>
      <c r="R276">
        <v>355</v>
      </c>
    </row>
    <row r="277" spans="1:18" hidden="1" x14ac:dyDescent="0.2">
      <c r="A277">
        <v>4</v>
      </c>
      <c r="B277" t="s">
        <v>102</v>
      </c>
      <c r="E277" t="s">
        <v>29</v>
      </c>
      <c r="F277">
        <v>1790762</v>
      </c>
      <c r="G277">
        <v>6</v>
      </c>
      <c r="H277">
        <v>1</v>
      </c>
      <c r="I277">
        <v>224</v>
      </c>
      <c r="J277">
        <v>1994</v>
      </c>
      <c r="K277" s="4">
        <v>45541</v>
      </c>
      <c r="L277" t="s">
        <v>26</v>
      </c>
      <c r="M277" t="s">
        <v>27</v>
      </c>
      <c r="N277">
        <v>2.36</v>
      </c>
      <c r="O277">
        <v>1534</v>
      </c>
      <c r="P277">
        <v>2.4900000000000002</v>
      </c>
      <c r="Q277">
        <v>358</v>
      </c>
      <c r="R277">
        <v>323</v>
      </c>
    </row>
    <row r="278" spans="1:18" hidden="1" x14ac:dyDescent="0.2">
      <c r="A278">
        <v>7</v>
      </c>
      <c r="B278" t="s">
        <v>34</v>
      </c>
      <c r="E278" t="s">
        <v>51</v>
      </c>
      <c r="F278">
        <v>1077355</v>
      </c>
      <c r="G278">
        <v>3</v>
      </c>
      <c r="H278">
        <v>2</v>
      </c>
      <c r="I278">
        <v>756</v>
      </c>
      <c r="J278">
        <v>2000</v>
      </c>
      <c r="K278" s="4">
        <v>44197</v>
      </c>
      <c r="L278" t="s">
        <v>26</v>
      </c>
      <c r="M278" t="s">
        <v>56</v>
      </c>
      <c r="N278">
        <v>2.33</v>
      </c>
      <c r="O278">
        <v>1226</v>
      </c>
      <c r="P278">
        <v>2.69</v>
      </c>
      <c r="Q278">
        <v>123</v>
      </c>
      <c r="R278">
        <v>444</v>
      </c>
    </row>
    <row r="279" spans="1:18" hidden="1" x14ac:dyDescent="0.2">
      <c r="A279">
        <v>7</v>
      </c>
      <c r="B279" t="s">
        <v>98</v>
      </c>
      <c r="E279" t="s">
        <v>51</v>
      </c>
      <c r="F279">
        <v>557421</v>
      </c>
      <c r="G279">
        <v>3</v>
      </c>
      <c r="H279">
        <v>3</v>
      </c>
      <c r="I279">
        <v>585</v>
      </c>
      <c r="J279">
        <v>1989</v>
      </c>
      <c r="K279" s="4">
        <v>45669</v>
      </c>
      <c r="L279" t="s">
        <v>20</v>
      </c>
      <c r="M279" t="s">
        <v>60</v>
      </c>
      <c r="N279">
        <v>2.63</v>
      </c>
      <c r="O279">
        <v>1829</v>
      </c>
      <c r="P279">
        <v>1.21</v>
      </c>
      <c r="Q279">
        <v>199</v>
      </c>
      <c r="R279">
        <v>477</v>
      </c>
    </row>
    <row r="280" spans="1:18" hidden="1" x14ac:dyDescent="0.2">
      <c r="A280">
        <v>9</v>
      </c>
      <c r="B280" t="s">
        <v>88</v>
      </c>
      <c r="E280" t="s">
        <v>19</v>
      </c>
      <c r="F280">
        <v>1734617</v>
      </c>
      <c r="G280">
        <v>5</v>
      </c>
      <c r="H280">
        <v>3</v>
      </c>
      <c r="I280">
        <v>84</v>
      </c>
      <c r="J280">
        <v>1996</v>
      </c>
      <c r="K280" s="4">
        <v>45312</v>
      </c>
      <c r="L280" t="s">
        <v>30</v>
      </c>
      <c r="M280" t="s">
        <v>27</v>
      </c>
      <c r="N280">
        <v>2.2200000000000002</v>
      </c>
      <c r="O280">
        <v>2258</v>
      </c>
      <c r="P280">
        <v>0.21</v>
      </c>
      <c r="Q280">
        <v>311</v>
      </c>
      <c r="R280">
        <v>646</v>
      </c>
    </row>
    <row r="281" spans="1:18" hidden="1" x14ac:dyDescent="0.2">
      <c r="A281">
        <v>7</v>
      </c>
      <c r="B281" t="s">
        <v>48</v>
      </c>
      <c r="E281" t="s">
        <v>36</v>
      </c>
      <c r="F281">
        <v>2170452</v>
      </c>
      <c r="G281">
        <v>4</v>
      </c>
      <c r="H281">
        <v>1</v>
      </c>
      <c r="I281">
        <v>212</v>
      </c>
      <c r="J281">
        <v>1961</v>
      </c>
      <c r="K281" s="4">
        <v>45125</v>
      </c>
      <c r="L281" t="s">
        <v>26</v>
      </c>
      <c r="M281" t="s">
        <v>56</v>
      </c>
      <c r="N281">
        <v>2.0499999999999998</v>
      </c>
      <c r="O281">
        <v>2404</v>
      </c>
      <c r="P281">
        <v>0.89</v>
      </c>
      <c r="Q281">
        <v>233</v>
      </c>
      <c r="R281">
        <v>442</v>
      </c>
    </row>
    <row r="282" spans="1:18" hidden="1" x14ac:dyDescent="0.2">
      <c r="A282">
        <v>3</v>
      </c>
      <c r="B282" t="s">
        <v>90</v>
      </c>
      <c r="E282" t="s">
        <v>51</v>
      </c>
      <c r="F282">
        <v>2823199</v>
      </c>
      <c r="G282">
        <v>2</v>
      </c>
      <c r="H282">
        <v>3</v>
      </c>
      <c r="I282">
        <v>753</v>
      </c>
      <c r="J282">
        <v>1989</v>
      </c>
      <c r="K282" s="4">
        <v>45693</v>
      </c>
      <c r="L282" t="s">
        <v>20</v>
      </c>
      <c r="M282" t="s">
        <v>27</v>
      </c>
      <c r="N282">
        <v>2.4500000000000002</v>
      </c>
      <c r="O282">
        <v>926</v>
      </c>
      <c r="P282">
        <v>1.1200000000000001</v>
      </c>
      <c r="Q282">
        <v>67</v>
      </c>
      <c r="R282">
        <v>305</v>
      </c>
    </row>
    <row r="283" spans="1:18" hidden="1" x14ac:dyDescent="0.2">
      <c r="A283">
        <v>4</v>
      </c>
      <c r="B283" t="s">
        <v>55</v>
      </c>
      <c r="E283" t="s">
        <v>51</v>
      </c>
      <c r="F283">
        <v>2378551</v>
      </c>
      <c r="G283">
        <v>4</v>
      </c>
      <c r="H283">
        <v>2</v>
      </c>
      <c r="I283">
        <v>483</v>
      </c>
      <c r="J283">
        <v>2018</v>
      </c>
      <c r="K283" s="4">
        <v>44236</v>
      </c>
      <c r="L283" t="s">
        <v>23</v>
      </c>
      <c r="M283" t="s">
        <v>78</v>
      </c>
      <c r="N283">
        <v>3.24</v>
      </c>
      <c r="O283">
        <v>1533</v>
      </c>
      <c r="P283">
        <v>3.12</v>
      </c>
      <c r="Q283">
        <v>283</v>
      </c>
      <c r="R283">
        <v>333</v>
      </c>
    </row>
    <row r="284" spans="1:18" hidden="1" x14ac:dyDescent="0.2">
      <c r="A284">
        <v>6</v>
      </c>
      <c r="B284" t="s">
        <v>91</v>
      </c>
      <c r="E284" t="s">
        <v>51</v>
      </c>
      <c r="F284">
        <v>1101639</v>
      </c>
      <c r="G284">
        <v>2</v>
      </c>
      <c r="H284">
        <v>3</v>
      </c>
      <c r="I284">
        <v>561</v>
      </c>
      <c r="J284">
        <v>1970</v>
      </c>
      <c r="K284" s="4">
        <v>45826</v>
      </c>
      <c r="L284" t="s">
        <v>26</v>
      </c>
      <c r="M284" t="s">
        <v>52</v>
      </c>
      <c r="N284">
        <v>1.93</v>
      </c>
      <c r="O284">
        <v>1461</v>
      </c>
      <c r="P284">
        <v>2.5</v>
      </c>
      <c r="Q284">
        <v>61</v>
      </c>
      <c r="R284">
        <v>319</v>
      </c>
    </row>
    <row r="285" spans="1:18" hidden="1" x14ac:dyDescent="0.2">
      <c r="A285">
        <v>6</v>
      </c>
      <c r="B285" t="s">
        <v>73</v>
      </c>
      <c r="E285" t="s">
        <v>29</v>
      </c>
      <c r="F285">
        <v>2075991</v>
      </c>
      <c r="G285">
        <v>6</v>
      </c>
      <c r="H285">
        <v>2</v>
      </c>
      <c r="I285">
        <v>133</v>
      </c>
      <c r="J285">
        <v>2012</v>
      </c>
      <c r="K285" s="4">
        <v>44769</v>
      </c>
      <c r="L285" t="s">
        <v>30</v>
      </c>
      <c r="M285" t="s">
        <v>89</v>
      </c>
      <c r="N285">
        <v>3.29</v>
      </c>
      <c r="O285">
        <v>1410</v>
      </c>
      <c r="P285">
        <v>4.37</v>
      </c>
      <c r="Q285">
        <v>346</v>
      </c>
      <c r="R285">
        <v>621</v>
      </c>
    </row>
    <row r="286" spans="1:18" x14ac:dyDescent="0.2">
      <c r="A286">
        <v>8</v>
      </c>
      <c r="B286" t="s">
        <v>67</v>
      </c>
      <c r="C286" t="str">
        <f>VLOOKUP(B286, 'Council Area'!$A$2:$B$51, 2)</f>
        <v>Ku-ring-gai Council</v>
      </c>
      <c r="D286" t="str">
        <f>_xlfn.XLOOKUP(B286, 'Council Area'!$A$2:$A$51, 'Council Area'!$B$2:$B$51)</f>
        <v>Ku-ring-gai Council</v>
      </c>
      <c r="E286" t="s">
        <v>36</v>
      </c>
      <c r="F286">
        <v>2966416</v>
      </c>
      <c r="G286">
        <v>3</v>
      </c>
      <c r="H286">
        <v>3</v>
      </c>
      <c r="I286">
        <v>482</v>
      </c>
      <c r="J286">
        <v>1963</v>
      </c>
      <c r="K286" s="4">
        <v>45457</v>
      </c>
      <c r="L286" t="s">
        <v>20</v>
      </c>
      <c r="M286" t="s">
        <v>60</v>
      </c>
      <c r="N286">
        <v>3.12</v>
      </c>
      <c r="O286">
        <v>1738</v>
      </c>
      <c r="P286">
        <v>1.68</v>
      </c>
      <c r="Q286">
        <v>180</v>
      </c>
      <c r="R286">
        <v>426</v>
      </c>
    </row>
    <row r="287" spans="1:18" hidden="1" x14ac:dyDescent="0.2">
      <c r="A287">
        <v>2</v>
      </c>
      <c r="B287" t="s">
        <v>83</v>
      </c>
      <c r="E287" t="s">
        <v>29</v>
      </c>
      <c r="F287">
        <v>1836572</v>
      </c>
      <c r="G287">
        <v>3</v>
      </c>
      <c r="H287">
        <v>1</v>
      </c>
      <c r="I287">
        <v>892</v>
      </c>
      <c r="J287">
        <v>1978</v>
      </c>
      <c r="K287" s="4">
        <v>44648</v>
      </c>
      <c r="L287" t="s">
        <v>26</v>
      </c>
      <c r="M287" t="s">
        <v>68</v>
      </c>
      <c r="N287">
        <v>2.3199999999999998</v>
      </c>
      <c r="O287">
        <v>1403</v>
      </c>
      <c r="P287">
        <v>1.79</v>
      </c>
      <c r="Q287">
        <v>265</v>
      </c>
      <c r="R287">
        <v>471</v>
      </c>
    </row>
    <row r="288" spans="1:18" hidden="1" x14ac:dyDescent="0.2">
      <c r="A288">
        <v>0</v>
      </c>
      <c r="B288" t="s">
        <v>43</v>
      </c>
      <c r="E288" t="s">
        <v>19</v>
      </c>
      <c r="F288">
        <v>1315570</v>
      </c>
      <c r="G288">
        <v>5</v>
      </c>
      <c r="H288">
        <v>3</v>
      </c>
      <c r="I288">
        <v>53</v>
      </c>
      <c r="J288">
        <v>1951</v>
      </c>
      <c r="K288" s="4">
        <v>45712</v>
      </c>
      <c r="L288" t="s">
        <v>26</v>
      </c>
      <c r="M288" t="s">
        <v>78</v>
      </c>
      <c r="N288">
        <v>3.19</v>
      </c>
      <c r="O288">
        <v>1145</v>
      </c>
      <c r="P288">
        <v>4.5599999999999996</v>
      </c>
      <c r="Q288">
        <v>358</v>
      </c>
      <c r="R288">
        <v>556</v>
      </c>
    </row>
    <row r="289" spans="1:18" hidden="1" x14ac:dyDescent="0.2">
      <c r="A289">
        <v>1</v>
      </c>
      <c r="B289" t="s">
        <v>61</v>
      </c>
      <c r="E289" t="s">
        <v>51</v>
      </c>
      <c r="F289">
        <v>1669150</v>
      </c>
      <c r="G289">
        <v>4</v>
      </c>
      <c r="H289">
        <v>3</v>
      </c>
      <c r="I289">
        <v>606</v>
      </c>
      <c r="J289">
        <v>1952</v>
      </c>
      <c r="K289" s="4">
        <v>44139</v>
      </c>
      <c r="L289" t="s">
        <v>30</v>
      </c>
      <c r="M289" t="s">
        <v>35</v>
      </c>
      <c r="N289">
        <v>2.2599999999999998</v>
      </c>
      <c r="O289">
        <v>1206</v>
      </c>
      <c r="P289">
        <v>1.73</v>
      </c>
      <c r="Q289">
        <v>379</v>
      </c>
      <c r="R289">
        <v>515</v>
      </c>
    </row>
    <row r="290" spans="1:18" hidden="1" x14ac:dyDescent="0.2">
      <c r="A290">
        <v>5</v>
      </c>
      <c r="B290" t="s">
        <v>72</v>
      </c>
      <c r="E290" t="s">
        <v>29</v>
      </c>
      <c r="F290">
        <v>1165864</v>
      </c>
      <c r="G290">
        <v>2</v>
      </c>
      <c r="H290">
        <v>3</v>
      </c>
      <c r="I290">
        <v>332</v>
      </c>
      <c r="J290">
        <v>1956</v>
      </c>
      <c r="K290" s="4">
        <v>44471</v>
      </c>
      <c r="L290" t="s">
        <v>20</v>
      </c>
      <c r="M290" t="s">
        <v>74</v>
      </c>
      <c r="N290">
        <v>2.52</v>
      </c>
      <c r="O290">
        <v>1790</v>
      </c>
      <c r="P290">
        <v>4.1900000000000004</v>
      </c>
      <c r="Q290">
        <v>172</v>
      </c>
      <c r="R290">
        <v>409</v>
      </c>
    </row>
    <row r="291" spans="1:18" hidden="1" x14ac:dyDescent="0.2">
      <c r="A291">
        <v>7</v>
      </c>
      <c r="B291" t="s">
        <v>32</v>
      </c>
      <c r="E291" t="s">
        <v>19</v>
      </c>
      <c r="F291">
        <v>1704987</v>
      </c>
      <c r="G291">
        <v>5</v>
      </c>
      <c r="H291">
        <v>3</v>
      </c>
      <c r="I291">
        <v>788</v>
      </c>
      <c r="J291">
        <v>2008</v>
      </c>
      <c r="K291" s="4">
        <v>44844</v>
      </c>
      <c r="L291" t="s">
        <v>30</v>
      </c>
      <c r="M291" t="s">
        <v>47</v>
      </c>
      <c r="N291">
        <v>1.69</v>
      </c>
      <c r="O291">
        <v>1425</v>
      </c>
      <c r="P291">
        <v>0.46</v>
      </c>
      <c r="Q291">
        <v>284</v>
      </c>
      <c r="R291">
        <v>335</v>
      </c>
    </row>
    <row r="292" spans="1:18" hidden="1" x14ac:dyDescent="0.2">
      <c r="A292">
        <v>9</v>
      </c>
      <c r="B292" t="s">
        <v>73</v>
      </c>
      <c r="E292" t="s">
        <v>51</v>
      </c>
      <c r="F292">
        <v>515621</v>
      </c>
      <c r="G292">
        <v>4</v>
      </c>
      <c r="H292">
        <v>2</v>
      </c>
      <c r="I292">
        <v>926</v>
      </c>
      <c r="J292">
        <v>1955</v>
      </c>
      <c r="K292" s="4">
        <v>45405</v>
      </c>
      <c r="L292" t="s">
        <v>23</v>
      </c>
      <c r="M292" t="s">
        <v>82</v>
      </c>
      <c r="N292">
        <v>3.06</v>
      </c>
      <c r="O292">
        <v>2239</v>
      </c>
      <c r="P292">
        <v>3.05</v>
      </c>
      <c r="Q292">
        <v>174</v>
      </c>
      <c r="R292">
        <v>380</v>
      </c>
    </row>
    <row r="293" spans="1:18" hidden="1" x14ac:dyDescent="0.2">
      <c r="A293">
        <v>0</v>
      </c>
      <c r="B293" t="s">
        <v>80</v>
      </c>
      <c r="E293" t="s">
        <v>19</v>
      </c>
      <c r="F293">
        <v>1537273</v>
      </c>
      <c r="G293">
        <v>0</v>
      </c>
      <c r="H293">
        <v>3</v>
      </c>
      <c r="I293">
        <v>305</v>
      </c>
      <c r="J293">
        <v>1985</v>
      </c>
      <c r="K293" s="4">
        <v>44853</v>
      </c>
      <c r="L293" t="s">
        <v>20</v>
      </c>
      <c r="M293" t="s">
        <v>35</v>
      </c>
      <c r="N293">
        <v>3.38</v>
      </c>
      <c r="O293">
        <v>2239</v>
      </c>
      <c r="P293">
        <v>4.1900000000000004</v>
      </c>
      <c r="Q293">
        <v>56</v>
      </c>
      <c r="R293">
        <v>502</v>
      </c>
    </row>
    <row r="294" spans="1:18" hidden="1" x14ac:dyDescent="0.2">
      <c r="A294">
        <v>7</v>
      </c>
      <c r="B294" t="s">
        <v>48</v>
      </c>
      <c r="E294" t="s">
        <v>29</v>
      </c>
      <c r="F294">
        <v>437805</v>
      </c>
      <c r="G294">
        <v>4</v>
      </c>
      <c r="H294">
        <v>2</v>
      </c>
      <c r="I294">
        <v>763</v>
      </c>
      <c r="J294">
        <v>1998</v>
      </c>
      <c r="K294" s="4">
        <v>44293</v>
      </c>
      <c r="L294" t="s">
        <v>26</v>
      </c>
      <c r="M294" t="s">
        <v>66</v>
      </c>
      <c r="N294">
        <v>2.54</v>
      </c>
      <c r="O294">
        <v>824</v>
      </c>
      <c r="P294">
        <v>0.98</v>
      </c>
      <c r="Q294">
        <v>369</v>
      </c>
      <c r="R294">
        <v>677</v>
      </c>
    </row>
    <row r="295" spans="1:18" x14ac:dyDescent="0.2">
      <c r="A295">
        <v>8</v>
      </c>
      <c r="B295" t="s">
        <v>99</v>
      </c>
      <c r="C295" t="str">
        <f>VLOOKUP(B295, 'Council Area'!$A$2:$B$51, 2)</f>
        <v>Canterbury-Bankstown Council</v>
      </c>
      <c r="D295" t="str">
        <f>_xlfn.XLOOKUP(B295, 'Council Area'!$A$2:$A$51, 'Council Area'!$B$2:$B$51)</f>
        <v>Canterbury-Bankstown Council</v>
      </c>
      <c r="E295" t="s">
        <v>19</v>
      </c>
      <c r="F295">
        <v>1308029</v>
      </c>
      <c r="G295">
        <v>5</v>
      </c>
      <c r="H295">
        <v>2</v>
      </c>
      <c r="I295">
        <v>722</v>
      </c>
      <c r="J295">
        <v>1968</v>
      </c>
      <c r="K295" s="4">
        <v>44622</v>
      </c>
      <c r="L295" t="s">
        <v>30</v>
      </c>
      <c r="M295" t="s">
        <v>37</v>
      </c>
      <c r="N295">
        <v>2.91</v>
      </c>
      <c r="O295">
        <v>1955</v>
      </c>
      <c r="P295">
        <v>4.38</v>
      </c>
      <c r="Q295">
        <v>295</v>
      </c>
      <c r="R295">
        <v>631</v>
      </c>
    </row>
    <row r="296" spans="1:18" x14ac:dyDescent="0.2">
      <c r="A296">
        <v>8</v>
      </c>
      <c r="B296" t="s">
        <v>44</v>
      </c>
      <c r="C296" t="str">
        <f>VLOOKUP(B296, 'Council Area'!$A$2:$B$51, 2)</f>
        <v>Inner West Council</v>
      </c>
      <c r="D296" t="str">
        <f>_xlfn.XLOOKUP(B296, 'Council Area'!$A$2:$A$51, 'Council Area'!$B$2:$B$51)</f>
        <v>Inner West Council</v>
      </c>
      <c r="E296" t="s">
        <v>29</v>
      </c>
      <c r="F296">
        <v>2124077</v>
      </c>
      <c r="G296">
        <v>3</v>
      </c>
      <c r="H296">
        <v>1</v>
      </c>
      <c r="I296">
        <v>876</v>
      </c>
      <c r="J296">
        <v>2002</v>
      </c>
      <c r="K296" s="4">
        <v>45735</v>
      </c>
      <c r="L296" t="s">
        <v>20</v>
      </c>
      <c r="M296" t="s">
        <v>69</v>
      </c>
      <c r="N296">
        <v>2.9</v>
      </c>
      <c r="O296">
        <v>1910</v>
      </c>
      <c r="P296">
        <v>2.4</v>
      </c>
      <c r="Q296">
        <v>160</v>
      </c>
      <c r="R296">
        <v>357</v>
      </c>
    </row>
    <row r="297" spans="1:18" hidden="1" x14ac:dyDescent="0.2">
      <c r="A297">
        <v>2</v>
      </c>
      <c r="B297" t="s">
        <v>87</v>
      </c>
      <c r="E297" t="s">
        <v>19</v>
      </c>
      <c r="F297">
        <v>627389</v>
      </c>
      <c r="G297">
        <v>2</v>
      </c>
      <c r="H297">
        <v>1</v>
      </c>
      <c r="I297">
        <v>451</v>
      </c>
      <c r="J297">
        <v>1972</v>
      </c>
      <c r="K297" s="4">
        <v>45266</v>
      </c>
      <c r="L297" t="s">
        <v>26</v>
      </c>
      <c r="M297" t="s">
        <v>35</v>
      </c>
      <c r="N297">
        <v>2.2999999999999998</v>
      </c>
      <c r="O297">
        <v>2410</v>
      </c>
      <c r="P297">
        <v>0.31</v>
      </c>
      <c r="Q297">
        <v>162</v>
      </c>
      <c r="R297">
        <v>617</v>
      </c>
    </row>
    <row r="298" spans="1:18" hidden="1" x14ac:dyDescent="0.2">
      <c r="A298">
        <v>3</v>
      </c>
      <c r="B298" t="s">
        <v>48</v>
      </c>
      <c r="E298" t="s">
        <v>19</v>
      </c>
      <c r="F298">
        <v>1114885</v>
      </c>
      <c r="G298">
        <v>0</v>
      </c>
      <c r="H298">
        <v>2</v>
      </c>
      <c r="I298">
        <v>268</v>
      </c>
      <c r="J298">
        <v>2005</v>
      </c>
      <c r="K298" s="4">
        <v>45586</v>
      </c>
      <c r="L298" t="s">
        <v>30</v>
      </c>
      <c r="M298" t="s">
        <v>68</v>
      </c>
      <c r="N298">
        <v>2.2200000000000002</v>
      </c>
      <c r="O298">
        <v>1727</v>
      </c>
      <c r="P298">
        <v>2.88</v>
      </c>
      <c r="Q298">
        <v>43</v>
      </c>
      <c r="R298">
        <v>435</v>
      </c>
    </row>
    <row r="299" spans="1:18" hidden="1" x14ac:dyDescent="0.2">
      <c r="A299">
        <v>1</v>
      </c>
      <c r="B299" t="s">
        <v>72</v>
      </c>
      <c r="E299" t="s">
        <v>36</v>
      </c>
      <c r="F299">
        <v>950728</v>
      </c>
      <c r="G299">
        <v>3</v>
      </c>
      <c r="H299">
        <v>2</v>
      </c>
      <c r="I299">
        <v>723</v>
      </c>
      <c r="J299">
        <v>1999</v>
      </c>
      <c r="K299" s="4">
        <v>45397</v>
      </c>
      <c r="L299" t="s">
        <v>20</v>
      </c>
      <c r="M299" t="s">
        <v>24</v>
      </c>
      <c r="N299">
        <v>1.61</v>
      </c>
      <c r="O299">
        <v>1881</v>
      </c>
      <c r="P299">
        <v>2.99</v>
      </c>
      <c r="Q299">
        <v>219</v>
      </c>
      <c r="R299">
        <v>514</v>
      </c>
    </row>
    <row r="300" spans="1:18" hidden="1" x14ac:dyDescent="0.2">
      <c r="A300">
        <v>5</v>
      </c>
      <c r="B300" t="s">
        <v>18</v>
      </c>
      <c r="E300" t="s">
        <v>36</v>
      </c>
      <c r="F300">
        <v>2131406</v>
      </c>
      <c r="G300">
        <v>1</v>
      </c>
      <c r="H300">
        <v>3</v>
      </c>
      <c r="I300">
        <v>889</v>
      </c>
      <c r="J300">
        <v>2010</v>
      </c>
      <c r="K300" s="4">
        <v>44075</v>
      </c>
      <c r="L300" t="s">
        <v>20</v>
      </c>
      <c r="M300" t="s">
        <v>68</v>
      </c>
      <c r="N300">
        <v>2.75</v>
      </c>
      <c r="O300">
        <v>2340</v>
      </c>
      <c r="P300">
        <v>2.83</v>
      </c>
      <c r="Q300">
        <v>114</v>
      </c>
      <c r="R300">
        <v>644</v>
      </c>
    </row>
    <row r="301" spans="1:18" hidden="1" x14ac:dyDescent="0.2">
      <c r="A301">
        <v>6</v>
      </c>
      <c r="B301" t="s">
        <v>55</v>
      </c>
      <c r="E301" t="s">
        <v>51</v>
      </c>
      <c r="F301">
        <v>2137310</v>
      </c>
      <c r="G301">
        <v>1</v>
      </c>
      <c r="H301">
        <v>2</v>
      </c>
      <c r="I301">
        <v>334</v>
      </c>
      <c r="J301">
        <v>1984</v>
      </c>
      <c r="K301" s="4">
        <v>45602</v>
      </c>
      <c r="L301" t="s">
        <v>30</v>
      </c>
      <c r="M301" t="s">
        <v>54</v>
      </c>
      <c r="N301">
        <v>3.27</v>
      </c>
      <c r="O301">
        <v>1845</v>
      </c>
      <c r="P301">
        <v>0.47</v>
      </c>
      <c r="Q301">
        <v>83</v>
      </c>
      <c r="R301">
        <v>532</v>
      </c>
    </row>
    <row r="302" spans="1:18" hidden="1" x14ac:dyDescent="0.2">
      <c r="A302">
        <v>6</v>
      </c>
      <c r="B302" t="s">
        <v>102</v>
      </c>
      <c r="E302" t="s">
        <v>29</v>
      </c>
      <c r="F302">
        <v>1571820</v>
      </c>
      <c r="G302">
        <v>3</v>
      </c>
      <c r="H302">
        <v>3</v>
      </c>
      <c r="I302">
        <v>708</v>
      </c>
      <c r="J302">
        <v>2003</v>
      </c>
      <c r="K302" s="4">
        <v>44751</v>
      </c>
      <c r="L302" t="s">
        <v>20</v>
      </c>
      <c r="M302" t="s">
        <v>40</v>
      </c>
      <c r="N302">
        <v>1.58</v>
      </c>
      <c r="O302">
        <v>974</v>
      </c>
      <c r="P302">
        <v>2.5299999999999998</v>
      </c>
      <c r="Q302">
        <v>255</v>
      </c>
      <c r="R302">
        <v>578</v>
      </c>
    </row>
    <row r="303" spans="1:18" hidden="1" x14ac:dyDescent="0.2">
      <c r="A303">
        <v>6</v>
      </c>
      <c r="B303" t="s">
        <v>50</v>
      </c>
      <c r="E303" t="s">
        <v>36</v>
      </c>
      <c r="F303">
        <v>1746293</v>
      </c>
      <c r="G303">
        <v>2</v>
      </c>
      <c r="H303">
        <v>1</v>
      </c>
      <c r="I303">
        <v>365</v>
      </c>
      <c r="J303">
        <v>2020</v>
      </c>
      <c r="K303" s="4">
        <v>45207</v>
      </c>
      <c r="L303" t="s">
        <v>30</v>
      </c>
      <c r="M303" t="s">
        <v>45</v>
      </c>
      <c r="N303">
        <v>3.33</v>
      </c>
      <c r="O303">
        <v>2304</v>
      </c>
      <c r="P303">
        <v>3.93</v>
      </c>
      <c r="Q303">
        <v>134</v>
      </c>
      <c r="R303">
        <v>303</v>
      </c>
    </row>
    <row r="304" spans="1:18" hidden="1" x14ac:dyDescent="0.2">
      <c r="A304">
        <v>0</v>
      </c>
      <c r="B304" t="s">
        <v>86</v>
      </c>
      <c r="E304" t="s">
        <v>29</v>
      </c>
      <c r="F304">
        <v>2561479</v>
      </c>
      <c r="G304">
        <v>1</v>
      </c>
      <c r="H304">
        <v>2</v>
      </c>
      <c r="I304">
        <v>390</v>
      </c>
      <c r="J304">
        <v>1981</v>
      </c>
      <c r="K304" s="4">
        <v>45877</v>
      </c>
      <c r="L304" t="s">
        <v>20</v>
      </c>
      <c r="M304" t="s">
        <v>78</v>
      </c>
      <c r="N304">
        <v>3.46</v>
      </c>
      <c r="O304">
        <v>1077</v>
      </c>
      <c r="P304">
        <v>3.76</v>
      </c>
      <c r="Q304">
        <v>46</v>
      </c>
      <c r="R304">
        <v>309</v>
      </c>
    </row>
    <row r="305" spans="1:18" hidden="1" x14ac:dyDescent="0.2">
      <c r="A305">
        <v>9</v>
      </c>
      <c r="B305" t="s">
        <v>44</v>
      </c>
      <c r="E305" t="s">
        <v>29</v>
      </c>
      <c r="F305">
        <v>2098207</v>
      </c>
      <c r="G305">
        <v>6</v>
      </c>
      <c r="H305">
        <v>3</v>
      </c>
      <c r="I305">
        <v>454</v>
      </c>
      <c r="J305">
        <v>1982</v>
      </c>
      <c r="K305" s="4">
        <v>45196</v>
      </c>
      <c r="L305" t="s">
        <v>20</v>
      </c>
      <c r="M305" t="s">
        <v>59</v>
      </c>
      <c r="N305">
        <v>2.2599999999999998</v>
      </c>
      <c r="O305">
        <v>1408</v>
      </c>
      <c r="P305">
        <v>1.72</v>
      </c>
      <c r="Q305">
        <v>386</v>
      </c>
      <c r="R305">
        <v>324</v>
      </c>
    </row>
    <row r="306" spans="1:18" hidden="1" x14ac:dyDescent="0.2">
      <c r="A306">
        <v>5</v>
      </c>
      <c r="B306" t="s">
        <v>90</v>
      </c>
      <c r="E306" t="s">
        <v>51</v>
      </c>
      <c r="F306">
        <v>801552</v>
      </c>
      <c r="G306">
        <v>3</v>
      </c>
      <c r="H306">
        <v>2</v>
      </c>
      <c r="I306">
        <v>450</v>
      </c>
      <c r="J306">
        <v>1987</v>
      </c>
      <c r="K306" s="4">
        <v>44227</v>
      </c>
      <c r="L306" t="s">
        <v>26</v>
      </c>
      <c r="M306" t="s">
        <v>21</v>
      </c>
      <c r="N306">
        <v>1.74</v>
      </c>
      <c r="O306">
        <v>2443</v>
      </c>
      <c r="P306">
        <v>1.67</v>
      </c>
      <c r="Q306">
        <v>176</v>
      </c>
      <c r="R306">
        <v>551</v>
      </c>
    </row>
    <row r="307" spans="1:18" hidden="1" x14ac:dyDescent="0.2">
      <c r="A307">
        <v>4</v>
      </c>
      <c r="B307" t="s">
        <v>86</v>
      </c>
      <c r="E307" t="s">
        <v>36</v>
      </c>
      <c r="F307">
        <v>1060606</v>
      </c>
      <c r="G307">
        <v>2</v>
      </c>
      <c r="H307">
        <v>3</v>
      </c>
      <c r="I307">
        <v>976</v>
      </c>
      <c r="J307">
        <v>2011</v>
      </c>
      <c r="K307" s="4">
        <v>45523</v>
      </c>
      <c r="L307" t="s">
        <v>30</v>
      </c>
      <c r="M307" t="s">
        <v>35</v>
      </c>
      <c r="N307">
        <v>2.0299999999999998</v>
      </c>
      <c r="O307">
        <v>1528</v>
      </c>
      <c r="P307">
        <v>0.88</v>
      </c>
      <c r="Q307">
        <v>185</v>
      </c>
      <c r="R307">
        <v>448</v>
      </c>
    </row>
    <row r="308" spans="1:18" hidden="1" x14ac:dyDescent="0.2">
      <c r="A308">
        <v>1</v>
      </c>
      <c r="B308" t="s">
        <v>92</v>
      </c>
      <c r="E308" t="s">
        <v>19</v>
      </c>
      <c r="F308">
        <v>1132015</v>
      </c>
      <c r="G308">
        <v>5</v>
      </c>
      <c r="H308">
        <v>2</v>
      </c>
      <c r="I308">
        <v>602</v>
      </c>
      <c r="J308">
        <v>1995</v>
      </c>
      <c r="K308" s="4">
        <v>45524</v>
      </c>
      <c r="L308" t="s">
        <v>26</v>
      </c>
      <c r="M308" t="s">
        <v>58</v>
      </c>
      <c r="N308">
        <v>2.21</v>
      </c>
      <c r="O308">
        <v>1341</v>
      </c>
      <c r="P308">
        <v>4.05</v>
      </c>
      <c r="Q308">
        <v>322</v>
      </c>
      <c r="R308">
        <v>593</v>
      </c>
    </row>
    <row r="309" spans="1:18" hidden="1" x14ac:dyDescent="0.2">
      <c r="A309">
        <v>5</v>
      </c>
      <c r="B309" t="s">
        <v>55</v>
      </c>
      <c r="E309" t="s">
        <v>51</v>
      </c>
      <c r="F309">
        <v>1266301</v>
      </c>
      <c r="G309">
        <v>3</v>
      </c>
      <c r="H309">
        <v>1</v>
      </c>
      <c r="I309">
        <v>294</v>
      </c>
      <c r="J309">
        <v>1998</v>
      </c>
      <c r="K309" s="4">
        <v>44511</v>
      </c>
      <c r="L309" t="s">
        <v>23</v>
      </c>
      <c r="M309" t="s">
        <v>47</v>
      </c>
      <c r="N309">
        <v>1.86</v>
      </c>
      <c r="O309">
        <v>947</v>
      </c>
      <c r="P309">
        <v>1.49</v>
      </c>
      <c r="Q309">
        <v>93</v>
      </c>
      <c r="R309">
        <v>348</v>
      </c>
    </row>
    <row r="310" spans="1:18" hidden="1" x14ac:dyDescent="0.2">
      <c r="A310">
        <v>5</v>
      </c>
      <c r="B310" t="s">
        <v>81</v>
      </c>
      <c r="E310" t="s">
        <v>19</v>
      </c>
      <c r="F310">
        <v>1419245</v>
      </c>
      <c r="G310">
        <v>2</v>
      </c>
      <c r="H310">
        <v>3</v>
      </c>
      <c r="I310">
        <v>753</v>
      </c>
      <c r="J310">
        <v>1971</v>
      </c>
      <c r="K310" s="4">
        <v>45230</v>
      </c>
      <c r="L310" t="s">
        <v>26</v>
      </c>
      <c r="M310" t="s">
        <v>58</v>
      </c>
      <c r="N310">
        <v>1.6</v>
      </c>
      <c r="O310">
        <v>1774</v>
      </c>
      <c r="P310">
        <v>4.18</v>
      </c>
      <c r="Q310">
        <v>156</v>
      </c>
      <c r="R310">
        <v>452</v>
      </c>
    </row>
    <row r="311" spans="1:18" hidden="1" x14ac:dyDescent="0.2">
      <c r="A311">
        <v>4</v>
      </c>
      <c r="B311" t="s">
        <v>80</v>
      </c>
      <c r="E311" t="s">
        <v>19</v>
      </c>
      <c r="F311">
        <v>1524071</v>
      </c>
      <c r="G311">
        <v>5</v>
      </c>
      <c r="H311">
        <v>1</v>
      </c>
      <c r="I311">
        <v>165</v>
      </c>
      <c r="J311">
        <v>1960</v>
      </c>
      <c r="K311" s="4">
        <v>45475</v>
      </c>
      <c r="L311" t="s">
        <v>30</v>
      </c>
      <c r="M311" t="s">
        <v>59</v>
      </c>
      <c r="N311">
        <v>2.69</v>
      </c>
      <c r="O311">
        <v>2298</v>
      </c>
      <c r="P311">
        <v>1.67</v>
      </c>
      <c r="Q311">
        <v>251</v>
      </c>
      <c r="R311">
        <v>454</v>
      </c>
    </row>
    <row r="312" spans="1:18" hidden="1" x14ac:dyDescent="0.2">
      <c r="A312">
        <v>5</v>
      </c>
      <c r="B312" t="s">
        <v>93</v>
      </c>
      <c r="E312" t="s">
        <v>19</v>
      </c>
      <c r="F312">
        <v>1657090</v>
      </c>
      <c r="G312">
        <v>2</v>
      </c>
      <c r="H312">
        <v>1</v>
      </c>
      <c r="I312">
        <v>155</v>
      </c>
      <c r="J312">
        <v>1984</v>
      </c>
      <c r="K312" s="4">
        <v>44943</v>
      </c>
      <c r="L312" t="s">
        <v>23</v>
      </c>
      <c r="M312" t="s">
        <v>63</v>
      </c>
      <c r="N312">
        <v>3</v>
      </c>
      <c r="O312">
        <v>1452</v>
      </c>
      <c r="P312">
        <v>1.5</v>
      </c>
      <c r="Q312">
        <v>145</v>
      </c>
      <c r="R312">
        <v>521</v>
      </c>
    </row>
    <row r="313" spans="1:18" hidden="1" x14ac:dyDescent="0.2">
      <c r="A313">
        <v>9</v>
      </c>
      <c r="B313" t="s">
        <v>34</v>
      </c>
      <c r="E313" t="s">
        <v>29</v>
      </c>
      <c r="F313">
        <v>2936879</v>
      </c>
      <c r="G313">
        <v>3</v>
      </c>
      <c r="H313">
        <v>3</v>
      </c>
      <c r="I313">
        <v>795</v>
      </c>
      <c r="J313">
        <v>1983</v>
      </c>
      <c r="K313" s="4">
        <v>45532</v>
      </c>
      <c r="L313" t="s">
        <v>30</v>
      </c>
      <c r="M313" t="s">
        <v>77</v>
      </c>
      <c r="N313">
        <v>1.9</v>
      </c>
      <c r="O313">
        <v>1017</v>
      </c>
      <c r="P313">
        <v>1.42</v>
      </c>
      <c r="Q313">
        <v>186</v>
      </c>
      <c r="R313">
        <v>378</v>
      </c>
    </row>
    <row r="314" spans="1:18" x14ac:dyDescent="0.2">
      <c r="A314">
        <v>8</v>
      </c>
      <c r="B314" t="s">
        <v>94</v>
      </c>
      <c r="C314" t="str">
        <f>VLOOKUP(B314, 'Council Area'!$A$2:$B$51, 2)</f>
        <v>Sutherland Shire Council</v>
      </c>
      <c r="D314" t="str">
        <f>_xlfn.XLOOKUP(B314, 'Council Area'!$A$2:$A$51, 'Council Area'!$B$2:$B$51)</f>
        <v>Sutherland Shire Council</v>
      </c>
      <c r="E314" t="s">
        <v>51</v>
      </c>
      <c r="F314">
        <v>885651</v>
      </c>
      <c r="G314">
        <v>6</v>
      </c>
      <c r="H314">
        <v>2</v>
      </c>
      <c r="I314">
        <v>62</v>
      </c>
      <c r="J314">
        <v>2017</v>
      </c>
      <c r="K314" s="4">
        <v>44283</v>
      </c>
      <c r="L314" t="s">
        <v>20</v>
      </c>
      <c r="M314" t="s">
        <v>59</v>
      </c>
      <c r="N314">
        <v>2.4700000000000002</v>
      </c>
      <c r="O314">
        <v>1689</v>
      </c>
      <c r="P314">
        <v>2.71</v>
      </c>
      <c r="Q314">
        <v>345</v>
      </c>
      <c r="R314">
        <v>634</v>
      </c>
    </row>
    <row r="315" spans="1:18" x14ac:dyDescent="0.2">
      <c r="A315">
        <v>8</v>
      </c>
      <c r="B315" t="s">
        <v>32</v>
      </c>
      <c r="C315" t="str">
        <f>VLOOKUP(B315, 'Council Area'!$A$2:$B$51, 2)</f>
        <v>Randwick City Council</v>
      </c>
      <c r="D315" t="str">
        <f>_xlfn.XLOOKUP(B315, 'Council Area'!$A$2:$A$51, 'Council Area'!$B$2:$B$51)</f>
        <v>Randwick City Council</v>
      </c>
      <c r="E315" t="s">
        <v>51</v>
      </c>
      <c r="F315">
        <v>2518011</v>
      </c>
      <c r="G315">
        <v>3</v>
      </c>
      <c r="H315">
        <v>3</v>
      </c>
      <c r="I315">
        <v>498</v>
      </c>
      <c r="J315">
        <v>1966</v>
      </c>
      <c r="K315" s="4">
        <v>45614</v>
      </c>
      <c r="L315" t="s">
        <v>30</v>
      </c>
      <c r="M315" t="s">
        <v>35</v>
      </c>
      <c r="N315">
        <v>1.75</v>
      </c>
      <c r="O315">
        <v>2466</v>
      </c>
      <c r="P315">
        <v>4.9400000000000004</v>
      </c>
      <c r="Q315">
        <v>279</v>
      </c>
      <c r="R315">
        <v>386</v>
      </c>
    </row>
    <row r="316" spans="1:18" hidden="1" x14ac:dyDescent="0.2">
      <c r="A316">
        <v>7</v>
      </c>
      <c r="B316" t="s">
        <v>81</v>
      </c>
      <c r="E316" t="s">
        <v>51</v>
      </c>
      <c r="F316">
        <v>2780525</v>
      </c>
      <c r="G316">
        <v>4</v>
      </c>
      <c r="H316">
        <v>3</v>
      </c>
      <c r="I316">
        <v>391</v>
      </c>
      <c r="J316">
        <v>2002</v>
      </c>
      <c r="K316" s="4">
        <v>45228</v>
      </c>
      <c r="L316" t="s">
        <v>20</v>
      </c>
      <c r="M316" t="s">
        <v>58</v>
      </c>
      <c r="N316">
        <v>2.0499999999999998</v>
      </c>
      <c r="O316">
        <v>2010</v>
      </c>
      <c r="P316">
        <v>1.53</v>
      </c>
      <c r="Q316">
        <v>311</v>
      </c>
      <c r="R316">
        <v>671</v>
      </c>
    </row>
    <row r="317" spans="1:18" hidden="1" x14ac:dyDescent="0.2">
      <c r="A317">
        <v>5</v>
      </c>
      <c r="B317" t="s">
        <v>100</v>
      </c>
      <c r="E317" t="s">
        <v>19</v>
      </c>
      <c r="F317">
        <v>632619</v>
      </c>
      <c r="G317">
        <v>4</v>
      </c>
      <c r="H317">
        <v>2</v>
      </c>
      <c r="I317">
        <v>693</v>
      </c>
      <c r="J317">
        <v>1951</v>
      </c>
      <c r="K317" s="4">
        <v>45355</v>
      </c>
      <c r="L317" t="s">
        <v>20</v>
      </c>
      <c r="M317" t="s">
        <v>74</v>
      </c>
      <c r="N317">
        <v>3.12</v>
      </c>
      <c r="O317">
        <v>2203</v>
      </c>
      <c r="P317">
        <v>2.27</v>
      </c>
      <c r="Q317">
        <v>390</v>
      </c>
      <c r="R317">
        <v>304</v>
      </c>
    </row>
    <row r="318" spans="1:18" hidden="1" x14ac:dyDescent="0.2">
      <c r="A318">
        <v>4</v>
      </c>
      <c r="B318" t="s">
        <v>79</v>
      </c>
      <c r="E318" t="s">
        <v>36</v>
      </c>
      <c r="F318">
        <v>805140</v>
      </c>
      <c r="G318">
        <v>1</v>
      </c>
      <c r="H318">
        <v>2</v>
      </c>
      <c r="I318">
        <v>592</v>
      </c>
      <c r="J318">
        <v>1956</v>
      </c>
      <c r="K318" s="4">
        <v>45436</v>
      </c>
      <c r="L318" t="s">
        <v>30</v>
      </c>
      <c r="M318" t="s">
        <v>31</v>
      </c>
      <c r="N318">
        <v>2.68</v>
      </c>
      <c r="O318">
        <v>1841</v>
      </c>
      <c r="P318">
        <v>1.28</v>
      </c>
      <c r="Q318">
        <v>113</v>
      </c>
      <c r="R318">
        <v>492</v>
      </c>
    </row>
    <row r="319" spans="1:18" hidden="1" x14ac:dyDescent="0.2">
      <c r="A319">
        <v>7</v>
      </c>
      <c r="B319" t="s">
        <v>44</v>
      </c>
      <c r="E319" t="s">
        <v>19</v>
      </c>
      <c r="F319">
        <v>2904600</v>
      </c>
      <c r="G319">
        <v>3</v>
      </c>
      <c r="H319">
        <v>1</v>
      </c>
      <c r="I319">
        <v>350</v>
      </c>
      <c r="J319">
        <v>2013</v>
      </c>
      <c r="K319" s="4">
        <v>44119</v>
      </c>
      <c r="L319" t="s">
        <v>26</v>
      </c>
      <c r="M319" t="s">
        <v>42</v>
      </c>
      <c r="N319">
        <v>1.71</v>
      </c>
      <c r="O319">
        <v>1913</v>
      </c>
      <c r="P319">
        <v>2.09</v>
      </c>
      <c r="Q319">
        <v>274</v>
      </c>
      <c r="R319">
        <v>383</v>
      </c>
    </row>
    <row r="320" spans="1:18" hidden="1" x14ac:dyDescent="0.2">
      <c r="A320">
        <v>6</v>
      </c>
      <c r="B320" t="s">
        <v>43</v>
      </c>
      <c r="E320" t="s">
        <v>51</v>
      </c>
      <c r="F320">
        <v>2425193</v>
      </c>
      <c r="G320">
        <v>4</v>
      </c>
      <c r="H320">
        <v>1</v>
      </c>
      <c r="I320">
        <v>616</v>
      </c>
      <c r="J320">
        <v>1982</v>
      </c>
      <c r="K320" s="4">
        <v>45395</v>
      </c>
      <c r="L320" t="s">
        <v>26</v>
      </c>
      <c r="M320" t="s">
        <v>52</v>
      </c>
      <c r="N320">
        <v>2.87</v>
      </c>
      <c r="O320">
        <v>1240</v>
      </c>
      <c r="P320">
        <v>1.7</v>
      </c>
      <c r="Q320">
        <v>185</v>
      </c>
      <c r="R320">
        <v>438</v>
      </c>
    </row>
    <row r="321" spans="1:18" hidden="1" x14ac:dyDescent="0.2">
      <c r="A321">
        <v>2</v>
      </c>
      <c r="B321" t="s">
        <v>43</v>
      </c>
      <c r="E321" t="s">
        <v>29</v>
      </c>
      <c r="F321">
        <v>2590995</v>
      </c>
      <c r="G321">
        <v>-2</v>
      </c>
      <c r="H321">
        <v>2</v>
      </c>
      <c r="I321">
        <v>487</v>
      </c>
      <c r="J321">
        <v>1977</v>
      </c>
      <c r="K321" s="4">
        <v>44554</v>
      </c>
      <c r="L321" t="s">
        <v>30</v>
      </c>
      <c r="M321" t="s">
        <v>78</v>
      </c>
      <c r="N321">
        <v>2.64</v>
      </c>
      <c r="O321">
        <v>1413</v>
      </c>
      <c r="P321">
        <v>2.95</v>
      </c>
      <c r="Q321">
        <v>222</v>
      </c>
      <c r="R321">
        <v>475</v>
      </c>
    </row>
    <row r="322" spans="1:18" hidden="1" x14ac:dyDescent="0.2">
      <c r="A322">
        <v>5</v>
      </c>
      <c r="B322" t="s">
        <v>99</v>
      </c>
      <c r="E322" t="s">
        <v>29</v>
      </c>
      <c r="F322">
        <v>2545764</v>
      </c>
      <c r="G322">
        <v>4</v>
      </c>
      <c r="H322">
        <v>1</v>
      </c>
      <c r="I322">
        <v>334</v>
      </c>
      <c r="J322">
        <v>1972</v>
      </c>
      <c r="K322" s="4">
        <v>45755</v>
      </c>
      <c r="L322" t="s">
        <v>20</v>
      </c>
      <c r="M322" t="s">
        <v>58</v>
      </c>
      <c r="N322">
        <v>1.86</v>
      </c>
      <c r="O322">
        <v>920</v>
      </c>
      <c r="P322">
        <v>1.32</v>
      </c>
      <c r="Q322">
        <v>308</v>
      </c>
      <c r="R322">
        <v>615</v>
      </c>
    </row>
    <row r="323" spans="1:18" hidden="1" x14ac:dyDescent="0.2">
      <c r="A323">
        <v>7</v>
      </c>
      <c r="B323" t="s">
        <v>87</v>
      </c>
      <c r="E323" t="s">
        <v>19</v>
      </c>
      <c r="F323">
        <v>518109</v>
      </c>
      <c r="G323">
        <v>4</v>
      </c>
      <c r="H323">
        <v>3</v>
      </c>
      <c r="I323">
        <v>65</v>
      </c>
      <c r="J323">
        <v>1964</v>
      </c>
      <c r="K323" s="4">
        <v>44098</v>
      </c>
      <c r="L323" t="s">
        <v>26</v>
      </c>
      <c r="M323" t="s">
        <v>58</v>
      </c>
      <c r="N323">
        <v>3.5</v>
      </c>
      <c r="O323">
        <v>2006</v>
      </c>
      <c r="P323">
        <v>3.49</v>
      </c>
      <c r="Q323">
        <v>253</v>
      </c>
      <c r="R323">
        <v>619</v>
      </c>
    </row>
    <row r="324" spans="1:18" hidden="1" x14ac:dyDescent="0.2">
      <c r="A324">
        <v>4</v>
      </c>
      <c r="B324" t="s">
        <v>87</v>
      </c>
      <c r="E324" t="s">
        <v>19</v>
      </c>
      <c r="F324">
        <v>1361175</v>
      </c>
      <c r="G324">
        <v>2</v>
      </c>
      <c r="H324">
        <v>3</v>
      </c>
      <c r="I324">
        <v>195</v>
      </c>
      <c r="J324">
        <v>1966</v>
      </c>
      <c r="K324" s="4">
        <v>45857</v>
      </c>
      <c r="L324" t="s">
        <v>20</v>
      </c>
      <c r="M324" t="s">
        <v>40</v>
      </c>
      <c r="N324">
        <v>2.63</v>
      </c>
      <c r="O324">
        <v>1179</v>
      </c>
      <c r="P324">
        <v>1.55</v>
      </c>
      <c r="Q324">
        <v>165</v>
      </c>
      <c r="R324">
        <v>446</v>
      </c>
    </row>
    <row r="325" spans="1:18" hidden="1" x14ac:dyDescent="0.2">
      <c r="A325">
        <v>3</v>
      </c>
      <c r="B325" t="s">
        <v>90</v>
      </c>
      <c r="E325" t="s">
        <v>19</v>
      </c>
      <c r="F325">
        <v>993403</v>
      </c>
      <c r="G325">
        <v>3</v>
      </c>
      <c r="H325">
        <v>3</v>
      </c>
      <c r="I325">
        <v>468</v>
      </c>
      <c r="J325">
        <v>1970</v>
      </c>
      <c r="K325" s="4">
        <v>45807</v>
      </c>
      <c r="L325" t="s">
        <v>20</v>
      </c>
      <c r="M325" t="s">
        <v>78</v>
      </c>
      <c r="N325">
        <v>2.77</v>
      </c>
      <c r="O325">
        <v>1381</v>
      </c>
      <c r="P325">
        <v>3.84</v>
      </c>
      <c r="Q325">
        <v>184</v>
      </c>
      <c r="R325">
        <v>511</v>
      </c>
    </row>
    <row r="326" spans="1:18" hidden="1" x14ac:dyDescent="0.2">
      <c r="A326">
        <v>6</v>
      </c>
      <c r="B326" t="s">
        <v>71</v>
      </c>
      <c r="E326" t="s">
        <v>29</v>
      </c>
      <c r="F326">
        <v>2527249</v>
      </c>
      <c r="G326">
        <v>3</v>
      </c>
      <c r="H326">
        <v>1</v>
      </c>
      <c r="I326">
        <v>283</v>
      </c>
      <c r="J326">
        <v>2011</v>
      </c>
      <c r="K326" s="4">
        <v>45479</v>
      </c>
      <c r="L326" t="s">
        <v>26</v>
      </c>
      <c r="M326" t="s">
        <v>31</v>
      </c>
      <c r="N326">
        <v>2.68</v>
      </c>
      <c r="O326">
        <v>852</v>
      </c>
      <c r="P326">
        <v>0.67</v>
      </c>
      <c r="Q326">
        <v>255</v>
      </c>
      <c r="R326">
        <v>465</v>
      </c>
    </row>
    <row r="327" spans="1:18" hidden="1" x14ac:dyDescent="0.2">
      <c r="A327">
        <v>1</v>
      </c>
      <c r="B327" t="s">
        <v>55</v>
      </c>
      <c r="E327" t="s">
        <v>51</v>
      </c>
      <c r="F327">
        <v>2573556</v>
      </c>
      <c r="G327">
        <v>6</v>
      </c>
      <c r="H327">
        <v>1</v>
      </c>
      <c r="I327">
        <v>729</v>
      </c>
      <c r="J327">
        <v>1977</v>
      </c>
      <c r="K327" s="4">
        <v>44884</v>
      </c>
      <c r="L327" t="s">
        <v>30</v>
      </c>
      <c r="M327" t="s">
        <v>89</v>
      </c>
      <c r="N327">
        <v>1.6</v>
      </c>
      <c r="O327">
        <v>1898</v>
      </c>
      <c r="P327">
        <v>3.72</v>
      </c>
      <c r="Q327">
        <v>335</v>
      </c>
      <c r="R327">
        <v>598</v>
      </c>
    </row>
    <row r="328" spans="1:18" hidden="1" x14ac:dyDescent="0.2">
      <c r="A328">
        <v>6</v>
      </c>
      <c r="B328" t="s">
        <v>81</v>
      </c>
      <c r="E328" t="s">
        <v>36</v>
      </c>
      <c r="F328">
        <v>2719810</v>
      </c>
      <c r="G328">
        <v>3</v>
      </c>
      <c r="H328">
        <v>3</v>
      </c>
      <c r="I328">
        <v>724</v>
      </c>
      <c r="J328">
        <v>1953</v>
      </c>
      <c r="K328" s="4">
        <v>45544</v>
      </c>
      <c r="L328" t="s">
        <v>26</v>
      </c>
      <c r="M328" t="s">
        <v>58</v>
      </c>
      <c r="N328">
        <v>2.25</v>
      </c>
      <c r="O328">
        <v>1712</v>
      </c>
      <c r="P328">
        <v>1.23</v>
      </c>
      <c r="Q328">
        <v>181</v>
      </c>
      <c r="R328">
        <v>579</v>
      </c>
    </row>
    <row r="329" spans="1:18" hidden="1" x14ac:dyDescent="0.2">
      <c r="A329">
        <v>3</v>
      </c>
      <c r="B329" t="s">
        <v>96</v>
      </c>
      <c r="E329" t="s">
        <v>29</v>
      </c>
      <c r="F329">
        <v>2364640</v>
      </c>
      <c r="G329">
        <v>2</v>
      </c>
      <c r="H329">
        <v>2</v>
      </c>
      <c r="I329">
        <v>67</v>
      </c>
      <c r="J329">
        <v>1960</v>
      </c>
      <c r="K329" s="4">
        <v>44908</v>
      </c>
      <c r="L329" t="s">
        <v>20</v>
      </c>
      <c r="M329" t="s">
        <v>74</v>
      </c>
      <c r="N329">
        <v>2.44</v>
      </c>
      <c r="O329">
        <v>1423</v>
      </c>
      <c r="P329">
        <v>1.4</v>
      </c>
      <c r="Q329">
        <v>228</v>
      </c>
      <c r="R329">
        <v>433</v>
      </c>
    </row>
    <row r="330" spans="1:18" hidden="1" x14ac:dyDescent="0.2">
      <c r="A330">
        <v>4</v>
      </c>
      <c r="B330" t="s">
        <v>34</v>
      </c>
      <c r="E330" t="s">
        <v>29</v>
      </c>
      <c r="F330">
        <v>552178</v>
      </c>
      <c r="G330">
        <v>2</v>
      </c>
      <c r="H330">
        <v>1</v>
      </c>
      <c r="I330">
        <v>408</v>
      </c>
      <c r="J330">
        <v>1970</v>
      </c>
      <c r="K330" s="4">
        <v>45053</v>
      </c>
      <c r="L330" t="s">
        <v>30</v>
      </c>
      <c r="M330" t="s">
        <v>58</v>
      </c>
      <c r="N330">
        <v>2.77</v>
      </c>
      <c r="O330">
        <v>2153</v>
      </c>
      <c r="P330">
        <v>4.07</v>
      </c>
      <c r="Q330">
        <v>128</v>
      </c>
      <c r="R330">
        <v>519</v>
      </c>
    </row>
    <row r="331" spans="1:18" hidden="1" x14ac:dyDescent="0.2">
      <c r="A331">
        <v>5</v>
      </c>
      <c r="B331" t="s">
        <v>84</v>
      </c>
      <c r="E331" t="s">
        <v>51</v>
      </c>
      <c r="F331">
        <v>1148107</v>
      </c>
      <c r="G331">
        <v>3</v>
      </c>
      <c r="H331">
        <v>2</v>
      </c>
      <c r="I331">
        <v>429</v>
      </c>
      <c r="J331">
        <v>1999</v>
      </c>
      <c r="K331" s="4">
        <v>45122</v>
      </c>
      <c r="L331" t="s">
        <v>30</v>
      </c>
      <c r="M331" t="s">
        <v>33</v>
      </c>
      <c r="N331">
        <v>2.68</v>
      </c>
      <c r="O331">
        <v>2182</v>
      </c>
      <c r="P331">
        <v>4.76</v>
      </c>
      <c r="Q331">
        <v>114</v>
      </c>
      <c r="R331">
        <v>571</v>
      </c>
    </row>
    <row r="332" spans="1:18" hidden="1" x14ac:dyDescent="0.2">
      <c r="A332">
        <v>0</v>
      </c>
      <c r="B332" t="s">
        <v>75</v>
      </c>
      <c r="E332" t="s">
        <v>29</v>
      </c>
      <c r="F332">
        <v>1694815</v>
      </c>
      <c r="G332">
        <v>2</v>
      </c>
      <c r="H332">
        <v>1</v>
      </c>
      <c r="I332">
        <v>846</v>
      </c>
      <c r="J332">
        <v>2018</v>
      </c>
      <c r="K332" s="4">
        <v>45303</v>
      </c>
      <c r="L332" t="s">
        <v>26</v>
      </c>
      <c r="M332" t="s">
        <v>56</v>
      </c>
      <c r="N332">
        <v>2.76</v>
      </c>
      <c r="O332">
        <v>811</v>
      </c>
      <c r="P332">
        <v>2.99</v>
      </c>
      <c r="Q332">
        <v>76</v>
      </c>
      <c r="R332">
        <v>487</v>
      </c>
    </row>
    <row r="333" spans="1:18" hidden="1" x14ac:dyDescent="0.2">
      <c r="A333">
        <v>6</v>
      </c>
      <c r="B333" t="s">
        <v>99</v>
      </c>
      <c r="E333" t="s">
        <v>19</v>
      </c>
      <c r="F333">
        <v>2136535</v>
      </c>
      <c r="G333">
        <v>3</v>
      </c>
      <c r="H333">
        <v>1</v>
      </c>
      <c r="I333">
        <v>139</v>
      </c>
      <c r="J333">
        <v>1984</v>
      </c>
      <c r="K333" s="4">
        <v>44828</v>
      </c>
      <c r="L333" t="s">
        <v>23</v>
      </c>
      <c r="M333" t="s">
        <v>58</v>
      </c>
      <c r="N333">
        <v>3.44</v>
      </c>
      <c r="O333">
        <v>1678</v>
      </c>
      <c r="P333">
        <v>1.51</v>
      </c>
      <c r="Q333">
        <v>205</v>
      </c>
      <c r="R333">
        <v>523</v>
      </c>
    </row>
    <row r="334" spans="1:18" hidden="1" x14ac:dyDescent="0.2">
      <c r="A334">
        <v>1</v>
      </c>
      <c r="B334" t="s">
        <v>57</v>
      </c>
      <c r="E334" t="s">
        <v>19</v>
      </c>
      <c r="F334">
        <v>723260</v>
      </c>
      <c r="G334">
        <v>5</v>
      </c>
      <c r="H334">
        <v>3</v>
      </c>
      <c r="I334">
        <v>333</v>
      </c>
      <c r="J334">
        <v>1965</v>
      </c>
      <c r="K334" s="4">
        <v>44948</v>
      </c>
      <c r="L334" t="s">
        <v>23</v>
      </c>
      <c r="M334" t="s">
        <v>56</v>
      </c>
      <c r="N334">
        <v>2.0499999999999998</v>
      </c>
      <c r="O334">
        <v>904</v>
      </c>
      <c r="P334">
        <v>3.96</v>
      </c>
      <c r="Q334">
        <v>255</v>
      </c>
      <c r="R334">
        <v>363</v>
      </c>
    </row>
    <row r="335" spans="1:18" hidden="1" x14ac:dyDescent="0.2">
      <c r="A335">
        <v>5</v>
      </c>
      <c r="B335" t="s">
        <v>73</v>
      </c>
      <c r="E335" t="s">
        <v>19</v>
      </c>
      <c r="F335">
        <v>1135285</v>
      </c>
      <c r="G335">
        <v>5</v>
      </c>
      <c r="H335">
        <v>2</v>
      </c>
      <c r="I335">
        <v>878</v>
      </c>
      <c r="J335">
        <v>2013</v>
      </c>
      <c r="K335" s="4">
        <v>45163</v>
      </c>
      <c r="L335" t="s">
        <v>23</v>
      </c>
      <c r="M335" t="s">
        <v>59</v>
      </c>
      <c r="N335">
        <v>2.73</v>
      </c>
      <c r="O335">
        <v>1135</v>
      </c>
      <c r="P335">
        <v>0.7</v>
      </c>
      <c r="Q335">
        <v>290</v>
      </c>
      <c r="R335">
        <v>330</v>
      </c>
    </row>
    <row r="336" spans="1:18" hidden="1" x14ac:dyDescent="0.2">
      <c r="A336">
        <v>7</v>
      </c>
      <c r="B336" t="s">
        <v>105</v>
      </c>
      <c r="E336" t="s">
        <v>51</v>
      </c>
      <c r="F336">
        <v>1987293</v>
      </c>
      <c r="G336">
        <v>5</v>
      </c>
      <c r="H336">
        <v>2</v>
      </c>
      <c r="I336">
        <v>702</v>
      </c>
      <c r="J336">
        <v>1957</v>
      </c>
      <c r="K336" s="4">
        <v>44705</v>
      </c>
      <c r="L336" t="s">
        <v>23</v>
      </c>
      <c r="M336" t="s">
        <v>37</v>
      </c>
      <c r="N336">
        <v>2.16</v>
      </c>
      <c r="O336">
        <v>2071</v>
      </c>
      <c r="P336">
        <v>4.63</v>
      </c>
      <c r="Q336">
        <v>304</v>
      </c>
      <c r="R336">
        <v>662</v>
      </c>
    </row>
    <row r="337" spans="1:18" hidden="1" x14ac:dyDescent="0.2">
      <c r="A337">
        <v>0</v>
      </c>
      <c r="B337" t="s">
        <v>41</v>
      </c>
      <c r="E337" t="s">
        <v>51</v>
      </c>
      <c r="F337">
        <v>1909689</v>
      </c>
      <c r="G337">
        <v>3</v>
      </c>
      <c r="H337">
        <v>2</v>
      </c>
      <c r="I337">
        <v>607</v>
      </c>
      <c r="J337">
        <v>2012</v>
      </c>
      <c r="K337" s="4">
        <v>45017</v>
      </c>
      <c r="L337" t="s">
        <v>30</v>
      </c>
      <c r="M337" t="s">
        <v>68</v>
      </c>
      <c r="N337">
        <v>2.67</v>
      </c>
      <c r="O337">
        <v>1858</v>
      </c>
      <c r="P337">
        <v>3.29</v>
      </c>
      <c r="Q337">
        <v>301</v>
      </c>
      <c r="R337">
        <v>379</v>
      </c>
    </row>
    <row r="338" spans="1:18" hidden="1" x14ac:dyDescent="0.2">
      <c r="A338">
        <v>6</v>
      </c>
      <c r="B338" t="s">
        <v>28</v>
      </c>
      <c r="E338" t="s">
        <v>51</v>
      </c>
      <c r="F338">
        <v>2538712</v>
      </c>
      <c r="G338">
        <v>4</v>
      </c>
      <c r="H338">
        <v>3</v>
      </c>
      <c r="I338">
        <v>514</v>
      </c>
      <c r="J338">
        <v>2019</v>
      </c>
      <c r="K338" s="4">
        <v>44403</v>
      </c>
      <c r="L338" t="s">
        <v>30</v>
      </c>
      <c r="M338" t="s">
        <v>27</v>
      </c>
      <c r="N338">
        <v>2.65</v>
      </c>
      <c r="O338">
        <v>1912</v>
      </c>
      <c r="P338">
        <v>1.17</v>
      </c>
      <c r="Q338">
        <v>177</v>
      </c>
      <c r="R338">
        <v>637</v>
      </c>
    </row>
    <row r="339" spans="1:18" hidden="1" x14ac:dyDescent="0.2">
      <c r="A339">
        <v>7</v>
      </c>
      <c r="B339" t="s">
        <v>105</v>
      </c>
      <c r="E339" t="s">
        <v>29</v>
      </c>
      <c r="F339">
        <v>646586</v>
      </c>
      <c r="G339">
        <v>4</v>
      </c>
      <c r="H339">
        <v>2</v>
      </c>
      <c r="I339">
        <v>229</v>
      </c>
      <c r="J339">
        <v>1952</v>
      </c>
      <c r="K339" s="4">
        <v>44124</v>
      </c>
      <c r="L339" t="s">
        <v>23</v>
      </c>
      <c r="M339" t="s">
        <v>68</v>
      </c>
      <c r="N339">
        <v>3.12</v>
      </c>
      <c r="O339">
        <v>1165</v>
      </c>
      <c r="P339">
        <v>4.66</v>
      </c>
      <c r="Q339">
        <v>341</v>
      </c>
      <c r="R339">
        <v>404</v>
      </c>
    </row>
    <row r="340" spans="1:18" hidden="1" x14ac:dyDescent="0.2">
      <c r="A340">
        <v>4</v>
      </c>
      <c r="B340" t="s">
        <v>44</v>
      </c>
      <c r="E340" t="s">
        <v>29</v>
      </c>
      <c r="F340">
        <v>1845232</v>
      </c>
      <c r="G340">
        <v>5</v>
      </c>
      <c r="H340">
        <v>2</v>
      </c>
      <c r="I340">
        <v>659</v>
      </c>
      <c r="J340">
        <v>2003</v>
      </c>
      <c r="K340" s="4">
        <v>44248</v>
      </c>
      <c r="L340" t="s">
        <v>26</v>
      </c>
      <c r="M340" t="s">
        <v>56</v>
      </c>
      <c r="N340">
        <v>2.2400000000000002</v>
      </c>
      <c r="O340">
        <v>1068</v>
      </c>
      <c r="P340">
        <v>0.36</v>
      </c>
      <c r="Q340">
        <v>313</v>
      </c>
      <c r="R340">
        <v>579</v>
      </c>
    </row>
    <row r="341" spans="1:18" hidden="1" x14ac:dyDescent="0.2">
      <c r="A341">
        <v>7</v>
      </c>
      <c r="B341" t="s">
        <v>88</v>
      </c>
      <c r="E341" t="s">
        <v>36</v>
      </c>
      <c r="F341">
        <v>1775274</v>
      </c>
      <c r="G341">
        <v>6</v>
      </c>
      <c r="H341">
        <v>2</v>
      </c>
      <c r="I341">
        <v>522</v>
      </c>
      <c r="J341">
        <v>1981</v>
      </c>
      <c r="K341" s="4">
        <v>44399</v>
      </c>
      <c r="L341" t="s">
        <v>23</v>
      </c>
      <c r="M341" t="s">
        <v>37</v>
      </c>
      <c r="N341">
        <v>1.54</v>
      </c>
      <c r="O341">
        <v>2059</v>
      </c>
      <c r="P341">
        <v>0.11</v>
      </c>
      <c r="Q341">
        <v>389</v>
      </c>
      <c r="R341">
        <v>364</v>
      </c>
    </row>
    <row r="342" spans="1:18" hidden="1" x14ac:dyDescent="0.2">
      <c r="A342">
        <v>6</v>
      </c>
      <c r="B342" t="s">
        <v>96</v>
      </c>
      <c r="E342" t="s">
        <v>36</v>
      </c>
      <c r="F342">
        <v>2958791</v>
      </c>
      <c r="G342">
        <v>4</v>
      </c>
      <c r="H342">
        <v>3</v>
      </c>
      <c r="I342">
        <v>889</v>
      </c>
      <c r="J342">
        <v>1994</v>
      </c>
      <c r="K342" s="4">
        <v>44402</v>
      </c>
      <c r="L342" t="s">
        <v>23</v>
      </c>
      <c r="M342" t="s">
        <v>66</v>
      </c>
      <c r="N342">
        <v>1.88</v>
      </c>
      <c r="O342">
        <v>913</v>
      </c>
      <c r="P342">
        <v>1.1000000000000001</v>
      </c>
      <c r="Q342">
        <v>357</v>
      </c>
      <c r="R342">
        <v>317</v>
      </c>
    </row>
    <row r="343" spans="1:18" hidden="1" x14ac:dyDescent="0.2">
      <c r="A343">
        <v>4</v>
      </c>
      <c r="B343" t="s">
        <v>49</v>
      </c>
      <c r="E343" t="s">
        <v>51</v>
      </c>
      <c r="F343">
        <v>1778567</v>
      </c>
      <c r="G343">
        <v>3</v>
      </c>
      <c r="H343">
        <v>3</v>
      </c>
      <c r="I343">
        <v>707</v>
      </c>
      <c r="J343">
        <v>1966</v>
      </c>
      <c r="K343" s="4">
        <v>44606</v>
      </c>
      <c r="L343" t="s">
        <v>26</v>
      </c>
      <c r="M343" t="s">
        <v>77</v>
      </c>
      <c r="N343">
        <v>2.92</v>
      </c>
      <c r="O343">
        <v>934</v>
      </c>
      <c r="P343">
        <v>2.08</v>
      </c>
      <c r="Q343">
        <v>233</v>
      </c>
      <c r="R343">
        <v>368</v>
      </c>
    </row>
    <row r="344" spans="1:18" hidden="1" x14ac:dyDescent="0.2">
      <c r="A344">
        <v>4</v>
      </c>
      <c r="B344" t="s">
        <v>71</v>
      </c>
      <c r="E344" t="s">
        <v>36</v>
      </c>
      <c r="F344">
        <v>1946904</v>
      </c>
      <c r="G344">
        <v>2</v>
      </c>
      <c r="H344">
        <v>3</v>
      </c>
      <c r="I344">
        <v>693</v>
      </c>
      <c r="J344">
        <v>1986</v>
      </c>
      <c r="K344" s="4">
        <v>44515</v>
      </c>
      <c r="L344" t="s">
        <v>23</v>
      </c>
      <c r="M344" t="s">
        <v>68</v>
      </c>
      <c r="N344">
        <v>3.21</v>
      </c>
      <c r="O344">
        <v>1525</v>
      </c>
      <c r="P344">
        <v>4.2</v>
      </c>
      <c r="Q344">
        <v>171</v>
      </c>
      <c r="R344">
        <v>375</v>
      </c>
    </row>
    <row r="345" spans="1:18" hidden="1" x14ac:dyDescent="0.2">
      <c r="A345">
        <v>6</v>
      </c>
      <c r="B345" t="s">
        <v>83</v>
      </c>
      <c r="E345" t="s">
        <v>19</v>
      </c>
      <c r="F345">
        <v>1758087</v>
      </c>
      <c r="G345">
        <v>5</v>
      </c>
      <c r="H345">
        <v>2</v>
      </c>
      <c r="I345">
        <v>610</v>
      </c>
      <c r="J345">
        <v>2008</v>
      </c>
      <c r="K345" s="4">
        <v>44096</v>
      </c>
      <c r="L345" t="s">
        <v>23</v>
      </c>
      <c r="M345" t="s">
        <v>56</v>
      </c>
      <c r="N345">
        <v>1.8</v>
      </c>
      <c r="O345">
        <v>1036</v>
      </c>
      <c r="P345">
        <v>1.53</v>
      </c>
      <c r="Q345">
        <v>251</v>
      </c>
      <c r="R345">
        <v>456</v>
      </c>
    </row>
    <row r="346" spans="1:18" hidden="1" x14ac:dyDescent="0.2">
      <c r="A346">
        <v>5</v>
      </c>
      <c r="B346" t="s">
        <v>64</v>
      </c>
      <c r="E346" t="s">
        <v>51</v>
      </c>
      <c r="F346">
        <v>1308981</v>
      </c>
      <c r="G346">
        <v>1</v>
      </c>
      <c r="H346">
        <v>2</v>
      </c>
      <c r="I346">
        <v>723</v>
      </c>
      <c r="J346">
        <v>1974</v>
      </c>
      <c r="K346" s="4">
        <v>44533</v>
      </c>
      <c r="L346" t="s">
        <v>23</v>
      </c>
      <c r="M346" t="s">
        <v>54</v>
      </c>
      <c r="N346">
        <v>1.75</v>
      </c>
      <c r="O346">
        <v>2383</v>
      </c>
      <c r="P346">
        <v>1.08</v>
      </c>
      <c r="Q346">
        <v>87</v>
      </c>
      <c r="R346">
        <v>507</v>
      </c>
    </row>
    <row r="347" spans="1:18" hidden="1" x14ac:dyDescent="0.2">
      <c r="A347">
        <v>3</v>
      </c>
      <c r="B347" t="s">
        <v>98</v>
      </c>
      <c r="E347" t="s">
        <v>36</v>
      </c>
      <c r="F347">
        <v>2096844</v>
      </c>
      <c r="G347">
        <v>4</v>
      </c>
      <c r="H347">
        <v>2</v>
      </c>
      <c r="I347">
        <v>962</v>
      </c>
      <c r="J347">
        <v>1960</v>
      </c>
      <c r="K347" s="4">
        <v>45615</v>
      </c>
      <c r="L347" t="s">
        <v>26</v>
      </c>
      <c r="M347" t="s">
        <v>56</v>
      </c>
      <c r="N347">
        <v>1.87</v>
      </c>
      <c r="O347">
        <v>1754</v>
      </c>
      <c r="P347">
        <v>2.16</v>
      </c>
      <c r="Q347">
        <v>248</v>
      </c>
      <c r="R347">
        <v>393</v>
      </c>
    </row>
    <row r="348" spans="1:18" hidden="1" x14ac:dyDescent="0.2">
      <c r="A348">
        <v>2</v>
      </c>
      <c r="B348" t="s">
        <v>18</v>
      </c>
      <c r="E348" t="s">
        <v>29</v>
      </c>
      <c r="F348">
        <v>1952583</v>
      </c>
      <c r="G348">
        <v>3</v>
      </c>
      <c r="H348">
        <v>1</v>
      </c>
      <c r="I348">
        <v>299</v>
      </c>
      <c r="J348">
        <v>1954</v>
      </c>
      <c r="K348" s="4">
        <v>44733</v>
      </c>
      <c r="L348" t="s">
        <v>26</v>
      </c>
      <c r="M348" t="s">
        <v>40</v>
      </c>
      <c r="N348">
        <v>1.91</v>
      </c>
      <c r="O348">
        <v>2256</v>
      </c>
      <c r="P348">
        <v>0.63</v>
      </c>
      <c r="Q348">
        <v>318</v>
      </c>
      <c r="R348">
        <v>632</v>
      </c>
    </row>
    <row r="349" spans="1:18" hidden="1" x14ac:dyDescent="0.2">
      <c r="A349">
        <v>3</v>
      </c>
      <c r="B349" t="s">
        <v>100</v>
      </c>
      <c r="E349" t="s">
        <v>36</v>
      </c>
      <c r="F349">
        <v>2086468</v>
      </c>
      <c r="G349">
        <v>5</v>
      </c>
      <c r="H349">
        <v>1</v>
      </c>
      <c r="I349">
        <v>354</v>
      </c>
      <c r="J349">
        <v>2010</v>
      </c>
      <c r="K349" s="4">
        <v>45698</v>
      </c>
      <c r="L349" t="s">
        <v>30</v>
      </c>
      <c r="M349" t="s">
        <v>60</v>
      </c>
      <c r="N349">
        <v>3.39</v>
      </c>
      <c r="O349">
        <v>2416</v>
      </c>
      <c r="P349">
        <v>1.17</v>
      </c>
      <c r="Q349">
        <v>352</v>
      </c>
      <c r="R349">
        <v>608</v>
      </c>
    </row>
    <row r="350" spans="1:18" hidden="1" x14ac:dyDescent="0.2">
      <c r="A350">
        <v>0</v>
      </c>
      <c r="B350" t="s">
        <v>22</v>
      </c>
      <c r="E350" t="s">
        <v>51</v>
      </c>
      <c r="F350">
        <v>504028</v>
      </c>
      <c r="G350">
        <v>3</v>
      </c>
      <c r="H350">
        <v>2</v>
      </c>
      <c r="I350">
        <v>428</v>
      </c>
      <c r="J350">
        <v>1966</v>
      </c>
      <c r="K350" s="4">
        <v>45502</v>
      </c>
      <c r="L350" t="s">
        <v>30</v>
      </c>
      <c r="M350" t="s">
        <v>40</v>
      </c>
      <c r="N350">
        <v>3.05</v>
      </c>
      <c r="O350">
        <v>1813</v>
      </c>
      <c r="P350">
        <v>4.03</v>
      </c>
      <c r="Q350">
        <v>315</v>
      </c>
      <c r="R350">
        <v>489</v>
      </c>
    </row>
    <row r="351" spans="1:18" hidden="1" x14ac:dyDescent="0.2">
      <c r="A351">
        <v>4</v>
      </c>
      <c r="B351" t="s">
        <v>39</v>
      </c>
      <c r="E351" t="s">
        <v>29</v>
      </c>
      <c r="F351">
        <v>2040603</v>
      </c>
      <c r="G351">
        <v>5</v>
      </c>
      <c r="H351">
        <v>3</v>
      </c>
      <c r="I351">
        <v>687</v>
      </c>
      <c r="J351">
        <v>1983</v>
      </c>
      <c r="K351" s="4">
        <v>45155</v>
      </c>
      <c r="L351" t="s">
        <v>26</v>
      </c>
      <c r="M351" t="s">
        <v>89</v>
      </c>
      <c r="N351">
        <v>3.18</v>
      </c>
      <c r="O351">
        <v>834</v>
      </c>
      <c r="P351">
        <v>2.11</v>
      </c>
      <c r="Q351">
        <v>274</v>
      </c>
      <c r="R351">
        <v>620</v>
      </c>
    </row>
    <row r="352" spans="1:18" hidden="1" x14ac:dyDescent="0.2">
      <c r="A352">
        <v>4</v>
      </c>
      <c r="B352" t="s">
        <v>96</v>
      </c>
      <c r="E352" t="s">
        <v>51</v>
      </c>
      <c r="F352">
        <v>591253</v>
      </c>
      <c r="G352">
        <v>5</v>
      </c>
      <c r="H352">
        <v>1</v>
      </c>
      <c r="I352">
        <v>334</v>
      </c>
      <c r="J352">
        <v>1968</v>
      </c>
      <c r="K352" s="4">
        <v>44100</v>
      </c>
      <c r="L352" t="s">
        <v>20</v>
      </c>
      <c r="M352" t="s">
        <v>63</v>
      </c>
      <c r="N352">
        <v>1.75</v>
      </c>
      <c r="O352">
        <v>1571</v>
      </c>
      <c r="P352">
        <v>0.39</v>
      </c>
      <c r="Q352">
        <v>352</v>
      </c>
      <c r="R352">
        <v>393</v>
      </c>
    </row>
    <row r="353" spans="1:18" hidden="1" x14ac:dyDescent="0.2">
      <c r="A353">
        <v>4</v>
      </c>
      <c r="B353" t="s">
        <v>50</v>
      </c>
      <c r="E353" t="s">
        <v>51</v>
      </c>
      <c r="F353">
        <v>1273480</v>
      </c>
      <c r="G353">
        <v>3</v>
      </c>
      <c r="H353">
        <v>3</v>
      </c>
      <c r="I353">
        <v>318</v>
      </c>
      <c r="J353">
        <v>1954</v>
      </c>
      <c r="K353" s="4">
        <v>45404</v>
      </c>
      <c r="L353" t="s">
        <v>26</v>
      </c>
      <c r="M353" t="s">
        <v>42</v>
      </c>
      <c r="N353">
        <v>2.87</v>
      </c>
      <c r="O353">
        <v>2100</v>
      </c>
      <c r="P353">
        <v>0.15</v>
      </c>
      <c r="Q353">
        <v>261</v>
      </c>
      <c r="R353">
        <v>478</v>
      </c>
    </row>
    <row r="354" spans="1:18" hidden="1" x14ac:dyDescent="0.2">
      <c r="A354">
        <v>3</v>
      </c>
      <c r="B354" t="s">
        <v>41</v>
      </c>
      <c r="E354" t="s">
        <v>19</v>
      </c>
      <c r="F354">
        <v>663840</v>
      </c>
      <c r="G354">
        <v>6</v>
      </c>
      <c r="H354">
        <v>2</v>
      </c>
      <c r="I354">
        <v>614</v>
      </c>
      <c r="J354">
        <v>2007</v>
      </c>
      <c r="K354" s="4">
        <v>44901</v>
      </c>
      <c r="L354" t="s">
        <v>26</v>
      </c>
      <c r="M354" t="s">
        <v>89</v>
      </c>
      <c r="N354">
        <v>1.68</v>
      </c>
      <c r="O354">
        <v>1579</v>
      </c>
      <c r="P354">
        <v>4.21</v>
      </c>
      <c r="Q354">
        <v>390</v>
      </c>
      <c r="R354">
        <v>595</v>
      </c>
    </row>
    <row r="355" spans="1:18" hidden="1" x14ac:dyDescent="0.2">
      <c r="A355">
        <v>3</v>
      </c>
      <c r="B355" t="s">
        <v>99</v>
      </c>
      <c r="E355" t="s">
        <v>36</v>
      </c>
      <c r="F355">
        <v>2319876</v>
      </c>
      <c r="G355">
        <v>3</v>
      </c>
      <c r="H355">
        <v>2</v>
      </c>
      <c r="I355">
        <v>912</v>
      </c>
      <c r="J355">
        <v>1957</v>
      </c>
      <c r="K355" s="4">
        <v>45770</v>
      </c>
      <c r="L355" t="s">
        <v>30</v>
      </c>
      <c r="M355" t="s">
        <v>52</v>
      </c>
      <c r="N355">
        <v>2.16</v>
      </c>
      <c r="O355">
        <v>1709</v>
      </c>
      <c r="P355">
        <v>2.29</v>
      </c>
      <c r="Q355">
        <v>147</v>
      </c>
      <c r="R355">
        <v>510</v>
      </c>
    </row>
    <row r="356" spans="1:18" hidden="1" x14ac:dyDescent="0.2">
      <c r="A356">
        <v>6</v>
      </c>
      <c r="B356" t="s">
        <v>105</v>
      </c>
      <c r="E356" t="s">
        <v>19</v>
      </c>
      <c r="F356">
        <v>2102208</v>
      </c>
      <c r="G356">
        <v>1</v>
      </c>
      <c r="H356">
        <v>3</v>
      </c>
      <c r="I356">
        <v>980</v>
      </c>
      <c r="J356">
        <v>1981</v>
      </c>
      <c r="K356" s="4">
        <v>44750</v>
      </c>
      <c r="L356" t="s">
        <v>20</v>
      </c>
      <c r="M356" t="s">
        <v>97</v>
      </c>
      <c r="N356">
        <v>2.1</v>
      </c>
      <c r="O356">
        <v>1949</v>
      </c>
      <c r="P356">
        <v>2.4</v>
      </c>
      <c r="Q356">
        <v>141</v>
      </c>
      <c r="R356">
        <v>388</v>
      </c>
    </row>
    <row r="357" spans="1:18" hidden="1" x14ac:dyDescent="0.2">
      <c r="A357">
        <v>1</v>
      </c>
      <c r="B357" t="s">
        <v>99</v>
      </c>
      <c r="E357" t="s">
        <v>51</v>
      </c>
      <c r="F357">
        <v>2875715</v>
      </c>
      <c r="G357">
        <v>4</v>
      </c>
      <c r="H357">
        <v>3</v>
      </c>
      <c r="I357">
        <v>744</v>
      </c>
      <c r="J357">
        <v>1962</v>
      </c>
      <c r="K357" s="4">
        <v>45580</v>
      </c>
      <c r="L357" t="s">
        <v>23</v>
      </c>
      <c r="M357" t="s">
        <v>47</v>
      </c>
      <c r="N357">
        <v>1.86</v>
      </c>
      <c r="O357">
        <v>1703</v>
      </c>
      <c r="P357">
        <v>0.83</v>
      </c>
      <c r="Q357">
        <v>195</v>
      </c>
      <c r="R357">
        <v>300</v>
      </c>
    </row>
    <row r="358" spans="1:18" hidden="1" x14ac:dyDescent="0.2">
      <c r="A358">
        <v>5</v>
      </c>
      <c r="B358" t="s">
        <v>86</v>
      </c>
      <c r="E358" t="s">
        <v>51</v>
      </c>
      <c r="F358">
        <v>845349</v>
      </c>
      <c r="G358">
        <v>2</v>
      </c>
      <c r="H358">
        <v>3</v>
      </c>
      <c r="I358">
        <v>611</v>
      </c>
      <c r="J358">
        <v>2018</v>
      </c>
      <c r="K358" s="4">
        <v>44203</v>
      </c>
      <c r="L358" t="s">
        <v>26</v>
      </c>
      <c r="M358" t="s">
        <v>45</v>
      </c>
      <c r="N358">
        <v>2.52</v>
      </c>
      <c r="O358">
        <v>1100</v>
      </c>
      <c r="P358">
        <v>1.86</v>
      </c>
      <c r="Q358">
        <v>157</v>
      </c>
      <c r="R358">
        <v>313</v>
      </c>
    </row>
    <row r="359" spans="1:18" hidden="1" x14ac:dyDescent="0.2">
      <c r="A359">
        <v>5</v>
      </c>
      <c r="B359" t="s">
        <v>46</v>
      </c>
      <c r="E359" t="s">
        <v>29</v>
      </c>
      <c r="F359">
        <v>1764106</v>
      </c>
      <c r="G359">
        <v>5</v>
      </c>
      <c r="H359">
        <v>3</v>
      </c>
      <c r="I359">
        <v>74</v>
      </c>
      <c r="J359">
        <v>2015</v>
      </c>
      <c r="K359" s="4">
        <v>44430</v>
      </c>
      <c r="L359" t="s">
        <v>26</v>
      </c>
      <c r="M359" t="s">
        <v>52</v>
      </c>
      <c r="N359">
        <v>1.59</v>
      </c>
      <c r="O359">
        <v>1654</v>
      </c>
      <c r="P359">
        <v>4.7</v>
      </c>
      <c r="Q359">
        <v>246</v>
      </c>
      <c r="R359">
        <v>651</v>
      </c>
    </row>
    <row r="360" spans="1:18" hidden="1" x14ac:dyDescent="0.2">
      <c r="A360">
        <v>3</v>
      </c>
      <c r="B360" t="s">
        <v>43</v>
      </c>
      <c r="E360" t="s">
        <v>29</v>
      </c>
      <c r="F360">
        <v>830217</v>
      </c>
      <c r="G360">
        <v>2</v>
      </c>
      <c r="H360">
        <v>3</v>
      </c>
      <c r="I360">
        <v>247</v>
      </c>
      <c r="J360">
        <v>1981</v>
      </c>
      <c r="K360" s="4">
        <v>44560</v>
      </c>
      <c r="L360" t="s">
        <v>20</v>
      </c>
      <c r="M360" t="s">
        <v>42</v>
      </c>
      <c r="N360">
        <v>1.7</v>
      </c>
      <c r="O360">
        <v>2104</v>
      </c>
      <c r="P360">
        <v>0.28000000000000003</v>
      </c>
      <c r="Q360">
        <v>230</v>
      </c>
      <c r="R360">
        <v>645</v>
      </c>
    </row>
    <row r="361" spans="1:18" hidden="1" x14ac:dyDescent="0.2">
      <c r="A361">
        <v>7</v>
      </c>
      <c r="B361" t="s">
        <v>75</v>
      </c>
      <c r="E361" t="s">
        <v>36</v>
      </c>
      <c r="F361">
        <v>2462779</v>
      </c>
      <c r="G361">
        <v>4</v>
      </c>
      <c r="H361">
        <v>1</v>
      </c>
      <c r="I361">
        <v>264</v>
      </c>
      <c r="J361">
        <v>2004</v>
      </c>
      <c r="K361" s="4">
        <v>45655</v>
      </c>
      <c r="L361" t="s">
        <v>30</v>
      </c>
      <c r="M361" t="s">
        <v>27</v>
      </c>
      <c r="N361">
        <v>1.76</v>
      </c>
      <c r="O361">
        <v>1182</v>
      </c>
      <c r="P361">
        <v>4.12</v>
      </c>
      <c r="Q361">
        <v>206</v>
      </c>
      <c r="R361">
        <v>655</v>
      </c>
    </row>
    <row r="362" spans="1:18" hidden="1" x14ac:dyDescent="0.2">
      <c r="A362">
        <v>9</v>
      </c>
      <c r="B362" t="s">
        <v>94</v>
      </c>
      <c r="E362" t="s">
        <v>51</v>
      </c>
      <c r="F362">
        <v>2487235</v>
      </c>
      <c r="G362">
        <v>3</v>
      </c>
      <c r="H362">
        <v>1</v>
      </c>
      <c r="I362">
        <v>850</v>
      </c>
      <c r="J362">
        <v>1993</v>
      </c>
      <c r="K362" s="4">
        <v>44067</v>
      </c>
      <c r="L362" t="s">
        <v>20</v>
      </c>
      <c r="M362" t="s">
        <v>54</v>
      </c>
      <c r="N362">
        <v>3.45</v>
      </c>
      <c r="O362">
        <v>2189</v>
      </c>
      <c r="P362">
        <v>1.41</v>
      </c>
      <c r="Q362">
        <v>303</v>
      </c>
      <c r="R362">
        <v>696</v>
      </c>
    </row>
    <row r="363" spans="1:18" hidden="1" x14ac:dyDescent="0.2">
      <c r="A363">
        <v>0</v>
      </c>
      <c r="B363" t="s">
        <v>53</v>
      </c>
      <c r="E363" t="s">
        <v>51</v>
      </c>
      <c r="F363">
        <v>552632</v>
      </c>
      <c r="G363">
        <v>4</v>
      </c>
      <c r="H363">
        <v>2</v>
      </c>
      <c r="I363">
        <v>353</v>
      </c>
      <c r="J363">
        <v>2004</v>
      </c>
      <c r="K363" s="4">
        <v>44249</v>
      </c>
      <c r="L363" t="s">
        <v>23</v>
      </c>
      <c r="M363" t="s">
        <v>45</v>
      </c>
      <c r="N363">
        <v>3.38</v>
      </c>
      <c r="O363">
        <v>1866</v>
      </c>
      <c r="P363">
        <v>2.12</v>
      </c>
      <c r="Q363">
        <v>309</v>
      </c>
      <c r="R363">
        <v>482</v>
      </c>
    </row>
    <row r="364" spans="1:18" x14ac:dyDescent="0.2">
      <c r="A364">
        <v>8</v>
      </c>
      <c r="B364" t="s">
        <v>104</v>
      </c>
      <c r="C364" t="str">
        <f>VLOOKUP(B364, 'Council Area'!$A$2:$B$51, 2)</f>
        <v>Northern Beaches Council</v>
      </c>
      <c r="D364" t="str">
        <f>_xlfn.XLOOKUP(B364, 'Council Area'!$A$2:$A$51, 'Council Area'!$B$2:$B$51)</f>
        <v>Northern Beaches Council</v>
      </c>
      <c r="E364" t="s">
        <v>36</v>
      </c>
      <c r="F364">
        <v>765646</v>
      </c>
      <c r="G364">
        <v>4</v>
      </c>
      <c r="H364">
        <v>2</v>
      </c>
      <c r="I364">
        <v>776</v>
      </c>
      <c r="J364">
        <v>1992</v>
      </c>
      <c r="K364" s="4">
        <v>45836</v>
      </c>
      <c r="L364" t="s">
        <v>30</v>
      </c>
      <c r="M364" t="s">
        <v>77</v>
      </c>
      <c r="N364">
        <v>2.76</v>
      </c>
      <c r="O364">
        <v>1733</v>
      </c>
      <c r="P364">
        <v>4.09</v>
      </c>
      <c r="Q364">
        <v>291</v>
      </c>
      <c r="R364">
        <v>309</v>
      </c>
    </row>
    <row r="365" spans="1:18" hidden="1" x14ac:dyDescent="0.2">
      <c r="A365">
        <v>1</v>
      </c>
      <c r="B365" t="s">
        <v>22</v>
      </c>
      <c r="E365" t="s">
        <v>51</v>
      </c>
      <c r="F365">
        <v>2412806</v>
      </c>
      <c r="G365">
        <v>1</v>
      </c>
      <c r="H365">
        <v>2</v>
      </c>
      <c r="I365">
        <v>182</v>
      </c>
      <c r="J365">
        <v>2022</v>
      </c>
      <c r="K365" s="4">
        <v>45710</v>
      </c>
      <c r="L365" t="s">
        <v>20</v>
      </c>
      <c r="M365" t="s">
        <v>35</v>
      </c>
      <c r="N365">
        <v>2.1800000000000002</v>
      </c>
      <c r="O365">
        <v>1704</v>
      </c>
      <c r="P365">
        <v>2.67</v>
      </c>
      <c r="Q365">
        <v>142</v>
      </c>
      <c r="R365">
        <v>526</v>
      </c>
    </row>
    <row r="366" spans="1:18" hidden="1" x14ac:dyDescent="0.2">
      <c r="A366">
        <v>5</v>
      </c>
      <c r="B366" t="s">
        <v>79</v>
      </c>
      <c r="E366" t="s">
        <v>29</v>
      </c>
      <c r="F366">
        <v>2576905</v>
      </c>
      <c r="G366">
        <v>3</v>
      </c>
      <c r="H366">
        <v>3</v>
      </c>
      <c r="I366">
        <v>131</v>
      </c>
      <c r="J366">
        <v>2002</v>
      </c>
      <c r="K366" s="4">
        <v>45322</v>
      </c>
      <c r="L366" t="s">
        <v>30</v>
      </c>
      <c r="M366" t="s">
        <v>27</v>
      </c>
      <c r="N366">
        <v>1.61</v>
      </c>
      <c r="O366">
        <v>1744</v>
      </c>
      <c r="P366">
        <v>3.92</v>
      </c>
      <c r="Q366">
        <v>92</v>
      </c>
      <c r="R366">
        <v>387</v>
      </c>
    </row>
    <row r="367" spans="1:18" hidden="1" x14ac:dyDescent="0.2">
      <c r="A367">
        <v>7</v>
      </c>
      <c r="B367" t="s">
        <v>96</v>
      </c>
      <c r="E367" t="s">
        <v>19</v>
      </c>
      <c r="F367">
        <v>1054420</v>
      </c>
      <c r="G367">
        <v>3</v>
      </c>
      <c r="H367">
        <v>1</v>
      </c>
      <c r="I367">
        <v>940</v>
      </c>
      <c r="J367">
        <v>1963</v>
      </c>
      <c r="K367" s="4">
        <v>45778</v>
      </c>
      <c r="L367" t="s">
        <v>30</v>
      </c>
      <c r="M367" t="s">
        <v>97</v>
      </c>
      <c r="N367">
        <v>2.11</v>
      </c>
      <c r="O367">
        <v>1664</v>
      </c>
      <c r="P367">
        <v>4.78</v>
      </c>
      <c r="Q367">
        <v>247</v>
      </c>
      <c r="R367">
        <v>365</v>
      </c>
    </row>
    <row r="368" spans="1:18" hidden="1" x14ac:dyDescent="0.2">
      <c r="A368">
        <v>7</v>
      </c>
      <c r="B368" t="s">
        <v>102</v>
      </c>
      <c r="E368" t="s">
        <v>19</v>
      </c>
      <c r="F368">
        <v>1706110</v>
      </c>
      <c r="G368">
        <v>1</v>
      </c>
      <c r="H368">
        <v>1</v>
      </c>
      <c r="I368">
        <v>581</v>
      </c>
      <c r="J368">
        <v>2009</v>
      </c>
      <c r="K368" s="4">
        <v>45011</v>
      </c>
      <c r="L368" t="s">
        <v>23</v>
      </c>
      <c r="M368" t="s">
        <v>77</v>
      </c>
      <c r="N368">
        <v>3.1</v>
      </c>
      <c r="O368">
        <v>1690</v>
      </c>
      <c r="P368">
        <v>3.27</v>
      </c>
      <c r="Q368">
        <v>51</v>
      </c>
      <c r="R368">
        <v>426</v>
      </c>
    </row>
    <row r="369" spans="1:18" hidden="1" x14ac:dyDescent="0.2">
      <c r="A369">
        <v>9</v>
      </c>
      <c r="B369" t="s">
        <v>92</v>
      </c>
      <c r="E369" t="s">
        <v>19</v>
      </c>
      <c r="F369">
        <v>1331114</v>
      </c>
      <c r="G369">
        <v>6</v>
      </c>
      <c r="H369">
        <v>3</v>
      </c>
      <c r="I369">
        <v>542</v>
      </c>
      <c r="J369">
        <v>1984</v>
      </c>
      <c r="K369" s="4">
        <v>44304</v>
      </c>
      <c r="L369" t="s">
        <v>26</v>
      </c>
      <c r="M369" t="s">
        <v>69</v>
      </c>
      <c r="N369">
        <v>2.2200000000000002</v>
      </c>
      <c r="O369">
        <v>2175</v>
      </c>
      <c r="P369">
        <v>3.57</v>
      </c>
      <c r="Q369">
        <v>330</v>
      </c>
      <c r="R369">
        <v>301</v>
      </c>
    </row>
    <row r="370" spans="1:18" hidden="1" x14ac:dyDescent="0.2">
      <c r="A370">
        <v>2</v>
      </c>
      <c r="B370" t="s">
        <v>72</v>
      </c>
      <c r="E370" t="s">
        <v>51</v>
      </c>
      <c r="F370">
        <v>1631409</v>
      </c>
      <c r="G370">
        <v>6</v>
      </c>
      <c r="H370">
        <v>3</v>
      </c>
      <c r="I370">
        <v>873</v>
      </c>
      <c r="J370">
        <v>1976</v>
      </c>
      <c r="K370" s="4">
        <v>44940</v>
      </c>
      <c r="L370" t="s">
        <v>23</v>
      </c>
      <c r="M370" t="s">
        <v>82</v>
      </c>
      <c r="N370">
        <v>1.75</v>
      </c>
      <c r="O370">
        <v>2191</v>
      </c>
      <c r="P370">
        <v>1.21</v>
      </c>
      <c r="Q370">
        <v>389</v>
      </c>
      <c r="R370">
        <v>335</v>
      </c>
    </row>
    <row r="371" spans="1:18" hidden="1" x14ac:dyDescent="0.2">
      <c r="A371">
        <v>2</v>
      </c>
      <c r="B371" t="s">
        <v>75</v>
      </c>
      <c r="E371" t="s">
        <v>51</v>
      </c>
      <c r="F371">
        <v>1734439</v>
      </c>
      <c r="G371">
        <v>2</v>
      </c>
      <c r="H371">
        <v>1</v>
      </c>
      <c r="I371">
        <v>793</v>
      </c>
      <c r="J371">
        <v>2010</v>
      </c>
      <c r="K371" s="4">
        <v>44293</v>
      </c>
      <c r="L371" t="s">
        <v>26</v>
      </c>
      <c r="M371" t="s">
        <v>40</v>
      </c>
      <c r="N371">
        <v>1.99</v>
      </c>
      <c r="O371">
        <v>862</v>
      </c>
      <c r="P371">
        <v>0.6</v>
      </c>
      <c r="Q371">
        <v>181</v>
      </c>
      <c r="R371">
        <v>319</v>
      </c>
    </row>
    <row r="372" spans="1:18" hidden="1" x14ac:dyDescent="0.2">
      <c r="A372">
        <v>9</v>
      </c>
      <c r="B372" t="s">
        <v>79</v>
      </c>
      <c r="E372" t="s">
        <v>19</v>
      </c>
      <c r="F372">
        <v>2488945</v>
      </c>
      <c r="G372">
        <v>4</v>
      </c>
      <c r="H372">
        <v>2</v>
      </c>
      <c r="I372">
        <v>340</v>
      </c>
      <c r="J372">
        <v>2018</v>
      </c>
      <c r="K372" s="4">
        <v>44508</v>
      </c>
      <c r="L372" t="s">
        <v>26</v>
      </c>
      <c r="M372" t="s">
        <v>21</v>
      </c>
      <c r="N372">
        <v>1.91</v>
      </c>
      <c r="O372">
        <v>891</v>
      </c>
      <c r="P372">
        <v>4.29</v>
      </c>
      <c r="Q372">
        <v>245</v>
      </c>
      <c r="R372">
        <v>428</v>
      </c>
    </row>
    <row r="373" spans="1:18" hidden="1" x14ac:dyDescent="0.2">
      <c r="A373">
        <v>2</v>
      </c>
      <c r="B373" t="s">
        <v>53</v>
      </c>
      <c r="E373" t="s">
        <v>51</v>
      </c>
      <c r="F373">
        <v>2246543</v>
      </c>
      <c r="G373">
        <v>1</v>
      </c>
      <c r="H373">
        <v>3</v>
      </c>
      <c r="I373">
        <v>536</v>
      </c>
      <c r="J373">
        <v>1969</v>
      </c>
      <c r="K373" s="4">
        <v>45884</v>
      </c>
      <c r="L373" t="s">
        <v>30</v>
      </c>
      <c r="M373" t="s">
        <v>97</v>
      </c>
      <c r="N373">
        <v>1.84</v>
      </c>
      <c r="O373">
        <v>2219</v>
      </c>
      <c r="P373">
        <v>0.5</v>
      </c>
      <c r="Q373">
        <v>83</v>
      </c>
      <c r="R373">
        <v>592</v>
      </c>
    </row>
    <row r="374" spans="1:18" hidden="1" x14ac:dyDescent="0.2">
      <c r="A374">
        <v>0</v>
      </c>
      <c r="B374" t="s">
        <v>32</v>
      </c>
      <c r="E374" t="s">
        <v>51</v>
      </c>
      <c r="F374">
        <v>1021565</v>
      </c>
      <c r="G374">
        <v>3</v>
      </c>
      <c r="H374">
        <v>1</v>
      </c>
      <c r="I374">
        <v>796</v>
      </c>
      <c r="J374">
        <v>1956</v>
      </c>
      <c r="K374" s="4">
        <v>44392</v>
      </c>
      <c r="L374" t="s">
        <v>23</v>
      </c>
      <c r="M374" t="s">
        <v>78</v>
      </c>
      <c r="N374">
        <v>2.13</v>
      </c>
      <c r="O374">
        <v>1472</v>
      </c>
      <c r="P374">
        <v>3.84</v>
      </c>
      <c r="Q374">
        <v>181</v>
      </c>
      <c r="R374">
        <v>462</v>
      </c>
    </row>
    <row r="375" spans="1:18" hidden="1" x14ac:dyDescent="0.2">
      <c r="A375">
        <v>7</v>
      </c>
      <c r="B375" t="s">
        <v>41</v>
      </c>
      <c r="E375" t="s">
        <v>51</v>
      </c>
      <c r="F375">
        <v>1698479</v>
      </c>
      <c r="G375">
        <v>2</v>
      </c>
      <c r="H375">
        <v>2</v>
      </c>
      <c r="I375">
        <v>901</v>
      </c>
      <c r="J375">
        <v>2005</v>
      </c>
      <c r="K375" s="4">
        <v>45845</v>
      </c>
      <c r="L375" t="s">
        <v>23</v>
      </c>
      <c r="M375" t="s">
        <v>58</v>
      </c>
      <c r="N375">
        <v>1.51</v>
      </c>
      <c r="O375">
        <v>1999</v>
      </c>
      <c r="P375">
        <v>3.76</v>
      </c>
      <c r="Q375">
        <v>116</v>
      </c>
      <c r="R375">
        <v>619</v>
      </c>
    </row>
    <row r="376" spans="1:18" hidden="1" x14ac:dyDescent="0.2">
      <c r="A376">
        <v>9</v>
      </c>
      <c r="B376" t="s">
        <v>81</v>
      </c>
      <c r="E376" t="s">
        <v>29</v>
      </c>
      <c r="F376">
        <v>1060663</v>
      </c>
      <c r="G376">
        <v>2</v>
      </c>
      <c r="H376">
        <v>1</v>
      </c>
      <c r="I376">
        <v>512</v>
      </c>
      <c r="J376">
        <v>1971</v>
      </c>
      <c r="K376" s="4">
        <v>45059</v>
      </c>
      <c r="L376" t="s">
        <v>23</v>
      </c>
      <c r="M376" t="s">
        <v>58</v>
      </c>
      <c r="N376">
        <v>1.84</v>
      </c>
      <c r="O376">
        <v>848</v>
      </c>
      <c r="P376">
        <v>3.08</v>
      </c>
      <c r="Q376">
        <v>132</v>
      </c>
      <c r="R376">
        <v>687</v>
      </c>
    </row>
    <row r="377" spans="1:18" hidden="1" x14ac:dyDescent="0.2">
      <c r="A377">
        <v>9</v>
      </c>
      <c r="B377" t="s">
        <v>98</v>
      </c>
      <c r="E377" t="s">
        <v>29</v>
      </c>
      <c r="F377">
        <v>1875342</v>
      </c>
      <c r="G377">
        <v>3</v>
      </c>
      <c r="H377">
        <v>1</v>
      </c>
      <c r="I377">
        <v>262</v>
      </c>
      <c r="J377">
        <v>2017</v>
      </c>
      <c r="K377" s="4">
        <v>45451</v>
      </c>
      <c r="L377" t="s">
        <v>30</v>
      </c>
      <c r="M377" t="s">
        <v>60</v>
      </c>
      <c r="N377">
        <v>2</v>
      </c>
      <c r="O377">
        <v>1658</v>
      </c>
      <c r="P377">
        <v>3.17</v>
      </c>
      <c r="Q377">
        <v>234</v>
      </c>
      <c r="R377">
        <v>387</v>
      </c>
    </row>
    <row r="378" spans="1:18" hidden="1" x14ac:dyDescent="0.2">
      <c r="A378">
        <v>0</v>
      </c>
      <c r="B378" t="s">
        <v>61</v>
      </c>
      <c r="E378" t="s">
        <v>19</v>
      </c>
      <c r="F378">
        <v>2731401</v>
      </c>
      <c r="G378">
        <v>1</v>
      </c>
      <c r="H378">
        <v>3</v>
      </c>
      <c r="I378">
        <v>178</v>
      </c>
      <c r="J378">
        <v>1959</v>
      </c>
      <c r="K378" s="4">
        <v>44227</v>
      </c>
      <c r="L378" t="s">
        <v>30</v>
      </c>
      <c r="M378" t="s">
        <v>68</v>
      </c>
      <c r="N378">
        <v>2.9</v>
      </c>
      <c r="O378">
        <v>1874</v>
      </c>
      <c r="P378">
        <v>2.9</v>
      </c>
      <c r="Q378">
        <v>83</v>
      </c>
      <c r="R378">
        <v>676</v>
      </c>
    </row>
    <row r="379" spans="1:18" hidden="1" x14ac:dyDescent="0.2">
      <c r="A379">
        <v>1</v>
      </c>
      <c r="B379" t="s">
        <v>75</v>
      </c>
      <c r="E379" t="s">
        <v>19</v>
      </c>
      <c r="F379">
        <v>1742431</v>
      </c>
      <c r="G379">
        <v>5</v>
      </c>
      <c r="H379">
        <v>2</v>
      </c>
      <c r="I379">
        <v>535</v>
      </c>
      <c r="J379">
        <v>1955</v>
      </c>
      <c r="K379" s="4">
        <v>44619</v>
      </c>
      <c r="L379" t="s">
        <v>30</v>
      </c>
      <c r="M379" t="s">
        <v>89</v>
      </c>
      <c r="N379">
        <v>2.56</v>
      </c>
      <c r="O379">
        <v>1070</v>
      </c>
      <c r="P379">
        <v>0.68</v>
      </c>
      <c r="Q379">
        <v>290</v>
      </c>
      <c r="R379">
        <v>301</v>
      </c>
    </row>
    <row r="380" spans="1:18" hidden="1" x14ac:dyDescent="0.2">
      <c r="A380">
        <v>2</v>
      </c>
      <c r="B380" t="s">
        <v>65</v>
      </c>
      <c r="E380" t="s">
        <v>19</v>
      </c>
      <c r="F380">
        <v>1443977</v>
      </c>
      <c r="G380">
        <v>6</v>
      </c>
      <c r="H380">
        <v>1</v>
      </c>
      <c r="I380">
        <v>712</v>
      </c>
      <c r="J380">
        <v>1964</v>
      </c>
      <c r="K380" s="4">
        <v>45772</v>
      </c>
      <c r="L380" t="s">
        <v>30</v>
      </c>
      <c r="M380" t="s">
        <v>37</v>
      </c>
      <c r="N380">
        <v>1.88</v>
      </c>
      <c r="O380">
        <v>2155</v>
      </c>
      <c r="P380">
        <v>3.2</v>
      </c>
      <c r="Q380">
        <v>371</v>
      </c>
      <c r="R380">
        <v>599</v>
      </c>
    </row>
    <row r="381" spans="1:18" hidden="1" x14ac:dyDescent="0.2">
      <c r="A381">
        <v>2</v>
      </c>
      <c r="B381" t="s">
        <v>64</v>
      </c>
      <c r="E381" t="s">
        <v>51</v>
      </c>
      <c r="F381">
        <v>593088</v>
      </c>
      <c r="G381">
        <v>2</v>
      </c>
      <c r="H381">
        <v>1</v>
      </c>
      <c r="I381">
        <v>652</v>
      </c>
      <c r="J381">
        <v>1973</v>
      </c>
      <c r="K381" s="4">
        <v>45411</v>
      </c>
      <c r="L381" t="s">
        <v>30</v>
      </c>
      <c r="M381" t="s">
        <v>68</v>
      </c>
      <c r="N381">
        <v>2.0699999999999998</v>
      </c>
      <c r="O381">
        <v>1850</v>
      </c>
      <c r="P381">
        <v>3.88</v>
      </c>
      <c r="Q381">
        <v>166</v>
      </c>
      <c r="R381">
        <v>405</v>
      </c>
    </row>
    <row r="382" spans="1:18" hidden="1" x14ac:dyDescent="0.2">
      <c r="A382">
        <v>5</v>
      </c>
      <c r="B382" t="s">
        <v>38</v>
      </c>
      <c r="E382" t="s">
        <v>29</v>
      </c>
      <c r="F382">
        <v>675998</v>
      </c>
      <c r="G382">
        <v>6</v>
      </c>
      <c r="H382">
        <v>3</v>
      </c>
      <c r="I382">
        <v>396</v>
      </c>
      <c r="J382">
        <v>2017</v>
      </c>
      <c r="K382" s="4">
        <v>45855</v>
      </c>
      <c r="L382" t="s">
        <v>26</v>
      </c>
      <c r="M382" t="s">
        <v>33</v>
      </c>
      <c r="N382">
        <v>2.2200000000000002</v>
      </c>
      <c r="O382">
        <v>2285</v>
      </c>
      <c r="P382">
        <v>2.4500000000000002</v>
      </c>
      <c r="Q382">
        <v>389</v>
      </c>
      <c r="R382">
        <v>512</v>
      </c>
    </row>
    <row r="383" spans="1:18" hidden="1" x14ac:dyDescent="0.2">
      <c r="A383">
        <v>1</v>
      </c>
      <c r="B383" t="s">
        <v>94</v>
      </c>
      <c r="E383" t="s">
        <v>51</v>
      </c>
      <c r="F383">
        <v>1743784</v>
      </c>
      <c r="G383">
        <v>3</v>
      </c>
      <c r="H383">
        <v>3</v>
      </c>
      <c r="I383">
        <v>380</v>
      </c>
      <c r="J383">
        <v>2007</v>
      </c>
      <c r="K383" s="4">
        <v>44351</v>
      </c>
      <c r="L383" t="s">
        <v>23</v>
      </c>
      <c r="M383" t="s">
        <v>85</v>
      </c>
      <c r="N383">
        <v>2.56</v>
      </c>
      <c r="O383">
        <v>1826</v>
      </c>
      <c r="P383">
        <v>4.0199999999999996</v>
      </c>
      <c r="Q383">
        <v>185</v>
      </c>
      <c r="R383">
        <v>370</v>
      </c>
    </row>
    <row r="384" spans="1:18" hidden="1" x14ac:dyDescent="0.2">
      <c r="A384">
        <v>7</v>
      </c>
      <c r="B384" t="s">
        <v>22</v>
      </c>
      <c r="E384" t="s">
        <v>29</v>
      </c>
      <c r="F384">
        <v>1936053</v>
      </c>
      <c r="G384">
        <v>4</v>
      </c>
      <c r="H384">
        <v>1</v>
      </c>
      <c r="I384">
        <v>396</v>
      </c>
      <c r="J384">
        <v>1958</v>
      </c>
      <c r="K384" s="4">
        <v>45305</v>
      </c>
      <c r="L384" t="s">
        <v>20</v>
      </c>
      <c r="M384" t="s">
        <v>78</v>
      </c>
      <c r="N384">
        <v>2.99</v>
      </c>
      <c r="O384">
        <v>2467</v>
      </c>
      <c r="P384">
        <v>1.99</v>
      </c>
      <c r="Q384">
        <v>320</v>
      </c>
      <c r="R384">
        <v>604</v>
      </c>
    </row>
    <row r="385" spans="1:18" hidden="1" x14ac:dyDescent="0.2">
      <c r="A385">
        <v>4</v>
      </c>
      <c r="B385" t="s">
        <v>93</v>
      </c>
      <c r="E385" t="s">
        <v>51</v>
      </c>
      <c r="F385">
        <v>894240</v>
      </c>
      <c r="G385">
        <v>2</v>
      </c>
      <c r="H385">
        <v>2</v>
      </c>
      <c r="I385">
        <v>146</v>
      </c>
      <c r="J385">
        <v>1964</v>
      </c>
      <c r="K385" s="4">
        <v>44126</v>
      </c>
      <c r="L385" t="s">
        <v>26</v>
      </c>
      <c r="M385" t="s">
        <v>45</v>
      </c>
      <c r="N385">
        <v>1.92</v>
      </c>
      <c r="O385">
        <v>2436</v>
      </c>
      <c r="P385">
        <v>0.12</v>
      </c>
      <c r="Q385">
        <v>83</v>
      </c>
      <c r="R385">
        <v>431</v>
      </c>
    </row>
    <row r="386" spans="1:18" hidden="1" x14ac:dyDescent="0.2">
      <c r="A386">
        <v>6</v>
      </c>
      <c r="B386" t="s">
        <v>91</v>
      </c>
      <c r="E386" t="s">
        <v>29</v>
      </c>
      <c r="F386">
        <v>1670656</v>
      </c>
      <c r="G386">
        <v>1</v>
      </c>
      <c r="H386">
        <v>2</v>
      </c>
      <c r="I386">
        <v>542</v>
      </c>
      <c r="J386">
        <v>1981</v>
      </c>
      <c r="K386" s="4">
        <v>44354</v>
      </c>
      <c r="L386" t="s">
        <v>20</v>
      </c>
      <c r="M386" t="s">
        <v>42</v>
      </c>
      <c r="N386">
        <v>3.09</v>
      </c>
      <c r="O386">
        <v>2062</v>
      </c>
      <c r="P386">
        <v>3.17</v>
      </c>
      <c r="Q386">
        <v>134</v>
      </c>
      <c r="R386">
        <v>478</v>
      </c>
    </row>
    <row r="387" spans="1:18" hidden="1" x14ac:dyDescent="0.2">
      <c r="A387">
        <v>5</v>
      </c>
      <c r="B387" t="s">
        <v>49</v>
      </c>
      <c r="E387" t="s">
        <v>36</v>
      </c>
      <c r="F387">
        <v>668018</v>
      </c>
      <c r="G387">
        <v>4</v>
      </c>
      <c r="H387">
        <v>3</v>
      </c>
      <c r="I387">
        <v>527</v>
      </c>
      <c r="J387">
        <v>1970</v>
      </c>
      <c r="K387" s="4">
        <v>45128</v>
      </c>
      <c r="L387" t="s">
        <v>26</v>
      </c>
      <c r="M387" t="s">
        <v>66</v>
      </c>
      <c r="N387">
        <v>1.75</v>
      </c>
      <c r="O387">
        <v>1018</v>
      </c>
      <c r="P387">
        <v>4.66</v>
      </c>
      <c r="Q387">
        <v>342</v>
      </c>
      <c r="R387">
        <v>385</v>
      </c>
    </row>
    <row r="388" spans="1:18" hidden="1" x14ac:dyDescent="0.2">
      <c r="A388">
        <v>5</v>
      </c>
      <c r="B388" t="s">
        <v>32</v>
      </c>
      <c r="E388" t="s">
        <v>103</v>
      </c>
      <c r="F388">
        <v>2215007</v>
      </c>
      <c r="G388">
        <v>0</v>
      </c>
      <c r="H388">
        <v>1</v>
      </c>
      <c r="I388">
        <v>437</v>
      </c>
      <c r="J388">
        <v>1971</v>
      </c>
      <c r="K388" s="4">
        <v>44146</v>
      </c>
      <c r="L388" t="s">
        <v>30</v>
      </c>
      <c r="M388" t="s">
        <v>35</v>
      </c>
      <c r="N388">
        <v>1.94</v>
      </c>
      <c r="O388">
        <v>2287</v>
      </c>
      <c r="P388">
        <v>3.05</v>
      </c>
      <c r="Q388">
        <v>60</v>
      </c>
      <c r="R388">
        <v>660</v>
      </c>
    </row>
    <row r="389" spans="1:18" hidden="1" x14ac:dyDescent="0.2">
      <c r="A389">
        <v>2</v>
      </c>
      <c r="B389" t="s">
        <v>79</v>
      </c>
      <c r="E389" t="s">
        <v>29</v>
      </c>
      <c r="F389">
        <v>1237530</v>
      </c>
      <c r="G389">
        <v>5</v>
      </c>
      <c r="H389">
        <v>1</v>
      </c>
      <c r="I389">
        <v>65</v>
      </c>
      <c r="J389">
        <v>1996</v>
      </c>
      <c r="K389" s="4">
        <v>45469</v>
      </c>
      <c r="L389" t="s">
        <v>23</v>
      </c>
      <c r="M389" t="s">
        <v>82</v>
      </c>
      <c r="N389">
        <v>1.96</v>
      </c>
      <c r="O389">
        <v>1531</v>
      </c>
      <c r="P389">
        <v>1.1599999999999999</v>
      </c>
      <c r="Q389">
        <v>319</v>
      </c>
      <c r="R389">
        <v>672</v>
      </c>
    </row>
    <row r="390" spans="1:18" hidden="1" x14ac:dyDescent="0.2">
      <c r="A390">
        <v>1</v>
      </c>
      <c r="B390" t="s">
        <v>95</v>
      </c>
      <c r="E390" t="s">
        <v>36</v>
      </c>
      <c r="F390">
        <v>2690265</v>
      </c>
      <c r="G390">
        <v>3</v>
      </c>
      <c r="H390">
        <v>2</v>
      </c>
      <c r="I390">
        <v>214</v>
      </c>
      <c r="J390">
        <v>1966</v>
      </c>
      <c r="K390" s="4">
        <v>44578</v>
      </c>
      <c r="L390" t="s">
        <v>23</v>
      </c>
      <c r="M390" t="s">
        <v>24</v>
      </c>
      <c r="N390">
        <v>3.11</v>
      </c>
      <c r="O390">
        <v>2178</v>
      </c>
      <c r="P390">
        <v>0.9</v>
      </c>
      <c r="Q390">
        <v>195</v>
      </c>
      <c r="R390">
        <v>532</v>
      </c>
    </row>
    <row r="391" spans="1:18" hidden="1" x14ac:dyDescent="0.2">
      <c r="A391">
        <v>2</v>
      </c>
      <c r="B391" t="s">
        <v>92</v>
      </c>
      <c r="E391" t="s">
        <v>51</v>
      </c>
      <c r="F391">
        <v>806896</v>
      </c>
      <c r="G391">
        <v>1</v>
      </c>
      <c r="H391">
        <v>2</v>
      </c>
      <c r="I391">
        <v>366</v>
      </c>
      <c r="J391">
        <v>1969</v>
      </c>
      <c r="K391" s="4">
        <v>44743</v>
      </c>
      <c r="L391" t="s">
        <v>26</v>
      </c>
      <c r="M391" t="s">
        <v>54</v>
      </c>
      <c r="N391">
        <v>3.2</v>
      </c>
      <c r="O391">
        <v>1528</v>
      </c>
      <c r="P391">
        <v>4.63</v>
      </c>
      <c r="Q391">
        <v>82</v>
      </c>
      <c r="R391">
        <v>609</v>
      </c>
    </row>
    <row r="392" spans="1:18" hidden="1" x14ac:dyDescent="0.2">
      <c r="A392">
        <v>1</v>
      </c>
      <c r="B392" t="s">
        <v>32</v>
      </c>
      <c r="E392" t="s">
        <v>36</v>
      </c>
      <c r="F392">
        <v>2525698</v>
      </c>
      <c r="G392">
        <v>3</v>
      </c>
      <c r="H392">
        <v>2</v>
      </c>
      <c r="I392">
        <v>656</v>
      </c>
      <c r="J392">
        <v>1969</v>
      </c>
      <c r="K392" s="4">
        <v>45499</v>
      </c>
      <c r="L392" t="s">
        <v>30</v>
      </c>
      <c r="M392" t="s">
        <v>58</v>
      </c>
      <c r="N392">
        <v>3.46</v>
      </c>
      <c r="O392">
        <v>1147</v>
      </c>
      <c r="P392">
        <v>0.31</v>
      </c>
      <c r="Q392">
        <v>215</v>
      </c>
      <c r="R392">
        <v>392</v>
      </c>
    </row>
    <row r="393" spans="1:18" hidden="1" x14ac:dyDescent="0.2">
      <c r="A393">
        <v>3</v>
      </c>
      <c r="B393" t="s">
        <v>95</v>
      </c>
      <c r="E393" t="s">
        <v>36</v>
      </c>
      <c r="F393">
        <v>2854342</v>
      </c>
      <c r="G393">
        <v>4</v>
      </c>
      <c r="H393">
        <v>2</v>
      </c>
      <c r="I393">
        <v>282</v>
      </c>
      <c r="J393">
        <v>1994</v>
      </c>
      <c r="K393" s="4">
        <v>45010</v>
      </c>
      <c r="L393" t="s">
        <v>20</v>
      </c>
      <c r="M393" t="s">
        <v>59</v>
      </c>
      <c r="N393">
        <v>2.08</v>
      </c>
      <c r="O393">
        <v>1189</v>
      </c>
      <c r="P393">
        <v>4.8499999999999996</v>
      </c>
      <c r="Q393">
        <v>189</v>
      </c>
      <c r="R393">
        <v>665</v>
      </c>
    </row>
    <row r="394" spans="1:18" hidden="1" x14ac:dyDescent="0.2">
      <c r="A394">
        <v>4</v>
      </c>
      <c r="B394" t="s">
        <v>65</v>
      </c>
      <c r="E394" t="s">
        <v>36</v>
      </c>
      <c r="F394">
        <v>823817</v>
      </c>
      <c r="G394">
        <v>4</v>
      </c>
      <c r="H394">
        <v>2</v>
      </c>
      <c r="I394">
        <v>663</v>
      </c>
      <c r="J394">
        <v>2002</v>
      </c>
      <c r="K394" s="4">
        <v>44500</v>
      </c>
      <c r="L394" t="s">
        <v>30</v>
      </c>
      <c r="M394" t="s">
        <v>77</v>
      </c>
      <c r="N394">
        <v>2.7</v>
      </c>
      <c r="O394">
        <v>1627</v>
      </c>
      <c r="P394">
        <v>4.2300000000000004</v>
      </c>
      <c r="Q394">
        <v>248</v>
      </c>
      <c r="R394">
        <v>532</v>
      </c>
    </row>
    <row r="395" spans="1:18" hidden="1" x14ac:dyDescent="0.2">
      <c r="A395">
        <v>1</v>
      </c>
      <c r="B395" t="s">
        <v>71</v>
      </c>
      <c r="E395" t="s">
        <v>19</v>
      </c>
      <c r="F395">
        <v>2649840</v>
      </c>
      <c r="G395">
        <v>2</v>
      </c>
      <c r="H395">
        <v>3</v>
      </c>
      <c r="I395">
        <v>581</v>
      </c>
      <c r="J395">
        <v>2000</v>
      </c>
      <c r="K395" s="4">
        <v>44446</v>
      </c>
      <c r="L395" t="s">
        <v>30</v>
      </c>
      <c r="M395" t="s">
        <v>89</v>
      </c>
      <c r="N395">
        <v>2.7</v>
      </c>
      <c r="O395">
        <v>1796</v>
      </c>
      <c r="P395">
        <v>3.62</v>
      </c>
      <c r="Q395">
        <v>67</v>
      </c>
      <c r="R395">
        <v>360</v>
      </c>
    </row>
    <row r="396" spans="1:18" hidden="1" x14ac:dyDescent="0.2">
      <c r="A396">
        <v>3</v>
      </c>
      <c r="B396" t="s">
        <v>81</v>
      </c>
      <c r="E396" t="s">
        <v>19</v>
      </c>
      <c r="F396">
        <v>2654387</v>
      </c>
      <c r="G396">
        <v>0</v>
      </c>
      <c r="H396">
        <v>1</v>
      </c>
      <c r="I396">
        <v>763</v>
      </c>
      <c r="J396">
        <v>1990</v>
      </c>
      <c r="K396" s="4">
        <v>45585</v>
      </c>
      <c r="L396" t="s">
        <v>23</v>
      </c>
      <c r="M396" t="s">
        <v>68</v>
      </c>
      <c r="N396">
        <v>2.42</v>
      </c>
      <c r="O396">
        <v>1602</v>
      </c>
      <c r="P396">
        <v>0.12</v>
      </c>
      <c r="Q396">
        <v>40</v>
      </c>
      <c r="R396">
        <v>469</v>
      </c>
    </row>
    <row r="397" spans="1:18" hidden="1" x14ac:dyDescent="0.2">
      <c r="A397">
        <v>7</v>
      </c>
      <c r="B397" t="s">
        <v>43</v>
      </c>
      <c r="E397" t="s">
        <v>51</v>
      </c>
      <c r="F397">
        <v>2972240</v>
      </c>
      <c r="G397">
        <v>4</v>
      </c>
      <c r="H397">
        <v>1</v>
      </c>
      <c r="I397">
        <v>944</v>
      </c>
      <c r="J397">
        <v>2000</v>
      </c>
      <c r="K397" s="4">
        <v>45452</v>
      </c>
      <c r="L397" t="s">
        <v>20</v>
      </c>
      <c r="M397" t="s">
        <v>76</v>
      </c>
      <c r="N397">
        <v>2.94</v>
      </c>
      <c r="O397">
        <v>1489</v>
      </c>
      <c r="P397">
        <v>2.66</v>
      </c>
      <c r="Q397">
        <v>244</v>
      </c>
      <c r="R397">
        <v>638</v>
      </c>
    </row>
    <row r="398" spans="1:18" hidden="1" x14ac:dyDescent="0.2">
      <c r="A398">
        <v>2</v>
      </c>
      <c r="B398" t="s">
        <v>44</v>
      </c>
      <c r="E398" t="s">
        <v>19</v>
      </c>
      <c r="F398">
        <v>1937005</v>
      </c>
      <c r="G398">
        <v>1</v>
      </c>
      <c r="H398">
        <v>1</v>
      </c>
      <c r="I398">
        <v>770</v>
      </c>
      <c r="J398">
        <v>1961</v>
      </c>
      <c r="K398" s="4">
        <v>45326</v>
      </c>
      <c r="L398" t="s">
        <v>26</v>
      </c>
      <c r="M398" t="s">
        <v>97</v>
      </c>
      <c r="N398">
        <v>2.78</v>
      </c>
      <c r="O398">
        <v>2120</v>
      </c>
      <c r="P398">
        <v>1.34</v>
      </c>
      <c r="Q398">
        <v>84</v>
      </c>
      <c r="R398">
        <v>506</v>
      </c>
    </row>
    <row r="399" spans="1:18" hidden="1" x14ac:dyDescent="0.2">
      <c r="A399">
        <v>4</v>
      </c>
      <c r="B399" t="s">
        <v>83</v>
      </c>
      <c r="E399" t="s">
        <v>29</v>
      </c>
      <c r="F399">
        <v>2508612</v>
      </c>
      <c r="G399">
        <v>1</v>
      </c>
      <c r="H399">
        <v>3</v>
      </c>
      <c r="I399">
        <v>69</v>
      </c>
      <c r="J399">
        <v>1989</v>
      </c>
      <c r="K399" s="4">
        <v>44691</v>
      </c>
      <c r="L399" t="s">
        <v>30</v>
      </c>
      <c r="M399" t="s">
        <v>24</v>
      </c>
      <c r="N399">
        <v>3.43</v>
      </c>
      <c r="O399">
        <v>2332</v>
      </c>
      <c r="P399">
        <v>3.67</v>
      </c>
      <c r="Q399">
        <v>50</v>
      </c>
      <c r="R399">
        <v>564</v>
      </c>
    </row>
    <row r="400" spans="1:18" hidden="1" x14ac:dyDescent="0.2">
      <c r="A400">
        <v>4</v>
      </c>
      <c r="B400" t="s">
        <v>87</v>
      </c>
      <c r="E400" t="s">
        <v>29</v>
      </c>
      <c r="F400">
        <v>2419234</v>
      </c>
      <c r="G400">
        <v>3</v>
      </c>
      <c r="H400">
        <v>2</v>
      </c>
      <c r="I400">
        <v>326</v>
      </c>
      <c r="J400">
        <v>1952</v>
      </c>
      <c r="K400" s="4">
        <v>44536</v>
      </c>
      <c r="L400" t="s">
        <v>20</v>
      </c>
      <c r="M400" t="s">
        <v>33</v>
      </c>
      <c r="N400">
        <v>1.54</v>
      </c>
      <c r="O400">
        <v>2305</v>
      </c>
      <c r="P400">
        <v>3.9</v>
      </c>
      <c r="Q400">
        <v>128</v>
      </c>
      <c r="R400">
        <v>698</v>
      </c>
    </row>
    <row r="401" spans="1:18" hidden="1" x14ac:dyDescent="0.2">
      <c r="A401">
        <v>7</v>
      </c>
      <c r="B401" t="s">
        <v>94</v>
      </c>
      <c r="E401" t="s">
        <v>51</v>
      </c>
      <c r="F401">
        <v>823952</v>
      </c>
      <c r="G401">
        <v>2</v>
      </c>
      <c r="H401">
        <v>2</v>
      </c>
      <c r="I401">
        <v>184</v>
      </c>
      <c r="J401">
        <v>2003</v>
      </c>
      <c r="K401" s="4">
        <v>44375</v>
      </c>
      <c r="L401" t="s">
        <v>30</v>
      </c>
      <c r="M401" t="s">
        <v>74</v>
      </c>
      <c r="N401">
        <v>3.12</v>
      </c>
      <c r="O401">
        <v>2146</v>
      </c>
      <c r="P401">
        <v>4.09</v>
      </c>
      <c r="Q401">
        <v>181</v>
      </c>
      <c r="R401">
        <v>603</v>
      </c>
    </row>
    <row r="402" spans="1:18" x14ac:dyDescent="0.2">
      <c r="A402">
        <v>8</v>
      </c>
      <c r="B402" t="s">
        <v>49</v>
      </c>
      <c r="C402" t="str">
        <f>VLOOKUP(B402, 'Council Area'!$A$2:$B$51, 2)</f>
        <v>Inner West Council</v>
      </c>
      <c r="D402" t="str">
        <f>_xlfn.XLOOKUP(B402, 'Council Area'!$A$2:$A$51, 'Council Area'!$B$2:$B$51)</f>
        <v>Inner West Council</v>
      </c>
      <c r="E402" t="s">
        <v>19</v>
      </c>
      <c r="F402">
        <v>533729</v>
      </c>
      <c r="G402">
        <v>5</v>
      </c>
      <c r="H402">
        <v>2</v>
      </c>
      <c r="I402">
        <v>472</v>
      </c>
      <c r="J402">
        <v>2013</v>
      </c>
      <c r="K402" s="4">
        <v>45666</v>
      </c>
      <c r="L402" t="s">
        <v>20</v>
      </c>
      <c r="M402" t="s">
        <v>21</v>
      </c>
      <c r="N402">
        <v>1.91</v>
      </c>
      <c r="O402">
        <v>1523</v>
      </c>
      <c r="P402">
        <v>0.12</v>
      </c>
      <c r="Q402">
        <v>396</v>
      </c>
      <c r="R402">
        <v>496</v>
      </c>
    </row>
    <row r="403" spans="1:18" hidden="1" x14ac:dyDescent="0.2">
      <c r="A403">
        <v>4</v>
      </c>
      <c r="B403" t="s">
        <v>96</v>
      </c>
      <c r="E403" t="s">
        <v>51</v>
      </c>
      <c r="F403">
        <v>2870727</v>
      </c>
      <c r="G403">
        <v>3</v>
      </c>
      <c r="H403">
        <v>2</v>
      </c>
      <c r="I403">
        <v>587</v>
      </c>
      <c r="J403">
        <v>1968</v>
      </c>
      <c r="K403" s="4">
        <v>45247</v>
      </c>
      <c r="L403" t="s">
        <v>26</v>
      </c>
      <c r="M403" t="s">
        <v>69</v>
      </c>
      <c r="N403">
        <v>2.35</v>
      </c>
      <c r="O403">
        <v>2219</v>
      </c>
      <c r="P403">
        <v>3.6</v>
      </c>
      <c r="Q403">
        <v>133</v>
      </c>
      <c r="R403">
        <v>351</v>
      </c>
    </row>
    <row r="404" spans="1:18" hidden="1" x14ac:dyDescent="0.2">
      <c r="A404">
        <v>1</v>
      </c>
      <c r="B404" t="s">
        <v>39</v>
      </c>
      <c r="E404" t="s">
        <v>51</v>
      </c>
      <c r="F404">
        <v>2975534</v>
      </c>
      <c r="G404">
        <v>4</v>
      </c>
      <c r="H404">
        <v>2</v>
      </c>
      <c r="I404">
        <v>331</v>
      </c>
      <c r="J404">
        <v>1956</v>
      </c>
      <c r="K404" s="4">
        <v>44796</v>
      </c>
      <c r="L404" t="s">
        <v>23</v>
      </c>
      <c r="M404" t="s">
        <v>97</v>
      </c>
      <c r="N404">
        <v>2.2200000000000002</v>
      </c>
      <c r="O404">
        <v>887</v>
      </c>
      <c r="P404">
        <v>4.5199999999999996</v>
      </c>
      <c r="Q404">
        <v>339</v>
      </c>
      <c r="R404">
        <v>313</v>
      </c>
    </row>
    <row r="405" spans="1:18" hidden="1" x14ac:dyDescent="0.2">
      <c r="A405">
        <v>5</v>
      </c>
      <c r="B405" t="s">
        <v>88</v>
      </c>
      <c r="E405" t="s">
        <v>51</v>
      </c>
      <c r="F405">
        <v>1358884</v>
      </c>
      <c r="G405">
        <v>3</v>
      </c>
      <c r="H405">
        <v>1</v>
      </c>
      <c r="I405">
        <v>329</v>
      </c>
      <c r="J405">
        <v>1954</v>
      </c>
      <c r="K405" s="4">
        <v>44872</v>
      </c>
      <c r="L405" t="s">
        <v>23</v>
      </c>
      <c r="M405" t="s">
        <v>97</v>
      </c>
      <c r="N405">
        <v>1.64</v>
      </c>
      <c r="O405">
        <v>892</v>
      </c>
      <c r="P405">
        <v>2.4300000000000002</v>
      </c>
      <c r="Q405">
        <v>291</v>
      </c>
      <c r="R405">
        <v>311</v>
      </c>
    </row>
    <row r="406" spans="1:18" hidden="1" x14ac:dyDescent="0.2">
      <c r="A406">
        <v>0</v>
      </c>
      <c r="B406" t="s">
        <v>57</v>
      </c>
      <c r="E406" t="s">
        <v>51</v>
      </c>
      <c r="F406">
        <v>1023361</v>
      </c>
      <c r="G406">
        <v>-2</v>
      </c>
      <c r="H406">
        <v>3</v>
      </c>
      <c r="I406">
        <v>917</v>
      </c>
      <c r="J406">
        <v>1994</v>
      </c>
      <c r="K406" s="4">
        <v>45469</v>
      </c>
      <c r="L406" t="s">
        <v>20</v>
      </c>
      <c r="M406" t="s">
        <v>58</v>
      </c>
      <c r="N406">
        <v>2.68</v>
      </c>
      <c r="O406">
        <v>2242</v>
      </c>
      <c r="P406">
        <v>3.18</v>
      </c>
      <c r="Q406">
        <v>276</v>
      </c>
      <c r="R406">
        <v>572</v>
      </c>
    </row>
    <row r="407" spans="1:18" hidden="1" x14ac:dyDescent="0.2">
      <c r="A407">
        <v>5</v>
      </c>
      <c r="B407" t="s">
        <v>95</v>
      </c>
      <c r="E407" t="s">
        <v>51</v>
      </c>
      <c r="F407">
        <v>1061368</v>
      </c>
      <c r="G407">
        <v>6</v>
      </c>
      <c r="H407">
        <v>1</v>
      </c>
      <c r="I407">
        <v>590</v>
      </c>
      <c r="J407">
        <v>2000</v>
      </c>
      <c r="K407" s="4">
        <v>44388</v>
      </c>
      <c r="L407" t="s">
        <v>26</v>
      </c>
      <c r="M407" t="s">
        <v>52</v>
      </c>
      <c r="N407">
        <v>2.4</v>
      </c>
      <c r="O407">
        <v>1758</v>
      </c>
      <c r="P407">
        <v>1.94</v>
      </c>
      <c r="Q407">
        <v>348</v>
      </c>
      <c r="R407">
        <v>364</v>
      </c>
    </row>
    <row r="408" spans="1:18" hidden="1" x14ac:dyDescent="0.2">
      <c r="A408">
        <v>3</v>
      </c>
      <c r="B408" t="s">
        <v>75</v>
      </c>
      <c r="E408" t="s">
        <v>19</v>
      </c>
      <c r="F408">
        <v>2395106</v>
      </c>
      <c r="G408">
        <v>3</v>
      </c>
      <c r="H408">
        <v>1</v>
      </c>
      <c r="I408">
        <v>903</v>
      </c>
      <c r="J408">
        <v>2005</v>
      </c>
      <c r="K408" s="4">
        <v>44087</v>
      </c>
      <c r="L408" t="s">
        <v>23</v>
      </c>
      <c r="M408" t="s">
        <v>37</v>
      </c>
      <c r="N408">
        <v>2.54</v>
      </c>
      <c r="O408">
        <v>1022</v>
      </c>
      <c r="P408">
        <v>3.57</v>
      </c>
      <c r="Q408">
        <v>93</v>
      </c>
      <c r="R408">
        <v>644</v>
      </c>
    </row>
    <row r="409" spans="1:18" hidden="1" x14ac:dyDescent="0.2">
      <c r="A409">
        <v>7</v>
      </c>
      <c r="B409" t="s">
        <v>90</v>
      </c>
      <c r="E409" t="s">
        <v>51</v>
      </c>
      <c r="F409">
        <v>1718826</v>
      </c>
      <c r="G409">
        <v>1</v>
      </c>
      <c r="H409">
        <v>1</v>
      </c>
      <c r="I409">
        <v>916</v>
      </c>
      <c r="J409">
        <v>2017</v>
      </c>
      <c r="K409" s="4">
        <v>45823</v>
      </c>
      <c r="L409" t="s">
        <v>26</v>
      </c>
      <c r="M409" t="s">
        <v>35</v>
      </c>
      <c r="N409">
        <v>2.1</v>
      </c>
      <c r="O409">
        <v>2309</v>
      </c>
      <c r="P409">
        <v>1.87</v>
      </c>
      <c r="Q409">
        <v>122</v>
      </c>
      <c r="R409">
        <v>361</v>
      </c>
    </row>
    <row r="410" spans="1:18" hidden="1" x14ac:dyDescent="0.2">
      <c r="A410">
        <v>3</v>
      </c>
      <c r="B410" t="s">
        <v>53</v>
      </c>
      <c r="E410" t="s">
        <v>19</v>
      </c>
      <c r="F410">
        <v>2857533</v>
      </c>
      <c r="G410">
        <v>3</v>
      </c>
      <c r="H410">
        <v>2</v>
      </c>
      <c r="I410">
        <v>924</v>
      </c>
      <c r="J410">
        <v>2009</v>
      </c>
      <c r="K410" s="4">
        <v>44987</v>
      </c>
      <c r="L410" t="s">
        <v>23</v>
      </c>
      <c r="M410" t="s">
        <v>70</v>
      </c>
      <c r="N410">
        <v>3.12</v>
      </c>
      <c r="O410">
        <v>1580</v>
      </c>
      <c r="P410">
        <v>4.2</v>
      </c>
      <c r="Q410">
        <v>255</v>
      </c>
      <c r="R410">
        <v>589</v>
      </c>
    </row>
    <row r="411" spans="1:18" hidden="1" x14ac:dyDescent="0.2">
      <c r="A411">
        <v>1</v>
      </c>
      <c r="B411" t="s">
        <v>91</v>
      </c>
      <c r="E411" t="s">
        <v>51</v>
      </c>
      <c r="F411">
        <v>2631961</v>
      </c>
      <c r="G411">
        <v>1</v>
      </c>
      <c r="H411">
        <v>3</v>
      </c>
      <c r="I411">
        <v>845</v>
      </c>
      <c r="J411">
        <v>2001</v>
      </c>
      <c r="K411" s="4">
        <v>44198</v>
      </c>
      <c r="L411" t="s">
        <v>23</v>
      </c>
      <c r="M411" t="s">
        <v>97</v>
      </c>
      <c r="N411">
        <v>2.15</v>
      </c>
      <c r="O411">
        <v>2462</v>
      </c>
      <c r="P411">
        <v>1.31</v>
      </c>
      <c r="Q411">
        <v>148</v>
      </c>
      <c r="R411">
        <v>506</v>
      </c>
    </row>
    <row r="412" spans="1:18" hidden="1" x14ac:dyDescent="0.2">
      <c r="A412">
        <v>9</v>
      </c>
      <c r="B412" t="s">
        <v>99</v>
      </c>
      <c r="E412" t="s">
        <v>36</v>
      </c>
      <c r="F412">
        <v>1414764</v>
      </c>
      <c r="G412">
        <v>3</v>
      </c>
      <c r="H412">
        <v>2</v>
      </c>
      <c r="I412">
        <v>177</v>
      </c>
      <c r="J412">
        <v>1981</v>
      </c>
      <c r="K412" s="4">
        <v>45192</v>
      </c>
      <c r="L412" t="s">
        <v>30</v>
      </c>
      <c r="M412" t="s">
        <v>37</v>
      </c>
      <c r="N412">
        <v>2.02</v>
      </c>
      <c r="O412">
        <v>1990</v>
      </c>
      <c r="P412">
        <v>4.09</v>
      </c>
      <c r="Q412">
        <v>83</v>
      </c>
      <c r="R412">
        <v>693</v>
      </c>
    </row>
    <row r="413" spans="1:18" hidden="1" x14ac:dyDescent="0.2">
      <c r="A413">
        <v>4</v>
      </c>
      <c r="B413" t="s">
        <v>86</v>
      </c>
      <c r="E413" t="s">
        <v>29</v>
      </c>
      <c r="F413">
        <v>783424</v>
      </c>
      <c r="G413">
        <v>0</v>
      </c>
      <c r="H413">
        <v>3</v>
      </c>
      <c r="I413">
        <v>313</v>
      </c>
      <c r="J413">
        <v>1963</v>
      </c>
      <c r="K413" s="4">
        <v>45259</v>
      </c>
      <c r="L413" t="s">
        <v>26</v>
      </c>
      <c r="M413" t="s">
        <v>97</v>
      </c>
      <c r="N413">
        <v>2.2799999999999998</v>
      </c>
      <c r="O413">
        <v>1258</v>
      </c>
      <c r="P413">
        <v>1.66</v>
      </c>
      <c r="Q413">
        <v>42</v>
      </c>
      <c r="R413">
        <v>344</v>
      </c>
    </row>
    <row r="414" spans="1:18" hidden="1" x14ac:dyDescent="0.2">
      <c r="A414">
        <v>5</v>
      </c>
      <c r="B414" t="s">
        <v>50</v>
      </c>
      <c r="E414" t="s">
        <v>19</v>
      </c>
      <c r="F414">
        <v>414771</v>
      </c>
      <c r="G414">
        <v>6</v>
      </c>
      <c r="H414">
        <v>1</v>
      </c>
      <c r="I414">
        <v>225</v>
      </c>
      <c r="J414">
        <v>1997</v>
      </c>
      <c r="K414" s="4">
        <v>44815</v>
      </c>
      <c r="L414" t="s">
        <v>23</v>
      </c>
      <c r="M414" t="s">
        <v>89</v>
      </c>
      <c r="N414">
        <v>2.59</v>
      </c>
      <c r="O414">
        <v>1036</v>
      </c>
      <c r="P414">
        <v>4.84</v>
      </c>
      <c r="Q414">
        <v>354</v>
      </c>
      <c r="R414">
        <v>675</v>
      </c>
    </row>
    <row r="415" spans="1:18" hidden="1" x14ac:dyDescent="0.2">
      <c r="A415">
        <v>6</v>
      </c>
      <c r="B415" t="s">
        <v>104</v>
      </c>
      <c r="E415" t="s">
        <v>19</v>
      </c>
      <c r="F415">
        <v>2045717</v>
      </c>
      <c r="G415">
        <v>3</v>
      </c>
      <c r="H415">
        <v>1</v>
      </c>
      <c r="I415">
        <v>129</v>
      </c>
      <c r="J415">
        <v>1983</v>
      </c>
      <c r="K415" s="4">
        <v>44509</v>
      </c>
      <c r="L415" t="s">
        <v>30</v>
      </c>
      <c r="M415" t="s">
        <v>60</v>
      </c>
      <c r="N415">
        <v>2.2400000000000002</v>
      </c>
      <c r="O415">
        <v>1643</v>
      </c>
      <c r="P415">
        <v>1.06</v>
      </c>
      <c r="Q415">
        <v>237</v>
      </c>
      <c r="R415">
        <v>332</v>
      </c>
    </row>
    <row r="416" spans="1:18" hidden="1" x14ac:dyDescent="0.2">
      <c r="A416">
        <v>0</v>
      </c>
      <c r="B416" t="s">
        <v>44</v>
      </c>
      <c r="E416" t="s">
        <v>19</v>
      </c>
      <c r="F416">
        <v>530114</v>
      </c>
      <c r="G416">
        <v>2</v>
      </c>
      <c r="H416">
        <v>1</v>
      </c>
      <c r="I416">
        <v>95</v>
      </c>
      <c r="J416">
        <v>1980</v>
      </c>
      <c r="K416" s="4">
        <v>45624</v>
      </c>
      <c r="L416" t="s">
        <v>23</v>
      </c>
      <c r="M416" t="s">
        <v>70</v>
      </c>
      <c r="N416">
        <v>1.58</v>
      </c>
      <c r="O416">
        <v>2260</v>
      </c>
      <c r="P416">
        <v>3.75</v>
      </c>
      <c r="Q416">
        <v>198</v>
      </c>
      <c r="R416">
        <v>627</v>
      </c>
    </row>
    <row r="417" spans="1:18" hidden="1" x14ac:dyDescent="0.2">
      <c r="A417">
        <v>2</v>
      </c>
      <c r="B417" t="s">
        <v>100</v>
      </c>
      <c r="E417" t="s">
        <v>51</v>
      </c>
      <c r="F417">
        <v>1503946</v>
      </c>
      <c r="G417">
        <v>1</v>
      </c>
      <c r="H417">
        <v>1</v>
      </c>
      <c r="I417">
        <v>874</v>
      </c>
      <c r="J417">
        <v>1955</v>
      </c>
      <c r="K417" s="4">
        <v>44620</v>
      </c>
      <c r="L417" t="s">
        <v>30</v>
      </c>
      <c r="M417" t="s">
        <v>35</v>
      </c>
      <c r="N417">
        <v>3.47</v>
      </c>
      <c r="O417">
        <v>1980</v>
      </c>
      <c r="P417">
        <v>0.8</v>
      </c>
      <c r="Q417">
        <v>125</v>
      </c>
      <c r="R417">
        <v>586</v>
      </c>
    </row>
    <row r="418" spans="1:18" hidden="1" x14ac:dyDescent="0.2">
      <c r="A418">
        <v>4</v>
      </c>
      <c r="B418" t="s">
        <v>104</v>
      </c>
      <c r="E418" t="s">
        <v>19</v>
      </c>
      <c r="F418">
        <v>2071194</v>
      </c>
      <c r="G418">
        <v>3</v>
      </c>
      <c r="H418">
        <v>2</v>
      </c>
      <c r="I418">
        <v>303</v>
      </c>
      <c r="J418">
        <v>1952</v>
      </c>
      <c r="K418" s="4">
        <v>45105</v>
      </c>
      <c r="L418" t="s">
        <v>23</v>
      </c>
      <c r="M418" t="s">
        <v>77</v>
      </c>
      <c r="N418">
        <v>2.59</v>
      </c>
      <c r="O418">
        <v>2430</v>
      </c>
      <c r="P418">
        <v>3.81</v>
      </c>
      <c r="Q418">
        <v>174</v>
      </c>
      <c r="R418">
        <v>382</v>
      </c>
    </row>
    <row r="419" spans="1:18" hidden="1" x14ac:dyDescent="0.2">
      <c r="A419">
        <v>2</v>
      </c>
      <c r="B419" t="s">
        <v>65</v>
      </c>
      <c r="E419" t="s">
        <v>36</v>
      </c>
      <c r="F419">
        <v>2785177</v>
      </c>
      <c r="G419">
        <v>3</v>
      </c>
      <c r="H419">
        <v>3</v>
      </c>
      <c r="I419">
        <v>262</v>
      </c>
      <c r="J419">
        <v>1963</v>
      </c>
      <c r="K419" s="4">
        <v>44376</v>
      </c>
      <c r="L419" t="s">
        <v>23</v>
      </c>
      <c r="M419" t="s">
        <v>42</v>
      </c>
      <c r="N419">
        <v>3.28</v>
      </c>
      <c r="O419">
        <v>836</v>
      </c>
      <c r="P419">
        <v>4.46</v>
      </c>
      <c r="Q419">
        <v>298</v>
      </c>
      <c r="R419">
        <v>309</v>
      </c>
    </row>
    <row r="420" spans="1:18" hidden="1" x14ac:dyDescent="0.2">
      <c r="A420">
        <v>9</v>
      </c>
      <c r="B420" t="s">
        <v>43</v>
      </c>
      <c r="E420" t="s">
        <v>29</v>
      </c>
      <c r="F420">
        <v>857785</v>
      </c>
      <c r="G420">
        <v>4</v>
      </c>
      <c r="H420">
        <v>2</v>
      </c>
      <c r="I420">
        <v>920</v>
      </c>
      <c r="J420">
        <v>2013</v>
      </c>
      <c r="K420" s="4">
        <v>44289</v>
      </c>
      <c r="L420" t="s">
        <v>23</v>
      </c>
      <c r="M420" t="s">
        <v>59</v>
      </c>
      <c r="N420">
        <v>2.96</v>
      </c>
      <c r="O420">
        <v>2314</v>
      </c>
      <c r="P420">
        <v>1.36</v>
      </c>
      <c r="Q420">
        <v>196</v>
      </c>
      <c r="R420">
        <v>382</v>
      </c>
    </row>
    <row r="421" spans="1:18" hidden="1" x14ac:dyDescent="0.2">
      <c r="A421">
        <v>2</v>
      </c>
      <c r="B421" t="s">
        <v>92</v>
      </c>
      <c r="E421" t="s">
        <v>51</v>
      </c>
      <c r="F421">
        <v>860871</v>
      </c>
      <c r="G421">
        <v>1</v>
      </c>
      <c r="H421">
        <v>2</v>
      </c>
      <c r="I421">
        <v>108</v>
      </c>
      <c r="J421">
        <v>1989</v>
      </c>
      <c r="K421" s="4">
        <v>45031</v>
      </c>
      <c r="L421" t="s">
        <v>26</v>
      </c>
      <c r="M421" t="s">
        <v>42</v>
      </c>
      <c r="N421">
        <v>2.91</v>
      </c>
      <c r="O421">
        <v>2449</v>
      </c>
      <c r="P421">
        <v>3.76</v>
      </c>
      <c r="Q421">
        <v>99</v>
      </c>
      <c r="R421">
        <v>391</v>
      </c>
    </row>
    <row r="422" spans="1:18" hidden="1" x14ac:dyDescent="0.2">
      <c r="A422">
        <v>3</v>
      </c>
      <c r="B422" t="s">
        <v>43</v>
      </c>
      <c r="E422" t="s">
        <v>51</v>
      </c>
      <c r="F422">
        <v>1584086</v>
      </c>
      <c r="G422">
        <v>1</v>
      </c>
      <c r="H422">
        <v>2</v>
      </c>
      <c r="I422">
        <v>518</v>
      </c>
      <c r="J422">
        <v>1967</v>
      </c>
      <c r="K422" s="4">
        <v>45387</v>
      </c>
      <c r="L422" t="s">
        <v>26</v>
      </c>
      <c r="M422" t="s">
        <v>77</v>
      </c>
      <c r="N422">
        <v>1.6</v>
      </c>
      <c r="O422">
        <v>1614</v>
      </c>
      <c r="P422">
        <v>4.87</v>
      </c>
      <c r="Q422">
        <v>44</v>
      </c>
      <c r="R422">
        <v>309</v>
      </c>
    </row>
    <row r="423" spans="1:18" hidden="1" x14ac:dyDescent="0.2">
      <c r="A423">
        <v>9</v>
      </c>
      <c r="B423" t="s">
        <v>100</v>
      </c>
      <c r="E423" t="s">
        <v>36</v>
      </c>
      <c r="F423">
        <v>482226</v>
      </c>
      <c r="G423">
        <v>6</v>
      </c>
      <c r="H423">
        <v>1</v>
      </c>
      <c r="I423">
        <v>297</v>
      </c>
      <c r="J423">
        <v>2002</v>
      </c>
      <c r="K423" s="4">
        <v>44321</v>
      </c>
      <c r="L423" t="s">
        <v>30</v>
      </c>
      <c r="M423" t="s">
        <v>69</v>
      </c>
      <c r="N423">
        <v>3.28</v>
      </c>
      <c r="O423">
        <v>2308</v>
      </c>
      <c r="P423">
        <v>1.51</v>
      </c>
      <c r="Q423">
        <v>335</v>
      </c>
      <c r="R423">
        <v>423</v>
      </c>
    </row>
    <row r="424" spans="1:18" hidden="1" x14ac:dyDescent="0.2">
      <c r="A424">
        <v>0</v>
      </c>
      <c r="B424" t="s">
        <v>81</v>
      </c>
      <c r="E424" t="s">
        <v>51</v>
      </c>
      <c r="F424">
        <v>2901010</v>
      </c>
      <c r="G424">
        <v>3</v>
      </c>
      <c r="H424">
        <v>3</v>
      </c>
      <c r="I424">
        <v>444</v>
      </c>
      <c r="J424">
        <v>1958</v>
      </c>
      <c r="K424" s="4">
        <v>44368</v>
      </c>
      <c r="L424" t="s">
        <v>30</v>
      </c>
      <c r="M424" t="s">
        <v>37</v>
      </c>
      <c r="N424">
        <v>2.61</v>
      </c>
      <c r="O424">
        <v>1042</v>
      </c>
      <c r="P424">
        <v>1.49</v>
      </c>
      <c r="Q424">
        <v>118</v>
      </c>
      <c r="R424">
        <v>387</v>
      </c>
    </row>
    <row r="425" spans="1:18" hidden="1" x14ac:dyDescent="0.2">
      <c r="A425">
        <v>4</v>
      </c>
      <c r="B425" t="s">
        <v>87</v>
      </c>
      <c r="E425" t="s">
        <v>51</v>
      </c>
      <c r="F425">
        <v>2297686</v>
      </c>
      <c r="G425">
        <v>3</v>
      </c>
      <c r="H425">
        <v>3</v>
      </c>
      <c r="I425">
        <v>145</v>
      </c>
      <c r="J425">
        <v>1988</v>
      </c>
      <c r="K425" s="4">
        <v>44521</v>
      </c>
      <c r="L425" t="s">
        <v>23</v>
      </c>
      <c r="M425" t="s">
        <v>27</v>
      </c>
      <c r="N425">
        <v>1.6</v>
      </c>
      <c r="O425">
        <v>2208</v>
      </c>
      <c r="P425">
        <v>3.81</v>
      </c>
      <c r="Q425">
        <v>91</v>
      </c>
      <c r="R425">
        <v>338</v>
      </c>
    </row>
    <row r="426" spans="1:18" hidden="1" x14ac:dyDescent="0.2">
      <c r="A426">
        <v>0</v>
      </c>
      <c r="B426" t="s">
        <v>34</v>
      </c>
      <c r="E426" t="s">
        <v>36</v>
      </c>
      <c r="F426">
        <v>587519</v>
      </c>
      <c r="G426">
        <v>5</v>
      </c>
      <c r="H426">
        <v>3</v>
      </c>
      <c r="I426">
        <v>241</v>
      </c>
      <c r="J426">
        <v>2022</v>
      </c>
      <c r="K426" s="4">
        <v>45696</v>
      </c>
      <c r="L426" t="s">
        <v>20</v>
      </c>
      <c r="M426" t="s">
        <v>59</v>
      </c>
      <c r="N426">
        <v>2.0699999999999998</v>
      </c>
      <c r="O426">
        <v>1916</v>
      </c>
      <c r="P426">
        <v>0.53</v>
      </c>
      <c r="Q426">
        <v>319</v>
      </c>
      <c r="R426">
        <v>385</v>
      </c>
    </row>
    <row r="427" spans="1:18" hidden="1" x14ac:dyDescent="0.2">
      <c r="A427">
        <v>7</v>
      </c>
      <c r="B427" t="s">
        <v>39</v>
      </c>
      <c r="E427" t="s">
        <v>51</v>
      </c>
      <c r="F427">
        <v>2919516</v>
      </c>
      <c r="G427">
        <v>5</v>
      </c>
      <c r="H427">
        <v>1</v>
      </c>
      <c r="I427">
        <v>401</v>
      </c>
      <c r="J427">
        <v>1990</v>
      </c>
      <c r="K427" s="4">
        <v>44214</v>
      </c>
      <c r="L427" t="s">
        <v>23</v>
      </c>
      <c r="M427" t="s">
        <v>33</v>
      </c>
      <c r="N427">
        <v>3.05</v>
      </c>
      <c r="O427">
        <v>2436</v>
      </c>
      <c r="P427">
        <v>0.14000000000000001</v>
      </c>
      <c r="Q427">
        <v>315</v>
      </c>
      <c r="R427">
        <v>385</v>
      </c>
    </row>
    <row r="428" spans="1:18" hidden="1" x14ac:dyDescent="0.2">
      <c r="A428">
        <v>5</v>
      </c>
      <c r="B428" t="s">
        <v>32</v>
      </c>
      <c r="E428" t="s">
        <v>29</v>
      </c>
      <c r="F428">
        <v>645312</v>
      </c>
      <c r="G428">
        <v>3</v>
      </c>
      <c r="H428">
        <v>2</v>
      </c>
      <c r="I428">
        <v>71</v>
      </c>
      <c r="J428">
        <v>2022</v>
      </c>
      <c r="K428" s="4">
        <v>44137</v>
      </c>
      <c r="L428" t="s">
        <v>23</v>
      </c>
      <c r="M428" t="s">
        <v>82</v>
      </c>
      <c r="N428">
        <v>2.38</v>
      </c>
      <c r="O428">
        <v>1406</v>
      </c>
      <c r="P428">
        <v>1.7</v>
      </c>
      <c r="Q428">
        <v>139</v>
      </c>
      <c r="R428">
        <v>666</v>
      </c>
    </row>
    <row r="429" spans="1:18" hidden="1" x14ac:dyDescent="0.2">
      <c r="A429">
        <v>1</v>
      </c>
      <c r="B429" t="s">
        <v>95</v>
      </c>
      <c r="E429" t="s">
        <v>36</v>
      </c>
      <c r="F429">
        <v>2301833</v>
      </c>
      <c r="G429">
        <v>2</v>
      </c>
      <c r="H429">
        <v>3</v>
      </c>
      <c r="I429">
        <v>452</v>
      </c>
      <c r="J429">
        <v>1965</v>
      </c>
      <c r="K429" s="4">
        <v>45350</v>
      </c>
      <c r="L429" t="s">
        <v>20</v>
      </c>
      <c r="M429" t="s">
        <v>24</v>
      </c>
      <c r="N429">
        <v>1.88</v>
      </c>
      <c r="O429">
        <v>2180</v>
      </c>
      <c r="P429">
        <v>4.8899999999999997</v>
      </c>
      <c r="Q429">
        <v>158</v>
      </c>
      <c r="R429">
        <v>570</v>
      </c>
    </row>
    <row r="430" spans="1:18" hidden="1" x14ac:dyDescent="0.2">
      <c r="A430">
        <v>7</v>
      </c>
      <c r="B430" t="s">
        <v>80</v>
      </c>
      <c r="E430" t="s">
        <v>51</v>
      </c>
      <c r="F430">
        <v>1482938</v>
      </c>
      <c r="G430">
        <v>2</v>
      </c>
      <c r="H430">
        <v>3</v>
      </c>
      <c r="I430">
        <v>445</v>
      </c>
      <c r="J430">
        <v>1981</v>
      </c>
      <c r="K430" s="4">
        <v>44783</v>
      </c>
      <c r="L430" t="s">
        <v>30</v>
      </c>
      <c r="M430" t="s">
        <v>69</v>
      </c>
      <c r="N430">
        <v>1.82</v>
      </c>
      <c r="O430">
        <v>1809</v>
      </c>
      <c r="P430">
        <v>1.31</v>
      </c>
      <c r="Q430">
        <v>56</v>
      </c>
      <c r="R430">
        <v>692</v>
      </c>
    </row>
    <row r="431" spans="1:18" hidden="1" x14ac:dyDescent="0.2">
      <c r="A431">
        <v>2</v>
      </c>
      <c r="B431" t="s">
        <v>46</v>
      </c>
      <c r="E431" t="s">
        <v>51</v>
      </c>
      <c r="F431">
        <v>1853605</v>
      </c>
      <c r="G431">
        <v>6</v>
      </c>
      <c r="H431">
        <v>3</v>
      </c>
      <c r="I431">
        <v>436</v>
      </c>
      <c r="J431">
        <v>1973</v>
      </c>
      <c r="K431" s="4">
        <v>44565</v>
      </c>
      <c r="L431" t="s">
        <v>23</v>
      </c>
      <c r="M431" t="s">
        <v>47</v>
      </c>
      <c r="N431">
        <v>3.41</v>
      </c>
      <c r="O431">
        <v>1050</v>
      </c>
      <c r="P431">
        <v>2.61</v>
      </c>
      <c r="Q431">
        <v>396</v>
      </c>
      <c r="R431">
        <v>547</v>
      </c>
    </row>
    <row r="432" spans="1:18" hidden="1" x14ac:dyDescent="0.2">
      <c r="A432">
        <v>1</v>
      </c>
      <c r="B432" t="s">
        <v>32</v>
      </c>
      <c r="E432" t="s">
        <v>51</v>
      </c>
      <c r="F432">
        <v>1821213</v>
      </c>
      <c r="G432">
        <v>4</v>
      </c>
      <c r="H432">
        <v>1</v>
      </c>
      <c r="I432">
        <v>208</v>
      </c>
      <c r="J432">
        <v>2014</v>
      </c>
      <c r="K432" s="4">
        <v>44283</v>
      </c>
      <c r="L432" t="s">
        <v>20</v>
      </c>
      <c r="M432" t="s">
        <v>56</v>
      </c>
      <c r="N432">
        <v>2.5299999999999998</v>
      </c>
      <c r="O432">
        <v>1895</v>
      </c>
      <c r="P432">
        <v>3.74</v>
      </c>
      <c r="Q432">
        <v>191</v>
      </c>
      <c r="R432">
        <v>384</v>
      </c>
    </row>
    <row r="433" spans="1:18" hidden="1" x14ac:dyDescent="0.2">
      <c r="A433">
        <v>9</v>
      </c>
      <c r="B433" t="s">
        <v>79</v>
      </c>
      <c r="E433" t="s">
        <v>19</v>
      </c>
      <c r="F433">
        <v>883446</v>
      </c>
      <c r="G433">
        <v>1</v>
      </c>
      <c r="H433">
        <v>2</v>
      </c>
      <c r="I433">
        <v>407</v>
      </c>
      <c r="J433">
        <v>1988</v>
      </c>
      <c r="K433" s="4">
        <v>44455</v>
      </c>
      <c r="L433" t="s">
        <v>30</v>
      </c>
      <c r="M433" t="s">
        <v>31</v>
      </c>
      <c r="N433">
        <v>3.15</v>
      </c>
      <c r="O433">
        <v>1563</v>
      </c>
      <c r="P433">
        <v>4.74</v>
      </c>
      <c r="Q433">
        <v>160</v>
      </c>
      <c r="R433">
        <v>429</v>
      </c>
    </row>
    <row r="434" spans="1:18" hidden="1" x14ac:dyDescent="0.2">
      <c r="A434">
        <v>5</v>
      </c>
      <c r="B434" t="s">
        <v>34</v>
      </c>
      <c r="E434" t="s">
        <v>51</v>
      </c>
      <c r="F434">
        <v>481526</v>
      </c>
      <c r="G434">
        <v>5</v>
      </c>
      <c r="H434">
        <v>3</v>
      </c>
      <c r="I434">
        <v>239</v>
      </c>
      <c r="J434">
        <v>1957</v>
      </c>
      <c r="K434" s="4">
        <v>44754</v>
      </c>
      <c r="L434" t="s">
        <v>30</v>
      </c>
      <c r="M434" t="s">
        <v>85</v>
      </c>
      <c r="N434">
        <v>2.36</v>
      </c>
      <c r="O434">
        <v>2316</v>
      </c>
      <c r="P434">
        <v>3.27</v>
      </c>
      <c r="Q434">
        <v>333</v>
      </c>
      <c r="R434">
        <v>355</v>
      </c>
    </row>
    <row r="435" spans="1:18" hidden="1" x14ac:dyDescent="0.2">
      <c r="A435">
        <v>9</v>
      </c>
      <c r="B435" t="s">
        <v>39</v>
      </c>
      <c r="E435" t="s">
        <v>51</v>
      </c>
      <c r="F435">
        <v>478404</v>
      </c>
      <c r="G435">
        <v>2</v>
      </c>
      <c r="H435">
        <v>1</v>
      </c>
      <c r="I435">
        <v>479</v>
      </c>
      <c r="J435">
        <v>2016</v>
      </c>
      <c r="K435" s="4">
        <v>44279</v>
      </c>
      <c r="L435" t="s">
        <v>23</v>
      </c>
      <c r="M435" t="s">
        <v>40</v>
      </c>
      <c r="N435">
        <v>2.92</v>
      </c>
      <c r="O435">
        <v>2081</v>
      </c>
      <c r="P435">
        <v>4.8499999999999996</v>
      </c>
      <c r="Q435">
        <v>161</v>
      </c>
      <c r="R435">
        <v>442</v>
      </c>
    </row>
    <row r="436" spans="1:18" hidden="1" x14ac:dyDescent="0.2">
      <c r="A436">
        <v>5</v>
      </c>
      <c r="B436" t="s">
        <v>87</v>
      </c>
      <c r="E436" t="s">
        <v>51</v>
      </c>
      <c r="F436">
        <v>2950487</v>
      </c>
      <c r="G436">
        <v>3</v>
      </c>
      <c r="H436">
        <v>1</v>
      </c>
      <c r="I436">
        <v>74</v>
      </c>
      <c r="J436">
        <v>1960</v>
      </c>
      <c r="K436" s="4">
        <v>44857</v>
      </c>
      <c r="L436" t="s">
        <v>23</v>
      </c>
      <c r="M436" t="s">
        <v>37</v>
      </c>
      <c r="N436">
        <v>2.81</v>
      </c>
      <c r="O436">
        <v>2083</v>
      </c>
      <c r="P436">
        <v>1.17</v>
      </c>
      <c r="Q436">
        <v>143</v>
      </c>
      <c r="R436">
        <v>346</v>
      </c>
    </row>
    <row r="437" spans="1:18" hidden="1" x14ac:dyDescent="0.2">
      <c r="A437">
        <v>3</v>
      </c>
      <c r="B437" t="s">
        <v>39</v>
      </c>
      <c r="E437" t="s">
        <v>19</v>
      </c>
      <c r="F437">
        <v>1855684</v>
      </c>
      <c r="G437">
        <v>4</v>
      </c>
      <c r="H437">
        <v>2</v>
      </c>
      <c r="I437">
        <v>352</v>
      </c>
      <c r="J437">
        <v>2022</v>
      </c>
      <c r="K437" s="4">
        <v>44288</v>
      </c>
      <c r="L437" t="s">
        <v>23</v>
      </c>
      <c r="M437" t="s">
        <v>37</v>
      </c>
      <c r="N437">
        <v>3.17</v>
      </c>
      <c r="O437">
        <v>1477</v>
      </c>
      <c r="P437">
        <v>3.82</v>
      </c>
      <c r="Q437">
        <v>171</v>
      </c>
      <c r="R437">
        <v>489</v>
      </c>
    </row>
    <row r="438" spans="1:18" x14ac:dyDescent="0.2">
      <c r="A438">
        <v>8</v>
      </c>
      <c r="B438" t="s">
        <v>99</v>
      </c>
      <c r="C438" t="str">
        <f>VLOOKUP(B438, 'Council Area'!$A$2:$B$51, 2)</f>
        <v>Canterbury-Bankstown Council</v>
      </c>
      <c r="D438" t="str">
        <f>_xlfn.XLOOKUP(B438, 'Council Area'!$A$2:$A$51, 'Council Area'!$B$2:$B$51)</f>
        <v>Canterbury-Bankstown Council</v>
      </c>
      <c r="E438" t="s">
        <v>51</v>
      </c>
      <c r="F438">
        <v>568454</v>
      </c>
      <c r="G438">
        <v>2</v>
      </c>
      <c r="H438">
        <v>3</v>
      </c>
      <c r="I438">
        <v>563</v>
      </c>
      <c r="J438">
        <v>1974</v>
      </c>
      <c r="K438" s="4">
        <v>44841</v>
      </c>
      <c r="L438" t="s">
        <v>26</v>
      </c>
      <c r="M438" t="s">
        <v>42</v>
      </c>
      <c r="N438">
        <v>2.75</v>
      </c>
      <c r="O438">
        <v>916</v>
      </c>
      <c r="P438">
        <v>4.1500000000000004</v>
      </c>
      <c r="Q438">
        <v>199</v>
      </c>
      <c r="R438">
        <v>371</v>
      </c>
    </row>
    <row r="439" spans="1:18" hidden="1" x14ac:dyDescent="0.2">
      <c r="A439">
        <v>7</v>
      </c>
      <c r="B439" t="s">
        <v>48</v>
      </c>
      <c r="E439" t="s">
        <v>19</v>
      </c>
      <c r="F439">
        <v>2683935</v>
      </c>
      <c r="G439">
        <v>0</v>
      </c>
      <c r="H439">
        <v>2</v>
      </c>
      <c r="I439">
        <v>396</v>
      </c>
      <c r="J439">
        <v>1997</v>
      </c>
      <c r="K439" s="4">
        <v>44879</v>
      </c>
      <c r="L439" t="s">
        <v>23</v>
      </c>
      <c r="M439" t="s">
        <v>35</v>
      </c>
      <c r="N439">
        <v>1.98</v>
      </c>
      <c r="O439">
        <v>1944</v>
      </c>
      <c r="P439">
        <v>0.7</v>
      </c>
      <c r="Q439">
        <v>48</v>
      </c>
      <c r="R439">
        <v>617</v>
      </c>
    </row>
    <row r="440" spans="1:18" hidden="1" x14ac:dyDescent="0.2">
      <c r="A440">
        <v>6</v>
      </c>
      <c r="B440" t="s">
        <v>92</v>
      </c>
      <c r="E440" t="s">
        <v>51</v>
      </c>
      <c r="F440">
        <v>905451</v>
      </c>
      <c r="G440">
        <v>4</v>
      </c>
      <c r="H440">
        <v>1</v>
      </c>
      <c r="I440">
        <v>244</v>
      </c>
      <c r="J440">
        <v>2006</v>
      </c>
      <c r="K440" s="4">
        <v>44149</v>
      </c>
      <c r="L440" t="s">
        <v>26</v>
      </c>
      <c r="M440" t="s">
        <v>58</v>
      </c>
      <c r="N440">
        <v>1.67</v>
      </c>
      <c r="O440">
        <v>848</v>
      </c>
      <c r="P440">
        <v>2.09</v>
      </c>
      <c r="Q440">
        <v>306</v>
      </c>
      <c r="R440">
        <v>393</v>
      </c>
    </row>
    <row r="441" spans="1:18" hidden="1" x14ac:dyDescent="0.2">
      <c r="A441">
        <v>5</v>
      </c>
      <c r="B441" t="s">
        <v>61</v>
      </c>
      <c r="E441" t="s">
        <v>36</v>
      </c>
      <c r="F441">
        <v>1979091</v>
      </c>
      <c r="G441">
        <v>3</v>
      </c>
      <c r="H441">
        <v>1</v>
      </c>
      <c r="I441">
        <v>482</v>
      </c>
      <c r="J441">
        <v>1985</v>
      </c>
      <c r="K441" s="4">
        <v>45419</v>
      </c>
      <c r="L441" t="s">
        <v>26</v>
      </c>
      <c r="M441" t="s">
        <v>58</v>
      </c>
      <c r="N441">
        <v>1.68</v>
      </c>
      <c r="O441">
        <v>1931</v>
      </c>
      <c r="P441">
        <v>0.46</v>
      </c>
      <c r="Q441">
        <v>221</v>
      </c>
      <c r="R441">
        <v>580</v>
      </c>
    </row>
    <row r="442" spans="1:18" x14ac:dyDescent="0.2">
      <c r="A442">
        <v>8</v>
      </c>
      <c r="B442" t="s">
        <v>62</v>
      </c>
      <c r="C442" t="str">
        <f>VLOOKUP(B442, 'Council Area'!$A$2:$B$51, 2)</f>
        <v>Blacktown City Council</v>
      </c>
      <c r="D442" t="str">
        <f>_xlfn.XLOOKUP(B442, 'Council Area'!$A$2:$A$51, 'Council Area'!$B$2:$B$51)</f>
        <v>Blacktown City Council</v>
      </c>
      <c r="E442" t="s">
        <v>29</v>
      </c>
      <c r="F442">
        <v>1562336</v>
      </c>
      <c r="G442">
        <v>2</v>
      </c>
      <c r="H442">
        <v>2</v>
      </c>
      <c r="I442">
        <v>949</v>
      </c>
      <c r="J442">
        <v>2007</v>
      </c>
      <c r="K442" s="4">
        <v>45069</v>
      </c>
      <c r="L442" t="s">
        <v>30</v>
      </c>
      <c r="M442" t="s">
        <v>35</v>
      </c>
      <c r="N442">
        <v>3.15</v>
      </c>
      <c r="O442">
        <v>1076</v>
      </c>
      <c r="P442">
        <v>4.58</v>
      </c>
      <c r="Q442">
        <v>183</v>
      </c>
      <c r="R442">
        <v>673</v>
      </c>
    </row>
    <row r="443" spans="1:18" hidden="1" x14ac:dyDescent="0.2">
      <c r="A443">
        <v>1</v>
      </c>
      <c r="B443" t="s">
        <v>94</v>
      </c>
      <c r="E443" t="s">
        <v>36</v>
      </c>
      <c r="F443">
        <v>1950170</v>
      </c>
      <c r="G443">
        <v>6</v>
      </c>
      <c r="H443">
        <v>2</v>
      </c>
      <c r="I443">
        <v>276</v>
      </c>
      <c r="J443">
        <v>2002</v>
      </c>
      <c r="K443" s="4">
        <v>44205</v>
      </c>
      <c r="L443" t="s">
        <v>23</v>
      </c>
      <c r="M443" t="s">
        <v>56</v>
      </c>
      <c r="N443">
        <v>3.01</v>
      </c>
      <c r="O443">
        <v>1932</v>
      </c>
      <c r="P443">
        <v>1.81</v>
      </c>
      <c r="Q443">
        <v>395</v>
      </c>
      <c r="R443">
        <v>696</v>
      </c>
    </row>
    <row r="444" spans="1:18" hidden="1" x14ac:dyDescent="0.2">
      <c r="A444">
        <v>3</v>
      </c>
      <c r="B444" t="s">
        <v>32</v>
      </c>
      <c r="E444" t="s">
        <v>36</v>
      </c>
      <c r="F444">
        <v>1638595</v>
      </c>
      <c r="G444">
        <v>5</v>
      </c>
      <c r="H444">
        <v>1</v>
      </c>
      <c r="I444">
        <v>315</v>
      </c>
      <c r="J444">
        <v>1992</v>
      </c>
      <c r="K444" s="4">
        <v>44083</v>
      </c>
      <c r="L444" t="s">
        <v>20</v>
      </c>
      <c r="M444" t="s">
        <v>27</v>
      </c>
      <c r="N444">
        <v>1.75</v>
      </c>
      <c r="O444">
        <v>1287</v>
      </c>
      <c r="P444">
        <v>1.24</v>
      </c>
      <c r="Q444">
        <v>301</v>
      </c>
      <c r="R444">
        <v>478</v>
      </c>
    </row>
    <row r="445" spans="1:18" hidden="1" x14ac:dyDescent="0.2">
      <c r="A445">
        <v>3</v>
      </c>
      <c r="B445" t="s">
        <v>86</v>
      </c>
      <c r="E445" t="s">
        <v>51</v>
      </c>
      <c r="F445">
        <v>2564558</v>
      </c>
      <c r="G445">
        <v>1</v>
      </c>
      <c r="H445">
        <v>1</v>
      </c>
      <c r="I445">
        <v>77</v>
      </c>
      <c r="J445">
        <v>1968</v>
      </c>
      <c r="K445" s="4">
        <v>45111</v>
      </c>
      <c r="L445" t="s">
        <v>23</v>
      </c>
      <c r="M445" t="s">
        <v>40</v>
      </c>
      <c r="N445">
        <v>1.63</v>
      </c>
      <c r="O445">
        <v>1602</v>
      </c>
      <c r="P445">
        <v>2.58</v>
      </c>
      <c r="Q445">
        <v>131</v>
      </c>
      <c r="R445">
        <v>489</v>
      </c>
    </row>
    <row r="446" spans="1:18" hidden="1" x14ac:dyDescent="0.2">
      <c r="A446">
        <v>4</v>
      </c>
      <c r="B446" t="s">
        <v>34</v>
      </c>
      <c r="E446" t="s">
        <v>51</v>
      </c>
      <c r="F446">
        <v>733741</v>
      </c>
      <c r="G446">
        <v>3</v>
      </c>
      <c r="H446">
        <v>1</v>
      </c>
      <c r="I446">
        <v>194</v>
      </c>
      <c r="J446">
        <v>1957</v>
      </c>
      <c r="K446" s="4">
        <v>45212</v>
      </c>
      <c r="L446" t="s">
        <v>30</v>
      </c>
      <c r="M446" t="s">
        <v>68</v>
      </c>
      <c r="N446">
        <v>3.01</v>
      </c>
      <c r="O446">
        <v>2177</v>
      </c>
      <c r="P446">
        <v>1.38</v>
      </c>
      <c r="Q446">
        <v>311</v>
      </c>
      <c r="R446">
        <v>644</v>
      </c>
    </row>
    <row r="447" spans="1:18" hidden="1" x14ac:dyDescent="0.2">
      <c r="A447">
        <v>4</v>
      </c>
      <c r="B447" t="s">
        <v>32</v>
      </c>
      <c r="E447" t="s">
        <v>51</v>
      </c>
      <c r="F447">
        <v>2174013</v>
      </c>
      <c r="G447">
        <v>6</v>
      </c>
      <c r="H447">
        <v>3</v>
      </c>
      <c r="I447">
        <v>65</v>
      </c>
      <c r="J447">
        <v>1958</v>
      </c>
      <c r="K447" s="4">
        <v>45414</v>
      </c>
      <c r="L447" t="s">
        <v>26</v>
      </c>
      <c r="M447" t="s">
        <v>33</v>
      </c>
      <c r="N447">
        <v>1.99</v>
      </c>
      <c r="O447">
        <v>1062</v>
      </c>
      <c r="P447">
        <v>3.44</v>
      </c>
      <c r="Q447">
        <v>356</v>
      </c>
      <c r="R447">
        <v>446</v>
      </c>
    </row>
    <row r="448" spans="1:18" hidden="1" x14ac:dyDescent="0.2">
      <c r="A448">
        <v>0</v>
      </c>
      <c r="B448" t="s">
        <v>46</v>
      </c>
      <c r="E448" t="s">
        <v>36</v>
      </c>
      <c r="F448">
        <v>2661079</v>
      </c>
      <c r="G448">
        <v>2</v>
      </c>
      <c r="H448">
        <v>1</v>
      </c>
      <c r="I448">
        <v>243</v>
      </c>
      <c r="J448">
        <v>1965</v>
      </c>
      <c r="K448" s="4">
        <v>45880</v>
      </c>
      <c r="L448" t="s">
        <v>30</v>
      </c>
      <c r="M448" t="s">
        <v>68</v>
      </c>
      <c r="N448">
        <v>2.59</v>
      </c>
      <c r="O448">
        <v>1116</v>
      </c>
      <c r="P448">
        <v>2.33</v>
      </c>
      <c r="Q448">
        <v>212</v>
      </c>
      <c r="R448">
        <v>691</v>
      </c>
    </row>
    <row r="449" spans="1:18" hidden="1" x14ac:dyDescent="0.2">
      <c r="A449">
        <v>5</v>
      </c>
      <c r="B449" t="s">
        <v>104</v>
      </c>
      <c r="E449" t="s">
        <v>36</v>
      </c>
      <c r="F449">
        <v>1868962</v>
      </c>
      <c r="G449">
        <v>6</v>
      </c>
      <c r="H449">
        <v>2</v>
      </c>
      <c r="I449">
        <v>176</v>
      </c>
      <c r="J449">
        <v>2017</v>
      </c>
      <c r="K449" s="4">
        <v>44197</v>
      </c>
      <c r="L449" t="s">
        <v>20</v>
      </c>
      <c r="M449" t="s">
        <v>56</v>
      </c>
      <c r="N449">
        <v>2.19</v>
      </c>
      <c r="O449">
        <v>990</v>
      </c>
      <c r="P449">
        <v>3.83</v>
      </c>
      <c r="Q449">
        <v>368</v>
      </c>
      <c r="R449">
        <v>585</v>
      </c>
    </row>
    <row r="450" spans="1:18" hidden="1" x14ac:dyDescent="0.2">
      <c r="A450">
        <v>4</v>
      </c>
      <c r="B450" t="s">
        <v>88</v>
      </c>
      <c r="E450" t="s">
        <v>36</v>
      </c>
      <c r="F450">
        <v>1551084</v>
      </c>
      <c r="G450">
        <v>1</v>
      </c>
      <c r="H450">
        <v>3</v>
      </c>
      <c r="I450">
        <v>361</v>
      </c>
      <c r="J450">
        <v>2004</v>
      </c>
      <c r="K450" s="4">
        <v>44132</v>
      </c>
      <c r="L450" t="s">
        <v>30</v>
      </c>
      <c r="M450" t="s">
        <v>54</v>
      </c>
      <c r="N450">
        <v>2.4300000000000002</v>
      </c>
      <c r="O450">
        <v>992</v>
      </c>
      <c r="P450">
        <v>1.1499999999999999</v>
      </c>
      <c r="Q450">
        <v>150</v>
      </c>
      <c r="R450">
        <v>678</v>
      </c>
    </row>
    <row r="451" spans="1:18" hidden="1" x14ac:dyDescent="0.2">
      <c r="A451">
        <v>0</v>
      </c>
      <c r="B451" t="s">
        <v>98</v>
      </c>
      <c r="E451" t="s">
        <v>19</v>
      </c>
      <c r="F451">
        <v>1846419</v>
      </c>
      <c r="G451">
        <v>4</v>
      </c>
      <c r="H451">
        <v>1</v>
      </c>
      <c r="I451">
        <v>376</v>
      </c>
      <c r="J451">
        <v>1977</v>
      </c>
      <c r="K451" s="4">
        <v>44869</v>
      </c>
      <c r="L451" t="s">
        <v>20</v>
      </c>
      <c r="M451" t="s">
        <v>97</v>
      </c>
      <c r="N451">
        <v>3.07</v>
      </c>
      <c r="O451">
        <v>1035</v>
      </c>
      <c r="P451">
        <v>4.8600000000000003</v>
      </c>
      <c r="Q451">
        <v>372</v>
      </c>
      <c r="R451">
        <v>351</v>
      </c>
    </row>
    <row r="452" spans="1:18" hidden="1" x14ac:dyDescent="0.2">
      <c r="A452">
        <v>6</v>
      </c>
      <c r="B452" t="s">
        <v>93</v>
      </c>
      <c r="E452" t="s">
        <v>19</v>
      </c>
      <c r="F452">
        <v>1276435</v>
      </c>
      <c r="G452">
        <v>2</v>
      </c>
      <c r="H452">
        <v>2</v>
      </c>
      <c r="I452">
        <v>367</v>
      </c>
      <c r="J452">
        <v>1950</v>
      </c>
      <c r="K452" s="4">
        <v>45048</v>
      </c>
      <c r="L452" t="s">
        <v>26</v>
      </c>
      <c r="M452" t="s">
        <v>45</v>
      </c>
      <c r="N452">
        <v>3.21</v>
      </c>
      <c r="O452">
        <v>1931</v>
      </c>
      <c r="P452">
        <v>0.28999999999999998</v>
      </c>
      <c r="Q452">
        <v>150</v>
      </c>
      <c r="R452">
        <v>694</v>
      </c>
    </row>
    <row r="453" spans="1:18" x14ac:dyDescent="0.2">
      <c r="A453">
        <v>8</v>
      </c>
      <c r="B453" t="s">
        <v>106</v>
      </c>
      <c r="C453" t="str">
        <f>VLOOKUP(B453, 'Council Area'!$A$2:$B$51, 2)</f>
        <v>Hornsby Shire Council</v>
      </c>
      <c r="D453" t="str">
        <f>_xlfn.XLOOKUP(B453, 'Council Area'!$A$2:$A$51, 'Council Area'!$B$2:$B$51)</f>
        <v>Hornsby Shire Council</v>
      </c>
      <c r="E453" t="s">
        <v>36</v>
      </c>
      <c r="F453">
        <v>2413424</v>
      </c>
      <c r="G453">
        <v>3</v>
      </c>
      <c r="H453">
        <v>2</v>
      </c>
      <c r="I453">
        <v>738</v>
      </c>
      <c r="J453">
        <v>1975</v>
      </c>
      <c r="K453" s="4">
        <v>44634</v>
      </c>
      <c r="L453" t="s">
        <v>30</v>
      </c>
      <c r="M453" t="s">
        <v>74</v>
      </c>
      <c r="N453">
        <v>2.0699999999999998</v>
      </c>
      <c r="O453">
        <v>1216</v>
      </c>
      <c r="P453">
        <v>3.82</v>
      </c>
      <c r="Q453">
        <v>315</v>
      </c>
      <c r="R453">
        <v>389</v>
      </c>
    </row>
    <row r="454" spans="1:18" hidden="1" x14ac:dyDescent="0.2">
      <c r="A454">
        <v>5</v>
      </c>
      <c r="B454" t="s">
        <v>61</v>
      </c>
      <c r="E454" t="s">
        <v>36</v>
      </c>
      <c r="F454">
        <v>2555960</v>
      </c>
      <c r="G454">
        <v>0</v>
      </c>
      <c r="H454">
        <v>3</v>
      </c>
      <c r="I454">
        <v>324</v>
      </c>
      <c r="J454">
        <v>2002</v>
      </c>
      <c r="K454" s="4">
        <v>44538</v>
      </c>
      <c r="L454" t="s">
        <v>23</v>
      </c>
      <c r="M454" t="s">
        <v>66</v>
      </c>
      <c r="N454">
        <v>1.92</v>
      </c>
      <c r="O454">
        <v>1058</v>
      </c>
      <c r="P454">
        <v>1.1000000000000001</v>
      </c>
      <c r="Q454">
        <v>49</v>
      </c>
      <c r="R454">
        <v>429</v>
      </c>
    </row>
    <row r="455" spans="1:18" hidden="1" x14ac:dyDescent="0.2">
      <c r="A455">
        <v>5</v>
      </c>
      <c r="B455" t="s">
        <v>55</v>
      </c>
      <c r="E455" t="s">
        <v>29</v>
      </c>
      <c r="F455">
        <v>1114448</v>
      </c>
      <c r="G455">
        <v>0</v>
      </c>
      <c r="H455">
        <v>3</v>
      </c>
      <c r="I455">
        <v>958</v>
      </c>
      <c r="J455">
        <v>1979</v>
      </c>
      <c r="K455" s="4">
        <v>44857</v>
      </c>
      <c r="L455" t="s">
        <v>20</v>
      </c>
      <c r="M455" t="s">
        <v>54</v>
      </c>
      <c r="N455">
        <v>2.89</v>
      </c>
      <c r="O455">
        <v>1881</v>
      </c>
      <c r="P455">
        <v>2.0299999999999998</v>
      </c>
      <c r="Q455">
        <v>52</v>
      </c>
      <c r="R455">
        <v>372</v>
      </c>
    </row>
    <row r="456" spans="1:18" hidden="1" x14ac:dyDescent="0.2">
      <c r="A456">
        <v>3</v>
      </c>
      <c r="B456" t="s">
        <v>92</v>
      </c>
      <c r="E456" t="s">
        <v>19</v>
      </c>
      <c r="F456">
        <v>2163250</v>
      </c>
      <c r="G456">
        <v>3</v>
      </c>
      <c r="H456">
        <v>3</v>
      </c>
      <c r="I456">
        <v>875</v>
      </c>
      <c r="J456">
        <v>2012</v>
      </c>
      <c r="K456" s="4">
        <v>45444</v>
      </c>
      <c r="L456" t="s">
        <v>23</v>
      </c>
      <c r="M456" t="s">
        <v>60</v>
      </c>
      <c r="N456">
        <v>3.42</v>
      </c>
      <c r="O456">
        <v>1386</v>
      </c>
      <c r="P456">
        <v>2.59</v>
      </c>
      <c r="Q456">
        <v>168</v>
      </c>
      <c r="R456">
        <v>377</v>
      </c>
    </row>
    <row r="457" spans="1:18" hidden="1" x14ac:dyDescent="0.2">
      <c r="A457">
        <v>7</v>
      </c>
      <c r="B457" t="s">
        <v>46</v>
      </c>
      <c r="E457" t="s">
        <v>29</v>
      </c>
      <c r="F457">
        <v>2641626</v>
      </c>
      <c r="G457">
        <v>3</v>
      </c>
      <c r="H457">
        <v>1</v>
      </c>
      <c r="I457">
        <v>427</v>
      </c>
      <c r="J457">
        <v>1957</v>
      </c>
      <c r="K457" s="4">
        <v>44377</v>
      </c>
      <c r="L457" t="s">
        <v>23</v>
      </c>
      <c r="M457" t="s">
        <v>60</v>
      </c>
      <c r="N457">
        <v>3.08</v>
      </c>
      <c r="O457">
        <v>1666</v>
      </c>
      <c r="P457">
        <v>0.4</v>
      </c>
      <c r="Q457">
        <v>220</v>
      </c>
      <c r="R457">
        <v>369</v>
      </c>
    </row>
    <row r="458" spans="1:18" hidden="1" x14ac:dyDescent="0.2">
      <c r="A458">
        <v>9</v>
      </c>
      <c r="B458" t="s">
        <v>105</v>
      </c>
      <c r="E458" t="s">
        <v>36</v>
      </c>
      <c r="F458">
        <v>831767</v>
      </c>
      <c r="G458">
        <v>1</v>
      </c>
      <c r="H458">
        <v>3</v>
      </c>
      <c r="I458">
        <v>88</v>
      </c>
      <c r="J458">
        <v>1954</v>
      </c>
      <c r="K458" s="4">
        <v>44164</v>
      </c>
      <c r="L458" t="s">
        <v>30</v>
      </c>
      <c r="M458" t="s">
        <v>40</v>
      </c>
      <c r="N458">
        <v>2.73</v>
      </c>
      <c r="O458">
        <v>1860</v>
      </c>
      <c r="P458">
        <v>3.48</v>
      </c>
      <c r="Q458">
        <v>94</v>
      </c>
      <c r="R458">
        <v>326</v>
      </c>
    </row>
    <row r="459" spans="1:18" hidden="1" x14ac:dyDescent="0.2">
      <c r="A459">
        <v>3</v>
      </c>
      <c r="B459" t="s">
        <v>100</v>
      </c>
      <c r="E459" t="s">
        <v>29</v>
      </c>
      <c r="F459">
        <v>899413</v>
      </c>
      <c r="G459">
        <v>2</v>
      </c>
      <c r="H459">
        <v>2</v>
      </c>
      <c r="I459">
        <v>179</v>
      </c>
      <c r="J459">
        <v>1986</v>
      </c>
      <c r="K459" s="4">
        <v>44929</v>
      </c>
      <c r="L459" t="s">
        <v>20</v>
      </c>
      <c r="M459" t="s">
        <v>24</v>
      </c>
      <c r="N459">
        <v>2.4700000000000002</v>
      </c>
      <c r="O459">
        <v>839</v>
      </c>
      <c r="P459">
        <v>0.57999999999999996</v>
      </c>
      <c r="Q459">
        <v>97</v>
      </c>
      <c r="R459">
        <v>507</v>
      </c>
    </row>
    <row r="460" spans="1:18" x14ac:dyDescent="0.2">
      <c r="A460">
        <v>8</v>
      </c>
      <c r="B460" t="s">
        <v>18</v>
      </c>
      <c r="C460" t="str">
        <f>VLOOKUP(B460, 'Council Area'!$A$2:$B$51, 2)</f>
        <v>Blacktown City Council</v>
      </c>
      <c r="D460" t="str">
        <f>_xlfn.XLOOKUP(B460, 'Council Area'!$A$2:$A$51, 'Council Area'!$B$2:$B$51)</f>
        <v>Blacktown City Council</v>
      </c>
      <c r="E460" t="s">
        <v>19</v>
      </c>
      <c r="F460">
        <v>665192</v>
      </c>
      <c r="G460">
        <v>3</v>
      </c>
      <c r="H460">
        <v>2</v>
      </c>
      <c r="I460">
        <v>454</v>
      </c>
      <c r="J460">
        <v>1959</v>
      </c>
      <c r="K460" s="4">
        <v>44230</v>
      </c>
      <c r="L460" t="s">
        <v>30</v>
      </c>
      <c r="M460" t="s">
        <v>24</v>
      </c>
      <c r="N460">
        <v>3.2</v>
      </c>
      <c r="O460">
        <v>1175</v>
      </c>
      <c r="P460">
        <v>2.82</v>
      </c>
      <c r="Q460">
        <v>181</v>
      </c>
      <c r="R460">
        <v>667</v>
      </c>
    </row>
    <row r="461" spans="1:18" hidden="1" x14ac:dyDescent="0.2">
      <c r="A461">
        <v>0</v>
      </c>
      <c r="B461" t="s">
        <v>50</v>
      </c>
      <c r="E461" t="s">
        <v>19</v>
      </c>
      <c r="F461">
        <v>1556843</v>
      </c>
      <c r="G461">
        <v>5</v>
      </c>
      <c r="H461">
        <v>3</v>
      </c>
      <c r="I461">
        <v>403</v>
      </c>
      <c r="J461">
        <v>1954</v>
      </c>
      <c r="K461" s="4">
        <v>45244</v>
      </c>
      <c r="L461" t="s">
        <v>26</v>
      </c>
      <c r="M461" t="s">
        <v>56</v>
      </c>
      <c r="N461">
        <v>3.08</v>
      </c>
      <c r="O461">
        <v>932</v>
      </c>
      <c r="P461">
        <v>2.91</v>
      </c>
      <c r="Q461">
        <v>318</v>
      </c>
      <c r="R461">
        <v>309</v>
      </c>
    </row>
    <row r="462" spans="1:18" hidden="1" x14ac:dyDescent="0.2">
      <c r="A462">
        <v>6</v>
      </c>
      <c r="B462" t="s">
        <v>71</v>
      </c>
      <c r="E462" t="s">
        <v>29</v>
      </c>
      <c r="F462">
        <v>1687160</v>
      </c>
      <c r="G462">
        <v>4</v>
      </c>
      <c r="H462">
        <v>1</v>
      </c>
      <c r="I462">
        <v>796</v>
      </c>
      <c r="J462">
        <v>2000</v>
      </c>
      <c r="K462" s="4">
        <v>44691</v>
      </c>
      <c r="L462" t="s">
        <v>26</v>
      </c>
      <c r="M462" t="s">
        <v>56</v>
      </c>
      <c r="N462">
        <v>2.64</v>
      </c>
      <c r="O462">
        <v>1895</v>
      </c>
      <c r="P462">
        <v>1.99</v>
      </c>
      <c r="Q462">
        <v>188</v>
      </c>
      <c r="R462">
        <v>467</v>
      </c>
    </row>
    <row r="463" spans="1:18" hidden="1" x14ac:dyDescent="0.2">
      <c r="A463">
        <v>9</v>
      </c>
      <c r="B463" t="s">
        <v>86</v>
      </c>
      <c r="E463" t="s">
        <v>51</v>
      </c>
      <c r="F463">
        <v>2099845</v>
      </c>
      <c r="G463">
        <v>3</v>
      </c>
      <c r="H463">
        <v>1</v>
      </c>
      <c r="I463">
        <v>447</v>
      </c>
      <c r="J463">
        <v>1980</v>
      </c>
      <c r="K463" s="4">
        <v>44405</v>
      </c>
      <c r="L463" t="s">
        <v>20</v>
      </c>
      <c r="M463" t="s">
        <v>66</v>
      </c>
      <c r="N463">
        <v>1.7</v>
      </c>
      <c r="O463">
        <v>2098</v>
      </c>
      <c r="P463">
        <v>2.9</v>
      </c>
      <c r="Q463">
        <v>294</v>
      </c>
      <c r="R463">
        <v>329</v>
      </c>
    </row>
    <row r="464" spans="1:18" hidden="1" x14ac:dyDescent="0.2">
      <c r="A464">
        <v>4</v>
      </c>
      <c r="B464" t="s">
        <v>98</v>
      </c>
      <c r="E464" t="s">
        <v>19</v>
      </c>
      <c r="F464">
        <v>1151796</v>
      </c>
      <c r="G464">
        <v>2</v>
      </c>
      <c r="H464">
        <v>3</v>
      </c>
      <c r="I464">
        <v>621</v>
      </c>
      <c r="J464">
        <v>1958</v>
      </c>
      <c r="K464" s="4">
        <v>44892</v>
      </c>
      <c r="L464" t="s">
        <v>30</v>
      </c>
      <c r="M464" t="s">
        <v>45</v>
      </c>
      <c r="N464">
        <v>1.76</v>
      </c>
      <c r="O464">
        <v>1701</v>
      </c>
      <c r="P464">
        <v>0.46</v>
      </c>
      <c r="Q464">
        <v>127</v>
      </c>
      <c r="R464">
        <v>409</v>
      </c>
    </row>
    <row r="465" spans="1:18" hidden="1" x14ac:dyDescent="0.2">
      <c r="A465">
        <v>9</v>
      </c>
      <c r="B465" t="s">
        <v>94</v>
      </c>
      <c r="E465" t="s">
        <v>36</v>
      </c>
      <c r="F465">
        <v>1605352</v>
      </c>
      <c r="G465">
        <v>1</v>
      </c>
      <c r="H465">
        <v>3</v>
      </c>
      <c r="I465">
        <v>796</v>
      </c>
      <c r="J465">
        <v>2019</v>
      </c>
      <c r="K465" s="4">
        <v>45478</v>
      </c>
      <c r="L465" t="s">
        <v>23</v>
      </c>
      <c r="M465" t="s">
        <v>78</v>
      </c>
      <c r="N465">
        <v>2.4900000000000002</v>
      </c>
      <c r="O465">
        <v>1080</v>
      </c>
      <c r="P465">
        <v>1</v>
      </c>
      <c r="Q465">
        <v>55</v>
      </c>
      <c r="R465">
        <v>637</v>
      </c>
    </row>
    <row r="466" spans="1:18" hidden="1" x14ac:dyDescent="0.2">
      <c r="A466">
        <v>6</v>
      </c>
      <c r="B466" t="s">
        <v>61</v>
      </c>
      <c r="E466" t="s">
        <v>51</v>
      </c>
      <c r="F466">
        <v>890678</v>
      </c>
      <c r="G466">
        <v>1</v>
      </c>
      <c r="H466">
        <v>1</v>
      </c>
      <c r="I466">
        <v>731</v>
      </c>
      <c r="J466">
        <v>1950</v>
      </c>
      <c r="K466" s="4">
        <v>44069</v>
      </c>
      <c r="L466" t="s">
        <v>30</v>
      </c>
      <c r="M466" t="s">
        <v>77</v>
      </c>
      <c r="N466">
        <v>3.46</v>
      </c>
      <c r="O466">
        <v>1246</v>
      </c>
      <c r="P466">
        <v>4.63</v>
      </c>
      <c r="Q466">
        <v>62</v>
      </c>
      <c r="R466">
        <v>673</v>
      </c>
    </row>
    <row r="467" spans="1:18" hidden="1" x14ac:dyDescent="0.2">
      <c r="A467">
        <v>2</v>
      </c>
      <c r="B467" t="s">
        <v>46</v>
      </c>
      <c r="E467" t="s">
        <v>29</v>
      </c>
      <c r="F467">
        <v>2868767</v>
      </c>
      <c r="G467">
        <v>4</v>
      </c>
      <c r="H467">
        <v>2</v>
      </c>
      <c r="I467">
        <v>391</v>
      </c>
      <c r="J467">
        <v>2002</v>
      </c>
      <c r="K467" s="4">
        <v>44625</v>
      </c>
      <c r="L467" t="s">
        <v>23</v>
      </c>
      <c r="M467" t="s">
        <v>97</v>
      </c>
      <c r="N467">
        <v>2.1800000000000002</v>
      </c>
      <c r="O467">
        <v>1766</v>
      </c>
      <c r="P467">
        <v>3.14</v>
      </c>
      <c r="Q467">
        <v>394</v>
      </c>
      <c r="R467">
        <v>619</v>
      </c>
    </row>
    <row r="468" spans="1:18" hidden="1" x14ac:dyDescent="0.2">
      <c r="A468">
        <v>6</v>
      </c>
      <c r="B468" t="s">
        <v>88</v>
      </c>
      <c r="E468" t="s">
        <v>29</v>
      </c>
      <c r="F468">
        <v>407884</v>
      </c>
      <c r="G468">
        <v>2</v>
      </c>
      <c r="H468">
        <v>3</v>
      </c>
      <c r="I468">
        <v>440</v>
      </c>
      <c r="J468">
        <v>1960</v>
      </c>
      <c r="K468" s="4">
        <v>44918</v>
      </c>
      <c r="L468" t="s">
        <v>30</v>
      </c>
      <c r="M468" t="s">
        <v>31</v>
      </c>
      <c r="N468">
        <v>2.8</v>
      </c>
      <c r="O468">
        <v>2185</v>
      </c>
      <c r="P468">
        <v>3.06</v>
      </c>
      <c r="Q468">
        <v>211</v>
      </c>
      <c r="R468">
        <v>481</v>
      </c>
    </row>
    <row r="469" spans="1:18" hidden="1" x14ac:dyDescent="0.2">
      <c r="A469">
        <v>0</v>
      </c>
      <c r="B469" t="s">
        <v>55</v>
      </c>
      <c r="E469" t="s">
        <v>19</v>
      </c>
      <c r="F469">
        <v>1822925</v>
      </c>
      <c r="G469">
        <v>3</v>
      </c>
      <c r="H469">
        <v>1</v>
      </c>
      <c r="I469">
        <v>346</v>
      </c>
      <c r="J469">
        <v>1998</v>
      </c>
      <c r="K469" s="4">
        <v>45886</v>
      </c>
      <c r="L469" t="s">
        <v>23</v>
      </c>
      <c r="M469" t="s">
        <v>27</v>
      </c>
      <c r="N469">
        <v>1.8</v>
      </c>
      <c r="O469">
        <v>858</v>
      </c>
      <c r="P469">
        <v>4.72</v>
      </c>
      <c r="Q469">
        <v>138</v>
      </c>
      <c r="R469">
        <v>369</v>
      </c>
    </row>
    <row r="470" spans="1:18" hidden="1" x14ac:dyDescent="0.2">
      <c r="A470">
        <v>1</v>
      </c>
      <c r="B470" t="s">
        <v>53</v>
      </c>
      <c r="E470" t="s">
        <v>36</v>
      </c>
      <c r="F470">
        <v>2710868</v>
      </c>
      <c r="G470">
        <v>5</v>
      </c>
      <c r="H470">
        <v>3</v>
      </c>
      <c r="I470">
        <v>237</v>
      </c>
      <c r="J470">
        <v>2001</v>
      </c>
      <c r="K470" s="4">
        <v>45488</v>
      </c>
      <c r="L470" t="s">
        <v>26</v>
      </c>
      <c r="M470" t="s">
        <v>82</v>
      </c>
      <c r="N470">
        <v>2.37</v>
      </c>
      <c r="O470">
        <v>1658</v>
      </c>
      <c r="P470">
        <v>5</v>
      </c>
      <c r="Q470">
        <v>264</v>
      </c>
      <c r="R470">
        <v>686</v>
      </c>
    </row>
    <row r="471" spans="1:18" hidden="1" x14ac:dyDescent="0.2">
      <c r="A471">
        <v>5</v>
      </c>
      <c r="B471" t="s">
        <v>105</v>
      </c>
      <c r="E471" t="s">
        <v>29</v>
      </c>
      <c r="F471">
        <v>2211936</v>
      </c>
      <c r="G471">
        <v>4</v>
      </c>
      <c r="H471">
        <v>2</v>
      </c>
      <c r="I471">
        <v>299</v>
      </c>
      <c r="J471">
        <v>2003</v>
      </c>
      <c r="K471" s="4">
        <v>44911</v>
      </c>
      <c r="L471" t="s">
        <v>20</v>
      </c>
      <c r="M471" t="s">
        <v>97</v>
      </c>
      <c r="N471">
        <v>2.68</v>
      </c>
      <c r="O471">
        <v>1200</v>
      </c>
      <c r="P471">
        <v>0.53</v>
      </c>
      <c r="Q471">
        <v>340</v>
      </c>
      <c r="R471">
        <v>500</v>
      </c>
    </row>
    <row r="472" spans="1:18" hidden="1" x14ac:dyDescent="0.2">
      <c r="A472">
        <v>1</v>
      </c>
      <c r="B472" t="s">
        <v>41</v>
      </c>
      <c r="E472" t="s">
        <v>36</v>
      </c>
      <c r="F472">
        <v>2645953</v>
      </c>
      <c r="G472">
        <v>4</v>
      </c>
      <c r="H472">
        <v>1</v>
      </c>
      <c r="I472">
        <v>471</v>
      </c>
      <c r="J472">
        <v>1991</v>
      </c>
      <c r="K472" s="4">
        <v>45885</v>
      </c>
      <c r="L472" t="s">
        <v>20</v>
      </c>
      <c r="M472" t="s">
        <v>63</v>
      </c>
      <c r="N472">
        <v>2.34</v>
      </c>
      <c r="O472">
        <v>1044</v>
      </c>
      <c r="P472">
        <v>2.5499999999999998</v>
      </c>
      <c r="Q472">
        <v>262</v>
      </c>
      <c r="R472">
        <v>354</v>
      </c>
    </row>
    <row r="473" spans="1:18" hidden="1" x14ac:dyDescent="0.2">
      <c r="A473">
        <v>2</v>
      </c>
      <c r="B473" t="s">
        <v>101</v>
      </c>
      <c r="E473" t="s">
        <v>19</v>
      </c>
      <c r="F473">
        <v>2884517</v>
      </c>
      <c r="G473">
        <v>1</v>
      </c>
      <c r="H473">
        <v>2</v>
      </c>
      <c r="I473">
        <v>128</v>
      </c>
      <c r="J473">
        <v>1995</v>
      </c>
      <c r="K473" s="4">
        <v>44553</v>
      </c>
      <c r="L473" t="s">
        <v>30</v>
      </c>
      <c r="M473" t="s">
        <v>42</v>
      </c>
      <c r="N473">
        <v>3.43</v>
      </c>
      <c r="O473">
        <v>2495</v>
      </c>
      <c r="P473">
        <v>4.2</v>
      </c>
      <c r="Q473">
        <v>92</v>
      </c>
      <c r="R473">
        <v>401</v>
      </c>
    </row>
    <row r="474" spans="1:18" hidden="1" x14ac:dyDescent="0.2">
      <c r="A474">
        <v>6</v>
      </c>
      <c r="B474" t="s">
        <v>80</v>
      </c>
      <c r="E474" t="s">
        <v>19</v>
      </c>
      <c r="F474">
        <v>704142</v>
      </c>
      <c r="G474">
        <v>2</v>
      </c>
      <c r="H474">
        <v>2</v>
      </c>
      <c r="I474">
        <v>316</v>
      </c>
      <c r="J474">
        <v>2008</v>
      </c>
      <c r="K474" s="4">
        <v>45073</v>
      </c>
      <c r="L474" t="s">
        <v>26</v>
      </c>
      <c r="M474" t="s">
        <v>35</v>
      </c>
      <c r="N474">
        <v>2.58</v>
      </c>
      <c r="O474">
        <v>1253</v>
      </c>
      <c r="P474">
        <v>2.11</v>
      </c>
      <c r="Q474">
        <v>214</v>
      </c>
      <c r="R474">
        <v>385</v>
      </c>
    </row>
    <row r="475" spans="1:18" hidden="1" x14ac:dyDescent="0.2">
      <c r="A475">
        <v>1</v>
      </c>
      <c r="B475" t="s">
        <v>44</v>
      </c>
      <c r="E475" t="s">
        <v>29</v>
      </c>
      <c r="F475">
        <v>835060</v>
      </c>
      <c r="G475">
        <v>2</v>
      </c>
      <c r="H475">
        <v>1</v>
      </c>
      <c r="I475">
        <v>874</v>
      </c>
      <c r="J475">
        <v>1963</v>
      </c>
      <c r="K475" s="4">
        <v>44606</v>
      </c>
      <c r="L475" t="s">
        <v>30</v>
      </c>
      <c r="M475" t="s">
        <v>40</v>
      </c>
      <c r="N475">
        <v>1.78</v>
      </c>
      <c r="O475">
        <v>1672</v>
      </c>
      <c r="P475">
        <v>0.32</v>
      </c>
      <c r="Q475">
        <v>233</v>
      </c>
      <c r="R475">
        <v>514</v>
      </c>
    </row>
    <row r="476" spans="1:18" hidden="1" x14ac:dyDescent="0.2">
      <c r="A476">
        <v>2</v>
      </c>
      <c r="B476" t="s">
        <v>75</v>
      </c>
      <c r="E476" t="s">
        <v>19</v>
      </c>
      <c r="F476">
        <v>1360453</v>
      </c>
      <c r="G476">
        <v>3</v>
      </c>
      <c r="H476">
        <v>3</v>
      </c>
      <c r="I476">
        <v>69</v>
      </c>
      <c r="J476">
        <v>1992</v>
      </c>
      <c r="K476" s="4">
        <v>44885</v>
      </c>
      <c r="L476" t="s">
        <v>26</v>
      </c>
      <c r="M476" t="s">
        <v>58</v>
      </c>
      <c r="N476">
        <v>2.74</v>
      </c>
      <c r="O476">
        <v>1486</v>
      </c>
      <c r="P476">
        <v>1.64</v>
      </c>
      <c r="Q476">
        <v>236</v>
      </c>
      <c r="R476">
        <v>437</v>
      </c>
    </row>
    <row r="477" spans="1:18" hidden="1" x14ac:dyDescent="0.2">
      <c r="A477">
        <v>0</v>
      </c>
      <c r="B477" t="s">
        <v>41</v>
      </c>
      <c r="E477" t="s">
        <v>36</v>
      </c>
      <c r="F477">
        <v>2125292</v>
      </c>
      <c r="G477">
        <v>4</v>
      </c>
      <c r="H477">
        <v>3</v>
      </c>
      <c r="I477">
        <v>913</v>
      </c>
      <c r="J477">
        <v>2003</v>
      </c>
      <c r="K477" s="4">
        <v>44559</v>
      </c>
      <c r="L477" t="s">
        <v>23</v>
      </c>
      <c r="M477" t="s">
        <v>59</v>
      </c>
      <c r="N477">
        <v>2.78</v>
      </c>
      <c r="O477">
        <v>943</v>
      </c>
      <c r="P477">
        <v>2.64</v>
      </c>
      <c r="Q477">
        <v>173</v>
      </c>
      <c r="R477">
        <v>688</v>
      </c>
    </row>
    <row r="478" spans="1:18" x14ac:dyDescent="0.2">
      <c r="A478">
        <v>8</v>
      </c>
      <c r="B478" t="s">
        <v>80</v>
      </c>
      <c r="C478" t="str">
        <f>VLOOKUP(B478, 'Council Area'!$A$2:$B$51, 2)</f>
        <v>Parramatta City Council</v>
      </c>
      <c r="D478" t="str">
        <f>_xlfn.XLOOKUP(B478, 'Council Area'!$A$2:$A$51, 'Council Area'!$B$2:$B$51)</f>
        <v>Parramatta City Council</v>
      </c>
      <c r="E478" t="s">
        <v>19</v>
      </c>
      <c r="F478">
        <v>1041720</v>
      </c>
      <c r="G478">
        <v>1</v>
      </c>
      <c r="H478">
        <v>2</v>
      </c>
      <c r="I478">
        <v>952</v>
      </c>
      <c r="J478">
        <v>1978</v>
      </c>
      <c r="K478" s="4">
        <v>44788</v>
      </c>
      <c r="L478" t="s">
        <v>23</v>
      </c>
      <c r="M478" t="s">
        <v>42</v>
      </c>
      <c r="N478">
        <v>2.65</v>
      </c>
      <c r="O478">
        <v>2467</v>
      </c>
      <c r="P478">
        <v>1.63</v>
      </c>
      <c r="Q478">
        <v>81</v>
      </c>
      <c r="R478">
        <v>586</v>
      </c>
    </row>
    <row r="479" spans="1:18" hidden="1" x14ac:dyDescent="0.2">
      <c r="A479">
        <v>0</v>
      </c>
      <c r="B479" t="s">
        <v>105</v>
      </c>
      <c r="E479" t="s">
        <v>19</v>
      </c>
      <c r="F479">
        <v>476652</v>
      </c>
      <c r="G479">
        <v>0</v>
      </c>
      <c r="H479">
        <v>3</v>
      </c>
      <c r="I479">
        <v>135</v>
      </c>
      <c r="J479">
        <v>1968</v>
      </c>
      <c r="K479" s="4">
        <v>45020</v>
      </c>
      <c r="L479" t="s">
        <v>26</v>
      </c>
      <c r="M479" t="s">
        <v>70</v>
      </c>
      <c r="N479">
        <v>2.13</v>
      </c>
      <c r="O479">
        <v>2312</v>
      </c>
      <c r="P479">
        <v>3.12</v>
      </c>
      <c r="Q479">
        <v>53</v>
      </c>
      <c r="R479">
        <v>651</v>
      </c>
    </row>
    <row r="480" spans="1:18" hidden="1" x14ac:dyDescent="0.2">
      <c r="A480">
        <v>1</v>
      </c>
      <c r="B480" t="s">
        <v>91</v>
      </c>
      <c r="E480" t="s">
        <v>29</v>
      </c>
      <c r="F480">
        <v>2941910</v>
      </c>
      <c r="G480">
        <v>4</v>
      </c>
      <c r="H480">
        <v>1</v>
      </c>
      <c r="I480">
        <v>717</v>
      </c>
      <c r="J480">
        <v>2018</v>
      </c>
      <c r="K480" s="4">
        <v>44943</v>
      </c>
      <c r="L480" t="s">
        <v>30</v>
      </c>
      <c r="M480" t="s">
        <v>82</v>
      </c>
      <c r="N480">
        <v>3.38</v>
      </c>
      <c r="O480">
        <v>1003</v>
      </c>
      <c r="P480">
        <v>1.54</v>
      </c>
      <c r="Q480">
        <v>215</v>
      </c>
      <c r="R480">
        <v>674</v>
      </c>
    </row>
    <row r="481" spans="1:18" hidden="1" x14ac:dyDescent="0.2">
      <c r="A481">
        <v>6</v>
      </c>
      <c r="B481" t="s">
        <v>43</v>
      </c>
      <c r="E481" t="s">
        <v>51</v>
      </c>
      <c r="F481">
        <v>545687</v>
      </c>
      <c r="G481">
        <v>6</v>
      </c>
      <c r="H481">
        <v>3</v>
      </c>
      <c r="I481">
        <v>518</v>
      </c>
      <c r="J481">
        <v>1976</v>
      </c>
      <c r="K481" s="4">
        <v>45462</v>
      </c>
      <c r="L481" t="s">
        <v>23</v>
      </c>
      <c r="M481" t="s">
        <v>59</v>
      </c>
      <c r="N481">
        <v>2.17</v>
      </c>
      <c r="O481">
        <v>1179</v>
      </c>
      <c r="P481">
        <v>3.75</v>
      </c>
      <c r="Q481">
        <v>385</v>
      </c>
      <c r="R481">
        <v>406</v>
      </c>
    </row>
    <row r="482" spans="1:18" hidden="1" x14ac:dyDescent="0.2">
      <c r="A482">
        <v>9</v>
      </c>
      <c r="B482" t="s">
        <v>62</v>
      </c>
      <c r="E482" t="s">
        <v>36</v>
      </c>
      <c r="F482">
        <v>2565970</v>
      </c>
      <c r="G482">
        <v>1</v>
      </c>
      <c r="H482">
        <v>1</v>
      </c>
      <c r="I482">
        <v>801</v>
      </c>
      <c r="J482">
        <v>2000</v>
      </c>
      <c r="K482" s="4">
        <v>45178</v>
      </c>
      <c r="L482" t="s">
        <v>23</v>
      </c>
      <c r="M482" t="s">
        <v>66</v>
      </c>
      <c r="N482">
        <v>2.99</v>
      </c>
      <c r="O482">
        <v>828</v>
      </c>
      <c r="P482">
        <v>4.34</v>
      </c>
      <c r="Q482">
        <v>112</v>
      </c>
      <c r="R482">
        <v>653</v>
      </c>
    </row>
    <row r="483" spans="1:18" hidden="1" x14ac:dyDescent="0.2">
      <c r="A483">
        <v>4</v>
      </c>
      <c r="B483" t="s">
        <v>71</v>
      </c>
      <c r="E483" t="s">
        <v>29</v>
      </c>
      <c r="F483">
        <v>2349690</v>
      </c>
      <c r="G483">
        <v>2</v>
      </c>
      <c r="H483">
        <v>1</v>
      </c>
      <c r="I483">
        <v>206</v>
      </c>
      <c r="J483">
        <v>1963</v>
      </c>
      <c r="K483" s="4">
        <v>44414</v>
      </c>
      <c r="L483" t="s">
        <v>20</v>
      </c>
      <c r="M483" t="s">
        <v>45</v>
      </c>
      <c r="N483">
        <v>2.44</v>
      </c>
      <c r="O483">
        <v>1475</v>
      </c>
      <c r="P483">
        <v>4.2</v>
      </c>
      <c r="Q483">
        <v>100</v>
      </c>
      <c r="R483">
        <v>396</v>
      </c>
    </row>
    <row r="484" spans="1:18" hidden="1" x14ac:dyDescent="0.2">
      <c r="A484">
        <v>1</v>
      </c>
      <c r="B484" t="s">
        <v>48</v>
      </c>
      <c r="E484" t="s">
        <v>36</v>
      </c>
      <c r="F484">
        <v>1493488</v>
      </c>
      <c r="G484">
        <v>2</v>
      </c>
      <c r="H484">
        <v>3</v>
      </c>
      <c r="I484">
        <v>744</v>
      </c>
      <c r="J484">
        <v>2009</v>
      </c>
      <c r="K484" s="4">
        <v>44810</v>
      </c>
      <c r="L484" t="s">
        <v>26</v>
      </c>
      <c r="M484" t="s">
        <v>76</v>
      </c>
      <c r="N484">
        <v>1.5</v>
      </c>
      <c r="O484">
        <v>2228</v>
      </c>
      <c r="P484">
        <v>2.38</v>
      </c>
      <c r="Q484">
        <v>96</v>
      </c>
      <c r="R484">
        <v>530</v>
      </c>
    </row>
    <row r="485" spans="1:18" hidden="1" x14ac:dyDescent="0.2">
      <c r="A485">
        <v>3</v>
      </c>
      <c r="B485" t="s">
        <v>73</v>
      </c>
      <c r="E485" t="s">
        <v>36</v>
      </c>
      <c r="F485">
        <v>536044</v>
      </c>
      <c r="G485">
        <v>3</v>
      </c>
      <c r="H485">
        <v>2</v>
      </c>
      <c r="I485">
        <v>915</v>
      </c>
      <c r="J485">
        <v>1992</v>
      </c>
      <c r="K485" s="4">
        <v>44118</v>
      </c>
      <c r="L485" t="s">
        <v>20</v>
      </c>
      <c r="M485" t="s">
        <v>47</v>
      </c>
      <c r="N485">
        <v>1.56</v>
      </c>
      <c r="O485">
        <v>1874</v>
      </c>
      <c r="P485">
        <v>3.75</v>
      </c>
      <c r="Q485">
        <v>106</v>
      </c>
      <c r="R485">
        <v>640</v>
      </c>
    </row>
    <row r="486" spans="1:18" hidden="1" x14ac:dyDescent="0.2">
      <c r="A486">
        <v>5</v>
      </c>
      <c r="B486" t="s">
        <v>73</v>
      </c>
      <c r="E486" t="s">
        <v>29</v>
      </c>
      <c r="F486">
        <v>2330660</v>
      </c>
      <c r="G486">
        <v>6</v>
      </c>
      <c r="H486">
        <v>3</v>
      </c>
      <c r="I486">
        <v>861</v>
      </c>
      <c r="J486">
        <v>1954</v>
      </c>
      <c r="K486" s="4">
        <v>44618</v>
      </c>
      <c r="L486" t="s">
        <v>23</v>
      </c>
      <c r="M486" t="s">
        <v>52</v>
      </c>
      <c r="N486">
        <v>1.6</v>
      </c>
      <c r="O486">
        <v>1511</v>
      </c>
      <c r="P486">
        <v>1.06</v>
      </c>
      <c r="Q486">
        <v>381</v>
      </c>
      <c r="R486">
        <v>333</v>
      </c>
    </row>
    <row r="487" spans="1:18" hidden="1" x14ac:dyDescent="0.2">
      <c r="A487">
        <v>3</v>
      </c>
      <c r="B487" t="s">
        <v>72</v>
      </c>
      <c r="E487" t="s">
        <v>19</v>
      </c>
      <c r="F487">
        <v>1178732</v>
      </c>
      <c r="G487">
        <v>3</v>
      </c>
      <c r="H487">
        <v>2</v>
      </c>
      <c r="I487">
        <v>827</v>
      </c>
      <c r="J487">
        <v>2001</v>
      </c>
      <c r="K487" s="4">
        <v>45626</v>
      </c>
      <c r="L487" t="s">
        <v>26</v>
      </c>
      <c r="M487" t="s">
        <v>33</v>
      </c>
      <c r="N487">
        <v>2.2599999999999998</v>
      </c>
      <c r="O487">
        <v>909</v>
      </c>
      <c r="P487">
        <v>4.3099999999999996</v>
      </c>
      <c r="Q487">
        <v>123</v>
      </c>
      <c r="R487">
        <v>627</v>
      </c>
    </row>
    <row r="488" spans="1:18" x14ac:dyDescent="0.2">
      <c r="A488">
        <v>8</v>
      </c>
      <c r="B488" t="s">
        <v>41</v>
      </c>
      <c r="C488" t="str">
        <f>VLOOKUP(B488, 'Council Area'!$A$2:$B$51, 2)</f>
        <v>Parramatta City Council</v>
      </c>
      <c r="D488" t="str">
        <f>_xlfn.XLOOKUP(B488, 'Council Area'!$A$2:$A$51, 'Council Area'!$B$2:$B$51)</f>
        <v>Parramatta City Council</v>
      </c>
      <c r="E488" t="s">
        <v>29</v>
      </c>
      <c r="F488">
        <v>580179</v>
      </c>
      <c r="G488">
        <v>3</v>
      </c>
      <c r="H488">
        <v>3</v>
      </c>
      <c r="I488">
        <v>926</v>
      </c>
      <c r="J488">
        <v>1988</v>
      </c>
      <c r="K488" s="4">
        <v>44777</v>
      </c>
      <c r="L488" t="s">
        <v>30</v>
      </c>
      <c r="M488" t="s">
        <v>37</v>
      </c>
      <c r="N488">
        <v>2.11</v>
      </c>
      <c r="O488">
        <v>1058</v>
      </c>
      <c r="P488">
        <v>1.1399999999999999</v>
      </c>
      <c r="Q488">
        <v>156</v>
      </c>
      <c r="R488">
        <v>410</v>
      </c>
    </row>
    <row r="489" spans="1:18" hidden="1" x14ac:dyDescent="0.2">
      <c r="A489">
        <v>6</v>
      </c>
      <c r="B489" t="s">
        <v>43</v>
      </c>
      <c r="E489" t="s">
        <v>36</v>
      </c>
      <c r="F489">
        <v>811032</v>
      </c>
      <c r="G489">
        <v>6</v>
      </c>
      <c r="H489">
        <v>2</v>
      </c>
      <c r="I489">
        <v>267</v>
      </c>
      <c r="J489">
        <v>1960</v>
      </c>
      <c r="K489" s="4">
        <v>45880</v>
      </c>
      <c r="L489" t="s">
        <v>20</v>
      </c>
      <c r="M489" t="s">
        <v>52</v>
      </c>
      <c r="N489">
        <v>2.11</v>
      </c>
      <c r="O489">
        <v>972</v>
      </c>
      <c r="P489">
        <v>4.45</v>
      </c>
      <c r="Q489">
        <v>352</v>
      </c>
      <c r="R489">
        <v>634</v>
      </c>
    </row>
    <row r="490" spans="1:18" hidden="1" x14ac:dyDescent="0.2">
      <c r="A490">
        <v>6</v>
      </c>
      <c r="B490" t="s">
        <v>48</v>
      </c>
      <c r="E490" t="s">
        <v>51</v>
      </c>
      <c r="F490">
        <v>1594003</v>
      </c>
      <c r="G490">
        <v>1</v>
      </c>
      <c r="H490">
        <v>2</v>
      </c>
      <c r="I490">
        <v>989</v>
      </c>
      <c r="J490">
        <v>2001</v>
      </c>
      <c r="K490" s="4">
        <v>44682</v>
      </c>
      <c r="L490" t="s">
        <v>26</v>
      </c>
      <c r="M490" t="s">
        <v>74</v>
      </c>
      <c r="N490">
        <v>2.2200000000000002</v>
      </c>
      <c r="O490">
        <v>2124</v>
      </c>
      <c r="P490">
        <v>3.53</v>
      </c>
      <c r="Q490">
        <v>100</v>
      </c>
      <c r="R490">
        <v>489</v>
      </c>
    </row>
    <row r="491" spans="1:18" hidden="1" x14ac:dyDescent="0.2">
      <c r="A491">
        <v>3</v>
      </c>
      <c r="B491" t="s">
        <v>102</v>
      </c>
      <c r="E491" t="s">
        <v>51</v>
      </c>
      <c r="F491">
        <v>1522207</v>
      </c>
      <c r="G491">
        <v>4</v>
      </c>
      <c r="H491">
        <v>3</v>
      </c>
      <c r="I491">
        <v>411</v>
      </c>
      <c r="J491">
        <v>2003</v>
      </c>
      <c r="K491" s="4">
        <v>44295</v>
      </c>
      <c r="L491" t="s">
        <v>23</v>
      </c>
      <c r="M491" t="s">
        <v>33</v>
      </c>
      <c r="N491">
        <v>1.8</v>
      </c>
      <c r="O491">
        <v>2016</v>
      </c>
      <c r="P491">
        <v>3.99</v>
      </c>
      <c r="Q491">
        <v>217</v>
      </c>
      <c r="R491">
        <v>631</v>
      </c>
    </row>
    <row r="492" spans="1:18" hidden="1" x14ac:dyDescent="0.2">
      <c r="A492">
        <v>9</v>
      </c>
      <c r="B492" t="s">
        <v>50</v>
      </c>
      <c r="E492" t="s">
        <v>29</v>
      </c>
      <c r="F492">
        <v>1891807</v>
      </c>
      <c r="G492">
        <v>3</v>
      </c>
      <c r="H492">
        <v>3</v>
      </c>
      <c r="I492">
        <v>867</v>
      </c>
      <c r="J492">
        <v>1975</v>
      </c>
      <c r="K492" s="4">
        <v>45596</v>
      </c>
      <c r="L492" t="s">
        <v>30</v>
      </c>
      <c r="M492" t="s">
        <v>31</v>
      </c>
      <c r="N492">
        <v>2.2999999999999998</v>
      </c>
      <c r="O492">
        <v>2316</v>
      </c>
      <c r="P492">
        <v>1.45</v>
      </c>
      <c r="Q492">
        <v>244</v>
      </c>
      <c r="R492">
        <v>325</v>
      </c>
    </row>
    <row r="493" spans="1:18" hidden="1" x14ac:dyDescent="0.2">
      <c r="A493">
        <v>7</v>
      </c>
      <c r="B493" t="s">
        <v>34</v>
      </c>
      <c r="E493" t="s">
        <v>29</v>
      </c>
      <c r="F493">
        <v>2248231</v>
      </c>
      <c r="G493">
        <v>6</v>
      </c>
      <c r="H493">
        <v>3</v>
      </c>
      <c r="I493">
        <v>313</v>
      </c>
      <c r="J493">
        <v>2000</v>
      </c>
      <c r="K493" s="4">
        <v>44276</v>
      </c>
      <c r="L493" t="s">
        <v>26</v>
      </c>
      <c r="M493" t="s">
        <v>47</v>
      </c>
      <c r="N493">
        <v>2.2200000000000002</v>
      </c>
      <c r="O493">
        <v>1056</v>
      </c>
      <c r="P493">
        <v>1.04</v>
      </c>
      <c r="Q493">
        <v>324</v>
      </c>
      <c r="R493">
        <v>425</v>
      </c>
    </row>
    <row r="494" spans="1:18" hidden="1" x14ac:dyDescent="0.2">
      <c r="A494">
        <v>6</v>
      </c>
      <c r="B494" t="s">
        <v>88</v>
      </c>
      <c r="E494" t="s">
        <v>36</v>
      </c>
      <c r="F494">
        <v>2284746</v>
      </c>
      <c r="G494">
        <v>3</v>
      </c>
      <c r="H494">
        <v>1</v>
      </c>
      <c r="I494">
        <v>359</v>
      </c>
      <c r="J494">
        <v>2017</v>
      </c>
      <c r="K494" s="4">
        <v>44851</v>
      </c>
      <c r="L494" t="s">
        <v>20</v>
      </c>
      <c r="M494" t="s">
        <v>27</v>
      </c>
      <c r="N494">
        <v>1.86</v>
      </c>
      <c r="O494">
        <v>2137</v>
      </c>
      <c r="P494">
        <v>1.1299999999999999</v>
      </c>
      <c r="Q494">
        <v>111</v>
      </c>
      <c r="R494">
        <v>330</v>
      </c>
    </row>
    <row r="495" spans="1:18" hidden="1" x14ac:dyDescent="0.2">
      <c r="A495">
        <v>6</v>
      </c>
      <c r="B495" t="s">
        <v>34</v>
      </c>
      <c r="E495" t="s">
        <v>36</v>
      </c>
      <c r="F495">
        <v>2291317</v>
      </c>
      <c r="G495">
        <v>4</v>
      </c>
      <c r="H495">
        <v>2</v>
      </c>
      <c r="I495">
        <v>711</v>
      </c>
      <c r="J495">
        <v>1972</v>
      </c>
      <c r="K495" s="4">
        <v>45253</v>
      </c>
      <c r="L495" t="s">
        <v>20</v>
      </c>
      <c r="M495" t="s">
        <v>78</v>
      </c>
      <c r="N495">
        <v>2.69</v>
      </c>
      <c r="O495">
        <v>1117</v>
      </c>
      <c r="P495">
        <v>2.2799999999999998</v>
      </c>
      <c r="Q495">
        <v>261</v>
      </c>
      <c r="R495">
        <v>481</v>
      </c>
    </row>
    <row r="496" spans="1:18" hidden="1" x14ac:dyDescent="0.2">
      <c r="A496">
        <v>4</v>
      </c>
      <c r="B496" t="s">
        <v>87</v>
      </c>
      <c r="E496" t="s">
        <v>29</v>
      </c>
      <c r="F496">
        <v>998574</v>
      </c>
      <c r="G496">
        <v>3</v>
      </c>
      <c r="H496">
        <v>3</v>
      </c>
      <c r="I496">
        <v>939</v>
      </c>
      <c r="J496">
        <v>1955</v>
      </c>
      <c r="K496" s="4">
        <v>45007</v>
      </c>
      <c r="L496" t="s">
        <v>26</v>
      </c>
      <c r="M496" t="s">
        <v>78</v>
      </c>
      <c r="N496">
        <v>1.89</v>
      </c>
      <c r="O496">
        <v>2280</v>
      </c>
      <c r="P496">
        <v>1.68</v>
      </c>
      <c r="Q496">
        <v>165</v>
      </c>
      <c r="R496">
        <v>523</v>
      </c>
    </row>
    <row r="497" spans="1:18" hidden="1" x14ac:dyDescent="0.2">
      <c r="A497">
        <v>9</v>
      </c>
      <c r="B497" t="s">
        <v>39</v>
      </c>
      <c r="E497" t="s">
        <v>19</v>
      </c>
      <c r="F497">
        <v>2291611</v>
      </c>
      <c r="G497">
        <v>4</v>
      </c>
      <c r="H497">
        <v>1</v>
      </c>
      <c r="I497">
        <v>566</v>
      </c>
      <c r="J497">
        <v>1982</v>
      </c>
      <c r="K497" s="4">
        <v>45460</v>
      </c>
      <c r="L497" t="s">
        <v>20</v>
      </c>
      <c r="M497" t="s">
        <v>21</v>
      </c>
      <c r="N497">
        <v>1.92</v>
      </c>
      <c r="O497">
        <v>1473</v>
      </c>
      <c r="P497">
        <v>4.12</v>
      </c>
      <c r="Q497">
        <v>265</v>
      </c>
      <c r="R497">
        <v>623</v>
      </c>
    </row>
    <row r="498" spans="1:18" hidden="1" x14ac:dyDescent="0.2">
      <c r="A498">
        <v>6</v>
      </c>
      <c r="B498" t="s">
        <v>98</v>
      </c>
      <c r="E498" t="s">
        <v>29</v>
      </c>
      <c r="F498">
        <v>1808306</v>
      </c>
      <c r="G498">
        <v>6</v>
      </c>
      <c r="H498">
        <v>2</v>
      </c>
      <c r="I498">
        <v>531</v>
      </c>
      <c r="J498">
        <v>1975</v>
      </c>
      <c r="K498" s="4">
        <v>44375</v>
      </c>
      <c r="L498" t="s">
        <v>30</v>
      </c>
      <c r="M498" t="s">
        <v>27</v>
      </c>
      <c r="N498">
        <v>2.81</v>
      </c>
      <c r="O498">
        <v>2484</v>
      </c>
      <c r="P498">
        <v>1.67</v>
      </c>
      <c r="Q498">
        <v>368</v>
      </c>
      <c r="R498">
        <v>608</v>
      </c>
    </row>
    <row r="499" spans="1:18" hidden="1" x14ac:dyDescent="0.2">
      <c r="A499">
        <v>7</v>
      </c>
      <c r="B499" t="s">
        <v>22</v>
      </c>
      <c r="E499" t="s">
        <v>19</v>
      </c>
      <c r="F499">
        <v>2213841</v>
      </c>
      <c r="G499">
        <v>3</v>
      </c>
      <c r="H499">
        <v>2</v>
      </c>
      <c r="I499">
        <v>53</v>
      </c>
      <c r="J499">
        <v>1987</v>
      </c>
      <c r="K499" s="4">
        <v>45571</v>
      </c>
      <c r="L499" t="s">
        <v>20</v>
      </c>
      <c r="M499" t="s">
        <v>58</v>
      </c>
      <c r="N499">
        <v>2.06</v>
      </c>
      <c r="O499">
        <v>800</v>
      </c>
      <c r="P499">
        <v>2.0099999999999998</v>
      </c>
      <c r="Q499">
        <v>179</v>
      </c>
      <c r="R499">
        <v>609</v>
      </c>
    </row>
    <row r="500" spans="1:18" hidden="1" x14ac:dyDescent="0.2">
      <c r="A500">
        <v>7</v>
      </c>
      <c r="B500" t="s">
        <v>57</v>
      </c>
      <c r="E500" t="s">
        <v>19</v>
      </c>
      <c r="F500">
        <v>2670010</v>
      </c>
      <c r="G500">
        <v>4</v>
      </c>
      <c r="H500">
        <v>1</v>
      </c>
      <c r="I500">
        <v>276</v>
      </c>
      <c r="J500">
        <v>1972</v>
      </c>
      <c r="K500" s="4">
        <v>44330</v>
      </c>
      <c r="L500" t="s">
        <v>30</v>
      </c>
      <c r="M500" t="s">
        <v>60</v>
      </c>
      <c r="N500">
        <v>1.89</v>
      </c>
      <c r="O500">
        <v>1356</v>
      </c>
      <c r="P500">
        <v>4.7</v>
      </c>
      <c r="Q500">
        <v>264</v>
      </c>
      <c r="R500">
        <v>552</v>
      </c>
    </row>
    <row r="501" spans="1:18" x14ac:dyDescent="0.2">
      <c r="A501">
        <v>8</v>
      </c>
      <c r="B501" t="s">
        <v>87</v>
      </c>
      <c r="C501" t="str">
        <f>VLOOKUP(B501, 'Council Area'!$A$2:$B$51, 2)</f>
        <v>Randwick City Council</v>
      </c>
      <c r="D501" t="str">
        <f>_xlfn.XLOOKUP(B501, 'Council Area'!$A$2:$A$51, 'Council Area'!$B$2:$B$51)</f>
        <v>Randwick City Council</v>
      </c>
      <c r="E501" t="s">
        <v>19</v>
      </c>
      <c r="F501">
        <v>2170715</v>
      </c>
      <c r="G501">
        <v>5</v>
      </c>
      <c r="H501">
        <v>1</v>
      </c>
      <c r="I501">
        <v>998</v>
      </c>
      <c r="J501">
        <v>1960</v>
      </c>
      <c r="K501" s="4">
        <v>44735</v>
      </c>
      <c r="L501" t="s">
        <v>30</v>
      </c>
      <c r="M501" t="s">
        <v>33</v>
      </c>
      <c r="N501">
        <v>2.04</v>
      </c>
      <c r="O501">
        <v>1967</v>
      </c>
      <c r="P501">
        <v>0.28999999999999998</v>
      </c>
      <c r="Q501">
        <v>297</v>
      </c>
      <c r="R501">
        <v>488</v>
      </c>
    </row>
    <row r="502" spans="1:18" hidden="1" x14ac:dyDescent="0.2">
      <c r="A502">
        <v>2</v>
      </c>
      <c r="B502" t="s">
        <v>61</v>
      </c>
      <c r="E502" t="s">
        <v>19</v>
      </c>
      <c r="F502">
        <v>1967222</v>
      </c>
      <c r="G502">
        <v>2</v>
      </c>
      <c r="H502">
        <v>2</v>
      </c>
      <c r="I502">
        <v>996</v>
      </c>
      <c r="J502">
        <v>1965</v>
      </c>
      <c r="K502" s="4">
        <v>45550</v>
      </c>
      <c r="L502" t="s">
        <v>30</v>
      </c>
      <c r="M502" t="s">
        <v>52</v>
      </c>
      <c r="N502">
        <v>1.94</v>
      </c>
      <c r="O502">
        <v>2043</v>
      </c>
      <c r="P502">
        <v>4.67</v>
      </c>
      <c r="Q502">
        <v>78</v>
      </c>
      <c r="R502">
        <v>461</v>
      </c>
    </row>
    <row r="503" spans="1:18" hidden="1" x14ac:dyDescent="0.2">
      <c r="A503">
        <v>6</v>
      </c>
      <c r="B503" t="s">
        <v>93</v>
      </c>
      <c r="E503" t="s">
        <v>29</v>
      </c>
      <c r="F503">
        <v>1430306</v>
      </c>
      <c r="G503">
        <v>5</v>
      </c>
      <c r="H503">
        <v>3</v>
      </c>
      <c r="I503">
        <v>447</v>
      </c>
      <c r="J503">
        <v>2007</v>
      </c>
      <c r="K503" s="4">
        <v>45228</v>
      </c>
      <c r="L503" t="s">
        <v>30</v>
      </c>
      <c r="M503" t="s">
        <v>78</v>
      </c>
      <c r="N503">
        <v>3.27</v>
      </c>
      <c r="O503">
        <v>1801</v>
      </c>
      <c r="P503">
        <v>0.48</v>
      </c>
      <c r="Q503">
        <v>337</v>
      </c>
      <c r="R503">
        <v>663</v>
      </c>
    </row>
    <row r="504" spans="1:18" hidden="1" x14ac:dyDescent="0.2">
      <c r="A504">
        <v>5</v>
      </c>
      <c r="B504" t="s">
        <v>65</v>
      </c>
      <c r="E504" t="s">
        <v>29</v>
      </c>
      <c r="F504">
        <v>2737544</v>
      </c>
      <c r="G504">
        <v>4</v>
      </c>
      <c r="H504">
        <v>2</v>
      </c>
      <c r="I504">
        <v>711</v>
      </c>
      <c r="J504">
        <v>1950</v>
      </c>
      <c r="K504" s="4">
        <v>45285</v>
      </c>
      <c r="L504" t="s">
        <v>26</v>
      </c>
      <c r="M504" t="s">
        <v>76</v>
      </c>
      <c r="N504">
        <v>2.35</v>
      </c>
      <c r="O504">
        <v>1427</v>
      </c>
      <c r="P504">
        <v>1.63</v>
      </c>
      <c r="Q504">
        <v>268</v>
      </c>
      <c r="R504">
        <v>305</v>
      </c>
    </row>
    <row r="505" spans="1:18" hidden="1" x14ac:dyDescent="0.2">
      <c r="A505">
        <v>2</v>
      </c>
      <c r="B505" t="s">
        <v>99</v>
      </c>
      <c r="E505" t="s">
        <v>29</v>
      </c>
      <c r="F505">
        <v>2794318</v>
      </c>
      <c r="G505">
        <v>2</v>
      </c>
      <c r="H505">
        <v>1</v>
      </c>
      <c r="I505">
        <v>377</v>
      </c>
      <c r="J505">
        <v>1969</v>
      </c>
      <c r="K505" s="4">
        <v>45356</v>
      </c>
      <c r="L505" t="s">
        <v>30</v>
      </c>
      <c r="M505" t="s">
        <v>33</v>
      </c>
      <c r="N505">
        <v>2.62</v>
      </c>
      <c r="O505">
        <v>874</v>
      </c>
      <c r="P505">
        <v>4.12</v>
      </c>
      <c r="Q505">
        <v>59</v>
      </c>
      <c r="R505">
        <v>578</v>
      </c>
    </row>
    <row r="506" spans="1:18" x14ac:dyDescent="0.2">
      <c r="A506">
        <v>8</v>
      </c>
      <c r="B506" t="s">
        <v>46</v>
      </c>
      <c r="C506" t="str">
        <f>VLOOKUP(B506, 'Council Area'!$A$2:$B$51, 2)</f>
        <v>Ku-ring-gai Council</v>
      </c>
      <c r="D506" t="str">
        <f>_xlfn.XLOOKUP(B506, 'Council Area'!$A$2:$A$51, 'Council Area'!$B$2:$B$51)</f>
        <v>Ku-ring-gai Council</v>
      </c>
      <c r="E506" t="s">
        <v>29</v>
      </c>
      <c r="F506">
        <v>987676</v>
      </c>
      <c r="G506">
        <v>4</v>
      </c>
      <c r="H506">
        <v>2</v>
      </c>
      <c r="I506">
        <v>486</v>
      </c>
      <c r="J506">
        <v>1989</v>
      </c>
      <c r="K506" s="4">
        <v>44935</v>
      </c>
      <c r="L506" t="s">
        <v>23</v>
      </c>
      <c r="M506" t="s">
        <v>52</v>
      </c>
      <c r="N506">
        <v>1.9</v>
      </c>
      <c r="O506">
        <v>2153</v>
      </c>
      <c r="P506">
        <v>0.59</v>
      </c>
      <c r="Q506">
        <v>212</v>
      </c>
      <c r="R506">
        <v>356</v>
      </c>
    </row>
    <row r="507" spans="1:18" hidden="1" x14ac:dyDescent="0.2">
      <c r="A507">
        <v>0</v>
      </c>
      <c r="B507" t="s">
        <v>39</v>
      </c>
      <c r="E507" t="s">
        <v>36</v>
      </c>
      <c r="F507">
        <v>1703536</v>
      </c>
      <c r="G507">
        <v>4</v>
      </c>
      <c r="H507">
        <v>2</v>
      </c>
      <c r="I507">
        <v>672</v>
      </c>
      <c r="J507">
        <v>2015</v>
      </c>
      <c r="K507" s="4">
        <v>44807</v>
      </c>
      <c r="L507" t="s">
        <v>30</v>
      </c>
      <c r="M507" t="s">
        <v>89</v>
      </c>
      <c r="N507">
        <v>1.57</v>
      </c>
      <c r="O507">
        <v>1051</v>
      </c>
      <c r="P507">
        <v>1.93</v>
      </c>
      <c r="Q507">
        <v>185</v>
      </c>
      <c r="R507">
        <v>398</v>
      </c>
    </row>
    <row r="508" spans="1:18" hidden="1" x14ac:dyDescent="0.2">
      <c r="A508">
        <v>4</v>
      </c>
      <c r="B508" t="s">
        <v>79</v>
      </c>
      <c r="E508" t="s">
        <v>51</v>
      </c>
      <c r="F508">
        <v>2050144</v>
      </c>
      <c r="G508">
        <v>6</v>
      </c>
      <c r="H508">
        <v>2</v>
      </c>
      <c r="I508">
        <v>783</v>
      </c>
      <c r="J508">
        <v>1969</v>
      </c>
      <c r="K508" s="4">
        <v>44796</v>
      </c>
      <c r="L508" t="s">
        <v>23</v>
      </c>
      <c r="M508" t="s">
        <v>33</v>
      </c>
      <c r="N508">
        <v>1.91</v>
      </c>
      <c r="O508">
        <v>1464</v>
      </c>
      <c r="P508">
        <v>3.82</v>
      </c>
      <c r="Q508">
        <v>366</v>
      </c>
      <c r="R508">
        <v>613</v>
      </c>
    </row>
    <row r="509" spans="1:18" hidden="1" x14ac:dyDescent="0.2">
      <c r="A509">
        <v>1</v>
      </c>
      <c r="B509" t="s">
        <v>48</v>
      </c>
      <c r="E509" t="s">
        <v>19</v>
      </c>
      <c r="F509">
        <v>2679967</v>
      </c>
      <c r="G509">
        <v>4</v>
      </c>
      <c r="H509">
        <v>2</v>
      </c>
      <c r="I509">
        <v>892</v>
      </c>
      <c r="J509">
        <v>1983</v>
      </c>
      <c r="K509" s="4">
        <v>44204</v>
      </c>
      <c r="L509" t="s">
        <v>23</v>
      </c>
      <c r="M509" t="s">
        <v>47</v>
      </c>
      <c r="N509">
        <v>1.77</v>
      </c>
      <c r="O509">
        <v>2124</v>
      </c>
      <c r="P509">
        <v>1.1100000000000001</v>
      </c>
      <c r="Q509">
        <v>218</v>
      </c>
      <c r="R509">
        <v>428</v>
      </c>
    </row>
    <row r="510" spans="1:18" hidden="1" x14ac:dyDescent="0.2">
      <c r="A510">
        <v>6</v>
      </c>
      <c r="B510" t="s">
        <v>72</v>
      </c>
      <c r="E510" t="s">
        <v>29</v>
      </c>
      <c r="F510">
        <v>2727080</v>
      </c>
      <c r="G510">
        <v>4</v>
      </c>
      <c r="H510">
        <v>3</v>
      </c>
      <c r="I510">
        <v>514</v>
      </c>
      <c r="J510">
        <v>1970</v>
      </c>
      <c r="K510" s="4">
        <v>44128</v>
      </c>
      <c r="L510" t="s">
        <v>20</v>
      </c>
      <c r="M510" t="s">
        <v>27</v>
      </c>
      <c r="N510">
        <v>2.44</v>
      </c>
      <c r="O510">
        <v>1307</v>
      </c>
      <c r="P510">
        <v>3.39</v>
      </c>
      <c r="Q510">
        <v>237</v>
      </c>
      <c r="R510">
        <v>435</v>
      </c>
    </row>
    <row r="511" spans="1:18" hidden="1" x14ac:dyDescent="0.2">
      <c r="A511">
        <v>9</v>
      </c>
      <c r="B511" t="s">
        <v>80</v>
      </c>
      <c r="E511" t="s">
        <v>36</v>
      </c>
      <c r="F511">
        <v>650005</v>
      </c>
      <c r="G511">
        <v>5</v>
      </c>
      <c r="H511">
        <v>1</v>
      </c>
      <c r="I511">
        <v>203</v>
      </c>
      <c r="J511">
        <v>1974</v>
      </c>
      <c r="K511" s="4">
        <v>45510</v>
      </c>
      <c r="L511" t="s">
        <v>30</v>
      </c>
      <c r="M511" t="s">
        <v>27</v>
      </c>
      <c r="N511">
        <v>2</v>
      </c>
      <c r="O511">
        <v>2343</v>
      </c>
      <c r="P511">
        <v>2.95</v>
      </c>
      <c r="Q511">
        <v>313</v>
      </c>
      <c r="R511">
        <v>453</v>
      </c>
    </row>
    <row r="512" spans="1:18" hidden="1" x14ac:dyDescent="0.2">
      <c r="A512">
        <v>0</v>
      </c>
      <c r="B512" t="s">
        <v>101</v>
      </c>
      <c r="E512" t="s">
        <v>51</v>
      </c>
      <c r="F512">
        <v>2203177</v>
      </c>
      <c r="G512">
        <v>3</v>
      </c>
      <c r="H512">
        <v>2</v>
      </c>
      <c r="I512">
        <v>629</v>
      </c>
      <c r="J512">
        <v>1950</v>
      </c>
      <c r="K512" s="4">
        <v>45661</v>
      </c>
      <c r="L512" t="s">
        <v>26</v>
      </c>
      <c r="M512" t="s">
        <v>78</v>
      </c>
      <c r="N512">
        <v>3.31</v>
      </c>
      <c r="O512">
        <v>1826</v>
      </c>
      <c r="P512">
        <v>2.92</v>
      </c>
      <c r="Q512">
        <v>179</v>
      </c>
      <c r="R512">
        <v>399</v>
      </c>
    </row>
    <row r="513" spans="1:18" hidden="1" x14ac:dyDescent="0.2">
      <c r="A513">
        <v>1</v>
      </c>
      <c r="B513" t="s">
        <v>57</v>
      </c>
      <c r="E513" t="s">
        <v>36</v>
      </c>
      <c r="F513">
        <v>1628844</v>
      </c>
      <c r="G513">
        <v>1</v>
      </c>
      <c r="H513">
        <v>1</v>
      </c>
      <c r="I513">
        <v>703</v>
      </c>
      <c r="J513">
        <v>2008</v>
      </c>
      <c r="K513" s="4">
        <v>45203</v>
      </c>
      <c r="L513" t="s">
        <v>30</v>
      </c>
      <c r="M513" t="s">
        <v>35</v>
      </c>
      <c r="N513">
        <v>1.91</v>
      </c>
      <c r="O513">
        <v>971</v>
      </c>
      <c r="P513">
        <v>2.0299999999999998</v>
      </c>
      <c r="Q513">
        <v>111</v>
      </c>
      <c r="R513">
        <v>473</v>
      </c>
    </row>
    <row r="514" spans="1:18" hidden="1" x14ac:dyDescent="0.2">
      <c r="A514">
        <v>9</v>
      </c>
      <c r="B514" t="s">
        <v>49</v>
      </c>
      <c r="E514" t="s">
        <v>29</v>
      </c>
      <c r="F514">
        <v>2046680</v>
      </c>
      <c r="G514">
        <v>2</v>
      </c>
      <c r="H514">
        <v>1</v>
      </c>
      <c r="I514">
        <v>593</v>
      </c>
      <c r="J514">
        <v>1999</v>
      </c>
      <c r="K514" s="4">
        <v>45449</v>
      </c>
      <c r="L514" t="s">
        <v>26</v>
      </c>
      <c r="M514" t="s">
        <v>24</v>
      </c>
      <c r="N514">
        <v>2.97</v>
      </c>
      <c r="O514">
        <v>2263</v>
      </c>
      <c r="P514">
        <v>4.72</v>
      </c>
      <c r="Q514">
        <v>81</v>
      </c>
      <c r="R514">
        <v>486</v>
      </c>
    </row>
    <row r="515" spans="1:18" hidden="1" x14ac:dyDescent="0.2">
      <c r="A515">
        <v>7</v>
      </c>
      <c r="B515" t="s">
        <v>34</v>
      </c>
      <c r="E515" t="s">
        <v>19</v>
      </c>
      <c r="F515">
        <v>674186</v>
      </c>
      <c r="G515">
        <v>2</v>
      </c>
      <c r="H515">
        <v>3</v>
      </c>
      <c r="I515">
        <v>993</v>
      </c>
      <c r="J515">
        <v>1990</v>
      </c>
      <c r="K515" s="4">
        <v>45120</v>
      </c>
      <c r="L515" t="s">
        <v>30</v>
      </c>
      <c r="M515" t="s">
        <v>58</v>
      </c>
      <c r="N515">
        <v>2.93</v>
      </c>
      <c r="O515">
        <v>1715</v>
      </c>
      <c r="P515">
        <v>4.9000000000000004</v>
      </c>
      <c r="Q515">
        <v>114</v>
      </c>
      <c r="R515">
        <v>313</v>
      </c>
    </row>
    <row r="516" spans="1:18" hidden="1" x14ac:dyDescent="0.2">
      <c r="A516">
        <v>1</v>
      </c>
      <c r="B516" t="s">
        <v>55</v>
      </c>
      <c r="E516" t="s">
        <v>51</v>
      </c>
      <c r="F516">
        <v>2345221</v>
      </c>
      <c r="G516">
        <v>2</v>
      </c>
      <c r="H516">
        <v>2</v>
      </c>
      <c r="I516">
        <v>999</v>
      </c>
      <c r="J516">
        <v>1975</v>
      </c>
      <c r="K516" s="4">
        <v>44253</v>
      </c>
      <c r="L516" t="s">
        <v>20</v>
      </c>
      <c r="M516" t="s">
        <v>59</v>
      </c>
      <c r="N516">
        <v>1.84</v>
      </c>
      <c r="O516">
        <v>2012</v>
      </c>
      <c r="P516">
        <v>2.2200000000000002</v>
      </c>
      <c r="Q516">
        <v>68</v>
      </c>
      <c r="R516">
        <v>658</v>
      </c>
    </row>
    <row r="517" spans="1:18" hidden="1" x14ac:dyDescent="0.2">
      <c r="A517">
        <v>5</v>
      </c>
      <c r="B517" t="s">
        <v>87</v>
      </c>
      <c r="E517" t="s">
        <v>19</v>
      </c>
      <c r="F517">
        <v>1119741</v>
      </c>
      <c r="G517">
        <v>0</v>
      </c>
      <c r="H517">
        <v>1</v>
      </c>
      <c r="I517">
        <v>521</v>
      </c>
      <c r="J517">
        <v>1985</v>
      </c>
      <c r="K517" s="4">
        <v>45586</v>
      </c>
      <c r="L517" t="s">
        <v>26</v>
      </c>
      <c r="M517" t="s">
        <v>97</v>
      </c>
      <c r="N517">
        <v>3.29</v>
      </c>
      <c r="O517">
        <v>1868</v>
      </c>
      <c r="P517">
        <v>4.0199999999999996</v>
      </c>
      <c r="Q517">
        <v>62</v>
      </c>
      <c r="R517">
        <v>423</v>
      </c>
    </row>
    <row r="518" spans="1:18" hidden="1" x14ac:dyDescent="0.2">
      <c r="A518">
        <v>1</v>
      </c>
      <c r="B518" t="s">
        <v>73</v>
      </c>
      <c r="E518" t="s">
        <v>19</v>
      </c>
      <c r="F518">
        <v>1702323</v>
      </c>
      <c r="G518">
        <v>3</v>
      </c>
      <c r="H518">
        <v>3</v>
      </c>
      <c r="I518">
        <v>605</v>
      </c>
      <c r="J518">
        <v>1976</v>
      </c>
      <c r="K518" s="4">
        <v>45591</v>
      </c>
      <c r="L518" t="s">
        <v>30</v>
      </c>
      <c r="M518" t="s">
        <v>21</v>
      </c>
      <c r="N518">
        <v>2.06</v>
      </c>
      <c r="O518">
        <v>2444</v>
      </c>
      <c r="P518">
        <v>3.32</v>
      </c>
      <c r="Q518">
        <v>161</v>
      </c>
      <c r="R518">
        <v>675</v>
      </c>
    </row>
    <row r="519" spans="1:18" x14ac:dyDescent="0.2">
      <c r="A519">
        <v>8</v>
      </c>
      <c r="B519" t="s">
        <v>106</v>
      </c>
      <c r="C519" t="str">
        <f>VLOOKUP(B519, 'Council Area'!$A$2:$B$51, 2)</f>
        <v>Hornsby Shire Council</v>
      </c>
      <c r="D519" t="str">
        <f>_xlfn.XLOOKUP(B519, 'Council Area'!$A$2:$A$51, 'Council Area'!$B$2:$B$51)</f>
        <v>Hornsby Shire Council</v>
      </c>
      <c r="E519" t="s">
        <v>29</v>
      </c>
      <c r="F519">
        <v>2755253</v>
      </c>
      <c r="G519">
        <v>4</v>
      </c>
      <c r="H519">
        <v>3</v>
      </c>
      <c r="I519">
        <v>193</v>
      </c>
      <c r="J519">
        <v>2018</v>
      </c>
      <c r="K519" s="4">
        <v>45112</v>
      </c>
      <c r="L519" t="s">
        <v>23</v>
      </c>
      <c r="M519" t="s">
        <v>97</v>
      </c>
      <c r="N519">
        <v>2.16</v>
      </c>
      <c r="O519">
        <v>2012</v>
      </c>
      <c r="P519">
        <v>0.14000000000000001</v>
      </c>
      <c r="Q519">
        <v>358</v>
      </c>
      <c r="R519">
        <v>670</v>
      </c>
    </row>
    <row r="520" spans="1:18" hidden="1" x14ac:dyDescent="0.2">
      <c r="A520">
        <v>3</v>
      </c>
      <c r="B520" t="s">
        <v>93</v>
      </c>
      <c r="E520" t="s">
        <v>19</v>
      </c>
      <c r="F520">
        <v>2802020</v>
      </c>
      <c r="G520">
        <v>3</v>
      </c>
      <c r="H520">
        <v>3</v>
      </c>
      <c r="I520">
        <v>936</v>
      </c>
      <c r="J520">
        <v>2017</v>
      </c>
      <c r="K520" s="4">
        <v>44792</v>
      </c>
      <c r="L520" t="s">
        <v>26</v>
      </c>
      <c r="M520" t="s">
        <v>42</v>
      </c>
      <c r="N520">
        <v>2.0699999999999998</v>
      </c>
      <c r="O520">
        <v>1544</v>
      </c>
      <c r="P520">
        <v>1.73</v>
      </c>
      <c r="Q520">
        <v>242</v>
      </c>
      <c r="R520">
        <v>308</v>
      </c>
    </row>
    <row r="521" spans="1:18" hidden="1" x14ac:dyDescent="0.2">
      <c r="A521">
        <v>2</v>
      </c>
      <c r="B521" t="s">
        <v>44</v>
      </c>
      <c r="E521" t="s">
        <v>51</v>
      </c>
      <c r="F521">
        <v>1546245</v>
      </c>
      <c r="G521">
        <v>4</v>
      </c>
      <c r="H521">
        <v>1</v>
      </c>
      <c r="I521">
        <v>220</v>
      </c>
      <c r="J521">
        <v>1985</v>
      </c>
      <c r="K521" s="4">
        <v>44067</v>
      </c>
      <c r="L521" t="s">
        <v>26</v>
      </c>
      <c r="M521" t="s">
        <v>52</v>
      </c>
      <c r="N521">
        <v>3.18</v>
      </c>
      <c r="O521">
        <v>1917</v>
      </c>
      <c r="P521">
        <v>2.08</v>
      </c>
      <c r="Q521">
        <v>220</v>
      </c>
      <c r="R521">
        <v>363</v>
      </c>
    </row>
    <row r="522" spans="1:18" hidden="1" x14ac:dyDescent="0.2">
      <c r="A522">
        <v>3</v>
      </c>
      <c r="B522" t="s">
        <v>62</v>
      </c>
      <c r="E522" t="s">
        <v>19</v>
      </c>
      <c r="F522">
        <v>2944339</v>
      </c>
      <c r="G522">
        <v>6</v>
      </c>
      <c r="H522">
        <v>3</v>
      </c>
      <c r="I522">
        <v>426</v>
      </c>
      <c r="J522">
        <v>1962</v>
      </c>
      <c r="K522" s="4">
        <v>45040</v>
      </c>
      <c r="L522" t="s">
        <v>30</v>
      </c>
      <c r="M522" t="s">
        <v>82</v>
      </c>
      <c r="N522">
        <v>3.31</v>
      </c>
      <c r="O522">
        <v>1134</v>
      </c>
      <c r="P522">
        <v>3.97</v>
      </c>
      <c r="Q522">
        <v>381</v>
      </c>
      <c r="R522">
        <v>613</v>
      </c>
    </row>
    <row r="523" spans="1:18" hidden="1" x14ac:dyDescent="0.2">
      <c r="A523">
        <v>6</v>
      </c>
      <c r="B523" t="s">
        <v>72</v>
      </c>
      <c r="E523" t="s">
        <v>19</v>
      </c>
      <c r="F523">
        <v>1058838</v>
      </c>
      <c r="G523">
        <v>4</v>
      </c>
      <c r="H523">
        <v>1</v>
      </c>
      <c r="I523">
        <v>181</v>
      </c>
      <c r="J523">
        <v>1957</v>
      </c>
      <c r="K523" s="4">
        <v>45656</v>
      </c>
      <c r="L523" t="s">
        <v>26</v>
      </c>
      <c r="M523" t="s">
        <v>85</v>
      </c>
      <c r="N523">
        <v>2.2400000000000002</v>
      </c>
      <c r="O523">
        <v>1197</v>
      </c>
      <c r="P523">
        <v>4.26</v>
      </c>
      <c r="Q523">
        <v>285</v>
      </c>
      <c r="R523">
        <v>302</v>
      </c>
    </row>
    <row r="524" spans="1:18" hidden="1" x14ac:dyDescent="0.2">
      <c r="A524">
        <v>1</v>
      </c>
      <c r="B524" t="s">
        <v>65</v>
      </c>
      <c r="E524" t="s">
        <v>36</v>
      </c>
      <c r="F524">
        <v>1330115</v>
      </c>
      <c r="G524">
        <v>3</v>
      </c>
      <c r="H524">
        <v>3</v>
      </c>
      <c r="I524">
        <v>652</v>
      </c>
      <c r="J524">
        <v>1994</v>
      </c>
      <c r="K524" s="4">
        <v>45231</v>
      </c>
      <c r="L524" t="s">
        <v>26</v>
      </c>
      <c r="M524" t="s">
        <v>68</v>
      </c>
      <c r="N524">
        <v>2.3199999999999998</v>
      </c>
      <c r="O524">
        <v>1357</v>
      </c>
      <c r="P524">
        <v>1.49</v>
      </c>
      <c r="Q524">
        <v>292</v>
      </c>
      <c r="R524">
        <v>311</v>
      </c>
    </row>
    <row r="525" spans="1:18" x14ac:dyDescent="0.2">
      <c r="A525">
        <v>8</v>
      </c>
      <c r="B525" t="s">
        <v>65</v>
      </c>
      <c r="C525" t="str">
        <f>VLOOKUP(B525, 'Council Area'!$A$2:$B$51, 2)</f>
        <v>Sutherland Shire Council</v>
      </c>
      <c r="D525" t="str">
        <f>_xlfn.XLOOKUP(B525, 'Council Area'!$A$2:$A$51, 'Council Area'!$B$2:$B$51)</f>
        <v>Sutherland Shire Council</v>
      </c>
      <c r="E525" t="s">
        <v>51</v>
      </c>
      <c r="F525">
        <v>1388611</v>
      </c>
      <c r="G525">
        <v>1</v>
      </c>
      <c r="H525">
        <v>2</v>
      </c>
      <c r="I525">
        <v>146</v>
      </c>
      <c r="J525">
        <v>2006</v>
      </c>
      <c r="K525" s="4">
        <v>44326</v>
      </c>
      <c r="L525" t="s">
        <v>20</v>
      </c>
      <c r="M525" t="s">
        <v>42</v>
      </c>
      <c r="N525">
        <v>3.35</v>
      </c>
      <c r="O525">
        <v>1851</v>
      </c>
      <c r="P525">
        <v>3.31</v>
      </c>
      <c r="Q525">
        <v>96</v>
      </c>
      <c r="R525">
        <v>612</v>
      </c>
    </row>
    <row r="526" spans="1:18" hidden="1" x14ac:dyDescent="0.2">
      <c r="A526">
        <v>4</v>
      </c>
      <c r="B526" t="s">
        <v>44</v>
      </c>
      <c r="E526" t="s">
        <v>36</v>
      </c>
      <c r="F526">
        <v>1847095</v>
      </c>
      <c r="G526">
        <v>0</v>
      </c>
      <c r="H526">
        <v>1</v>
      </c>
      <c r="I526">
        <v>686</v>
      </c>
      <c r="J526">
        <v>1959</v>
      </c>
      <c r="K526" s="4">
        <v>44736</v>
      </c>
      <c r="L526" t="s">
        <v>23</v>
      </c>
      <c r="M526" t="s">
        <v>35</v>
      </c>
      <c r="N526">
        <v>1.73</v>
      </c>
      <c r="O526">
        <v>1664</v>
      </c>
      <c r="P526">
        <v>3.9</v>
      </c>
      <c r="Q526">
        <v>45</v>
      </c>
      <c r="R526">
        <v>371</v>
      </c>
    </row>
    <row r="527" spans="1:18" hidden="1" x14ac:dyDescent="0.2">
      <c r="A527">
        <v>1</v>
      </c>
      <c r="B527" t="s">
        <v>43</v>
      </c>
      <c r="E527" t="s">
        <v>36</v>
      </c>
      <c r="F527">
        <v>2941171</v>
      </c>
      <c r="G527">
        <v>1</v>
      </c>
      <c r="H527">
        <v>2</v>
      </c>
      <c r="I527">
        <v>227</v>
      </c>
      <c r="J527">
        <v>2006</v>
      </c>
      <c r="K527" s="4">
        <v>44219</v>
      </c>
      <c r="L527" t="s">
        <v>20</v>
      </c>
      <c r="M527" t="s">
        <v>60</v>
      </c>
      <c r="N527">
        <v>1.62</v>
      </c>
      <c r="O527">
        <v>2251</v>
      </c>
      <c r="P527">
        <v>4.09</v>
      </c>
      <c r="Q527">
        <v>50</v>
      </c>
      <c r="R527">
        <v>312</v>
      </c>
    </row>
    <row r="528" spans="1:18" hidden="1" x14ac:dyDescent="0.2">
      <c r="A528">
        <v>5</v>
      </c>
      <c r="B528" t="s">
        <v>102</v>
      </c>
      <c r="E528" t="s">
        <v>19</v>
      </c>
      <c r="F528">
        <v>2710022</v>
      </c>
      <c r="G528">
        <v>2</v>
      </c>
      <c r="H528">
        <v>2</v>
      </c>
      <c r="I528">
        <v>707</v>
      </c>
      <c r="J528">
        <v>1995</v>
      </c>
      <c r="K528" s="4">
        <v>44130</v>
      </c>
      <c r="L528" t="s">
        <v>23</v>
      </c>
      <c r="M528" t="s">
        <v>59</v>
      </c>
      <c r="N528">
        <v>2.39</v>
      </c>
      <c r="O528">
        <v>2102</v>
      </c>
      <c r="P528">
        <v>4.54</v>
      </c>
      <c r="Q528">
        <v>45</v>
      </c>
      <c r="R528">
        <v>621</v>
      </c>
    </row>
    <row r="529" spans="1:18" hidden="1" x14ac:dyDescent="0.2">
      <c r="A529">
        <v>1</v>
      </c>
      <c r="B529" t="s">
        <v>53</v>
      </c>
      <c r="E529" t="s">
        <v>51</v>
      </c>
      <c r="F529">
        <v>1241543</v>
      </c>
      <c r="G529">
        <v>3</v>
      </c>
      <c r="H529">
        <v>3</v>
      </c>
      <c r="I529">
        <v>807</v>
      </c>
      <c r="J529">
        <v>2007</v>
      </c>
      <c r="K529" s="4">
        <v>44215</v>
      </c>
      <c r="L529" t="s">
        <v>26</v>
      </c>
      <c r="M529" t="s">
        <v>40</v>
      </c>
      <c r="N529">
        <v>2.2000000000000002</v>
      </c>
      <c r="O529">
        <v>1159</v>
      </c>
      <c r="P529">
        <v>3.99</v>
      </c>
      <c r="Q529">
        <v>252</v>
      </c>
      <c r="R529">
        <v>499</v>
      </c>
    </row>
    <row r="530" spans="1:18" hidden="1" x14ac:dyDescent="0.2">
      <c r="A530">
        <v>9</v>
      </c>
      <c r="B530" t="s">
        <v>34</v>
      </c>
      <c r="E530" t="s">
        <v>19</v>
      </c>
      <c r="F530">
        <v>480849</v>
      </c>
      <c r="G530">
        <v>4</v>
      </c>
      <c r="H530">
        <v>3</v>
      </c>
      <c r="I530">
        <v>813</v>
      </c>
      <c r="J530">
        <v>1960</v>
      </c>
      <c r="K530" s="4">
        <v>44779</v>
      </c>
      <c r="L530" t="s">
        <v>26</v>
      </c>
      <c r="M530" t="s">
        <v>97</v>
      </c>
      <c r="N530">
        <v>1.55</v>
      </c>
      <c r="O530">
        <v>2483</v>
      </c>
      <c r="P530">
        <v>1.06</v>
      </c>
      <c r="Q530">
        <v>358</v>
      </c>
      <c r="R530">
        <v>456</v>
      </c>
    </row>
    <row r="531" spans="1:18" hidden="1" x14ac:dyDescent="0.2">
      <c r="A531">
        <v>1</v>
      </c>
      <c r="B531" t="s">
        <v>38</v>
      </c>
      <c r="E531" t="s">
        <v>51</v>
      </c>
      <c r="F531">
        <v>1450769</v>
      </c>
      <c r="G531">
        <v>4</v>
      </c>
      <c r="H531">
        <v>2</v>
      </c>
      <c r="I531">
        <v>132</v>
      </c>
      <c r="J531">
        <v>1988</v>
      </c>
      <c r="K531" s="4">
        <v>45068</v>
      </c>
      <c r="L531" t="s">
        <v>26</v>
      </c>
      <c r="M531" t="s">
        <v>27</v>
      </c>
      <c r="N531">
        <v>2.5499999999999998</v>
      </c>
      <c r="O531">
        <v>880</v>
      </c>
      <c r="P531">
        <v>4.16</v>
      </c>
      <c r="Q531">
        <v>237</v>
      </c>
      <c r="R531">
        <v>653</v>
      </c>
    </row>
    <row r="532" spans="1:18" hidden="1" x14ac:dyDescent="0.2">
      <c r="A532">
        <v>6</v>
      </c>
      <c r="B532" t="s">
        <v>75</v>
      </c>
      <c r="E532" t="s">
        <v>19</v>
      </c>
      <c r="F532">
        <v>832147</v>
      </c>
      <c r="G532">
        <v>4</v>
      </c>
      <c r="H532">
        <v>2</v>
      </c>
      <c r="I532">
        <v>383</v>
      </c>
      <c r="J532">
        <v>1973</v>
      </c>
      <c r="K532" s="4">
        <v>45102</v>
      </c>
      <c r="L532" t="s">
        <v>20</v>
      </c>
      <c r="M532" t="s">
        <v>42</v>
      </c>
      <c r="N532">
        <v>1.7</v>
      </c>
      <c r="O532">
        <v>2481</v>
      </c>
      <c r="P532">
        <v>0.73</v>
      </c>
      <c r="Q532">
        <v>349</v>
      </c>
      <c r="R532">
        <v>640</v>
      </c>
    </row>
    <row r="533" spans="1:18" x14ac:dyDescent="0.2">
      <c r="A533">
        <v>8</v>
      </c>
      <c r="B533" t="s">
        <v>57</v>
      </c>
      <c r="C533" t="str">
        <f>VLOOKUP(B533, 'Council Area'!$A$2:$B$51, 2)</f>
        <v>Blacktown City Council</v>
      </c>
      <c r="D533" t="str">
        <f>_xlfn.XLOOKUP(B533, 'Council Area'!$A$2:$A$51, 'Council Area'!$B$2:$B$51)</f>
        <v>Blacktown City Council</v>
      </c>
      <c r="E533" t="s">
        <v>19</v>
      </c>
      <c r="F533">
        <v>1573906</v>
      </c>
      <c r="G533">
        <v>4</v>
      </c>
      <c r="H533">
        <v>2</v>
      </c>
      <c r="I533">
        <v>612</v>
      </c>
      <c r="J533">
        <v>2004</v>
      </c>
      <c r="K533" s="4">
        <v>44880</v>
      </c>
      <c r="L533" t="s">
        <v>30</v>
      </c>
      <c r="M533" t="s">
        <v>78</v>
      </c>
      <c r="N533">
        <v>1.57</v>
      </c>
      <c r="O533">
        <v>1566</v>
      </c>
      <c r="P533">
        <v>2.72</v>
      </c>
      <c r="Q533">
        <v>246</v>
      </c>
      <c r="R533">
        <v>351</v>
      </c>
    </row>
    <row r="534" spans="1:18" hidden="1" x14ac:dyDescent="0.2">
      <c r="A534">
        <v>1</v>
      </c>
      <c r="B534" t="s">
        <v>101</v>
      </c>
      <c r="E534" t="s">
        <v>36</v>
      </c>
      <c r="F534">
        <v>2815359</v>
      </c>
      <c r="G534">
        <v>3</v>
      </c>
      <c r="H534">
        <v>1</v>
      </c>
      <c r="I534">
        <v>216</v>
      </c>
      <c r="J534">
        <v>1978</v>
      </c>
      <c r="K534" s="4">
        <v>44563</v>
      </c>
      <c r="L534" t="s">
        <v>26</v>
      </c>
      <c r="M534" t="s">
        <v>58</v>
      </c>
      <c r="N534">
        <v>3.27</v>
      </c>
      <c r="O534">
        <v>2072</v>
      </c>
      <c r="P534">
        <v>4.25</v>
      </c>
      <c r="Q534">
        <v>177</v>
      </c>
      <c r="R534">
        <v>636</v>
      </c>
    </row>
    <row r="535" spans="1:18" hidden="1" x14ac:dyDescent="0.2">
      <c r="A535">
        <v>9</v>
      </c>
      <c r="B535" t="s">
        <v>71</v>
      </c>
      <c r="E535" t="s">
        <v>19</v>
      </c>
      <c r="F535">
        <v>2591438</v>
      </c>
      <c r="G535">
        <v>2</v>
      </c>
      <c r="H535">
        <v>3</v>
      </c>
      <c r="I535">
        <v>953</v>
      </c>
      <c r="J535">
        <v>1995</v>
      </c>
      <c r="K535" s="4">
        <v>45236</v>
      </c>
      <c r="L535" t="s">
        <v>20</v>
      </c>
      <c r="M535" t="s">
        <v>35</v>
      </c>
      <c r="N535">
        <v>2.25</v>
      </c>
      <c r="O535">
        <v>1197</v>
      </c>
      <c r="P535">
        <v>4.17</v>
      </c>
      <c r="Q535">
        <v>188</v>
      </c>
      <c r="R535">
        <v>330</v>
      </c>
    </row>
    <row r="536" spans="1:18" hidden="1" x14ac:dyDescent="0.2">
      <c r="A536">
        <v>9</v>
      </c>
      <c r="B536" t="s">
        <v>25</v>
      </c>
      <c r="E536" t="s">
        <v>36</v>
      </c>
      <c r="F536">
        <v>1590250</v>
      </c>
      <c r="G536">
        <v>5</v>
      </c>
      <c r="H536">
        <v>2</v>
      </c>
      <c r="I536">
        <v>673</v>
      </c>
      <c r="J536">
        <v>1961</v>
      </c>
      <c r="K536" s="4">
        <v>45117</v>
      </c>
      <c r="L536" t="s">
        <v>20</v>
      </c>
      <c r="M536" t="s">
        <v>78</v>
      </c>
      <c r="N536">
        <v>2.5499999999999998</v>
      </c>
      <c r="O536">
        <v>1565</v>
      </c>
      <c r="P536">
        <v>2.75</v>
      </c>
      <c r="Q536">
        <v>387</v>
      </c>
      <c r="R536">
        <v>319</v>
      </c>
    </row>
    <row r="537" spans="1:18" hidden="1" x14ac:dyDescent="0.2">
      <c r="A537">
        <v>9</v>
      </c>
      <c r="B537" t="s">
        <v>106</v>
      </c>
      <c r="E537" t="s">
        <v>19</v>
      </c>
      <c r="F537">
        <v>2305510</v>
      </c>
      <c r="G537">
        <v>0</v>
      </c>
      <c r="H537">
        <v>2</v>
      </c>
      <c r="I537">
        <v>553</v>
      </c>
      <c r="J537">
        <v>2017</v>
      </c>
      <c r="K537" s="4">
        <v>45192</v>
      </c>
      <c r="L537" t="s">
        <v>30</v>
      </c>
      <c r="M537" t="s">
        <v>35</v>
      </c>
      <c r="N537">
        <v>1.82</v>
      </c>
      <c r="O537">
        <v>1191</v>
      </c>
      <c r="P537">
        <v>3.91</v>
      </c>
      <c r="Q537">
        <v>46</v>
      </c>
      <c r="R537">
        <v>327</v>
      </c>
    </row>
    <row r="538" spans="1:18" hidden="1" x14ac:dyDescent="0.2">
      <c r="A538">
        <v>9</v>
      </c>
      <c r="B538" t="s">
        <v>64</v>
      </c>
      <c r="E538" t="s">
        <v>19</v>
      </c>
      <c r="F538">
        <v>960840</v>
      </c>
      <c r="G538">
        <v>5</v>
      </c>
      <c r="H538">
        <v>2</v>
      </c>
      <c r="I538">
        <v>465</v>
      </c>
      <c r="J538">
        <v>1992</v>
      </c>
      <c r="K538" s="4">
        <v>45244</v>
      </c>
      <c r="L538" t="s">
        <v>20</v>
      </c>
      <c r="M538" t="s">
        <v>45</v>
      </c>
      <c r="N538">
        <v>2.93</v>
      </c>
      <c r="O538">
        <v>2334</v>
      </c>
      <c r="P538">
        <v>2.68</v>
      </c>
      <c r="Q538">
        <v>357</v>
      </c>
      <c r="R538">
        <v>353</v>
      </c>
    </row>
    <row r="539" spans="1:18" x14ac:dyDescent="0.2">
      <c r="A539">
        <v>8</v>
      </c>
      <c r="B539" t="s">
        <v>98</v>
      </c>
      <c r="C539" t="str">
        <f>VLOOKUP(B539, 'Council Area'!$A$2:$B$51, 2)</f>
        <v>Parramatta City Council</v>
      </c>
      <c r="D539" t="str">
        <f>_xlfn.XLOOKUP(B539, 'Council Area'!$A$2:$A$51, 'Council Area'!$B$2:$B$51)</f>
        <v>Parramatta City Council</v>
      </c>
      <c r="E539" t="s">
        <v>29</v>
      </c>
      <c r="F539">
        <v>1340353</v>
      </c>
      <c r="G539">
        <v>2</v>
      </c>
      <c r="H539">
        <v>1</v>
      </c>
      <c r="I539">
        <v>317</v>
      </c>
      <c r="J539">
        <v>1967</v>
      </c>
      <c r="K539" s="4">
        <v>45512</v>
      </c>
      <c r="L539" t="s">
        <v>30</v>
      </c>
      <c r="M539" t="s">
        <v>89</v>
      </c>
      <c r="N539">
        <v>2.13</v>
      </c>
      <c r="O539">
        <v>2467</v>
      </c>
      <c r="P539">
        <v>0.23</v>
      </c>
      <c r="Q539">
        <v>62</v>
      </c>
      <c r="R539">
        <v>590</v>
      </c>
    </row>
    <row r="540" spans="1:18" hidden="1" x14ac:dyDescent="0.2">
      <c r="A540">
        <v>6</v>
      </c>
      <c r="B540" t="s">
        <v>57</v>
      </c>
      <c r="E540" t="s">
        <v>29</v>
      </c>
      <c r="F540">
        <v>2660614</v>
      </c>
      <c r="G540">
        <v>3</v>
      </c>
      <c r="H540">
        <v>3</v>
      </c>
      <c r="I540">
        <v>187</v>
      </c>
      <c r="J540">
        <v>2002</v>
      </c>
      <c r="K540" s="4">
        <v>45378</v>
      </c>
      <c r="L540" t="s">
        <v>20</v>
      </c>
      <c r="M540" t="s">
        <v>42</v>
      </c>
      <c r="N540">
        <v>1.87</v>
      </c>
      <c r="O540">
        <v>2179</v>
      </c>
      <c r="P540">
        <v>0.36</v>
      </c>
      <c r="Q540">
        <v>275</v>
      </c>
      <c r="R540">
        <v>518</v>
      </c>
    </row>
    <row r="541" spans="1:18" hidden="1" x14ac:dyDescent="0.2">
      <c r="A541">
        <v>7</v>
      </c>
      <c r="B541" t="s">
        <v>86</v>
      </c>
      <c r="E541" t="s">
        <v>29</v>
      </c>
      <c r="F541">
        <v>991767</v>
      </c>
      <c r="G541">
        <v>6</v>
      </c>
      <c r="H541">
        <v>3</v>
      </c>
      <c r="I541">
        <v>804</v>
      </c>
      <c r="J541">
        <v>1985</v>
      </c>
      <c r="K541" s="4">
        <v>44568</v>
      </c>
      <c r="L541" t="s">
        <v>30</v>
      </c>
      <c r="M541" t="s">
        <v>27</v>
      </c>
      <c r="N541">
        <v>2.81</v>
      </c>
      <c r="O541">
        <v>2248</v>
      </c>
      <c r="P541">
        <v>4.66</v>
      </c>
      <c r="Q541">
        <v>359</v>
      </c>
      <c r="R541">
        <v>499</v>
      </c>
    </row>
    <row r="542" spans="1:18" hidden="1" x14ac:dyDescent="0.2">
      <c r="A542">
        <v>4</v>
      </c>
      <c r="B542" t="s">
        <v>80</v>
      </c>
      <c r="E542" t="s">
        <v>36</v>
      </c>
      <c r="F542">
        <v>1642308</v>
      </c>
      <c r="G542">
        <v>4</v>
      </c>
      <c r="H542">
        <v>1</v>
      </c>
      <c r="I542">
        <v>207</v>
      </c>
      <c r="J542">
        <v>1957</v>
      </c>
      <c r="K542" s="4">
        <v>45838</v>
      </c>
      <c r="L542" t="s">
        <v>20</v>
      </c>
      <c r="M542" t="s">
        <v>69</v>
      </c>
      <c r="N542">
        <v>1.9</v>
      </c>
      <c r="O542">
        <v>2318</v>
      </c>
      <c r="P542">
        <v>3.35</v>
      </c>
      <c r="Q542">
        <v>216</v>
      </c>
      <c r="R542">
        <v>320</v>
      </c>
    </row>
    <row r="543" spans="1:18" hidden="1" x14ac:dyDescent="0.2">
      <c r="A543">
        <v>5</v>
      </c>
      <c r="B543" t="s">
        <v>106</v>
      </c>
      <c r="E543" t="s">
        <v>29</v>
      </c>
      <c r="F543">
        <v>1657682</v>
      </c>
      <c r="G543">
        <v>4</v>
      </c>
      <c r="H543">
        <v>1</v>
      </c>
      <c r="I543">
        <v>692</v>
      </c>
      <c r="J543">
        <v>1992</v>
      </c>
      <c r="K543" s="4">
        <v>44496</v>
      </c>
      <c r="L543" t="s">
        <v>30</v>
      </c>
      <c r="M543" t="s">
        <v>82</v>
      </c>
      <c r="N543">
        <v>2.0099999999999998</v>
      </c>
      <c r="O543">
        <v>2101</v>
      </c>
      <c r="P543">
        <v>3.63</v>
      </c>
      <c r="Q543">
        <v>175</v>
      </c>
      <c r="R543">
        <v>323</v>
      </c>
    </row>
    <row r="544" spans="1:18" hidden="1" x14ac:dyDescent="0.2">
      <c r="A544">
        <v>9</v>
      </c>
      <c r="B544" t="s">
        <v>72</v>
      </c>
      <c r="E544" t="s">
        <v>19</v>
      </c>
      <c r="F544">
        <v>1033161</v>
      </c>
      <c r="G544">
        <v>1</v>
      </c>
      <c r="H544">
        <v>1</v>
      </c>
      <c r="I544">
        <v>823</v>
      </c>
      <c r="J544">
        <v>1979</v>
      </c>
      <c r="K544" s="4">
        <v>44410</v>
      </c>
      <c r="L544" t="s">
        <v>20</v>
      </c>
      <c r="M544" t="s">
        <v>74</v>
      </c>
      <c r="N544">
        <v>2.87</v>
      </c>
      <c r="O544">
        <v>1167</v>
      </c>
      <c r="P544">
        <v>1.1599999999999999</v>
      </c>
      <c r="Q544">
        <v>82</v>
      </c>
      <c r="R544">
        <v>676</v>
      </c>
    </row>
    <row r="545" spans="1:18" x14ac:dyDescent="0.2">
      <c r="A545">
        <v>8</v>
      </c>
      <c r="B545" t="s">
        <v>100</v>
      </c>
      <c r="C545" t="str">
        <f>VLOOKUP(B545, 'Council Area'!$A$2:$B$51, 2)</f>
        <v>Northern Beaches Council</v>
      </c>
      <c r="D545" t="str">
        <f>_xlfn.XLOOKUP(B545, 'Council Area'!$A$2:$A$51, 'Council Area'!$B$2:$B$51)</f>
        <v>Northern Beaches Council</v>
      </c>
      <c r="E545" t="s">
        <v>36</v>
      </c>
      <c r="F545">
        <v>2596099</v>
      </c>
      <c r="G545">
        <v>1</v>
      </c>
      <c r="H545">
        <v>2</v>
      </c>
      <c r="I545">
        <v>796</v>
      </c>
      <c r="J545">
        <v>1969</v>
      </c>
      <c r="K545" s="4">
        <v>44612</v>
      </c>
      <c r="L545" t="s">
        <v>30</v>
      </c>
      <c r="M545" t="s">
        <v>76</v>
      </c>
      <c r="N545">
        <v>2.4700000000000002</v>
      </c>
      <c r="O545">
        <v>942</v>
      </c>
      <c r="P545">
        <v>4.16</v>
      </c>
      <c r="Q545">
        <v>42</v>
      </c>
      <c r="R545">
        <v>577</v>
      </c>
    </row>
    <row r="546" spans="1:18" hidden="1" x14ac:dyDescent="0.2">
      <c r="A546">
        <v>4</v>
      </c>
      <c r="B546" t="s">
        <v>71</v>
      </c>
      <c r="E546" t="s">
        <v>36</v>
      </c>
      <c r="F546">
        <v>2614625</v>
      </c>
      <c r="G546">
        <v>2</v>
      </c>
      <c r="H546">
        <v>3</v>
      </c>
      <c r="I546">
        <v>782</v>
      </c>
      <c r="J546">
        <v>1966</v>
      </c>
      <c r="K546" s="4">
        <v>45434</v>
      </c>
      <c r="L546" t="s">
        <v>26</v>
      </c>
      <c r="M546" t="s">
        <v>66</v>
      </c>
      <c r="N546">
        <v>2.82</v>
      </c>
      <c r="O546">
        <v>2160</v>
      </c>
      <c r="P546">
        <v>1.76</v>
      </c>
      <c r="Q546">
        <v>178</v>
      </c>
      <c r="R546">
        <v>409</v>
      </c>
    </row>
    <row r="547" spans="1:18" hidden="1" x14ac:dyDescent="0.2">
      <c r="A547">
        <v>1</v>
      </c>
      <c r="B547" t="s">
        <v>96</v>
      </c>
      <c r="E547" t="s">
        <v>36</v>
      </c>
      <c r="F547">
        <v>2734057</v>
      </c>
      <c r="G547">
        <v>5</v>
      </c>
      <c r="H547">
        <v>2</v>
      </c>
      <c r="I547">
        <v>121</v>
      </c>
      <c r="J547">
        <v>1999</v>
      </c>
      <c r="K547" s="4">
        <v>45483</v>
      </c>
      <c r="L547" t="s">
        <v>30</v>
      </c>
      <c r="M547" t="s">
        <v>37</v>
      </c>
      <c r="N547">
        <v>3.18</v>
      </c>
      <c r="O547">
        <v>1868</v>
      </c>
      <c r="P547">
        <v>4.45</v>
      </c>
      <c r="Q547">
        <v>281</v>
      </c>
      <c r="R547">
        <v>498</v>
      </c>
    </row>
    <row r="548" spans="1:18" x14ac:dyDescent="0.2">
      <c r="A548">
        <v>8</v>
      </c>
      <c r="B548" t="s">
        <v>39</v>
      </c>
      <c r="C548" t="str">
        <f>VLOOKUP(B548, 'Council Area'!$A$2:$B$51, 2)</f>
        <v>Hornsby Shire Council</v>
      </c>
      <c r="D548" t="str">
        <f>_xlfn.XLOOKUP(B548, 'Council Area'!$A$2:$A$51, 'Council Area'!$B$2:$B$51)</f>
        <v>Hornsby Shire Council</v>
      </c>
      <c r="E548" t="s">
        <v>36</v>
      </c>
      <c r="F548">
        <v>1272387</v>
      </c>
      <c r="G548">
        <v>1</v>
      </c>
      <c r="H548">
        <v>1</v>
      </c>
      <c r="I548">
        <v>761</v>
      </c>
      <c r="J548">
        <v>1974</v>
      </c>
      <c r="K548" s="4">
        <v>44611</v>
      </c>
      <c r="L548" t="s">
        <v>26</v>
      </c>
      <c r="M548" t="s">
        <v>21</v>
      </c>
      <c r="N548">
        <v>3.42</v>
      </c>
      <c r="O548">
        <v>2314</v>
      </c>
      <c r="P548">
        <v>1.1599999999999999</v>
      </c>
      <c r="Q548">
        <v>53</v>
      </c>
      <c r="R548">
        <v>661</v>
      </c>
    </row>
    <row r="549" spans="1:18" hidden="1" x14ac:dyDescent="0.2">
      <c r="A549">
        <v>2</v>
      </c>
      <c r="B549" t="s">
        <v>100</v>
      </c>
      <c r="E549" t="s">
        <v>19</v>
      </c>
      <c r="F549">
        <v>1785739</v>
      </c>
      <c r="G549">
        <v>5</v>
      </c>
      <c r="H549">
        <v>3</v>
      </c>
      <c r="I549">
        <v>339</v>
      </c>
      <c r="J549">
        <v>2013</v>
      </c>
      <c r="K549" s="4">
        <v>45845</v>
      </c>
      <c r="L549" t="s">
        <v>30</v>
      </c>
      <c r="M549" t="s">
        <v>60</v>
      </c>
      <c r="N549">
        <v>1.57</v>
      </c>
      <c r="O549">
        <v>2149</v>
      </c>
      <c r="P549">
        <v>2.98</v>
      </c>
      <c r="Q549">
        <v>339</v>
      </c>
      <c r="R549">
        <v>460</v>
      </c>
    </row>
    <row r="550" spans="1:18" x14ac:dyDescent="0.2">
      <c r="A550">
        <v>8</v>
      </c>
      <c r="B550" t="s">
        <v>98</v>
      </c>
      <c r="C550" t="str">
        <f>VLOOKUP(B550, 'Council Area'!$A$2:$B$51, 2)</f>
        <v>Parramatta City Council</v>
      </c>
      <c r="D550" t="str">
        <f>_xlfn.XLOOKUP(B550, 'Council Area'!$A$2:$A$51, 'Council Area'!$B$2:$B$51)</f>
        <v>Parramatta City Council</v>
      </c>
      <c r="E550" t="s">
        <v>19</v>
      </c>
      <c r="F550">
        <v>1468035</v>
      </c>
      <c r="G550">
        <v>1</v>
      </c>
      <c r="H550">
        <v>1</v>
      </c>
      <c r="I550">
        <v>937</v>
      </c>
      <c r="J550">
        <v>1960</v>
      </c>
      <c r="K550" s="4">
        <v>44843</v>
      </c>
      <c r="L550" t="s">
        <v>26</v>
      </c>
      <c r="M550" t="s">
        <v>78</v>
      </c>
      <c r="N550">
        <v>3.09</v>
      </c>
      <c r="O550">
        <v>1541</v>
      </c>
      <c r="P550">
        <v>2.98</v>
      </c>
      <c r="Q550">
        <v>69</v>
      </c>
      <c r="R550">
        <v>497</v>
      </c>
    </row>
    <row r="551" spans="1:18" hidden="1" x14ac:dyDescent="0.2">
      <c r="A551">
        <v>7</v>
      </c>
      <c r="B551" t="s">
        <v>55</v>
      </c>
      <c r="E551" t="s">
        <v>19</v>
      </c>
      <c r="F551">
        <v>2076646</v>
      </c>
      <c r="G551">
        <v>3</v>
      </c>
      <c r="H551">
        <v>3</v>
      </c>
      <c r="I551">
        <v>266</v>
      </c>
      <c r="J551">
        <v>1988</v>
      </c>
      <c r="K551" s="4">
        <v>44672</v>
      </c>
      <c r="L551" t="s">
        <v>30</v>
      </c>
      <c r="M551" t="s">
        <v>42</v>
      </c>
      <c r="N551">
        <v>2.48</v>
      </c>
      <c r="O551">
        <v>1663</v>
      </c>
      <c r="P551">
        <v>3.4</v>
      </c>
      <c r="Q551">
        <v>260</v>
      </c>
      <c r="R551">
        <v>612</v>
      </c>
    </row>
    <row r="552" spans="1:18" hidden="1" x14ac:dyDescent="0.2">
      <c r="A552">
        <v>2</v>
      </c>
      <c r="B552" t="s">
        <v>90</v>
      </c>
      <c r="E552" t="s">
        <v>29</v>
      </c>
      <c r="F552">
        <v>2316676</v>
      </c>
      <c r="G552">
        <v>3</v>
      </c>
      <c r="H552">
        <v>3</v>
      </c>
      <c r="I552">
        <v>148</v>
      </c>
      <c r="J552">
        <v>1986</v>
      </c>
      <c r="K552" s="4">
        <v>45444</v>
      </c>
      <c r="L552" t="s">
        <v>30</v>
      </c>
      <c r="M552" t="s">
        <v>47</v>
      </c>
      <c r="N552">
        <v>3.46</v>
      </c>
      <c r="O552">
        <v>2429</v>
      </c>
      <c r="P552">
        <v>1.55</v>
      </c>
      <c r="Q552">
        <v>109</v>
      </c>
      <c r="R552">
        <v>541</v>
      </c>
    </row>
    <row r="553" spans="1:18" hidden="1" x14ac:dyDescent="0.2">
      <c r="A553">
        <v>4</v>
      </c>
      <c r="B553" t="s">
        <v>87</v>
      </c>
      <c r="E553" t="s">
        <v>29</v>
      </c>
      <c r="F553">
        <v>675395</v>
      </c>
      <c r="G553">
        <v>1</v>
      </c>
      <c r="H553">
        <v>2</v>
      </c>
      <c r="I553">
        <v>757</v>
      </c>
      <c r="J553">
        <v>1992</v>
      </c>
      <c r="K553" s="4">
        <v>45227</v>
      </c>
      <c r="L553" t="s">
        <v>30</v>
      </c>
      <c r="M553" t="s">
        <v>35</v>
      </c>
      <c r="N553">
        <v>2.95</v>
      </c>
      <c r="O553">
        <v>901</v>
      </c>
      <c r="P553">
        <v>2.1800000000000002</v>
      </c>
      <c r="Q553">
        <v>84</v>
      </c>
      <c r="R553">
        <v>407</v>
      </c>
    </row>
    <row r="554" spans="1:18" hidden="1" x14ac:dyDescent="0.2">
      <c r="A554">
        <v>5</v>
      </c>
      <c r="B554" t="s">
        <v>72</v>
      </c>
      <c r="E554" t="s">
        <v>19</v>
      </c>
      <c r="F554">
        <v>2625059</v>
      </c>
      <c r="G554">
        <v>0</v>
      </c>
      <c r="H554">
        <v>2</v>
      </c>
      <c r="I554">
        <v>902</v>
      </c>
      <c r="J554">
        <v>2010</v>
      </c>
      <c r="K554" s="4">
        <v>44630</v>
      </c>
      <c r="L554" t="s">
        <v>26</v>
      </c>
      <c r="M554" t="s">
        <v>97</v>
      </c>
      <c r="N554">
        <v>2.96</v>
      </c>
      <c r="O554">
        <v>2324</v>
      </c>
      <c r="P554">
        <v>2.94</v>
      </c>
      <c r="Q554">
        <v>49</v>
      </c>
      <c r="R554">
        <v>693</v>
      </c>
    </row>
    <row r="555" spans="1:18" hidden="1" x14ac:dyDescent="0.2">
      <c r="A555">
        <v>2</v>
      </c>
      <c r="B555" t="s">
        <v>81</v>
      </c>
      <c r="E555" t="s">
        <v>36</v>
      </c>
      <c r="F555">
        <v>2460996</v>
      </c>
      <c r="G555">
        <v>3</v>
      </c>
      <c r="H555">
        <v>3</v>
      </c>
      <c r="I555">
        <v>831</v>
      </c>
      <c r="J555">
        <v>2019</v>
      </c>
      <c r="K555" s="4">
        <v>44301</v>
      </c>
      <c r="L555" t="s">
        <v>23</v>
      </c>
      <c r="M555" t="s">
        <v>69</v>
      </c>
      <c r="N555">
        <v>2.92</v>
      </c>
      <c r="O555">
        <v>1442</v>
      </c>
      <c r="P555">
        <v>4.4400000000000004</v>
      </c>
      <c r="Q555">
        <v>99</v>
      </c>
      <c r="R555">
        <v>469</v>
      </c>
    </row>
    <row r="556" spans="1:18" x14ac:dyDescent="0.2">
      <c r="A556">
        <v>8</v>
      </c>
      <c r="B556" t="s">
        <v>96</v>
      </c>
      <c r="C556" t="str">
        <f>VLOOKUP(B556, 'Council Area'!$A$2:$B$51, 2)</f>
        <v>Ku-ring-gai Council</v>
      </c>
      <c r="D556" t="str">
        <f>_xlfn.XLOOKUP(B556, 'Council Area'!$A$2:$A$51, 'Council Area'!$B$2:$B$51)</f>
        <v>Ku-ring-gai Council</v>
      </c>
      <c r="E556" t="s">
        <v>51</v>
      </c>
      <c r="F556">
        <v>2043730</v>
      </c>
      <c r="G556">
        <v>2</v>
      </c>
      <c r="H556">
        <v>2</v>
      </c>
      <c r="I556">
        <v>836</v>
      </c>
      <c r="J556">
        <v>1997</v>
      </c>
      <c r="K556" s="4">
        <v>44189</v>
      </c>
      <c r="L556" t="s">
        <v>30</v>
      </c>
      <c r="M556" t="s">
        <v>54</v>
      </c>
      <c r="N556">
        <v>3.22</v>
      </c>
      <c r="O556">
        <v>1254</v>
      </c>
      <c r="P556">
        <v>0.65</v>
      </c>
      <c r="Q556">
        <v>179</v>
      </c>
      <c r="R556">
        <v>393</v>
      </c>
    </row>
    <row r="557" spans="1:18" hidden="1" x14ac:dyDescent="0.2">
      <c r="A557">
        <v>4</v>
      </c>
      <c r="B557" t="s">
        <v>102</v>
      </c>
      <c r="E557" t="s">
        <v>36</v>
      </c>
      <c r="F557">
        <v>2546281</v>
      </c>
      <c r="G557">
        <v>2</v>
      </c>
      <c r="H557">
        <v>3</v>
      </c>
      <c r="I557">
        <v>213</v>
      </c>
      <c r="J557">
        <v>1964</v>
      </c>
      <c r="K557" s="4">
        <v>45538</v>
      </c>
      <c r="L557" t="s">
        <v>23</v>
      </c>
      <c r="M557" t="s">
        <v>54</v>
      </c>
      <c r="N557">
        <v>2.63</v>
      </c>
      <c r="O557">
        <v>2035</v>
      </c>
      <c r="P557">
        <v>3.83</v>
      </c>
      <c r="Q557">
        <v>171</v>
      </c>
      <c r="R557">
        <v>691</v>
      </c>
    </row>
    <row r="558" spans="1:18" x14ac:dyDescent="0.2">
      <c r="A558">
        <v>8</v>
      </c>
      <c r="B558" t="s">
        <v>106</v>
      </c>
      <c r="C558" t="str">
        <f>VLOOKUP(B558, 'Council Area'!$A$2:$B$51, 2)</f>
        <v>Hornsby Shire Council</v>
      </c>
      <c r="D558" t="str">
        <f>_xlfn.XLOOKUP(B558, 'Council Area'!$A$2:$A$51, 'Council Area'!$B$2:$B$51)</f>
        <v>Hornsby Shire Council</v>
      </c>
      <c r="E558" t="s">
        <v>36</v>
      </c>
      <c r="F558">
        <v>1528674</v>
      </c>
      <c r="G558">
        <v>3</v>
      </c>
      <c r="H558">
        <v>3</v>
      </c>
      <c r="I558">
        <v>861</v>
      </c>
      <c r="J558">
        <v>1995</v>
      </c>
      <c r="K558" s="4">
        <v>44788</v>
      </c>
      <c r="L558" t="s">
        <v>23</v>
      </c>
      <c r="M558" t="s">
        <v>24</v>
      </c>
      <c r="N558">
        <v>2.57</v>
      </c>
      <c r="O558">
        <v>2082</v>
      </c>
      <c r="P558">
        <v>1.22</v>
      </c>
      <c r="Q558">
        <v>161</v>
      </c>
      <c r="R558">
        <v>528</v>
      </c>
    </row>
    <row r="559" spans="1:18" hidden="1" x14ac:dyDescent="0.2">
      <c r="A559">
        <v>3</v>
      </c>
      <c r="B559" t="s">
        <v>83</v>
      </c>
      <c r="E559" t="s">
        <v>19</v>
      </c>
      <c r="F559">
        <v>2576838</v>
      </c>
      <c r="G559">
        <v>3</v>
      </c>
      <c r="H559">
        <v>3</v>
      </c>
      <c r="I559">
        <v>529</v>
      </c>
      <c r="J559">
        <v>2006</v>
      </c>
      <c r="K559" s="4">
        <v>44147</v>
      </c>
      <c r="L559" t="s">
        <v>26</v>
      </c>
      <c r="M559" t="s">
        <v>24</v>
      </c>
      <c r="N559">
        <v>1.69</v>
      </c>
      <c r="O559">
        <v>2475</v>
      </c>
      <c r="P559">
        <v>2.97</v>
      </c>
      <c r="Q559">
        <v>195</v>
      </c>
      <c r="R559">
        <v>348</v>
      </c>
    </row>
    <row r="560" spans="1:18" hidden="1" x14ac:dyDescent="0.2">
      <c r="A560">
        <v>5</v>
      </c>
      <c r="B560" t="s">
        <v>46</v>
      </c>
      <c r="E560" t="s">
        <v>29</v>
      </c>
      <c r="F560">
        <v>617246</v>
      </c>
      <c r="G560">
        <v>6</v>
      </c>
      <c r="H560">
        <v>3</v>
      </c>
      <c r="I560">
        <v>443</v>
      </c>
      <c r="J560">
        <v>1990</v>
      </c>
      <c r="K560" s="4">
        <v>45713</v>
      </c>
      <c r="L560" t="s">
        <v>23</v>
      </c>
      <c r="M560" t="s">
        <v>82</v>
      </c>
      <c r="N560">
        <v>2.73</v>
      </c>
      <c r="O560">
        <v>2280</v>
      </c>
      <c r="P560">
        <v>3.94</v>
      </c>
      <c r="Q560">
        <v>395</v>
      </c>
      <c r="R560">
        <v>632</v>
      </c>
    </row>
    <row r="561" spans="1:18" hidden="1" x14ac:dyDescent="0.2">
      <c r="A561">
        <v>5</v>
      </c>
      <c r="B561" t="s">
        <v>99</v>
      </c>
      <c r="E561" t="s">
        <v>51</v>
      </c>
      <c r="F561">
        <v>1956610</v>
      </c>
      <c r="G561">
        <v>3</v>
      </c>
      <c r="H561">
        <v>2</v>
      </c>
      <c r="I561">
        <v>588</v>
      </c>
      <c r="J561">
        <v>2000</v>
      </c>
      <c r="K561" s="4">
        <v>44609</v>
      </c>
      <c r="L561" t="s">
        <v>23</v>
      </c>
      <c r="M561" t="s">
        <v>24</v>
      </c>
      <c r="N561">
        <v>1.77</v>
      </c>
      <c r="O561">
        <v>2466</v>
      </c>
      <c r="P561">
        <v>4.47</v>
      </c>
      <c r="Q561">
        <v>173</v>
      </c>
      <c r="R561">
        <v>700</v>
      </c>
    </row>
    <row r="562" spans="1:18" hidden="1" x14ac:dyDescent="0.2">
      <c r="A562">
        <v>2</v>
      </c>
      <c r="B562" t="s">
        <v>84</v>
      </c>
      <c r="E562" t="s">
        <v>19</v>
      </c>
      <c r="F562">
        <v>1940541</v>
      </c>
      <c r="G562">
        <v>2</v>
      </c>
      <c r="H562">
        <v>2</v>
      </c>
      <c r="I562">
        <v>757</v>
      </c>
      <c r="J562">
        <v>2004</v>
      </c>
      <c r="K562" s="4">
        <v>45835</v>
      </c>
      <c r="L562" t="s">
        <v>23</v>
      </c>
      <c r="M562" t="s">
        <v>40</v>
      </c>
      <c r="N562">
        <v>3.29</v>
      </c>
      <c r="O562">
        <v>2116</v>
      </c>
      <c r="P562">
        <v>2.95</v>
      </c>
      <c r="Q562">
        <v>169</v>
      </c>
      <c r="R562">
        <v>694</v>
      </c>
    </row>
    <row r="563" spans="1:18" hidden="1" x14ac:dyDescent="0.2">
      <c r="A563">
        <v>0</v>
      </c>
      <c r="B563" t="s">
        <v>34</v>
      </c>
      <c r="E563" t="s">
        <v>29</v>
      </c>
      <c r="F563">
        <v>1013161</v>
      </c>
      <c r="G563">
        <v>2</v>
      </c>
      <c r="H563">
        <v>2</v>
      </c>
      <c r="I563">
        <v>647</v>
      </c>
      <c r="J563">
        <v>1982</v>
      </c>
      <c r="K563" s="4">
        <v>45385</v>
      </c>
      <c r="L563" t="s">
        <v>23</v>
      </c>
      <c r="M563" t="s">
        <v>63</v>
      </c>
      <c r="N563">
        <v>1.77</v>
      </c>
      <c r="O563">
        <v>2224</v>
      </c>
      <c r="P563">
        <v>4.29</v>
      </c>
      <c r="Q563">
        <v>150</v>
      </c>
      <c r="R563">
        <v>596</v>
      </c>
    </row>
    <row r="564" spans="1:18" hidden="1" x14ac:dyDescent="0.2">
      <c r="A564">
        <v>4</v>
      </c>
      <c r="B564" t="s">
        <v>73</v>
      </c>
      <c r="E564" t="s">
        <v>36</v>
      </c>
      <c r="F564">
        <v>2938780</v>
      </c>
      <c r="G564">
        <v>0</v>
      </c>
      <c r="H564">
        <v>3</v>
      </c>
      <c r="I564">
        <v>72</v>
      </c>
      <c r="J564">
        <v>1981</v>
      </c>
      <c r="K564" s="4">
        <v>45889</v>
      </c>
      <c r="L564" t="s">
        <v>30</v>
      </c>
      <c r="M564" t="s">
        <v>54</v>
      </c>
      <c r="N564">
        <v>3.25</v>
      </c>
      <c r="O564">
        <v>1075</v>
      </c>
      <c r="P564">
        <v>4.95</v>
      </c>
      <c r="Q564">
        <v>74</v>
      </c>
      <c r="R564">
        <v>495</v>
      </c>
    </row>
    <row r="565" spans="1:18" hidden="1" x14ac:dyDescent="0.2">
      <c r="A565">
        <v>0</v>
      </c>
      <c r="B565" t="s">
        <v>18</v>
      </c>
      <c r="E565" t="s">
        <v>51</v>
      </c>
      <c r="F565">
        <v>2640766</v>
      </c>
      <c r="G565">
        <v>5</v>
      </c>
      <c r="H565">
        <v>1</v>
      </c>
      <c r="I565">
        <v>125</v>
      </c>
      <c r="J565">
        <v>1957</v>
      </c>
      <c r="K565" s="4">
        <v>44747</v>
      </c>
      <c r="L565" t="s">
        <v>26</v>
      </c>
      <c r="M565" t="s">
        <v>63</v>
      </c>
      <c r="N565">
        <v>3.03</v>
      </c>
      <c r="O565">
        <v>2103</v>
      </c>
      <c r="P565">
        <v>4.33</v>
      </c>
      <c r="Q565">
        <v>337</v>
      </c>
      <c r="R565">
        <v>455</v>
      </c>
    </row>
    <row r="566" spans="1:18" hidden="1" x14ac:dyDescent="0.2">
      <c r="A566">
        <v>3</v>
      </c>
      <c r="B566" t="s">
        <v>106</v>
      </c>
      <c r="E566" t="s">
        <v>29</v>
      </c>
      <c r="F566">
        <v>2361242</v>
      </c>
      <c r="G566">
        <v>4</v>
      </c>
      <c r="H566">
        <v>3</v>
      </c>
      <c r="I566">
        <v>252</v>
      </c>
      <c r="J566">
        <v>2012</v>
      </c>
      <c r="K566" s="4">
        <v>44962</v>
      </c>
      <c r="L566" t="s">
        <v>26</v>
      </c>
      <c r="M566" t="s">
        <v>66</v>
      </c>
      <c r="N566">
        <v>1.99</v>
      </c>
      <c r="O566">
        <v>2270</v>
      </c>
      <c r="P566">
        <v>0.46</v>
      </c>
      <c r="Q566">
        <v>326</v>
      </c>
      <c r="R566">
        <v>560</v>
      </c>
    </row>
    <row r="567" spans="1:18" hidden="1" x14ac:dyDescent="0.2">
      <c r="A567">
        <v>9</v>
      </c>
      <c r="B567" t="s">
        <v>75</v>
      </c>
      <c r="E567" t="s">
        <v>29</v>
      </c>
      <c r="F567">
        <v>2576616</v>
      </c>
      <c r="G567">
        <v>1</v>
      </c>
      <c r="H567">
        <v>3</v>
      </c>
      <c r="I567">
        <v>778</v>
      </c>
      <c r="J567">
        <v>1995</v>
      </c>
      <c r="K567" s="4">
        <v>44932</v>
      </c>
      <c r="L567" t="s">
        <v>20</v>
      </c>
      <c r="M567" t="s">
        <v>78</v>
      </c>
      <c r="N567">
        <v>2.85</v>
      </c>
      <c r="O567">
        <v>2169</v>
      </c>
      <c r="P567">
        <v>0.73</v>
      </c>
      <c r="Q567">
        <v>50</v>
      </c>
      <c r="R567">
        <v>639</v>
      </c>
    </row>
    <row r="568" spans="1:18" hidden="1" x14ac:dyDescent="0.2">
      <c r="A568">
        <v>2</v>
      </c>
      <c r="B568" t="s">
        <v>84</v>
      </c>
      <c r="E568" t="s">
        <v>29</v>
      </c>
      <c r="F568">
        <v>1812113</v>
      </c>
      <c r="G568">
        <v>5</v>
      </c>
      <c r="H568">
        <v>3</v>
      </c>
      <c r="I568">
        <v>979</v>
      </c>
      <c r="J568">
        <v>1983</v>
      </c>
      <c r="K568" s="4">
        <v>45610</v>
      </c>
      <c r="L568" t="s">
        <v>26</v>
      </c>
      <c r="M568" t="s">
        <v>52</v>
      </c>
      <c r="N568">
        <v>2.0299999999999998</v>
      </c>
      <c r="O568">
        <v>816</v>
      </c>
      <c r="P568">
        <v>1.85</v>
      </c>
      <c r="Q568">
        <v>300</v>
      </c>
      <c r="R568">
        <v>605</v>
      </c>
    </row>
    <row r="569" spans="1:18" hidden="1" x14ac:dyDescent="0.2">
      <c r="A569">
        <v>7</v>
      </c>
      <c r="B569" t="s">
        <v>95</v>
      </c>
      <c r="E569" t="s">
        <v>36</v>
      </c>
      <c r="F569">
        <v>2910046</v>
      </c>
      <c r="G569">
        <v>2</v>
      </c>
      <c r="H569">
        <v>2</v>
      </c>
      <c r="I569">
        <v>838</v>
      </c>
      <c r="J569">
        <v>1965</v>
      </c>
      <c r="K569" s="4">
        <v>45124</v>
      </c>
      <c r="L569" t="s">
        <v>23</v>
      </c>
      <c r="M569" t="s">
        <v>37</v>
      </c>
      <c r="N569">
        <v>2.86</v>
      </c>
      <c r="O569">
        <v>2451</v>
      </c>
      <c r="P569">
        <v>3.4</v>
      </c>
      <c r="Q569">
        <v>60</v>
      </c>
      <c r="R569">
        <v>374</v>
      </c>
    </row>
    <row r="570" spans="1:18" hidden="1" x14ac:dyDescent="0.2">
      <c r="A570">
        <v>7</v>
      </c>
      <c r="B570" t="s">
        <v>55</v>
      </c>
      <c r="E570" t="s">
        <v>29</v>
      </c>
      <c r="F570">
        <v>1459656</v>
      </c>
      <c r="G570">
        <v>4</v>
      </c>
      <c r="H570">
        <v>2</v>
      </c>
      <c r="I570">
        <v>284</v>
      </c>
      <c r="J570">
        <v>2011</v>
      </c>
      <c r="K570" s="4">
        <v>45793</v>
      </c>
      <c r="L570" t="s">
        <v>26</v>
      </c>
      <c r="M570" t="s">
        <v>54</v>
      </c>
      <c r="N570">
        <v>1.77</v>
      </c>
      <c r="O570">
        <v>2153</v>
      </c>
      <c r="P570">
        <v>4.63</v>
      </c>
      <c r="Q570">
        <v>370</v>
      </c>
      <c r="R570">
        <v>700</v>
      </c>
    </row>
    <row r="571" spans="1:18" hidden="1" x14ac:dyDescent="0.2">
      <c r="A571">
        <v>6</v>
      </c>
      <c r="B571" t="s">
        <v>84</v>
      </c>
      <c r="E571" t="s">
        <v>19</v>
      </c>
      <c r="F571">
        <v>2397039</v>
      </c>
      <c r="G571">
        <v>2</v>
      </c>
      <c r="H571">
        <v>2</v>
      </c>
      <c r="I571">
        <v>994</v>
      </c>
      <c r="J571">
        <v>2021</v>
      </c>
      <c r="K571" s="4">
        <v>45093</v>
      </c>
      <c r="L571" t="s">
        <v>30</v>
      </c>
      <c r="M571" t="s">
        <v>33</v>
      </c>
      <c r="N571">
        <v>3.33</v>
      </c>
      <c r="O571">
        <v>1713</v>
      </c>
      <c r="P571">
        <v>0.93</v>
      </c>
      <c r="Q571">
        <v>49</v>
      </c>
      <c r="R571">
        <v>345</v>
      </c>
    </row>
    <row r="572" spans="1:18" hidden="1" x14ac:dyDescent="0.2">
      <c r="A572">
        <v>9</v>
      </c>
      <c r="B572" t="s">
        <v>67</v>
      </c>
      <c r="E572" t="s">
        <v>51</v>
      </c>
      <c r="F572">
        <v>1089487</v>
      </c>
      <c r="G572">
        <v>2</v>
      </c>
      <c r="H572">
        <v>1</v>
      </c>
      <c r="I572">
        <v>110</v>
      </c>
      <c r="J572">
        <v>2019</v>
      </c>
      <c r="K572" s="4">
        <v>45114</v>
      </c>
      <c r="L572" t="s">
        <v>23</v>
      </c>
      <c r="M572" t="s">
        <v>58</v>
      </c>
      <c r="N572">
        <v>2.72</v>
      </c>
      <c r="O572">
        <v>2051</v>
      </c>
      <c r="P572">
        <v>0.38</v>
      </c>
      <c r="Q572">
        <v>139</v>
      </c>
      <c r="R572">
        <v>616</v>
      </c>
    </row>
    <row r="573" spans="1:18" hidden="1" x14ac:dyDescent="0.2">
      <c r="A573">
        <v>4</v>
      </c>
      <c r="B573" t="s">
        <v>75</v>
      </c>
      <c r="E573" t="s">
        <v>19</v>
      </c>
      <c r="F573">
        <v>2196891</v>
      </c>
      <c r="G573">
        <v>5</v>
      </c>
      <c r="H573">
        <v>2</v>
      </c>
      <c r="I573">
        <v>600</v>
      </c>
      <c r="J573">
        <v>1996</v>
      </c>
      <c r="K573" s="4">
        <v>45020</v>
      </c>
      <c r="L573" t="s">
        <v>26</v>
      </c>
      <c r="M573" t="s">
        <v>33</v>
      </c>
      <c r="N573">
        <v>1.59</v>
      </c>
      <c r="O573">
        <v>1002</v>
      </c>
      <c r="P573">
        <v>4.96</v>
      </c>
      <c r="Q573">
        <v>315</v>
      </c>
      <c r="R573">
        <v>540</v>
      </c>
    </row>
    <row r="574" spans="1:18" hidden="1" x14ac:dyDescent="0.2">
      <c r="A574">
        <v>2</v>
      </c>
      <c r="B574" t="s">
        <v>44</v>
      </c>
      <c r="E574" t="s">
        <v>51</v>
      </c>
      <c r="F574">
        <v>670837</v>
      </c>
      <c r="G574">
        <v>4</v>
      </c>
      <c r="H574">
        <v>1</v>
      </c>
      <c r="I574">
        <v>951</v>
      </c>
      <c r="J574">
        <v>1975</v>
      </c>
      <c r="K574" s="4">
        <v>44901</v>
      </c>
      <c r="L574" t="s">
        <v>20</v>
      </c>
      <c r="M574" t="s">
        <v>69</v>
      </c>
      <c r="N574">
        <v>1.56</v>
      </c>
      <c r="O574">
        <v>901</v>
      </c>
      <c r="P574">
        <v>2.96</v>
      </c>
      <c r="Q574">
        <v>190</v>
      </c>
      <c r="R574">
        <v>406</v>
      </c>
    </row>
    <row r="575" spans="1:18" hidden="1" x14ac:dyDescent="0.2">
      <c r="A575">
        <v>5</v>
      </c>
      <c r="B575" t="s">
        <v>43</v>
      </c>
      <c r="E575" t="s">
        <v>36</v>
      </c>
      <c r="F575">
        <v>742496</v>
      </c>
      <c r="G575">
        <v>2</v>
      </c>
      <c r="H575">
        <v>2</v>
      </c>
      <c r="I575">
        <v>401</v>
      </c>
      <c r="J575">
        <v>2011</v>
      </c>
      <c r="K575" s="4">
        <v>45612</v>
      </c>
      <c r="L575" t="s">
        <v>20</v>
      </c>
      <c r="M575" t="s">
        <v>45</v>
      </c>
      <c r="N575">
        <v>1.53</v>
      </c>
      <c r="O575">
        <v>1122</v>
      </c>
      <c r="P575">
        <v>3.87</v>
      </c>
      <c r="Q575">
        <v>144</v>
      </c>
      <c r="R575">
        <v>399</v>
      </c>
    </row>
    <row r="576" spans="1:18" hidden="1" x14ac:dyDescent="0.2">
      <c r="A576">
        <v>9</v>
      </c>
      <c r="B576" t="s">
        <v>41</v>
      </c>
      <c r="E576" t="s">
        <v>29</v>
      </c>
      <c r="F576">
        <v>437377</v>
      </c>
      <c r="G576">
        <v>3</v>
      </c>
      <c r="H576">
        <v>1</v>
      </c>
      <c r="I576">
        <v>89</v>
      </c>
      <c r="J576">
        <v>1975</v>
      </c>
      <c r="K576" s="4">
        <v>44538</v>
      </c>
      <c r="L576" t="s">
        <v>26</v>
      </c>
      <c r="M576" t="s">
        <v>56</v>
      </c>
      <c r="N576">
        <v>2.12</v>
      </c>
      <c r="O576">
        <v>2207</v>
      </c>
      <c r="P576">
        <v>3.35</v>
      </c>
      <c r="Q576">
        <v>150</v>
      </c>
      <c r="R576">
        <v>335</v>
      </c>
    </row>
    <row r="577" spans="1:18" hidden="1" x14ac:dyDescent="0.2">
      <c r="A577">
        <v>7</v>
      </c>
      <c r="B577" t="s">
        <v>93</v>
      </c>
      <c r="E577" t="s">
        <v>51</v>
      </c>
      <c r="F577">
        <v>858002</v>
      </c>
      <c r="G577">
        <v>4</v>
      </c>
      <c r="H577">
        <v>3</v>
      </c>
      <c r="I577">
        <v>508</v>
      </c>
      <c r="J577">
        <v>1959</v>
      </c>
      <c r="K577" s="4">
        <v>44209</v>
      </c>
      <c r="L577" t="s">
        <v>20</v>
      </c>
      <c r="M577" t="s">
        <v>70</v>
      </c>
      <c r="N577">
        <v>3.41</v>
      </c>
      <c r="O577">
        <v>989</v>
      </c>
      <c r="P577">
        <v>2.73</v>
      </c>
      <c r="Q577">
        <v>273</v>
      </c>
      <c r="R577">
        <v>472</v>
      </c>
    </row>
    <row r="578" spans="1:18" x14ac:dyDescent="0.2">
      <c r="A578">
        <v>8</v>
      </c>
      <c r="B578" t="s">
        <v>83</v>
      </c>
      <c r="C578" t="str">
        <f>VLOOKUP(B578, 'Council Area'!$A$2:$B$51, 2)</f>
        <v>Canterbury-Bankstown Council</v>
      </c>
      <c r="D578" t="str">
        <f>_xlfn.XLOOKUP(B578, 'Council Area'!$A$2:$A$51, 'Council Area'!$B$2:$B$51)</f>
        <v>Canterbury-Bankstown Council</v>
      </c>
      <c r="E578" t="s">
        <v>19</v>
      </c>
      <c r="F578">
        <v>2402702</v>
      </c>
      <c r="G578">
        <v>5</v>
      </c>
      <c r="H578">
        <v>2</v>
      </c>
      <c r="I578">
        <v>435</v>
      </c>
      <c r="J578">
        <v>1983</v>
      </c>
      <c r="K578" s="4">
        <v>45101</v>
      </c>
      <c r="L578" t="s">
        <v>20</v>
      </c>
      <c r="M578" t="s">
        <v>76</v>
      </c>
      <c r="N578">
        <v>1.8</v>
      </c>
      <c r="O578">
        <v>2336</v>
      </c>
      <c r="P578">
        <v>0.83</v>
      </c>
      <c r="Q578">
        <v>344</v>
      </c>
      <c r="R578">
        <v>651</v>
      </c>
    </row>
    <row r="579" spans="1:18" hidden="1" x14ac:dyDescent="0.2">
      <c r="A579">
        <v>6</v>
      </c>
      <c r="B579" t="s">
        <v>75</v>
      </c>
      <c r="E579" t="s">
        <v>51</v>
      </c>
      <c r="F579">
        <v>933367</v>
      </c>
      <c r="G579">
        <v>5</v>
      </c>
      <c r="H579">
        <v>1</v>
      </c>
      <c r="I579">
        <v>497</v>
      </c>
      <c r="J579">
        <v>1986</v>
      </c>
      <c r="K579" s="4">
        <v>44707</v>
      </c>
      <c r="L579" t="s">
        <v>23</v>
      </c>
      <c r="M579" t="s">
        <v>69</v>
      </c>
      <c r="N579">
        <v>2.4500000000000002</v>
      </c>
      <c r="O579">
        <v>1293</v>
      </c>
      <c r="P579">
        <v>4.32</v>
      </c>
      <c r="Q579">
        <v>268</v>
      </c>
      <c r="R579">
        <v>404</v>
      </c>
    </row>
    <row r="580" spans="1:18" hidden="1" x14ac:dyDescent="0.2">
      <c r="A580">
        <v>1</v>
      </c>
      <c r="B580" t="s">
        <v>44</v>
      </c>
      <c r="E580" t="s">
        <v>29</v>
      </c>
      <c r="F580">
        <v>2931211</v>
      </c>
      <c r="G580">
        <v>5</v>
      </c>
      <c r="H580">
        <v>2</v>
      </c>
      <c r="I580">
        <v>512</v>
      </c>
      <c r="J580">
        <v>1995</v>
      </c>
      <c r="K580" s="4">
        <v>45083</v>
      </c>
      <c r="L580" t="s">
        <v>26</v>
      </c>
      <c r="M580" t="s">
        <v>59</v>
      </c>
      <c r="N580">
        <v>1.55</v>
      </c>
      <c r="O580">
        <v>909</v>
      </c>
      <c r="P580">
        <v>2.2200000000000002</v>
      </c>
      <c r="Q580">
        <v>274</v>
      </c>
      <c r="R580">
        <v>418</v>
      </c>
    </row>
    <row r="581" spans="1:18" hidden="1" x14ac:dyDescent="0.2">
      <c r="A581">
        <v>6</v>
      </c>
      <c r="B581" t="s">
        <v>55</v>
      </c>
      <c r="E581" t="s">
        <v>36</v>
      </c>
      <c r="F581">
        <v>823011</v>
      </c>
      <c r="G581">
        <v>2</v>
      </c>
      <c r="H581">
        <v>3</v>
      </c>
      <c r="I581">
        <v>168</v>
      </c>
      <c r="J581">
        <v>1980</v>
      </c>
      <c r="K581" s="4">
        <v>44597</v>
      </c>
      <c r="L581" t="s">
        <v>30</v>
      </c>
      <c r="M581" t="s">
        <v>59</v>
      </c>
      <c r="N581">
        <v>3.2</v>
      </c>
      <c r="O581">
        <v>961</v>
      </c>
      <c r="P581">
        <v>4.76</v>
      </c>
      <c r="Q581">
        <v>63</v>
      </c>
      <c r="R581">
        <v>676</v>
      </c>
    </row>
    <row r="582" spans="1:18" hidden="1" x14ac:dyDescent="0.2">
      <c r="A582">
        <v>6</v>
      </c>
      <c r="B582" t="s">
        <v>91</v>
      </c>
      <c r="E582" t="s">
        <v>36</v>
      </c>
      <c r="F582">
        <v>2437849</v>
      </c>
      <c r="G582">
        <v>4</v>
      </c>
      <c r="H582">
        <v>1</v>
      </c>
      <c r="I582">
        <v>201</v>
      </c>
      <c r="J582">
        <v>1970</v>
      </c>
      <c r="K582" s="4">
        <v>44526</v>
      </c>
      <c r="L582" t="s">
        <v>26</v>
      </c>
      <c r="M582" t="s">
        <v>76</v>
      </c>
      <c r="N582">
        <v>2.71</v>
      </c>
      <c r="O582">
        <v>1217</v>
      </c>
      <c r="P582">
        <v>0.82</v>
      </c>
      <c r="Q582">
        <v>300</v>
      </c>
      <c r="R582">
        <v>371</v>
      </c>
    </row>
    <row r="583" spans="1:18" hidden="1" x14ac:dyDescent="0.2">
      <c r="A583">
        <v>3</v>
      </c>
      <c r="B583" t="s">
        <v>44</v>
      </c>
      <c r="E583" t="s">
        <v>29</v>
      </c>
      <c r="F583">
        <v>1447954</v>
      </c>
      <c r="G583">
        <v>3</v>
      </c>
      <c r="H583">
        <v>2</v>
      </c>
      <c r="I583">
        <v>419</v>
      </c>
      <c r="J583">
        <v>2014</v>
      </c>
      <c r="K583" s="4">
        <v>44882</v>
      </c>
      <c r="L583" t="s">
        <v>26</v>
      </c>
      <c r="M583" t="s">
        <v>42</v>
      </c>
      <c r="N583">
        <v>1.93</v>
      </c>
      <c r="O583">
        <v>1590</v>
      </c>
      <c r="P583">
        <v>1.57</v>
      </c>
      <c r="Q583">
        <v>313</v>
      </c>
      <c r="R583">
        <v>642</v>
      </c>
    </row>
    <row r="584" spans="1:18" hidden="1" x14ac:dyDescent="0.2">
      <c r="A584">
        <v>2</v>
      </c>
      <c r="B584" t="s">
        <v>55</v>
      </c>
      <c r="E584" t="s">
        <v>29</v>
      </c>
      <c r="F584">
        <v>1050961</v>
      </c>
      <c r="G584">
        <v>4</v>
      </c>
      <c r="H584">
        <v>3</v>
      </c>
      <c r="I584">
        <v>342</v>
      </c>
      <c r="J584">
        <v>1975</v>
      </c>
      <c r="K584" s="4">
        <v>44431</v>
      </c>
      <c r="L584" t="s">
        <v>30</v>
      </c>
      <c r="M584" t="s">
        <v>47</v>
      </c>
      <c r="N584">
        <v>3.05</v>
      </c>
      <c r="O584">
        <v>2173</v>
      </c>
      <c r="P584">
        <v>4.1100000000000003</v>
      </c>
      <c r="Q584">
        <v>235</v>
      </c>
      <c r="R584">
        <v>538</v>
      </c>
    </row>
    <row r="585" spans="1:18" hidden="1" x14ac:dyDescent="0.2">
      <c r="A585">
        <v>2</v>
      </c>
      <c r="B585" t="s">
        <v>49</v>
      </c>
      <c r="E585" t="s">
        <v>36</v>
      </c>
      <c r="F585">
        <v>1947581</v>
      </c>
      <c r="G585">
        <v>2</v>
      </c>
      <c r="H585">
        <v>1</v>
      </c>
      <c r="I585">
        <v>79</v>
      </c>
      <c r="J585">
        <v>2000</v>
      </c>
      <c r="K585" s="4">
        <v>44418</v>
      </c>
      <c r="L585" t="s">
        <v>30</v>
      </c>
      <c r="M585" t="s">
        <v>59</v>
      </c>
      <c r="N585">
        <v>2.5</v>
      </c>
      <c r="O585">
        <v>1203</v>
      </c>
      <c r="P585">
        <v>1.76</v>
      </c>
      <c r="Q585">
        <v>70</v>
      </c>
      <c r="R585">
        <v>615</v>
      </c>
    </row>
    <row r="586" spans="1:18" hidden="1" x14ac:dyDescent="0.2">
      <c r="A586">
        <v>3</v>
      </c>
      <c r="B586" t="s">
        <v>64</v>
      </c>
      <c r="E586" t="s">
        <v>36</v>
      </c>
      <c r="F586">
        <v>2185796</v>
      </c>
      <c r="G586">
        <v>3</v>
      </c>
      <c r="H586">
        <v>2</v>
      </c>
      <c r="I586">
        <v>803</v>
      </c>
      <c r="J586">
        <v>1965</v>
      </c>
      <c r="K586" s="4">
        <v>44818</v>
      </c>
      <c r="L586" t="s">
        <v>20</v>
      </c>
      <c r="M586" t="s">
        <v>56</v>
      </c>
      <c r="N586">
        <v>2.98</v>
      </c>
      <c r="O586">
        <v>1726</v>
      </c>
      <c r="P586">
        <v>4.4800000000000004</v>
      </c>
      <c r="Q586">
        <v>121</v>
      </c>
      <c r="R586">
        <v>639</v>
      </c>
    </row>
    <row r="587" spans="1:18" hidden="1" x14ac:dyDescent="0.2">
      <c r="A587">
        <v>7</v>
      </c>
      <c r="B587" t="s">
        <v>65</v>
      </c>
      <c r="E587" t="s">
        <v>36</v>
      </c>
      <c r="F587">
        <v>712937</v>
      </c>
      <c r="G587">
        <v>6</v>
      </c>
      <c r="H587">
        <v>3</v>
      </c>
      <c r="I587">
        <v>813</v>
      </c>
      <c r="J587">
        <v>1982</v>
      </c>
      <c r="K587" s="4">
        <v>44272</v>
      </c>
      <c r="L587" t="s">
        <v>30</v>
      </c>
      <c r="M587" t="s">
        <v>27</v>
      </c>
      <c r="N587">
        <v>2.38</v>
      </c>
      <c r="O587">
        <v>1891</v>
      </c>
      <c r="P587">
        <v>4.9800000000000004</v>
      </c>
      <c r="Q587">
        <v>324</v>
      </c>
      <c r="R587">
        <v>521</v>
      </c>
    </row>
    <row r="588" spans="1:18" hidden="1" x14ac:dyDescent="0.2">
      <c r="A588">
        <v>5</v>
      </c>
      <c r="B588" t="s">
        <v>101</v>
      </c>
      <c r="E588" t="s">
        <v>29</v>
      </c>
      <c r="F588">
        <v>1714701</v>
      </c>
      <c r="G588">
        <v>1</v>
      </c>
      <c r="H588">
        <v>3</v>
      </c>
      <c r="I588">
        <v>140</v>
      </c>
      <c r="J588">
        <v>1974</v>
      </c>
      <c r="K588" s="4">
        <v>45534</v>
      </c>
      <c r="L588" t="s">
        <v>30</v>
      </c>
      <c r="M588" t="s">
        <v>42</v>
      </c>
      <c r="N588">
        <v>3.22</v>
      </c>
      <c r="O588">
        <v>2250</v>
      </c>
      <c r="P588">
        <v>1.99</v>
      </c>
      <c r="Q588">
        <v>157</v>
      </c>
      <c r="R588">
        <v>524</v>
      </c>
    </row>
    <row r="589" spans="1:18" x14ac:dyDescent="0.2">
      <c r="A589">
        <v>8</v>
      </c>
      <c r="B589" t="s">
        <v>92</v>
      </c>
      <c r="C589" t="str">
        <f>VLOOKUP(B589, 'Council Area'!$A$2:$B$51, 2)</f>
        <v>Randwick City Council</v>
      </c>
      <c r="D589" t="str">
        <f>_xlfn.XLOOKUP(B589, 'Council Area'!$A$2:$A$51, 'Council Area'!$B$2:$B$51)</f>
        <v>Randwick City Council</v>
      </c>
      <c r="E589" t="s">
        <v>36</v>
      </c>
      <c r="F589">
        <v>2623285</v>
      </c>
      <c r="G589">
        <v>6</v>
      </c>
      <c r="H589">
        <v>3</v>
      </c>
      <c r="I589">
        <v>200</v>
      </c>
      <c r="J589">
        <v>1999</v>
      </c>
      <c r="K589" s="4">
        <v>44204</v>
      </c>
      <c r="L589" t="s">
        <v>20</v>
      </c>
      <c r="M589" t="s">
        <v>27</v>
      </c>
      <c r="N589">
        <v>2.29</v>
      </c>
      <c r="O589">
        <v>914</v>
      </c>
      <c r="P589">
        <v>1.57</v>
      </c>
      <c r="Q589">
        <v>325</v>
      </c>
      <c r="R589">
        <v>489</v>
      </c>
    </row>
    <row r="590" spans="1:18" hidden="1" x14ac:dyDescent="0.2">
      <c r="A590">
        <v>4</v>
      </c>
      <c r="B590" t="s">
        <v>99</v>
      </c>
      <c r="E590" t="s">
        <v>19</v>
      </c>
      <c r="F590">
        <v>2156181</v>
      </c>
      <c r="G590">
        <v>3</v>
      </c>
      <c r="H590">
        <v>1</v>
      </c>
      <c r="I590">
        <v>982</v>
      </c>
      <c r="J590">
        <v>1961</v>
      </c>
      <c r="K590" s="4">
        <v>44661</v>
      </c>
      <c r="L590" t="s">
        <v>30</v>
      </c>
      <c r="M590" t="s">
        <v>31</v>
      </c>
      <c r="N590">
        <v>2.27</v>
      </c>
      <c r="O590">
        <v>848</v>
      </c>
      <c r="P590">
        <v>0.14000000000000001</v>
      </c>
      <c r="Q590">
        <v>316</v>
      </c>
      <c r="R590">
        <v>500</v>
      </c>
    </row>
    <row r="591" spans="1:18" hidden="1" x14ac:dyDescent="0.2">
      <c r="A591">
        <v>3</v>
      </c>
      <c r="B591" t="s">
        <v>65</v>
      </c>
      <c r="E591" t="s">
        <v>36</v>
      </c>
      <c r="F591">
        <v>980465</v>
      </c>
      <c r="G591">
        <v>2</v>
      </c>
      <c r="H591">
        <v>2</v>
      </c>
      <c r="I591">
        <v>787</v>
      </c>
      <c r="J591">
        <v>1965</v>
      </c>
      <c r="K591" s="4">
        <v>44939</v>
      </c>
      <c r="L591" t="s">
        <v>20</v>
      </c>
      <c r="M591" t="s">
        <v>56</v>
      </c>
      <c r="N591">
        <v>3.43</v>
      </c>
      <c r="O591">
        <v>2084</v>
      </c>
      <c r="P591">
        <v>0.85</v>
      </c>
      <c r="Q591">
        <v>46</v>
      </c>
      <c r="R591">
        <v>517</v>
      </c>
    </row>
    <row r="592" spans="1:18" hidden="1" x14ac:dyDescent="0.2">
      <c r="A592">
        <v>2</v>
      </c>
      <c r="B592" t="s">
        <v>22</v>
      </c>
      <c r="E592" t="s">
        <v>19</v>
      </c>
      <c r="F592">
        <v>764528</v>
      </c>
      <c r="G592">
        <v>2</v>
      </c>
      <c r="H592">
        <v>1</v>
      </c>
      <c r="I592">
        <v>569</v>
      </c>
      <c r="J592">
        <v>2007</v>
      </c>
      <c r="K592" s="4">
        <v>45187</v>
      </c>
      <c r="L592" t="s">
        <v>30</v>
      </c>
      <c r="M592" t="s">
        <v>54</v>
      </c>
      <c r="N592">
        <v>3.31</v>
      </c>
      <c r="O592">
        <v>2134</v>
      </c>
      <c r="P592">
        <v>4.53</v>
      </c>
      <c r="Q592">
        <v>206</v>
      </c>
      <c r="R592">
        <v>539</v>
      </c>
    </row>
    <row r="593" spans="1:18" hidden="1" x14ac:dyDescent="0.2">
      <c r="A593">
        <v>7</v>
      </c>
      <c r="B593" t="s">
        <v>91</v>
      </c>
      <c r="E593" t="s">
        <v>36</v>
      </c>
      <c r="F593">
        <v>558964</v>
      </c>
      <c r="G593">
        <v>6</v>
      </c>
      <c r="H593">
        <v>3</v>
      </c>
      <c r="I593">
        <v>972</v>
      </c>
      <c r="J593">
        <v>1950</v>
      </c>
      <c r="K593" s="4">
        <v>45177</v>
      </c>
      <c r="L593" t="s">
        <v>20</v>
      </c>
      <c r="M593" t="s">
        <v>82</v>
      </c>
      <c r="N593">
        <v>1.61</v>
      </c>
      <c r="O593">
        <v>1663</v>
      </c>
      <c r="P593">
        <v>0.67</v>
      </c>
      <c r="Q593">
        <v>388</v>
      </c>
      <c r="R593">
        <v>636</v>
      </c>
    </row>
    <row r="594" spans="1:18" hidden="1" x14ac:dyDescent="0.2">
      <c r="A594">
        <v>5</v>
      </c>
      <c r="B594" t="s">
        <v>49</v>
      </c>
      <c r="E594" t="s">
        <v>51</v>
      </c>
      <c r="F594">
        <v>1444912</v>
      </c>
      <c r="G594">
        <v>5</v>
      </c>
      <c r="H594">
        <v>2</v>
      </c>
      <c r="I594">
        <v>134</v>
      </c>
      <c r="J594">
        <v>2013</v>
      </c>
      <c r="K594" s="4">
        <v>45062</v>
      </c>
      <c r="L594" t="s">
        <v>20</v>
      </c>
      <c r="M594" t="s">
        <v>37</v>
      </c>
      <c r="N594">
        <v>3.08</v>
      </c>
      <c r="O594">
        <v>2049</v>
      </c>
      <c r="P594">
        <v>0.67</v>
      </c>
      <c r="Q594">
        <v>241</v>
      </c>
      <c r="R594">
        <v>303</v>
      </c>
    </row>
    <row r="595" spans="1:18" hidden="1" x14ac:dyDescent="0.2">
      <c r="A595">
        <v>3</v>
      </c>
      <c r="B595" t="s">
        <v>28</v>
      </c>
      <c r="E595" t="s">
        <v>19</v>
      </c>
      <c r="F595">
        <v>2561571</v>
      </c>
      <c r="G595">
        <v>2</v>
      </c>
      <c r="H595">
        <v>3</v>
      </c>
      <c r="I595">
        <v>416</v>
      </c>
      <c r="J595">
        <v>1974</v>
      </c>
      <c r="K595" s="4">
        <v>44631</v>
      </c>
      <c r="L595" t="s">
        <v>26</v>
      </c>
      <c r="M595" t="s">
        <v>24</v>
      </c>
      <c r="N595">
        <v>2.91</v>
      </c>
      <c r="O595">
        <v>1803</v>
      </c>
      <c r="P595">
        <v>2.59</v>
      </c>
      <c r="Q595">
        <v>149</v>
      </c>
      <c r="R595">
        <v>624</v>
      </c>
    </row>
    <row r="596" spans="1:18" hidden="1" x14ac:dyDescent="0.2">
      <c r="A596">
        <v>3</v>
      </c>
      <c r="B596" t="s">
        <v>93</v>
      </c>
      <c r="E596" t="s">
        <v>19</v>
      </c>
      <c r="F596">
        <v>2065896</v>
      </c>
      <c r="G596">
        <v>2</v>
      </c>
      <c r="H596">
        <v>3</v>
      </c>
      <c r="I596">
        <v>131</v>
      </c>
      <c r="J596">
        <v>1951</v>
      </c>
      <c r="K596" s="4">
        <v>44351</v>
      </c>
      <c r="L596" t="s">
        <v>26</v>
      </c>
      <c r="M596" t="s">
        <v>85</v>
      </c>
      <c r="N596">
        <v>2.34</v>
      </c>
      <c r="O596">
        <v>858</v>
      </c>
      <c r="P596">
        <v>0.38</v>
      </c>
      <c r="Q596">
        <v>100</v>
      </c>
      <c r="R596">
        <v>542</v>
      </c>
    </row>
    <row r="597" spans="1:18" hidden="1" x14ac:dyDescent="0.2">
      <c r="A597">
        <v>5</v>
      </c>
      <c r="B597" t="s">
        <v>39</v>
      </c>
      <c r="E597" t="s">
        <v>29</v>
      </c>
      <c r="F597">
        <v>2805316</v>
      </c>
      <c r="G597">
        <v>4</v>
      </c>
      <c r="H597">
        <v>2</v>
      </c>
      <c r="I597">
        <v>93</v>
      </c>
      <c r="J597">
        <v>2000</v>
      </c>
      <c r="K597" s="4">
        <v>45279</v>
      </c>
      <c r="L597" t="s">
        <v>20</v>
      </c>
      <c r="M597" t="s">
        <v>76</v>
      </c>
      <c r="N597">
        <v>1.8</v>
      </c>
      <c r="O597">
        <v>1239</v>
      </c>
      <c r="P597">
        <v>0.19</v>
      </c>
      <c r="Q597">
        <v>252</v>
      </c>
      <c r="R597">
        <v>677</v>
      </c>
    </row>
    <row r="598" spans="1:18" hidden="1" x14ac:dyDescent="0.2">
      <c r="A598">
        <v>7</v>
      </c>
      <c r="B598" t="s">
        <v>61</v>
      </c>
      <c r="E598" t="s">
        <v>51</v>
      </c>
      <c r="F598">
        <v>1180063</v>
      </c>
      <c r="G598">
        <v>4</v>
      </c>
      <c r="H598">
        <v>1</v>
      </c>
      <c r="I598">
        <v>662</v>
      </c>
      <c r="J598">
        <v>1978</v>
      </c>
      <c r="K598" s="4">
        <v>45070</v>
      </c>
      <c r="L598" t="s">
        <v>26</v>
      </c>
      <c r="M598" t="s">
        <v>97</v>
      </c>
      <c r="N598">
        <v>1.54</v>
      </c>
      <c r="O598">
        <v>976</v>
      </c>
      <c r="P598">
        <v>3.59</v>
      </c>
      <c r="Q598">
        <v>383</v>
      </c>
      <c r="R598">
        <v>305</v>
      </c>
    </row>
    <row r="599" spans="1:18" hidden="1" x14ac:dyDescent="0.2">
      <c r="A599">
        <v>0</v>
      </c>
      <c r="B599" t="s">
        <v>73</v>
      </c>
      <c r="E599" t="s">
        <v>19</v>
      </c>
      <c r="F599">
        <v>1062967</v>
      </c>
      <c r="G599">
        <v>0</v>
      </c>
      <c r="H599">
        <v>2</v>
      </c>
      <c r="I599">
        <v>455</v>
      </c>
      <c r="J599">
        <v>1953</v>
      </c>
      <c r="K599" s="4">
        <v>44580</v>
      </c>
      <c r="L599" t="s">
        <v>26</v>
      </c>
      <c r="M599" t="s">
        <v>66</v>
      </c>
      <c r="N599">
        <v>1.66</v>
      </c>
      <c r="O599">
        <v>2233</v>
      </c>
      <c r="P599">
        <v>1.32</v>
      </c>
      <c r="Q599">
        <v>67</v>
      </c>
      <c r="R599">
        <v>458</v>
      </c>
    </row>
    <row r="600" spans="1:18" hidden="1" x14ac:dyDescent="0.2">
      <c r="A600">
        <v>6</v>
      </c>
      <c r="B600" t="s">
        <v>87</v>
      </c>
      <c r="E600" t="s">
        <v>51</v>
      </c>
      <c r="F600">
        <v>403683</v>
      </c>
      <c r="G600">
        <v>4</v>
      </c>
      <c r="H600">
        <v>3</v>
      </c>
      <c r="I600">
        <v>523</v>
      </c>
      <c r="J600">
        <v>1983</v>
      </c>
      <c r="K600" s="4">
        <v>44709</v>
      </c>
      <c r="L600" t="s">
        <v>26</v>
      </c>
      <c r="M600" t="s">
        <v>40</v>
      </c>
      <c r="N600">
        <v>2.68</v>
      </c>
      <c r="O600">
        <v>1646</v>
      </c>
      <c r="P600">
        <v>4.3600000000000003</v>
      </c>
      <c r="Q600">
        <v>376</v>
      </c>
      <c r="R600">
        <v>586</v>
      </c>
    </row>
    <row r="601" spans="1:18" hidden="1" x14ac:dyDescent="0.2">
      <c r="A601">
        <v>1</v>
      </c>
      <c r="B601" t="s">
        <v>28</v>
      </c>
      <c r="E601" t="s">
        <v>19</v>
      </c>
      <c r="F601">
        <v>2106523</v>
      </c>
      <c r="G601">
        <v>2</v>
      </c>
      <c r="H601">
        <v>3</v>
      </c>
      <c r="I601">
        <v>220</v>
      </c>
      <c r="J601">
        <v>1972</v>
      </c>
      <c r="K601" s="4">
        <v>45644</v>
      </c>
      <c r="L601" t="s">
        <v>26</v>
      </c>
      <c r="M601" t="s">
        <v>27</v>
      </c>
      <c r="N601">
        <v>3.18</v>
      </c>
      <c r="O601">
        <v>1201</v>
      </c>
      <c r="P601">
        <v>4.04</v>
      </c>
      <c r="Q601">
        <v>42</v>
      </c>
      <c r="R601">
        <v>430</v>
      </c>
    </row>
    <row r="602" spans="1:18" hidden="1" x14ac:dyDescent="0.2">
      <c r="A602">
        <v>2</v>
      </c>
      <c r="B602" t="s">
        <v>72</v>
      </c>
      <c r="E602" t="s">
        <v>29</v>
      </c>
      <c r="F602">
        <v>651140</v>
      </c>
      <c r="G602">
        <v>4</v>
      </c>
      <c r="H602">
        <v>3</v>
      </c>
      <c r="I602">
        <v>173</v>
      </c>
      <c r="J602">
        <v>1960</v>
      </c>
      <c r="K602" s="4">
        <v>44308</v>
      </c>
      <c r="L602" t="s">
        <v>20</v>
      </c>
      <c r="M602" t="s">
        <v>78</v>
      </c>
      <c r="N602">
        <v>3.05</v>
      </c>
      <c r="O602">
        <v>1096</v>
      </c>
      <c r="P602">
        <v>1.85</v>
      </c>
      <c r="Q602">
        <v>298</v>
      </c>
      <c r="R602">
        <v>652</v>
      </c>
    </row>
    <row r="603" spans="1:18" x14ac:dyDescent="0.2">
      <c r="A603">
        <v>8</v>
      </c>
      <c r="B603" t="s">
        <v>80</v>
      </c>
      <c r="C603" t="str">
        <f>VLOOKUP(B603, 'Council Area'!$A$2:$B$51, 2)</f>
        <v>Parramatta City Council</v>
      </c>
      <c r="D603" t="str">
        <f>_xlfn.XLOOKUP(B603, 'Council Area'!$A$2:$A$51, 'Council Area'!$B$2:$B$51)</f>
        <v>Parramatta City Council</v>
      </c>
      <c r="E603" t="s">
        <v>29</v>
      </c>
      <c r="F603">
        <v>2746789</v>
      </c>
      <c r="G603">
        <v>5</v>
      </c>
      <c r="H603">
        <v>3</v>
      </c>
      <c r="I603">
        <v>558</v>
      </c>
      <c r="J603">
        <v>1987</v>
      </c>
      <c r="K603" s="4">
        <v>44705</v>
      </c>
      <c r="L603" t="s">
        <v>26</v>
      </c>
      <c r="M603" t="s">
        <v>47</v>
      </c>
      <c r="N603">
        <v>2.09</v>
      </c>
      <c r="O603">
        <v>1242</v>
      </c>
      <c r="P603">
        <v>2.23</v>
      </c>
      <c r="Q603">
        <v>273</v>
      </c>
      <c r="R603">
        <v>687</v>
      </c>
    </row>
    <row r="604" spans="1:18" hidden="1" x14ac:dyDescent="0.2">
      <c r="A604">
        <v>9</v>
      </c>
      <c r="B604" t="s">
        <v>102</v>
      </c>
      <c r="E604" t="s">
        <v>36</v>
      </c>
      <c r="F604">
        <v>2456366</v>
      </c>
      <c r="G604">
        <v>2</v>
      </c>
      <c r="H604">
        <v>3</v>
      </c>
      <c r="I604">
        <v>736</v>
      </c>
      <c r="J604">
        <v>1956</v>
      </c>
      <c r="K604" s="4">
        <v>45056</v>
      </c>
      <c r="L604" t="s">
        <v>30</v>
      </c>
      <c r="M604" t="s">
        <v>68</v>
      </c>
      <c r="N604">
        <v>1.99</v>
      </c>
      <c r="O604">
        <v>1366</v>
      </c>
      <c r="P604">
        <v>2.56</v>
      </c>
      <c r="Q604">
        <v>210</v>
      </c>
      <c r="R604">
        <v>463</v>
      </c>
    </row>
    <row r="605" spans="1:18" hidden="1" x14ac:dyDescent="0.2">
      <c r="A605">
        <v>6</v>
      </c>
      <c r="B605" t="s">
        <v>104</v>
      </c>
      <c r="E605" t="s">
        <v>51</v>
      </c>
      <c r="F605">
        <v>1730585</v>
      </c>
      <c r="G605">
        <v>1</v>
      </c>
      <c r="H605">
        <v>3</v>
      </c>
      <c r="I605">
        <v>447</v>
      </c>
      <c r="J605">
        <v>1999</v>
      </c>
      <c r="K605" s="4">
        <v>45644</v>
      </c>
      <c r="L605" t="s">
        <v>23</v>
      </c>
      <c r="M605" t="s">
        <v>70</v>
      </c>
      <c r="N605">
        <v>3.22</v>
      </c>
      <c r="O605">
        <v>2285</v>
      </c>
      <c r="P605">
        <v>0.34</v>
      </c>
      <c r="Q605">
        <v>111</v>
      </c>
      <c r="R605">
        <v>533</v>
      </c>
    </row>
    <row r="606" spans="1:18" hidden="1" x14ac:dyDescent="0.2">
      <c r="A606">
        <v>9</v>
      </c>
      <c r="B606" t="s">
        <v>53</v>
      </c>
      <c r="E606" t="s">
        <v>19</v>
      </c>
      <c r="F606">
        <v>1092914</v>
      </c>
      <c r="G606">
        <v>1</v>
      </c>
      <c r="H606">
        <v>3</v>
      </c>
      <c r="I606">
        <v>95</v>
      </c>
      <c r="J606">
        <v>2008</v>
      </c>
      <c r="K606" s="4">
        <v>44281</v>
      </c>
      <c r="L606" t="s">
        <v>20</v>
      </c>
      <c r="M606" t="s">
        <v>54</v>
      </c>
      <c r="N606">
        <v>1.75</v>
      </c>
      <c r="O606">
        <v>1640</v>
      </c>
      <c r="P606">
        <v>0.22</v>
      </c>
      <c r="Q606">
        <v>128</v>
      </c>
      <c r="R606">
        <v>646</v>
      </c>
    </row>
    <row r="607" spans="1:18" hidden="1" x14ac:dyDescent="0.2">
      <c r="A607">
        <v>7</v>
      </c>
      <c r="B607" t="s">
        <v>105</v>
      </c>
      <c r="E607" t="s">
        <v>36</v>
      </c>
      <c r="F607">
        <v>1337273</v>
      </c>
      <c r="G607">
        <v>2</v>
      </c>
      <c r="H607">
        <v>2</v>
      </c>
      <c r="I607">
        <v>243</v>
      </c>
      <c r="J607">
        <v>2010</v>
      </c>
      <c r="K607" s="4">
        <v>44325</v>
      </c>
      <c r="L607" t="s">
        <v>23</v>
      </c>
      <c r="M607" t="s">
        <v>37</v>
      </c>
      <c r="N607">
        <v>2.36</v>
      </c>
      <c r="O607">
        <v>2495</v>
      </c>
      <c r="P607">
        <v>0.79</v>
      </c>
      <c r="Q607">
        <v>41</v>
      </c>
      <c r="R607">
        <v>303</v>
      </c>
    </row>
    <row r="608" spans="1:18" hidden="1" x14ac:dyDescent="0.2">
      <c r="A608">
        <v>1</v>
      </c>
      <c r="B608" t="s">
        <v>72</v>
      </c>
      <c r="E608" t="s">
        <v>19</v>
      </c>
      <c r="F608">
        <v>1102836</v>
      </c>
      <c r="G608">
        <v>2</v>
      </c>
      <c r="H608">
        <v>1</v>
      </c>
      <c r="I608">
        <v>64</v>
      </c>
      <c r="J608">
        <v>1962</v>
      </c>
      <c r="K608" s="4">
        <v>44705</v>
      </c>
      <c r="L608" t="s">
        <v>20</v>
      </c>
      <c r="M608" t="s">
        <v>56</v>
      </c>
      <c r="N608">
        <v>2.2000000000000002</v>
      </c>
      <c r="O608">
        <v>1089</v>
      </c>
      <c r="P608">
        <v>4.82</v>
      </c>
      <c r="Q608">
        <v>56</v>
      </c>
      <c r="R608">
        <v>392</v>
      </c>
    </row>
    <row r="609" spans="1:18" hidden="1" x14ac:dyDescent="0.2">
      <c r="A609">
        <v>0</v>
      </c>
      <c r="B609" t="s">
        <v>67</v>
      </c>
      <c r="E609" t="s">
        <v>36</v>
      </c>
      <c r="F609">
        <v>1095060</v>
      </c>
      <c r="G609">
        <v>1</v>
      </c>
      <c r="H609">
        <v>3</v>
      </c>
      <c r="I609">
        <v>486</v>
      </c>
      <c r="J609">
        <v>1964</v>
      </c>
      <c r="K609" s="4">
        <v>44744</v>
      </c>
      <c r="L609" t="s">
        <v>20</v>
      </c>
      <c r="M609" t="s">
        <v>42</v>
      </c>
      <c r="N609">
        <v>3.34</v>
      </c>
      <c r="O609">
        <v>2353</v>
      </c>
      <c r="P609">
        <v>4.9400000000000004</v>
      </c>
      <c r="Q609">
        <v>111</v>
      </c>
      <c r="R609">
        <v>388</v>
      </c>
    </row>
    <row r="610" spans="1:18" hidden="1" x14ac:dyDescent="0.2">
      <c r="A610">
        <v>0</v>
      </c>
      <c r="B610" t="s">
        <v>104</v>
      </c>
      <c r="E610" t="s">
        <v>36</v>
      </c>
      <c r="F610">
        <v>2617496</v>
      </c>
      <c r="G610">
        <v>1</v>
      </c>
      <c r="H610">
        <v>3</v>
      </c>
      <c r="I610">
        <v>536</v>
      </c>
      <c r="J610">
        <v>1950</v>
      </c>
      <c r="K610" s="4">
        <v>45060</v>
      </c>
      <c r="L610" t="s">
        <v>26</v>
      </c>
      <c r="M610" t="s">
        <v>68</v>
      </c>
      <c r="N610">
        <v>2.96</v>
      </c>
      <c r="O610">
        <v>2283</v>
      </c>
      <c r="P610">
        <v>2</v>
      </c>
      <c r="Q610">
        <v>160</v>
      </c>
      <c r="R610">
        <v>418</v>
      </c>
    </row>
    <row r="611" spans="1:18" hidden="1" x14ac:dyDescent="0.2">
      <c r="A611">
        <v>1</v>
      </c>
      <c r="B611" t="s">
        <v>102</v>
      </c>
      <c r="E611" t="s">
        <v>51</v>
      </c>
      <c r="F611">
        <v>1410898</v>
      </c>
      <c r="G611">
        <v>2</v>
      </c>
      <c r="H611">
        <v>3</v>
      </c>
      <c r="I611">
        <v>443</v>
      </c>
      <c r="J611">
        <v>1994</v>
      </c>
      <c r="K611" s="4">
        <v>44910</v>
      </c>
      <c r="L611" t="s">
        <v>26</v>
      </c>
      <c r="M611" t="s">
        <v>70</v>
      </c>
      <c r="N611">
        <v>3.18</v>
      </c>
      <c r="O611">
        <v>1642</v>
      </c>
      <c r="P611">
        <v>2.15</v>
      </c>
      <c r="Q611">
        <v>196</v>
      </c>
      <c r="R611">
        <v>357</v>
      </c>
    </row>
    <row r="612" spans="1:18" hidden="1" x14ac:dyDescent="0.2">
      <c r="A612">
        <v>9</v>
      </c>
      <c r="B612" t="s">
        <v>84</v>
      </c>
      <c r="E612" t="s">
        <v>19</v>
      </c>
      <c r="F612">
        <v>1192880</v>
      </c>
      <c r="G612">
        <v>0</v>
      </c>
      <c r="H612">
        <v>2</v>
      </c>
      <c r="I612">
        <v>957</v>
      </c>
      <c r="J612">
        <v>2005</v>
      </c>
      <c r="K612" s="4">
        <v>45361</v>
      </c>
      <c r="L612" t="s">
        <v>20</v>
      </c>
      <c r="M612" t="s">
        <v>35</v>
      </c>
      <c r="N612">
        <v>2.0499999999999998</v>
      </c>
      <c r="O612">
        <v>1175</v>
      </c>
      <c r="P612">
        <v>3.5</v>
      </c>
      <c r="Q612">
        <v>43</v>
      </c>
      <c r="R612">
        <v>499</v>
      </c>
    </row>
    <row r="613" spans="1:18" hidden="1" x14ac:dyDescent="0.2">
      <c r="A613">
        <v>5</v>
      </c>
      <c r="B613" t="s">
        <v>91</v>
      </c>
      <c r="E613" t="s">
        <v>19</v>
      </c>
      <c r="F613">
        <v>2656194</v>
      </c>
      <c r="G613">
        <v>1</v>
      </c>
      <c r="H613">
        <v>3</v>
      </c>
      <c r="I613">
        <v>672</v>
      </c>
      <c r="J613">
        <v>2014</v>
      </c>
      <c r="K613" s="4">
        <v>45220</v>
      </c>
      <c r="L613" t="s">
        <v>26</v>
      </c>
      <c r="M613" t="s">
        <v>58</v>
      </c>
      <c r="N613">
        <v>2.88</v>
      </c>
      <c r="O613">
        <v>2476</v>
      </c>
      <c r="P613">
        <v>2.99</v>
      </c>
      <c r="Q613">
        <v>41</v>
      </c>
      <c r="R613">
        <v>623</v>
      </c>
    </row>
    <row r="614" spans="1:18" hidden="1" x14ac:dyDescent="0.2">
      <c r="A614">
        <v>7</v>
      </c>
      <c r="B614" t="s">
        <v>62</v>
      </c>
      <c r="E614" t="s">
        <v>51</v>
      </c>
      <c r="F614">
        <v>2758689</v>
      </c>
      <c r="G614">
        <v>2</v>
      </c>
      <c r="H614">
        <v>3</v>
      </c>
      <c r="I614">
        <v>989</v>
      </c>
      <c r="J614">
        <v>1954</v>
      </c>
      <c r="K614" s="4">
        <v>45400</v>
      </c>
      <c r="L614" t="s">
        <v>30</v>
      </c>
      <c r="M614" t="s">
        <v>40</v>
      </c>
      <c r="N614">
        <v>3.01</v>
      </c>
      <c r="O614">
        <v>1280</v>
      </c>
      <c r="P614">
        <v>4.97</v>
      </c>
      <c r="Q614">
        <v>229</v>
      </c>
      <c r="R614">
        <v>616</v>
      </c>
    </row>
    <row r="615" spans="1:18" hidden="1" x14ac:dyDescent="0.2">
      <c r="A615">
        <v>0</v>
      </c>
      <c r="B615" t="s">
        <v>91</v>
      </c>
      <c r="E615" t="s">
        <v>19</v>
      </c>
      <c r="F615">
        <v>1311977</v>
      </c>
      <c r="G615">
        <v>3</v>
      </c>
      <c r="H615">
        <v>1</v>
      </c>
      <c r="I615">
        <v>772</v>
      </c>
      <c r="J615">
        <v>1977</v>
      </c>
      <c r="K615" s="4">
        <v>44088</v>
      </c>
      <c r="L615" t="s">
        <v>20</v>
      </c>
      <c r="M615" t="s">
        <v>70</v>
      </c>
      <c r="N615">
        <v>1.59</v>
      </c>
      <c r="O615">
        <v>1831</v>
      </c>
      <c r="P615">
        <v>2.98</v>
      </c>
      <c r="Q615">
        <v>197</v>
      </c>
      <c r="R615">
        <v>698</v>
      </c>
    </row>
    <row r="616" spans="1:18" hidden="1" x14ac:dyDescent="0.2">
      <c r="A616">
        <v>5</v>
      </c>
      <c r="B616" t="s">
        <v>84</v>
      </c>
      <c r="E616" t="s">
        <v>29</v>
      </c>
      <c r="F616">
        <v>2603426</v>
      </c>
      <c r="G616">
        <v>2</v>
      </c>
      <c r="H616">
        <v>1</v>
      </c>
      <c r="I616">
        <v>123</v>
      </c>
      <c r="J616">
        <v>1977</v>
      </c>
      <c r="K616" s="4">
        <v>45645</v>
      </c>
      <c r="L616" t="s">
        <v>30</v>
      </c>
      <c r="M616" t="s">
        <v>35</v>
      </c>
      <c r="N616">
        <v>3.26</v>
      </c>
      <c r="O616">
        <v>1335</v>
      </c>
      <c r="P616">
        <v>0.77</v>
      </c>
      <c r="Q616">
        <v>170</v>
      </c>
      <c r="R616">
        <v>449</v>
      </c>
    </row>
    <row r="617" spans="1:18" hidden="1" x14ac:dyDescent="0.2">
      <c r="A617">
        <v>5</v>
      </c>
      <c r="B617" t="s">
        <v>87</v>
      </c>
      <c r="E617" t="s">
        <v>29</v>
      </c>
      <c r="F617">
        <v>1811846</v>
      </c>
      <c r="G617">
        <v>2</v>
      </c>
      <c r="H617">
        <v>2</v>
      </c>
      <c r="I617">
        <v>241</v>
      </c>
      <c r="J617">
        <v>1982</v>
      </c>
      <c r="K617" s="4">
        <v>44553</v>
      </c>
      <c r="L617" t="s">
        <v>26</v>
      </c>
      <c r="M617" t="s">
        <v>70</v>
      </c>
      <c r="N617">
        <v>1.6</v>
      </c>
      <c r="O617">
        <v>1968</v>
      </c>
      <c r="P617">
        <v>0.53</v>
      </c>
      <c r="Q617">
        <v>133</v>
      </c>
      <c r="R617">
        <v>552</v>
      </c>
    </row>
    <row r="618" spans="1:18" hidden="1" x14ac:dyDescent="0.2">
      <c r="A618">
        <v>3</v>
      </c>
      <c r="B618" t="s">
        <v>67</v>
      </c>
      <c r="E618" t="s">
        <v>29</v>
      </c>
      <c r="F618">
        <v>2289598</v>
      </c>
      <c r="G618">
        <v>2</v>
      </c>
      <c r="H618">
        <v>3</v>
      </c>
      <c r="I618">
        <v>757</v>
      </c>
      <c r="J618">
        <v>1956</v>
      </c>
      <c r="K618" s="4">
        <v>44796</v>
      </c>
      <c r="L618" t="s">
        <v>20</v>
      </c>
      <c r="M618" t="s">
        <v>97</v>
      </c>
      <c r="N618">
        <v>2.4</v>
      </c>
      <c r="O618">
        <v>2078</v>
      </c>
      <c r="P618">
        <v>0.56999999999999995</v>
      </c>
      <c r="Q618">
        <v>172</v>
      </c>
      <c r="R618">
        <v>547</v>
      </c>
    </row>
    <row r="619" spans="1:18" hidden="1" x14ac:dyDescent="0.2">
      <c r="A619">
        <v>1</v>
      </c>
      <c r="B619" t="s">
        <v>49</v>
      </c>
      <c r="E619" t="s">
        <v>19</v>
      </c>
      <c r="F619">
        <v>1276198</v>
      </c>
      <c r="G619">
        <v>5</v>
      </c>
      <c r="H619">
        <v>2</v>
      </c>
      <c r="I619">
        <v>698</v>
      </c>
      <c r="J619">
        <v>1978</v>
      </c>
      <c r="K619" s="4">
        <v>45165</v>
      </c>
      <c r="L619" t="s">
        <v>23</v>
      </c>
      <c r="M619" t="s">
        <v>47</v>
      </c>
      <c r="N619">
        <v>2.72</v>
      </c>
      <c r="O619">
        <v>1506</v>
      </c>
      <c r="P619">
        <v>0.34</v>
      </c>
      <c r="Q619">
        <v>308</v>
      </c>
      <c r="R619">
        <v>631</v>
      </c>
    </row>
    <row r="620" spans="1:18" hidden="1" x14ac:dyDescent="0.2">
      <c r="A620">
        <v>2</v>
      </c>
      <c r="B620" t="s">
        <v>101</v>
      </c>
      <c r="E620" t="s">
        <v>36</v>
      </c>
      <c r="F620">
        <v>2883705</v>
      </c>
      <c r="G620">
        <v>3</v>
      </c>
      <c r="H620">
        <v>1</v>
      </c>
      <c r="I620">
        <v>723</v>
      </c>
      <c r="J620">
        <v>1972</v>
      </c>
      <c r="K620" s="4">
        <v>44676</v>
      </c>
      <c r="L620" t="s">
        <v>20</v>
      </c>
      <c r="M620" t="s">
        <v>56</v>
      </c>
      <c r="N620">
        <v>3.48</v>
      </c>
      <c r="O620">
        <v>1586</v>
      </c>
      <c r="P620">
        <v>2.4500000000000002</v>
      </c>
      <c r="Q620">
        <v>125</v>
      </c>
      <c r="R620">
        <v>422</v>
      </c>
    </row>
    <row r="621" spans="1:18" hidden="1" x14ac:dyDescent="0.2">
      <c r="A621">
        <v>1</v>
      </c>
      <c r="B621" t="s">
        <v>101</v>
      </c>
      <c r="E621" t="s">
        <v>51</v>
      </c>
      <c r="F621">
        <v>1876829</v>
      </c>
      <c r="G621">
        <v>3</v>
      </c>
      <c r="H621">
        <v>3</v>
      </c>
      <c r="I621">
        <v>455</v>
      </c>
      <c r="J621">
        <v>1978</v>
      </c>
      <c r="K621" s="4">
        <v>45250</v>
      </c>
      <c r="L621" t="s">
        <v>23</v>
      </c>
      <c r="M621" t="s">
        <v>40</v>
      </c>
      <c r="N621">
        <v>3.2</v>
      </c>
      <c r="O621">
        <v>915</v>
      </c>
      <c r="P621">
        <v>1.49</v>
      </c>
      <c r="Q621">
        <v>270</v>
      </c>
      <c r="R621">
        <v>442</v>
      </c>
    </row>
    <row r="622" spans="1:18" hidden="1" x14ac:dyDescent="0.2">
      <c r="A622">
        <v>5</v>
      </c>
      <c r="B622" t="s">
        <v>81</v>
      </c>
      <c r="E622" t="s">
        <v>29</v>
      </c>
      <c r="F622">
        <v>2391034</v>
      </c>
      <c r="G622">
        <v>2</v>
      </c>
      <c r="H622">
        <v>3</v>
      </c>
      <c r="I622">
        <v>547</v>
      </c>
      <c r="J622">
        <v>1956</v>
      </c>
      <c r="K622" s="4">
        <v>44916</v>
      </c>
      <c r="L622" t="s">
        <v>23</v>
      </c>
      <c r="M622" t="s">
        <v>76</v>
      </c>
      <c r="N622">
        <v>1.78</v>
      </c>
      <c r="O622">
        <v>1189</v>
      </c>
      <c r="P622">
        <v>1.02</v>
      </c>
      <c r="Q622">
        <v>159</v>
      </c>
      <c r="R622">
        <v>354</v>
      </c>
    </row>
    <row r="623" spans="1:18" x14ac:dyDescent="0.2">
      <c r="A623">
        <v>8</v>
      </c>
      <c r="B623" t="s">
        <v>34</v>
      </c>
      <c r="C623" t="str">
        <f>VLOOKUP(B623, 'Council Area'!$A$2:$B$51, 2)</f>
        <v>City of Sydney</v>
      </c>
      <c r="D623" t="str">
        <f>_xlfn.XLOOKUP(B623, 'Council Area'!$A$2:$A$51, 'Council Area'!$B$2:$B$51)</f>
        <v>City of Sydney</v>
      </c>
      <c r="E623" t="s">
        <v>51</v>
      </c>
      <c r="F623">
        <v>1114283</v>
      </c>
      <c r="G623">
        <v>2</v>
      </c>
      <c r="H623">
        <v>3</v>
      </c>
      <c r="I623">
        <v>212</v>
      </c>
      <c r="J623">
        <v>1978</v>
      </c>
      <c r="K623" s="4">
        <v>44492</v>
      </c>
      <c r="L623" t="s">
        <v>20</v>
      </c>
      <c r="M623" t="s">
        <v>76</v>
      </c>
      <c r="N623">
        <v>1.61</v>
      </c>
      <c r="O623">
        <v>1571</v>
      </c>
      <c r="P623">
        <v>4.8499999999999996</v>
      </c>
      <c r="Q623">
        <v>87</v>
      </c>
      <c r="R623">
        <v>453</v>
      </c>
    </row>
    <row r="624" spans="1:18" hidden="1" x14ac:dyDescent="0.2">
      <c r="A624">
        <v>2</v>
      </c>
      <c r="B624" t="s">
        <v>55</v>
      </c>
      <c r="E624" t="s">
        <v>29</v>
      </c>
      <c r="F624">
        <v>2665758</v>
      </c>
      <c r="G624">
        <v>5</v>
      </c>
      <c r="H624">
        <v>2</v>
      </c>
      <c r="I624">
        <v>211</v>
      </c>
      <c r="J624">
        <v>1973</v>
      </c>
      <c r="K624" s="4">
        <v>45477</v>
      </c>
      <c r="L624" t="s">
        <v>20</v>
      </c>
      <c r="M624" t="s">
        <v>85</v>
      </c>
      <c r="N624">
        <v>2.87</v>
      </c>
      <c r="O624">
        <v>2399</v>
      </c>
      <c r="P624">
        <v>2.87</v>
      </c>
      <c r="Q624">
        <v>345</v>
      </c>
      <c r="R624">
        <v>655</v>
      </c>
    </row>
    <row r="625" spans="1:18" hidden="1" x14ac:dyDescent="0.2">
      <c r="A625">
        <v>7</v>
      </c>
      <c r="B625" t="s">
        <v>64</v>
      </c>
      <c r="E625" t="s">
        <v>36</v>
      </c>
      <c r="F625">
        <v>2577432</v>
      </c>
      <c r="G625">
        <v>5</v>
      </c>
      <c r="H625">
        <v>1</v>
      </c>
      <c r="I625">
        <v>198</v>
      </c>
      <c r="J625">
        <v>1951</v>
      </c>
      <c r="K625" s="4">
        <v>45171</v>
      </c>
      <c r="L625" t="s">
        <v>26</v>
      </c>
      <c r="M625" t="s">
        <v>21</v>
      </c>
      <c r="N625">
        <v>1.51</v>
      </c>
      <c r="O625">
        <v>1520</v>
      </c>
      <c r="P625">
        <v>0.93</v>
      </c>
      <c r="Q625">
        <v>343</v>
      </c>
      <c r="R625">
        <v>645</v>
      </c>
    </row>
    <row r="626" spans="1:18" hidden="1" x14ac:dyDescent="0.2">
      <c r="A626">
        <v>3</v>
      </c>
      <c r="B626" t="s">
        <v>84</v>
      </c>
      <c r="E626" t="s">
        <v>51</v>
      </c>
      <c r="F626">
        <v>1196721</v>
      </c>
      <c r="G626">
        <v>3</v>
      </c>
      <c r="H626">
        <v>3</v>
      </c>
      <c r="I626">
        <v>925</v>
      </c>
      <c r="J626">
        <v>2005</v>
      </c>
      <c r="K626" s="4">
        <v>44226</v>
      </c>
      <c r="L626" t="s">
        <v>23</v>
      </c>
      <c r="M626" t="s">
        <v>52</v>
      </c>
      <c r="N626">
        <v>2.64</v>
      </c>
      <c r="O626">
        <v>1841</v>
      </c>
      <c r="P626">
        <v>3.32</v>
      </c>
      <c r="Q626">
        <v>128</v>
      </c>
      <c r="R626">
        <v>455</v>
      </c>
    </row>
    <row r="627" spans="1:18" x14ac:dyDescent="0.2">
      <c r="A627">
        <v>8</v>
      </c>
      <c r="B627" t="s">
        <v>32</v>
      </c>
      <c r="C627" t="str">
        <f>VLOOKUP(B627, 'Council Area'!$A$2:$B$51, 2)</f>
        <v>Randwick City Council</v>
      </c>
      <c r="D627" t="str">
        <f>_xlfn.XLOOKUP(B627, 'Council Area'!$A$2:$A$51, 'Council Area'!$B$2:$B$51)</f>
        <v>Randwick City Council</v>
      </c>
      <c r="E627" t="s">
        <v>29</v>
      </c>
      <c r="F627">
        <v>1152022</v>
      </c>
      <c r="G627">
        <v>2</v>
      </c>
      <c r="H627">
        <v>3</v>
      </c>
      <c r="I627">
        <v>574</v>
      </c>
      <c r="J627">
        <v>1977</v>
      </c>
      <c r="K627" s="4">
        <v>44210</v>
      </c>
      <c r="L627" t="s">
        <v>23</v>
      </c>
      <c r="M627" t="s">
        <v>52</v>
      </c>
      <c r="N627">
        <v>2.1</v>
      </c>
      <c r="O627">
        <v>1607</v>
      </c>
      <c r="P627">
        <v>4.75</v>
      </c>
      <c r="Q627">
        <v>46</v>
      </c>
      <c r="R627">
        <v>584</v>
      </c>
    </row>
    <row r="628" spans="1:18" hidden="1" x14ac:dyDescent="0.2">
      <c r="A628">
        <v>7</v>
      </c>
      <c r="B628" t="s">
        <v>106</v>
      </c>
      <c r="E628" t="s">
        <v>36</v>
      </c>
      <c r="F628">
        <v>2897883</v>
      </c>
      <c r="G628">
        <v>2</v>
      </c>
      <c r="H628">
        <v>3</v>
      </c>
      <c r="I628">
        <v>375</v>
      </c>
      <c r="J628">
        <v>1965</v>
      </c>
      <c r="K628" s="4">
        <v>45281</v>
      </c>
      <c r="L628" t="s">
        <v>26</v>
      </c>
      <c r="M628" t="s">
        <v>70</v>
      </c>
      <c r="N628">
        <v>2.44</v>
      </c>
      <c r="O628">
        <v>2281</v>
      </c>
      <c r="P628">
        <v>0.71</v>
      </c>
      <c r="Q628">
        <v>239</v>
      </c>
      <c r="R628">
        <v>684</v>
      </c>
    </row>
    <row r="629" spans="1:18" hidden="1" x14ac:dyDescent="0.2">
      <c r="A629">
        <v>7</v>
      </c>
      <c r="B629" t="s">
        <v>73</v>
      </c>
      <c r="E629" t="s">
        <v>36</v>
      </c>
      <c r="F629">
        <v>1121757</v>
      </c>
      <c r="G629">
        <v>3</v>
      </c>
      <c r="H629">
        <v>3</v>
      </c>
      <c r="I629">
        <v>51</v>
      </c>
      <c r="J629">
        <v>1963</v>
      </c>
      <c r="K629" s="4">
        <v>44925</v>
      </c>
      <c r="L629" t="s">
        <v>20</v>
      </c>
      <c r="M629" t="s">
        <v>35</v>
      </c>
      <c r="N629">
        <v>2.54</v>
      </c>
      <c r="O629">
        <v>892</v>
      </c>
      <c r="P629">
        <v>2.48</v>
      </c>
      <c r="Q629">
        <v>280</v>
      </c>
      <c r="R629">
        <v>624</v>
      </c>
    </row>
    <row r="630" spans="1:18" hidden="1" x14ac:dyDescent="0.2">
      <c r="A630">
        <v>0</v>
      </c>
      <c r="B630" t="s">
        <v>48</v>
      </c>
      <c r="E630" t="s">
        <v>36</v>
      </c>
      <c r="F630">
        <v>2795327</v>
      </c>
      <c r="G630">
        <v>3</v>
      </c>
      <c r="H630">
        <v>2</v>
      </c>
      <c r="I630">
        <v>934</v>
      </c>
      <c r="J630">
        <v>1995</v>
      </c>
      <c r="K630" s="4">
        <v>44732</v>
      </c>
      <c r="L630" t="s">
        <v>20</v>
      </c>
      <c r="M630" t="s">
        <v>33</v>
      </c>
      <c r="N630">
        <v>1.76</v>
      </c>
      <c r="O630">
        <v>1683</v>
      </c>
      <c r="P630">
        <v>0.68</v>
      </c>
      <c r="Q630">
        <v>122</v>
      </c>
      <c r="R630">
        <v>358</v>
      </c>
    </row>
    <row r="631" spans="1:18" hidden="1" x14ac:dyDescent="0.2">
      <c r="A631">
        <v>2</v>
      </c>
      <c r="B631" t="s">
        <v>102</v>
      </c>
      <c r="E631" t="s">
        <v>19</v>
      </c>
      <c r="F631">
        <v>1747546</v>
      </c>
      <c r="G631">
        <v>4</v>
      </c>
      <c r="H631">
        <v>3</v>
      </c>
      <c r="I631">
        <v>280</v>
      </c>
      <c r="J631">
        <v>1994</v>
      </c>
      <c r="K631" s="4">
        <v>45676</v>
      </c>
      <c r="L631" t="s">
        <v>26</v>
      </c>
      <c r="M631" t="s">
        <v>70</v>
      </c>
      <c r="N631">
        <v>2.84</v>
      </c>
      <c r="O631">
        <v>1657</v>
      </c>
      <c r="P631">
        <v>4.16</v>
      </c>
      <c r="Q631">
        <v>322</v>
      </c>
      <c r="R631">
        <v>326</v>
      </c>
    </row>
    <row r="632" spans="1:18" x14ac:dyDescent="0.2">
      <c r="A632">
        <v>8</v>
      </c>
      <c r="B632" t="s">
        <v>41</v>
      </c>
      <c r="C632" t="str">
        <f>VLOOKUP(B632, 'Council Area'!$A$2:$B$51, 2)</f>
        <v>Parramatta City Council</v>
      </c>
      <c r="D632" t="str">
        <f>_xlfn.XLOOKUP(B632, 'Council Area'!$A$2:$A$51, 'Council Area'!$B$2:$B$51)</f>
        <v>Parramatta City Council</v>
      </c>
      <c r="E632" t="s">
        <v>51</v>
      </c>
      <c r="F632">
        <v>2596536</v>
      </c>
      <c r="G632">
        <v>4</v>
      </c>
      <c r="H632">
        <v>2</v>
      </c>
      <c r="I632">
        <v>412</v>
      </c>
      <c r="J632">
        <v>1976</v>
      </c>
      <c r="K632" s="4">
        <v>44200</v>
      </c>
      <c r="L632" t="s">
        <v>26</v>
      </c>
      <c r="M632" t="s">
        <v>21</v>
      </c>
      <c r="N632">
        <v>1.98</v>
      </c>
      <c r="O632">
        <v>2214</v>
      </c>
      <c r="P632">
        <v>0.82</v>
      </c>
      <c r="Q632">
        <v>311</v>
      </c>
      <c r="R632">
        <v>447</v>
      </c>
    </row>
    <row r="633" spans="1:18" hidden="1" x14ac:dyDescent="0.2">
      <c r="A633">
        <v>4</v>
      </c>
      <c r="B633" t="s">
        <v>72</v>
      </c>
      <c r="E633" t="s">
        <v>29</v>
      </c>
      <c r="F633">
        <v>2917607</v>
      </c>
      <c r="G633">
        <v>4</v>
      </c>
      <c r="H633">
        <v>2</v>
      </c>
      <c r="I633">
        <v>976</v>
      </c>
      <c r="J633">
        <v>2004</v>
      </c>
      <c r="K633" s="4">
        <v>45601</v>
      </c>
      <c r="L633" t="s">
        <v>30</v>
      </c>
      <c r="M633" t="s">
        <v>33</v>
      </c>
      <c r="N633">
        <v>2.82</v>
      </c>
      <c r="O633">
        <v>2393</v>
      </c>
      <c r="P633">
        <v>4.91</v>
      </c>
      <c r="Q633">
        <v>233</v>
      </c>
      <c r="R633">
        <v>490</v>
      </c>
    </row>
    <row r="634" spans="1:18" hidden="1" x14ac:dyDescent="0.2">
      <c r="A634">
        <v>6</v>
      </c>
      <c r="B634" t="s">
        <v>44</v>
      </c>
      <c r="E634" t="s">
        <v>19</v>
      </c>
      <c r="F634">
        <v>2626737</v>
      </c>
      <c r="G634">
        <v>3</v>
      </c>
      <c r="H634">
        <v>2</v>
      </c>
      <c r="I634">
        <v>154</v>
      </c>
      <c r="J634">
        <v>2017</v>
      </c>
      <c r="K634" s="4">
        <v>44464</v>
      </c>
      <c r="L634" t="s">
        <v>23</v>
      </c>
      <c r="M634" t="s">
        <v>31</v>
      </c>
      <c r="N634">
        <v>2.04</v>
      </c>
      <c r="O634">
        <v>1275</v>
      </c>
      <c r="P634">
        <v>3.19</v>
      </c>
      <c r="Q634">
        <v>259</v>
      </c>
      <c r="R634">
        <v>646</v>
      </c>
    </row>
    <row r="635" spans="1:18" hidden="1" x14ac:dyDescent="0.2">
      <c r="A635">
        <v>4</v>
      </c>
      <c r="B635" t="s">
        <v>46</v>
      </c>
      <c r="E635" t="s">
        <v>36</v>
      </c>
      <c r="F635">
        <v>1752053</v>
      </c>
      <c r="G635">
        <v>2</v>
      </c>
      <c r="H635">
        <v>3</v>
      </c>
      <c r="I635">
        <v>487</v>
      </c>
      <c r="J635">
        <v>2000</v>
      </c>
      <c r="K635" s="4">
        <v>44596</v>
      </c>
      <c r="L635" t="s">
        <v>23</v>
      </c>
      <c r="M635" t="s">
        <v>52</v>
      </c>
      <c r="N635">
        <v>1.91</v>
      </c>
      <c r="O635">
        <v>2268</v>
      </c>
      <c r="P635">
        <v>3.36</v>
      </c>
      <c r="Q635">
        <v>60</v>
      </c>
      <c r="R635">
        <v>539</v>
      </c>
    </row>
    <row r="636" spans="1:18" hidden="1" x14ac:dyDescent="0.2">
      <c r="A636">
        <v>1</v>
      </c>
      <c r="B636" t="s">
        <v>38</v>
      </c>
      <c r="E636" t="s">
        <v>19</v>
      </c>
      <c r="F636">
        <v>1670459</v>
      </c>
      <c r="G636">
        <v>2</v>
      </c>
      <c r="H636">
        <v>3</v>
      </c>
      <c r="I636">
        <v>200</v>
      </c>
      <c r="J636">
        <v>2008</v>
      </c>
      <c r="K636" s="4">
        <v>45399</v>
      </c>
      <c r="L636" t="s">
        <v>26</v>
      </c>
      <c r="M636" t="s">
        <v>85</v>
      </c>
      <c r="N636">
        <v>2.9</v>
      </c>
      <c r="O636">
        <v>1910</v>
      </c>
      <c r="P636">
        <v>1.44</v>
      </c>
      <c r="Q636">
        <v>92</v>
      </c>
      <c r="R636">
        <v>617</v>
      </c>
    </row>
    <row r="637" spans="1:18" hidden="1" x14ac:dyDescent="0.2">
      <c r="A637">
        <v>9</v>
      </c>
      <c r="B637" t="s">
        <v>83</v>
      </c>
      <c r="E637" t="s">
        <v>51</v>
      </c>
      <c r="F637">
        <v>1337228</v>
      </c>
      <c r="G637">
        <v>3</v>
      </c>
      <c r="H637">
        <v>1</v>
      </c>
      <c r="I637">
        <v>454</v>
      </c>
      <c r="J637">
        <v>1966</v>
      </c>
      <c r="K637" s="4">
        <v>45460</v>
      </c>
      <c r="L637" t="s">
        <v>30</v>
      </c>
      <c r="M637" t="s">
        <v>24</v>
      </c>
      <c r="N637">
        <v>1.69</v>
      </c>
      <c r="O637">
        <v>1139</v>
      </c>
      <c r="P637">
        <v>1.43</v>
      </c>
      <c r="Q637">
        <v>164</v>
      </c>
      <c r="R637">
        <v>445</v>
      </c>
    </row>
    <row r="638" spans="1:18" hidden="1" x14ac:dyDescent="0.2">
      <c r="A638">
        <v>6</v>
      </c>
      <c r="B638" t="s">
        <v>75</v>
      </c>
      <c r="E638" t="s">
        <v>29</v>
      </c>
      <c r="F638">
        <v>2425850</v>
      </c>
      <c r="G638">
        <v>4</v>
      </c>
      <c r="H638">
        <v>1</v>
      </c>
      <c r="I638">
        <v>750</v>
      </c>
      <c r="J638">
        <v>2016</v>
      </c>
      <c r="K638" s="4">
        <v>45537</v>
      </c>
      <c r="L638" t="s">
        <v>26</v>
      </c>
      <c r="M638" t="s">
        <v>70</v>
      </c>
      <c r="N638">
        <v>2.7</v>
      </c>
      <c r="O638">
        <v>1750</v>
      </c>
      <c r="P638">
        <v>2.78</v>
      </c>
      <c r="Q638">
        <v>392</v>
      </c>
      <c r="R638">
        <v>560</v>
      </c>
    </row>
    <row r="639" spans="1:18" hidden="1" x14ac:dyDescent="0.2">
      <c r="A639">
        <v>2</v>
      </c>
      <c r="B639" t="s">
        <v>61</v>
      </c>
      <c r="E639" t="s">
        <v>29</v>
      </c>
      <c r="F639">
        <v>481428</v>
      </c>
      <c r="G639">
        <v>1</v>
      </c>
      <c r="H639">
        <v>2</v>
      </c>
      <c r="I639">
        <v>466</v>
      </c>
      <c r="J639">
        <v>1998</v>
      </c>
      <c r="K639" s="4">
        <v>44616</v>
      </c>
      <c r="L639" t="s">
        <v>20</v>
      </c>
      <c r="M639" t="s">
        <v>74</v>
      </c>
      <c r="N639">
        <v>3.16</v>
      </c>
      <c r="O639">
        <v>2160</v>
      </c>
      <c r="P639">
        <v>4.34</v>
      </c>
      <c r="Q639">
        <v>136</v>
      </c>
      <c r="R639">
        <v>347</v>
      </c>
    </row>
    <row r="640" spans="1:18" hidden="1" x14ac:dyDescent="0.2">
      <c r="A640">
        <v>1</v>
      </c>
      <c r="B640" t="s">
        <v>93</v>
      </c>
      <c r="E640" t="s">
        <v>36</v>
      </c>
      <c r="F640">
        <v>767738</v>
      </c>
      <c r="G640">
        <v>6</v>
      </c>
      <c r="H640">
        <v>1</v>
      </c>
      <c r="I640">
        <v>482</v>
      </c>
      <c r="J640">
        <v>1981</v>
      </c>
      <c r="K640" s="4">
        <v>44969</v>
      </c>
      <c r="L640" t="s">
        <v>30</v>
      </c>
      <c r="M640" t="s">
        <v>89</v>
      </c>
      <c r="N640">
        <v>2.37</v>
      </c>
      <c r="O640">
        <v>1225</v>
      </c>
      <c r="P640">
        <v>1.89</v>
      </c>
      <c r="Q640">
        <v>389</v>
      </c>
      <c r="R640">
        <v>490</v>
      </c>
    </row>
    <row r="641" spans="1:18" hidden="1" x14ac:dyDescent="0.2">
      <c r="A641">
        <v>4</v>
      </c>
      <c r="B641" t="s">
        <v>18</v>
      </c>
      <c r="E641" t="s">
        <v>29</v>
      </c>
      <c r="F641">
        <v>976666</v>
      </c>
      <c r="G641">
        <v>0</v>
      </c>
      <c r="H641">
        <v>3</v>
      </c>
      <c r="I641">
        <v>560</v>
      </c>
      <c r="J641">
        <v>2010</v>
      </c>
      <c r="K641" s="4">
        <v>44705</v>
      </c>
      <c r="L641" t="s">
        <v>26</v>
      </c>
      <c r="M641" t="s">
        <v>54</v>
      </c>
      <c r="N641">
        <v>3.49</v>
      </c>
      <c r="O641">
        <v>2041</v>
      </c>
      <c r="P641">
        <v>4.6399999999999997</v>
      </c>
      <c r="Q641">
        <v>74</v>
      </c>
      <c r="R641">
        <v>427</v>
      </c>
    </row>
    <row r="642" spans="1:18" hidden="1" x14ac:dyDescent="0.2">
      <c r="A642">
        <v>9</v>
      </c>
      <c r="B642" t="s">
        <v>34</v>
      </c>
      <c r="E642" t="s">
        <v>29</v>
      </c>
      <c r="F642">
        <v>2430782</v>
      </c>
      <c r="G642">
        <v>1</v>
      </c>
      <c r="H642">
        <v>3</v>
      </c>
      <c r="I642">
        <v>157</v>
      </c>
      <c r="J642">
        <v>2012</v>
      </c>
      <c r="K642" s="4">
        <v>45033</v>
      </c>
      <c r="L642" t="s">
        <v>30</v>
      </c>
      <c r="M642" t="s">
        <v>78</v>
      </c>
      <c r="N642">
        <v>1.52</v>
      </c>
      <c r="O642">
        <v>857</v>
      </c>
      <c r="P642">
        <v>2.16</v>
      </c>
      <c r="Q642">
        <v>64</v>
      </c>
      <c r="R642">
        <v>627</v>
      </c>
    </row>
    <row r="643" spans="1:18" hidden="1" x14ac:dyDescent="0.2">
      <c r="A643">
        <v>0</v>
      </c>
      <c r="B643" t="s">
        <v>101</v>
      </c>
      <c r="E643" t="s">
        <v>36</v>
      </c>
      <c r="F643">
        <v>496764</v>
      </c>
      <c r="G643">
        <v>3</v>
      </c>
      <c r="H643">
        <v>3</v>
      </c>
      <c r="I643">
        <v>551</v>
      </c>
      <c r="J643">
        <v>1995</v>
      </c>
      <c r="K643" s="4">
        <v>45578</v>
      </c>
      <c r="L643" t="s">
        <v>26</v>
      </c>
      <c r="M643" t="s">
        <v>35</v>
      </c>
      <c r="N643">
        <v>1.79</v>
      </c>
      <c r="O643">
        <v>1595</v>
      </c>
      <c r="P643">
        <v>1.46</v>
      </c>
      <c r="Q643">
        <v>298</v>
      </c>
      <c r="R643">
        <v>363</v>
      </c>
    </row>
    <row r="644" spans="1:18" hidden="1" x14ac:dyDescent="0.2">
      <c r="A644">
        <v>1</v>
      </c>
      <c r="B644" t="s">
        <v>96</v>
      </c>
      <c r="E644" t="s">
        <v>51</v>
      </c>
      <c r="F644">
        <v>1304636</v>
      </c>
      <c r="G644">
        <v>3</v>
      </c>
      <c r="H644">
        <v>1</v>
      </c>
      <c r="I644">
        <v>647</v>
      </c>
      <c r="J644">
        <v>2018</v>
      </c>
      <c r="K644" s="4">
        <v>45305</v>
      </c>
      <c r="L644" t="s">
        <v>26</v>
      </c>
      <c r="M644" t="s">
        <v>58</v>
      </c>
      <c r="N644">
        <v>2.0099999999999998</v>
      </c>
      <c r="O644">
        <v>894</v>
      </c>
      <c r="P644">
        <v>4.59</v>
      </c>
      <c r="Q644">
        <v>195</v>
      </c>
      <c r="R644">
        <v>658</v>
      </c>
    </row>
    <row r="645" spans="1:18" hidden="1" x14ac:dyDescent="0.2">
      <c r="A645">
        <v>3</v>
      </c>
      <c r="B645" t="s">
        <v>43</v>
      </c>
      <c r="E645" t="s">
        <v>19</v>
      </c>
      <c r="F645">
        <v>1898556</v>
      </c>
      <c r="G645">
        <v>3</v>
      </c>
      <c r="H645">
        <v>2</v>
      </c>
      <c r="I645">
        <v>485</v>
      </c>
      <c r="J645">
        <v>2006</v>
      </c>
      <c r="K645" s="4">
        <v>44105</v>
      </c>
      <c r="L645" t="s">
        <v>30</v>
      </c>
      <c r="M645" t="s">
        <v>68</v>
      </c>
      <c r="N645">
        <v>2.31</v>
      </c>
      <c r="O645">
        <v>1726</v>
      </c>
      <c r="P645">
        <v>0.83</v>
      </c>
      <c r="Q645">
        <v>273</v>
      </c>
      <c r="R645">
        <v>650</v>
      </c>
    </row>
    <row r="646" spans="1:18" hidden="1" x14ac:dyDescent="0.2">
      <c r="A646">
        <v>0</v>
      </c>
      <c r="B646" t="s">
        <v>46</v>
      </c>
      <c r="E646" t="s">
        <v>29</v>
      </c>
      <c r="F646">
        <v>514480</v>
      </c>
      <c r="G646">
        <v>2</v>
      </c>
      <c r="H646">
        <v>2</v>
      </c>
      <c r="I646">
        <v>939</v>
      </c>
      <c r="J646">
        <v>1983</v>
      </c>
      <c r="K646" s="4">
        <v>44760</v>
      </c>
      <c r="L646" t="s">
        <v>23</v>
      </c>
      <c r="M646" t="s">
        <v>24</v>
      </c>
      <c r="N646">
        <v>2.3199999999999998</v>
      </c>
      <c r="O646">
        <v>1814</v>
      </c>
      <c r="P646">
        <v>0.42</v>
      </c>
      <c r="Q646">
        <v>114</v>
      </c>
      <c r="R646">
        <v>418</v>
      </c>
    </row>
    <row r="647" spans="1:18" hidden="1" x14ac:dyDescent="0.2">
      <c r="A647">
        <v>0</v>
      </c>
      <c r="B647" t="s">
        <v>95</v>
      </c>
      <c r="E647" t="s">
        <v>36</v>
      </c>
      <c r="F647">
        <v>1491961</v>
      </c>
      <c r="G647">
        <v>1</v>
      </c>
      <c r="H647">
        <v>2</v>
      </c>
      <c r="I647">
        <v>571</v>
      </c>
      <c r="J647">
        <v>1991</v>
      </c>
      <c r="K647" s="4">
        <v>44584</v>
      </c>
      <c r="L647" t="s">
        <v>23</v>
      </c>
      <c r="M647" t="s">
        <v>40</v>
      </c>
      <c r="N647">
        <v>1.63</v>
      </c>
      <c r="O647">
        <v>2407</v>
      </c>
      <c r="P647">
        <v>3.04</v>
      </c>
      <c r="Q647">
        <v>102</v>
      </c>
      <c r="R647">
        <v>639</v>
      </c>
    </row>
    <row r="648" spans="1:18" hidden="1" x14ac:dyDescent="0.2">
      <c r="A648">
        <v>1</v>
      </c>
      <c r="B648" t="s">
        <v>44</v>
      </c>
      <c r="E648" t="s">
        <v>36</v>
      </c>
      <c r="F648">
        <v>1593950</v>
      </c>
      <c r="G648">
        <v>2</v>
      </c>
      <c r="H648">
        <v>3</v>
      </c>
      <c r="I648">
        <v>984</v>
      </c>
      <c r="J648">
        <v>1968</v>
      </c>
      <c r="K648" s="4">
        <v>45829</v>
      </c>
      <c r="L648" t="s">
        <v>20</v>
      </c>
      <c r="M648" t="s">
        <v>31</v>
      </c>
      <c r="N648">
        <v>3.42</v>
      </c>
      <c r="O648">
        <v>1742</v>
      </c>
      <c r="P648">
        <v>3.23</v>
      </c>
      <c r="Q648">
        <v>163</v>
      </c>
      <c r="R648">
        <v>544</v>
      </c>
    </row>
    <row r="649" spans="1:18" hidden="1" x14ac:dyDescent="0.2">
      <c r="A649">
        <v>9</v>
      </c>
      <c r="B649" t="s">
        <v>43</v>
      </c>
      <c r="E649" t="s">
        <v>51</v>
      </c>
      <c r="F649">
        <v>1694038</v>
      </c>
      <c r="G649">
        <v>4</v>
      </c>
      <c r="H649">
        <v>2</v>
      </c>
      <c r="I649">
        <v>459</v>
      </c>
      <c r="J649">
        <v>2017</v>
      </c>
      <c r="K649" s="4">
        <v>45038</v>
      </c>
      <c r="L649" t="s">
        <v>26</v>
      </c>
      <c r="M649" t="s">
        <v>45</v>
      </c>
      <c r="N649">
        <v>1.62</v>
      </c>
      <c r="O649">
        <v>1863</v>
      </c>
      <c r="P649">
        <v>2.77</v>
      </c>
      <c r="Q649">
        <v>295</v>
      </c>
      <c r="R649">
        <v>589</v>
      </c>
    </row>
    <row r="650" spans="1:18" hidden="1" x14ac:dyDescent="0.2">
      <c r="A650">
        <v>4</v>
      </c>
      <c r="B650" t="s">
        <v>81</v>
      </c>
      <c r="E650" t="s">
        <v>29</v>
      </c>
      <c r="F650">
        <v>1235454</v>
      </c>
      <c r="G650">
        <v>6</v>
      </c>
      <c r="H650">
        <v>3</v>
      </c>
      <c r="I650">
        <v>114</v>
      </c>
      <c r="J650">
        <v>2011</v>
      </c>
      <c r="K650" s="4">
        <v>45434</v>
      </c>
      <c r="L650" t="s">
        <v>20</v>
      </c>
      <c r="M650" t="s">
        <v>27</v>
      </c>
      <c r="N650">
        <v>3.03</v>
      </c>
      <c r="O650">
        <v>2138</v>
      </c>
      <c r="P650">
        <v>1.31</v>
      </c>
      <c r="Q650">
        <v>340</v>
      </c>
      <c r="R650">
        <v>355</v>
      </c>
    </row>
    <row r="651" spans="1:18" hidden="1" x14ac:dyDescent="0.2">
      <c r="A651">
        <v>7</v>
      </c>
      <c r="B651" t="s">
        <v>49</v>
      </c>
      <c r="E651" t="s">
        <v>19</v>
      </c>
      <c r="F651">
        <v>450351</v>
      </c>
      <c r="G651">
        <v>4</v>
      </c>
      <c r="H651">
        <v>1</v>
      </c>
      <c r="I651">
        <v>737</v>
      </c>
      <c r="J651">
        <v>1975</v>
      </c>
      <c r="K651" s="4">
        <v>44145</v>
      </c>
      <c r="L651" t="s">
        <v>20</v>
      </c>
      <c r="M651" t="s">
        <v>85</v>
      </c>
      <c r="N651">
        <v>2.73</v>
      </c>
      <c r="O651">
        <v>1354</v>
      </c>
      <c r="P651">
        <v>3.62</v>
      </c>
      <c r="Q651">
        <v>252</v>
      </c>
      <c r="R651">
        <v>362</v>
      </c>
    </row>
    <row r="652" spans="1:18" hidden="1" x14ac:dyDescent="0.2">
      <c r="A652">
        <v>7</v>
      </c>
      <c r="B652" t="s">
        <v>79</v>
      </c>
      <c r="E652" t="s">
        <v>29</v>
      </c>
      <c r="F652">
        <v>1147225</v>
      </c>
      <c r="G652">
        <v>5</v>
      </c>
      <c r="H652">
        <v>3</v>
      </c>
      <c r="I652">
        <v>871</v>
      </c>
      <c r="J652">
        <v>2012</v>
      </c>
      <c r="K652" s="4">
        <v>44826</v>
      </c>
      <c r="L652" t="s">
        <v>26</v>
      </c>
      <c r="M652" t="s">
        <v>60</v>
      </c>
      <c r="N652">
        <v>2.68</v>
      </c>
      <c r="O652">
        <v>1396</v>
      </c>
      <c r="P652">
        <v>1.73</v>
      </c>
      <c r="Q652">
        <v>341</v>
      </c>
      <c r="R652">
        <v>404</v>
      </c>
    </row>
    <row r="653" spans="1:18" hidden="1" x14ac:dyDescent="0.2">
      <c r="A653">
        <v>2</v>
      </c>
      <c r="B653" t="s">
        <v>102</v>
      </c>
      <c r="E653" t="s">
        <v>19</v>
      </c>
      <c r="F653">
        <v>2097002</v>
      </c>
      <c r="G653">
        <v>3</v>
      </c>
      <c r="H653">
        <v>1</v>
      </c>
      <c r="I653">
        <v>131</v>
      </c>
      <c r="J653">
        <v>2001</v>
      </c>
      <c r="K653" s="4">
        <v>45682</v>
      </c>
      <c r="L653" t="s">
        <v>23</v>
      </c>
      <c r="M653" t="s">
        <v>45</v>
      </c>
      <c r="N653">
        <v>1.69</v>
      </c>
      <c r="O653">
        <v>2170</v>
      </c>
      <c r="P653">
        <v>1.33</v>
      </c>
      <c r="Q653">
        <v>184</v>
      </c>
      <c r="R653">
        <v>646</v>
      </c>
    </row>
    <row r="654" spans="1:18" hidden="1" x14ac:dyDescent="0.2">
      <c r="A654">
        <v>9</v>
      </c>
      <c r="B654" t="s">
        <v>94</v>
      </c>
      <c r="E654" t="s">
        <v>19</v>
      </c>
      <c r="F654">
        <v>680583</v>
      </c>
      <c r="G654">
        <v>3</v>
      </c>
      <c r="H654">
        <v>1</v>
      </c>
      <c r="I654">
        <v>806</v>
      </c>
      <c r="J654">
        <v>2014</v>
      </c>
      <c r="K654" s="4">
        <v>44621</v>
      </c>
      <c r="L654" t="s">
        <v>20</v>
      </c>
      <c r="M654" t="s">
        <v>63</v>
      </c>
      <c r="N654">
        <v>2.2000000000000002</v>
      </c>
      <c r="O654">
        <v>2360</v>
      </c>
      <c r="P654">
        <v>0.4</v>
      </c>
      <c r="Q654">
        <v>171</v>
      </c>
      <c r="R654">
        <v>576</v>
      </c>
    </row>
    <row r="655" spans="1:18" hidden="1" x14ac:dyDescent="0.2">
      <c r="A655">
        <v>5</v>
      </c>
      <c r="B655" t="s">
        <v>28</v>
      </c>
      <c r="E655" t="s">
        <v>36</v>
      </c>
      <c r="F655">
        <v>953999</v>
      </c>
      <c r="G655">
        <v>2</v>
      </c>
      <c r="H655">
        <v>1</v>
      </c>
      <c r="I655">
        <v>429</v>
      </c>
      <c r="J655">
        <v>2003</v>
      </c>
      <c r="K655" s="4">
        <v>45754</v>
      </c>
      <c r="L655" t="s">
        <v>23</v>
      </c>
      <c r="M655" t="s">
        <v>63</v>
      </c>
      <c r="N655">
        <v>2.6</v>
      </c>
      <c r="O655">
        <v>2438</v>
      </c>
      <c r="P655">
        <v>0.74</v>
      </c>
      <c r="Q655">
        <v>121</v>
      </c>
      <c r="R655">
        <v>338</v>
      </c>
    </row>
    <row r="656" spans="1:18" hidden="1" x14ac:dyDescent="0.2">
      <c r="A656">
        <v>7</v>
      </c>
      <c r="B656" t="s">
        <v>34</v>
      </c>
      <c r="E656" t="s">
        <v>19</v>
      </c>
      <c r="F656">
        <v>528020</v>
      </c>
      <c r="G656">
        <v>4</v>
      </c>
      <c r="H656">
        <v>3</v>
      </c>
      <c r="I656">
        <v>359</v>
      </c>
      <c r="J656">
        <v>1987</v>
      </c>
      <c r="K656" s="4">
        <v>44478</v>
      </c>
      <c r="L656" t="s">
        <v>30</v>
      </c>
      <c r="M656" t="s">
        <v>42</v>
      </c>
      <c r="N656">
        <v>2.8</v>
      </c>
      <c r="O656">
        <v>968</v>
      </c>
      <c r="P656">
        <v>3.48</v>
      </c>
      <c r="Q656">
        <v>388</v>
      </c>
      <c r="R656">
        <v>379</v>
      </c>
    </row>
    <row r="657" spans="1:18" hidden="1" x14ac:dyDescent="0.2">
      <c r="A657">
        <v>3</v>
      </c>
      <c r="B657" t="s">
        <v>75</v>
      </c>
      <c r="E657" t="s">
        <v>36</v>
      </c>
      <c r="F657">
        <v>1473476</v>
      </c>
      <c r="G657">
        <v>6</v>
      </c>
      <c r="H657">
        <v>1</v>
      </c>
      <c r="I657">
        <v>997</v>
      </c>
      <c r="J657">
        <v>1983</v>
      </c>
      <c r="K657" s="4">
        <v>44116</v>
      </c>
      <c r="L657" t="s">
        <v>26</v>
      </c>
      <c r="M657" t="s">
        <v>82</v>
      </c>
      <c r="N657">
        <v>2.44</v>
      </c>
      <c r="O657">
        <v>2248</v>
      </c>
      <c r="P657">
        <v>0.39</v>
      </c>
      <c r="Q657">
        <v>386</v>
      </c>
      <c r="R657">
        <v>304</v>
      </c>
    </row>
    <row r="658" spans="1:18" hidden="1" x14ac:dyDescent="0.2">
      <c r="A658">
        <v>1</v>
      </c>
      <c r="B658" t="s">
        <v>102</v>
      </c>
      <c r="E658" t="s">
        <v>36</v>
      </c>
      <c r="F658">
        <v>1595280</v>
      </c>
      <c r="G658">
        <v>4</v>
      </c>
      <c r="H658">
        <v>2</v>
      </c>
      <c r="I658">
        <v>156</v>
      </c>
      <c r="J658">
        <v>1968</v>
      </c>
      <c r="K658" s="4">
        <v>45863</v>
      </c>
      <c r="L658" t="s">
        <v>30</v>
      </c>
      <c r="M658" t="s">
        <v>66</v>
      </c>
      <c r="N658">
        <v>1.98</v>
      </c>
      <c r="O658">
        <v>2225</v>
      </c>
      <c r="P658">
        <v>2.52</v>
      </c>
      <c r="Q658">
        <v>397</v>
      </c>
      <c r="R658">
        <v>699</v>
      </c>
    </row>
    <row r="659" spans="1:18" hidden="1" x14ac:dyDescent="0.2">
      <c r="A659">
        <v>2</v>
      </c>
      <c r="B659" t="s">
        <v>81</v>
      </c>
      <c r="E659" t="s">
        <v>36</v>
      </c>
      <c r="F659">
        <v>862084</v>
      </c>
      <c r="G659">
        <v>6</v>
      </c>
      <c r="H659">
        <v>1</v>
      </c>
      <c r="I659">
        <v>186</v>
      </c>
      <c r="J659">
        <v>1979</v>
      </c>
      <c r="K659" s="4">
        <v>45538</v>
      </c>
      <c r="L659" t="s">
        <v>26</v>
      </c>
      <c r="M659" t="s">
        <v>59</v>
      </c>
      <c r="N659">
        <v>2.74</v>
      </c>
      <c r="O659">
        <v>2466</v>
      </c>
      <c r="P659">
        <v>3.15</v>
      </c>
      <c r="Q659">
        <v>384</v>
      </c>
      <c r="R659">
        <v>346</v>
      </c>
    </row>
    <row r="660" spans="1:18" hidden="1" x14ac:dyDescent="0.2">
      <c r="A660">
        <v>6</v>
      </c>
      <c r="B660" t="s">
        <v>96</v>
      </c>
      <c r="E660" t="s">
        <v>51</v>
      </c>
      <c r="F660">
        <v>2601231</v>
      </c>
      <c r="G660">
        <v>3</v>
      </c>
      <c r="H660">
        <v>3</v>
      </c>
      <c r="I660">
        <v>838</v>
      </c>
      <c r="J660">
        <v>1953</v>
      </c>
      <c r="K660" s="4">
        <v>45278</v>
      </c>
      <c r="L660" t="s">
        <v>26</v>
      </c>
      <c r="M660" t="s">
        <v>68</v>
      </c>
      <c r="N660">
        <v>2.12</v>
      </c>
      <c r="O660">
        <v>1572</v>
      </c>
      <c r="P660">
        <v>4.83</v>
      </c>
      <c r="Q660">
        <v>273</v>
      </c>
      <c r="R660">
        <v>518</v>
      </c>
    </row>
    <row r="661" spans="1:18" hidden="1" x14ac:dyDescent="0.2">
      <c r="A661">
        <v>5</v>
      </c>
      <c r="B661" t="s">
        <v>80</v>
      </c>
      <c r="E661" t="s">
        <v>29</v>
      </c>
      <c r="F661">
        <v>1171167</v>
      </c>
      <c r="G661">
        <v>4</v>
      </c>
      <c r="H661">
        <v>3</v>
      </c>
      <c r="I661">
        <v>374</v>
      </c>
      <c r="J661">
        <v>2016</v>
      </c>
      <c r="K661" s="4">
        <v>45674</v>
      </c>
      <c r="L661" t="s">
        <v>26</v>
      </c>
      <c r="M661" t="s">
        <v>85</v>
      </c>
      <c r="N661">
        <v>2.15</v>
      </c>
      <c r="O661">
        <v>929</v>
      </c>
      <c r="P661">
        <v>3.98</v>
      </c>
      <c r="Q661">
        <v>274</v>
      </c>
      <c r="R661">
        <v>635</v>
      </c>
    </row>
    <row r="662" spans="1:18" x14ac:dyDescent="0.2">
      <c r="A662">
        <v>8</v>
      </c>
      <c r="B662" t="s">
        <v>106</v>
      </c>
      <c r="C662" t="str">
        <f>VLOOKUP(B662, 'Council Area'!$A$2:$B$51, 2)</f>
        <v>Hornsby Shire Council</v>
      </c>
      <c r="D662" t="str">
        <f>_xlfn.XLOOKUP(B662, 'Council Area'!$A$2:$A$51, 'Council Area'!$B$2:$B$51)</f>
        <v>Hornsby Shire Council</v>
      </c>
      <c r="E662" t="s">
        <v>19</v>
      </c>
      <c r="F662">
        <v>1396903</v>
      </c>
      <c r="G662">
        <v>3</v>
      </c>
      <c r="H662">
        <v>2</v>
      </c>
      <c r="I662">
        <v>309</v>
      </c>
      <c r="J662">
        <v>1955</v>
      </c>
      <c r="K662" s="4">
        <v>44431</v>
      </c>
      <c r="L662" t="s">
        <v>20</v>
      </c>
      <c r="M662" t="s">
        <v>35</v>
      </c>
      <c r="N662">
        <v>1.74</v>
      </c>
      <c r="O662">
        <v>1851</v>
      </c>
      <c r="P662">
        <v>0.89</v>
      </c>
      <c r="Q662">
        <v>285</v>
      </c>
      <c r="R662">
        <v>543</v>
      </c>
    </row>
    <row r="663" spans="1:18" x14ac:dyDescent="0.2">
      <c r="A663">
        <v>8</v>
      </c>
      <c r="B663" t="s">
        <v>79</v>
      </c>
      <c r="C663" t="str">
        <f>VLOOKUP(B663, 'Council Area'!$A$2:$B$51, 2)</f>
        <v>Parramatta City Council</v>
      </c>
      <c r="D663" t="str">
        <f>_xlfn.XLOOKUP(B663, 'Council Area'!$A$2:$A$51, 'Council Area'!$B$2:$B$51)</f>
        <v>Parramatta City Council</v>
      </c>
      <c r="E663" t="s">
        <v>29</v>
      </c>
      <c r="F663">
        <v>1224555</v>
      </c>
      <c r="G663">
        <v>3</v>
      </c>
      <c r="H663">
        <v>1</v>
      </c>
      <c r="I663">
        <v>430</v>
      </c>
      <c r="J663">
        <v>1985</v>
      </c>
      <c r="K663" s="4">
        <v>44724</v>
      </c>
      <c r="L663" t="s">
        <v>20</v>
      </c>
      <c r="M663" t="s">
        <v>66</v>
      </c>
      <c r="N663">
        <v>1.61</v>
      </c>
      <c r="O663">
        <v>2243</v>
      </c>
      <c r="P663">
        <v>4.57</v>
      </c>
      <c r="Q663">
        <v>316</v>
      </c>
      <c r="R663">
        <v>520</v>
      </c>
    </row>
    <row r="664" spans="1:18" hidden="1" x14ac:dyDescent="0.2">
      <c r="A664">
        <v>3</v>
      </c>
      <c r="B664" t="s">
        <v>61</v>
      </c>
      <c r="E664" t="s">
        <v>36</v>
      </c>
      <c r="F664">
        <v>724202</v>
      </c>
      <c r="G664">
        <v>5</v>
      </c>
      <c r="H664">
        <v>3</v>
      </c>
      <c r="I664">
        <v>629</v>
      </c>
      <c r="J664">
        <v>2010</v>
      </c>
      <c r="K664" s="4">
        <v>45693</v>
      </c>
      <c r="L664" t="s">
        <v>23</v>
      </c>
      <c r="M664" t="s">
        <v>76</v>
      </c>
      <c r="N664">
        <v>2.39</v>
      </c>
      <c r="O664">
        <v>1733</v>
      </c>
      <c r="P664">
        <v>1.89</v>
      </c>
      <c r="Q664">
        <v>352</v>
      </c>
      <c r="R664">
        <v>442</v>
      </c>
    </row>
    <row r="665" spans="1:18" hidden="1" x14ac:dyDescent="0.2">
      <c r="A665">
        <v>2</v>
      </c>
      <c r="B665" t="s">
        <v>39</v>
      </c>
      <c r="E665" t="s">
        <v>29</v>
      </c>
      <c r="F665">
        <v>1683311</v>
      </c>
      <c r="G665">
        <v>4</v>
      </c>
      <c r="H665">
        <v>3</v>
      </c>
      <c r="I665">
        <v>619</v>
      </c>
      <c r="J665">
        <v>1957</v>
      </c>
      <c r="K665" s="4">
        <v>44633</v>
      </c>
      <c r="L665" t="s">
        <v>26</v>
      </c>
      <c r="M665" t="s">
        <v>97</v>
      </c>
      <c r="N665">
        <v>3.04</v>
      </c>
      <c r="O665">
        <v>1819</v>
      </c>
      <c r="P665">
        <v>0.34</v>
      </c>
      <c r="Q665">
        <v>381</v>
      </c>
      <c r="R665">
        <v>380</v>
      </c>
    </row>
    <row r="666" spans="1:18" hidden="1" x14ac:dyDescent="0.2">
      <c r="A666">
        <v>0</v>
      </c>
      <c r="B666" t="s">
        <v>57</v>
      </c>
      <c r="E666" t="s">
        <v>29</v>
      </c>
      <c r="F666">
        <v>2869499</v>
      </c>
      <c r="G666">
        <v>4</v>
      </c>
      <c r="H666">
        <v>1</v>
      </c>
      <c r="I666">
        <v>864</v>
      </c>
      <c r="J666">
        <v>1986</v>
      </c>
      <c r="K666" s="4">
        <v>45268</v>
      </c>
      <c r="L666" t="s">
        <v>20</v>
      </c>
      <c r="M666" t="s">
        <v>40</v>
      </c>
      <c r="N666">
        <v>1.55</v>
      </c>
      <c r="O666">
        <v>868</v>
      </c>
      <c r="P666">
        <v>4.91</v>
      </c>
      <c r="Q666">
        <v>358</v>
      </c>
      <c r="R666">
        <v>691</v>
      </c>
    </row>
    <row r="667" spans="1:18" hidden="1" x14ac:dyDescent="0.2">
      <c r="A667">
        <v>6</v>
      </c>
      <c r="B667" t="s">
        <v>72</v>
      </c>
      <c r="E667" t="s">
        <v>36</v>
      </c>
      <c r="F667">
        <v>2367642</v>
      </c>
      <c r="G667">
        <v>2</v>
      </c>
      <c r="H667">
        <v>3</v>
      </c>
      <c r="I667">
        <v>493</v>
      </c>
      <c r="J667">
        <v>1976</v>
      </c>
      <c r="K667" s="4">
        <v>44583</v>
      </c>
      <c r="L667" t="s">
        <v>30</v>
      </c>
      <c r="M667" t="s">
        <v>85</v>
      </c>
      <c r="N667">
        <v>3.21</v>
      </c>
      <c r="O667">
        <v>2002</v>
      </c>
      <c r="P667">
        <v>2.0299999999999998</v>
      </c>
      <c r="Q667">
        <v>106</v>
      </c>
      <c r="R667">
        <v>391</v>
      </c>
    </row>
    <row r="668" spans="1:18" hidden="1" x14ac:dyDescent="0.2">
      <c r="A668">
        <v>6</v>
      </c>
      <c r="B668" t="s">
        <v>101</v>
      </c>
      <c r="E668" t="s">
        <v>29</v>
      </c>
      <c r="F668">
        <v>2860690</v>
      </c>
      <c r="G668">
        <v>4</v>
      </c>
      <c r="H668">
        <v>3</v>
      </c>
      <c r="I668">
        <v>693</v>
      </c>
      <c r="J668">
        <v>1966</v>
      </c>
      <c r="K668" s="4">
        <v>45494</v>
      </c>
      <c r="L668" t="s">
        <v>20</v>
      </c>
      <c r="M668" t="s">
        <v>60</v>
      </c>
      <c r="N668">
        <v>3.13</v>
      </c>
      <c r="O668">
        <v>2134</v>
      </c>
      <c r="P668">
        <v>0.8</v>
      </c>
      <c r="Q668">
        <v>290</v>
      </c>
      <c r="R668">
        <v>457</v>
      </c>
    </row>
    <row r="669" spans="1:18" hidden="1" x14ac:dyDescent="0.2">
      <c r="A669">
        <v>9</v>
      </c>
      <c r="B669" t="s">
        <v>105</v>
      </c>
      <c r="E669" t="s">
        <v>36</v>
      </c>
      <c r="F669">
        <v>1370245</v>
      </c>
      <c r="G669">
        <v>2</v>
      </c>
      <c r="H669">
        <v>3</v>
      </c>
      <c r="I669">
        <v>761</v>
      </c>
      <c r="J669">
        <v>1967</v>
      </c>
      <c r="K669" s="4">
        <v>45209</v>
      </c>
      <c r="L669" t="s">
        <v>26</v>
      </c>
      <c r="M669" t="s">
        <v>60</v>
      </c>
      <c r="N669">
        <v>3.19</v>
      </c>
      <c r="O669">
        <v>860</v>
      </c>
      <c r="P669">
        <v>1.83</v>
      </c>
      <c r="Q669">
        <v>105</v>
      </c>
      <c r="R669">
        <v>634</v>
      </c>
    </row>
    <row r="670" spans="1:18" hidden="1" x14ac:dyDescent="0.2">
      <c r="A670">
        <v>5</v>
      </c>
      <c r="B670" t="s">
        <v>102</v>
      </c>
      <c r="E670" t="s">
        <v>36</v>
      </c>
      <c r="F670">
        <v>1336528</v>
      </c>
      <c r="G670">
        <v>3</v>
      </c>
      <c r="H670">
        <v>2</v>
      </c>
      <c r="I670">
        <v>456</v>
      </c>
      <c r="J670">
        <v>2016</v>
      </c>
      <c r="K670" s="4">
        <v>45217</v>
      </c>
      <c r="L670" t="s">
        <v>20</v>
      </c>
      <c r="M670" t="s">
        <v>52</v>
      </c>
      <c r="N670">
        <v>2.88</v>
      </c>
      <c r="O670">
        <v>2127</v>
      </c>
      <c r="P670">
        <v>0.51</v>
      </c>
      <c r="Q670">
        <v>155</v>
      </c>
      <c r="R670">
        <v>538</v>
      </c>
    </row>
    <row r="671" spans="1:18" hidden="1" x14ac:dyDescent="0.2">
      <c r="A671">
        <v>4</v>
      </c>
      <c r="B671" t="s">
        <v>43</v>
      </c>
      <c r="E671" t="s">
        <v>36</v>
      </c>
      <c r="F671">
        <v>2921330</v>
      </c>
      <c r="G671">
        <v>0</v>
      </c>
      <c r="H671">
        <v>1</v>
      </c>
      <c r="I671">
        <v>88</v>
      </c>
      <c r="J671">
        <v>2004</v>
      </c>
      <c r="K671" s="4">
        <v>44671</v>
      </c>
      <c r="L671" t="s">
        <v>26</v>
      </c>
      <c r="M671" t="s">
        <v>31</v>
      </c>
      <c r="N671">
        <v>2.27</v>
      </c>
      <c r="O671">
        <v>2315</v>
      </c>
      <c r="P671">
        <v>3.18</v>
      </c>
      <c r="Q671">
        <v>40</v>
      </c>
      <c r="R671">
        <v>629</v>
      </c>
    </row>
    <row r="672" spans="1:18" hidden="1" x14ac:dyDescent="0.2">
      <c r="A672">
        <v>5</v>
      </c>
      <c r="B672" t="s">
        <v>46</v>
      </c>
      <c r="E672" t="s">
        <v>19</v>
      </c>
      <c r="F672">
        <v>790751</v>
      </c>
      <c r="G672">
        <v>4</v>
      </c>
      <c r="H672">
        <v>3</v>
      </c>
      <c r="I672">
        <v>708</v>
      </c>
      <c r="J672">
        <v>1959</v>
      </c>
      <c r="K672" s="4">
        <v>44243</v>
      </c>
      <c r="L672" t="s">
        <v>30</v>
      </c>
      <c r="M672" t="s">
        <v>70</v>
      </c>
      <c r="N672">
        <v>2.92</v>
      </c>
      <c r="O672">
        <v>2058</v>
      </c>
      <c r="P672">
        <v>3.7</v>
      </c>
      <c r="Q672">
        <v>276</v>
      </c>
      <c r="R672">
        <v>409</v>
      </c>
    </row>
    <row r="673" spans="1:18" hidden="1" x14ac:dyDescent="0.2">
      <c r="A673">
        <v>7</v>
      </c>
      <c r="B673" t="s">
        <v>104</v>
      </c>
      <c r="E673" t="s">
        <v>29</v>
      </c>
      <c r="F673">
        <v>999058</v>
      </c>
      <c r="G673">
        <v>2</v>
      </c>
      <c r="H673">
        <v>3</v>
      </c>
      <c r="I673">
        <v>392</v>
      </c>
      <c r="J673">
        <v>1977</v>
      </c>
      <c r="K673" s="4">
        <v>45636</v>
      </c>
      <c r="L673" t="s">
        <v>30</v>
      </c>
      <c r="M673" t="s">
        <v>40</v>
      </c>
      <c r="N673">
        <v>3.14</v>
      </c>
      <c r="O673">
        <v>1148</v>
      </c>
      <c r="P673">
        <v>1.33</v>
      </c>
      <c r="Q673">
        <v>204</v>
      </c>
      <c r="R673">
        <v>370</v>
      </c>
    </row>
    <row r="674" spans="1:18" hidden="1" x14ac:dyDescent="0.2">
      <c r="A674">
        <v>7</v>
      </c>
      <c r="B674" t="s">
        <v>105</v>
      </c>
      <c r="E674" t="s">
        <v>51</v>
      </c>
      <c r="F674">
        <v>921851</v>
      </c>
      <c r="G674">
        <v>0</v>
      </c>
      <c r="H674">
        <v>1</v>
      </c>
      <c r="I674">
        <v>527</v>
      </c>
      <c r="J674">
        <v>1976</v>
      </c>
      <c r="K674" s="4">
        <v>44960</v>
      </c>
      <c r="L674" t="s">
        <v>30</v>
      </c>
      <c r="M674" t="s">
        <v>31</v>
      </c>
      <c r="N674">
        <v>3.03</v>
      </c>
      <c r="O674">
        <v>802</v>
      </c>
      <c r="P674">
        <v>2.04</v>
      </c>
      <c r="Q674">
        <v>49</v>
      </c>
      <c r="R674">
        <v>583</v>
      </c>
    </row>
    <row r="675" spans="1:18" hidden="1" x14ac:dyDescent="0.2">
      <c r="A675">
        <v>0</v>
      </c>
      <c r="B675" t="s">
        <v>39</v>
      </c>
      <c r="E675" t="s">
        <v>36</v>
      </c>
      <c r="F675">
        <v>2894152</v>
      </c>
      <c r="G675">
        <v>3</v>
      </c>
      <c r="H675">
        <v>3</v>
      </c>
      <c r="I675">
        <v>570</v>
      </c>
      <c r="J675">
        <v>2016</v>
      </c>
      <c r="K675" s="4">
        <v>45326</v>
      </c>
      <c r="L675" t="s">
        <v>30</v>
      </c>
      <c r="M675" t="s">
        <v>58</v>
      </c>
      <c r="N675">
        <v>3.08</v>
      </c>
      <c r="O675">
        <v>2365</v>
      </c>
      <c r="P675">
        <v>0.57999999999999996</v>
      </c>
      <c r="Q675">
        <v>238</v>
      </c>
      <c r="R675">
        <v>518</v>
      </c>
    </row>
    <row r="676" spans="1:18" hidden="1" x14ac:dyDescent="0.2">
      <c r="A676">
        <v>1</v>
      </c>
      <c r="B676" t="s">
        <v>80</v>
      </c>
      <c r="E676" t="s">
        <v>29</v>
      </c>
      <c r="F676">
        <v>1310587</v>
      </c>
      <c r="G676">
        <v>4</v>
      </c>
      <c r="H676">
        <v>1</v>
      </c>
      <c r="I676">
        <v>607</v>
      </c>
      <c r="J676">
        <v>1964</v>
      </c>
      <c r="K676" s="4">
        <v>45574</v>
      </c>
      <c r="L676" t="s">
        <v>23</v>
      </c>
      <c r="M676" t="s">
        <v>42</v>
      </c>
      <c r="N676">
        <v>1.77</v>
      </c>
      <c r="O676">
        <v>2301</v>
      </c>
      <c r="P676">
        <v>2.66</v>
      </c>
      <c r="Q676">
        <v>365</v>
      </c>
      <c r="R676">
        <v>479</v>
      </c>
    </row>
    <row r="677" spans="1:18" x14ac:dyDescent="0.2">
      <c r="A677">
        <v>8</v>
      </c>
      <c r="B677" t="s">
        <v>49</v>
      </c>
      <c r="C677" t="str">
        <f>VLOOKUP(B677, 'Council Area'!$A$2:$B$51, 2)</f>
        <v>Inner West Council</v>
      </c>
      <c r="D677" t="str">
        <f>_xlfn.XLOOKUP(B677, 'Council Area'!$A$2:$A$51, 'Council Area'!$B$2:$B$51)</f>
        <v>Inner West Council</v>
      </c>
      <c r="E677" t="s">
        <v>19</v>
      </c>
      <c r="F677">
        <v>1722194</v>
      </c>
      <c r="G677">
        <v>2</v>
      </c>
      <c r="H677">
        <v>2</v>
      </c>
      <c r="I677">
        <v>216</v>
      </c>
      <c r="J677">
        <v>1978</v>
      </c>
      <c r="K677" s="4">
        <v>45255</v>
      </c>
      <c r="L677" t="s">
        <v>20</v>
      </c>
      <c r="M677" t="s">
        <v>82</v>
      </c>
      <c r="N677">
        <v>3.03</v>
      </c>
      <c r="O677">
        <v>1154</v>
      </c>
      <c r="P677">
        <v>4.6500000000000004</v>
      </c>
      <c r="Q677">
        <v>67</v>
      </c>
      <c r="R677">
        <v>564</v>
      </c>
    </row>
    <row r="678" spans="1:18" hidden="1" x14ac:dyDescent="0.2">
      <c r="A678">
        <v>4</v>
      </c>
      <c r="B678" t="s">
        <v>18</v>
      </c>
      <c r="E678" t="s">
        <v>19</v>
      </c>
      <c r="F678">
        <v>2085570</v>
      </c>
      <c r="G678">
        <v>2</v>
      </c>
      <c r="H678">
        <v>1</v>
      </c>
      <c r="I678">
        <v>546</v>
      </c>
      <c r="J678">
        <v>1979</v>
      </c>
      <c r="K678" s="4">
        <v>45613</v>
      </c>
      <c r="L678" t="s">
        <v>20</v>
      </c>
      <c r="M678" t="s">
        <v>78</v>
      </c>
      <c r="N678">
        <v>3.26</v>
      </c>
      <c r="O678">
        <v>1951</v>
      </c>
      <c r="P678">
        <v>3.99</v>
      </c>
      <c r="Q678">
        <v>112</v>
      </c>
      <c r="R678">
        <v>591</v>
      </c>
    </row>
    <row r="679" spans="1:18" hidden="1" x14ac:dyDescent="0.2">
      <c r="A679">
        <v>1</v>
      </c>
      <c r="B679" t="s">
        <v>39</v>
      </c>
      <c r="E679" t="s">
        <v>19</v>
      </c>
      <c r="F679">
        <v>2017872</v>
      </c>
      <c r="G679">
        <v>4</v>
      </c>
      <c r="H679">
        <v>1</v>
      </c>
      <c r="I679">
        <v>281</v>
      </c>
      <c r="J679">
        <v>2022</v>
      </c>
      <c r="K679" s="4">
        <v>45819</v>
      </c>
      <c r="L679" t="s">
        <v>23</v>
      </c>
      <c r="M679" t="s">
        <v>58</v>
      </c>
      <c r="N679">
        <v>2.95</v>
      </c>
      <c r="O679">
        <v>1269</v>
      </c>
      <c r="P679">
        <v>2.88</v>
      </c>
      <c r="Q679">
        <v>280</v>
      </c>
      <c r="R679">
        <v>535</v>
      </c>
    </row>
    <row r="680" spans="1:18" x14ac:dyDescent="0.2">
      <c r="A680">
        <v>8</v>
      </c>
      <c r="B680" t="s">
        <v>79</v>
      </c>
      <c r="C680" t="str">
        <f>VLOOKUP(B680, 'Council Area'!$A$2:$B$51, 2)</f>
        <v>Parramatta City Council</v>
      </c>
      <c r="D680" t="str">
        <f>_xlfn.XLOOKUP(B680, 'Council Area'!$A$2:$A$51, 'Council Area'!$B$2:$B$51)</f>
        <v>Parramatta City Council</v>
      </c>
      <c r="E680" t="s">
        <v>19</v>
      </c>
      <c r="F680">
        <v>2748095</v>
      </c>
      <c r="G680">
        <v>2</v>
      </c>
      <c r="H680">
        <v>1</v>
      </c>
      <c r="I680">
        <v>608</v>
      </c>
      <c r="J680">
        <v>2006</v>
      </c>
      <c r="K680" s="4">
        <v>44333</v>
      </c>
      <c r="L680" t="s">
        <v>20</v>
      </c>
      <c r="M680" t="s">
        <v>63</v>
      </c>
      <c r="N680">
        <v>2.7</v>
      </c>
      <c r="O680">
        <v>1978</v>
      </c>
      <c r="P680">
        <v>2.4300000000000002</v>
      </c>
      <c r="Q680">
        <v>83</v>
      </c>
      <c r="R680">
        <v>416</v>
      </c>
    </row>
    <row r="681" spans="1:18" hidden="1" x14ac:dyDescent="0.2">
      <c r="A681">
        <v>6</v>
      </c>
      <c r="B681" t="s">
        <v>106</v>
      </c>
      <c r="E681" t="s">
        <v>19</v>
      </c>
      <c r="F681">
        <v>1425693</v>
      </c>
      <c r="G681">
        <v>0</v>
      </c>
      <c r="H681">
        <v>1</v>
      </c>
      <c r="I681">
        <v>226</v>
      </c>
      <c r="J681">
        <v>1965</v>
      </c>
      <c r="K681" s="4">
        <v>45000</v>
      </c>
      <c r="L681" t="s">
        <v>26</v>
      </c>
      <c r="M681" t="s">
        <v>70</v>
      </c>
      <c r="N681">
        <v>3.13</v>
      </c>
      <c r="O681">
        <v>971</v>
      </c>
      <c r="P681">
        <v>1.9</v>
      </c>
      <c r="Q681">
        <v>49</v>
      </c>
      <c r="R681">
        <v>517</v>
      </c>
    </row>
    <row r="682" spans="1:18" hidden="1" x14ac:dyDescent="0.2">
      <c r="A682">
        <v>3</v>
      </c>
      <c r="B682" t="s">
        <v>73</v>
      </c>
      <c r="E682" t="s">
        <v>29</v>
      </c>
      <c r="F682">
        <v>1977582</v>
      </c>
      <c r="G682">
        <v>5</v>
      </c>
      <c r="H682">
        <v>2</v>
      </c>
      <c r="I682">
        <v>881</v>
      </c>
      <c r="J682">
        <v>1956</v>
      </c>
      <c r="K682" s="4">
        <v>44235</v>
      </c>
      <c r="L682" t="s">
        <v>30</v>
      </c>
      <c r="M682" t="s">
        <v>56</v>
      </c>
      <c r="N682">
        <v>3.48</v>
      </c>
      <c r="O682">
        <v>1285</v>
      </c>
      <c r="P682">
        <v>2.4700000000000002</v>
      </c>
      <c r="Q682">
        <v>275</v>
      </c>
      <c r="R682">
        <v>394</v>
      </c>
    </row>
    <row r="683" spans="1:18" hidden="1" x14ac:dyDescent="0.2">
      <c r="A683">
        <v>0</v>
      </c>
      <c r="B683" t="s">
        <v>48</v>
      </c>
      <c r="E683" t="s">
        <v>29</v>
      </c>
      <c r="F683">
        <v>770916</v>
      </c>
      <c r="G683">
        <v>2</v>
      </c>
      <c r="H683">
        <v>1</v>
      </c>
      <c r="I683">
        <v>484</v>
      </c>
      <c r="J683">
        <v>2020</v>
      </c>
      <c r="K683" s="4">
        <v>45810</v>
      </c>
      <c r="L683" t="s">
        <v>26</v>
      </c>
      <c r="M683" t="s">
        <v>78</v>
      </c>
      <c r="N683">
        <v>3.38</v>
      </c>
      <c r="O683">
        <v>1030</v>
      </c>
      <c r="P683">
        <v>1.62</v>
      </c>
      <c r="Q683">
        <v>129</v>
      </c>
      <c r="R683">
        <v>601</v>
      </c>
    </row>
    <row r="684" spans="1:18" hidden="1" x14ac:dyDescent="0.2">
      <c r="A684">
        <v>6</v>
      </c>
      <c r="B684" t="s">
        <v>102</v>
      </c>
      <c r="E684" t="s">
        <v>19</v>
      </c>
      <c r="F684">
        <v>1277242</v>
      </c>
      <c r="G684">
        <v>5</v>
      </c>
      <c r="H684">
        <v>3</v>
      </c>
      <c r="I684">
        <v>131</v>
      </c>
      <c r="J684">
        <v>2005</v>
      </c>
      <c r="K684" s="4">
        <v>45059</v>
      </c>
      <c r="L684" t="s">
        <v>20</v>
      </c>
      <c r="M684" t="s">
        <v>78</v>
      </c>
      <c r="N684">
        <v>2</v>
      </c>
      <c r="O684">
        <v>1716</v>
      </c>
      <c r="P684">
        <v>4.18</v>
      </c>
      <c r="Q684">
        <v>373</v>
      </c>
      <c r="R684">
        <v>322</v>
      </c>
    </row>
    <row r="685" spans="1:18" hidden="1" x14ac:dyDescent="0.2">
      <c r="A685">
        <v>9</v>
      </c>
      <c r="B685" t="s">
        <v>72</v>
      </c>
      <c r="E685" t="s">
        <v>19</v>
      </c>
      <c r="F685">
        <v>526708</v>
      </c>
      <c r="G685">
        <v>6</v>
      </c>
      <c r="H685">
        <v>3</v>
      </c>
      <c r="I685">
        <v>596</v>
      </c>
      <c r="J685">
        <v>1975</v>
      </c>
      <c r="K685" s="4">
        <v>45373</v>
      </c>
      <c r="L685" t="s">
        <v>26</v>
      </c>
      <c r="M685" t="s">
        <v>82</v>
      </c>
      <c r="N685">
        <v>2.36</v>
      </c>
      <c r="O685">
        <v>803</v>
      </c>
      <c r="P685">
        <v>0.28000000000000003</v>
      </c>
      <c r="Q685">
        <v>345</v>
      </c>
      <c r="R685">
        <v>582</v>
      </c>
    </row>
    <row r="686" spans="1:18" x14ac:dyDescent="0.2">
      <c r="A686">
        <v>8</v>
      </c>
      <c r="B686" t="s">
        <v>93</v>
      </c>
      <c r="C686" t="str">
        <f>VLOOKUP(B686, 'Council Area'!$A$2:$B$51, 2)</f>
        <v>Blacktown City Council</v>
      </c>
      <c r="D686" t="str">
        <f>_xlfn.XLOOKUP(B686, 'Council Area'!$A$2:$A$51, 'Council Area'!$B$2:$B$51)</f>
        <v>Blacktown City Council</v>
      </c>
      <c r="E686" t="s">
        <v>36</v>
      </c>
      <c r="F686">
        <v>1999873</v>
      </c>
      <c r="G686">
        <v>6</v>
      </c>
      <c r="H686">
        <v>3</v>
      </c>
      <c r="I686">
        <v>553</v>
      </c>
      <c r="J686">
        <v>2019</v>
      </c>
      <c r="K686" s="4">
        <v>44610</v>
      </c>
      <c r="L686" t="s">
        <v>20</v>
      </c>
      <c r="M686" t="s">
        <v>52</v>
      </c>
      <c r="N686">
        <v>1.58</v>
      </c>
      <c r="O686">
        <v>2084</v>
      </c>
      <c r="P686">
        <v>2.11</v>
      </c>
      <c r="Q686">
        <v>392</v>
      </c>
      <c r="R686">
        <v>392</v>
      </c>
    </row>
    <row r="687" spans="1:18" x14ac:dyDescent="0.2">
      <c r="A687">
        <v>8</v>
      </c>
      <c r="B687" t="s">
        <v>44</v>
      </c>
      <c r="C687" t="str">
        <f>VLOOKUP(B687, 'Council Area'!$A$2:$B$51, 2)</f>
        <v>Inner West Council</v>
      </c>
      <c r="D687" t="str">
        <f>_xlfn.XLOOKUP(B687, 'Council Area'!$A$2:$A$51, 'Council Area'!$B$2:$B$51)</f>
        <v>Inner West Council</v>
      </c>
      <c r="E687" t="s">
        <v>36</v>
      </c>
      <c r="F687">
        <v>1829169</v>
      </c>
      <c r="G687">
        <v>5</v>
      </c>
      <c r="H687">
        <v>2</v>
      </c>
      <c r="I687">
        <v>526</v>
      </c>
      <c r="J687">
        <v>1999</v>
      </c>
      <c r="K687" s="4">
        <v>44722</v>
      </c>
      <c r="L687" t="s">
        <v>20</v>
      </c>
      <c r="M687" t="s">
        <v>85</v>
      </c>
      <c r="N687">
        <v>2.13</v>
      </c>
      <c r="O687">
        <v>1073</v>
      </c>
      <c r="P687">
        <v>4.32</v>
      </c>
      <c r="Q687">
        <v>330</v>
      </c>
      <c r="R687">
        <v>507</v>
      </c>
    </row>
    <row r="688" spans="1:18" hidden="1" x14ac:dyDescent="0.2">
      <c r="A688">
        <v>4</v>
      </c>
      <c r="B688" t="s">
        <v>62</v>
      </c>
      <c r="E688" t="s">
        <v>29</v>
      </c>
      <c r="F688">
        <v>1806497</v>
      </c>
      <c r="G688">
        <v>1</v>
      </c>
      <c r="H688">
        <v>2</v>
      </c>
      <c r="I688">
        <v>813</v>
      </c>
      <c r="J688">
        <v>1951</v>
      </c>
      <c r="K688" s="4">
        <v>44219</v>
      </c>
      <c r="L688" t="s">
        <v>23</v>
      </c>
      <c r="M688" t="s">
        <v>21</v>
      </c>
      <c r="N688">
        <v>3.37</v>
      </c>
      <c r="O688">
        <v>1046</v>
      </c>
      <c r="P688">
        <v>2.54</v>
      </c>
      <c r="Q688">
        <v>77</v>
      </c>
      <c r="R688">
        <v>349</v>
      </c>
    </row>
    <row r="689" spans="1:18" hidden="1" x14ac:dyDescent="0.2">
      <c r="A689">
        <v>2</v>
      </c>
      <c r="B689" t="s">
        <v>72</v>
      </c>
      <c r="E689" t="s">
        <v>29</v>
      </c>
      <c r="F689">
        <v>2167173</v>
      </c>
      <c r="G689">
        <v>5</v>
      </c>
      <c r="H689">
        <v>2</v>
      </c>
      <c r="I689">
        <v>457</v>
      </c>
      <c r="J689">
        <v>2017</v>
      </c>
      <c r="K689" s="4">
        <v>44181</v>
      </c>
      <c r="L689" t="s">
        <v>20</v>
      </c>
      <c r="M689" t="s">
        <v>27</v>
      </c>
      <c r="N689">
        <v>3.12</v>
      </c>
      <c r="O689">
        <v>2468</v>
      </c>
      <c r="P689">
        <v>2.1</v>
      </c>
      <c r="Q689">
        <v>312</v>
      </c>
      <c r="R689">
        <v>432</v>
      </c>
    </row>
    <row r="690" spans="1:18" hidden="1" x14ac:dyDescent="0.2">
      <c r="A690">
        <v>2</v>
      </c>
      <c r="B690" t="s">
        <v>41</v>
      </c>
      <c r="E690" t="s">
        <v>29</v>
      </c>
      <c r="F690">
        <v>1649914</v>
      </c>
      <c r="G690">
        <v>4</v>
      </c>
      <c r="H690">
        <v>3</v>
      </c>
      <c r="I690">
        <v>669</v>
      </c>
      <c r="J690">
        <v>2003</v>
      </c>
      <c r="K690" s="4">
        <v>44543</v>
      </c>
      <c r="L690" t="s">
        <v>30</v>
      </c>
      <c r="M690" t="s">
        <v>78</v>
      </c>
      <c r="N690">
        <v>3.43</v>
      </c>
      <c r="O690">
        <v>2083</v>
      </c>
      <c r="P690">
        <v>3.08</v>
      </c>
      <c r="Q690">
        <v>320</v>
      </c>
      <c r="R690">
        <v>403</v>
      </c>
    </row>
    <row r="691" spans="1:18" hidden="1" x14ac:dyDescent="0.2">
      <c r="A691">
        <v>3</v>
      </c>
      <c r="B691" t="s">
        <v>49</v>
      </c>
      <c r="E691" t="s">
        <v>29</v>
      </c>
      <c r="F691">
        <v>532605</v>
      </c>
      <c r="G691">
        <v>2</v>
      </c>
      <c r="H691">
        <v>1</v>
      </c>
      <c r="I691">
        <v>659</v>
      </c>
      <c r="J691">
        <v>1973</v>
      </c>
      <c r="K691" s="4">
        <v>44489</v>
      </c>
      <c r="L691" t="s">
        <v>20</v>
      </c>
      <c r="M691" t="s">
        <v>70</v>
      </c>
      <c r="N691">
        <v>1.76</v>
      </c>
      <c r="O691">
        <v>2176</v>
      </c>
      <c r="P691">
        <v>0.36</v>
      </c>
      <c r="Q691">
        <v>89</v>
      </c>
      <c r="R691">
        <v>397</v>
      </c>
    </row>
    <row r="692" spans="1:18" hidden="1" x14ac:dyDescent="0.2">
      <c r="A692">
        <v>4</v>
      </c>
      <c r="B692" t="s">
        <v>32</v>
      </c>
      <c r="E692" t="s">
        <v>29</v>
      </c>
      <c r="F692">
        <v>1662619</v>
      </c>
      <c r="G692">
        <v>4</v>
      </c>
      <c r="H692">
        <v>3</v>
      </c>
      <c r="I692">
        <v>107</v>
      </c>
      <c r="J692">
        <v>1971</v>
      </c>
      <c r="K692" s="4">
        <v>44667</v>
      </c>
      <c r="L692" t="s">
        <v>20</v>
      </c>
      <c r="M692" t="s">
        <v>70</v>
      </c>
      <c r="N692">
        <v>2.44</v>
      </c>
      <c r="O692">
        <v>1088</v>
      </c>
      <c r="P692">
        <v>1.98</v>
      </c>
      <c r="Q692">
        <v>369</v>
      </c>
      <c r="R692">
        <v>420</v>
      </c>
    </row>
    <row r="693" spans="1:18" hidden="1" x14ac:dyDescent="0.2">
      <c r="A693">
        <v>2</v>
      </c>
      <c r="B693" t="s">
        <v>95</v>
      </c>
      <c r="E693" t="s">
        <v>36</v>
      </c>
      <c r="F693">
        <v>2255897</v>
      </c>
      <c r="G693">
        <v>3</v>
      </c>
      <c r="H693">
        <v>2</v>
      </c>
      <c r="I693">
        <v>264</v>
      </c>
      <c r="J693">
        <v>1952</v>
      </c>
      <c r="K693" s="4">
        <v>44155</v>
      </c>
      <c r="L693" t="s">
        <v>20</v>
      </c>
      <c r="M693" t="s">
        <v>59</v>
      </c>
      <c r="N693">
        <v>2.69</v>
      </c>
      <c r="O693">
        <v>2477</v>
      </c>
      <c r="P693">
        <v>1.83</v>
      </c>
      <c r="Q693">
        <v>101</v>
      </c>
      <c r="R693">
        <v>589</v>
      </c>
    </row>
    <row r="694" spans="1:18" hidden="1" x14ac:dyDescent="0.2">
      <c r="A694">
        <v>2</v>
      </c>
      <c r="B694" t="s">
        <v>55</v>
      </c>
      <c r="E694" t="s">
        <v>36</v>
      </c>
      <c r="F694">
        <v>2565808</v>
      </c>
      <c r="G694">
        <v>5</v>
      </c>
      <c r="H694">
        <v>2</v>
      </c>
      <c r="I694">
        <v>588</v>
      </c>
      <c r="J694">
        <v>1958</v>
      </c>
      <c r="K694" s="4">
        <v>44702</v>
      </c>
      <c r="L694" t="s">
        <v>20</v>
      </c>
      <c r="M694" t="s">
        <v>58</v>
      </c>
      <c r="N694">
        <v>2.23</v>
      </c>
      <c r="O694">
        <v>1449</v>
      </c>
      <c r="P694">
        <v>1.0900000000000001</v>
      </c>
      <c r="Q694">
        <v>359</v>
      </c>
      <c r="R694">
        <v>573</v>
      </c>
    </row>
    <row r="695" spans="1:18" x14ac:dyDescent="0.2">
      <c r="A695">
        <v>8</v>
      </c>
      <c r="B695" t="s">
        <v>43</v>
      </c>
      <c r="C695" t="str">
        <f>VLOOKUP(B695, 'Council Area'!$A$2:$B$51, 2)</f>
        <v>Sutherland Shire Council</v>
      </c>
      <c r="D695" t="str">
        <f>_xlfn.XLOOKUP(B695, 'Council Area'!$A$2:$A$51, 'Council Area'!$B$2:$B$51)</f>
        <v>Sutherland Shire Council</v>
      </c>
      <c r="E695" t="s">
        <v>51</v>
      </c>
      <c r="F695">
        <v>1912787</v>
      </c>
      <c r="G695">
        <v>3</v>
      </c>
      <c r="H695">
        <v>1</v>
      </c>
      <c r="I695">
        <v>66</v>
      </c>
      <c r="J695">
        <v>1989</v>
      </c>
      <c r="K695" s="4">
        <v>45867</v>
      </c>
      <c r="L695" t="s">
        <v>30</v>
      </c>
      <c r="M695" t="s">
        <v>31</v>
      </c>
      <c r="N695">
        <v>2.3199999999999998</v>
      </c>
      <c r="O695">
        <v>1218</v>
      </c>
      <c r="P695">
        <v>2.38</v>
      </c>
      <c r="Q695">
        <v>311</v>
      </c>
      <c r="R695">
        <v>405</v>
      </c>
    </row>
    <row r="696" spans="1:18" hidden="1" x14ac:dyDescent="0.2">
      <c r="A696">
        <v>5</v>
      </c>
      <c r="B696" t="s">
        <v>32</v>
      </c>
      <c r="E696" t="s">
        <v>36</v>
      </c>
      <c r="F696">
        <v>908155</v>
      </c>
      <c r="G696">
        <v>4</v>
      </c>
      <c r="H696">
        <v>2</v>
      </c>
      <c r="I696">
        <v>573</v>
      </c>
      <c r="J696">
        <v>1978</v>
      </c>
      <c r="K696" s="4">
        <v>44726</v>
      </c>
      <c r="L696" t="s">
        <v>26</v>
      </c>
      <c r="M696" t="s">
        <v>56</v>
      </c>
      <c r="N696">
        <v>3.13</v>
      </c>
      <c r="O696">
        <v>1692</v>
      </c>
      <c r="P696">
        <v>2.7</v>
      </c>
      <c r="Q696">
        <v>179</v>
      </c>
      <c r="R696">
        <v>468</v>
      </c>
    </row>
    <row r="697" spans="1:18" hidden="1" x14ac:dyDescent="0.2">
      <c r="A697">
        <v>7</v>
      </c>
      <c r="B697" t="s">
        <v>38</v>
      </c>
      <c r="E697" t="s">
        <v>19</v>
      </c>
      <c r="F697">
        <v>1326709</v>
      </c>
      <c r="G697">
        <v>2</v>
      </c>
      <c r="H697">
        <v>3</v>
      </c>
      <c r="I697">
        <v>699</v>
      </c>
      <c r="J697">
        <v>1996</v>
      </c>
      <c r="K697" s="4">
        <v>45150</v>
      </c>
      <c r="L697" t="s">
        <v>20</v>
      </c>
      <c r="M697" t="s">
        <v>45</v>
      </c>
      <c r="N697">
        <v>2.2599999999999998</v>
      </c>
      <c r="O697">
        <v>1439</v>
      </c>
      <c r="P697">
        <v>1.07</v>
      </c>
      <c r="Q697">
        <v>87</v>
      </c>
      <c r="R697">
        <v>501</v>
      </c>
    </row>
    <row r="698" spans="1:18" hidden="1" x14ac:dyDescent="0.2">
      <c r="A698">
        <v>6</v>
      </c>
      <c r="B698" t="s">
        <v>18</v>
      </c>
      <c r="E698" t="s">
        <v>36</v>
      </c>
      <c r="F698">
        <v>910620</v>
      </c>
      <c r="G698">
        <v>5</v>
      </c>
      <c r="H698">
        <v>3</v>
      </c>
      <c r="I698">
        <v>926</v>
      </c>
      <c r="J698">
        <v>1964</v>
      </c>
      <c r="K698" s="4">
        <v>44400</v>
      </c>
      <c r="L698" t="s">
        <v>23</v>
      </c>
      <c r="M698" t="s">
        <v>52</v>
      </c>
      <c r="N698">
        <v>3.15</v>
      </c>
      <c r="O698">
        <v>1071</v>
      </c>
      <c r="P698">
        <v>3.64</v>
      </c>
      <c r="Q698">
        <v>317</v>
      </c>
      <c r="R698">
        <v>508</v>
      </c>
    </row>
    <row r="699" spans="1:18" hidden="1" x14ac:dyDescent="0.2">
      <c r="A699">
        <v>7</v>
      </c>
      <c r="B699" t="s">
        <v>53</v>
      </c>
      <c r="E699" t="s">
        <v>36</v>
      </c>
      <c r="F699">
        <v>532206</v>
      </c>
      <c r="G699">
        <v>5</v>
      </c>
      <c r="H699">
        <v>3</v>
      </c>
      <c r="I699">
        <v>855</v>
      </c>
      <c r="J699">
        <v>1966</v>
      </c>
      <c r="K699" s="4">
        <v>45808</v>
      </c>
      <c r="L699" t="s">
        <v>30</v>
      </c>
      <c r="M699" t="s">
        <v>77</v>
      </c>
      <c r="N699">
        <v>2.06</v>
      </c>
      <c r="O699">
        <v>1888</v>
      </c>
      <c r="P699">
        <v>1.53</v>
      </c>
      <c r="Q699">
        <v>364</v>
      </c>
      <c r="R699">
        <v>313</v>
      </c>
    </row>
    <row r="700" spans="1:18" hidden="1" x14ac:dyDescent="0.2">
      <c r="A700">
        <v>7</v>
      </c>
      <c r="B700" t="s">
        <v>49</v>
      </c>
      <c r="E700" t="s">
        <v>19</v>
      </c>
      <c r="F700">
        <v>1511547</v>
      </c>
      <c r="G700">
        <v>4</v>
      </c>
      <c r="H700">
        <v>1</v>
      </c>
      <c r="I700">
        <v>916</v>
      </c>
      <c r="J700">
        <v>2006</v>
      </c>
      <c r="K700" s="4">
        <v>45129</v>
      </c>
      <c r="L700" t="s">
        <v>23</v>
      </c>
      <c r="M700" t="s">
        <v>21</v>
      </c>
      <c r="N700">
        <v>1.83</v>
      </c>
      <c r="O700">
        <v>1648</v>
      </c>
      <c r="P700">
        <v>1.0900000000000001</v>
      </c>
      <c r="Q700">
        <v>304</v>
      </c>
      <c r="R700">
        <v>574</v>
      </c>
    </row>
    <row r="701" spans="1:18" hidden="1" x14ac:dyDescent="0.2">
      <c r="A701">
        <v>9</v>
      </c>
      <c r="B701" t="s">
        <v>62</v>
      </c>
      <c r="E701" t="s">
        <v>19</v>
      </c>
      <c r="F701">
        <v>1029580</v>
      </c>
      <c r="G701">
        <v>6</v>
      </c>
      <c r="H701">
        <v>3</v>
      </c>
      <c r="I701">
        <v>331</v>
      </c>
      <c r="J701">
        <v>2005</v>
      </c>
      <c r="K701" s="4">
        <v>44183</v>
      </c>
      <c r="L701" t="s">
        <v>20</v>
      </c>
      <c r="M701" t="s">
        <v>52</v>
      </c>
      <c r="N701">
        <v>1.57</v>
      </c>
      <c r="O701">
        <v>1283</v>
      </c>
      <c r="P701">
        <v>4.84</v>
      </c>
      <c r="Q701">
        <v>393</v>
      </c>
      <c r="R701">
        <v>655</v>
      </c>
    </row>
    <row r="702" spans="1:18" hidden="1" x14ac:dyDescent="0.2">
      <c r="A702">
        <v>1</v>
      </c>
      <c r="B702" t="s">
        <v>48</v>
      </c>
      <c r="E702" t="s">
        <v>29</v>
      </c>
      <c r="F702">
        <v>2730217</v>
      </c>
      <c r="G702">
        <v>5</v>
      </c>
      <c r="H702">
        <v>1</v>
      </c>
      <c r="I702">
        <v>216</v>
      </c>
      <c r="J702">
        <v>1963</v>
      </c>
      <c r="K702" s="4">
        <v>44362</v>
      </c>
      <c r="L702" t="s">
        <v>30</v>
      </c>
      <c r="M702" t="s">
        <v>33</v>
      </c>
      <c r="N702">
        <v>2.09</v>
      </c>
      <c r="O702">
        <v>1331</v>
      </c>
      <c r="P702">
        <v>2.2200000000000002</v>
      </c>
      <c r="Q702">
        <v>287</v>
      </c>
      <c r="R702">
        <v>472</v>
      </c>
    </row>
    <row r="703" spans="1:18" hidden="1" x14ac:dyDescent="0.2">
      <c r="A703">
        <v>2</v>
      </c>
      <c r="B703" t="s">
        <v>87</v>
      </c>
      <c r="E703" t="s">
        <v>19</v>
      </c>
      <c r="F703">
        <v>556467</v>
      </c>
      <c r="G703">
        <v>3</v>
      </c>
      <c r="H703">
        <v>2</v>
      </c>
      <c r="I703">
        <v>56</v>
      </c>
      <c r="J703">
        <v>1954</v>
      </c>
      <c r="K703" s="4">
        <v>44435</v>
      </c>
      <c r="L703" t="s">
        <v>26</v>
      </c>
      <c r="M703" t="s">
        <v>76</v>
      </c>
      <c r="N703">
        <v>2.77</v>
      </c>
      <c r="O703">
        <v>1907</v>
      </c>
      <c r="P703">
        <v>0.78</v>
      </c>
      <c r="Q703">
        <v>164</v>
      </c>
      <c r="R703">
        <v>352</v>
      </c>
    </row>
    <row r="704" spans="1:18" hidden="1" x14ac:dyDescent="0.2">
      <c r="A704">
        <v>4</v>
      </c>
      <c r="B704" t="s">
        <v>94</v>
      </c>
      <c r="E704" t="s">
        <v>19</v>
      </c>
      <c r="F704">
        <v>2729388</v>
      </c>
      <c r="G704">
        <v>3</v>
      </c>
      <c r="H704">
        <v>3</v>
      </c>
      <c r="I704">
        <v>538</v>
      </c>
      <c r="J704">
        <v>2016</v>
      </c>
      <c r="K704" s="4">
        <v>44713</v>
      </c>
      <c r="L704" t="s">
        <v>23</v>
      </c>
      <c r="M704" t="s">
        <v>89</v>
      </c>
      <c r="N704">
        <v>1.64</v>
      </c>
      <c r="O704">
        <v>2303</v>
      </c>
      <c r="P704">
        <v>1.42</v>
      </c>
      <c r="Q704">
        <v>104</v>
      </c>
      <c r="R704">
        <v>375</v>
      </c>
    </row>
    <row r="705" spans="1:18" hidden="1" x14ac:dyDescent="0.2">
      <c r="A705">
        <v>4</v>
      </c>
      <c r="B705" t="s">
        <v>73</v>
      </c>
      <c r="E705" t="s">
        <v>51</v>
      </c>
      <c r="F705">
        <v>1020294</v>
      </c>
      <c r="G705">
        <v>3</v>
      </c>
      <c r="H705">
        <v>1</v>
      </c>
      <c r="I705">
        <v>882</v>
      </c>
      <c r="J705">
        <v>1978</v>
      </c>
      <c r="K705" s="4">
        <v>45787</v>
      </c>
      <c r="L705" t="s">
        <v>26</v>
      </c>
      <c r="M705" t="s">
        <v>52</v>
      </c>
      <c r="N705">
        <v>2.76</v>
      </c>
      <c r="O705">
        <v>1181</v>
      </c>
      <c r="P705">
        <v>2.67</v>
      </c>
      <c r="Q705">
        <v>101</v>
      </c>
      <c r="R705">
        <v>523</v>
      </c>
    </row>
    <row r="706" spans="1:18" hidden="1" x14ac:dyDescent="0.2">
      <c r="A706">
        <v>0</v>
      </c>
      <c r="B706" t="s">
        <v>95</v>
      </c>
      <c r="E706" t="s">
        <v>19</v>
      </c>
      <c r="F706">
        <v>840945</v>
      </c>
      <c r="G706">
        <v>1</v>
      </c>
      <c r="H706">
        <v>3</v>
      </c>
      <c r="I706">
        <v>60</v>
      </c>
      <c r="J706">
        <v>2013</v>
      </c>
      <c r="K706" s="4">
        <v>45128</v>
      </c>
      <c r="L706" t="s">
        <v>20</v>
      </c>
      <c r="M706" t="s">
        <v>63</v>
      </c>
      <c r="N706">
        <v>2</v>
      </c>
      <c r="O706">
        <v>1939</v>
      </c>
      <c r="P706">
        <v>4.45</v>
      </c>
      <c r="Q706">
        <v>45</v>
      </c>
      <c r="R706">
        <v>451</v>
      </c>
    </row>
    <row r="707" spans="1:18" hidden="1" x14ac:dyDescent="0.2">
      <c r="A707">
        <v>7</v>
      </c>
      <c r="B707" t="s">
        <v>18</v>
      </c>
      <c r="E707" t="s">
        <v>19</v>
      </c>
      <c r="F707">
        <v>2573363</v>
      </c>
      <c r="G707">
        <v>4</v>
      </c>
      <c r="H707">
        <v>1</v>
      </c>
      <c r="I707">
        <v>467</v>
      </c>
      <c r="J707">
        <v>1969</v>
      </c>
      <c r="K707" s="4">
        <v>44535</v>
      </c>
      <c r="L707" t="s">
        <v>20</v>
      </c>
      <c r="M707" t="s">
        <v>33</v>
      </c>
      <c r="N707">
        <v>2</v>
      </c>
      <c r="O707">
        <v>809</v>
      </c>
      <c r="P707">
        <v>2.63</v>
      </c>
      <c r="Q707">
        <v>235</v>
      </c>
      <c r="R707">
        <v>458</v>
      </c>
    </row>
    <row r="708" spans="1:18" x14ac:dyDescent="0.2">
      <c r="A708">
        <v>8</v>
      </c>
      <c r="B708" t="s">
        <v>55</v>
      </c>
      <c r="C708" t="str">
        <f>VLOOKUP(B708, 'Council Area'!$A$2:$B$51, 2)</f>
        <v>City of Sydney</v>
      </c>
      <c r="D708" t="str">
        <f>_xlfn.XLOOKUP(B708, 'Council Area'!$A$2:$A$51, 'Council Area'!$B$2:$B$51)</f>
        <v>City of Sydney</v>
      </c>
      <c r="E708" t="s">
        <v>36</v>
      </c>
      <c r="F708">
        <v>1993191</v>
      </c>
      <c r="G708">
        <v>4</v>
      </c>
      <c r="H708">
        <v>3</v>
      </c>
      <c r="I708">
        <v>502</v>
      </c>
      <c r="J708">
        <v>1953</v>
      </c>
      <c r="K708" s="4">
        <v>44776</v>
      </c>
      <c r="L708" t="s">
        <v>26</v>
      </c>
      <c r="M708" t="s">
        <v>54</v>
      </c>
      <c r="N708">
        <v>1.75</v>
      </c>
      <c r="O708">
        <v>1292</v>
      </c>
      <c r="P708">
        <v>4.0199999999999996</v>
      </c>
      <c r="Q708">
        <v>391</v>
      </c>
      <c r="R708">
        <v>422</v>
      </c>
    </row>
    <row r="709" spans="1:18" x14ac:dyDescent="0.2">
      <c r="A709">
        <v>8</v>
      </c>
      <c r="B709" t="s">
        <v>100</v>
      </c>
      <c r="C709" t="str">
        <f>VLOOKUP(B709, 'Council Area'!$A$2:$B$51, 2)</f>
        <v>Northern Beaches Council</v>
      </c>
      <c r="D709" t="str">
        <f>_xlfn.XLOOKUP(B709, 'Council Area'!$A$2:$A$51, 'Council Area'!$B$2:$B$51)</f>
        <v>Northern Beaches Council</v>
      </c>
      <c r="E709" t="s">
        <v>29</v>
      </c>
      <c r="F709">
        <v>1609946</v>
      </c>
      <c r="G709">
        <v>2</v>
      </c>
      <c r="H709">
        <v>3</v>
      </c>
      <c r="I709">
        <v>689</v>
      </c>
      <c r="J709">
        <v>1972</v>
      </c>
      <c r="K709" s="4">
        <v>44534</v>
      </c>
      <c r="L709" t="s">
        <v>23</v>
      </c>
      <c r="M709" t="s">
        <v>40</v>
      </c>
      <c r="N709">
        <v>3.14</v>
      </c>
      <c r="O709">
        <v>1326</v>
      </c>
      <c r="P709">
        <v>1.64</v>
      </c>
      <c r="Q709">
        <v>202</v>
      </c>
      <c r="R709">
        <v>585</v>
      </c>
    </row>
    <row r="710" spans="1:18" x14ac:dyDescent="0.2">
      <c r="A710">
        <v>8</v>
      </c>
      <c r="B710" t="s">
        <v>90</v>
      </c>
      <c r="C710" t="str">
        <f>VLOOKUP(B710, 'Council Area'!$A$2:$B$51, 2)</f>
        <v>Ku-ring-gai Council</v>
      </c>
      <c r="D710" t="str">
        <f>_xlfn.XLOOKUP(B710, 'Council Area'!$A$2:$A$51, 'Council Area'!$B$2:$B$51)</f>
        <v>Ku-ring-gai Council</v>
      </c>
      <c r="E710" t="s">
        <v>51</v>
      </c>
      <c r="F710">
        <v>2727723</v>
      </c>
      <c r="G710">
        <v>5</v>
      </c>
      <c r="H710">
        <v>1</v>
      </c>
      <c r="I710">
        <v>178</v>
      </c>
      <c r="J710">
        <v>1985</v>
      </c>
      <c r="K710" s="4">
        <v>45061</v>
      </c>
      <c r="L710" t="s">
        <v>30</v>
      </c>
      <c r="M710" t="s">
        <v>24</v>
      </c>
      <c r="N710">
        <v>2.44</v>
      </c>
      <c r="O710">
        <v>2354</v>
      </c>
      <c r="P710">
        <v>4.0999999999999996</v>
      </c>
      <c r="Q710">
        <v>367</v>
      </c>
      <c r="R710">
        <v>451</v>
      </c>
    </row>
    <row r="711" spans="1:18" hidden="1" x14ac:dyDescent="0.2">
      <c r="A711">
        <v>5</v>
      </c>
      <c r="B711" t="s">
        <v>83</v>
      </c>
      <c r="E711" t="s">
        <v>29</v>
      </c>
      <c r="F711">
        <v>1783479</v>
      </c>
      <c r="G711">
        <v>2</v>
      </c>
      <c r="H711">
        <v>3</v>
      </c>
      <c r="I711">
        <v>569</v>
      </c>
      <c r="J711">
        <v>1951</v>
      </c>
      <c r="K711" s="4">
        <v>44257</v>
      </c>
      <c r="L711" t="s">
        <v>23</v>
      </c>
      <c r="M711" t="s">
        <v>60</v>
      </c>
      <c r="N711">
        <v>2.71</v>
      </c>
      <c r="O711">
        <v>2412</v>
      </c>
      <c r="P711">
        <v>0.5</v>
      </c>
      <c r="Q711">
        <v>120</v>
      </c>
      <c r="R711">
        <v>682</v>
      </c>
    </row>
    <row r="712" spans="1:18" hidden="1" x14ac:dyDescent="0.2">
      <c r="A712">
        <v>3</v>
      </c>
      <c r="B712" t="s">
        <v>72</v>
      </c>
      <c r="E712" t="s">
        <v>51</v>
      </c>
      <c r="F712">
        <v>1166499</v>
      </c>
      <c r="G712">
        <v>2</v>
      </c>
      <c r="H712">
        <v>2</v>
      </c>
      <c r="I712">
        <v>918</v>
      </c>
      <c r="J712">
        <v>2017</v>
      </c>
      <c r="K712" s="4">
        <v>45681</v>
      </c>
      <c r="L712" t="s">
        <v>23</v>
      </c>
      <c r="M712" t="s">
        <v>85</v>
      </c>
      <c r="N712">
        <v>1.69</v>
      </c>
      <c r="O712">
        <v>2262</v>
      </c>
      <c r="P712">
        <v>4.9400000000000004</v>
      </c>
      <c r="Q712">
        <v>136</v>
      </c>
      <c r="R712">
        <v>350</v>
      </c>
    </row>
    <row r="713" spans="1:18" hidden="1" x14ac:dyDescent="0.2">
      <c r="A713">
        <v>0</v>
      </c>
      <c r="B713" t="s">
        <v>64</v>
      </c>
      <c r="E713" t="s">
        <v>29</v>
      </c>
      <c r="F713">
        <v>1194978</v>
      </c>
      <c r="G713">
        <v>2</v>
      </c>
      <c r="H713">
        <v>1</v>
      </c>
      <c r="I713">
        <v>377</v>
      </c>
      <c r="J713">
        <v>1969</v>
      </c>
      <c r="K713" s="4">
        <v>45693</v>
      </c>
      <c r="L713" t="s">
        <v>26</v>
      </c>
      <c r="M713" t="s">
        <v>69</v>
      </c>
      <c r="N713">
        <v>2.85</v>
      </c>
      <c r="O713">
        <v>2353</v>
      </c>
      <c r="P713">
        <v>2.89</v>
      </c>
      <c r="Q713">
        <v>79</v>
      </c>
      <c r="R713">
        <v>647</v>
      </c>
    </row>
    <row r="714" spans="1:18" hidden="1" x14ac:dyDescent="0.2">
      <c r="A714">
        <v>9</v>
      </c>
      <c r="B714" t="s">
        <v>28</v>
      </c>
      <c r="E714" t="s">
        <v>36</v>
      </c>
      <c r="F714">
        <v>1221028</v>
      </c>
      <c r="G714">
        <v>6</v>
      </c>
      <c r="H714">
        <v>3</v>
      </c>
      <c r="I714">
        <v>731</v>
      </c>
      <c r="J714">
        <v>2002</v>
      </c>
      <c r="K714" s="4">
        <v>45160</v>
      </c>
      <c r="L714" t="s">
        <v>23</v>
      </c>
      <c r="M714" t="s">
        <v>27</v>
      </c>
      <c r="N714">
        <v>2.02</v>
      </c>
      <c r="O714">
        <v>1352</v>
      </c>
      <c r="P714">
        <v>2.35</v>
      </c>
      <c r="Q714">
        <v>379</v>
      </c>
      <c r="R714">
        <v>513</v>
      </c>
    </row>
    <row r="715" spans="1:18" hidden="1" x14ac:dyDescent="0.2">
      <c r="A715">
        <v>0</v>
      </c>
      <c r="B715" t="s">
        <v>50</v>
      </c>
      <c r="E715" t="s">
        <v>51</v>
      </c>
      <c r="F715">
        <v>1535557</v>
      </c>
      <c r="G715">
        <v>5</v>
      </c>
      <c r="H715">
        <v>2</v>
      </c>
      <c r="I715">
        <v>931</v>
      </c>
      <c r="J715">
        <v>1967</v>
      </c>
      <c r="K715" s="4">
        <v>45516</v>
      </c>
      <c r="L715" t="s">
        <v>26</v>
      </c>
      <c r="M715" t="s">
        <v>52</v>
      </c>
      <c r="N715">
        <v>2.96</v>
      </c>
      <c r="O715">
        <v>1101</v>
      </c>
      <c r="P715">
        <v>3.79</v>
      </c>
      <c r="Q715">
        <v>257</v>
      </c>
      <c r="R715">
        <v>618</v>
      </c>
    </row>
    <row r="716" spans="1:18" hidden="1" x14ac:dyDescent="0.2">
      <c r="A716">
        <v>1</v>
      </c>
      <c r="B716" t="s">
        <v>79</v>
      </c>
      <c r="E716" t="s">
        <v>29</v>
      </c>
      <c r="F716">
        <v>1488121</v>
      </c>
      <c r="G716">
        <v>1</v>
      </c>
      <c r="H716">
        <v>2</v>
      </c>
      <c r="I716">
        <v>344</v>
      </c>
      <c r="J716">
        <v>2002</v>
      </c>
      <c r="K716" s="4">
        <v>44789</v>
      </c>
      <c r="L716" t="s">
        <v>30</v>
      </c>
      <c r="M716" t="s">
        <v>68</v>
      </c>
      <c r="N716">
        <v>1.82</v>
      </c>
      <c r="O716">
        <v>1069</v>
      </c>
      <c r="P716">
        <v>2.96</v>
      </c>
      <c r="Q716">
        <v>93</v>
      </c>
      <c r="R716">
        <v>317</v>
      </c>
    </row>
    <row r="717" spans="1:18" hidden="1" x14ac:dyDescent="0.2">
      <c r="A717">
        <v>0</v>
      </c>
      <c r="B717" t="s">
        <v>94</v>
      </c>
      <c r="E717" t="s">
        <v>19</v>
      </c>
      <c r="F717">
        <v>2786704</v>
      </c>
      <c r="G717">
        <v>2</v>
      </c>
      <c r="H717">
        <v>1</v>
      </c>
      <c r="I717">
        <v>726</v>
      </c>
      <c r="J717">
        <v>1980</v>
      </c>
      <c r="K717" s="4">
        <v>45099</v>
      </c>
      <c r="L717" t="s">
        <v>30</v>
      </c>
      <c r="M717" t="s">
        <v>42</v>
      </c>
      <c r="N717">
        <v>2.78</v>
      </c>
      <c r="O717">
        <v>1387</v>
      </c>
      <c r="P717">
        <v>3.19</v>
      </c>
      <c r="Q717">
        <v>216</v>
      </c>
      <c r="R717">
        <v>631</v>
      </c>
    </row>
    <row r="718" spans="1:18" hidden="1" x14ac:dyDescent="0.2">
      <c r="A718">
        <v>6</v>
      </c>
      <c r="B718" t="s">
        <v>91</v>
      </c>
      <c r="E718" t="s">
        <v>51</v>
      </c>
      <c r="F718">
        <v>2612837</v>
      </c>
      <c r="G718">
        <v>4</v>
      </c>
      <c r="H718">
        <v>1</v>
      </c>
      <c r="I718">
        <v>281</v>
      </c>
      <c r="J718">
        <v>2005</v>
      </c>
      <c r="K718" s="4">
        <v>44670</v>
      </c>
      <c r="L718" t="s">
        <v>30</v>
      </c>
      <c r="M718" t="s">
        <v>31</v>
      </c>
      <c r="N718">
        <v>1.61</v>
      </c>
      <c r="O718">
        <v>1685</v>
      </c>
      <c r="P718">
        <v>3.49</v>
      </c>
      <c r="Q718">
        <v>388</v>
      </c>
      <c r="R718">
        <v>685</v>
      </c>
    </row>
    <row r="719" spans="1:18" x14ac:dyDescent="0.2">
      <c r="A719">
        <v>8</v>
      </c>
      <c r="B719" t="s">
        <v>22</v>
      </c>
      <c r="C719" t="str">
        <f>VLOOKUP(B719, 'Council Area'!$A$2:$B$51, 2)</f>
        <v>Sutherland Shire Council</v>
      </c>
      <c r="D719" t="str">
        <f>_xlfn.XLOOKUP(B719, 'Council Area'!$A$2:$A$51, 'Council Area'!$B$2:$B$51)</f>
        <v>Sutherland Shire Council</v>
      </c>
      <c r="E719" t="s">
        <v>36</v>
      </c>
      <c r="F719">
        <v>1709116</v>
      </c>
      <c r="G719">
        <v>4</v>
      </c>
      <c r="H719">
        <v>2</v>
      </c>
      <c r="I719">
        <v>640</v>
      </c>
      <c r="J719">
        <v>1952</v>
      </c>
      <c r="K719" s="4">
        <v>45588</v>
      </c>
      <c r="L719" t="s">
        <v>26</v>
      </c>
      <c r="M719" t="s">
        <v>42</v>
      </c>
      <c r="N719">
        <v>3.49</v>
      </c>
      <c r="O719">
        <v>1528</v>
      </c>
      <c r="P719">
        <v>1.18</v>
      </c>
      <c r="Q719">
        <v>329</v>
      </c>
      <c r="R719">
        <v>619</v>
      </c>
    </row>
    <row r="720" spans="1:18" hidden="1" x14ac:dyDescent="0.2">
      <c r="A720">
        <v>1</v>
      </c>
      <c r="B720" t="s">
        <v>101</v>
      </c>
      <c r="E720" t="s">
        <v>29</v>
      </c>
      <c r="F720">
        <v>647535</v>
      </c>
      <c r="G720">
        <v>3</v>
      </c>
      <c r="H720">
        <v>3</v>
      </c>
      <c r="I720">
        <v>312</v>
      </c>
      <c r="J720">
        <v>2000</v>
      </c>
      <c r="K720" s="4">
        <v>45551</v>
      </c>
      <c r="L720" t="s">
        <v>30</v>
      </c>
      <c r="M720" t="s">
        <v>68</v>
      </c>
      <c r="N720">
        <v>2.46</v>
      </c>
      <c r="O720">
        <v>1135</v>
      </c>
      <c r="P720">
        <v>4.07</v>
      </c>
      <c r="Q720">
        <v>257</v>
      </c>
      <c r="R720">
        <v>389</v>
      </c>
    </row>
    <row r="721" spans="1:18" hidden="1" x14ac:dyDescent="0.2">
      <c r="A721">
        <v>9</v>
      </c>
      <c r="B721" t="s">
        <v>49</v>
      </c>
      <c r="E721" t="s">
        <v>51</v>
      </c>
      <c r="F721">
        <v>2966928</v>
      </c>
      <c r="G721">
        <v>4</v>
      </c>
      <c r="H721">
        <v>2</v>
      </c>
      <c r="I721">
        <v>733</v>
      </c>
      <c r="J721">
        <v>1996</v>
      </c>
      <c r="K721" s="4">
        <v>44180</v>
      </c>
      <c r="L721" t="s">
        <v>20</v>
      </c>
      <c r="M721" t="s">
        <v>45</v>
      </c>
      <c r="N721">
        <v>2.34</v>
      </c>
      <c r="O721">
        <v>1594</v>
      </c>
      <c r="P721">
        <v>2.1800000000000002</v>
      </c>
      <c r="Q721">
        <v>308</v>
      </c>
      <c r="R721">
        <v>576</v>
      </c>
    </row>
    <row r="722" spans="1:18" hidden="1" x14ac:dyDescent="0.2">
      <c r="A722">
        <v>7</v>
      </c>
      <c r="B722" t="s">
        <v>41</v>
      </c>
      <c r="E722" t="s">
        <v>29</v>
      </c>
      <c r="F722">
        <v>514309</v>
      </c>
      <c r="G722">
        <v>3</v>
      </c>
      <c r="H722">
        <v>2</v>
      </c>
      <c r="I722">
        <v>260</v>
      </c>
      <c r="J722">
        <v>1973</v>
      </c>
      <c r="K722" s="4">
        <v>45321</v>
      </c>
      <c r="L722" t="s">
        <v>20</v>
      </c>
      <c r="M722" t="s">
        <v>89</v>
      </c>
      <c r="N722">
        <v>3.06</v>
      </c>
      <c r="O722">
        <v>2175</v>
      </c>
      <c r="P722">
        <v>3.09</v>
      </c>
      <c r="Q722">
        <v>82</v>
      </c>
      <c r="R722">
        <v>630</v>
      </c>
    </row>
    <row r="723" spans="1:18" hidden="1" x14ac:dyDescent="0.2">
      <c r="A723">
        <v>9</v>
      </c>
      <c r="B723" t="s">
        <v>34</v>
      </c>
      <c r="E723" t="s">
        <v>36</v>
      </c>
      <c r="F723">
        <v>685569</v>
      </c>
      <c r="G723">
        <v>3</v>
      </c>
      <c r="H723">
        <v>1</v>
      </c>
      <c r="I723">
        <v>90</v>
      </c>
      <c r="J723">
        <v>2020</v>
      </c>
      <c r="K723" s="4">
        <v>45360</v>
      </c>
      <c r="L723" t="s">
        <v>20</v>
      </c>
      <c r="M723" t="s">
        <v>97</v>
      </c>
      <c r="N723">
        <v>1.56</v>
      </c>
      <c r="O723">
        <v>1338</v>
      </c>
      <c r="P723">
        <v>4.88</v>
      </c>
      <c r="Q723">
        <v>294</v>
      </c>
      <c r="R723">
        <v>600</v>
      </c>
    </row>
    <row r="724" spans="1:18" hidden="1" x14ac:dyDescent="0.2">
      <c r="A724">
        <v>5</v>
      </c>
      <c r="B724" t="s">
        <v>43</v>
      </c>
      <c r="E724" t="s">
        <v>19</v>
      </c>
      <c r="F724">
        <v>2419171</v>
      </c>
      <c r="G724">
        <v>5</v>
      </c>
      <c r="H724">
        <v>3</v>
      </c>
      <c r="I724">
        <v>671</v>
      </c>
      <c r="J724">
        <v>2010</v>
      </c>
      <c r="K724" s="4">
        <v>45566</v>
      </c>
      <c r="L724" t="s">
        <v>30</v>
      </c>
      <c r="M724" t="s">
        <v>76</v>
      </c>
      <c r="N724">
        <v>3.2</v>
      </c>
      <c r="O724">
        <v>1796</v>
      </c>
      <c r="P724">
        <v>4.4800000000000004</v>
      </c>
      <c r="Q724">
        <v>352</v>
      </c>
      <c r="R724">
        <v>647</v>
      </c>
    </row>
    <row r="725" spans="1:18" x14ac:dyDescent="0.2">
      <c r="A725">
        <v>8</v>
      </c>
      <c r="B725" t="s">
        <v>86</v>
      </c>
      <c r="C725" t="str">
        <f>VLOOKUP(B725, 'Council Area'!$A$2:$B$51, 2)</f>
        <v>Randwick City Council</v>
      </c>
      <c r="D725" t="str">
        <f>_xlfn.XLOOKUP(B725, 'Council Area'!$A$2:$A$51, 'Council Area'!$B$2:$B$51)</f>
        <v>Randwick City Council</v>
      </c>
      <c r="E725" t="s">
        <v>36</v>
      </c>
      <c r="F725">
        <v>1543508</v>
      </c>
      <c r="G725">
        <v>4</v>
      </c>
      <c r="H725">
        <v>3</v>
      </c>
      <c r="I725">
        <v>221</v>
      </c>
      <c r="J725">
        <v>1970</v>
      </c>
      <c r="K725" s="4">
        <v>45669</v>
      </c>
      <c r="L725" t="s">
        <v>30</v>
      </c>
      <c r="M725" t="s">
        <v>89</v>
      </c>
      <c r="N725">
        <v>3.07</v>
      </c>
      <c r="O725">
        <v>1228</v>
      </c>
      <c r="P725">
        <v>3.27</v>
      </c>
      <c r="Q725">
        <v>167</v>
      </c>
      <c r="R725">
        <v>684</v>
      </c>
    </row>
    <row r="726" spans="1:18" hidden="1" x14ac:dyDescent="0.2">
      <c r="A726">
        <v>1</v>
      </c>
      <c r="B726" t="s">
        <v>50</v>
      </c>
      <c r="E726" t="s">
        <v>51</v>
      </c>
      <c r="F726">
        <v>816873</v>
      </c>
      <c r="G726">
        <v>5</v>
      </c>
      <c r="H726">
        <v>3</v>
      </c>
      <c r="I726">
        <v>186</v>
      </c>
      <c r="J726">
        <v>1957</v>
      </c>
      <c r="K726" s="4">
        <v>44318</v>
      </c>
      <c r="L726" t="s">
        <v>26</v>
      </c>
      <c r="M726" t="s">
        <v>58</v>
      </c>
      <c r="N726">
        <v>2.7</v>
      </c>
      <c r="O726">
        <v>2148</v>
      </c>
      <c r="P726">
        <v>3.72</v>
      </c>
      <c r="Q726">
        <v>353</v>
      </c>
      <c r="R726">
        <v>504</v>
      </c>
    </row>
    <row r="727" spans="1:18" hidden="1" x14ac:dyDescent="0.2">
      <c r="A727">
        <v>0</v>
      </c>
      <c r="B727" t="s">
        <v>48</v>
      </c>
      <c r="E727" t="s">
        <v>36</v>
      </c>
      <c r="F727">
        <v>414068</v>
      </c>
      <c r="G727">
        <v>1</v>
      </c>
      <c r="H727">
        <v>3</v>
      </c>
      <c r="I727">
        <v>780</v>
      </c>
      <c r="J727">
        <v>1963</v>
      </c>
      <c r="K727" s="4">
        <v>45613</v>
      </c>
      <c r="L727" t="s">
        <v>20</v>
      </c>
      <c r="M727" t="s">
        <v>42</v>
      </c>
      <c r="N727">
        <v>2.7</v>
      </c>
      <c r="O727">
        <v>955</v>
      </c>
      <c r="P727">
        <v>1.4</v>
      </c>
      <c r="Q727">
        <v>115</v>
      </c>
      <c r="R727">
        <v>439</v>
      </c>
    </row>
    <row r="728" spans="1:18" x14ac:dyDescent="0.2">
      <c r="A728">
        <v>8</v>
      </c>
      <c r="B728" t="s">
        <v>53</v>
      </c>
      <c r="C728" t="str">
        <f>VLOOKUP(B728, 'Council Area'!$A$2:$B$51, 2)</f>
        <v>Randwick City Council</v>
      </c>
      <c r="D728" t="str">
        <f>_xlfn.XLOOKUP(B728, 'Council Area'!$A$2:$A$51, 'Council Area'!$B$2:$B$51)</f>
        <v>Randwick City Council</v>
      </c>
      <c r="E728" t="s">
        <v>29</v>
      </c>
      <c r="F728">
        <v>1305593</v>
      </c>
      <c r="G728">
        <v>3</v>
      </c>
      <c r="H728">
        <v>3</v>
      </c>
      <c r="I728">
        <v>193</v>
      </c>
      <c r="J728">
        <v>2009</v>
      </c>
      <c r="K728" s="4">
        <v>45733</v>
      </c>
      <c r="L728" t="s">
        <v>20</v>
      </c>
      <c r="M728" t="s">
        <v>63</v>
      </c>
      <c r="N728">
        <v>3.34</v>
      </c>
      <c r="O728">
        <v>1532</v>
      </c>
      <c r="P728">
        <v>2.61</v>
      </c>
      <c r="Q728">
        <v>162</v>
      </c>
      <c r="R728">
        <v>479</v>
      </c>
    </row>
    <row r="729" spans="1:18" hidden="1" x14ac:dyDescent="0.2">
      <c r="A729">
        <v>0</v>
      </c>
      <c r="B729" t="s">
        <v>71</v>
      </c>
      <c r="E729" t="s">
        <v>51</v>
      </c>
      <c r="F729">
        <v>467793</v>
      </c>
      <c r="G729">
        <v>3</v>
      </c>
      <c r="H729">
        <v>2</v>
      </c>
      <c r="I729">
        <v>871</v>
      </c>
      <c r="J729">
        <v>2020</v>
      </c>
      <c r="K729" s="4">
        <v>45790</v>
      </c>
      <c r="L729" t="s">
        <v>20</v>
      </c>
      <c r="M729" t="s">
        <v>37</v>
      </c>
      <c r="N729">
        <v>1.98</v>
      </c>
      <c r="O729">
        <v>907</v>
      </c>
      <c r="P729">
        <v>0.81</v>
      </c>
      <c r="Q729">
        <v>118</v>
      </c>
      <c r="R729">
        <v>393</v>
      </c>
    </row>
    <row r="730" spans="1:18" hidden="1" x14ac:dyDescent="0.2">
      <c r="A730">
        <v>2</v>
      </c>
      <c r="B730" t="s">
        <v>92</v>
      </c>
      <c r="E730" t="s">
        <v>51</v>
      </c>
      <c r="F730">
        <v>2371032</v>
      </c>
      <c r="G730">
        <v>1</v>
      </c>
      <c r="H730">
        <v>2</v>
      </c>
      <c r="I730">
        <v>881</v>
      </c>
      <c r="J730">
        <v>1984</v>
      </c>
      <c r="K730" s="4">
        <v>45748</v>
      </c>
      <c r="L730" t="s">
        <v>30</v>
      </c>
      <c r="M730" t="s">
        <v>74</v>
      </c>
      <c r="N730">
        <v>1.68</v>
      </c>
      <c r="O730">
        <v>2365</v>
      </c>
      <c r="P730">
        <v>2.63</v>
      </c>
      <c r="Q730">
        <v>111</v>
      </c>
      <c r="R730">
        <v>544</v>
      </c>
    </row>
    <row r="731" spans="1:18" hidden="1" x14ac:dyDescent="0.2">
      <c r="A731">
        <v>2</v>
      </c>
      <c r="B731" t="s">
        <v>28</v>
      </c>
      <c r="E731" t="s">
        <v>51</v>
      </c>
      <c r="F731">
        <v>408131</v>
      </c>
      <c r="G731">
        <v>2</v>
      </c>
      <c r="H731">
        <v>2</v>
      </c>
      <c r="I731">
        <v>518</v>
      </c>
      <c r="J731">
        <v>1988</v>
      </c>
      <c r="K731" s="4">
        <v>44171</v>
      </c>
      <c r="L731" t="s">
        <v>30</v>
      </c>
      <c r="M731" t="s">
        <v>66</v>
      </c>
      <c r="N731">
        <v>3.16</v>
      </c>
      <c r="O731">
        <v>2047</v>
      </c>
      <c r="P731">
        <v>2.82</v>
      </c>
      <c r="Q731">
        <v>176</v>
      </c>
      <c r="R731">
        <v>578</v>
      </c>
    </row>
    <row r="732" spans="1:18" hidden="1" x14ac:dyDescent="0.2">
      <c r="A732">
        <v>0</v>
      </c>
      <c r="B732" t="s">
        <v>43</v>
      </c>
      <c r="E732" t="s">
        <v>51</v>
      </c>
      <c r="F732">
        <v>2847302</v>
      </c>
      <c r="G732">
        <v>3</v>
      </c>
      <c r="H732">
        <v>2</v>
      </c>
      <c r="I732">
        <v>912</v>
      </c>
      <c r="J732">
        <v>1983</v>
      </c>
      <c r="K732" s="4">
        <v>44769</v>
      </c>
      <c r="L732" t="s">
        <v>30</v>
      </c>
      <c r="M732" t="s">
        <v>59</v>
      </c>
      <c r="N732">
        <v>2.85</v>
      </c>
      <c r="O732">
        <v>2292</v>
      </c>
      <c r="P732">
        <v>3.29</v>
      </c>
      <c r="Q732">
        <v>116</v>
      </c>
      <c r="R732">
        <v>496</v>
      </c>
    </row>
    <row r="733" spans="1:18" hidden="1" x14ac:dyDescent="0.2">
      <c r="A733">
        <v>6</v>
      </c>
      <c r="B733" t="s">
        <v>96</v>
      </c>
      <c r="E733" t="s">
        <v>36</v>
      </c>
      <c r="F733">
        <v>1763825</v>
      </c>
      <c r="G733">
        <v>6</v>
      </c>
      <c r="H733">
        <v>2</v>
      </c>
      <c r="I733">
        <v>864</v>
      </c>
      <c r="J733">
        <v>2018</v>
      </c>
      <c r="K733" s="4">
        <v>44423</v>
      </c>
      <c r="L733" t="s">
        <v>30</v>
      </c>
      <c r="M733" t="s">
        <v>47</v>
      </c>
      <c r="N733">
        <v>3.03</v>
      </c>
      <c r="O733">
        <v>2451</v>
      </c>
      <c r="P733">
        <v>1.1599999999999999</v>
      </c>
      <c r="Q733">
        <v>324</v>
      </c>
      <c r="R733">
        <v>504</v>
      </c>
    </row>
    <row r="734" spans="1:18" hidden="1" x14ac:dyDescent="0.2">
      <c r="A734">
        <v>6</v>
      </c>
      <c r="B734" t="s">
        <v>99</v>
      </c>
      <c r="E734" t="s">
        <v>51</v>
      </c>
      <c r="F734">
        <v>2238281</v>
      </c>
      <c r="G734">
        <v>4</v>
      </c>
      <c r="H734">
        <v>1</v>
      </c>
      <c r="I734">
        <v>191</v>
      </c>
      <c r="J734">
        <v>1975</v>
      </c>
      <c r="K734" s="4">
        <v>44338</v>
      </c>
      <c r="L734" t="s">
        <v>26</v>
      </c>
      <c r="M734" t="s">
        <v>68</v>
      </c>
      <c r="N734">
        <v>2.3199999999999998</v>
      </c>
      <c r="O734">
        <v>1751</v>
      </c>
      <c r="P734">
        <v>3.1</v>
      </c>
      <c r="Q734">
        <v>366</v>
      </c>
      <c r="R734">
        <v>407</v>
      </c>
    </row>
    <row r="735" spans="1:18" hidden="1" x14ac:dyDescent="0.2">
      <c r="A735">
        <v>7</v>
      </c>
      <c r="B735" t="s">
        <v>43</v>
      </c>
      <c r="E735" t="s">
        <v>19</v>
      </c>
      <c r="F735">
        <v>1609787</v>
      </c>
      <c r="G735">
        <v>1</v>
      </c>
      <c r="H735">
        <v>1</v>
      </c>
      <c r="I735">
        <v>829</v>
      </c>
      <c r="J735">
        <v>2015</v>
      </c>
      <c r="K735" s="4">
        <v>45443</v>
      </c>
      <c r="L735" t="s">
        <v>20</v>
      </c>
      <c r="M735" t="s">
        <v>97</v>
      </c>
      <c r="N735">
        <v>2.88</v>
      </c>
      <c r="O735">
        <v>1276</v>
      </c>
      <c r="P735">
        <v>2.82</v>
      </c>
      <c r="Q735">
        <v>132</v>
      </c>
      <c r="R735">
        <v>459</v>
      </c>
    </row>
    <row r="736" spans="1:18" hidden="1" x14ac:dyDescent="0.2">
      <c r="A736">
        <v>5</v>
      </c>
      <c r="B736" t="s">
        <v>99</v>
      </c>
      <c r="E736" t="s">
        <v>19</v>
      </c>
      <c r="F736">
        <v>2698797</v>
      </c>
      <c r="G736">
        <v>3</v>
      </c>
      <c r="H736">
        <v>2</v>
      </c>
      <c r="I736">
        <v>260</v>
      </c>
      <c r="J736">
        <v>1950</v>
      </c>
      <c r="K736" s="4">
        <v>45799</v>
      </c>
      <c r="L736" t="s">
        <v>30</v>
      </c>
      <c r="M736" t="s">
        <v>54</v>
      </c>
      <c r="N736">
        <v>1.55</v>
      </c>
      <c r="O736">
        <v>1649</v>
      </c>
      <c r="P736">
        <v>2.78</v>
      </c>
      <c r="Q736">
        <v>317</v>
      </c>
      <c r="R736">
        <v>631</v>
      </c>
    </row>
    <row r="737" spans="1:18" hidden="1" x14ac:dyDescent="0.2">
      <c r="A737">
        <v>5</v>
      </c>
      <c r="B737" t="s">
        <v>55</v>
      </c>
      <c r="E737" t="s">
        <v>29</v>
      </c>
      <c r="F737">
        <v>2164772</v>
      </c>
      <c r="G737">
        <v>2</v>
      </c>
      <c r="H737">
        <v>2</v>
      </c>
      <c r="I737">
        <v>682</v>
      </c>
      <c r="J737">
        <v>1992</v>
      </c>
      <c r="K737" s="4">
        <v>45303</v>
      </c>
      <c r="L737" t="s">
        <v>30</v>
      </c>
      <c r="M737" t="s">
        <v>85</v>
      </c>
      <c r="N737">
        <v>3.2</v>
      </c>
      <c r="O737">
        <v>1696</v>
      </c>
      <c r="P737">
        <v>2.0099999999999998</v>
      </c>
      <c r="Q737">
        <v>160</v>
      </c>
      <c r="R737">
        <v>679</v>
      </c>
    </row>
    <row r="738" spans="1:18" hidden="1" x14ac:dyDescent="0.2">
      <c r="A738">
        <v>2</v>
      </c>
      <c r="B738" t="s">
        <v>61</v>
      </c>
      <c r="E738" t="s">
        <v>19</v>
      </c>
      <c r="F738">
        <v>1680576</v>
      </c>
      <c r="G738">
        <v>3</v>
      </c>
      <c r="H738">
        <v>3</v>
      </c>
      <c r="I738">
        <v>678</v>
      </c>
      <c r="J738">
        <v>1952</v>
      </c>
      <c r="K738" s="4">
        <v>45814</v>
      </c>
      <c r="L738" t="s">
        <v>30</v>
      </c>
      <c r="M738" t="s">
        <v>60</v>
      </c>
      <c r="N738">
        <v>2.75</v>
      </c>
      <c r="O738">
        <v>1602</v>
      </c>
      <c r="P738">
        <v>3.3</v>
      </c>
      <c r="Q738">
        <v>183</v>
      </c>
      <c r="R738">
        <v>626</v>
      </c>
    </row>
    <row r="739" spans="1:18" hidden="1" x14ac:dyDescent="0.2">
      <c r="A739">
        <v>5</v>
      </c>
      <c r="B739" t="s">
        <v>48</v>
      </c>
      <c r="E739" t="s">
        <v>19</v>
      </c>
      <c r="F739">
        <v>1987599</v>
      </c>
      <c r="G739">
        <v>4</v>
      </c>
      <c r="H739">
        <v>1</v>
      </c>
      <c r="I739">
        <v>997</v>
      </c>
      <c r="J739">
        <v>2019</v>
      </c>
      <c r="K739" s="4">
        <v>44681</v>
      </c>
      <c r="L739" t="s">
        <v>20</v>
      </c>
      <c r="M739" t="s">
        <v>74</v>
      </c>
      <c r="N739">
        <v>3.28</v>
      </c>
      <c r="O739">
        <v>1446</v>
      </c>
      <c r="P739">
        <v>2.09</v>
      </c>
      <c r="Q739">
        <v>385</v>
      </c>
      <c r="R739">
        <v>328</v>
      </c>
    </row>
    <row r="740" spans="1:18" hidden="1" x14ac:dyDescent="0.2">
      <c r="A740">
        <v>3</v>
      </c>
      <c r="B740" t="s">
        <v>92</v>
      </c>
      <c r="E740" t="s">
        <v>36</v>
      </c>
      <c r="F740">
        <v>2118616</v>
      </c>
      <c r="G740">
        <v>4</v>
      </c>
      <c r="H740">
        <v>3</v>
      </c>
      <c r="I740">
        <v>576</v>
      </c>
      <c r="J740">
        <v>1991</v>
      </c>
      <c r="K740" s="4">
        <v>44639</v>
      </c>
      <c r="L740" t="s">
        <v>23</v>
      </c>
      <c r="M740" t="s">
        <v>69</v>
      </c>
      <c r="N740">
        <v>2.83</v>
      </c>
      <c r="O740">
        <v>1488</v>
      </c>
      <c r="P740">
        <v>0.47</v>
      </c>
      <c r="Q740">
        <v>165</v>
      </c>
      <c r="R740">
        <v>416</v>
      </c>
    </row>
    <row r="741" spans="1:18" hidden="1" x14ac:dyDescent="0.2">
      <c r="A741">
        <v>7</v>
      </c>
      <c r="B741" t="s">
        <v>48</v>
      </c>
      <c r="E741" t="s">
        <v>51</v>
      </c>
      <c r="F741">
        <v>1393463</v>
      </c>
      <c r="G741">
        <v>3</v>
      </c>
      <c r="H741">
        <v>3</v>
      </c>
      <c r="I741">
        <v>590</v>
      </c>
      <c r="J741">
        <v>2022</v>
      </c>
      <c r="K741" s="4">
        <v>45757</v>
      </c>
      <c r="L741" t="s">
        <v>30</v>
      </c>
      <c r="M741" t="s">
        <v>24</v>
      </c>
      <c r="N741">
        <v>2.7</v>
      </c>
      <c r="O741">
        <v>947</v>
      </c>
      <c r="P741">
        <v>3.99</v>
      </c>
      <c r="Q741">
        <v>185</v>
      </c>
      <c r="R741">
        <v>593</v>
      </c>
    </row>
    <row r="742" spans="1:18" hidden="1" x14ac:dyDescent="0.2">
      <c r="A742">
        <v>6</v>
      </c>
      <c r="B742" t="s">
        <v>104</v>
      </c>
      <c r="E742" t="s">
        <v>36</v>
      </c>
      <c r="F742">
        <v>2996646</v>
      </c>
      <c r="G742">
        <v>2</v>
      </c>
      <c r="H742">
        <v>3</v>
      </c>
      <c r="I742">
        <v>685</v>
      </c>
      <c r="J742">
        <v>1989</v>
      </c>
      <c r="K742" s="4">
        <v>44465</v>
      </c>
      <c r="L742" t="s">
        <v>23</v>
      </c>
      <c r="M742" t="s">
        <v>63</v>
      </c>
      <c r="N742">
        <v>1.64</v>
      </c>
      <c r="O742">
        <v>1592</v>
      </c>
      <c r="P742">
        <v>4.0999999999999996</v>
      </c>
      <c r="Q742">
        <v>141</v>
      </c>
      <c r="R742">
        <v>520</v>
      </c>
    </row>
    <row r="743" spans="1:18" hidden="1" x14ac:dyDescent="0.2">
      <c r="A743">
        <v>2</v>
      </c>
      <c r="B743" t="s">
        <v>18</v>
      </c>
      <c r="E743" t="s">
        <v>29</v>
      </c>
      <c r="F743">
        <v>747963</v>
      </c>
      <c r="G743">
        <v>3</v>
      </c>
      <c r="H743">
        <v>3</v>
      </c>
      <c r="I743">
        <v>395</v>
      </c>
      <c r="J743">
        <v>1970</v>
      </c>
      <c r="K743" s="4">
        <v>45443</v>
      </c>
      <c r="L743" t="s">
        <v>26</v>
      </c>
      <c r="M743" t="s">
        <v>89</v>
      </c>
      <c r="N743">
        <v>1.63</v>
      </c>
      <c r="O743">
        <v>2067</v>
      </c>
      <c r="P743">
        <v>3.11</v>
      </c>
      <c r="Q743">
        <v>113</v>
      </c>
      <c r="R743">
        <v>420</v>
      </c>
    </row>
    <row r="744" spans="1:18" hidden="1" x14ac:dyDescent="0.2">
      <c r="A744">
        <v>6</v>
      </c>
      <c r="B744" t="s">
        <v>61</v>
      </c>
      <c r="E744" t="s">
        <v>51</v>
      </c>
      <c r="F744">
        <v>2190585</v>
      </c>
      <c r="G744">
        <v>2</v>
      </c>
      <c r="H744">
        <v>2</v>
      </c>
      <c r="I744">
        <v>228</v>
      </c>
      <c r="J744">
        <v>2000</v>
      </c>
      <c r="K744" s="4">
        <v>44721</v>
      </c>
      <c r="L744" t="s">
        <v>30</v>
      </c>
      <c r="M744" t="s">
        <v>76</v>
      </c>
      <c r="N744">
        <v>3.38</v>
      </c>
      <c r="O744">
        <v>1876</v>
      </c>
      <c r="P744">
        <v>4.6399999999999997</v>
      </c>
      <c r="Q744">
        <v>140</v>
      </c>
      <c r="R744">
        <v>332</v>
      </c>
    </row>
    <row r="745" spans="1:18" hidden="1" x14ac:dyDescent="0.2">
      <c r="A745">
        <v>6</v>
      </c>
      <c r="B745" t="s">
        <v>39</v>
      </c>
      <c r="E745" t="s">
        <v>36</v>
      </c>
      <c r="F745">
        <v>2533958</v>
      </c>
      <c r="G745">
        <v>4</v>
      </c>
      <c r="H745">
        <v>1</v>
      </c>
      <c r="I745">
        <v>283</v>
      </c>
      <c r="J745">
        <v>1957</v>
      </c>
      <c r="K745" s="4">
        <v>45774</v>
      </c>
      <c r="L745" t="s">
        <v>26</v>
      </c>
      <c r="M745" t="s">
        <v>37</v>
      </c>
      <c r="N745">
        <v>2.94</v>
      </c>
      <c r="O745">
        <v>1852</v>
      </c>
      <c r="P745">
        <v>1.59</v>
      </c>
      <c r="Q745">
        <v>239</v>
      </c>
      <c r="R745">
        <v>441</v>
      </c>
    </row>
    <row r="746" spans="1:18" hidden="1" x14ac:dyDescent="0.2">
      <c r="A746">
        <v>5</v>
      </c>
      <c r="B746" t="s">
        <v>46</v>
      </c>
      <c r="E746" t="s">
        <v>29</v>
      </c>
      <c r="F746">
        <v>2502663</v>
      </c>
      <c r="G746">
        <v>4</v>
      </c>
      <c r="H746">
        <v>3</v>
      </c>
      <c r="I746">
        <v>652</v>
      </c>
      <c r="J746">
        <v>1963</v>
      </c>
      <c r="K746" s="4">
        <v>45627</v>
      </c>
      <c r="L746" t="s">
        <v>20</v>
      </c>
      <c r="M746" t="s">
        <v>76</v>
      </c>
      <c r="N746">
        <v>2.14</v>
      </c>
      <c r="O746">
        <v>1710</v>
      </c>
      <c r="P746">
        <v>1.51</v>
      </c>
      <c r="Q746">
        <v>300</v>
      </c>
      <c r="R746">
        <v>377</v>
      </c>
    </row>
    <row r="747" spans="1:18" hidden="1" x14ac:dyDescent="0.2">
      <c r="A747">
        <v>5</v>
      </c>
      <c r="B747" t="s">
        <v>91</v>
      </c>
      <c r="E747" t="s">
        <v>36</v>
      </c>
      <c r="F747">
        <v>426793</v>
      </c>
      <c r="G747">
        <v>3</v>
      </c>
      <c r="H747">
        <v>3</v>
      </c>
      <c r="I747">
        <v>622</v>
      </c>
      <c r="J747">
        <v>1960</v>
      </c>
      <c r="K747" s="4">
        <v>45597</v>
      </c>
      <c r="L747" t="s">
        <v>23</v>
      </c>
      <c r="M747" t="s">
        <v>66</v>
      </c>
      <c r="N747">
        <v>2.57</v>
      </c>
      <c r="O747">
        <v>2297</v>
      </c>
      <c r="P747">
        <v>4.5599999999999996</v>
      </c>
      <c r="Q747">
        <v>243</v>
      </c>
      <c r="R747">
        <v>479</v>
      </c>
    </row>
    <row r="748" spans="1:18" hidden="1" x14ac:dyDescent="0.2">
      <c r="A748">
        <v>5</v>
      </c>
      <c r="B748" t="s">
        <v>100</v>
      </c>
      <c r="E748" t="s">
        <v>29</v>
      </c>
      <c r="F748">
        <v>1474198</v>
      </c>
      <c r="G748">
        <v>4</v>
      </c>
      <c r="H748">
        <v>1</v>
      </c>
      <c r="I748">
        <v>922</v>
      </c>
      <c r="J748">
        <v>1952</v>
      </c>
      <c r="K748" s="4">
        <v>45475</v>
      </c>
      <c r="L748" t="s">
        <v>30</v>
      </c>
      <c r="M748" t="s">
        <v>58</v>
      </c>
      <c r="N748">
        <v>3.3</v>
      </c>
      <c r="O748">
        <v>1090</v>
      </c>
      <c r="P748">
        <v>0.23</v>
      </c>
      <c r="Q748">
        <v>316</v>
      </c>
      <c r="R748">
        <v>399</v>
      </c>
    </row>
    <row r="749" spans="1:18" hidden="1" x14ac:dyDescent="0.2">
      <c r="A749">
        <v>1</v>
      </c>
      <c r="B749" t="s">
        <v>71</v>
      </c>
      <c r="E749" t="s">
        <v>36</v>
      </c>
      <c r="F749">
        <v>2892171</v>
      </c>
      <c r="G749">
        <v>4</v>
      </c>
      <c r="H749">
        <v>1</v>
      </c>
      <c r="I749">
        <v>166</v>
      </c>
      <c r="J749">
        <v>1988</v>
      </c>
      <c r="K749" s="4">
        <v>44431</v>
      </c>
      <c r="L749" t="s">
        <v>20</v>
      </c>
      <c r="M749" t="s">
        <v>69</v>
      </c>
      <c r="N749">
        <v>3.22</v>
      </c>
      <c r="O749">
        <v>1538</v>
      </c>
      <c r="P749">
        <v>3.23</v>
      </c>
      <c r="Q749">
        <v>231</v>
      </c>
      <c r="R749">
        <v>393</v>
      </c>
    </row>
    <row r="750" spans="1:18" hidden="1" x14ac:dyDescent="0.2">
      <c r="A750">
        <v>7</v>
      </c>
      <c r="B750" t="s">
        <v>62</v>
      </c>
      <c r="E750" t="s">
        <v>29</v>
      </c>
      <c r="F750">
        <v>1917681</v>
      </c>
      <c r="G750">
        <v>2</v>
      </c>
      <c r="H750">
        <v>3</v>
      </c>
      <c r="I750">
        <v>524</v>
      </c>
      <c r="J750">
        <v>1997</v>
      </c>
      <c r="K750" s="4">
        <v>44130</v>
      </c>
      <c r="L750" t="s">
        <v>20</v>
      </c>
      <c r="M750" t="s">
        <v>76</v>
      </c>
      <c r="N750">
        <v>2.0099999999999998</v>
      </c>
      <c r="O750">
        <v>2289</v>
      </c>
      <c r="P750">
        <v>3.38</v>
      </c>
      <c r="Q750">
        <v>143</v>
      </c>
      <c r="R750">
        <v>646</v>
      </c>
    </row>
    <row r="751" spans="1:18" hidden="1" x14ac:dyDescent="0.2">
      <c r="A751">
        <v>4</v>
      </c>
      <c r="B751" t="s">
        <v>102</v>
      </c>
      <c r="E751" t="s">
        <v>29</v>
      </c>
      <c r="F751">
        <v>1038740</v>
      </c>
      <c r="G751">
        <v>1</v>
      </c>
      <c r="H751">
        <v>3</v>
      </c>
      <c r="I751">
        <v>201</v>
      </c>
      <c r="J751">
        <v>2006</v>
      </c>
      <c r="K751" s="4">
        <v>44822</v>
      </c>
      <c r="L751" t="s">
        <v>20</v>
      </c>
      <c r="M751" t="s">
        <v>35</v>
      </c>
      <c r="N751">
        <v>2.23</v>
      </c>
      <c r="O751">
        <v>1564</v>
      </c>
      <c r="P751">
        <v>1.79</v>
      </c>
      <c r="Q751">
        <v>108</v>
      </c>
      <c r="R751">
        <v>337</v>
      </c>
    </row>
    <row r="752" spans="1:18" hidden="1" x14ac:dyDescent="0.2">
      <c r="A752">
        <v>5</v>
      </c>
      <c r="B752" t="s">
        <v>87</v>
      </c>
      <c r="E752" t="s">
        <v>51</v>
      </c>
      <c r="F752">
        <v>2038625</v>
      </c>
      <c r="G752">
        <v>4</v>
      </c>
      <c r="H752">
        <v>1</v>
      </c>
      <c r="I752">
        <v>203</v>
      </c>
      <c r="J752">
        <v>2006</v>
      </c>
      <c r="K752" s="4">
        <v>44720</v>
      </c>
      <c r="L752" t="s">
        <v>30</v>
      </c>
      <c r="M752" t="s">
        <v>47</v>
      </c>
      <c r="N752">
        <v>1.64</v>
      </c>
      <c r="O752">
        <v>1584</v>
      </c>
      <c r="P752">
        <v>2.4700000000000002</v>
      </c>
      <c r="Q752">
        <v>174</v>
      </c>
      <c r="R752">
        <v>471</v>
      </c>
    </row>
    <row r="753" spans="1:18" hidden="1" x14ac:dyDescent="0.2">
      <c r="A753">
        <v>4</v>
      </c>
      <c r="B753" t="s">
        <v>73</v>
      </c>
      <c r="E753" t="s">
        <v>36</v>
      </c>
      <c r="F753">
        <v>1498162</v>
      </c>
      <c r="G753">
        <v>1</v>
      </c>
      <c r="H753">
        <v>3</v>
      </c>
      <c r="I753">
        <v>497</v>
      </c>
      <c r="J753">
        <v>1980</v>
      </c>
      <c r="K753" s="4">
        <v>44275</v>
      </c>
      <c r="L753" t="s">
        <v>30</v>
      </c>
      <c r="M753" t="s">
        <v>60</v>
      </c>
      <c r="N753">
        <v>2.38</v>
      </c>
      <c r="O753">
        <v>832</v>
      </c>
      <c r="P753">
        <v>4.96</v>
      </c>
      <c r="Q753">
        <v>62</v>
      </c>
      <c r="R753">
        <v>307</v>
      </c>
    </row>
    <row r="754" spans="1:18" x14ac:dyDescent="0.2">
      <c r="A754">
        <v>8</v>
      </c>
      <c r="B754" t="s">
        <v>46</v>
      </c>
      <c r="C754" t="str">
        <f>VLOOKUP(B754, 'Council Area'!$A$2:$B$51, 2)</f>
        <v>Ku-ring-gai Council</v>
      </c>
      <c r="D754" t="str">
        <f>_xlfn.XLOOKUP(B754, 'Council Area'!$A$2:$A$51, 'Council Area'!$B$2:$B$51)</f>
        <v>Ku-ring-gai Council</v>
      </c>
      <c r="E754" t="s">
        <v>36</v>
      </c>
      <c r="F754">
        <v>2807269</v>
      </c>
      <c r="G754">
        <v>4</v>
      </c>
      <c r="H754">
        <v>3</v>
      </c>
      <c r="I754">
        <v>505</v>
      </c>
      <c r="J754">
        <v>1978</v>
      </c>
      <c r="K754" s="4">
        <v>45490</v>
      </c>
      <c r="L754" t="s">
        <v>20</v>
      </c>
      <c r="M754" t="s">
        <v>63</v>
      </c>
      <c r="N754">
        <v>2.15</v>
      </c>
      <c r="O754">
        <v>1117</v>
      </c>
      <c r="P754">
        <v>0.33</v>
      </c>
      <c r="Q754">
        <v>266</v>
      </c>
      <c r="R754">
        <v>591</v>
      </c>
    </row>
    <row r="755" spans="1:18" x14ac:dyDescent="0.2">
      <c r="A755">
        <v>8</v>
      </c>
      <c r="B755" t="s">
        <v>93</v>
      </c>
      <c r="C755" t="str">
        <f>VLOOKUP(B755, 'Council Area'!$A$2:$B$51, 2)</f>
        <v>Blacktown City Council</v>
      </c>
      <c r="D755" t="str">
        <f>_xlfn.XLOOKUP(B755, 'Council Area'!$A$2:$A$51, 'Council Area'!$B$2:$B$51)</f>
        <v>Blacktown City Council</v>
      </c>
      <c r="E755" t="s">
        <v>36</v>
      </c>
      <c r="F755">
        <v>2368590</v>
      </c>
      <c r="G755">
        <v>2</v>
      </c>
      <c r="H755">
        <v>3</v>
      </c>
      <c r="I755">
        <v>819</v>
      </c>
      <c r="J755">
        <v>1973</v>
      </c>
      <c r="K755" s="4">
        <v>44845</v>
      </c>
      <c r="L755" t="s">
        <v>23</v>
      </c>
      <c r="M755" t="s">
        <v>77</v>
      </c>
      <c r="N755">
        <v>1.5</v>
      </c>
      <c r="O755">
        <v>2403</v>
      </c>
      <c r="P755">
        <v>0.71</v>
      </c>
      <c r="Q755">
        <v>89</v>
      </c>
      <c r="R755">
        <v>649</v>
      </c>
    </row>
    <row r="756" spans="1:18" x14ac:dyDescent="0.2">
      <c r="A756">
        <v>8</v>
      </c>
      <c r="B756" t="s">
        <v>102</v>
      </c>
      <c r="C756" t="str">
        <f>VLOOKUP(B756, 'Council Area'!$A$2:$B$51, 2)</f>
        <v>City of Sydney</v>
      </c>
      <c r="D756" t="str">
        <f>_xlfn.XLOOKUP(B756, 'Council Area'!$A$2:$A$51, 'Council Area'!$B$2:$B$51)</f>
        <v>City of Sydney</v>
      </c>
      <c r="E756" t="s">
        <v>51</v>
      </c>
      <c r="F756">
        <v>2475314</v>
      </c>
      <c r="G756">
        <v>4</v>
      </c>
      <c r="H756">
        <v>3</v>
      </c>
      <c r="I756">
        <v>299</v>
      </c>
      <c r="J756">
        <v>2017</v>
      </c>
      <c r="K756" s="4">
        <v>44559</v>
      </c>
      <c r="L756" t="s">
        <v>30</v>
      </c>
      <c r="M756" t="s">
        <v>77</v>
      </c>
      <c r="N756">
        <v>3.36</v>
      </c>
      <c r="O756">
        <v>948</v>
      </c>
      <c r="P756">
        <v>3.83</v>
      </c>
      <c r="Q756">
        <v>280</v>
      </c>
      <c r="R756">
        <v>449</v>
      </c>
    </row>
    <row r="757" spans="1:18" hidden="1" x14ac:dyDescent="0.2">
      <c r="A757">
        <v>9</v>
      </c>
      <c r="B757" t="s">
        <v>73</v>
      </c>
      <c r="E757" t="s">
        <v>29</v>
      </c>
      <c r="F757">
        <v>2667367</v>
      </c>
      <c r="G757">
        <v>2</v>
      </c>
      <c r="H757">
        <v>3</v>
      </c>
      <c r="I757">
        <v>500</v>
      </c>
      <c r="J757">
        <v>1983</v>
      </c>
      <c r="K757" s="4">
        <v>44413</v>
      </c>
      <c r="L757" t="s">
        <v>20</v>
      </c>
      <c r="M757" t="s">
        <v>45</v>
      </c>
      <c r="N757">
        <v>1.8</v>
      </c>
      <c r="O757">
        <v>1030</v>
      </c>
      <c r="P757">
        <v>3.07</v>
      </c>
      <c r="Q757">
        <v>81</v>
      </c>
      <c r="R757">
        <v>605</v>
      </c>
    </row>
    <row r="758" spans="1:18" hidden="1" x14ac:dyDescent="0.2">
      <c r="A758">
        <v>9</v>
      </c>
      <c r="B758" t="s">
        <v>64</v>
      </c>
      <c r="E758" t="s">
        <v>36</v>
      </c>
      <c r="F758">
        <v>1994106</v>
      </c>
      <c r="G758">
        <v>0</v>
      </c>
      <c r="H758">
        <v>3</v>
      </c>
      <c r="I758">
        <v>708</v>
      </c>
      <c r="J758">
        <v>2016</v>
      </c>
      <c r="K758" s="4">
        <v>44896</v>
      </c>
      <c r="L758" t="s">
        <v>30</v>
      </c>
      <c r="M758" t="s">
        <v>31</v>
      </c>
      <c r="N758">
        <v>2.61</v>
      </c>
      <c r="O758">
        <v>1455</v>
      </c>
      <c r="P758">
        <v>0.65</v>
      </c>
      <c r="Q758">
        <v>78</v>
      </c>
      <c r="R758">
        <v>426</v>
      </c>
    </row>
    <row r="759" spans="1:18" hidden="1" x14ac:dyDescent="0.2">
      <c r="A759">
        <v>3</v>
      </c>
      <c r="B759" t="s">
        <v>32</v>
      </c>
      <c r="E759" t="s">
        <v>29</v>
      </c>
      <c r="F759">
        <v>2485206</v>
      </c>
      <c r="G759">
        <v>1</v>
      </c>
      <c r="H759">
        <v>3</v>
      </c>
      <c r="I759">
        <v>98</v>
      </c>
      <c r="J759">
        <v>1960</v>
      </c>
      <c r="K759" s="4">
        <v>44382</v>
      </c>
      <c r="L759" t="s">
        <v>26</v>
      </c>
      <c r="M759" t="s">
        <v>58</v>
      </c>
      <c r="N759">
        <v>3.29</v>
      </c>
      <c r="O759">
        <v>2259</v>
      </c>
      <c r="P759">
        <v>4.17</v>
      </c>
      <c r="Q759">
        <v>49</v>
      </c>
      <c r="R759">
        <v>453</v>
      </c>
    </row>
    <row r="760" spans="1:18" hidden="1" x14ac:dyDescent="0.2">
      <c r="A760">
        <v>5</v>
      </c>
      <c r="B760" t="s">
        <v>49</v>
      </c>
      <c r="E760" t="s">
        <v>51</v>
      </c>
      <c r="F760">
        <v>1506847</v>
      </c>
      <c r="G760">
        <v>5</v>
      </c>
      <c r="H760">
        <v>2</v>
      </c>
      <c r="I760">
        <v>849</v>
      </c>
      <c r="J760">
        <v>1956</v>
      </c>
      <c r="K760" s="4">
        <v>45774</v>
      </c>
      <c r="L760" t="s">
        <v>30</v>
      </c>
      <c r="M760" t="s">
        <v>85</v>
      </c>
      <c r="N760">
        <v>2.2599999999999998</v>
      </c>
      <c r="O760">
        <v>1994</v>
      </c>
      <c r="P760">
        <v>0.43</v>
      </c>
      <c r="Q760">
        <v>333</v>
      </c>
      <c r="R760">
        <v>564</v>
      </c>
    </row>
    <row r="761" spans="1:18" hidden="1" x14ac:dyDescent="0.2">
      <c r="A761">
        <v>5</v>
      </c>
      <c r="B761" t="s">
        <v>90</v>
      </c>
      <c r="E761" t="s">
        <v>51</v>
      </c>
      <c r="F761">
        <v>729587</v>
      </c>
      <c r="G761">
        <v>3</v>
      </c>
      <c r="H761">
        <v>3</v>
      </c>
      <c r="I761">
        <v>96</v>
      </c>
      <c r="J761">
        <v>1987</v>
      </c>
      <c r="K761" s="4">
        <v>45774</v>
      </c>
      <c r="L761" t="s">
        <v>26</v>
      </c>
      <c r="M761" t="s">
        <v>70</v>
      </c>
      <c r="N761">
        <v>3.22</v>
      </c>
      <c r="O761">
        <v>1473</v>
      </c>
      <c r="P761">
        <v>0.32</v>
      </c>
      <c r="Q761">
        <v>281</v>
      </c>
      <c r="R761">
        <v>489</v>
      </c>
    </row>
    <row r="762" spans="1:18" hidden="1" x14ac:dyDescent="0.2">
      <c r="A762">
        <v>9</v>
      </c>
      <c r="B762" t="s">
        <v>91</v>
      </c>
      <c r="E762" t="s">
        <v>29</v>
      </c>
      <c r="F762">
        <v>2323859</v>
      </c>
      <c r="G762">
        <v>4</v>
      </c>
      <c r="H762">
        <v>3</v>
      </c>
      <c r="I762">
        <v>913</v>
      </c>
      <c r="J762">
        <v>1950</v>
      </c>
      <c r="K762" s="4">
        <v>45176</v>
      </c>
      <c r="L762" t="s">
        <v>20</v>
      </c>
      <c r="M762" t="s">
        <v>76</v>
      </c>
      <c r="N762">
        <v>2.27</v>
      </c>
      <c r="O762">
        <v>2104</v>
      </c>
      <c r="P762">
        <v>0.81</v>
      </c>
      <c r="Q762">
        <v>282</v>
      </c>
      <c r="R762">
        <v>387</v>
      </c>
    </row>
    <row r="763" spans="1:18" hidden="1" x14ac:dyDescent="0.2">
      <c r="A763">
        <v>4</v>
      </c>
      <c r="B763" t="s">
        <v>102</v>
      </c>
      <c r="E763" t="s">
        <v>36</v>
      </c>
      <c r="F763">
        <v>589377</v>
      </c>
      <c r="G763">
        <v>6</v>
      </c>
      <c r="H763">
        <v>1</v>
      </c>
      <c r="I763">
        <v>598</v>
      </c>
      <c r="J763">
        <v>1967</v>
      </c>
      <c r="K763" s="4">
        <v>44621</v>
      </c>
      <c r="L763" t="s">
        <v>20</v>
      </c>
      <c r="M763" t="s">
        <v>56</v>
      </c>
      <c r="N763">
        <v>2.58</v>
      </c>
      <c r="O763">
        <v>2305</v>
      </c>
      <c r="P763">
        <v>2.16</v>
      </c>
      <c r="Q763">
        <v>332</v>
      </c>
      <c r="R763">
        <v>432</v>
      </c>
    </row>
    <row r="764" spans="1:18" x14ac:dyDescent="0.2">
      <c r="A764">
        <v>8</v>
      </c>
      <c r="B764" t="s">
        <v>106</v>
      </c>
      <c r="C764" t="str">
        <f>VLOOKUP(B764, 'Council Area'!$A$2:$B$51, 2)</f>
        <v>Hornsby Shire Council</v>
      </c>
      <c r="D764" t="str">
        <f>_xlfn.XLOOKUP(B764, 'Council Area'!$A$2:$A$51, 'Council Area'!$B$2:$B$51)</f>
        <v>Hornsby Shire Council</v>
      </c>
      <c r="E764" t="s">
        <v>29</v>
      </c>
      <c r="F764">
        <v>2614176</v>
      </c>
      <c r="G764">
        <v>3</v>
      </c>
      <c r="H764">
        <v>2</v>
      </c>
      <c r="I764">
        <v>724</v>
      </c>
      <c r="J764">
        <v>1986</v>
      </c>
      <c r="K764" s="4">
        <v>44434</v>
      </c>
      <c r="L764" t="s">
        <v>26</v>
      </c>
      <c r="M764" t="s">
        <v>82</v>
      </c>
      <c r="N764">
        <v>3.47</v>
      </c>
      <c r="O764">
        <v>1651</v>
      </c>
      <c r="P764">
        <v>1.1000000000000001</v>
      </c>
      <c r="Q764">
        <v>86</v>
      </c>
      <c r="R764">
        <v>620</v>
      </c>
    </row>
    <row r="765" spans="1:18" hidden="1" x14ac:dyDescent="0.2">
      <c r="A765">
        <v>4</v>
      </c>
      <c r="B765" t="s">
        <v>91</v>
      </c>
      <c r="E765" t="s">
        <v>19</v>
      </c>
      <c r="F765">
        <v>1026717</v>
      </c>
      <c r="G765">
        <v>5</v>
      </c>
      <c r="H765">
        <v>1</v>
      </c>
      <c r="I765">
        <v>0</v>
      </c>
      <c r="J765">
        <v>1975</v>
      </c>
      <c r="K765" s="4">
        <v>44228</v>
      </c>
      <c r="L765" t="s">
        <v>20</v>
      </c>
      <c r="M765" t="s">
        <v>89</v>
      </c>
      <c r="N765">
        <v>2.1800000000000002</v>
      </c>
      <c r="O765">
        <v>1362</v>
      </c>
      <c r="P765">
        <v>2.74</v>
      </c>
      <c r="Q765">
        <v>67</v>
      </c>
      <c r="R765">
        <v>368</v>
      </c>
    </row>
    <row r="766" spans="1:18" x14ac:dyDescent="0.2">
      <c r="A766">
        <v>8</v>
      </c>
      <c r="B766" t="s">
        <v>61</v>
      </c>
      <c r="C766" t="str">
        <f>VLOOKUP(B766, 'Council Area'!$A$2:$B$51, 2)</f>
        <v>Parramatta City Council</v>
      </c>
      <c r="D766" t="str">
        <f>_xlfn.XLOOKUP(B766, 'Council Area'!$A$2:$A$51, 'Council Area'!$B$2:$B$51)</f>
        <v>Parramatta City Council</v>
      </c>
      <c r="E766" t="s">
        <v>51</v>
      </c>
      <c r="F766">
        <v>1746840</v>
      </c>
      <c r="G766">
        <v>4</v>
      </c>
      <c r="H766">
        <v>3</v>
      </c>
      <c r="I766">
        <v>555</v>
      </c>
      <c r="J766">
        <v>1984</v>
      </c>
      <c r="K766" s="4">
        <v>44626</v>
      </c>
      <c r="L766" t="s">
        <v>26</v>
      </c>
      <c r="M766" t="s">
        <v>69</v>
      </c>
      <c r="N766">
        <v>2.0099999999999998</v>
      </c>
      <c r="O766">
        <v>1311</v>
      </c>
      <c r="P766">
        <v>2.68</v>
      </c>
      <c r="Q766">
        <v>163</v>
      </c>
      <c r="R766">
        <v>409</v>
      </c>
    </row>
    <row r="767" spans="1:18" hidden="1" x14ac:dyDescent="0.2">
      <c r="A767">
        <v>6</v>
      </c>
      <c r="B767" t="s">
        <v>32</v>
      </c>
      <c r="E767" t="s">
        <v>29</v>
      </c>
      <c r="F767">
        <v>1154942</v>
      </c>
      <c r="G767">
        <v>5</v>
      </c>
      <c r="H767">
        <v>2</v>
      </c>
      <c r="I767">
        <v>240</v>
      </c>
      <c r="J767">
        <v>1992</v>
      </c>
      <c r="K767" s="4">
        <v>44261</v>
      </c>
      <c r="L767" t="s">
        <v>20</v>
      </c>
      <c r="M767" t="s">
        <v>82</v>
      </c>
      <c r="N767">
        <v>1.88</v>
      </c>
      <c r="O767">
        <v>2225</v>
      </c>
      <c r="P767">
        <v>1.34</v>
      </c>
      <c r="Q767">
        <v>248</v>
      </c>
      <c r="R767">
        <v>302</v>
      </c>
    </row>
    <row r="768" spans="1:18" hidden="1" x14ac:dyDescent="0.2">
      <c r="A768">
        <v>5</v>
      </c>
      <c r="B768" t="s">
        <v>34</v>
      </c>
      <c r="E768" t="s">
        <v>19</v>
      </c>
      <c r="F768">
        <v>1151557</v>
      </c>
      <c r="G768">
        <v>6</v>
      </c>
      <c r="H768">
        <v>2</v>
      </c>
      <c r="I768">
        <v>264</v>
      </c>
      <c r="J768">
        <v>1997</v>
      </c>
      <c r="K768" s="4">
        <v>44762</v>
      </c>
      <c r="L768" t="s">
        <v>23</v>
      </c>
      <c r="M768" t="s">
        <v>33</v>
      </c>
      <c r="N768">
        <v>1.85</v>
      </c>
      <c r="O768">
        <v>2147</v>
      </c>
      <c r="P768">
        <v>0.3</v>
      </c>
      <c r="Q768">
        <v>368</v>
      </c>
      <c r="R768">
        <v>509</v>
      </c>
    </row>
    <row r="769" spans="1:18" hidden="1" x14ac:dyDescent="0.2">
      <c r="A769">
        <v>1</v>
      </c>
      <c r="B769" t="s">
        <v>87</v>
      </c>
      <c r="E769" t="s">
        <v>29</v>
      </c>
      <c r="F769">
        <v>918248</v>
      </c>
      <c r="G769">
        <v>2</v>
      </c>
      <c r="H769">
        <v>1</v>
      </c>
      <c r="I769">
        <v>172</v>
      </c>
      <c r="J769">
        <v>1984</v>
      </c>
      <c r="K769" s="4">
        <v>44125</v>
      </c>
      <c r="L769" t="s">
        <v>30</v>
      </c>
      <c r="M769" t="s">
        <v>24</v>
      </c>
      <c r="N769">
        <v>2.92</v>
      </c>
      <c r="O769">
        <v>1436</v>
      </c>
      <c r="P769">
        <v>2.6</v>
      </c>
      <c r="Q769">
        <v>120</v>
      </c>
      <c r="R769">
        <v>645</v>
      </c>
    </row>
    <row r="770" spans="1:18" hidden="1" x14ac:dyDescent="0.2">
      <c r="A770">
        <v>2</v>
      </c>
      <c r="B770" t="s">
        <v>62</v>
      </c>
      <c r="E770" t="s">
        <v>36</v>
      </c>
      <c r="F770">
        <v>1549610</v>
      </c>
      <c r="G770">
        <v>5</v>
      </c>
      <c r="H770">
        <v>2</v>
      </c>
      <c r="I770">
        <v>748</v>
      </c>
      <c r="J770">
        <v>1966</v>
      </c>
      <c r="K770" s="4">
        <v>45794</v>
      </c>
      <c r="L770" t="s">
        <v>26</v>
      </c>
      <c r="M770" t="s">
        <v>78</v>
      </c>
      <c r="N770">
        <v>2.36</v>
      </c>
      <c r="O770">
        <v>2500</v>
      </c>
      <c r="P770">
        <v>2.86</v>
      </c>
      <c r="Q770">
        <v>339</v>
      </c>
      <c r="R770">
        <v>416</v>
      </c>
    </row>
    <row r="771" spans="1:18" hidden="1" x14ac:dyDescent="0.2">
      <c r="A771">
        <v>1</v>
      </c>
      <c r="B771" t="s">
        <v>93</v>
      </c>
      <c r="E771" t="s">
        <v>19</v>
      </c>
      <c r="F771">
        <v>2358578</v>
      </c>
      <c r="G771">
        <v>2</v>
      </c>
      <c r="H771">
        <v>2</v>
      </c>
      <c r="I771">
        <v>289</v>
      </c>
      <c r="J771">
        <v>1973</v>
      </c>
      <c r="K771" s="4">
        <v>45677</v>
      </c>
      <c r="L771" t="s">
        <v>20</v>
      </c>
      <c r="M771" t="s">
        <v>54</v>
      </c>
      <c r="N771">
        <v>3.23</v>
      </c>
      <c r="O771">
        <v>1418</v>
      </c>
      <c r="P771">
        <v>0.59</v>
      </c>
      <c r="Q771">
        <v>215</v>
      </c>
      <c r="R771">
        <v>698</v>
      </c>
    </row>
    <row r="772" spans="1:18" hidden="1" x14ac:dyDescent="0.2">
      <c r="A772">
        <v>7</v>
      </c>
      <c r="B772" t="s">
        <v>104</v>
      </c>
      <c r="E772" t="s">
        <v>36</v>
      </c>
      <c r="F772">
        <v>1607751</v>
      </c>
      <c r="G772">
        <v>5</v>
      </c>
      <c r="H772">
        <v>3</v>
      </c>
      <c r="I772">
        <v>66</v>
      </c>
      <c r="J772">
        <v>1956</v>
      </c>
      <c r="K772" s="4">
        <v>45823</v>
      </c>
      <c r="L772" t="s">
        <v>23</v>
      </c>
      <c r="M772" t="s">
        <v>82</v>
      </c>
      <c r="N772">
        <v>2.71</v>
      </c>
      <c r="O772">
        <v>822</v>
      </c>
      <c r="P772">
        <v>2.27</v>
      </c>
      <c r="Q772">
        <v>253</v>
      </c>
      <c r="R772">
        <v>438</v>
      </c>
    </row>
    <row r="773" spans="1:18" hidden="1" x14ac:dyDescent="0.2">
      <c r="A773">
        <v>2</v>
      </c>
      <c r="B773" t="s">
        <v>61</v>
      </c>
      <c r="E773" t="s">
        <v>36</v>
      </c>
      <c r="F773">
        <v>2540038</v>
      </c>
      <c r="G773">
        <v>2</v>
      </c>
      <c r="H773">
        <v>1</v>
      </c>
      <c r="I773">
        <v>308</v>
      </c>
      <c r="J773">
        <v>1976</v>
      </c>
      <c r="K773" s="4">
        <v>45064</v>
      </c>
      <c r="L773" t="s">
        <v>26</v>
      </c>
      <c r="M773" t="s">
        <v>33</v>
      </c>
      <c r="N773">
        <v>2.13</v>
      </c>
      <c r="O773">
        <v>1396</v>
      </c>
      <c r="P773">
        <v>4.79</v>
      </c>
      <c r="Q773">
        <v>56</v>
      </c>
      <c r="R773">
        <v>509</v>
      </c>
    </row>
    <row r="774" spans="1:18" hidden="1" x14ac:dyDescent="0.2">
      <c r="A774">
        <v>2</v>
      </c>
      <c r="B774" t="s">
        <v>80</v>
      </c>
      <c r="E774" t="s">
        <v>51</v>
      </c>
      <c r="F774">
        <v>1811060</v>
      </c>
      <c r="G774">
        <v>6</v>
      </c>
      <c r="H774">
        <v>1</v>
      </c>
      <c r="I774">
        <v>294</v>
      </c>
      <c r="J774">
        <v>2001</v>
      </c>
      <c r="K774" s="4">
        <v>44575</v>
      </c>
      <c r="L774" t="s">
        <v>20</v>
      </c>
      <c r="M774" t="s">
        <v>47</v>
      </c>
      <c r="N774">
        <v>2.08</v>
      </c>
      <c r="O774">
        <v>1141</v>
      </c>
      <c r="P774">
        <v>4.84</v>
      </c>
      <c r="Q774">
        <v>360</v>
      </c>
      <c r="R774">
        <v>486</v>
      </c>
    </row>
    <row r="775" spans="1:18" hidden="1" x14ac:dyDescent="0.2">
      <c r="A775">
        <v>0</v>
      </c>
      <c r="B775" t="s">
        <v>86</v>
      </c>
      <c r="E775" t="s">
        <v>36</v>
      </c>
      <c r="F775">
        <v>599369</v>
      </c>
      <c r="G775">
        <v>3</v>
      </c>
      <c r="H775">
        <v>3</v>
      </c>
      <c r="I775">
        <v>334</v>
      </c>
      <c r="J775">
        <v>1962</v>
      </c>
      <c r="K775" s="4">
        <v>45116</v>
      </c>
      <c r="L775" t="s">
        <v>26</v>
      </c>
      <c r="M775" t="s">
        <v>66</v>
      </c>
      <c r="N775">
        <v>2.42</v>
      </c>
      <c r="O775">
        <v>1244</v>
      </c>
      <c r="P775">
        <v>3.93</v>
      </c>
      <c r="Q775">
        <v>266</v>
      </c>
      <c r="R775">
        <v>626</v>
      </c>
    </row>
    <row r="776" spans="1:18" hidden="1" x14ac:dyDescent="0.2">
      <c r="A776">
        <v>4</v>
      </c>
      <c r="B776" t="s">
        <v>102</v>
      </c>
      <c r="E776" t="s">
        <v>51</v>
      </c>
      <c r="F776">
        <v>2302910</v>
      </c>
      <c r="G776">
        <v>1</v>
      </c>
      <c r="H776">
        <v>2</v>
      </c>
      <c r="I776">
        <v>828</v>
      </c>
      <c r="J776">
        <v>2009</v>
      </c>
      <c r="K776" s="4">
        <v>44855</v>
      </c>
      <c r="L776" t="s">
        <v>23</v>
      </c>
      <c r="M776" t="s">
        <v>45</v>
      </c>
      <c r="N776">
        <v>1.82</v>
      </c>
      <c r="O776">
        <v>1888</v>
      </c>
      <c r="P776">
        <v>0.25</v>
      </c>
      <c r="Q776">
        <v>80</v>
      </c>
      <c r="R776">
        <v>668</v>
      </c>
    </row>
    <row r="777" spans="1:18" hidden="1" x14ac:dyDescent="0.2">
      <c r="A777">
        <v>6</v>
      </c>
      <c r="B777" t="s">
        <v>92</v>
      </c>
      <c r="E777" t="s">
        <v>19</v>
      </c>
      <c r="F777">
        <v>414335</v>
      </c>
      <c r="G777">
        <v>5</v>
      </c>
      <c r="H777">
        <v>3</v>
      </c>
      <c r="I777">
        <v>620</v>
      </c>
      <c r="J777">
        <v>2011</v>
      </c>
      <c r="K777" s="4">
        <v>45051</v>
      </c>
      <c r="L777" t="s">
        <v>20</v>
      </c>
      <c r="M777" t="s">
        <v>77</v>
      </c>
      <c r="N777">
        <v>2.25</v>
      </c>
      <c r="O777">
        <v>2178</v>
      </c>
      <c r="P777">
        <v>2.85</v>
      </c>
      <c r="Q777">
        <v>394</v>
      </c>
      <c r="R777">
        <v>356</v>
      </c>
    </row>
    <row r="778" spans="1:18" hidden="1" x14ac:dyDescent="0.2">
      <c r="A778">
        <v>7</v>
      </c>
      <c r="B778" t="s">
        <v>71</v>
      </c>
      <c r="E778" t="s">
        <v>19</v>
      </c>
      <c r="F778">
        <v>818918</v>
      </c>
      <c r="G778">
        <v>4</v>
      </c>
      <c r="H778">
        <v>3</v>
      </c>
      <c r="I778">
        <v>81</v>
      </c>
      <c r="J778">
        <v>1996</v>
      </c>
      <c r="K778" s="4">
        <v>44718</v>
      </c>
      <c r="L778" t="s">
        <v>30</v>
      </c>
      <c r="M778" t="s">
        <v>56</v>
      </c>
      <c r="N778">
        <v>2.59</v>
      </c>
      <c r="O778">
        <v>1728</v>
      </c>
      <c r="P778">
        <v>4.83</v>
      </c>
      <c r="Q778">
        <v>183</v>
      </c>
      <c r="R778">
        <v>659</v>
      </c>
    </row>
    <row r="779" spans="1:18" hidden="1" x14ac:dyDescent="0.2">
      <c r="A779">
        <v>5</v>
      </c>
      <c r="B779" t="s">
        <v>22</v>
      </c>
      <c r="E779" t="s">
        <v>29</v>
      </c>
      <c r="F779">
        <v>2283075</v>
      </c>
      <c r="G779">
        <v>5</v>
      </c>
      <c r="H779">
        <v>3</v>
      </c>
      <c r="I779">
        <v>506</v>
      </c>
      <c r="J779">
        <v>1969</v>
      </c>
      <c r="K779" s="4">
        <v>45552</v>
      </c>
      <c r="L779" t="s">
        <v>20</v>
      </c>
      <c r="M779" t="s">
        <v>24</v>
      </c>
      <c r="N779">
        <v>2.58</v>
      </c>
      <c r="O779">
        <v>2201</v>
      </c>
      <c r="P779">
        <v>2.02</v>
      </c>
      <c r="Q779">
        <v>353</v>
      </c>
      <c r="R779">
        <v>417</v>
      </c>
    </row>
    <row r="780" spans="1:18" hidden="1" x14ac:dyDescent="0.2">
      <c r="A780">
        <v>9</v>
      </c>
      <c r="B780" t="s">
        <v>32</v>
      </c>
      <c r="E780" t="s">
        <v>29</v>
      </c>
      <c r="F780">
        <v>1899144</v>
      </c>
      <c r="G780">
        <v>2</v>
      </c>
      <c r="H780">
        <v>3</v>
      </c>
      <c r="I780">
        <v>473</v>
      </c>
      <c r="J780">
        <v>1959</v>
      </c>
      <c r="K780" s="4">
        <v>44920</v>
      </c>
      <c r="L780" t="s">
        <v>23</v>
      </c>
      <c r="M780" t="s">
        <v>63</v>
      </c>
      <c r="N780">
        <v>2.87</v>
      </c>
      <c r="O780">
        <v>2218</v>
      </c>
      <c r="P780">
        <v>2.74</v>
      </c>
      <c r="Q780">
        <v>119</v>
      </c>
      <c r="R780">
        <v>563</v>
      </c>
    </row>
    <row r="781" spans="1:18" hidden="1" x14ac:dyDescent="0.2">
      <c r="A781">
        <v>2</v>
      </c>
      <c r="B781" t="s">
        <v>86</v>
      </c>
      <c r="E781" t="s">
        <v>36</v>
      </c>
      <c r="F781">
        <v>910711</v>
      </c>
      <c r="G781">
        <v>3</v>
      </c>
      <c r="H781">
        <v>1</v>
      </c>
      <c r="I781">
        <v>877</v>
      </c>
      <c r="J781">
        <v>1979</v>
      </c>
      <c r="K781" s="4">
        <v>44267</v>
      </c>
      <c r="L781" t="s">
        <v>26</v>
      </c>
      <c r="M781" t="s">
        <v>42</v>
      </c>
      <c r="N781">
        <v>2.08</v>
      </c>
      <c r="O781">
        <v>1916</v>
      </c>
      <c r="P781">
        <v>4.3899999999999997</v>
      </c>
      <c r="Q781">
        <v>261</v>
      </c>
      <c r="R781">
        <v>672</v>
      </c>
    </row>
    <row r="782" spans="1:18" hidden="1" x14ac:dyDescent="0.2">
      <c r="A782">
        <v>2</v>
      </c>
      <c r="B782" t="s">
        <v>25</v>
      </c>
      <c r="E782" t="s">
        <v>36</v>
      </c>
      <c r="F782">
        <v>2480109</v>
      </c>
      <c r="G782">
        <v>4</v>
      </c>
      <c r="H782">
        <v>3</v>
      </c>
      <c r="I782">
        <v>720</v>
      </c>
      <c r="J782">
        <v>1970</v>
      </c>
      <c r="K782" s="4">
        <v>45510</v>
      </c>
      <c r="L782" t="s">
        <v>23</v>
      </c>
      <c r="M782" t="s">
        <v>56</v>
      </c>
      <c r="N782">
        <v>2.36</v>
      </c>
      <c r="O782">
        <v>1478</v>
      </c>
      <c r="P782">
        <v>0.92</v>
      </c>
      <c r="Q782">
        <v>242</v>
      </c>
      <c r="R782">
        <v>406</v>
      </c>
    </row>
    <row r="783" spans="1:18" hidden="1" x14ac:dyDescent="0.2">
      <c r="A783">
        <v>5</v>
      </c>
      <c r="B783" t="s">
        <v>104</v>
      </c>
      <c r="E783" t="s">
        <v>29</v>
      </c>
      <c r="F783">
        <v>1532191</v>
      </c>
      <c r="G783">
        <v>5</v>
      </c>
      <c r="H783">
        <v>1</v>
      </c>
      <c r="I783">
        <v>183</v>
      </c>
      <c r="J783">
        <v>1956</v>
      </c>
      <c r="K783" s="4">
        <v>44124</v>
      </c>
      <c r="L783" t="s">
        <v>20</v>
      </c>
      <c r="M783" t="s">
        <v>85</v>
      </c>
      <c r="N783">
        <v>1.81</v>
      </c>
      <c r="O783">
        <v>1913</v>
      </c>
      <c r="P783">
        <v>0.74</v>
      </c>
      <c r="Q783">
        <v>328</v>
      </c>
      <c r="R783">
        <v>547</v>
      </c>
    </row>
    <row r="784" spans="1:18" hidden="1" x14ac:dyDescent="0.2">
      <c r="A784">
        <v>9</v>
      </c>
      <c r="B784" t="s">
        <v>84</v>
      </c>
      <c r="E784" t="s">
        <v>29</v>
      </c>
      <c r="F784">
        <v>1007562</v>
      </c>
      <c r="G784">
        <v>2</v>
      </c>
      <c r="H784">
        <v>1</v>
      </c>
      <c r="I784">
        <v>488</v>
      </c>
      <c r="J784">
        <v>2004</v>
      </c>
      <c r="K784" s="4">
        <v>44815</v>
      </c>
      <c r="L784" t="s">
        <v>20</v>
      </c>
      <c r="M784" t="s">
        <v>63</v>
      </c>
      <c r="N784">
        <v>2.4500000000000002</v>
      </c>
      <c r="O784">
        <v>2311</v>
      </c>
      <c r="P784">
        <v>2.72</v>
      </c>
      <c r="Q784">
        <v>146</v>
      </c>
      <c r="R784">
        <v>574</v>
      </c>
    </row>
    <row r="785" spans="1:18" hidden="1" x14ac:dyDescent="0.2">
      <c r="A785">
        <v>7</v>
      </c>
      <c r="B785" t="s">
        <v>25</v>
      </c>
      <c r="E785" t="s">
        <v>36</v>
      </c>
      <c r="F785">
        <v>2342295</v>
      </c>
      <c r="G785">
        <v>2</v>
      </c>
      <c r="H785">
        <v>2</v>
      </c>
      <c r="I785">
        <v>354</v>
      </c>
      <c r="J785">
        <v>2010</v>
      </c>
      <c r="K785" s="4">
        <v>44882</v>
      </c>
      <c r="L785" t="s">
        <v>26</v>
      </c>
      <c r="M785" t="s">
        <v>63</v>
      </c>
      <c r="N785">
        <v>3.49</v>
      </c>
      <c r="O785">
        <v>1904</v>
      </c>
      <c r="P785">
        <v>3.17</v>
      </c>
      <c r="Q785">
        <v>95</v>
      </c>
      <c r="R785">
        <v>379</v>
      </c>
    </row>
    <row r="786" spans="1:18" hidden="1" x14ac:dyDescent="0.2">
      <c r="A786">
        <v>0</v>
      </c>
      <c r="B786" t="s">
        <v>41</v>
      </c>
      <c r="E786" t="s">
        <v>29</v>
      </c>
      <c r="F786">
        <v>2998250</v>
      </c>
      <c r="G786">
        <v>2</v>
      </c>
      <c r="H786">
        <v>2</v>
      </c>
      <c r="I786">
        <v>431</v>
      </c>
      <c r="J786">
        <v>1995</v>
      </c>
      <c r="K786" s="4">
        <v>45247</v>
      </c>
      <c r="L786" t="s">
        <v>30</v>
      </c>
      <c r="M786" t="s">
        <v>77</v>
      </c>
      <c r="N786">
        <v>2.86</v>
      </c>
      <c r="O786">
        <v>1875</v>
      </c>
      <c r="P786">
        <v>2.2999999999999998</v>
      </c>
      <c r="Q786">
        <v>88</v>
      </c>
      <c r="R786">
        <v>700</v>
      </c>
    </row>
    <row r="787" spans="1:18" hidden="1" x14ac:dyDescent="0.2">
      <c r="A787">
        <v>0</v>
      </c>
      <c r="B787" t="s">
        <v>72</v>
      </c>
      <c r="E787" t="s">
        <v>19</v>
      </c>
      <c r="F787">
        <v>2375439</v>
      </c>
      <c r="G787">
        <v>2</v>
      </c>
      <c r="H787">
        <v>2</v>
      </c>
      <c r="I787">
        <v>538</v>
      </c>
      <c r="J787">
        <v>2018</v>
      </c>
      <c r="K787" s="4">
        <v>45273</v>
      </c>
      <c r="L787" t="s">
        <v>26</v>
      </c>
      <c r="M787" t="s">
        <v>68</v>
      </c>
      <c r="N787">
        <v>2.4500000000000002</v>
      </c>
      <c r="O787">
        <v>936</v>
      </c>
      <c r="P787">
        <v>2.2999999999999998</v>
      </c>
      <c r="Q787">
        <v>225</v>
      </c>
      <c r="R787">
        <v>544</v>
      </c>
    </row>
    <row r="788" spans="1:18" x14ac:dyDescent="0.2">
      <c r="A788">
        <v>8</v>
      </c>
      <c r="B788" t="s">
        <v>22</v>
      </c>
      <c r="C788" t="str">
        <f>VLOOKUP(B788, 'Council Area'!$A$2:$B$51, 2)</f>
        <v>Sutherland Shire Council</v>
      </c>
      <c r="D788" t="str">
        <f>_xlfn.XLOOKUP(B788, 'Council Area'!$A$2:$A$51, 'Council Area'!$B$2:$B$51)</f>
        <v>Sutherland Shire Council</v>
      </c>
      <c r="E788" t="s">
        <v>51</v>
      </c>
      <c r="F788">
        <v>626405</v>
      </c>
      <c r="G788">
        <v>5</v>
      </c>
      <c r="H788">
        <v>3</v>
      </c>
      <c r="I788">
        <v>367</v>
      </c>
      <c r="J788">
        <v>1959</v>
      </c>
      <c r="K788" s="4">
        <v>45653</v>
      </c>
      <c r="L788" t="s">
        <v>20</v>
      </c>
      <c r="M788" t="s">
        <v>24</v>
      </c>
      <c r="N788">
        <v>2.2400000000000002</v>
      </c>
      <c r="O788">
        <v>2245</v>
      </c>
      <c r="P788">
        <v>4.4000000000000004</v>
      </c>
      <c r="Q788">
        <v>368</v>
      </c>
      <c r="R788">
        <v>331</v>
      </c>
    </row>
    <row r="789" spans="1:18" hidden="1" x14ac:dyDescent="0.2">
      <c r="A789">
        <v>3</v>
      </c>
      <c r="B789" t="s">
        <v>95</v>
      </c>
      <c r="E789" t="s">
        <v>19</v>
      </c>
      <c r="F789">
        <v>641218</v>
      </c>
      <c r="G789">
        <v>2</v>
      </c>
      <c r="H789">
        <v>2</v>
      </c>
      <c r="I789">
        <v>402</v>
      </c>
      <c r="J789">
        <v>1995</v>
      </c>
      <c r="K789" s="4">
        <v>45749</v>
      </c>
      <c r="L789" t="s">
        <v>30</v>
      </c>
      <c r="M789" t="s">
        <v>89</v>
      </c>
      <c r="N789">
        <v>3.36</v>
      </c>
      <c r="O789">
        <v>1899</v>
      </c>
      <c r="P789">
        <v>4.96</v>
      </c>
      <c r="Q789">
        <v>62</v>
      </c>
      <c r="R789">
        <v>579</v>
      </c>
    </row>
    <row r="790" spans="1:18" x14ac:dyDescent="0.2">
      <c r="A790">
        <v>8</v>
      </c>
      <c r="B790" t="s">
        <v>104</v>
      </c>
      <c r="C790" t="str">
        <f>VLOOKUP(B790, 'Council Area'!$A$2:$B$51, 2)</f>
        <v>Northern Beaches Council</v>
      </c>
      <c r="D790" t="str">
        <f>_xlfn.XLOOKUP(B790, 'Council Area'!$A$2:$A$51, 'Council Area'!$B$2:$B$51)</f>
        <v>Northern Beaches Council</v>
      </c>
      <c r="E790" t="s">
        <v>29</v>
      </c>
      <c r="F790">
        <v>1285009</v>
      </c>
      <c r="G790">
        <v>6</v>
      </c>
      <c r="H790">
        <v>3</v>
      </c>
      <c r="I790">
        <v>717</v>
      </c>
      <c r="J790">
        <v>1962</v>
      </c>
      <c r="K790" s="4">
        <v>45819</v>
      </c>
      <c r="L790" t="s">
        <v>23</v>
      </c>
      <c r="M790" t="s">
        <v>89</v>
      </c>
      <c r="N790">
        <v>3.36</v>
      </c>
      <c r="O790">
        <v>1713</v>
      </c>
      <c r="P790">
        <v>0.94</v>
      </c>
      <c r="Q790">
        <v>342</v>
      </c>
      <c r="R790">
        <v>654</v>
      </c>
    </row>
    <row r="791" spans="1:18" hidden="1" x14ac:dyDescent="0.2">
      <c r="A791">
        <v>5</v>
      </c>
      <c r="B791" t="s">
        <v>91</v>
      </c>
      <c r="E791" t="s">
        <v>51</v>
      </c>
      <c r="F791">
        <v>520330</v>
      </c>
      <c r="G791">
        <v>3</v>
      </c>
      <c r="H791">
        <v>3</v>
      </c>
      <c r="I791">
        <v>729</v>
      </c>
      <c r="J791">
        <v>1966</v>
      </c>
      <c r="K791" s="4">
        <v>44370</v>
      </c>
      <c r="L791" t="s">
        <v>23</v>
      </c>
      <c r="M791" t="s">
        <v>60</v>
      </c>
      <c r="N791">
        <v>2.54</v>
      </c>
      <c r="O791">
        <v>2024</v>
      </c>
      <c r="P791">
        <v>4.37</v>
      </c>
      <c r="Q791">
        <v>191</v>
      </c>
      <c r="R791">
        <v>541</v>
      </c>
    </row>
    <row r="792" spans="1:18" x14ac:dyDescent="0.2">
      <c r="A792">
        <v>8</v>
      </c>
      <c r="B792" t="s">
        <v>83</v>
      </c>
      <c r="C792" t="str">
        <f>VLOOKUP(B792, 'Council Area'!$A$2:$B$51, 2)</f>
        <v>Canterbury-Bankstown Council</v>
      </c>
      <c r="D792" t="str">
        <f>_xlfn.XLOOKUP(B792, 'Council Area'!$A$2:$A$51, 'Council Area'!$B$2:$B$51)</f>
        <v>Canterbury-Bankstown Council</v>
      </c>
      <c r="E792" t="s">
        <v>36</v>
      </c>
      <c r="F792">
        <v>552627</v>
      </c>
      <c r="G792">
        <v>4</v>
      </c>
      <c r="H792">
        <v>3</v>
      </c>
      <c r="I792">
        <v>870</v>
      </c>
      <c r="J792">
        <v>1960</v>
      </c>
      <c r="K792" s="4">
        <v>44318</v>
      </c>
      <c r="L792" t="s">
        <v>20</v>
      </c>
      <c r="M792" t="s">
        <v>37</v>
      </c>
      <c r="N792">
        <v>2.89</v>
      </c>
      <c r="O792">
        <v>2230</v>
      </c>
      <c r="P792">
        <v>0.73</v>
      </c>
      <c r="Q792">
        <v>221</v>
      </c>
      <c r="R792">
        <v>412</v>
      </c>
    </row>
    <row r="793" spans="1:18" hidden="1" x14ac:dyDescent="0.2">
      <c r="A793">
        <v>7</v>
      </c>
      <c r="B793" t="s">
        <v>83</v>
      </c>
      <c r="E793" t="s">
        <v>19</v>
      </c>
      <c r="F793">
        <v>2215660</v>
      </c>
      <c r="G793">
        <v>3</v>
      </c>
      <c r="H793">
        <v>2</v>
      </c>
      <c r="I793">
        <v>166</v>
      </c>
      <c r="J793">
        <v>1982</v>
      </c>
      <c r="K793" s="4">
        <v>45246</v>
      </c>
      <c r="L793" t="s">
        <v>23</v>
      </c>
      <c r="M793" t="s">
        <v>33</v>
      </c>
      <c r="N793">
        <v>1.64</v>
      </c>
      <c r="O793">
        <v>2260</v>
      </c>
      <c r="P793">
        <v>2</v>
      </c>
      <c r="Q793">
        <v>94</v>
      </c>
      <c r="R793">
        <v>567</v>
      </c>
    </row>
    <row r="794" spans="1:18" hidden="1" x14ac:dyDescent="0.2">
      <c r="A794">
        <v>0</v>
      </c>
      <c r="B794" t="s">
        <v>49</v>
      </c>
      <c r="E794" t="s">
        <v>36</v>
      </c>
      <c r="F794">
        <v>2086203</v>
      </c>
      <c r="G794">
        <v>4</v>
      </c>
      <c r="H794">
        <v>3</v>
      </c>
      <c r="I794">
        <v>811</v>
      </c>
      <c r="J794">
        <v>1956</v>
      </c>
      <c r="K794" s="4">
        <v>45844</v>
      </c>
      <c r="L794" t="s">
        <v>30</v>
      </c>
      <c r="M794" t="s">
        <v>74</v>
      </c>
      <c r="N794">
        <v>2.52</v>
      </c>
      <c r="O794">
        <v>1103</v>
      </c>
      <c r="P794">
        <v>1.62</v>
      </c>
      <c r="Q794">
        <v>400</v>
      </c>
      <c r="R794">
        <v>511</v>
      </c>
    </row>
    <row r="795" spans="1:18" hidden="1" x14ac:dyDescent="0.2">
      <c r="A795">
        <v>1</v>
      </c>
      <c r="B795" t="s">
        <v>79</v>
      </c>
      <c r="E795" t="s">
        <v>19</v>
      </c>
      <c r="F795">
        <v>1000450</v>
      </c>
      <c r="G795">
        <v>3</v>
      </c>
      <c r="H795">
        <v>2</v>
      </c>
      <c r="I795">
        <v>855</v>
      </c>
      <c r="J795">
        <v>1958</v>
      </c>
      <c r="K795" s="4">
        <v>44214</v>
      </c>
      <c r="L795" t="s">
        <v>30</v>
      </c>
      <c r="M795" t="s">
        <v>27</v>
      </c>
      <c r="N795">
        <v>2.83</v>
      </c>
      <c r="O795">
        <v>2324</v>
      </c>
      <c r="P795">
        <v>2.33</v>
      </c>
      <c r="Q795">
        <v>127</v>
      </c>
      <c r="R795">
        <v>532</v>
      </c>
    </row>
    <row r="796" spans="1:18" hidden="1" x14ac:dyDescent="0.2">
      <c r="A796">
        <v>7</v>
      </c>
      <c r="B796" t="s">
        <v>43</v>
      </c>
      <c r="E796" t="s">
        <v>36</v>
      </c>
      <c r="F796">
        <v>1671339</v>
      </c>
      <c r="G796">
        <v>3</v>
      </c>
      <c r="H796">
        <v>1</v>
      </c>
      <c r="I796">
        <v>406</v>
      </c>
      <c r="J796">
        <v>2008</v>
      </c>
      <c r="K796" s="4">
        <v>44478</v>
      </c>
      <c r="L796" t="s">
        <v>20</v>
      </c>
      <c r="M796" t="s">
        <v>37</v>
      </c>
      <c r="N796">
        <v>2.63</v>
      </c>
      <c r="O796">
        <v>2162</v>
      </c>
      <c r="P796">
        <v>2.83</v>
      </c>
      <c r="Q796">
        <v>94</v>
      </c>
      <c r="R796">
        <v>313</v>
      </c>
    </row>
    <row r="797" spans="1:18" hidden="1" x14ac:dyDescent="0.2">
      <c r="A797">
        <v>5</v>
      </c>
      <c r="B797" t="s">
        <v>49</v>
      </c>
      <c r="E797" t="s">
        <v>29</v>
      </c>
      <c r="F797">
        <v>593386</v>
      </c>
      <c r="G797">
        <v>4</v>
      </c>
      <c r="H797">
        <v>3</v>
      </c>
      <c r="I797">
        <v>80</v>
      </c>
      <c r="J797">
        <v>1982</v>
      </c>
      <c r="K797" s="4">
        <v>44283</v>
      </c>
      <c r="L797" t="s">
        <v>26</v>
      </c>
      <c r="M797" t="s">
        <v>40</v>
      </c>
      <c r="N797">
        <v>1.65</v>
      </c>
      <c r="O797">
        <v>1254</v>
      </c>
      <c r="P797">
        <v>2.96</v>
      </c>
      <c r="Q797">
        <v>398</v>
      </c>
      <c r="R797">
        <v>478</v>
      </c>
    </row>
    <row r="798" spans="1:18" x14ac:dyDescent="0.2">
      <c r="A798">
        <v>8</v>
      </c>
      <c r="B798" t="s">
        <v>88</v>
      </c>
      <c r="C798" t="str">
        <f>VLOOKUP(B798, 'Council Area'!$A$2:$B$51, 2)</f>
        <v>Blacktown City Council</v>
      </c>
      <c r="D798" t="str">
        <f>_xlfn.XLOOKUP(B798, 'Council Area'!$A$2:$A$51, 'Council Area'!$B$2:$B$51)</f>
        <v>Blacktown City Council</v>
      </c>
      <c r="E798" t="s">
        <v>19</v>
      </c>
      <c r="F798">
        <v>2284048</v>
      </c>
      <c r="G798">
        <v>3</v>
      </c>
      <c r="H798">
        <v>2</v>
      </c>
      <c r="I798">
        <v>581</v>
      </c>
      <c r="J798">
        <v>1965</v>
      </c>
      <c r="K798" s="4">
        <v>44265</v>
      </c>
      <c r="L798" t="s">
        <v>23</v>
      </c>
      <c r="M798" t="s">
        <v>78</v>
      </c>
      <c r="N798">
        <v>1.67</v>
      </c>
      <c r="O798">
        <v>833</v>
      </c>
      <c r="P798">
        <v>3.14</v>
      </c>
      <c r="Q798">
        <v>192</v>
      </c>
      <c r="R798">
        <v>379</v>
      </c>
    </row>
    <row r="799" spans="1:18" x14ac:dyDescent="0.2">
      <c r="A799">
        <v>8</v>
      </c>
      <c r="B799" t="s">
        <v>84</v>
      </c>
      <c r="C799" t="str">
        <f>VLOOKUP(B799, 'Council Area'!$A$2:$B$51, 2)</f>
        <v>Northern Beaches Council</v>
      </c>
      <c r="D799" t="str">
        <f>_xlfn.XLOOKUP(B799, 'Council Area'!$A$2:$A$51, 'Council Area'!$B$2:$B$51)</f>
        <v>Northern Beaches Council</v>
      </c>
      <c r="E799" t="s">
        <v>29</v>
      </c>
      <c r="F799">
        <v>1315915</v>
      </c>
      <c r="G799">
        <v>3</v>
      </c>
      <c r="H799">
        <v>1</v>
      </c>
      <c r="I799">
        <v>220</v>
      </c>
      <c r="J799">
        <v>2003</v>
      </c>
      <c r="K799" s="4">
        <v>45808</v>
      </c>
      <c r="L799" t="s">
        <v>26</v>
      </c>
      <c r="M799" t="s">
        <v>45</v>
      </c>
      <c r="N799">
        <v>2.31</v>
      </c>
      <c r="O799">
        <v>1799</v>
      </c>
      <c r="P799">
        <v>0.93</v>
      </c>
      <c r="Q799">
        <v>222</v>
      </c>
      <c r="R799">
        <v>496</v>
      </c>
    </row>
    <row r="800" spans="1:18" hidden="1" x14ac:dyDescent="0.2">
      <c r="A800">
        <v>2</v>
      </c>
      <c r="B800" t="s">
        <v>50</v>
      </c>
      <c r="E800" t="s">
        <v>29</v>
      </c>
      <c r="F800">
        <v>1696752</v>
      </c>
      <c r="G800">
        <v>3</v>
      </c>
      <c r="H800">
        <v>1</v>
      </c>
      <c r="I800">
        <v>723</v>
      </c>
      <c r="J800">
        <v>1979</v>
      </c>
      <c r="K800" s="4">
        <v>44141</v>
      </c>
      <c r="L800" t="s">
        <v>26</v>
      </c>
      <c r="M800" t="s">
        <v>66</v>
      </c>
      <c r="N800">
        <v>2.38</v>
      </c>
      <c r="O800">
        <v>2129</v>
      </c>
      <c r="P800">
        <v>4.0199999999999996</v>
      </c>
      <c r="Q800">
        <v>252</v>
      </c>
      <c r="R800">
        <v>439</v>
      </c>
    </row>
    <row r="801" spans="1:18" hidden="1" x14ac:dyDescent="0.2">
      <c r="A801">
        <v>9</v>
      </c>
      <c r="B801" t="s">
        <v>75</v>
      </c>
      <c r="E801" t="s">
        <v>29</v>
      </c>
      <c r="F801">
        <v>511872</v>
      </c>
      <c r="G801">
        <v>5</v>
      </c>
      <c r="H801">
        <v>2</v>
      </c>
      <c r="I801">
        <v>992</v>
      </c>
      <c r="J801">
        <v>1971</v>
      </c>
      <c r="K801" s="4">
        <v>44437</v>
      </c>
      <c r="L801" t="s">
        <v>30</v>
      </c>
      <c r="M801" t="s">
        <v>60</v>
      </c>
      <c r="N801">
        <v>2.66</v>
      </c>
      <c r="O801">
        <v>2150</v>
      </c>
      <c r="P801">
        <v>2.62</v>
      </c>
      <c r="Q801">
        <v>376</v>
      </c>
      <c r="R801">
        <v>484</v>
      </c>
    </row>
    <row r="802" spans="1:18" hidden="1" x14ac:dyDescent="0.2">
      <c r="A802">
        <v>9</v>
      </c>
      <c r="B802" t="s">
        <v>79</v>
      </c>
      <c r="E802" t="s">
        <v>36</v>
      </c>
      <c r="F802">
        <v>1322693</v>
      </c>
      <c r="G802">
        <v>3</v>
      </c>
      <c r="H802">
        <v>1</v>
      </c>
      <c r="I802">
        <v>736</v>
      </c>
      <c r="J802">
        <v>2010</v>
      </c>
      <c r="K802" s="4">
        <v>44155</v>
      </c>
      <c r="L802" t="s">
        <v>30</v>
      </c>
      <c r="M802" t="s">
        <v>97</v>
      </c>
      <c r="N802">
        <v>3.03</v>
      </c>
      <c r="O802">
        <v>1022</v>
      </c>
      <c r="P802">
        <v>4.09</v>
      </c>
      <c r="Q802">
        <v>311</v>
      </c>
      <c r="R802">
        <v>391</v>
      </c>
    </row>
    <row r="803" spans="1:18" hidden="1" x14ac:dyDescent="0.2">
      <c r="A803">
        <v>6</v>
      </c>
      <c r="B803" t="s">
        <v>92</v>
      </c>
      <c r="E803" t="s">
        <v>51</v>
      </c>
      <c r="F803">
        <v>1361611</v>
      </c>
      <c r="G803">
        <v>4</v>
      </c>
      <c r="H803">
        <v>3</v>
      </c>
      <c r="I803">
        <v>583</v>
      </c>
      <c r="J803">
        <v>2022</v>
      </c>
      <c r="K803" s="4">
        <v>44170</v>
      </c>
      <c r="L803" t="s">
        <v>30</v>
      </c>
      <c r="M803" t="s">
        <v>31</v>
      </c>
      <c r="N803">
        <v>2.61</v>
      </c>
      <c r="O803">
        <v>1792</v>
      </c>
      <c r="P803">
        <v>4.18</v>
      </c>
      <c r="Q803">
        <v>357</v>
      </c>
      <c r="R803">
        <v>393</v>
      </c>
    </row>
    <row r="804" spans="1:18" hidden="1" x14ac:dyDescent="0.2">
      <c r="A804">
        <v>9</v>
      </c>
      <c r="B804" t="s">
        <v>92</v>
      </c>
      <c r="E804" t="s">
        <v>29</v>
      </c>
      <c r="F804">
        <v>447706</v>
      </c>
      <c r="G804">
        <v>3</v>
      </c>
      <c r="H804">
        <v>1</v>
      </c>
      <c r="I804">
        <v>214</v>
      </c>
      <c r="J804">
        <v>2001</v>
      </c>
      <c r="K804" s="4">
        <v>44289</v>
      </c>
      <c r="L804" t="s">
        <v>23</v>
      </c>
      <c r="M804" t="s">
        <v>60</v>
      </c>
      <c r="N804">
        <v>2.98</v>
      </c>
      <c r="O804">
        <v>1206</v>
      </c>
      <c r="P804">
        <v>1.79</v>
      </c>
      <c r="Q804">
        <v>201</v>
      </c>
      <c r="R804">
        <v>507</v>
      </c>
    </row>
    <row r="805" spans="1:18" hidden="1" x14ac:dyDescent="0.2">
      <c r="A805">
        <v>6</v>
      </c>
      <c r="B805" t="s">
        <v>72</v>
      </c>
      <c r="E805" t="s">
        <v>19</v>
      </c>
      <c r="F805">
        <v>2886730</v>
      </c>
      <c r="G805">
        <v>3</v>
      </c>
      <c r="H805">
        <v>1</v>
      </c>
      <c r="I805">
        <v>952</v>
      </c>
      <c r="J805">
        <v>1957</v>
      </c>
      <c r="K805" s="4">
        <v>45533</v>
      </c>
      <c r="L805" t="s">
        <v>23</v>
      </c>
      <c r="M805" t="s">
        <v>45</v>
      </c>
      <c r="N805">
        <v>2.94</v>
      </c>
      <c r="O805">
        <v>1555</v>
      </c>
      <c r="P805">
        <v>3.73</v>
      </c>
      <c r="Q805">
        <v>191</v>
      </c>
      <c r="R805">
        <v>542</v>
      </c>
    </row>
    <row r="806" spans="1:18" hidden="1" x14ac:dyDescent="0.2">
      <c r="A806">
        <v>9</v>
      </c>
      <c r="B806" t="s">
        <v>81</v>
      </c>
      <c r="E806" t="s">
        <v>36</v>
      </c>
      <c r="F806">
        <v>664083</v>
      </c>
      <c r="G806">
        <v>4</v>
      </c>
      <c r="H806">
        <v>1</v>
      </c>
      <c r="I806">
        <v>792</v>
      </c>
      <c r="J806">
        <v>2000</v>
      </c>
      <c r="K806" s="4">
        <v>45049</v>
      </c>
      <c r="L806" t="s">
        <v>23</v>
      </c>
      <c r="M806" t="s">
        <v>63</v>
      </c>
      <c r="N806">
        <v>1.94</v>
      </c>
      <c r="O806">
        <v>1564</v>
      </c>
      <c r="P806">
        <v>1.53</v>
      </c>
      <c r="Q806">
        <v>287</v>
      </c>
      <c r="R806">
        <v>612</v>
      </c>
    </row>
    <row r="807" spans="1:18" hidden="1" x14ac:dyDescent="0.2">
      <c r="A807">
        <v>1</v>
      </c>
      <c r="B807" t="s">
        <v>96</v>
      </c>
      <c r="E807" t="s">
        <v>19</v>
      </c>
      <c r="F807">
        <v>2125721</v>
      </c>
      <c r="G807">
        <v>5</v>
      </c>
      <c r="H807">
        <v>3</v>
      </c>
      <c r="I807">
        <v>989</v>
      </c>
      <c r="J807">
        <v>1972</v>
      </c>
      <c r="K807" s="4">
        <v>44887</v>
      </c>
      <c r="L807" t="s">
        <v>30</v>
      </c>
      <c r="M807" t="s">
        <v>85</v>
      </c>
      <c r="N807">
        <v>3.15</v>
      </c>
      <c r="O807">
        <v>1162</v>
      </c>
      <c r="P807">
        <v>3.23</v>
      </c>
      <c r="Q807">
        <v>347</v>
      </c>
      <c r="R807">
        <v>487</v>
      </c>
    </row>
    <row r="808" spans="1:18" hidden="1" x14ac:dyDescent="0.2">
      <c r="A808">
        <v>9</v>
      </c>
      <c r="B808" t="s">
        <v>22</v>
      </c>
      <c r="E808" t="s">
        <v>36</v>
      </c>
      <c r="F808">
        <v>1690220</v>
      </c>
      <c r="G808">
        <v>6</v>
      </c>
      <c r="H808">
        <v>1</v>
      </c>
      <c r="I808">
        <v>504</v>
      </c>
      <c r="J808">
        <v>1985</v>
      </c>
      <c r="K808" s="4">
        <v>45022</v>
      </c>
      <c r="L808" t="s">
        <v>26</v>
      </c>
      <c r="M808" t="s">
        <v>69</v>
      </c>
      <c r="N808">
        <v>3.11</v>
      </c>
      <c r="O808">
        <v>1000</v>
      </c>
      <c r="P808">
        <v>2.35</v>
      </c>
      <c r="Q808">
        <v>368</v>
      </c>
      <c r="R808">
        <v>578</v>
      </c>
    </row>
    <row r="809" spans="1:18" hidden="1" x14ac:dyDescent="0.2">
      <c r="A809">
        <v>2</v>
      </c>
      <c r="B809" t="s">
        <v>18</v>
      </c>
      <c r="E809" t="s">
        <v>51</v>
      </c>
      <c r="F809">
        <v>944111</v>
      </c>
      <c r="G809">
        <v>5</v>
      </c>
      <c r="H809">
        <v>1</v>
      </c>
      <c r="I809">
        <v>718</v>
      </c>
      <c r="J809">
        <v>2006</v>
      </c>
      <c r="K809" s="4">
        <v>45243</v>
      </c>
      <c r="L809" t="s">
        <v>30</v>
      </c>
      <c r="M809" t="s">
        <v>37</v>
      </c>
      <c r="N809">
        <v>3.34</v>
      </c>
      <c r="O809">
        <v>2127</v>
      </c>
      <c r="P809">
        <v>3.49</v>
      </c>
      <c r="Q809">
        <v>287</v>
      </c>
      <c r="R809">
        <v>478</v>
      </c>
    </row>
    <row r="810" spans="1:18" x14ac:dyDescent="0.2">
      <c r="A810">
        <v>8</v>
      </c>
      <c r="B810" t="s">
        <v>64</v>
      </c>
      <c r="C810" t="str">
        <f>VLOOKUP(B810, 'Council Area'!$A$2:$B$51, 2)</f>
        <v>Canterbury-Bankstown Council</v>
      </c>
      <c r="D810" t="str">
        <f>_xlfn.XLOOKUP(B810, 'Council Area'!$A$2:$A$51, 'Council Area'!$B$2:$B$51)</f>
        <v>Canterbury-Bankstown Council</v>
      </c>
      <c r="E810" t="s">
        <v>29</v>
      </c>
      <c r="F810">
        <v>1939588</v>
      </c>
      <c r="G810">
        <v>4</v>
      </c>
      <c r="H810">
        <v>2</v>
      </c>
      <c r="I810">
        <v>790</v>
      </c>
      <c r="J810">
        <v>1960</v>
      </c>
      <c r="K810" s="4">
        <v>44980</v>
      </c>
      <c r="L810" t="s">
        <v>23</v>
      </c>
      <c r="M810" t="s">
        <v>59</v>
      </c>
      <c r="N810">
        <v>3.07</v>
      </c>
      <c r="O810">
        <v>1618</v>
      </c>
      <c r="P810">
        <v>3.41</v>
      </c>
      <c r="Q810">
        <v>161</v>
      </c>
      <c r="R810">
        <v>478</v>
      </c>
    </row>
    <row r="811" spans="1:18" hidden="1" x14ac:dyDescent="0.2">
      <c r="A811">
        <v>0</v>
      </c>
      <c r="B811" t="s">
        <v>105</v>
      </c>
      <c r="E811" t="s">
        <v>51</v>
      </c>
      <c r="F811">
        <v>2606998</v>
      </c>
      <c r="G811">
        <v>5</v>
      </c>
      <c r="H811">
        <v>3</v>
      </c>
      <c r="I811">
        <v>435</v>
      </c>
      <c r="J811">
        <v>2000</v>
      </c>
      <c r="K811" s="4">
        <v>44748</v>
      </c>
      <c r="L811" t="s">
        <v>26</v>
      </c>
      <c r="M811" t="s">
        <v>58</v>
      </c>
      <c r="N811">
        <v>1.95</v>
      </c>
      <c r="O811">
        <v>1766</v>
      </c>
      <c r="P811">
        <v>4.1100000000000003</v>
      </c>
      <c r="Q811">
        <v>397</v>
      </c>
      <c r="R811">
        <v>629</v>
      </c>
    </row>
    <row r="812" spans="1:18" hidden="1" x14ac:dyDescent="0.2">
      <c r="A812">
        <v>3</v>
      </c>
      <c r="B812" t="s">
        <v>81</v>
      </c>
      <c r="E812" t="s">
        <v>36</v>
      </c>
      <c r="F812">
        <v>2772524</v>
      </c>
      <c r="G812">
        <v>4</v>
      </c>
      <c r="H812">
        <v>3</v>
      </c>
      <c r="I812">
        <v>614</v>
      </c>
      <c r="J812">
        <v>1992</v>
      </c>
      <c r="K812" s="4">
        <v>44069</v>
      </c>
      <c r="L812" t="s">
        <v>23</v>
      </c>
      <c r="M812" t="s">
        <v>89</v>
      </c>
      <c r="N812">
        <v>3.19</v>
      </c>
      <c r="O812">
        <v>1150</v>
      </c>
      <c r="P812">
        <v>2.9</v>
      </c>
      <c r="Q812">
        <v>191</v>
      </c>
      <c r="R812">
        <v>455</v>
      </c>
    </row>
    <row r="813" spans="1:18" hidden="1" x14ac:dyDescent="0.2">
      <c r="A813">
        <v>6</v>
      </c>
      <c r="B813" t="s">
        <v>84</v>
      </c>
      <c r="E813" t="s">
        <v>51</v>
      </c>
      <c r="F813">
        <v>1124281</v>
      </c>
      <c r="G813">
        <v>3</v>
      </c>
      <c r="H813">
        <v>1</v>
      </c>
      <c r="I813">
        <v>670</v>
      </c>
      <c r="J813">
        <v>1965</v>
      </c>
      <c r="K813" s="4">
        <v>44775</v>
      </c>
      <c r="L813" t="s">
        <v>26</v>
      </c>
      <c r="M813" t="s">
        <v>31</v>
      </c>
      <c r="N813">
        <v>3.48</v>
      </c>
      <c r="O813">
        <v>1623</v>
      </c>
      <c r="P813">
        <v>1.08</v>
      </c>
      <c r="Q813">
        <v>249</v>
      </c>
      <c r="R813">
        <v>614</v>
      </c>
    </row>
    <row r="814" spans="1:18" hidden="1" x14ac:dyDescent="0.2">
      <c r="A814">
        <v>5</v>
      </c>
      <c r="B814" t="s">
        <v>94</v>
      </c>
      <c r="E814" t="s">
        <v>29</v>
      </c>
      <c r="F814">
        <v>888981</v>
      </c>
      <c r="G814">
        <v>6</v>
      </c>
      <c r="H814">
        <v>3</v>
      </c>
      <c r="I814">
        <v>692</v>
      </c>
      <c r="J814">
        <v>1985</v>
      </c>
      <c r="K814" s="4">
        <v>44741</v>
      </c>
      <c r="L814" t="s">
        <v>30</v>
      </c>
      <c r="M814" t="s">
        <v>82</v>
      </c>
      <c r="N814">
        <v>3.41</v>
      </c>
      <c r="O814">
        <v>1115</v>
      </c>
      <c r="P814">
        <v>0.98</v>
      </c>
      <c r="Q814">
        <v>398</v>
      </c>
      <c r="R814">
        <v>377</v>
      </c>
    </row>
    <row r="815" spans="1:18" hidden="1" x14ac:dyDescent="0.2">
      <c r="A815">
        <v>4</v>
      </c>
      <c r="B815" t="s">
        <v>81</v>
      </c>
      <c r="E815" t="s">
        <v>29</v>
      </c>
      <c r="F815">
        <v>1896830</v>
      </c>
      <c r="G815">
        <v>4</v>
      </c>
      <c r="H815">
        <v>2</v>
      </c>
      <c r="I815">
        <v>963</v>
      </c>
      <c r="J815">
        <v>2001</v>
      </c>
      <c r="K815" s="4">
        <v>45169</v>
      </c>
      <c r="L815" t="s">
        <v>26</v>
      </c>
      <c r="M815" t="s">
        <v>82</v>
      </c>
      <c r="N815">
        <v>1.56</v>
      </c>
      <c r="O815">
        <v>1238</v>
      </c>
      <c r="P815">
        <v>1.33</v>
      </c>
      <c r="Q815">
        <v>178</v>
      </c>
      <c r="R815">
        <v>555</v>
      </c>
    </row>
    <row r="816" spans="1:18" hidden="1" x14ac:dyDescent="0.2">
      <c r="A816">
        <v>1</v>
      </c>
      <c r="B816" t="s">
        <v>46</v>
      </c>
      <c r="E816" t="s">
        <v>19</v>
      </c>
      <c r="F816">
        <v>1017597</v>
      </c>
      <c r="G816">
        <v>3</v>
      </c>
      <c r="H816">
        <v>2</v>
      </c>
      <c r="I816">
        <v>620</v>
      </c>
      <c r="J816">
        <v>1995</v>
      </c>
      <c r="K816" s="4">
        <v>44481</v>
      </c>
      <c r="L816" t="s">
        <v>30</v>
      </c>
      <c r="M816" t="s">
        <v>35</v>
      </c>
      <c r="N816">
        <v>3.3</v>
      </c>
      <c r="O816">
        <v>2113</v>
      </c>
      <c r="P816">
        <v>3.64</v>
      </c>
      <c r="Q816">
        <v>249</v>
      </c>
      <c r="R816">
        <v>533</v>
      </c>
    </row>
    <row r="817" spans="1:18" hidden="1" x14ac:dyDescent="0.2">
      <c r="A817">
        <v>2</v>
      </c>
      <c r="B817" t="s">
        <v>44</v>
      </c>
      <c r="E817" t="s">
        <v>36</v>
      </c>
      <c r="F817">
        <v>2631733</v>
      </c>
      <c r="G817">
        <v>3</v>
      </c>
      <c r="H817">
        <v>2</v>
      </c>
      <c r="I817">
        <v>453</v>
      </c>
      <c r="J817">
        <v>1993</v>
      </c>
      <c r="K817" s="4">
        <v>44308</v>
      </c>
      <c r="L817" t="s">
        <v>30</v>
      </c>
      <c r="M817" t="s">
        <v>77</v>
      </c>
      <c r="N817">
        <v>3.06</v>
      </c>
      <c r="O817">
        <v>2238</v>
      </c>
      <c r="P817">
        <v>4.92</v>
      </c>
      <c r="Q817">
        <v>185</v>
      </c>
      <c r="R817">
        <v>336</v>
      </c>
    </row>
    <row r="818" spans="1:18" hidden="1" x14ac:dyDescent="0.2">
      <c r="A818">
        <v>9</v>
      </c>
      <c r="B818" t="s">
        <v>43</v>
      </c>
      <c r="E818" t="s">
        <v>51</v>
      </c>
      <c r="F818">
        <v>2474892</v>
      </c>
      <c r="G818">
        <v>2</v>
      </c>
      <c r="H818">
        <v>3</v>
      </c>
      <c r="I818">
        <v>255</v>
      </c>
      <c r="J818">
        <v>2000</v>
      </c>
      <c r="K818" s="4">
        <v>44066</v>
      </c>
      <c r="L818" t="s">
        <v>20</v>
      </c>
      <c r="M818" t="s">
        <v>66</v>
      </c>
      <c r="N818">
        <v>2.17</v>
      </c>
      <c r="O818">
        <v>2466</v>
      </c>
      <c r="P818">
        <v>1.8</v>
      </c>
      <c r="Q818">
        <v>206</v>
      </c>
      <c r="R818">
        <v>345</v>
      </c>
    </row>
    <row r="819" spans="1:18" hidden="1" x14ac:dyDescent="0.2">
      <c r="A819">
        <v>3</v>
      </c>
      <c r="B819" t="s">
        <v>67</v>
      </c>
      <c r="E819" t="s">
        <v>29</v>
      </c>
      <c r="F819">
        <v>1785495</v>
      </c>
      <c r="G819">
        <v>3</v>
      </c>
      <c r="H819">
        <v>1</v>
      </c>
      <c r="I819">
        <v>853</v>
      </c>
      <c r="J819">
        <v>2003</v>
      </c>
      <c r="K819" s="4">
        <v>44305</v>
      </c>
      <c r="L819" t="s">
        <v>30</v>
      </c>
      <c r="M819" t="s">
        <v>37</v>
      </c>
      <c r="N819">
        <v>2.66</v>
      </c>
      <c r="O819">
        <v>1813</v>
      </c>
      <c r="P819">
        <v>4.49</v>
      </c>
      <c r="Q819">
        <v>93</v>
      </c>
      <c r="R819">
        <v>370</v>
      </c>
    </row>
    <row r="820" spans="1:18" hidden="1" x14ac:dyDescent="0.2">
      <c r="A820">
        <v>4</v>
      </c>
      <c r="B820" t="s">
        <v>87</v>
      </c>
      <c r="E820" t="s">
        <v>51</v>
      </c>
      <c r="F820">
        <v>693175</v>
      </c>
      <c r="G820">
        <v>1</v>
      </c>
      <c r="H820">
        <v>3</v>
      </c>
      <c r="I820">
        <v>841</v>
      </c>
      <c r="J820">
        <v>2019</v>
      </c>
      <c r="K820" s="4">
        <v>45763</v>
      </c>
      <c r="L820" t="s">
        <v>30</v>
      </c>
      <c r="M820" t="s">
        <v>74</v>
      </c>
      <c r="N820">
        <v>2.15</v>
      </c>
      <c r="O820">
        <v>1168</v>
      </c>
      <c r="P820">
        <v>0.38</v>
      </c>
      <c r="Q820">
        <v>91</v>
      </c>
      <c r="R820">
        <v>500</v>
      </c>
    </row>
    <row r="821" spans="1:18" x14ac:dyDescent="0.2">
      <c r="A821">
        <v>8</v>
      </c>
      <c r="B821" t="s">
        <v>106</v>
      </c>
      <c r="C821" t="str">
        <f>VLOOKUP(B821, 'Council Area'!$A$2:$B$51, 2)</f>
        <v>Hornsby Shire Council</v>
      </c>
      <c r="D821" t="str">
        <f>_xlfn.XLOOKUP(B821, 'Council Area'!$A$2:$A$51, 'Council Area'!$B$2:$B$51)</f>
        <v>Hornsby Shire Council</v>
      </c>
      <c r="E821" t="s">
        <v>29</v>
      </c>
      <c r="F821">
        <v>1320577</v>
      </c>
      <c r="G821">
        <v>2</v>
      </c>
      <c r="H821">
        <v>3</v>
      </c>
      <c r="I821">
        <v>470</v>
      </c>
      <c r="J821">
        <v>1966</v>
      </c>
      <c r="K821" s="4">
        <v>45787</v>
      </c>
      <c r="L821" t="s">
        <v>30</v>
      </c>
      <c r="M821" t="s">
        <v>68</v>
      </c>
      <c r="N821">
        <v>1.87</v>
      </c>
      <c r="O821">
        <v>870</v>
      </c>
      <c r="P821">
        <v>1.35</v>
      </c>
      <c r="Q821">
        <v>195</v>
      </c>
      <c r="R821">
        <v>430</v>
      </c>
    </row>
    <row r="822" spans="1:18" hidden="1" x14ac:dyDescent="0.2">
      <c r="A822">
        <v>2</v>
      </c>
      <c r="B822" t="s">
        <v>94</v>
      </c>
      <c r="E822" t="s">
        <v>19</v>
      </c>
      <c r="F822">
        <v>814500</v>
      </c>
      <c r="G822">
        <v>3</v>
      </c>
      <c r="H822">
        <v>1</v>
      </c>
      <c r="I822">
        <v>283</v>
      </c>
      <c r="J822">
        <v>1956</v>
      </c>
      <c r="K822" s="4">
        <v>44161</v>
      </c>
      <c r="L822" t="s">
        <v>20</v>
      </c>
      <c r="M822" t="s">
        <v>68</v>
      </c>
      <c r="N822">
        <v>2.91</v>
      </c>
      <c r="O822">
        <v>1291</v>
      </c>
      <c r="P822">
        <v>1.25</v>
      </c>
      <c r="Q822">
        <v>245</v>
      </c>
      <c r="R822">
        <v>380</v>
      </c>
    </row>
    <row r="823" spans="1:18" hidden="1" x14ac:dyDescent="0.2">
      <c r="A823">
        <v>5</v>
      </c>
      <c r="B823" t="s">
        <v>91</v>
      </c>
      <c r="E823" t="s">
        <v>29</v>
      </c>
      <c r="F823">
        <v>2721842</v>
      </c>
      <c r="G823">
        <v>3</v>
      </c>
      <c r="H823">
        <v>3</v>
      </c>
      <c r="I823">
        <v>112</v>
      </c>
      <c r="J823">
        <v>1970</v>
      </c>
      <c r="K823" s="4">
        <v>44774</v>
      </c>
      <c r="L823" t="s">
        <v>30</v>
      </c>
      <c r="M823" t="s">
        <v>74</v>
      </c>
      <c r="N823">
        <v>2.16</v>
      </c>
      <c r="O823">
        <v>2250</v>
      </c>
      <c r="P823">
        <v>0.79</v>
      </c>
      <c r="Q823">
        <v>267</v>
      </c>
      <c r="R823">
        <v>421</v>
      </c>
    </row>
    <row r="824" spans="1:18" hidden="1" x14ac:dyDescent="0.2">
      <c r="A824">
        <v>1</v>
      </c>
      <c r="B824" t="s">
        <v>98</v>
      </c>
      <c r="E824" t="s">
        <v>19</v>
      </c>
      <c r="F824">
        <v>1979656</v>
      </c>
      <c r="G824">
        <v>3</v>
      </c>
      <c r="H824">
        <v>3</v>
      </c>
      <c r="I824">
        <v>312</v>
      </c>
      <c r="J824">
        <v>2011</v>
      </c>
      <c r="K824" s="4">
        <v>45551</v>
      </c>
      <c r="L824" t="s">
        <v>20</v>
      </c>
      <c r="M824" t="s">
        <v>89</v>
      </c>
      <c r="N824">
        <v>1.98</v>
      </c>
      <c r="O824">
        <v>2042</v>
      </c>
      <c r="P824">
        <v>3.63</v>
      </c>
      <c r="Q824">
        <v>153</v>
      </c>
      <c r="R824">
        <v>554</v>
      </c>
    </row>
    <row r="825" spans="1:18" hidden="1" x14ac:dyDescent="0.2">
      <c r="A825">
        <v>9</v>
      </c>
      <c r="B825" t="s">
        <v>43</v>
      </c>
      <c r="E825" t="s">
        <v>36</v>
      </c>
      <c r="F825">
        <v>1165331</v>
      </c>
      <c r="G825">
        <v>4</v>
      </c>
      <c r="H825">
        <v>1</v>
      </c>
      <c r="I825">
        <v>660</v>
      </c>
      <c r="J825">
        <v>1960</v>
      </c>
      <c r="K825" s="4">
        <v>44299</v>
      </c>
      <c r="L825" t="s">
        <v>23</v>
      </c>
      <c r="M825" t="s">
        <v>97</v>
      </c>
      <c r="N825">
        <v>2.84</v>
      </c>
      <c r="O825">
        <v>1520</v>
      </c>
      <c r="P825">
        <v>0.55000000000000004</v>
      </c>
      <c r="Q825">
        <v>389</v>
      </c>
      <c r="R825">
        <v>356</v>
      </c>
    </row>
    <row r="826" spans="1:18" hidden="1" x14ac:dyDescent="0.2">
      <c r="A826">
        <v>3</v>
      </c>
      <c r="B826" t="s">
        <v>100</v>
      </c>
      <c r="E826" t="s">
        <v>36</v>
      </c>
      <c r="F826">
        <v>2675112</v>
      </c>
      <c r="G826">
        <v>3</v>
      </c>
      <c r="H826">
        <v>2</v>
      </c>
      <c r="I826">
        <v>540</v>
      </c>
      <c r="J826">
        <v>1990</v>
      </c>
      <c r="K826" s="4">
        <v>44164</v>
      </c>
      <c r="L826" t="s">
        <v>30</v>
      </c>
      <c r="M826" t="s">
        <v>60</v>
      </c>
      <c r="N826">
        <v>3.37</v>
      </c>
      <c r="O826">
        <v>1311</v>
      </c>
      <c r="P826">
        <v>0.4</v>
      </c>
      <c r="Q826">
        <v>192</v>
      </c>
      <c r="R826">
        <v>699</v>
      </c>
    </row>
    <row r="827" spans="1:18" hidden="1" x14ac:dyDescent="0.2">
      <c r="A827">
        <v>0</v>
      </c>
      <c r="B827" t="s">
        <v>39</v>
      </c>
      <c r="E827" t="s">
        <v>19</v>
      </c>
      <c r="F827">
        <v>617616</v>
      </c>
      <c r="G827">
        <v>3</v>
      </c>
      <c r="H827">
        <v>2</v>
      </c>
      <c r="I827">
        <v>441</v>
      </c>
      <c r="J827">
        <v>2019</v>
      </c>
      <c r="K827" s="4">
        <v>44372</v>
      </c>
      <c r="L827" t="s">
        <v>20</v>
      </c>
      <c r="M827" t="s">
        <v>66</v>
      </c>
      <c r="N827">
        <v>2.33</v>
      </c>
      <c r="O827">
        <v>1644</v>
      </c>
      <c r="P827">
        <v>0.71</v>
      </c>
      <c r="Q827">
        <v>267</v>
      </c>
      <c r="R827">
        <v>411</v>
      </c>
    </row>
    <row r="828" spans="1:18" hidden="1" x14ac:dyDescent="0.2">
      <c r="A828">
        <v>1</v>
      </c>
      <c r="B828" t="s">
        <v>57</v>
      </c>
      <c r="E828" t="s">
        <v>36</v>
      </c>
      <c r="F828">
        <v>562083</v>
      </c>
      <c r="G828">
        <v>3</v>
      </c>
      <c r="H828">
        <v>1</v>
      </c>
      <c r="I828">
        <v>477</v>
      </c>
      <c r="J828">
        <v>1974</v>
      </c>
      <c r="K828" s="4">
        <v>44449</v>
      </c>
      <c r="L828" t="s">
        <v>23</v>
      </c>
      <c r="M828" t="s">
        <v>59</v>
      </c>
      <c r="N828">
        <v>1.52</v>
      </c>
      <c r="O828">
        <v>1147</v>
      </c>
      <c r="P828">
        <v>4.53</v>
      </c>
      <c r="Q828">
        <v>152</v>
      </c>
      <c r="R828">
        <v>478</v>
      </c>
    </row>
    <row r="829" spans="1:18" hidden="1" x14ac:dyDescent="0.2">
      <c r="A829">
        <v>4</v>
      </c>
      <c r="B829" t="s">
        <v>39</v>
      </c>
      <c r="E829" t="s">
        <v>29</v>
      </c>
      <c r="F829">
        <v>497561</v>
      </c>
      <c r="G829">
        <v>2</v>
      </c>
      <c r="H829">
        <v>3</v>
      </c>
      <c r="I829">
        <v>731</v>
      </c>
      <c r="J829">
        <v>1968</v>
      </c>
      <c r="K829" s="4">
        <v>44429</v>
      </c>
      <c r="L829" t="s">
        <v>26</v>
      </c>
      <c r="M829" t="s">
        <v>76</v>
      </c>
      <c r="N829">
        <v>3.49</v>
      </c>
      <c r="O829">
        <v>1182</v>
      </c>
      <c r="P829">
        <v>2.94</v>
      </c>
      <c r="Q829">
        <v>102</v>
      </c>
      <c r="R829">
        <v>576</v>
      </c>
    </row>
    <row r="830" spans="1:18" hidden="1" x14ac:dyDescent="0.2">
      <c r="A830">
        <v>4</v>
      </c>
      <c r="B830" t="s">
        <v>96</v>
      </c>
      <c r="E830" t="s">
        <v>29</v>
      </c>
      <c r="F830">
        <v>2602715</v>
      </c>
      <c r="G830">
        <v>6</v>
      </c>
      <c r="H830">
        <v>1</v>
      </c>
      <c r="I830">
        <v>63</v>
      </c>
      <c r="J830">
        <v>1993</v>
      </c>
      <c r="K830" s="4">
        <v>44591</v>
      </c>
      <c r="L830" t="s">
        <v>26</v>
      </c>
      <c r="M830" t="s">
        <v>89</v>
      </c>
      <c r="N830">
        <v>3.31</v>
      </c>
      <c r="O830">
        <v>1482</v>
      </c>
      <c r="P830">
        <v>2.06</v>
      </c>
      <c r="Q830">
        <v>381</v>
      </c>
      <c r="R830">
        <v>355</v>
      </c>
    </row>
    <row r="831" spans="1:18" hidden="1" x14ac:dyDescent="0.2">
      <c r="A831">
        <v>4</v>
      </c>
      <c r="B831" t="s">
        <v>71</v>
      </c>
      <c r="E831" t="s">
        <v>51</v>
      </c>
      <c r="F831">
        <v>449276</v>
      </c>
      <c r="G831">
        <v>5</v>
      </c>
      <c r="H831">
        <v>1</v>
      </c>
      <c r="I831">
        <v>748</v>
      </c>
      <c r="J831">
        <v>2008</v>
      </c>
      <c r="K831" s="4">
        <v>45271</v>
      </c>
      <c r="L831" t="s">
        <v>20</v>
      </c>
      <c r="M831" t="s">
        <v>63</v>
      </c>
      <c r="N831">
        <v>2.58</v>
      </c>
      <c r="O831">
        <v>1235</v>
      </c>
      <c r="P831">
        <v>0.84</v>
      </c>
      <c r="Q831">
        <v>400</v>
      </c>
      <c r="R831">
        <v>687</v>
      </c>
    </row>
    <row r="832" spans="1:18" hidden="1" x14ac:dyDescent="0.2">
      <c r="A832">
        <v>4</v>
      </c>
      <c r="B832" t="s">
        <v>96</v>
      </c>
      <c r="E832" t="s">
        <v>29</v>
      </c>
      <c r="F832">
        <v>2672002</v>
      </c>
      <c r="G832">
        <v>2</v>
      </c>
      <c r="H832">
        <v>3</v>
      </c>
      <c r="I832">
        <v>711</v>
      </c>
      <c r="J832">
        <v>1993</v>
      </c>
      <c r="K832" s="4">
        <v>44505</v>
      </c>
      <c r="L832" t="s">
        <v>30</v>
      </c>
      <c r="M832" t="s">
        <v>33</v>
      </c>
      <c r="N832">
        <v>3.21</v>
      </c>
      <c r="O832">
        <v>1139</v>
      </c>
      <c r="P832">
        <v>1.25</v>
      </c>
      <c r="Q832">
        <v>50</v>
      </c>
      <c r="R832">
        <v>532</v>
      </c>
    </row>
    <row r="833" spans="1:18" hidden="1" x14ac:dyDescent="0.2">
      <c r="A833">
        <v>7</v>
      </c>
      <c r="B833" t="s">
        <v>64</v>
      </c>
      <c r="E833" t="s">
        <v>36</v>
      </c>
      <c r="F833">
        <v>872956</v>
      </c>
      <c r="G833">
        <v>2</v>
      </c>
      <c r="H833">
        <v>2</v>
      </c>
      <c r="I833">
        <v>797</v>
      </c>
      <c r="J833">
        <v>2002</v>
      </c>
      <c r="K833" s="4">
        <v>45096</v>
      </c>
      <c r="L833" t="s">
        <v>20</v>
      </c>
      <c r="M833" t="s">
        <v>58</v>
      </c>
      <c r="N833">
        <v>2.2400000000000002</v>
      </c>
      <c r="O833">
        <v>2395</v>
      </c>
      <c r="P833">
        <v>1.2</v>
      </c>
      <c r="Q833">
        <v>136</v>
      </c>
      <c r="R833">
        <v>495</v>
      </c>
    </row>
    <row r="834" spans="1:18" hidden="1" x14ac:dyDescent="0.2">
      <c r="A834">
        <v>4</v>
      </c>
      <c r="B834" t="s">
        <v>92</v>
      </c>
      <c r="E834" t="s">
        <v>19</v>
      </c>
      <c r="F834">
        <v>642612</v>
      </c>
      <c r="G834">
        <v>3</v>
      </c>
      <c r="H834">
        <v>2</v>
      </c>
      <c r="I834">
        <v>849</v>
      </c>
      <c r="J834">
        <v>1958</v>
      </c>
      <c r="K834" s="4">
        <v>45673</v>
      </c>
      <c r="L834" t="s">
        <v>26</v>
      </c>
      <c r="M834" t="s">
        <v>54</v>
      </c>
      <c r="N834">
        <v>1.94</v>
      </c>
      <c r="O834">
        <v>1666</v>
      </c>
      <c r="P834">
        <v>1.08</v>
      </c>
      <c r="Q834">
        <v>290</v>
      </c>
      <c r="R834">
        <v>429</v>
      </c>
    </row>
    <row r="835" spans="1:18" x14ac:dyDescent="0.2">
      <c r="A835">
        <v>8</v>
      </c>
      <c r="B835" t="s">
        <v>48</v>
      </c>
      <c r="C835" t="str">
        <f>VLOOKUP(B835, 'Council Area'!$A$2:$B$51, 2)</f>
        <v>Inner West Council</v>
      </c>
      <c r="D835" t="str">
        <f>_xlfn.XLOOKUP(B835, 'Council Area'!$A$2:$A$51, 'Council Area'!$B$2:$B$51)</f>
        <v>Inner West Council</v>
      </c>
      <c r="E835" t="s">
        <v>51</v>
      </c>
      <c r="F835">
        <v>2626318</v>
      </c>
      <c r="G835">
        <v>4</v>
      </c>
      <c r="H835">
        <v>2</v>
      </c>
      <c r="I835">
        <v>780</v>
      </c>
      <c r="J835">
        <v>1993</v>
      </c>
      <c r="K835" s="4">
        <v>44088</v>
      </c>
      <c r="L835" t="s">
        <v>30</v>
      </c>
      <c r="M835" t="s">
        <v>76</v>
      </c>
      <c r="N835">
        <v>3.15</v>
      </c>
      <c r="O835">
        <v>1382</v>
      </c>
      <c r="P835">
        <v>4.13</v>
      </c>
      <c r="Q835">
        <v>267</v>
      </c>
      <c r="R835">
        <v>441</v>
      </c>
    </row>
    <row r="836" spans="1:18" hidden="1" x14ac:dyDescent="0.2">
      <c r="A836">
        <v>9</v>
      </c>
      <c r="B836" t="s">
        <v>53</v>
      </c>
      <c r="E836" t="s">
        <v>19</v>
      </c>
      <c r="F836">
        <v>1790619</v>
      </c>
      <c r="G836">
        <v>4</v>
      </c>
      <c r="H836">
        <v>2</v>
      </c>
      <c r="I836">
        <v>60</v>
      </c>
      <c r="J836">
        <v>2007</v>
      </c>
      <c r="K836" s="4">
        <v>44275</v>
      </c>
      <c r="L836" t="s">
        <v>26</v>
      </c>
      <c r="M836" t="s">
        <v>56</v>
      </c>
      <c r="N836">
        <v>1.86</v>
      </c>
      <c r="O836">
        <v>1041</v>
      </c>
      <c r="P836">
        <v>1.59</v>
      </c>
      <c r="Q836">
        <v>185</v>
      </c>
      <c r="R836">
        <v>349</v>
      </c>
    </row>
    <row r="837" spans="1:18" x14ac:dyDescent="0.2">
      <c r="A837">
        <v>8</v>
      </c>
      <c r="B837" t="s">
        <v>18</v>
      </c>
      <c r="C837" t="str">
        <f>VLOOKUP(B837, 'Council Area'!$A$2:$B$51, 2)</f>
        <v>Blacktown City Council</v>
      </c>
      <c r="D837" t="str">
        <f>_xlfn.XLOOKUP(B837, 'Council Area'!$A$2:$A$51, 'Council Area'!$B$2:$B$51)</f>
        <v>Blacktown City Council</v>
      </c>
      <c r="E837" t="s">
        <v>29</v>
      </c>
      <c r="F837">
        <v>889504</v>
      </c>
      <c r="G837">
        <v>2</v>
      </c>
      <c r="H837">
        <v>1</v>
      </c>
      <c r="I837">
        <v>70</v>
      </c>
      <c r="J837">
        <v>1993</v>
      </c>
      <c r="K837" s="4">
        <v>44827</v>
      </c>
      <c r="L837" t="s">
        <v>26</v>
      </c>
      <c r="M837" t="s">
        <v>54</v>
      </c>
      <c r="N837">
        <v>2.2799999999999998</v>
      </c>
      <c r="O837">
        <v>1830</v>
      </c>
      <c r="P837">
        <v>2.56</v>
      </c>
      <c r="Q837">
        <v>192</v>
      </c>
      <c r="R837">
        <v>638</v>
      </c>
    </row>
    <row r="838" spans="1:18" hidden="1" x14ac:dyDescent="0.2">
      <c r="A838">
        <v>7</v>
      </c>
      <c r="B838" t="s">
        <v>55</v>
      </c>
      <c r="E838" t="s">
        <v>51</v>
      </c>
      <c r="F838">
        <v>777804</v>
      </c>
      <c r="G838">
        <v>1</v>
      </c>
      <c r="H838">
        <v>3</v>
      </c>
      <c r="I838">
        <v>885</v>
      </c>
      <c r="J838">
        <v>1972</v>
      </c>
      <c r="K838" s="4">
        <v>45488</v>
      </c>
      <c r="L838" t="s">
        <v>23</v>
      </c>
      <c r="M838" t="s">
        <v>85</v>
      </c>
      <c r="N838">
        <v>1.83</v>
      </c>
      <c r="O838">
        <v>940</v>
      </c>
      <c r="P838">
        <v>4.54</v>
      </c>
      <c r="Q838">
        <v>68</v>
      </c>
      <c r="R838">
        <v>397</v>
      </c>
    </row>
    <row r="839" spans="1:18" hidden="1" x14ac:dyDescent="0.2">
      <c r="A839">
        <v>9</v>
      </c>
      <c r="B839" t="s">
        <v>67</v>
      </c>
      <c r="E839" t="s">
        <v>51</v>
      </c>
      <c r="F839">
        <v>1311803</v>
      </c>
      <c r="G839">
        <v>3</v>
      </c>
      <c r="H839">
        <v>2</v>
      </c>
      <c r="I839">
        <v>834</v>
      </c>
      <c r="J839">
        <v>2021</v>
      </c>
      <c r="K839" s="4">
        <v>45116</v>
      </c>
      <c r="L839" t="s">
        <v>30</v>
      </c>
      <c r="M839" t="s">
        <v>69</v>
      </c>
      <c r="N839">
        <v>2.94</v>
      </c>
      <c r="O839">
        <v>2284</v>
      </c>
      <c r="P839">
        <v>0.65</v>
      </c>
      <c r="Q839">
        <v>116</v>
      </c>
      <c r="R839">
        <v>498</v>
      </c>
    </row>
    <row r="840" spans="1:18" hidden="1" x14ac:dyDescent="0.2">
      <c r="A840">
        <v>1</v>
      </c>
      <c r="B840" t="s">
        <v>57</v>
      </c>
      <c r="E840" t="s">
        <v>51</v>
      </c>
      <c r="F840">
        <v>523299</v>
      </c>
      <c r="G840">
        <v>4</v>
      </c>
      <c r="H840">
        <v>1</v>
      </c>
      <c r="I840">
        <v>761</v>
      </c>
      <c r="J840">
        <v>2021</v>
      </c>
      <c r="K840" s="4">
        <v>45864</v>
      </c>
      <c r="L840" t="s">
        <v>26</v>
      </c>
      <c r="M840" t="s">
        <v>21</v>
      </c>
      <c r="N840">
        <v>2.72</v>
      </c>
      <c r="O840">
        <v>1584</v>
      </c>
      <c r="P840">
        <v>4.8600000000000003</v>
      </c>
      <c r="Q840">
        <v>313</v>
      </c>
      <c r="R840">
        <v>578</v>
      </c>
    </row>
    <row r="841" spans="1:18" hidden="1" x14ac:dyDescent="0.2">
      <c r="A841">
        <v>2</v>
      </c>
      <c r="B841" t="s">
        <v>32</v>
      </c>
      <c r="E841" t="s">
        <v>36</v>
      </c>
      <c r="F841">
        <v>941693</v>
      </c>
      <c r="G841">
        <v>5</v>
      </c>
      <c r="H841">
        <v>1</v>
      </c>
      <c r="I841">
        <v>249</v>
      </c>
      <c r="J841">
        <v>1954</v>
      </c>
      <c r="K841" s="4">
        <v>45766</v>
      </c>
      <c r="L841" t="s">
        <v>20</v>
      </c>
      <c r="M841" t="s">
        <v>89</v>
      </c>
      <c r="N841">
        <v>1.8</v>
      </c>
      <c r="O841">
        <v>2408</v>
      </c>
      <c r="P841">
        <v>1.05</v>
      </c>
      <c r="Q841">
        <v>280</v>
      </c>
      <c r="R841">
        <v>560</v>
      </c>
    </row>
    <row r="842" spans="1:18" hidden="1" x14ac:dyDescent="0.2">
      <c r="A842">
        <v>6</v>
      </c>
      <c r="B842" t="s">
        <v>101</v>
      </c>
      <c r="E842" t="s">
        <v>36</v>
      </c>
      <c r="F842">
        <v>1082853</v>
      </c>
      <c r="G842">
        <v>3</v>
      </c>
      <c r="H842">
        <v>1</v>
      </c>
      <c r="I842">
        <v>809</v>
      </c>
      <c r="J842">
        <v>1980</v>
      </c>
      <c r="K842" s="4">
        <v>44103</v>
      </c>
      <c r="L842" t="s">
        <v>26</v>
      </c>
      <c r="M842" t="s">
        <v>47</v>
      </c>
      <c r="N842">
        <v>1.65</v>
      </c>
      <c r="O842">
        <v>1667</v>
      </c>
      <c r="P842">
        <v>0.36</v>
      </c>
      <c r="Q842">
        <v>111</v>
      </c>
      <c r="R842">
        <v>408</v>
      </c>
    </row>
    <row r="843" spans="1:18" hidden="1" x14ac:dyDescent="0.2">
      <c r="A843">
        <v>3</v>
      </c>
      <c r="B843" t="s">
        <v>86</v>
      </c>
      <c r="E843" t="s">
        <v>36</v>
      </c>
      <c r="F843">
        <v>577587</v>
      </c>
      <c r="G843">
        <v>5</v>
      </c>
      <c r="H843">
        <v>3</v>
      </c>
      <c r="I843">
        <v>940</v>
      </c>
      <c r="J843">
        <v>2021</v>
      </c>
      <c r="K843" s="4">
        <v>44676</v>
      </c>
      <c r="L843" t="s">
        <v>20</v>
      </c>
      <c r="M843" t="s">
        <v>69</v>
      </c>
      <c r="N843">
        <v>3.35</v>
      </c>
      <c r="O843">
        <v>2465</v>
      </c>
      <c r="P843">
        <v>0.96</v>
      </c>
      <c r="Q843">
        <v>280</v>
      </c>
      <c r="R843">
        <v>590</v>
      </c>
    </row>
    <row r="844" spans="1:18" hidden="1" x14ac:dyDescent="0.2">
      <c r="A844">
        <v>9</v>
      </c>
      <c r="B844" t="s">
        <v>46</v>
      </c>
      <c r="E844" t="s">
        <v>29</v>
      </c>
      <c r="F844">
        <v>1604522</v>
      </c>
      <c r="G844">
        <v>3</v>
      </c>
      <c r="H844">
        <v>1</v>
      </c>
      <c r="I844">
        <v>680</v>
      </c>
      <c r="J844">
        <v>2013</v>
      </c>
      <c r="K844" s="4">
        <v>44877</v>
      </c>
      <c r="L844" t="s">
        <v>20</v>
      </c>
      <c r="M844" t="s">
        <v>74</v>
      </c>
      <c r="N844">
        <v>1.65</v>
      </c>
      <c r="O844">
        <v>2155</v>
      </c>
      <c r="P844">
        <v>4.67</v>
      </c>
      <c r="Q844">
        <v>274</v>
      </c>
      <c r="R844">
        <v>591</v>
      </c>
    </row>
    <row r="845" spans="1:18" hidden="1" x14ac:dyDescent="0.2">
      <c r="A845">
        <v>5</v>
      </c>
      <c r="B845" t="s">
        <v>18</v>
      </c>
      <c r="E845" t="s">
        <v>29</v>
      </c>
      <c r="F845">
        <v>1439744</v>
      </c>
      <c r="G845">
        <v>2</v>
      </c>
      <c r="H845">
        <v>1</v>
      </c>
      <c r="I845">
        <v>637</v>
      </c>
      <c r="J845">
        <v>1974</v>
      </c>
      <c r="K845" s="4">
        <v>45083</v>
      </c>
      <c r="L845" t="s">
        <v>23</v>
      </c>
      <c r="M845" t="s">
        <v>70</v>
      </c>
      <c r="N845">
        <v>3.29</v>
      </c>
      <c r="O845">
        <v>2151</v>
      </c>
      <c r="P845">
        <v>1</v>
      </c>
      <c r="Q845">
        <v>201</v>
      </c>
      <c r="R845">
        <v>683</v>
      </c>
    </row>
    <row r="846" spans="1:18" x14ac:dyDescent="0.2">
      <c r="A846">
        <v>8</v>
      </c>
      <c r="B846" t="s">
        <v>49</v>
      </c>
      <c r="C846" t="str">
        <f>VLOOKUP(B846, 'Council Area'!$A$2:$B$51, 2)</f>
        <v>Inner West Council</v>
      </c>
      <c r="D846" t="str">
        <f>_xlfn.XLOOKUP(B846, 'Council Area'!$A$2:$A$51, 'Council Area'!$B$2:$B$51)</f>
        <v>Inner West Council</v>
      </c>
      <c r="E846" t="s">
        <v>51</v>
      </c>
      <c r="F846">
        <v>2685724</v>
      </c>
      <c r="G846">
        <v>4</v>
      </c>
      <c r="H846">
        <v>3</v>
      </c>
      <c r="I846">
        <v>265</v>
      </c>
      <c r="J846">
        <v>1986</v>
      </c>
      <c r="K846" s="4">
        <v>45227</v>
      </c>
      <c r="L846" t="s">
        <v>26</v>
      </c>
      <c r="M846" t="s">
        <v>85</v>
      </c>
      <c r="N846">
        <v>2.14</v>
      </c>
      <c r="O846">
        <v>1857</v>
      </c>
      <c r="P846">
        <v>1.71</v>
      </c>
      <c r="Q846">
        <v>272</v>
      </c>
      <c r="R846">
        <v>358</v>
      </c>
    </row>
    <row r="847" spans="1:18" hidden="1" x14ac:dyDescent="0.2">
      <c r="A847">
        <v>6</v>
      </c>
      <c r="B847" t="s">
        <v>71</v>
      </c>
      <c r="E847" t="s">
        <v>36</v>
      </c>
      <c r="F847">
        <v>2950092</v>
      </c>
      <c r="G847">
        <v>3</v>
      </c>
      <c r="H847">
        <v>2</v>
      </c>
      <c r="I847">
        <v>194</v>
      </c>
      <c r="J847">
        <v>1976</v>
      </c>
      <c r="K847" s="4">
        <v>45879</v>
      </c>
      <c r="L847" t="s">
        <v>26</v>
      </c>
      <c r="M847" t="s">
        <v>31</v>
      </c>
      <c r="N847">
        <v>2.2200000000000002</v>
      </c>
      <c r="O847">
        <v>2315</v>
      </c>
      <c r="P847">
        <v>1.3</v>
      </c>
      <c r="Q847">
        <v>296</v>
      </c>
      <c r="R847">
        <v>447</v>
      </c>
    </row>
    <row r="848" spans="1:18" hidden="1" x14ac:dyDescent="0.2">
      <c r="A848">
        <v>7</v>
      </c>
      <c r="B848" t="s">
        <v>50</v>
      </c>
      <c r="E848" t="s">
        <v>29</v>
      </c>
      <c r="F848">
        <v>2483883</v>
      </c>
      <c r="G848">
        <v>4</v>
      </c>
      <c r="H848">
        <v>1</v>
      </c>
      <c r="I848">
        <v>613</v>
      </c>
      <c r="J848">
        <v>2017</v>
      </c>
      <c r="K848" s="4">
        <v>45488</v>
      </c>
      <c r="L848" t="s">
        <v>20</v>
      </c>
      <c r="M848" t="s">
        <v>27</v>
      </c>
      <c r="N848">
        <v>1.59</v>
      </c>
      <c r="O848">
        <v>1213</v>
      </c>
      <c r="P848">
        <v>2.64</v>
      </c>
      <c r="Q848">
        <v>207</v>
      </c>
      <c r="R848">
        <v>510</v>
      </c>
    </row>
    <row r="849" spans="1:18" hidden="1" x14ac:dyDescent="0.2">
      <c r="A849">
        <v>9</v>
      </c>
      <c r="B849" t="s">
        <v>96</v>
      </c>
      <c r="E849" t="s">
        <v>36</v>
      </c>
      <c r="F849">
        <v>411759</v>
      </c>
      <c r="G849">
        <v>4</v>
      </c>
      <c r="H849">
        <v>2</v>
      </c>
      <c r="I849">
        <v>115</v>
      </c>
      <c r="J849">
        <v>1950</v>
      </c>
      <c r="K849" s="4">
        <v>45106</v>
      </c>
      <c r="L849" t="s">
        <v>23</v>
      </c>
      <c r="M849" t="s">
        <v>58</v>
      </c>
      <c r="N849">
        <v>2.09</v>
      </c>
      <c r="O849">
        <v>1581</v>
      </c>
      <c r="P849">
        <v>2.25</v>
      </c>
      <c r="Q849">
        <v>259</v>
      </c>
      <c r="R849">
        <v>412</v>
      </c>
    </row>
    <row r="850" spans="1:18" hidden="1" x14ac:dyDescent="0.2">
      <c r="A850">
        <v>3</v>
      </c>
      <c r="B850" t="s">
        <v>98</v>
      </c>
      <c r="E850" t="s">
        <v>36</v>
      </c>
      <c r="F850">
        <v>2671143</v>
      </c>
      <c r="G850">
        <v>2</v>
      </c>
      <c r="H850">
        <v>1</v>
      </c>
      <c r="I850">
        <v>188</v>
      </c>
      <c r="J850">
        <v>1964</v>
      </c>
      <c r="K850" s="4">
        <v>45616</v>
      </c>
      <c r="L850" t="s">
        <v>26</v>
      </c>
      <c r="M850" t="s">
        <v>54</v>
      </c>
      <c r="N850">
        <v>2.73</v>
      </c>
      <c r="O850">
        <v>1460</v>
      </c>
      <c r="P850">
        <v>4.92</v>
      </c>
      <c r="Q850">
        <v>227</v>
      </c>
      <c r="R850">
        <v>451</v>
      </c>
    </row>
    <row r="851" spans="1:18" hidden="1" x14ac:dyDescent="0.2">
      <c r="A851">
        <v>4</v>
      </c>
      <c r="B851" t="s">
        <v>64</v>
      </c>
      <c r="E851" t="s">
        <v>36</v>
      </c>
      <c r="F851">
        <v>1537670</v>
      </c>
      <c r="G851">
        <v>3</v>
      </c>
      <c r="H851">
        <v>2</v>
      </c>
      <c r="I851">
        <v>661</v>
      </c>
      <c r="J851">
        <v>1974</v>
      </c>
      <c r="K851" s="4">
        <v>44176</v>
      </c>
      <c r="L851" t="s">
        <v>26</v>
      </c>
      <c r="M851" t="s">
        <v>37</v>
      </c>
      <c r="N851">
        <v>2.97</v>
      </c>
      <c r="O851">
        <v>974</v>
      </c>
      <c r="P851">
        <v>0.61</v>
      </c>
      <c r="Q851">
        <v>146</v>
      </c>
      <c r="R851">
        <v>589</v>
      </c>
    </row>
    <row r="852" spans="1:18" hidden="1" x14ac:dyDescent="0.2">
      <c r="A852">
        <v>4</v>
      </c>
      <c r="B852" t="s">
        <v>80</v>
      </c>
      <c r="E852" t="s">
        <v>51</v>
      </c>
      <c r="F852">
        <v>1179414</v>
      </c>
      <c r="G852">
        <v>2</v>
      </c>
      <c r="H852">
        <v>2</v>
      </c>
      <c r="I852">
        <v>963</v>
      </c>
      <c r="J852">
        <v>1957</v>
      </c>
      <c r="K852" s="4">
        <v>44672</v>
      </c>
      <c r="L852" t="s">
        <v>20</v>
      </c>
      <c r="M852" t="s">
        <v>27</v>
      </c>
      <c r="N852">
        <v>2.4900000000000002</v>
      </c>
      <c r="O852">
        <v>1397</v>
      </c>
      <c r="P852">
        <v>4.6399999999999997</v>
      </c>
      <c r="Q852">
        <v>63</v>
      </c>
      <c r="R852">
        <v>491</v>
      </c>
    </row>
    <row r="853" spans="1:18" hidden="1" x14ac:dyDescent="0.2">
      <c r="A853">
        <v>5</v>
      </c>
      <c r="B853" t="s">
        <v>96</v>
      </c>
      <c r="E853" t="s">
        <v>36</v>
      </c>
      <c r="F853">
        <v>1399943</v>
      </c>
      <c r="G853">
        <v>3</v>
      </c>
      <c r="H853">
        <v>1</v>
      </c>
      <c r="I853">
        <v>391</v>
      </c>
      <c r="J853">
        <v>1953</v>
      </c>
      <c r="K853" s="4">
        <v>45886</v>
      </c>
      <c r="L853" t="s">
        <v>20</v>
      </c>
      <c r="M853" t="s">
        <v>60</v>
      </c>
      <c r="N853">
        <v>3.02</v>
      </c>
      <c r="O853">
        <v>2486</v>
      </c>
      <c r="P853">
        <v>4.66</v>
      </c>
      <c r="Q853">
        <v>219</v>
      </c>
      <c r="R853">
        <v>668</v>
      </c>
    </row>
    <row r="854" spans="1:18" hidden="1" x14ac:dyDescent="0.2">
      <c r="A854">
        <v>0</v>
      </c>
      <c r="B854" t="s">
        <v>50</v>
      </c>
      <c r="E854" t="s">
        <v>51</v>
      </c>
      <c r="F854">
        <v>2101608</v>
      </c>
      <c r="G854">
        <v>6</v>
      </c>
      <c r="H854">
        <v>2</v>
      </c>
      <c r="I854">
        <v>718</v>
      </c>
      <c r="J854">
        <v>2001</v>
      </c>
      <c r="K854" s="4">
        <v>45726</v>
      </c>
      <c r="L854" t="s">
        <v>23</v>
      </c>
      <c r="M854" t="s">
        <v>59</v>
      </c>
      <c r="N854">
        <v>2.64</v>
      </c>
      <c r="O854">
        <v>1800</v>
      </c>
      <c r="P854">
        <v>0.78</v>
      </c>
      <c r="Q854">
        <v>393</v>
      </c>
      <c r="R854">
        <v>665</v>
      </c>
    </row>
    <row r="855" spans="1:18" hidden="1" x14ac:dyDescent="0.2">
      <c r="A855">
        <v>0</v>
      </c>
      <c r="B855" t="s">
        <v>99</v>
      </c>
      <c r="E855" t="s">
        <v>51</v>
      </c>
      <c r="F855">
        <v>1161285</v>
      </c>
      <c r="G855">
        <v>5</v>
      </c>
      <c r="H855">
        <v>3</v>
      </c>
      <c r="I855">
        <v>219</v>
      </c>
      <c r="J855">
        <v>1973</v>
      </c>
      <c r="K855" s="4">
        <v>44457</v>
      </c>
      <c r="L855" t="s">
        <v>20</v>
      </c>
      <c r="M855" t="s">
        <v>89</v>
      </c>
      <c r="N855">
        <v>2.92</v>
      </c>
      <c r="O855">
        <v>1544</v>
      </c>
      <c r="P855">
        <v>4.78</v>
      </c>
      <c r="Q855">
        <v>300</v>
      </c>
      <c r="R855">
        <v>458</v>
      </c>
    </row>
    <row r="856" spans="1:18" hidden="1" x14ac:dyDescent="0.2">
      <c r="A856">
        <v>3</v>
      </c>
      <c r="B856" t="s">
        <v>105</v>
      </c>
      <c r="E856" t="s">
        <v>19</v>
      </c>
      <c r="F856">
        <v>2812328</v>
      </c>
      <c r="G856">
        <v>3</v>
      </c>
      <c r="H856">
        <v>3</v>
      </c>
      <c r="I856">
        <v>351</v>
      </c>
      <c r="J856">
        <v>1984</v>
      </c>
      <c r="K856" s="4">
        <v>44798</v>
      </c>
      <c r="L856" t="s">
        <v>20</v>
      </c>
      <c r="M856" t="s">
        <v>63</v>
      </c>
      <c r="N856">
        <v>2.91</v>
      </c>
      <c r="O856">
        <v>1482</v>
      </c>
      <c r="P856">
        <v>3.7</v>
      </c>
      <c r="Q856">
        <v>183</v>
      </c>
      <c r="R856">
        <v>627</v>
      </c>
    </row>
    <row r="857" spans="1:18" hidden="1" x14ac:dyDescent="0.2">
      <c r="A857">
        <v>5</v>
      </c>
      <c r="B857" t="s">
        <v>72</v>
      </c>
      <c r="E857" t="s">
        <v>29</v>
      </c>
      <c r="F857">
        <v>439011</v>
      </c>
      <c r="G857">
        <v>0</v>
      </c>
      <c r="H857">
        <v>1</v>
      </c>
      <c r="I857">
        <v>912</v>
      </c>
      <c r="J857">
        <v>1998</v>
      </c>
      <c r="K857" s="4">
        <v>45121</v>
      </c>
      <c r="L857" t="s">
        <v>26</v>
      </c>
      <c r="M857" t="s">
        <v>35</v>
      </c>
      <c r="N857">
        <v>1.6</v>
      </c>
      <c r="O857">
        <v>1636</v>
      </c>
      <c r="P857">
        <v>4.71</v>
      </c>
      <c r="Q857">
        <v>63</v>
      </c>
      <c r="R857">
        <v>422</v>
      </c>
    </row>
    <row r="858" spans="1:18" hidden="1" x14ac:dyDescent="0.2">
      <c r="A858">
        <v>0</v>
      </c>
      <c r="B858" t="s">
        <v>64</v>
      </c>
      <c r="E858" t="s">
        <v>29</v>
      </c>
      <c r="F858">
        <v>1283308</v>
      </c>
      <c r="G858">
        <v>2</v>
      </c>
      <c r="H858">
        <v>3</v>
      </c>
      <c r="I858">
        <v>891</v>
      </c>
      <c r="J858">
        <v>1987</v>
      </c>
      <c r="K858" s="4">
        <v>45497</v>
      </c>
      <c r="L858" t="s">
        <v>23</v>
      </c>
      <c r="M858" t="s">
        <v>31</v>
      </c>
      <c r="N858">
        <v>3.06</v>
      </c>
      <c r="O858">
        <v>2355</v>
      </c>
      <c r="P858">
        <v>1.72</v>
      </c>
      <c r="Q858">
        <v>213</v>
      </c>
      <c r="R858">
        <v>488</v>
      </c>
    </row>
    <row r="859" spans="1:18" hidden="1" x14ac:dyDescent="0.2">
      <c r="A859">
        <v>4</v>
      </c>
      <c r="B859" t="s">
        <v>53</v>
      </c>
      <c r="E859" t="s">
        <v>19</v>
      </c>
      <c r="F859">
        <v>2246974</v>
      </c>
      <c r="G859">
        <v>4</v>
      </c>
      <c r="H859">
        <v>3</v>
      </c>
      <c r="I859">
        <v>293</v>
      </c>
      <c r="J859">
        <v>2010</v>
      </c>
      <c r="K859" s="4">
        <v>44478</v>
      </c>
      <c r="L859" t="s">
        <v>23</v>
      </c>
      <c r="M859" t="s">
        <v>31</v>
      </c>
      <c r="N859">
        <v>1.93</v>
      </c>
      <c r="O859">
        <v>1093</v>
      </c>
      <c r="P859">
        <v>3.77</v>
      </c>
      <c r="Q859">
        <v>361</v>
      </c>
      <c r="R859">
        <v>674</v>
      </c>
    </row>
    <row r="860" spans="1:18" hidden="1" x14ac:dyDescent="0.2">
      <c r="A860">
        <v>6</v>
      </c>
      <c r="B860" t="s">
        <v>44</v>
      </c>
      <c r="E860" t="s">
        <v>51</v>
      </c>
      <c r="F860">
        <v>514956</v>
      </c>
      <c r="G860">
        <v>4</v>
      </c>
      <c r="H860">
        <v>2</v>
      </c>
      <c r="I860">
        <v>807</v>
      </c>
      <c r="J860">
        <v>2011</v>
      </c>
      <c r="K860" s="4">
        <v>45193</v>
      </c>
      <c r="L860" t="s">
        <v>26</v>
      </c>
      <c r="M860" t="s">
        <v>52</v>
      </c>
      <c r="N860">
        <v>2.17</v>
      </c>
      <c r="O860">
        <v>1300</v>
      </c>
      <c r="P860">
        <v>3.15</v>
      </c>
      <c r="Q860">
        <v>235</v>
      </c>
      <c r="R860">
        <v>645</v>
      </c>
    </row>
    <row r="861" spans="1:18" hidden="1" x14ac:dyDescent="0.2">
      <c r="A861">
        <v>6</v>
      </c>
      <c r="B861" t="s">
        <v>84</v>
      </c>
      <c r="E861" t="s">
        <v>19</v>
      </c>
      <c r="F861">
        <v>489121</v>
      </c>
      <c r="G861">
        <v>4</v>
      </c>
      <c r="H861">
        <v>1</v>
      </c>
      <c r="I861">
        <v>404</v>
      </c>
      <c r="J861">
        <v>1971</v>
      </c>
      <c r="K861" s="4">
        <v>45756</v>
      </c>
      <c r="L861" t="s">
        <v>20</v>
      </c>
      <c r="M861" t="s">
        <v>59</v>
      </c>
      <c r="N861">
        <v>2.98</v>
      </c>
      <c r="O861">
        <v>897</v>
      </c>
      <c r="P861">
        <v>3.11</v>
      </c>
      <c r="Q861">
        <v>233</v>
      </c>
      <c r="R861">
        <v>507</v>
      </c>
    </row>
    <row r="862" spans="1:18" hidden="1" x14ac:dyDescent="0.2">
      <c r="A862">
        <v>5</v>
      </c>
      <c r="B862" t="s">
        <v>48</v>
      </c>
      <c r="E862" t="s">
        <v>51</v>
      </c>
      <c r="F862">
        <v>1620363</v>
      </c>
      <c r="G862">
        <v>2</v>
      </c>
      <c r="H862">
        <v>2</v>
      </c>
      <c r="I862">
        <v>454</v>
      </c>
      <c r="J862">
        <v>1995</v>
      </c>
      <c r="K862" s="4">
        <v>45396</v>
      </c>
      <c r="L862" t="s">
        <v>20</v>
      </c>
      <c r="M862" t="s">
        <v>97</v>
      </c>
      <c r="N862">
        <v>1.97</v>
      </c>
      <c r="O862">
        <v>1061</v>
      </c>
      <c r="P862">
        <v>1.22</v>
      </c>
      <c r="Q862">
        <v>200</v>
      </c>
      <c r="R862">
        <v>391</v>
      </c>
    </row>
    <row r="863" spans="1:18" hidden="1" x14ac:dyDescent="0.2">
      <c r="A863">
        <v>7</v>
      </c>
      <c r="B863" t="s">
        <v>88</v>
      </c>
      <c r="E863" t="s">
        <v>51</v>
      </c>
      <c r="F863">
        <v>1206987</v>
      </c>
      <c r="G863">
        <v>5</v>
      </c>
      <c r="H863">
        <v>1</v>
      </c>
      <c r="I863">
        <v>940</v>
      </c>
      <c r="J863">
        <v>1953</v>
      </c>
      <c r="K863" s="4">
        <v>44140</v>
      </c>
      <c r="L863" t="s">
        <v>23</v>
      </c>
      <c r="M863" t="s">
        <v>21</v>
      </c>
      <c r="N863">
        <v>2.11</v>
      </c>
      <c r="O863">
        <v>1826</v>
      </c>
      <c r="P863">
        <v>4.3600000000000003</v>
      </c>
      <c r="Q863">
        <v>367</v>
      </c>
      <c r="R863">
        <v>685</v>
      </c>
    </row>
    <row r="864" spans="1:18" hidden="1" x14ac:dyDescent="0.2">
      <c r="A864">
        <v>5</v>
      </c>
      <c r="B864" t="s">
        <v>28</v>
      </c>
      <c r="E864" t="s">
        <v>36</v>
      </c>
      <c r="F864">
        <v>1353275</v>
      </c>
      <c r="G864">
        <v>3</v>
      </c>
      <c r="H864">
        <v>2</v>
      </c>
      <c r="I864">
        <v>369</v>
      </c>
      <c r="J864">
        <v>1986</v>
      </c>
      <c r="K864" s="4">
        <v>44417</v>
      </c>
      <c r="L864" t="s">
        <v>30</v>
      </c>
      <c r="M864" t="s">
        <v>68</v>
      </c>
      <c r="N864">
        <v>2.35</v>
      </c>
      <c r="O864">
        <v>1062</v>
      </c>
      <c r="P864">
        <v>4.08</v>
      </c>
      <c r="Q864">
        <v>258</v>
      </c>
      <c r="R864">
        <v>360</v>
      </c>
    </row>
    <row r="865" spans="1:18" hidden="1" x14ac:dyDescent="0.2">
      <c r="A865">
        <v>4</v>
      </c>
      <c r="B865" t="s">
        <v>32</v>
      </c>
      <c r="E865" t="s">
        <v>36</v>
      </c>
      <c r="F865">
        <v>2975270</v>
      </c>
      <c r="G865">
        <v>1</v>
      </c>
      <c r="H865">
        <v>3</v>
      </c>
      <c r="I865">
        <v>773</v>
      </c>
      <c r="J865">
        <v>1995</v>
      </c>
      <c r="K865" s="4">
        <v>44658</v>
      </c>
      <c r="L865" t="s">
        <v>20</v>
      </c>
      <c r="M865" t="s">
        <v>97</v>
      </c>
      <c r="N865">
        <v>3.4</v>
      </c>
      <c r="O865">
        <v>1338</v>
      </c>
      <c r="P865">
        <v>0.75</v>
      </c>
      <c r="Q865">
        <v>152</v>
      </c>
      <c r="R865">
        <v>472</v>
      </c>
    </row>
    <row r="866" spans="1:18" hidden="1" x14ac:dyDescent="0.2">
      <c r="A866">
        <v>6</v>
      </c>
      <c r="B866" t="s">
        <v>71</v>
      </c>
      <c r="E866" t="s">
        <v>51</v>
      </c>
      <c r="F866">
        <v>874019</v>
      </c>
      <c r="G866">
        <v>2</v>
      </c>
      <c r="H866">
        <v>1</v>
      </c>
      <c r="I866">
        <v>116</v>
      </c>
      <c r="J866">
        <v>1985</v>
      </c>
      <c r="K866" s="4">
        <v>45290</v>
      </c>
      <c r="L866" t="s">
        <v>26</v>
      </c>
      <c r="M866" t="s">
        <v>85</v>
      </c>
      <c r="N866">
        <v>3.39</v>
      </c>
      <c r="O866">
        <v>1752</v>
      </c>
      <c r="P866">
        <v>1.47</v>
      </c>
      <c r="Q866">
        <v>148</v>
      </c>
      <c r="R866">
        <v>594</v>
      </c>
    </row>
    <row r="867" spans="1:18" hidden="1" x14ac:dyDescent="0.2">
      <c r="A867">
        <v>3</v>
      </c>
      <c r="B867" t="s">
        <v>67</v>
      </c>
      <c r="E867" t="s">
        <v>19</v>
      </c>
      <c r="F867">
        <v>1773428</v>
      </c>
      <c r="G867">
        <v>5</v>
      </c>
      <c r="H867">
        <v>1</v>
      </c>
      <c r="I867">
        <v>399</v>
      </c>
      <c r="J867">
        <v>1973</v>
      </c>
      <c r="K867" s="4">
        <v>45129</v>
      </c>
      <c r="L867" t="s">
        <v>30</v>
      </c>
      <c r="M867" t="s">
        <v>21</v>
      </c>
      <c r="N867">
        <v>2.75</v>
      </c>
      <c r="O867">
        <v>996</v>
      </c>
      <c r="P867">
        <v>0.11</v>
      </c>
      <c r="Q867">
        <v>368</v>
      </c>
      <c r="R867">
        <v>401</v>
      </c>
    </row>
    <row r="868" spans="1:18" hidden="1" x14ac:dyDescent="0.2">
      <c r="A868">
        <v>5</v>
      </c>
      <c r="B868" t="s">
        <v>64</v>
      </c>
      <c r="E868" t="s">
        <v>19</v>
      </c>
      <c r="F868">
        <v>494355</v>
      </c>
      <c r="G868">
        <v>6</v>
      </c>
      <c r="H868">
        <v>3</v>
      </c>
      <c r="I868">
        <v>78</v>
      </c>
      <c r="J868">
        <v>1998</v>
      </c>
      <c r="K868" s="4">
        <v>44937</v>
      </c>
      <c r="L868" t="s">
        <v>23</v>
      </c>
      <c r="M868" t="s">
        <v>59</v>
      </c>
      <c r="N868">
        <v>3.1</v>
      </c>
      <c r="O868">
        <v>2398</v>
      </c>
      <c r="P868">
        <v>2.9</v>
      </c>
      <c r="Q868">
        <v>378</v>
      </c>
      <c r="R868">
        <v>393</v>
      </c>
    </row>
    <row r="869" spans="1:18" hidden="1" x14ac:dyDescent="0.2">
      <c r="A869">
        <v>9</v>
      </c>
      <c r="B869" t="s">
        <v>75</v>
      </c>
      <c r="E869" t="s">
        <v>19</v>
      </c>
      <c r="F869">
        <v>2451704</v>
      </c>
      <c r="G869">
        <v>5</v>
      </c>
      <c r="H869">
        <v>1</v>
      </c>
      <c r="I869">
        <v>113</v>
      </c>
      <c r="J869">
        <v>1968</v>
      </c>
      <c r="K869" s="4">
        <v>44187</v>
      </c>
      <c r="L869" t="s">
        <v>30</v>
      </c>
      <c r="M869" t="s">
        <v>76</v>
      </c>
      <c r="N869">
        <v>3.07</v>
      </c>
      <c r="O869">
        <v>1989</v>
      </c>
      <c r="P869">
        <v>4.22</v>
      </c>
      <c r="Q869">
        <v>385</v>
      </c>
      <c r="R869">
        <v>378</v>
      </c>
    </row>
    <row r="870" spans="1:18" hidden="1" x14ac:dyDescent="0.2">
      <c r="A870">
        <v>4</v>
      </c>
      <c r="B870" t="s">
        <v>94</v>
      </c>
      <c r="E870" t="s">
        <v>19</v>
      </c>
      <c r="F870">
        <v>1942090</v>
      </c>
      <c r="G870">
        <v>5</v>
      </c>
      <c r="H870">
        <v>1</v>
      </c>
      <c r="I870">
        <v>553</v>
      </c>
      <c r="J870">
        <v>1955</v>
      </c>
      <c r="K870" s="4">
        <v>44524</v>
      </c>
      <c r="L870" t="s">
        <v>30</v>
      </c>
      <c r="M870" t="s">
        <v>85</v>
      </c>
      <c r="N870">
        <v>3.45</v>
      </c>
      <c r="O870">
        <v>1151</v>
      </c>
      <c r="P870">
        <v>3.2</v>
      </c>
      <c r="Q870">
        <v>333</v>
      </c>
      <c r="R870">
        <v>335</v>
      </c>
    </row>
    <row r="871" spans="1:18" hidden="1" x14ac:dyDescent="0.2">
      <c r="A871">
        <v>5</v>
      </c>
      <c r="B871" t="s">
        <v>57</v>
      </c>
      <c r="E871" t="s">
        <v>29</v>
      </c>
      <c r="F871">
        <v>2674655</v>
      </c>
      <c r="G871">
        <v>1</v>
      </c>
      <c r="H871">
        <v>3</v>
      </c>
      <c r="I871">
        <v>116</v>
      </c>
      <c r="J871">
        <v>1989</v>
      </c>
      <c r="K871" s="4">
        <v>44647</v>
      </c>
      <c r="L871" t="s">
        <v>20</v>
      </c>
      <c r="M871" t="s">
        <v>78</v>
      </c>
      <c r="N871">
        <v>2.63</v>
      </c>
      <c r="O871">
        <v>1511</v>
      </c>
      <c r="P871">
        <v>0.5</v>
      </c>
      <c r="Q871">
        <v>66</v>
      </c>
      <c r="R871">
        <v>423</v>
      </c>
    </row>
    <row r="872" spans="1:18" hidden="1" x14ac:dyDescent="0.2">
      <c r="A872">
        <v>5</v>
      </c>
      <c r="B872" t="s">
        <v>72</v>
      </c>
      <c r="E872" t="s">
        <v>19</v>
      </c>
      <c r="F872">
        <v>2538305</v>
      </c>
      <c r="G872">
        <v>5</v>
      </c>
      <c r="H872">
        <v>2</v>
      </c>
      <c r="I872">
        <v>829</v>
      </c>
      <c r="J872">
        <v>1951</v>
      </c>
      <c r="K872" s="4">
        <v>45530</v>
      </c>
      <c r="L872" t="s">
        <v>26</v>
      </c>
      <c r="M872" t="s">
        <v>63</v>
      </c>
      <c r="N872">
        <v>2.87</v>
      </c>
      <c r="O872">
        <v>1637</v>
      </c>
      <c r="P872">
        <v>1.53</v>
      </c>
      <c r="Q872">
        <v>347</v>
      </c>
      <c r="R872">
        <v>591</v>
      </c>
    </row>
    <row r="873" spans="1:18" hidden="1" x14ac:dyDescent="0.2">
      <c r="A873">
        <v>9</v>
      </c>
      <c r="B873" t="s">
        <v>81</v>
      </c>
      <c r="E873" t="s">
        <v>36</v>
      </c>
      <c r="F873">
        <v>1137675</v>
      </c>
      <c r="G873">
        <v>4</v>
      </c>
      <c r="H873">
        <v>1</v>
      </c>
      <c r="I873">
        <v>183</v>
      </c>
      <c r="J873">
        <v>1955</v>
      </c>
      <c r="K873" s="4">
        <v>45260</v>
      </c>
      <c r="L873" t="s">
        <v>30</v>
      </c>
      <c r="M873" t="s">
        <v>31</v>
      </c>
      <c r="N873">
        <v>1.77</v>
      </c>
      <c r="O873">
        <v>1739</v>
      </c>
      <c r="P873">
        <v>2.73</v>
      </c>
      <c r="Q873">
        <v>400</v>
      </c>
      <c r="R873">
        <v>401</v>
      </c>
    </row>
    <row r="874" spans="1:18" hidden="1" x14ac:dyDescent="0.2">
      <c r="A874">
        <v>0</v>
      </c>
      <c r="B874" t="s">
        <v>43</v>
      </c>
      <c r="E874" t="s">
        <v>29</v>
      </c>
      <c r="F874">
        <v>1857850</v>
      </c>
      <c r="G874">
        <v>2</v>
      </c>
      <c r="H874">
        <v>2</v>
      </c>
      <c r="I874">
        <v>238</v>
      </c>
      <c r="J874">
        <v>1960</v>
      </c>
      <c r="K874" s="4">
        <v>44093</v>
      </c>
      <c r="L874" t="s">
        <v>30</v>
      </c>
      <c r="M874" t="s">
        <v>35</v>
      </c>
      <c r="N874">
        <v>2.9</v>
      </c>
      <c r="O874">
        <v>1630</v>
      </c>
      <c r="P874">
        <v>0.79</v>
      </c>
      <c r="Q874">
        <v>212</v>
      </c>
      <c r="R874">
        <v>354</v>
      </c>
    </row>
    <row r="875" spans="1:18" hidden="1" x14ac:dyDescent="0.2">
      <c r="A875">
        <v>6</v>
      </c>
      <c r="B875" t="s">
        <v>102</v>
      </c>
      <c r="E875" t="s">
        <v>51</v>
      </c>
      <c r="F875">
        <v>2618501</v>
      </c>
      <c r="G875">
        <v>2</v>
      </c>
      <c r="H875">
        <v>1</v>
      </c>
      <c r="I875">
        <v>805</v>
      </c>
      <c r="J875">
        <v>2017</v>
      </c>
      <c r="K875" s="4">
        <v>44794</v>
      </c>
      <c r="L875" t="s">
        <v>20</v>
      </c>
      <c r="M875" t="s">
        <v>68</v>
      </c>
      <c r="N875">
        <v>2.58</v>
      </c>
      <c r="O875">
        <v>972</v>
      </c>
      <c r="P875">
        <v>0.14000000000000001</v>
      </c>
      <c r="Q875">
        <v>210</v>
      </c>
      <c r="R875">
        <v>472</v>
      </c>
    </row>
    <row r="876" spans="1:18" hidden="1" x14ac:dyDescent="0.2">
      <c r="A876">
        <v>0</v>
      </c>
      <c r="B876" t="s">
        <v>46</v>
      </c>
      <c r="E876" t="s">
        <v>36</v>
      </c>
      <c r="F876">
        <v>2306214</v>
      </c>
      <c r="G876">
        <v>1</v>
      </c>
      <c r="H876">
        <v>2</v>
      </c>
      <c r="I876">
        <v>788</v>
      </c>
      <c r="J876">
        <v>2002</v>
      </c>
      <c r="K876" s="4">
        <v>44362</v>
      </c>
      <c r="L876" t="s">
        <v>26</v>
      </c>
      <c r="M876" t="s">
        <v>54</v>
      </c>
      <c r="N876">
        <v>2.76</v>
      </c>
      <c r="O876">
        <v>1652</v>
      </c>
      <c r="P876">
        <v>2.4900000000000002</v>
      </c>
      <c r="Q876">
        <v>141</v>
      </c>
      <c r="R876">
        <v>602</v>
      </c>
    </row>
    <row r="877" spans="1:18" hidden="1" x14ac:dyDescent="0.2">
      <c r="A877">
        <v>1</v>
      </c>
      <c r="B877" t="s">
        <v>49</v>
      </c>
      <c r="E877" t="s">
        <v>19</v>
      </c>
      <c r="F877">
        <v>2603537</v>
      </c>
      <c r="G877">
        <v>4</v>
      </c>
      <c r="H877">
        <v>1</v>
      </c>
      <c r="I877">
        <v>62</v>
      </c>
      <c r="J877">
        <v>1960</v>
      </c>
      <c r="K877" s="4">
        <v>45303</v>
      </c>
      <c r="L877" t="s">
        <v>30</v>
      </c>
      <c r="M877" t="s">
        <v>24</v>
      </c>
      <c r="N877">
        <v>2.13</v>
      </c>
      <c r="O877">
        <v>890</v>
      </c>
      <c r="P877">
        <v>4.74</v>
      </c>
      <c r="Q877">
        <v>267</v>
      </c>
      <c r="R877">
        <v>447</v>
      </c>
    </row>
    <row r="878" spans="1:18" hidden="1" x14ac:dyDescent="0.2">
      <c r="A878">
        <v>1</v>
      </c>
      <c r="B878" t="s">
        <v>83</v>
      </c>
      <c r="E878" t="s">
        <v>29</v>
      </c>
      <c r="F878">
        <v>2933360</v>
      </c>
      <c r="G878">
        <v>6</v>
      </c>
      <c r="H878">
        <v>2</v>
      </c>
      <c r="I878">
        <v>687</v>
      </c>
      <c r="J878">
        <v>1988</v>
      </c>
      <c r="K878" s="4">
        <v>44196</v>
      </c>
      <c r="L878" t="s">
        <v>30</v>
      </c>
      <c r="M878" t="s">
        <v>59</v>
      </c>
      <c r="N878">
        <v>1.62</v>
      </c>
      <c r="O878">
        <v>2258</v>
      </c>
      <c r="P878">
        <v>3.19</v>
      </c>
      <c r="Q878">
        <v>366</v>
      </c>
      <c r="R878">
        <v>536</v>
      </c>
    </row>
    <row r="879" spans="1:18" hidden="1" x14ac:dyDescent="0.2">
      <c r="A879">
        <v>4</v>
      </c>
      <c r="B879" t="s">
        <v>91</v>
      </c>
      <c r="E879" t="s">
        <v>51</v>
      </c>
      <c r="F879">
        <v>1262973</v>
      </c>
      <c r="G879">
        <v>3</v>
      </c>
      <c r="H879">
        <v>2</v>
      </c>
      <c r="I879">
        <v>487</v>
      </c>
      <c r="J879">
        <v>1992</v>
      </c>
      <c r="K879" s="4">
        <v>45456</v>
      </c>
      <c r="L879" t="s">
        <v>30</v>
      </c>
      <c r="M879" t="s">
        <v>33</v>
      </c>
      <c r="N879">
        <v>1.58</v>
      </c>
      <c r="O879">
        <v>1709</v>
      </c>
      <c r="P879">
        <v>0.55000000000000004</v>
      </c>
      <c r="Q879">
        <v>140</v>
      </c>
      <c r="R879">
        <v>463</v>
      </c>
    </row>
    <row r="880" spans="1:18" hidden="1" x14ac:dyDescent="0.2">
      <c r="A880">
        <v>0</v>
      </c>
      <c r="B880" t="s">
        <v>87</v>
      </c>
      <c r="E880" t="s">
        <v>29</v>
      </c>
      <c r="F880">
        <v>1925417</v>
      </c>
      <c r="G880">
        <v>4</v>
      </c>
      <c r="H880">
        <v>3</v>
      </c>
      <c r="I880">
        <v>747</v>
      </c>
      <c r="J880">
        <v>1976</v>
      </c>
      <c r="K880" s="4">
        <v>45163</v>
      </c>
      <c r="L880" t="s">
        <v>26</v>
      </c>
      <c r="M880" t="s">
        <v>27</v>
      </c>
      <c r="N880">
        <v>2.52</v>
      </c>
      <c r="O880">
        <v>930</v>
      </c>
      <c r="P880">
        <v>0.26</v>
      </c>
      <c r="Q880">
        <v>215</v>
      </c>
      <c r="R880">
        <v>550</v>
      </c>
    </row>
    <row r="881" spans="1:18" hidden="1" x14ac:dyDescent="0.2">
      <c r="A881">
        <v>2</v>
      </c>
      <c r="B881" t="s">
        <v>83</v>
      </c>
      <c r="E881" t="s">
        <v>36</v>
      </c>
      <c r="F881">
        <v>1789194</v>
      </c>
      <c r="G881">
        <v>3</v>
      </c>
      <c r="H881">
        <v>2</v>
      </c>
      <c r="I881">
        <v>267</v>
      </c>
      <c r="J881">
        <v>2009</v>
      </c>
      <c r="K881" s="4">
        <v>45395</v>
      </c>
      <c r="L881" t="s">
        <v>30</v>
      </c>
      <c r="M881" t="s">
        <v>37</v>
      </c>
      <c r="N881">
        <v>1.75</v>
      </c>
      <c r="O881">
        <v>1997</v>
      </c>
      <c r="P881">
        <v>1.73</v>
      </c>
      <c r="Q881">
        <v>114</v>
      </c>
      <c r="R881">
        <v>628</v>
      </c>
    </row>
    <row r="882" spans="1:18" hidden="1" x14ac:dyDescent="0.2">
      <c r="A882">
        <v>9</v>
      </c>
      <c r="B882" t="s">
        <v>64</v>
      </c>
      <c r="E882" t="s">
        <v>51</v>
      </c>
      <c r="F882">
        <v>1087592</v>
      </c>
      <c r="G882">
        <v>0</v>
      </c>
      <c r="H882">
        <v>3</v>
      </c>
      <c r="I882">
        <v>916</v>
      </c>
      <c r="J882">
        <v>1986</v>
      </c>
      <c r="K882" s="4">
        <v>44301</v>
      </c>
      <c r="L882" t="s">
        <v>30</v>
      </c>
      <c r="M882" t="s">
        <v>54</v>
      </c>
      <c r="N882">
        <v>2.64</v>
      </c>
      <c r="O882">
        <v>1315</v>
      </c>
      <c r="P882">
        <v>1.86</v>
      </c>
      <c r="Q882">
        <v>75</v>
      </c>
      <c r="R882">
        <v>561</v>
      </c>
    </row>
    <row r="883" spans="1:18" hidden="1" x14ac:dyDescent="0.2">
      <c r="A883">
        <v>4</v>
      </c>
      <c r="B883" t="s">
        <v>86</v>
      </c>
      <c r="E883" t="s">
        <v>36</v>
      </c>
      <c r="F883">
        <v>577976</v>
      </c>
      <c r="G883">
        <v>1</v>
      </c>
      <c r="H883">
        <v>3</v>
      </c>
      <c r="I883">
        <v>989</v>
      </c>
      <c r="J883">
        <v>2005</v>
      </c>
      <c r="K883" s="4">
        <v>45427</v>
      </c>
      <c r="L883" t="s">
        <v>20</v>
      </c>
      <c r="M883" t="s">
        <v>40</v>
      </c>
      <c r="N883">
        <v>2.09</v>
      </c>
      <c r="O883">
        <v>2420</v>
      </c>
      <c r="P883">
        <v>4.82</v>
      </c>
      <c r="Q883">
        <v>90</v>
      </c>
      <c r="R883">
        <v>697</v>
      </c>
    </row>
    <row r="884" spans="1:18" hidden="1" x14ac:dyDescent="0.2">
      <c r="A884">
        <v>7</v>
      </c>
      <c r="B884" t="s">
        <v>88</v>
      </c>
      <c r="E884" t="s">
        <v>19</v>
      </c>
      <c r="F884">
        <v>1826981</v>
      </c>
      <c r="G884">
        <v>1</v>
      </c>
      <c r="H884">
        <v>1</v>
      </c>
      <c r="I884">
        <v>481</v>
      </c>
      <c r="J884">
        <v>2013</v>
      </c>
      <c r="K884" s="4">
        <v>45673</v>
      </c>
      <c r="L884" t="s">
        <v>26</v>
      </c>
      <c r="M884" t="s">
        <v>68</v>
      </c>
      <c r="N884">
        <v>2.0099999999999998</v>
      </c>
      <c r="O884">
        <v>1112</v>
      </c>
      <c r="P884">
        <v>1.81</v>
      </c>
      <c r="Q884">
        <v>93</v>
      </c>
      <c r="R884">
        <v>600</v>
      </c>
    </row>
    <row r="885" spans="1:18" hidden="1" x14ac:dyDescent="0.2">
      <c r="A885">
        <v>0</v>
      </c>
      <c r="B885" t="s">
        <v>87</v>
      </c>
      <c r="E885" t="s">
        <v>19</v>
      </c>
      <c r="F885">
        <v>2160463</v>
      </c>
      <c r="G885">
        <v>3</v>
      </c>
      <c r="H885">
        <v>3</v>
      </c>
      <c r="I885">
        <v>694</v>
      </c>
      <c r="J885">
        <v>1952</v>
      </c>
      <c r="K885" s="4">
        <v>44687</v>
      </c>
      <c r="L885" t="s">
        <v>20</v>
      </c>
      <c r="M885" t="s">
        <v>59</v>
      </c>
      <c r="N885">
        <v>2.83</v>
      </c>
      <c r="O885">
        <v>912</v>
      </c>
      <c r="P885">
        <v>0.84</v>
      </c>
      <c r="Q885">
        <v>96</v>
      </c>
      <c r="R885">
        <v>348</v>
      </c>
    </row>
    <row r="886" spans="1:18" x14ac:dyDescent="0.2">
      <c r="A886">
        <v>8</v>
      </c>
      <c r="B886" t="s">
        <v>95</v>
      </c>
      <c r="C886" t="str">
        <f>VLOOKUP(B886, 'Council Area'!$A$2:$B$51, 2)</f>
        <v>Hornsby Shire Council</v>
      </c>
      <c r="D886" t="str">
        <f>_xlfn.XLOOKUP(B886, 'Council Area'!$A$2:$A$51, 'Council Area'!$B$2:$B$51)</f>
        <v>Hornsby Shire Council</v>
      </c>
      <c r="E886" t="s">
        <v>36</v>
      </c>
      <c r="F886">
        <v>2185537</v>
      </c>
      <c r="G886">
        <v>5</v>
      </c>
      <c r="H886">
        <v>2</v>
      </c>
      <c r="I886">
        <v>86</v>
      </c>
      <c r="J886">
        <v>1980</v>
      </c>
      <c r="K886" s="4">
        <v>44088</v>
      </c>
      <c r="L886" t="s">
        <v>30</v>
      </c>
      <c r="M886" t="s">
        <v>82</v>
      </c>
      <c r="N886">
        <v>2.16</v>
      </c>
      <c r="O886">
        <v>801</v>
      </c>
      <c r="P886">
        <v>4.9800000000000004</v>
      </c>
      <c r="Q886">
        <v>312</v>
      </c>
      <c r="R886">
        <v>495</v>
      </c>
    </row>
    <row r="887" spans="1:18" hidden="1" x14ac:dyDescent="0.2">
      <c r="A887">
        <v>5</v>
      </c>
      <c r="B887" t="s">
        <v>67</v>
      </c>
      <c r="E887" t="s">
        <v>36</v>
      </c>
      <c r="F887">
        <v>1083279</v>
      </c>
      <c r="G887">
        <v>5</v>
      </c>
      <c r="H887">
        <v>2</v>
      </c>
      <c r="I887">
        <v>353</v>
      </c>
      <c r="J887">
        <v>1973</v>
      </c>
      <c r="K887" s="4">
        <v>44579</v>
      </c>
      <c r="L887" t="s">
        <v>20</v>
      </c>
      <c r="M887" t="s">
        <v>56</v>
      </c>
      <c r="N887">
        <v>2.54</v>
      </c>
      <c r="O887">
        <v>2379</v>
      </c>
      <c r="P887">
        <v>3.95</v>
      </c>
      <c r="Q887">
        <v>302</v>
      </c>
      <c r="R887">
        <v>541</v>
      </c>
    </row>
    <row r="888" spans="1:18" hidden="1" x14ac:dyDescent="0.2">
      <c r="A888">
        <v>6</v>
      </c>
      <c r="B888" t="s">
        <v>101</v>
      </c>
      <c r="E888" t="s">
        <v>29</v>
      </c>
      <c r="F888">
        <v>1942406</v>
      </c>
      <c r="G888">
        <v>5</v>
      </c>
      <c r="H888">
        <v>1</v>
      </c>
      <c r="I888">
        <v>135</v>
      </c>
      <c r="J888">
        <v>1988</v>
      </c>
      <c r="K888" s="4">
        <v>45372</v>
      </c>
      <c r="L888" t="s">
        <v>30</v>
      </c>
      <c r="M888" t="s">
        <v>47</v>
      </c>
      <c r="N888">
        <v>2.82</v>
      </c>
      <c r="O888">
        <v>1643</v>
      </c>
      <c r="P888">
        <v>1.71</v>
      </c>
      <c r="Q888">
        <v>315</v>
      </c>
      <c r="R888">
        <v>390</v>
      </c>
    </row>
    <row r="889" spans="1:18" hidden="1" x14ac:dyDescent="0.2">
      <c r="A889">
        <v>3</v>
      </c>
      <c r="B889" t="s">
        <v>49</v>
      </c>
      <c r="E889" t="s">
        <v>51</v>
      </c>
      <c r="F889">
        <v>913729</v>
      </c>
      <c r="G889">
        <v>6</v>
      </c>
      <c r="H889">
        <v>1</v>
      </c>
      <c r="I889">
        <v>471</v>
      </c>
      <c r="J889">
        <v>1997</v>
      </c>
      <c r="K889" s="4">
        <v>45673</v>
      </c>
      <c r="L889" t="s">
        <v>26</v>
      </c>
      <c r="M889" t="s">
        <v>52</v>
      </c>
      <c r="N889">
        <v>2.77</v>
      </c>
      <c r="O889">
        <v>2046</v>
      </c>
      <c r="P889">
        <v>0.98</v>
      </c>
      <c r="Q889">
        <v>349</v>
      </c>
      <c r="R889">
        <v>685</v>
      </c>
    </row>
    <row r="890" spans="1:18" hidden="1" x14ac:dyDescent="0.2">
      <c r="A890">
        <v>9</v>
      </c>
      <c r="B890" t="s">
        <v>25</v>
      </c>
      <c r="E890" t="s">
        <v>29</v>
      </c>
      <c r="F890">
        <v>1279865</v>
      </c>
      <c r="G890">
        <v>5</v>
      </c>
      <c r="H890">
        <v>1</v>
      </c>
      <c r="I890">
        <v>616</v>
      </c>
      <c r="J890">
        <v>1957</v>
      </c>
      <c r="K890" s="4">
        <v>44476</v>
      </c>
      <c r="L890" t="s">
        <v>20</v>
      </c>
      <c r="M890" t="s">
        <v>12</v>
      </c>
      <c r="N890">
        <v>1.9</v>
      </c>
      <c r="O890">
        <v>1529</v>
      </c>
      <c r="P890">
        <v>0.98</v>
      </c>
      <c r="Q890">
        <v>321</v>
      </c>
      <c r="R890">
        <v>657</v>
      </c>
    </row>
    <row r="891" spans="1:18" hidden="1" x14ac:dyDescent="0.2">
      <c r="A891">
        <v>7</v>
      </c>
      <c r="B891" t="s">
        <v>99</v>
      </c>
      <c r="E891" t="s">
        <v>36</v>
      </c>
      <c r="F891">
        <v>1191396</v>
      </c>
      <c r="G891">
        <v>2</v>
      </c>
      <c r="H891">
        <v>1</v>
      </c>
      <c r="I891">
        <v>948</v>
      </c>
      <c r="J891">
        <v>1985</v>
      </c>
      <c r="K891" s="4">
        <v>44647</v>
      </c>
      <c r="L891" t="s">
        <v>26</v>
      </c>
      <c r="M891" t="s">
        <v>31</v>
      </c>
      <c r="N891">
        <v>3.35</v>
      </c>
      <c r="O891">
        <v>2082</v>
      </c>
      <c r="P891">
        <v>4.59</v>
      </c>
      <c r="Q891">
        <v>164</v>
      </c>
      <c r="R891">
        <v>537</v>
      </c>
    </row>
    <row r="892" spans="1:18" hidden="1" x14ac:dyDescent="0.2">
      <c r="A892">
        <v>5</v>
      </c>
      <c r="B892" t="s">
        <v>102</v>
      </c>
      <c r="E892" t="s">
        <v>51</v>
      </c>
      <c r="F892">
        <v>1542019</v>
      </c>
      <c r="G892">
        <v>3</v>
      </c>
      <c r="H892">
        <v>2</v>
      </c>
      <c r="I892">
        <v>181</v>
      </c>
      <c r="J892">
        <v>1973</v>
      </c>
      <c r="K892" s="4">
        <v>44570</v>
      </c>
      <c r="L892" t="s">
        <v>20</v>
      </c>
      <c r="M892" t="s">
        <v>89</v>
      </c>
      <c r="N892">
        <v>3.01</v>
      </c>
      <c r="O892">
        <v>2279</v>
      </c>
      <c r="P892">
        <v>2.91</v>
      </c>
      <c r="Q892">
        <v>96</v>
      </c>
      <c r="R892">
        <v>361</v>
      </c>
    </row>
    <row r="893" spans="1:18" hidden="1" x14ac:dyDescent="0.2">
      <c r="A893">
        <v>9</v>
      </c>
      <c r="B893" t="s">
        <v>25</v>
      </c>
      <c r="E893" t="s">
        <v>36</v>
      </c>
      <c r="F893">
        <v>777796</v>
      </c>
      <c r="G893">
        <v>3</v>
      </c>
      <c r="H893">
        <v>3</v>
      </c>
      <c r="I893">
        <v>788</v>
      </c>
      <c r="J893">
        <v>1973</v>
      </c>
      <c r="K893" s="4">
        <v>44701</v>
      </c>
      <c r="L893" t="s">
        <v>23</v>
      </c>
      <c r="M893" t="s">
        <v>74</v>
      </c>
      <c r="N893">
        <v>2.98</v>
      </c>
      <c r="O893">
        <v>1189</v>
      </c>
      <c r="P893">
        <v>4.5199999999999996</v>
      </c>
      <c r="Q893">
        <v>285</v>
      </c>
      <c r="R893">
        <v>330</v>
      </c>
    </row>
    <row r="894" spans="1:18" hidden="1" x14ac:dyDescent="0.2">
      <c r="A894">
        <v>6</v>
      </c>
      <c r="B894" t="s">
        <v>75</v>
      </c>
      <c r="E894" t="s">
        <v>19</v>
      </c>
      <c r="F894">
        <v>2960770</v>
      </c>
      <c r="G894">
        <v>2</v>
      </c>
      <c r="H894">
        <v>2</v>
      </c>
      <c r="I894">
        <v>480</v>
      </c>
      <c r="J894">
        <v>1950</v>
      </c>
      <c r="K894" s="4">
        <v>44888</v>
      </c>
      <c r="L894" t="s">
        <v>30</v>
      </c>
      <c r="M894" t="s">
        <v>68</v>
      </c>
      <c r="N894">
        <v>2.98</v>
      </c>
      <c r="O894">
        <v>2438</v>
      </c>
      <c r="P894">
        <v>1.27</v>
      </c>
      <c r="Q894">
        <v>236</v>
      </c>
      <c r="R894">
        <v>368</v>
      </c>
    </row>
    <row r="895" spans="1:18" hidden="1" x14ac:dyDescent="0.2">
      <c r="A895">
        <v>2</v>
      </c>
      <c r="B895" t="s">
        <v>87</v>
      </c>
      <c r="E895" t="s">
        <v>36</v>
      </c>
      <c r="F895">
        <v>1574559</v>
      </c>
      <c r="G895">
        <v>6</v>
      </c>
      <c r="H895">
        <v>1</v>
      </c>
      <c r="I895">
        <v>644</v>
      </c>
      <c r="J895">
        <v>2016</v>
      </c>
      <c r="K895" s="4">
        <v>45340</v>
      </c>
      <c r="L895" t="s">
        <v>23</v>
      </c>
      <c r="M895" t="s">
        <v>52</v>
      </c>
      <c r="N895">
        <v>2.0699999999999998</v>
      </c>
      <c r="O895">
        <v>2337</v>
      </c>
      <c r="P895">
        <v>4.53</v>
      </c>
      <c r="Q895">
        <v>345</v>
      </c>
      <c r="R895">
        <v>629</v>
      </c>
    </row>
    <row r="896" spans="1:18" x14ac:dyDescent="0.2">
      <c r="A896">
        <v>8</v>
      </c>
      <c r="B896" t="s">
        <v>53</v>
      </c>
      <c r="C896" t="str">
        <f>VLOOKUP(B896, 'Council Area'!$A$2:$B$51, 2)</f>
        <v>Randwick City Council</v>
      </c>
      <c r="D896" t="str">
        <f>_xlfn.XLOOKUP(B896, 'Council Area'!$A$2:$A$51, 'Council Area'!$B$2:$B$51)</f>
        <v>Randwick City Council</v>
      </c>
      <c r="E896" t="s">
        <v>36</v>
      </c>
      <c r="F896">
        <v>522380</v>
      </c>
      <c r="G896">
        <v>3</v>
      </c>
      <c r="H896">
        <v>3</v>
      </c>
      <c r="I896">
        <v>940</v>
      </c>
      <c r="J896">
        <v>1960</v>
      </c>
      <c r="K896" s="4">
        <v>45591</v>
      </c>
      <c r="L896" t="s">
        <v>20</v>
      </c>
      <c r="M896" t="s">
        <v>70</v>
      </c>
      <c r="N896">
        <v>1.52</v>
      </c>
      <c r="O896">
        <v>951</v>
      </c>
      <c r="P896">
        <v>3.51</v>
      </c>
      <c r="Q896">
        <v>265</v>
      </c>
      <c r="R896">
        <v>620</v>
      </c>
    </row>
    <row r="897" spans="1:18" hidden="1" x14ac:dyDescent="0.2">
      <c r="A897">
        <v>7</v>
      </c>
      <c r="B897" t="s">
        <v>75</v>
      </c>
      <c r="E897" t="s">
        <v>36</v>
      </c>
      <c r="F897">
        <v>2763539</v>
      </c>
      <c r="G897">
        <v>3</v>
      </c>
      <c r="H897">
        <v>3</v>
      </c>
      <c r="I897">
        <v>411</v>
      </c>
      <c r="J897">
        <v>1982</v>
      </c>
      <c r="K897" s="4">
        <v>44161</v>
      </c>
      <c r="L897" t="s">
        <v>23</v>
      </c>
      <c r="M897" t="s">
        <v>33</v>
      </c>
      <c r="N897">
        <v>2.84</v>
      </c>
      <c r="O897">
        <v>2175</v>
      </c>
      <c r="P897">
        <v>0.95</v>
      </c>
      <c r="Q897">
        <v>147</v>
      </c>
      <c r="R897">
        <v>591</v>
      </c>
    </row>
    <row r="898" spans="1:18" x14ac:dyDescent="0.2">
      <c r="A898">
        <v>8</v>
      </c>
      <c r="B898" t="s">
        <v>91</v>
      </c>
      <c r="C898" t="str">
        <f>VLOOKUP(B898, 'Council Area'!$A$2:$B$51, 2)</f>
        <v>Northern Beaches Council</v>
      </c>
      <c r="D898" t="str">
        <f>_xlfn.XLOOKUP(B898, 'Council Area'!$A$2:$A$51, 'Council Area'!$B$2:$B$51)</f>
        <v>Northern Beaches Council</v>
      </c>
      <c r="E898" t="s">
        <v>51</v>
      </c>
      <c r="F898">
        <v>638495</v>
      </c>
      <c r="G898">
        <v>6</v>
      </c>
      <c r="H898">
        <v>3</v>
      </c>
      <c r="I898">
        <v>899</v>
      </c>
      <c r="J898">
        <v>1957</v>
      </c>
      <c r="K898" s="4">
        <v>44827</v>
      </c>
      <c r="L898" t="s">
        <v>20</v>
      </c>
      <c r="M898" t="s">
        <v>59</v>
      </c>
      <c r="N898">
        <v>1.51</v>
      </c>
      <c r="O898">
        <v>1567</v>
      </c>
      <c r="P898">
        <v>3.35</v>
      </c>
      <c r="Q898">
        <v>381</v>
      </c>
      <c r="R898">
        <v>384</v>
      </c>
    </row>
    <row r="899" spans="1:18" hidden="1" x14ac:dyDescent="0.2">
      <c r="A899">
        <v>0</v>
      </c>
      <c r="B899" t="s">
        <v>64</v>
      </c>
      <c r="E899" t="s">
        <v>19</v>
      </c>
      <c r="F899">
        <v>1485217</v>
      </c>
      <c r="G899">
        <v>3</v>
      </c>
      <c r="H899">
        <v>3</v>
      </c>
      <c r="I899">
        <v>397</v>
      </c>
      <c r="J899">
        <v>1979</v>
      </c>
      <c r="K899" s="4">
        <v>44758</v>
      </c>
      <c r="L899" t="s">
        <v>30</v>
      </c>
      <c r="M899" t="s">
        <v>27</v>
      </c>
      <c r="N899">
        <v>3.26</v>
      </c>
      <c r="O899">
        <v>2475</v>
      </c>
      <c r="P899">
        <v>2.4300000000000002</v>
      </c>
      <c r="Q899">
        <v>137</v>
      </c>
      <c r="R899">
        <v>657</v>
      </c>
    </row>
    <row r="900" spans="1:18" hidden="1" x14ac:dyDescent="0.2">
      <c r="A900">
        <v>3</v>
      </c>
      <c r="B900" t="s">
        <v>61</v>
      </c>
      <c r="E900" t="s">
        <v>51</v>
      </c>
      <c r="F900">
        <v>2032533</v>
      </c>
      <c r="G900">
        <v>2</v>
      </c>
      <c r="H900">
        <v>1</v>
      </c>
      <c r="I900">
        <v>843</v>
      </c>
      <c r="J900">
        <v>1996</v>
      </c>
      <c r="K900" s="4">
        <v>44264</v>
      </c>
      <c r="L900" t="s">
        <v>23</v>
      </c>
      <c r="M900" t="s">
        <v>60</v>
      </c>
      <c r="N900">
        <v>2.85</v>
      </c>
      <c r="O900">
        <v>2366</v>
      </c>
      <c r="P900">
        <v>1.92</v>
      </c>
      <c r="Q900">
        <v>117</v>
      </c>
      <c r="R900">
        <v>522</v>
      </c>
    </row>
    <row r="901" spans="1:18" hidden="1" x14ac:dyDescent="0.2">
      <c r="A901">
        <v>3</v>
      </c>
      <c r="B901" t="s">
        <v>80</v>
      </c>
      <c r="E901" t="s">
        <v>29</v>
      </c>
      <c r="F901">
        <v>1777820</v>
      </c>
      <c r="G901">
        <v>5</v>
      </c>
      <c r="H901">
        <v>3</v>
      </c>
      <c r="I901">
        <v>210</v>
      </c>
      <c r="J901">
        <v>1971</v>
      </c>
      <c r="K901" s="4">
        <v>44538</v>
      </c>
      <c r="L901" t="s">
        <v>20</v>
      </c>
      <c r="M901" t="s">
        <v>69</v>
      </c>
      <c r="N901">
        <v>2.74</v>
      </c>
      <c r="O901">
        <v>1711</v>
      </c>
      <c r="P901">
        <v>2.89</v>
      </c>
      <c r="Q901">
        <v>301</v>
      </c>
      <c r="R901">
        <v>349</v>
      </c>
    </row>
    <row r="902" spans="1:18" hidden="1" x14ac:dyDescent="0.2">
      <c r="A902">
        <v>2</v>
      </c>
      <c r="B902" t="s">
        <v>93</v>
      </c>
      <c r="E902" t="s">
        <v>36</v>
      </c>
      <c r="F902">
        <v>2993412</v>
      </c>
      <c r="G902">
        <v>3</v>
      </c>
      <c r="H902">
        <v>3</v>
      </c>
      <c r="I902">
        <v>852</v>
      </c>
      <c r="J902">
        <v>1962</v>
      </c>
      <c r="K902" s="4">
        <v>44764</v>
      </c>
      <c r="L902" t="s">
        <v>30</v>
      </c>
      <c r="M902" t="s">
        <v>24</v>
      </c>
      <c r="N902">
        <v>3.05</v>
      </c>
      <c r="O902">
        <v>1390</v>
      </c>
      <c r="P902">
        <v>3.9</v>
      </c>
      <c r="Q902">
        <v>233</v>
      </c>
      <c r="R902">
        <v>598</v>
      </c>
    </row>
    <row r="903" spans="1:18" hidden="1" x14ac:dyDescent="0.2">
      <c r="A903">
        <v>2</v>
      </c>
      <c r="B903" t="s">
        <v>88</v>
      </c>
      <c r="E903" t="s">
        <v>36</v>
      </c>
      <c r="F903">
        <v>2108124</v>
      </c>
      <c r="G903">
        <v>3</v>
      </c>
      <c r="H903">
        <v>2</v>
      </c>
      <c r="I903">
        <v>284</v>
      </c>
      <c r="J903">
        <v>2021</v>
      </c>
      <c r="K903" s="4">
        <v>44316</v>
      </c>
      <c r="L903" t="s">
        <v>30</v>
      </c>
      <c r="M903" t="s">
        <v>45</v>
      </c>
      <c r="N903">
        <v>1.71</v>
      </c>
      <c r="O903">
        <v>2079</v>
      </c>
      <c r="P903">
        <v>2.4900000000000002</v>
      </c>
      <c r="Q903">
        <v>231</v>
      </c>
      <c r="R903">
        <v>439</v>
      </c>
    </row>
    <row r="904" spans="1:18" hidden="1" x14ac:dyDescent="0.2">
      <c r="A904">
        <v>2</v>
      </c>
      <c r="B904" t="s">
        <v>72</v>
      </c>
      <c r="E904" t="s">
        <v>19</v>
      </c>
      <c r="F904">
        <v>416955</v>
      </c>
      <c r="G904">
        <v>2</v>
      </c>
      <c r="H904">
        <v>3</v>
      </c>
      <c r="I904">
        <v>217</v>
      </c>
      <c r="J904">
        <v>2015</v>
      </c>
      <c r="K904" s="4">
        <v>45153</v>
      </c>
      <c r="L904" t="s">
        <v>23</v>
      </c>
      <c r="M904" t="s">
        <v>42</v>
      </c>
      <c r="N904">
        <v>2.69</v>
      </c>
      <c r="O904">
        <v>861</v>
      </c>
      <c r="P904">
        <v>1.08</v>
      </c>
      <c r="Q904">
        <v>216</v>
      </c>
      <c r="R904">
        <v>363</v>
      </c>
    </row>
    <row r="905" spans="1:18" hidden="1" x14ac:dyDescent="0.2">
      <c r="A905">
        <v>1</v>
      </c>
      <c r="B905" t="s">
        <v>71</v>
      </c>
      <c r="E905" t="s">
        <v>36</v>
      </c>
      <c r="F905">
        <v>1910274</v>
      </c>
      <c r="G905">
        <v>1</v>
      </c>
      <c r="H905">
        <v>1</v>
      </c>
      <c r="I905">
        <v>298</v>
      </c>
      <c r="J905">
        <v>1981</v>
      </c>
      <c r="K905" s="4">
        <v>45742</v>
      </c>
      <c r="L905" t="s">
        <v>20</v>
      </c>
      <c r="M905" t="s">
        <v>70</v>
      </c>
      <c r="N905">
        <v>1.5</v>
      </c>
      <c r="O905">
        <v>1077</v>
      </c>
      <c r="P905">
        <v>4.3600000000000003</v>
      </c>
      <c r="Q905">
        <v>154</v>
      </c>
      <c r="R905">
        <v>571</v>
      </c>
    </row>
    <row r="906" spans="1:18" hidden="1" x14ac:dyDescent="0.2">
      <c r="A906">
        <v>4</v>
      </c>
      <c r="B906" t="s">
        <v>73</v>
      </c>
      <c r="E906" t="s">
        <v>36</v>
      </c>
      <c r="F906">
        <v>804463</v>
      </c>
      <c r="G906">
        <v>2</v>
      </c>
      <c r="H906">
        <v>1</v>
      </c>
      <c r="I906">
        <v>970</v>
      </c>
      <c r="J906">
        <v>1952</v>
      </c>
      <c r="K906" s="4">
        <v>45390</v>
      </c>
      <c r="L906" t="s">
        <v>23</v>
      </c>
      <c r="M906" t="s">
        <v>33</v>
      </c>
      <c r="N906">
        <v>2.0299999999999998</v>
      </c>
      <c r="O906">
        <v>1663</v>
      </c>
      <c r="P906">
        <v>3.85</v>
      </c>
      <c r="Q906">
        <v>54</v>
      </c>
      <c r="R906">
        <v>519</v>
      </c>
    </row>
    <row r="907" spans="1:18" hidden="1" x14ac:dyDescent="0.2">
      <c r="A907">
        <v>7</v>
      </c>
      <c r="B907" t="s">
        <v>96</v>
      </c>
      <c r="E907" t="s">
        <v>36</v>
      </c>
      <c r="F907">
        <v>2293007</v>
      </c>
      <c r="G907">
        <v>1</v>
      </c>
      <c r="H907">
        <v>3</v>
      </c>
      <c r="I907">
        <v>135</v>
      </c>
      <c r="J907">
        <v>1961</v>
      </c>
      <c r="K907" s="4">
        <v>44164</v>
      </c>
      <c r="L907" t="s">
        <v>30</v>
      </c>
      <c r="M907" t="s">
        <v>40</v>
      </c>
      <c r="N907">
        <v>3.18</v>
      </c>
      <c r="O907">
        <v>1050</v>
      </c>
      <c r="P907">
        <v>3.87</v>
      </c>
      <c r="Q907">
        <v>149</v>
      </c>
      <c r="R907">
        <v>650</v>
      </c>
    </row>
    <row r="908" spans="1:18" hidden="1" x14ac:dyDescent="0.2">
      <c r="A908">
        <v>5</v>
      </c>
      <c r="B908" t="s">
        <v>44</v>
      </c>
      <c r="E908" t="s">
        <v>29</v>
      </c>
      <c r="F908">
        <v>973495</v>
      </c>
      <c r="G908">
        <v>3</v>
      </c>
      <c r="H908">
        <v>1</v>
      </c>
      <c r="I908">
        <v>846</v>
      </c>
      <c r="J908">
        <v>1972</v>
      </c>
      <c r="K908" s="4">
        <v>44948</v>
      </c>
      <c r="L908" t="s">
        <v>30</v>
      </c>
      <c r="M908" t="s">
        <v>82</v>
      </c>
      <c r="N908">
        <v>2.64</v>
      </c>
      <c r="O908">
        <v>1584</v>
      </c>
      <c r="P908">
        <v>1.63</v>
      </c>
      <c r="Q908">
        <v>139</v>
      </c>
      <c r="R908">
        <v>550</v>
      </c>
    </row>
    <row r="909" spans="1:18" hidden="1" x14ac:dyDescent="0.2">
      <c r="A909">
        <v>6</v>
      </c>
      <c r="B909" t="s">
        <v>87</v>
      </c>
      <c r="E909" t="s">
        <v>19</v>
      </c>
      <c r="F909">
        <v>2549127</v>
      </c>
      <c r="G909">
        <v>4</v>
      </c>
      <c r="H909">
        <v>2</v>
      </c>
      <c r="I909">
        <v>70</v>
      </c>
      <c r="J909">
        <v>1982</v>
      </c>
      <c r="K909" s="4">
        <v>45179</v>
      </c>
      <c r="L909" t="s">
        <v>20</v>
      </c>
      <c r="M909" t="s">
        <v>82</v>
      </c>
      <c r="N909">
        <v>2.2400000000000002</v>
      </c>
      <c r="O909">
        <v>949</v>
      </c>
      <c r="P909">
        <v>3.95</v>
      </c>
      <c r="Q909">
        <v>196</v>
      </c>
      <c r="R909">
        <v>626</v>
      </c>
    </row>
    <row r="910" spans="1:18" hidden="1" x14ac:dyDescent="0.2">
      <c r="A910">
        <v>1</v>
      </c>
      <c r="B910" t="s">
        <v>84</v>
      </c>
      <c r="E910" t="s">
        <v>29</v>
      </c>
      <c r="F910">
        <v>426548</v>
      </c>
      <c r="G910">
        <v>2</v>
      </c>
      <c r="H910">
        <v>2</v>
      </c>
      <c r="I910">
        <v>206</v>
      </c>
      <c r="J910">
        <v>1969</v>
      </c>
      <c r="K910" s="4">
        <v>45614</v>
      </c>
      <c r="L910" t="s">
        <v>26</v>
      </c>
      <c r="M910" t="s">
        <v>31</v>
      </c>
      <c r="N910">
        <v>2.94</v>
      </c>
      <c r="O910">
        <v>1827</v>
      </c>
      <c r="P910">
        <v>1.34</v>
      </c>
      <c r="Q910">
        <v>232</v>
      </c>
      <c r="R910">
        <v>580</v>
      </c>
    </row>
    <row r="911" spans="1:18" hidden="1" x14ac:dyDescent="0.2">
      <c r="A911">
        <v>3</v>
      </c>
      <c r="B911" t="s">
        <v>101</v>
      </c>
      <c r="E911" t="s">
        <v>36</v>
      </c>
      <c r="F911">
        <v>1956930</v>
      </c>
      <c r="G911">
        <v>2</v>
      </c>
      <c r="H911">
        <v>1</v>
      </c>
      <c r="I911">
        <v>350</v>
      </c>
      <c r="J911">
        <v>1985</v>
      </c>
      <c r="K911" s="4">
        <v>44314</v>
      </c>
      <c r="L911" t="s">
        <v>23</v>
      </c>
      <c r="M911" t="s">
        <v>78</v>
      </c>
      <c r="N911">
        <v>2.75</v>
      </c>
      <c r="O911">
        <v>1785</v>
      </c>
      <c r="P911">
        <v>1.56</v>
      </c>
      <c r="Q911">
        <v>99</v>
      </c>
      <c r="R911">
        <v>661</v>
      </c>
    </row>
    <row r="912" spans="1:18" hidden="1" x14ac:dyDescent="0.2">
      <c r="A912">
        <v>3</v>
      </c>
      <c r="B912" t="s">
        <v>46</v>
      </c>
      <c r="E912" t="s">
        <v>51</v>
      </c>
      <c r="F912">
        <v>2222595</v>
      </c>
      <c r="G912">
        <v>3</v>
      </c>
      <c r="H912">
        <v>3</v>
      </c>
      <c r="I912">
        <v>462</v>
      </c>
      <c r="J912">
        <v>2015</v>
      </c>
      <c r="K912" s="4">
        <v>45210</v>
      </c>
      <c r="L912" t="s">
        <v>20</v>
      </c>
      <c r="M912" t="s">
        <v>78</v>
      </c>
      <c r="N912">
        <v>2.04</v>
      </c>
      <c r="O912">
        <v>2387</v>
      </c>
      <c r="P912">
        <v>2.67</v>
      </c>
      <c r="Q912">
        <v>167</v>
      </c>
      <c r="R912">
        <v>312</v>
      </c>
    </row>
    <row r="913" spans="1:18" hidden="1" x14ac:dyDescent="0.2">
      <c r="A913">
        <v>0</v>
      </c>
      <c r="B913" t="s">
        <v>57</v>
      </c>
      <c r="E913" t="s">
        <v>51</v>
      </c>
      <c r="F913">
        <v>625821</v>
      </c>
      <c r="G913">
        <v>4</v>
      </c>
      <c r="H913">
        <v>1</v>
      </c>
      <c r="I913">
        <v>503</v>
      </c>
      <c r="J913">
        <v>2004</v>
      </c>
      <c r="K913" s="4">
        <v>45843</v>
      </c>
      <c r="L913" t="s">
        <v>26</v>
      </c>
      <c r="M913" t="s">
        <v>45</v>
      </c>
      <c r="N913">
        <v>2.99</v>
      </c>
      <c r="O913">
        <v>941</v>
      </c>
      <c r="P913">
        <v>4.8499999999999996</v>
      </c>
      <c r="Q913">
        <v>266</v>
      </c>
      <c r="R913">
        <v>628</v>
      </c>
    </row>
    <row r="914" spans="1:18" hidden="1" x14ac:dyDescent="0.2">
      <c r="A914">
        <v>4</v>
      </c>
      <c r="B914" t="s">
        <v>84</v>
      </c>
      <c r="E914" t="s">
        <v>29</v>
      </c>
      <c r="F914">
        <v>842631</v>
      </c>
      <c r="G914">
        <v>1</v>
      </c>
      <c r="H914">
        <v>3</v>
      </c>
      <c r="I914">
        <v>289</v>
      </c>
      <c r="J914">
        <v>2004</v>
      </c>
      <c r="K914" s="4">
        <v>44420</v>
      </c>
      <c r="L914" t="s">
        <v>30</v>
      </c>
      <c r="M914" t="s">
        <v>66</v>
      </c>
      <c r="N914">
        <v>3.37</v>
      </c>
      <c r="O914">
        <v>2312</v>
      </c>
      <c r="P914">
        <v>3.71</v>
      </c>
      <c r="Q914">
        <v>118</v>
      </c>
      <c r="R914">
        <v>336</v>
      </c>
    </row>
    <row r="915" spans="1:18" hidden="1" x14ac:dyDescent="0.2">
      <c r="A915">
        <v>0</v>
      </c>
      <c r="B915" t="s">
        <v>93</v>
      </c>
      <c r="E915" t="s">
        <v>29</v>
      </c>
      <c r="F915">
        <v>468125</v>
      </c>
      <c r="G915">
        <v>5</v>
      </c>
      <c r="H915">
        <v>1</v>
      </c>
      <c r="I915">
        <v>737</v>
      </c>
      <c r="J915">
        <v>2022</v>
      </c>
      <c r="K915" s="4">
        <v>44143</v>
      </c>
      <c r="L915" t="s">
        <v>20</v>
      </c>
      <c r="M915" t="s">
        <v>27</v>
      </c>
      <c r="N915">
        <v>2.98</v>
      </c>
      <c r="O915">
        <v>2437</v>
      </c>
      <c r="P915">
        <v>3.35</v>
      </c>
      <c r="Q915">
        <v>275</v>
      </c>
      <c r="R915">
        <v>518</v>
      </c>
    </row>
    <row r="916" spans="1:18" hidden="1" x14ac:dyDescent="0.2">
      <c r="A916">
        <v>0</v>
      </c>
      <c r="B916" t="s">
        <v>46</v>
      </c>
      <c r="E916" t="s">
        <v>29</v>
      </c>
      <c r="F916">
        <v>621438</v>
      </c>
      <c r="G916">
        <v>4</v>
      </c>
      <c r="H916">
        <v>2</v>
      </c>
      <c r="I916">
        <v>147</v>
      </c>
      <c r="J916">
        <v>1955</v>
      </c>
      <c r="K916" s="4">
        <v>45109</v>
      </c>
      <c r="L916" t="s">
        <v>26</v>
      </c>
      <c r="M916" t="s">
        <v>40</v>
      </c>
      <c r="N916">
        <v>1.53</v>
      </c>
      <c r="O916">
        <v>1900</v>
      </c>
      <c r="P916">
        <v>3.58</v>
      </c>
      <c r="Q916">
        <v>393</v>
      </c>
      <c r="R916">
        <v>640</v>
      </c>
    </row>
    <row r="917" spans="1:18" hidden="1" x14ac:dyDescent="0.2">
      <c r="A917">
        <v>4</v>
      </c>
      <c r="B917" t="s">
        <v>87</v>
      </c>
      <c r="E917" t="s">
        <v>51</v>
      </c>
      <c r="F917">
        <v>1127519</v>
      </c>
      <c r="G917">
        <v>1</v>
      </c>
      <c r="H917">
        <v>1</v>
      </c>
      <c r="I917">
        <v>724</v>
      </c>
      <c r="J917">
        <v>1982</v>
      </c>
      <c r="K917" s="4">
        <v>45503</v>
      </c>
      <c r="L917" t="s">
        <v>23</v>
      </c>
      <c r="M917" t="s">
        <v>35</v>
      </c>
      <c r="N917">
        <v>2.94</v>
      </c>
      <c r="O917">
        <v>1575</v>
      </c>
      <c r="P917">
        <v>3.11</v>
      </c>
      <c r="Q917">
        <v>135</v>
      </c>
      <c r="R917">
        <v>355</v>
      </c>
    </row>
    <row r="918" spans="1:18" hidden="1" x14ac:dyDescent="0.2">
      <c r="A918">
        <v>2</v>
      </c>
      <c r="B918" t="s">
        <v>43</v>
      </c>
      <c r="E918" t="s">
        <v>29</v>
      </c>
      <c r="F918">
        <v>2913937</v>
      </c>
      <c r="G918">
        <v>2</v>
      </c>
      <c r="H918">
        <v>3</v>
      </c>
      <c r="I918">
        <v>454</v>
      </c>
      <c r="J918">
        <v>1957</v>
      </c>
      <c r="K918" s="4">
        <v>44215</v>
      </c>
      <c r="L918" t="s">
        <v>23</v>
      </c>
      <c r="M918" t="s">
        <v>56</v>
      </c>
      <c r="N918">
        <v>2.41</v>
      </c>
      <c r="O918">
        <v>1913</v>
      </c>
      <c r="P918">
        <v>1.88</v>
      </c>
      <c r="Q918">
        <v>75</v>
      </c>
      <c r="R918">
        <v>413</v>
      </c>
    </row>
    <row r="919" spans="1:18" hidden="1" x14ac:dyDescent="0.2">
      <c r="A919">
        <v>6</v>
      </c>
      <c r="B919" t="s">
        <v>62</v>
      </c>
      <c r="E919" t="s">
        <v>29</v>
      </c>
      <c r="F919">
        <v>703138</v>
      </c>
      <c r="G919">
        <v>0</v>
      </c>
      <c r="H919">
        <v>1</v>
      </c>
      <c r="I919">
        <v>199</v>
      </c>
      <c r="J919">
        <v>1998</v>
      </c>
      <c r="K919" s="4">
        <v>45129</v>
      </c>
      <c r="L919" t="s">
        <v>23</v>
      </c>
      <c r="M919" t="s">
        <v>74</v>
      </c>
      <c r="N919">
        <v>1.87</v>
      </c>
      <c r="O919">
        <v>1075</v>
      </c>
      <c r="P919">
        <v>0.7</v>
      </c>
      <c r="Q919">
        <v>76</v>
      </c>
      <c r="R919">
        <v>361</v>
      </c>
    </row>
    <row r="920" spans="1:18" hidden="1" x14ac:dyDescent="0.2">
      <c r="A920">
        <v>1</v>
      </c>
      <c r="B920" t="s">
        <v>25</v>
      </c>
      <c r="E920" t="s">
        <v>29</v>
      </c>
      <c r="F920">
        <v>1997807</v>
      </c>
      <c r="G920">
        <v>6</v>
      </c>
      <c r="H920">
        <v>1</v>
      </c>
      <c r="I920">
        <v>791</v>
      </c>
      <c r="J920">
        <v>1999</v>
      </c>
      <c r="K920" s="4">
        <v>45240</v>
      </c>
      <c r="L920" t="s">
        <v>20</v>
      </c>
      <c r="M920" t="s">
        <v>27</v>
      </c>
      <c r="N920">
        <v>2.17</v>
      </c>
      <c r="O920">
        <v>2174</v>
      </c>
      <c r="P920">
        <v>2.02</v>
      </c>
      <c r="Q920">
        <v>344</v>
      </c>
      <c r="R920">
        <v>377</v>
      </c>
    </row>
    <row r="921" spans="1:18" hidden="1" x14ac:dyDescent="0.2">
      <c r="A921">
        <v>7</v>
      </c>
      <c r="B921" t="s">
        <v>79</v>
      </c>
      <c r="E921" t="s">
        <v>36</v>
      </c>
      <c r="F921">
        <v>1245710</v>
      </c>
      <c r="G921">
        <v>4</v>
      </c>
      <c r="H921">
        <v>2</v>
      </c>
      <c r="I921">
        <v>403</v>
      </c>
      <c r="J921">
        <v>2002</v>
      </c>
      <c r="K921" s="4">
        <v>45339</v>
      </c>
      <c r="L921" t="s">
        <v>20</v>
      </c>
      <c r="M921" t="s">
        <v>35</v>
      </c>
      <c r="N921">
        <v>3.01</v>
      </c>
      <c r="O921">
        <v>1953</v>
      </c>
      <c r="P921">
        <v>4.4800000000000004</v>
      </c>
      <c r="Q921">
        <v>397</v>
      </c>
      <c r="R921">
        <v>306</v>
      </c>
    </row>
    <row r="922" spans="1:18" hidden="1" x14ac:dyDescent="0.2">
      <c r="A922">
        <v>5</v>
      </c>
      <c r="B922" t="s">
        <v>49</v>
      </c>
      <c r="E922" t="s">
        <v>51</v>
      </c>
      <c r="F922">
        <v>1745275</v>
      </c>
      <c r="G922">
        <v>1</v>
      </c>
      <c r="H922">
        <v>3</v>
      </c>
      <c r="I922">
        <v>412</v>
      </c>
      <c r="J922">
        <v>1999</v>
      </c>
      <c r="K922" s="4">
        <v>44561</v>
      </c>
      <c r="L922" t="s">
        <v>23</v>
      </c>
      <c r="M922" t="s">
        <v>54</v>
      </c>
      <c r="N922">
        <v>1.52</v>
      </c>
      <c r="O922">
        <v>2251</v>
      </c>
      <c r="P922">
        <v>0.7</v>
      </c>
      <c r="Q922">
        <v>86</v>
      </c>
      <c r="R922">
        <v>454</v>
      </c>
    </row>
    <row r="923" spans="1:18" hidden="1" x14ac:dyDescent="0.2">
      <c r="A923">
        <v>7</v>
      </c>
      <c r="B923" t="s">
        <v>67</v>
      </c>
      <c r="E923" t="s">
        <v>29</v>
      </c>
      <c r="F923">
        <v>2852802</v>
      </c>
      <c r="G923">
        <v>3</v>
      </c>
      <c r="H923">
        <v>1</v>
      </c>
      <c r="I923">
        <v>436</v>
      </c>
      <c r="J923">
        <v>1967</v>
      </c>
      <c r="K923" s="4">
        <v>45412</v>
      </c>
      <c r="L923" t="s">
        <v>23</v>
      </c>
      <c r="M923" t="s">
        <v>77</v>
      </c>
      <c r="N923">
        <v>2.87</v>
      </c>
      <c r="O923">
        <v>1313</v>
      </c>
      <c r="P923">
        <v>2.42</v>
      </c>
      <c r="Q923">
        <v>185</v>
      </c>
      <c r="R923">
        <v>341</v>
      </c>
    </row>
    <row r="924" spans="1:18" hidden="1" x14ac:dyDescent="0.2">
      <c r="A924">
        <v>3</v>
      </c>
      <c r="B924" t="s">
        <v>43</v>
      </c>
      <c r="E924" t="s">
        <v>29</v>
      </c>
      <c r="F924">
        <v>1980091</v>
      </c>
      <c r="G924">
        <v>2</v>
      </c>
      <c r="H924">
        <v>2</v>
      </c>
      <c r="I924">
        <v>283</v>
      </c>
      <c r="J924">
        <v>2009</v>
      </c>
      <c r="K924" s="4">
        <v>44901</v>
      </c>
      <c r="L924" t="s">
        <v>23</v>
      </c>
      <c r="M924" t="s">
        <v>52</v>
      </c>
      <c r="N924">
        <v>1.68</v>
      </c>
      <c r="O924">
        <v>863</v>
      </c>
      <c r="P924">
        <v>4.6100000000000003</v>
      </c>
      <c r="Q924">
        <v>51</v>
      </c>
      <c r="R924">
        <v>569</v>
      </c>
    </row>
    <row r="925" spans="1:18" hidden="1" x14ac:dyDescent="0.2">
      <c r="A925">
        <v>3</v>
      </c>
      <c r="B925" t="s">
        <v>83</v>
      </c>
      <c r="E925" t="s">
        <v>51</v>
      </c>
      <c r="F925">
        <v>2093503</v>
      </c>
      <c r="G925">
        <v>3</v>
      </c>
      <c r="H925">
        <v>3</v>
      </c>
      <c r="I925">
        <v>713</v>
      </c>
      <c r="J925">
        <v>1987</v>
      </c>
      <c r="K925" s="4">
        <v>44090</v>
      </c>
      <c r="L925" t="s">
        <v>23</v>
      </c>
      <c r="M925" t="s">
        <v>47</v>
      </c>
      <c r="N925">
        <v>2.52</v>
      </c>
      <c r="O925">
        <v>808</v>
      </c>
      <c r="P925">
        <v>3.77</v>
      </c>
      <c r="Q925">
        <v>133</v>
      </c>
      <c r="R925">
        <v>445</v>
      </c>
    </row>
    <row r="926" spans="1:18" hidden="1" x14ac:dyDescent="0.2">
      <c r="A926">
        <v>4</v>
      </c>
      <c r="B926" t="s">
        <v>73</v>
      </c>
      <c r="E926" t="s">
        <v>51</v>
      </c>
      <c r="F926">
        <v>903997</v>
      </c>
      <c r="G926">
        <v>5</v>
      </c>
      <c r="H926">
        <v>2</v>
      </c>
      <c r="I926">
        <v>172</v>
      </c>
      <c r="J926">
        <v>1989</v>
      </c>
      <c r="K926" s="4">
        <v>45619</v>
      </c>
      <c r="L926" t="s">
        <v>26</v>
      </c>
      <c r="M926" t="s">
        <v>63</v>
      </c>
      <c r="N926">
        <v>1.88</v>
      </c>
      <c r="O926">
        <v>1453</v>
      </c>
      <c r="P926">
        <v>3.35</v>
      </c>
      <c r="Q926">
        <v>356</v>
      </c>
      <c r="R926">
        <v>382</v>
      </c>
    </row>
    <row r="927" spans="1:18" x14ac:dyDescent="0.2">
      <c r="A927">
        <v>8</v>
      </c>
      <c r="B927" t="s">
        <v>53</v>
      </c>
      <c r="C927" t="str">
        <f>VLOOKUP(B927, 'Council Area'!$A$2:$B$51, 2)</f>
        <v>Randwick City Council</v>
      </c>
      <c r="D927" t="str">
        <f>_xlfn.XLOOKUP(B927, 'Council Area'!$A$2:$A$51, 'Council Area'!$B$2:$B$51)</f>
        <v>Randwick City Council</v>
      </c>
      <c r="E927" t="s">
        <v>29</v>
      </c>
      <c r="F927">
        <v>1671063</v>
      </c>
      <c r="G927">
        <v>3</v>
      </c>
      <c r="H927">
        <v>2</v>
      </c>
      <c r="I927">
        <v>637</v>
      </c>
      <c r="J927">
        <v>2012</v>
      </c>
      <c r="K927" s="4">
        <v>44951</v>
      </c>
      <c r="L927" t="s">
        <v>30</v>
      </c>
      <c r="M927" t="s">
        <v>31</v>
      </c>
      <c r="N927">
        <v>2.76</v>
      </c>
      <c r="O927">
        <v>2059</v>
      </c>
      <c r="P927">
        <v>4.25</v>
      </c>
      <c r="Q927">
        <v>249</v>
      </c>
      <c r="R927">
        <v>570</v>
      </c>
    </row>
    <row r="928" spans="1:18" hidden="1" x14ac:dyDescent="0.2">
      <c r="A928">
        <v>3</v>
      </c>
      <c r="B928" t="s">
        <v>71</v>
      </c>
      <c r="E928" t="s">
        <v>29</v>
      </c>
      <c r="F928">
        <v>1415537</v>
      </c>
      <c r="G928">
        <v>3</v>
      </c>
      <c r="H928">
        <v>1</v>
      </c>
      <c r="I928">
        <v>713</v>
      </c>
      <c r="J928">
        <v>1966</v>
      </c>
      <c r="K928" s="4">
        <v>45830</v>
      </c>
      <c r="L928" t="s">
        <v>30</v>
      </c>
      <c r="M928" t="s">
        <v>66</v>
      </c>
      <c r="N928">
        <v>2.2200000000000002</v>
      </c>
      <c r="O928">
        <v>2039</v>
      </c>
      <c r="P928">
        <v>2.5299999999999998</v>
      </c>
      <c r="Q928">
        <v>305</v>
      </c>
      <c r="R928">
        <v>339</v>
      </c>
    </row>
    <row r="929" spans="1:18" hidden="1" x14ac:dyDescent="0.2">
      <c r="A929">
        <v>1</v>
      </c>
      <c r="B929" t="s">
        <v>32</v>
      </c>
      <c r="E929" t="s">
        <v>19</v>
      </c>
      <c r="F929">
        <v>1064179</v>
      </c>
      <c r="G929">
        <v>1</v>
      </c>
      <c r="H929">
        <v>3</v>
      </c>
      <c r="I929">
        <v>81</v>
      </c>
      <c r="J929">
        <v>2003</v>
      </c>
      <c r="K929" s="4">
        <v>45039</v>
      </c>
      <c r="L929" t="s">
        <v>30</v>
      </c>
      <c r="M929" t="s">
        <v>21</v>
      </c>
      <c r="N929">
        <v>3.15</v>
      </c>
      <c r="O929">
        <v>1935</v>
      </c>
      <c r="P929">
        <v>3.66</v>
      </c>
      <c r="Q929">
        <v>61</v>
      </c>
      <c r="R929">
        <v>549</v>
      </c>
    </row>
    <row r="930" spans="1:18" hidden="1" x14ac:dyDescent="0.2">
      <c r="A930">
        <v>6</v>
      </c>
      <c r="B930" t="s">
        <v>57</v>
      </c>
      <c r="E930" t="s">
        <v>29</v>
      </c>
      <c r="F930">
        <v>1415221</v>
      </c>
      <c r="G930">
        <v>2</v>
      </c>
      <c r="H930">
        <v>3</v>
      </c>
      <c r="I930">
        <v>405</v>
      </c>
      <c r="J930">
        <v>1950</v>
      </c>
      <c r="K930" s="4">
        <v>45501</v>
      </c>
      <c r="L930" t="s">
        <v>30</v>
      </c>
      <c r="M930" t="s">
        <v>97</v>
      </c>
      <c r="N930">
        <v>2.4</v>
      </c>
      <c r="O930">
        <v>2321</v>
      </c>
      <c r="P930">
        <v>0.98</v>
      </c>
      <c r="Q930">
        <v>188</v>
      </c>
      <c r="R930">
        <v>508</v>
      </c>
    </row>
    <row r="931" spans="1:18" hidden="1" x14ac:dyDescent="0.2">
      <c r="A931">
        <v>6</v>
      </c>
      <c r="B931" t="s">
        <v>101</v>
      </c>
      <c r="E931" t="s">
        <v>19</v>
      </c>
      <c r="F931">
        <v>639174</v>
      </c>
      <c r="G931">
        <v>0</v>
      </c>
      <c r="H931">
        <v>1</v>
      </c>
      <c r="I931">
        <v>805</v>
      </c>
      <c r="J931">
        <v>1951</v>
      </c>
      <c r="K931" s="4">
        <v>44298</v>
      </c>
      <c r="L931" t="s">
        <v>23</v>
      </c>
      <c r="M931" t="s">
        <v>42</v>
      </c>
      <c r="N931">
        <v>2.75</v>
      </c>
      <c r="O931">
        <v>2409</v>
      </c>
      <c r="P931">
        <v>0.44</v>
      </c>
      <c r="Q931">
        <v>79</v>
      </c>
      <c r="R931">
        <v>539</v>
      </c>
    </row>
    <row r="932" spans="1:18" hidden="1" x14ac:dyDescent="0.2">
      <c r="A932">
        <v>3</v>
      </c>
      <c r="B932" t="s">
        <v>104</v>
      </c>
      <c r="E932" t="s">
        <v>29</v>
      </c>
      <c r="F932">
        <v>2003179</v>
      </c>
      <c r="G932">
        <v>2</v>
      </c>
      <c r="H932">
        <v>2</v>
      </c>
      <c r="I932">
        <v>263</v>
      </c>
      <c r="J932">
        <v>1986</v>
      </c>
      <c r="K932" s="4">
        <v>44894</v>
      </c>
      <c r="L932" t="s">
        <v>26</v>
      </c>
      <c r="M932" t="s">
        <v>70</v>
      </c>
      <c r="N932">
        <v>3.49</v>
      </c>
      <c r="O932">
        <v>2347</v>
      </c>
      <c r="P932">
        <v>3.81</v>
      </c>
      <c r="Q932">
        <v>196</v>
      </c>
      <c r="R932">
        <v>423</v>
      </c>
    </row>
    <row r="933" spans="1:18" hidden="1" x14ac:dyDescent="0.2">
      <c r="A933">
        <v>0</v>
      </c>
      <c r="B933" t="s">
        <v>53</v>
      </c>
      <c r="E933" t="s">
        <v>29</v>
      </c>
      <c r="F933">
        <v>2073893</v>
      </c>
      <c r="G933">
        <v>5</v>
      </c>
      <c r="H933">
        <v>3</v>
      </c>
      <c r="I933">
        <v>328</v>
      </c>
      <c r="J933">
        <v>2011</v>
      </c>
      <c r="K933" s="4">
        <v>45610</v>
      </c>
      <c r="L933" t="s">
        <v>20</v>
      </c>
      <c r="M933" t="s">
        <v>69</v>
      </c>
      <c r="N933">
        <v>2.0099999999999998</v>
      </c>
      <c r="O933">
        <v>2148</v>
      </c>
      <c r="P933">
        <v>0.9</v>
      </c>
      <c r="Q933">
        <v>299</v>
      </c>
      <c r="R933">
        <v>599</v>
      </c>
    </row>
    <row r="934" spans="1:18" hidden="1" x14ac:dyDescent="0.2">
      <c r="A934">
        <v>7</v>
      </c>
      <c r="B934" t="s">
        <v>94</v>
      </c>
      <c r="E934" t="s">
        <v>19</v>
      </c>
      <c r="F934">
        <v>2034491</v>
      </c>
      <c r="G934">
        <v>2</v>
      </c>
      <c r="H934">
        <v>3</v>
      </c>
      <c r="I934">
        <v>488</v>
      </c>
      <c r="J934">
        <v>2000</v>
      </c>
      <c r="K934" s="4">
        <v>44119</v>
      </c>
      <c r="L934" t="s">
        <v>20</v>
      </c>
      <c r="M934" t="s">
        <v>27</v>
      </c>
      <c r="N934">
        <v>3.31</v>
      </c>
      <c r="O934">
        <v>1685</v>
      </c>
      <c r="P934">
        <v>2.76</v>
      </c>
      <c r="Q934">
        <v>43</v>
      </c>
      <c r="R934">
        <v>466</v>
      </c>
    </row>
    <row r="935" spans="1:18" hidden="1" x14ac:dyDescent="0.2">
      <c r="A935">
        <v>1</v>
      </c>
      <c r="B935" t="s">
        <v>67</v>
      </c>
      <c r="E935" t="s">
        <v>29</v>
      </c>
      <c r="F935">
        <v>1066541</v>
      </c>
      <c r="G935">
        <v>3</v>
      </c>
      <c r="H935">
        <v>2</v>
      </c>
      <c r="I935">
        <v>747</v>
      </c>
      <c r="J935">
        <v>1980</v>
      </c>
      <c r="K935" s="4">
        <v>45273</v>
      </c>
      <c r="L935" t="s">
        <v>23</v>
      </c>
      <c r="M935" t="s">
        <v>21</v>
      </c>
      <c r="N935">
        <v>3.45</v>
      </c>
      <c r="O935">
        <v>2421</v>
      </c>
      <c r="P935">
        <v>2.17</v>
      </c>
      <c r="Q935">
        <v>177</v>
      </c>
      <c r="R935">
        <v>611</v>
      </c>
    </row>
    <row r="936" spans="1:18" hidden="1" x14ac:dyDescent="0.2">
      <c r="A936">
        <v>9</v>
      </c>
      <c r="B936" t="s">
        <v>71</v>
      </c>
      <c r="E936" t="s">
        <v>19</v>
      </c>
      <c r="F936">
        <v>2152778</v>
      </c>
      <c r="G936">
        <v>5</v>
      </c>
      <c r="H936">
        <v>3</v>
      </c>
      <c r="I936">
        <v>652</v>
      </c>
      <c r="J936">
        <v>1994</v>
      </c>
      <c r="K936" s="4">
        <v>45848</v>
      </c>
      <c r="L936" t="s">
        <v>26</v>
      </c>
      <c r="M936" t="s">
        <v>85</v>
      </c>
      <c r="N936">
        <v>1.54</v>
      </c>
      <c r="O936">
        <v>1616</v>
      </c>
      <c r="P936">
        <v>2.71</v>
      </c>
      <c r="Q936">
        <v>331</v>
      </c>
      <c r="R936">
        <v>621</v>
      </c>
    </row>
    <row r="937" spans="1:18" hidden="1" x14ac:dyDescent="0.2">
      <c r="A937">
        <v>9</v>
      </c>
      <c r="B937" t="s">
        <v>72</v>
      </c>
      <c r="E937" t="s">
        <v>36</v>
      </c>
      <c r="F937">
        <v>959137</v>
      </c>
      <c r="G937">
        <v>4</v>
      </c>
      <c r="H937">
        <v>3</v>
      </c>
      <c r="I937">
        <v>488</v>
      </c>
      <c r="J937">
        <v>1992</v>
      </c>
      <c r="K937" s="4">
        <v>45845</v>
      </c>
      <c r="L937" t="s">
        <v>23</v>
      </c>
      <c r="M937" t="s">
        <v>52</v>
      </c>
      <c r="N937">
        <v>1.63</v>
      </c>
      <c r="O937">
        <v>1731</v>
      </c>
      <c r="P937">
        <v>0.94</v>
      </c>
      <c r="Q937">
        <v>232</v>
      </c>
      <c r="R937">
        <v>333</v>
      </c>
    </row>
    <row r="938" spans="1:18" hidden="1" x14ac:dyDescent="0.2">
      <c r="A938">
        <v>4</v>
      </c>
      <c r="B938" t="s">
        <v>57</v>
      </c>
      <c r="E938" t="s">
        <v>19</v>
      </c>
      <c r="F938">
        <v>2740129</v>
      </c>
      <c r="G938">
        <v>4</v>
      </c>
      <c r="H938">
        <v>3</v>
      </c>
      <c r="I938">
        <v>74</v>
      </c>
      <c r="J938">
        <v>1965</v>
      </c>
      <c r="K938" s="4">
        <v>44676</v>
      </c>
      <c r="L938" t="s">
        <v>23</v>
      </c>
      <c r="M938" t="s">
        <v>56</v>
      </c>
      <c r="N938">
        <v>2.08</v>
      </c>
      <c r="O938">
        <v>1237</v>
      </c>
      <c r="P938">
        <v>2.13</v>
      </c>
      <c r="Q938">
        <v>222</v>
      </c>
      <c r="R938">
        <v>351</v>
      </c>
    </row>
    <row r="939" spans="1:18" x14ac:dyDescent="0.2">
      <c r="A939">
        <v>8</v>
      </c>
      <c r="B939" t="s">
        <v>61</v>
      </c>
      <c r="C939" t="str">
        <f>VLOOKUP(B939, 'Council Area'!$A$2:$B$51, 2)</f>
        <v>Parramatta City Council</v>
      </c>
      <c r="D939" t="str">
        <f>_xlfn.XLOOKUP(B939, 'Council Area'!$A$2:$A$51, 'Council Area'!$B$2:$B$51)</f>
        <v>Parramatta City Council</v>
      </c>
      <c r="E939" t="s">
        <v>36</v>
      </c>
      <c r="F939">
        <v>452515</v>
      </c>
      <c r="G939">
        <v>2</v>
      </c>
      <c r="H939">
        <v>1</v>
      </c>
      <c r="I939">
        <v>977</v>
      </c>
      <c r="J939">
        <v>2006</v>
      </c>
      <c r="K939" s="4">
        <v>44832</v>
      </c>
      <c r="L939" t="s">
        <v>20</v>
      </c>
      <c r="M939" t="s">
        <v>33</v>
      </c>
      <c r="N939">
        <v>2.04</v>
      </c>
      <c r="O939">
        <v>1096</v>
      </c>
      <c r="P939">
        <v>3.97</v>
      </c>
      <c r="Q939">
        <v>68</v>
      </c>
      <c r="R939">
        <v>629</v>
      </c>
    </row>
    <row r="940" spans="1:18" hidden="1" x14ac:dyDescent="0.2">
      <c r="A940">
        <v>3</v>
      </c>
      <c r="B940" t="s">
        <v>91</v>
      </c>
      <c r="E940" t="s">
        <v>29</v>
      </c>
      <c r="F940">
        <v>2185855</v>
      </c>
      <c r="G940">
        <v>4</v>
      </c>
      <c r="H940">
        <v>2</v>
      </c>
      <c r="I940">
        <v>359</v>
      </c>
      <c r="J940">
        <v>2017</v>
      </c>
      <c r="K940" s="4">
        <v>44207</v>
      </c>
      <c r="L940" t="s">
        <v>30</v>
      </c>
      <c r="M940" t="s">
        <v>68</v>
      </c>
      <c r="N940">
        <v>3.1</v>
      </c>
      <c r="O940">
        <v>1433</v>
      </c>
      <c r="P940">
        <v>0.57999999999999996</v>
      </c>
      <c r="Q940">
        <v>388</v>
      </c>
      <c r="R940">
        <v>429</v>
      </c>
    </row>
    <row r="941" spans="1:18" hidden="1" x14ac:dyDescent="0.2">
      <c r="A941">
        <v>7</v>
      </c>
      <c r="B941" t="s">
        <v>34</v>
      </c>
      <c r="E941" t="s">
        <v>36</v>
      </c>
      <c r="F941">
        <v>1301444</v>
      </c>
      <c r="G941">
        <v>2</v>
      </c>
      <c r="H941">
        <v>2</v>
      </c>
      <c r="I941">
        <v>510</v>
      </c>
      <c r="J941">
        <v>1983</v>
      </c>
      <c r="K941" s="4">
        <v>44144</v>
      </c>
      <c r="L941" t="s">
        <v>30</v>
      </c>
      <c r="M941" t="s">
        <v>40</v>
      </c>
      <c r="N941">
        <v>3.26</v>
      </c>
      <c r="O941">
        <v>1090</v>
      </c>
      <c r="P941">
        <v>2.71</v>
      </c>
      <c r="Q941">
        <v>225</v>
      </c>
      <c r="R941">
        <v>457</v>
      </c>
    </row>
    <row r="942" spans="1:18" x14ac:dyDescent="0.2">
      <c r="A942">
        <v>8</v>
      </c>
      <c r="B942" t="s">
        <v>38</v>
      </c>
      <c r="C942" t="str">
        <f>VLOOKUP(B942, 'Council Area'!$A$2:$B$51, 2)</f>
        <v>Sutherland Shire Council</v>
      </c>
      <c r="D942" t="str">
        <f>_xlfn.XLOOKUP(B942, 'Council Area'!$A$2:$A$51, 'Council Area'!$B$2:$B$51)</f>
        <v>Sutherland Shire Council</v>
      </c>
      <c r="E942" t="s">
        <v>51</v>
      </c>
      <c r="F942">
        <v>2983596</v>
      </c>
      <c r="G942">
        <v>4</v>
      </c>
      <c r="H942">
        <v>2</v>
      </c>
      <c r="I942">
        <v>696</v>
      </c>
      <c r="J942">
        <v>2000</v>
      </c>
      <c r="K942" s="4">
        <v>45294</v>
      </c>
      <c r="L942" t="s">
        <v>20</v>
      </c>
      <c r="M942" t="s">
        <v>78</v>
      </c>
      <c r="N942">
        <v>1.6</v>
      </c>
      <c r="O942">
        <v>1645</v>
      </c>
      <c r="P942">
        <v>2.2599999999999998</v>
      </c>
      <c r="Q942">
        <v>264</v>
      </c>
      <c r="R942">
        <v>666</v>
      </c>
    </row>
    <row r="943" spans="1:18" hidden="1" x14ac:dyDescent="0.2">
      <c r="A943">
        <v>6</v>
      </c>
      <c r="B943" t="s">
        <v>106</v>
      </c>
      <c r="E943" t="s">
        <v>19</v>
      </c>
      <c r="F943">
        <v>2762024</v>
      </c>
      <c r="G943">
        <v>3</v>
      </c>
      <c r="H943">
        <v>2</v>
      </c>
      <c r="I943">
        <v>0</v>
      </c>
      <c r="J943">
        <v>2009</v>
      </c>
      <c r="K943" s="4">
        <v>45222</v>
      </c>
      <c r="L943" t="s">
        <v>23</v>
      </c>
      <c r="M943" t="s">
        <v>33</v>
      </c>
      <c r="N943">
        <v>1.67</v>
      </c>
      <c r="O943">
        <v>1185</v>
      </c>
      <c r="P943">
        <v>3.89</v>
      </c>
      <c r="Q943">
        <v>304</v>
      </c>
      <c r="R943">
        <v>319</v>
      </c>
    </row>
    <row r="944" spans="1:18" hidden="1" x14ac:dyDescent="0.2">
      <c r="A944">
        <v>2</v>
      </c>
      <c r="B944" t="s">
        <v>28</v>
      </c>
      <c r="E944" t="s">
        <v>19</v>
      </c>
      <c r="F944">
        <v>2070979</v>
      </c>
      <c r="G944">
        <v>5</v>
      </c>
      <c r="H944">
        <v>1</v>
      </c>
      <c r="I944">
        <v>211</v>
      </c>
      <c r="J944">
        <v>1995</v>
      </c>
      <c r="K944" s="4">
        <v>45076</v>
      </c>
      <c r="L944" t="s">
        <v>20</v>
      </c>
      <c r="M944" t="s">
        <v>77</v>
      </c>
      <c r="N944">
        <v>2.14</v>
      </c>
      <c r="O944">
        <v>2094</v>
      </c>
      <c r="P944">
        <v>1.7</v>
      </c>
      <c r="Q944">
        <v>364</v>
      </c>
      <c r="R944">
        <v>497</v>
      </c>
    </row>
    <row r="945" spans="1:18" hidden="1" x14ac:dyDescent="0.2">
      <c r="A945">
        <v>2</v>
      </c>
      <c r="B945" t="s">
        <v>90</v>
      </c>
      <c r="E945" t="s">
        <v>29</v>
      </c>
      <c r="F945">
        <v>1726104</v>
      </c>
      <c r="G945">
        <v>3</v>
      </c>
      <c r="H945">
        <v>3</v>
      </c>
      <c r="I945">
        <v>234</v>
      </c>
      <c r="J945">
        <v>2020</v>
      </c>
      <c r="K945" s="4">
        <v>45421</v>
      </c>
      <c r="L945" t="s">
        <v>23</v>
      </c>
      <c r="M945" t="s">
        <v>56</v>
      </c>
      <c r="N945">
        <v>3.38</v>
      </c>
      <c r="O945">
        <v>2488</v>
      </c>
      <c r="P945">
        <v>2.39</v>
      </c>
      <c r="Q945">
        <v>92</v>
      </c>
      <c r="R945">
        <v>664</v>
      </c>
    </row>
    <row r="946" spans="1:18" hidden="1" x14ac:dyDescent="0.2">
      <c r="A946">
        <v>1</v>
      </c>
      <c r="B946" t="s">
        <v>34</v>
      </c>
      <c r="E946" t="s">
        <v>19</v>
      </c>
      <c r="F946">
        <v>1198262</v>
      </c>
      <c r="G946">
        <v>5</v>
      </c>
      <c r="H946">
        <v>2</v>
      </c>
      <c r="I946">
        <v>548</v>
      </c>
      <c r="J946">
        <v>1962</v>
      </c>
      <c r="K946" s="4">
        <v>45837</v>
      </c>
      <c r="L946" t="s">
        <v>23</v>
      </c>
      <c r="M946" t="s">
        <v>89</v>
      </c>
      <c r="N946">
        <v>3.47</v>
      </c>
      <c r="O946">
        <v>1358</v>
      </c>
      <c r="P946">
        <v>2.38</v>
      </c>
      <c r="Q946">
        <v>306</v>
      </c>
      <c r="R946">
        <v>406</v>
      </c>
    </row>
    <row r="947" spans="1:18" hidden="1" x14ac:dyDescent="0.2">
      <c r="A947">
        <v>1</v>
      </c>
      <c r="B947" t="s">
        <v>101</v>
      </c>
      <c r="E947" t="s">
        <v>19</v>
      </c>
      <c r="F947">
        <v>619350</v>
      </c>
      <c r="G947">
        <v>1</v>
      </c>
      <c r="H947">
        <v>1</v>
      </c>
      <c r="I947">
        <v>239</v>
      </c>
      <c r="J947">
        <v>1994</v>
      </c>
      <c r="K947" s="4">
        <v>44605</v>
      </c>
      <c r="L947" t="s">
        <v>23</v>
      </c>
      <c r="M947" t="s">
        <v>78</v>
      </c>
      <c r="N947">
        <v>1.7</v>
      </c>
      <c r="O947">
        <v>1755</v>
      </c>
      <c r="P947">
        <v>1.59</v>
      </c>
      <c r="Q947">
        <v>44</v>
      </c>
      <c r="R947">
        <v>666</v>
      </c>
    </row>
    <row r="948" spans="1:18" hidden="1" x14ac:dyDescent="0.2">
      <c r="A948">
        <v>3</v>
      </c>
      <c r="B948" t="s">
        <v>53</v>
      </c>
      <c r="E948" t="s">
        <v>36</v>
      </c>
      <c r="F948">
        <v>439003</v>
      </c>
      <c r="G948">
        <v>3</v>
      </c>
      <c r="H948">
        <v>3</v>
      </c>
      <c r="I948">
        <v>804</v>
      </c>
      <c r="J948">
        <v>2017</v>
      </c>
      <c r="K948" s="4">
        <v>44621</v>
      </c>
      <c r="L948" t="s">
        <v>30</v>
      </c>
      <c r="M948" t="s">
        <v>63</v>
      </c>
      <c r="N948">
        <v>3.4</v>
      </c>
      <c r="O948">
        <v>2389</v>
      </c>
      <c r="P948">
        <v>1.66</v>
      </c>
      <c r="Q948">
        <v>203</v>
      </c>
      <c r="R948">
        <v>340</v>
      </c>
    </row>
    <row r="949" spans="1:18" hidden="1" x14ac:dyDescent="0.2">
      <c r="A949">
        <v>7</v>
      </c>
      <c r="B949" t="s">
        <v>48</v>
      </c>
      <c r="E949" t="s">
        <v>29</v>
      </c>
      <c r="F949">
        <v>1518306</v>
      </c>
      <c r="G949">
        <v>1</v>
      </c>
      <c r="H949">
        <v>1</v>
      </c>
      <c r="I949">
        <v>569</v>
      </c>
      <c r="J949">
        <v>2014</v>
      </c>
      <c r="K949" s="4">
        <v>44529</v>
      </c>
      <c r="L949" t="s">
        <v>20</v>
      </c>
      <c r="M949" t="s">
        <v>97</v>
      </c>
      <c r="N949">
        <v>3.19</v>
      </c>
      <c r="O949">
        <v>1435</v>
      </c>
      <c r="P949">
        <v>4.2699999999999996</v>
      </c>
      <c r="Q949">
        <v>135</v>
      </c>
      <c r="R949">
        <v>427</v>
      </c>
    </row>
    <row r="950" spans="1:18" hidden="1" x14ac:dyDescent="0.2">
      <c r="A950">
        <v>3</v>
      </c>
      <c r="B950" t="s">
        <v>87</v>
      </c>
      <c r="E950" t="s">
        <v>36</v>
      </c>
      <c r="F950">
        <v>2594860</v>
      </c>
      <c r="G950">
        <v>4</v>
      </c>
      <c r="H950">
        <v>3</v>
      </c>
      <c r="I950">
        <v>557</v>
      </c>
      <c r="J950">
        <v>2011</v>
      </c>
      <c r="K950" s="4">
        <v>44476</v>
      </c>
      <c r="L950" t="s">
        <v>30</v>
      </c>
      <c r="M950" t="s">
        <v>97</v>
      </c>
      <c r="N950">
        <v>1.96</v>
      </c>
      <c r="O950">
        <v>2084</v>
      </c>
      <c r="P950">
        <v>2.31</v>
      </c>
      <c r="Q950">
        <v>365</v>
      </c>
      <c r="R950">
        <v>473</v>
      </c>
    </row>
    <row r="951" spans="1:18" hidden="1" x14ac:dyDescent="0.2">
      <c r="A951">
        <v>7</v>
      </c>
      <c r="B951" t="s">
        <v>86</v>
      </c>
      <c r="E951" t="s">
        <v>36</v>
      </c>
      <c r="F951">
        <v>2078224</v>
      </c>
      <c r="G951">
        <v>4</v>
      </c>
      <c r="H951">
        <v>3</v>
      </c>
      <c r="I951">
        <v>340</v>
      </c>
      <c r="J951">
        <v>1995</v>
      </c>
      <c r="K951" s="4">
        <v>44999</v>
      </c>
      <c r="L951" t="s">
        <v>23</v>
      </c>
      <c r="M951" t="s">
        <v>63</v>
      </c>
      <c r="N951">
        <v>2.65</v>
      </c>
      <c r="O951">
        <v>2100</v>
      </c>
      <c r="P951">
        <v>4.4800000000000004</v>
      </c>
      <c r="Q951">
        <v>309</v>
      </c>
      <c r="R951">
        <v>510</v>
      </c>
    </row>
    <row r="952" spans="1:18" x14ac:dyDescent="0.2">
      <c r="A952">
        <v>8</v>
      </c>
      <c r="B952" t="s">
        <v>87</v>
      </c>
      <c r="C952" t="str">
        <f>VLOOKUP(B952, 'Council Area'!$A$2:$B$51, 2)</f>
        <v>Randwick City Council</v>
      </c>
      <c r="D952" t="str">
        <f>_xlfn.XLOOKUP(B952, 'Council Area'!$A$2:$A$51, 'Council Area'!$B$2:$B$51)</f>
        <v>Randwick City Council</v>
      </c>
      <c r="E952" t="s">
        <v>36</v>
      </c>
      <c r="F952">
        <v>1048416</v>
      </c>
      <c r="G952">
        <v>1</v>
      </c>
      <c r="H952">
        <v>2</v>
      </c>
      <c r="I952">
        <v>421</v>
      </c>
      <c r="J952">
        <v>1966</v>
      </c>
      <c r="K952" s="4">
        <v>45037</v>
      </c>
      <c r="L952" t="s">
        <v>20</v>
      </c>
      <c r="M952" t="s">
        <v>63</v>
      </c>
      <c r="N952">
        <v>1.94</v>
      </c>
      <c r="O952">
        <v>1789</v>
      </c>
      <c r="P952">
        <v>2.89</v>
      </c>
      <c r="Q952">
        <v>80</v>
      </c>
      <c r="R952">
        <v>537</v>
      </c>
    </row>
    <row r="953" spans="1:18" hidden="1" x14ac:dyDescent="0.2">
      <c r="A953">
        <v>5</v>
      </c>
      <c r="B953" t="s">
        <v>106</v>
      </c>
      <c r="E953" t="s">
        <v>51</v>
      </c>
      <c r="F953">
        <v>1870984</v>
      </c>
      <c r="G953">
        <v>3</v>
      </c>
      <c r="H953">
        <v>1</v>
      </c>
      <c r="I953">
        <v>958</v>
      </c>
      <c r="J953">
        <v>1984</v>
      </c>
      <c r="K953" s="4">
        <v>44864</v>
      </c>
      <c r="L953" t="s">
        <v>26</v>
      </c>
      <c r="M953" t="s">
        <v>31</v>
      </c>
      <c r="N953">
        <v>2.38</v>
      </c>
      <c r="O953">
        <v>1942</v>
      </c>
      <c r="P953">
        <v>3.47</v>
      </c>
      <c r="Q953">
        <v>271</v>
      </c>
      <c r="R953">
        <v>317</v>
      </c>
    </row>
    <row r="954" spans="1:18" hidden="1" x14ac:dyDescent="0.2">
      <c r="A954">
        <v>1</v>
      </c>
      <c r="B954" t="s">
        <v>53</v>
      </c>
      <c r="E954" t="s">
        <v>19</v>
      </c>
      <c r="F954">
        <v>1011590</v>
      </c>
      <c r="G954">
        <v>4</v>
      </c>
      <c r="H954">
        <v>1</v>
      </c>
      <c r="I954">
        <v>492</v>
      </c>
      <c r="J954">
        <v>1980</v>
      </c>
      <c r="K954" s="4">
        <v>44746</v>
      </c>
      <c r="L954" t="s">
        <v>23</v>
      </c>
      <c r="M954" t="s">
        <v>47</v>
      </c>
      <c r="N954">
        <v>2.8</v>
      </c>
      <c r="O954">
        <v>2198</v>
      </c>
      <c r="P954">
        <v>2.66</v>
      </c>
      <c r="Q954">
        <v>200</v>
      </c>
      <c r="R954">
        <v>632</v>
      </c>
    </row>
    <row r="955" spans="1:18" hidden="1" x14ac:dyDescent="0.2">
      <c r="A955">
        <v>2</v>
      </c>
      <c r="B955" t="s">
        <v>75</v>
      </c>
      <c r="E955" t="s">
        <v>19</v>
      </c>
      <c r="F955">
        <v>1566046</v>
      </c>
      <c r="G955">
        <v>5</v>
      </c>
      <c r="H955">
        <v>3</v>
      </c>
      <c r="I955">
        <v>779</v>
      </c>
      <c r="J955">
        <v>2003</v>
      </c>
      <c r="K955" s="4">
        <v>45256</v>
      </c>
      <c r="L955" t="s">
        <v>30</v>
      </c>
      <c r="M955" t="s">
        <v>27</v>
      </c>
      <c r="N955">
        <v>3.08</v>
      </c>
      <c r="O955">
        <v>2353</v>
      </c>
      <c r="P955">
        <v>3.41</v>
      </c>
      <c r="Q955">
        <v>259</v>
      </c>
      <c r="R955">
        <v>558</v>
      </c>
    </row>
    <row r="956" spans="1:18" hidden="1" x14ac:dyDescent="0.2">
      <c r="A956">
        <v>9</v>
      </c>
      <c r="B956" t="s">
        <v>100</v>
      </c>
      <c r="E956" t="s">
        <v>36</v>
      </c>
      <c r="F956">
        <v>2492041</v>
      </c>
      <c r="G956">
        <v>2</v>
      </c>
      <c r="H956">
        <v>2</v>
      </c>
      <c r="I956">
        <v>728</v>
      </c>
      <c r="J956">
        <v>2016</v>
      </c>
      <c r="K956" s="4">
        <v>45570</v>
      </c>
      <c r="L956" t="s">
        <v>23</v>
      </c>
      <c r="M956" t="s">
        <v>21</v>
      </c>
      <c r="N956">
        <v>3.36</v>
      </c>
      <c r="O956">
        <v>1357</v>
      </c>
      <c r="P956">
        <v>1.59</v>
      </c>
      <c r="Q956">
        <v>81</v>
      </c>
      <c r="R956">
        <v>631</v>
      </c>
    </row>
    <row r="957" spans="1:18" hidden="1" x14ac:dyDescent="0.2">
      <c r="A957">
        <v>5</v>
      </c>
      <c r="B957" t="s">
        <v>67</v>
      </c>
      <c r="E957" t="s">
        <v>36</v>
      </c>
      <c r="F957">
        <v>2329244</v>
      </c>
      <c r="G957">
        <v>4</v>
      </c>
      <c r="H957">
        <v>1</v>
      </c>
      <c r="I957">
        <v>965</v>
      </c>
      <c r="J957">
        <v>1968</v>
      </c>
      <c r="K957" s="4">
        <v>44589</v>
      </c>
      <c r="L957" t="s">
        <v>26</v>
      </c>
      <c r="M957" t="s">
        <v>59</v>
      </c>
      <c r="N957">
        <v>1.88</v>
      </c>
      <c r="O957">
        <v>2261</v>
      </c>
      <c r="P957">
        <v>3.55</v>
      </c>
      <c r="Q957">
        <v>181</v>
      </c>
      <c r="R957">
        <v>456</v>
      </c>
    </row>
    <row r="958" spans="1:18" hidden="1" x14ac:dyDescent="0.2">
      <c r="A958">
        <v>1</v>
      </c>
      <c r="B958" t="s">
        <v>101</v>
      </c>
      <c r="E958" t="s">
        <v>29</v>
      </c>
      <c r="F958">
        <v>854100</v>
      </c>
      <c r="G958">
        <v>4</v>
      </c>
      <c r="H958">
        <v>1</v>
      </c>
      <c r="I958">
        <v>913</v>
      </c>
      <c r="J958">
        <v>1958</v>
      </c>
      <c r="K958" s="4">
        <v>44500</v>
      </c>
      <c r="L958" t="s">
        <v>23</v>
      </c>
      <c r="M958" t="s">
        <v>21</v>
      </c>
      <c r="N958">
        <v>3.08</v>
      </c>
      <c r="O958">
        <v>2173</v>
      </c>
      <c r="P958">
        <v>3.82</v>
      </c>
      <c r="Q958">
        <v>258</v>
      </c>
      <c r="R958">
        <v>305</v>
      </c>
    </row>
    <row r="959" spans="1:18" hidden="1" x14ac:dyDescent="0.2">
      <c r="A959">
        <v>3</v>
      </c>
      <c r="B959" t="s">
        <v>91</v>
      </c>
      <c r="E959" t="s">
        <v>36</v>
      </c>
      <c r="F959">
        <v>2404057</v>
      </c>
      <c r="G959">
        <v>4</v>
      </c>
      <c r="H959">
        <v>1</v>
      </c>
      <c r="I959">
        <v>191</v>
      </c>
      <c r="J959">
        <v>1960</v>
      </c>
      <c r="K959" s="4">
        <v>44302</v>
      </c>
      <c r="L959" t="s">
        <v>20</v>
      </c>
      <c r="M959" t="s">
        <v>56</v>
      </c>
      <c r="N959">
        <v>2.5099999999999998</v>
      </c>
      <c r="O959">
        <v>1461</v>
      </c>
      <c r="P959">
        <v>3.28</v>
      </c>
      <c r="Q959">
        <v>180</v>
      </c>
      <c r="R959">
        <v>560</v>
      </c>
    </row>
    <row r="960" spans="1:18" x14ac:dyDescent="0.2">
      <c r="A960">
        <v>8</v>
      </c>
      <c r="B960" t="s">
        <v>61</v>
      </c>
      <c r="C960" t="str">
        <f>VLOOKUP(B960, 'Council Area'!$A$2:$B$51, 2)</f>
        <v>Parramatta City Council</v>
      </c>
      <c r="D960" t="str">
        <f>_xlfn.XLOOKUP(B960, 'Council Area'!$A$2:$A$51, 'Council Area'!$B$2:$B$51)</f>
        <v>Parramatta City Council</v>
      </c>
      <c r="E960" t="s">
        <v>36</v>
      </c>
      <c r="F960">
        <v>1150822</v>
      </c>
      <c r="G960">
        <v>5</v>
      </c>
      <c r="H960">
        <v>1</v>
      </c>
      <c r="I960">
        <v>599</v>
      </c>
      <c r="J960">
        <v>1970</v>
      </c>
      <c r="K960" s="4">
        <v>45590</v>
      </c>
      <c r="L960" t="s">
        <v>30</v>
      </c>
      <c r="M960" t="s">
        <v>78</v>
      </c>
      <c r="N960">
        <v>3.3</v>
      </c>
      <c r="O960">
        <v>2187</v>
      </c>
      <c r="P960">
        <v>3.38</v>
      </c>
      <c r="Q960">
        <v>397</v>
      </c>
      <c r="R960">
        <v>429</v>
      </c>
    </row>
    <row r="961" spans="1:18" hidden="1" x14ac:dyDescent="0.2">
      <c r="A961">
        <v>0</v>
      </c>
      <c r="B961" t="s">
        <v>25</v>
      </c>
      <c r="E961" t="s">
        <v>19</v>
      </c>
      <c r="F961">
        <v>610549</v>
      </c>
      <c r="G961">
        <v>3</v>
      </c>
      <c r="H961">
        <v>1</v>
      </c>
      <c r="I961">
        <v>946</v>
      </c>
      <c r="J961">
        <v>1969</v>
      </c>
      <c r="K961" s="4">
        <v>44886</v>
      </c>
      <c r="L961" t="s">
        <v>20</v>
      </c>
      <c r="M961" t="s">
        <v>45</v>
      </c>
      <c r="N961">
        <v>2.15</v>
      </c>
      <c r="O961">
        <v>1148</v>
      </c>
      <c r="P961">
        <v>1.1599999999999999</v>
      </c>
      <c r="Q961">
        <v>174</v>
      </c>
      <c r="R961">
        <v>537</v>
      </c>
    </row>
    <row r="962" spans="1:18" hidden="1" x14ac:dyDescent="0.2">
      <c r="A962">
        <v>2</v>
      </c>
      <c r="B962" t="s">
        <v>96</v>
      </c>
      <c r="E962" t="s">
        <v>29</v>
      </c>
      <c r="F962">
        <v>1159707</v>
      </c>
      <c r="G962">
        <v>4</v>
      </c>
      <c r="H962">
        <v>3</v>
      </c>
      <c r="I962">
        <v>606</v>
      </c>
      <c r="J962">
        <v>2008</v>
      </c>
      <c r="K962" s="4">
        <v>44765</v>
      </c>
      <c r="L962" t="s">
        <v>20</v>
      </c>
      <c r="M962" t="s">
        <v>69</v>
      </c>
      <c r="N962">
        <v>2.82</v>
      </c>
      <c r="O962">
        <v>1355</v>
      </c>
      <c r="P962">
        <v>2.92</v>
      </c>
      <c r="Q962">
        <v>212</v>
      </c>
      <c r="R962">
        <v>576</v>
      </c>
    </row>
    <row r="963" spans="1:18" x14ac:dyDescent="0.2">
      <c r="A963">
        <v>8</v>
      </c>
      <c r="B963" t="s">
        <v>94</v>
      </c>
      <c r="C963" t="str">
        <f>VLOOKUP(B963, 'Council Area'!$A$2:$B$51, 2)</f>
        <v>Sutherland Shire Council</v>
      </c>
      <c r="D963" t="str">
        <f>_xlfn.XLOOKUP(B963, 'Council Area'!$A$2:$A$51, 'Council Area'!$B$2:$B$51)</f>
        <v>Sutherland Shire Council</v>
      </c>
      <c r="E963" t="s">
        <v>19</v>
      </c>
      <c r="F963">
        <v>1358231</v>
      </c>
      <c r="G963">
        <v>1</v>
      </c>
      <c r="H963">
        <v>1</v>
      </c>
      <c r="I963">
        <v>377</v>
      </c>
      <c r="J963">
        <v>1963</v>
      </c>
      <c r="K963" s="4">
        <v>44127</v>
      </c>
      <c r="L963" t="s">
        <v>23</v>
      </c>
      <c r="M963" t="s">
        <v>74</v>
      </c>
      <c r="N963">
        <v>3.14</v>
      </c>
      <c r="O963">
        <v>2488</v>
      </c>
      <c r="P963">
        <v>3.72</v>
      </c>
      <c r="Q963">
        <v>144</v>
      </c>
      <c r="R963">
        <v>365</v>
      </c>
    </row>
    <row r="964" spans="1:18" hidden="1" x14ac:dyDescent="0.2">
      <c r="A964">
        <v>3</v>
      </c>
      <c r="B964" t="s">
        <v>73</v>
      </c>
      <c r="E964" t="s">
        <v>36</v>
      </c>
      <c r="F964">
        <v>808062</v>
      </c>
      <c r="G964">
        <v>3</v>
      </c>
      <c r="H964">
        <v>3</v>
      </c>
      <c r="I964">
        <v>834</v>
      </c>
      <c r="J964">
        <v>2005</v>
      </c>
      <c r="K964" s="4">
        <v>45888</v>
      </c>
      <c r="L964" t="s">
        <v>20</v>
      </c>
      <c r="M964" t="s">
        <v>31</v>
      </c>
      <c r="N964">
        <v>2.7</v>
      </c>
      <c r="O964">
        <v>978</v>
      </c>
      <c r="P964">
        <v>4.67</v>
      </c>
      <c r="Q964">
        <v>298</v>
      </c>
      <c r="R964">
        <v>445</v>
      </c>
    </row>
    <row r="965" spans="1:18" hidden="1" x14ac:dyDescent="0.2">
      <c r="A965">
        <v>0</v>
      </c>
      <c r="B965" t="s">
        <v>73</v>
      </c>
      <c r="E965" t="s">
        <v>36</v>
      </c>
      <c r="F965">
        <v>1748107</v>
      </c>
      <c r="G965">
        <v>1</v>
      </c>
      <c r="H965">
        <v>3</v>
      </c>
      <c r="I965">
        <v>572</v>
      </c>
      <c r="J965">
        <v>1989</v>
      </c>
      <c r="K965" s="4">
        <v>44246</v>
      </c>
      <c r="L965" t="s">
        <v>30</v>
      </c>
      <c r="M965" t="s">
        <v>78</v>
      </c>
      <c r="N965">
        <v>2.89</v>
      </c>
      <c r="O965">
        <v>1174</v>
      </c>
      <c r="P965">
        <v>3.95</v>
      </c>
      <c r="Q965">
        <v>49</v>
      </c>
      <c r="R965">
        <v>566</v>
      </c>
    </row>
    <row r="966" spans="1:18" hidden="1" x14ac:dyDescent="0.2">
      <c r="A966">
        <v>5</v>
      </c>
      <c r="B966" t="s">
        <v>100</v>
      </c>
      <c r="E966" t="s">
        <v>19</v>
      </c>
      <c r="F966">
        <v>1366007</v>
      </c>
      <c r="G966">
        <v>4</v>
      </c>
      <c r="H966">
        <v>1</v>
      </c>
      <c r="I966">
        <v>413</v>
      </c>
      <c r="J966">
        <v>2010</v>
      </c>
      <c r="K966" s="4">
        <v>44671</v>
      </c>
      <c r="L966" t="s">
        <v>30</v>
      </c>
      <c r="M966" t="s">
        <v>68</v>
      </c>
      <c r="N966">
        <v>2.41</v>
      </c>
      <c r="O966">
        <v>1364</v>
      </c>
      <c r="P966">
        <v>1.07</v>
      </c>
      <c r="Q966">
        <v>324</v>
      </c>
      <c r="R966">
        <v>513</v>
      </c>
    </row>
    <row r="967" spans="1:18" hidden="1" x14ac:dyDescent="0.2">
      <c r="A967">
        <v>6</v>
      </c>
      <c r="B967" t="s">
        <v>34</v>
      </c>
      <c r="E967" t="s">
        <v>51</v>
      </c>
      <c r="F967">
        <v>1056745</v>
      </c>
      <c r="G967">
        <v>4</v>
      </c>
      <c r="H967">
        <v>3</v>
      </c>
      <c r="I967">
        <v>341</v>
      </c>
      <c r="J967">
        <v>1995</v>
      </c>
      <c r="K967" s="4">
        <v>45475</v>
      </c>
      <c r="L967" t="s">
        <v>26</v>
      </c>
      <c r="M967" t="s">
        <v>40</v>
      </c>
      <c r="N967">
        <v>1.55</v>
      </c>
      <c r="O967">
        <v>1337</v>
      </c>
      <c r="P967">
        <v>3.91</v>
      </c>
      <c r="Q967">
        <v>335</v>
      </c>
      <c r="R967">
        <v>386</v>
      </c>
    </row>
    <row r="968" spans="1:18" hidden="1" x14ac:dyDescent="0.2">
      <c r="A968">
        <v>2</v>
      </c>
      <c r="B968" t="s">
        <v>65</v>
      </c>
      <c r="E968" t="s">
        <v>19</v>
      </c>
      <c r="F968">
        <v>668817</v>
      </c>
      <c r="G968">
        <v>0</v>
      </c>
      <c r="H968">
        <v>2</v>
      </c>
      <c r="I968">
        <v>245</v>
      </c>
      <c r="J968">
        <v>1955</v>
      </c>
      <c r="K968" s="4">
        <v>44435</v>
      </c>
      <c r="L968" t="s">
        <v>26</v>
      </c>
      <c r="M968" t="s">
        <v>74</v>
      </c>
      <c r="N968">
        <v>2.79</v>
      </c>
      <c r="O968">
        <v>1308</v>
      </c>
      <c r="P968">
        <v>0.56000000000000005</v>
      </c>
      <c r="Q968">
        <v>59</v>
      </c>
      <c r="R968">
        <v>612</v>
      </c>
    </row>
    <row r="969" spans="1:18" hidden="1" x14ac:dyDescent="0.2">
      <c r="A969">
        <v>0</v>
      </c>
      <c r="B969" t="s">
        <v>41</v>
      </c>
      <c r="E969" t="s">
        <v>29</v>
      </c>
      <c r="F969">
        <v>838375</v>
      </c>
      <c r="G969">
        <v>5</v>
      </c>
      <c r="H969">
        <v>2</v>
      </c>
      <c r="I969">
        <v>338</v>
      </c>
      <c r="J969">
        <v>1966</v>
      </c>
      <c r="K969" s="4">
        <v>45238</v>
      </c>
      <c r="L969" t="s">
        <v>23</v>
      </c>
      <c r="M969" t="s">
        <v>56</v>
      </c>
      <c r="N969">
        <v>2.4300000000000002</v>
      </c>
      <c r="O969">
        <v>1304</v>
      </c>
      <c r="P969">
        <v>3.64</v>
      </c>
      <c r="Q969">
        <v>260</v>
      </c>
      <c r="R969">
        <v>505</v>
      </c>
    </row>
    <row r="970" spans="1:18" hidden="1" x14ac:dyDescent="0.2">
      <c r="A970">
        <v>0</v>
      </c>
      <c r="B970" t="s">
        <v>34</v>
      </c>
      <c r="E970" t="s">
        <v>29</v>
      </c>
      <c r="F970">
        <v>893043</v>
      </c>
      <c r="G970">
        <v>4</v>
      </c>
      <c r="H970">
        <v>1</v>
      </c>
      <c r="I970">
        <v>109</v>
      </c>
      <c r="J970">
        <v>2008</v>
      </c>
      <c r="K970" s="4">
        <v>44479</v>
      </c>
      <c r="L970" t="s">
        <v>30</v>
      </c>
      <c r="M970" t="s">
        <v>47</v>
      </c>
      <c r="N970">
        <v>1.51</v>
      </c>
      <c r="O970">
        <v>2416</v>
      </c>
      <c r="P970">
        <v>0.5</v>
      </c>
      <c r="Q970">
        <v>240</v>
      </c>
      <c r="R970">
        <v>322</v>
      </c>
    </row>
    <row r="971" spans="1:18" x14ac:dyDescent="0.2">
      <c r="A971">
        <v>8</v>
      </c>
      <c r="B971" t="s">
        <v>75</v>
      </c>
      <c r="C971" t="str">
        <f>VLOOKUP(B971, 'Council Area'!$A$2:$B$51, 2)</f>
        <v>Inner West Council</v>
      </c>
      <c r="D971" t="str">
        <f>_xlfn.XLOOKUP(B971, 'Council Area'!$A$2:$A$51, 'Council Area'!$B$2:$B$51)</f>
        <v>Inner West Council</v>
      </c>
      <c r="E971" t="s">
        <v>19</v>
      </c>
      <c r="F971">
        <v>1301498</v>
      </c>
      <c r="G971">
        <v>3</v>
      </c>
      <c r="H971">
        <v>3</v>
      </c>
      <c r="I971">
        <v>803</v>
      </c>
      <c r="J971">
        <v>1976</v>
      </c>
      <c r="K971" s="4">
        <v>45443</v>
      </c>
      <c r="L971" t="s">
        <v>30</v>
      </c>
      <c r="M971" t="s">
        <v>78</v>
      </c>
      <c r="N971">
        <v>2.5299999999999998</v>
      </c>
      <c r="O971">
        <v>900</v>
      </c>
      <c r="P971">
        <v>2.88</v>
      </c>
      <c r="Q971">
        <v>239</v>
      </c>
      <c r="R971">
        <v>449</v>
      </c>
    </row>
    <row r="972" spans="1:18" hidden="1" x14ac:dyDescent="0.2">
      <c r="A972">
        <v>3</v>
      </c>
      <c r="B972" t="s">
        <v>25</v>
      </c>
      <c r="E972" t="s">
        <v>19</v>
      </c>
      <c r="F972">
        <v>1340117</v>
      </c>
      <c r="G972">
        <v>1</v>
      </c>
      <c r="H972">
        <v>2</v>
      </c>
      <c r="I972">
        <v>603</v>
      </c>
      <c r="J972">
        <v>2022</v>
      </c>
      <c r="K972" s="4">
        <v>45545</v>
      </c>
      <c r="L972" t="s">
        <v>26</v>
      </c>
      <c r="M972" t="s">
        <v>45</v>
      </c>
      <c r="N972">
        <v>3.3</v>
      </c>
      <c r="O972">
        <v>1240</v>
      </c>
      <c r="P972">
        <v>4.25</v>
      </c>
      <c r="Q972">
        <v>49</v>
      </c>
      <c r="R972">
        <v>604</v>
      </c>
    </row>
    <row r="973" spans="1:18" hidden="1" x14ac:dyDescent="0.2">
      <c r="A973">
        <v>6</v>
      </c>
      <c r="B973" t="s">
        <v>39</v>
      </c>
      <c r="E973" t="s">
        <v>51</v>
      </c>
      <c r="F973">
        <v>1247412</v>
      </c>
      <c r="G973">
        <v>3</v>
      </c>
      <c r="H973">
        <v>2</v>
      </c>
      <c r="I973">
        <v>529</v>
      </c>
      <c r="J973">
        <v>1990</v>
      </c>
      <c r="K973" s="4">
        <v>45055</v>
      </c>
      <c r="L973" t="s">
        <v>20</v>
      </c>
      <c r="M973" t="s">
        <v>78</v>
      </c>
      <c r="N973">
        <v>3.06</v>
      </c>
      <c r="O973">
        <v>1934</v>
      </c>
      <c r="P973">
        <v>4</v>
      </c>
      <c r="Q973">
        <v>180</v>
      </c>
      <c r="R973">
        <v>311</v>
      </c>
    </row>
    <row r="974" spans="1:18" hidden="1" x14ac:dyDescent="0.2">
      <c r="A974">
        <v>6</v>
      </c>
      <c r="B974" t="s">
        <v>43</v>
      </c>
      <c r="E974" t="s">
        <v>36</v>
      </c>
      <c r="F974">
        <v>2191314</v>
      </c>
      <c r="G974">
        <v>1</v>
      </c>
      <c r="H974">
        <v>3</v>
      </c>
      <c r="I974">
        <v>115</v>
      </c>
      <c r="J974">
        <v>1976</v>
      </c>
      <c r="K974" s="4">
        <v>45607</v>
      </c>
      <c r="L974" t="s">
        <v>20</v>
      </c>
      <c r="M974" t="s">
        <v>70</v>
      </c>
      <c r="N974">
        <v>3.5</v>
      </c>
      <c r="O974">
        <v>1655</v>
      </c>
      <c r="P974">
        <v>0.35</v>
      </c>
      <c r="Q974">
        <v>106</v>
      </c>
      <c r="R974">
        <v>572</v>
      </c>
    </row>
    <row r="975" spans="1:18" hidden="1" x14ac:dyDescent="0.2">
      <c r="A975">
        <v>5</v>
      </c>
      <c r="B975" t="s">
        <v>38</v>
      </c>
      <c r="E975" t="s">
        <v>29</v>
      </c>
      <c r="F975">
        <v>1320912</v>
      </c>
      <c r="G975">
        <v>3</v>
      </c>
      <c r="H975">
        <v>1</v>
      </c>
      <c r="I975">
        <v>387</v>
      </c>
      <c r="J975">
        <v>1955</v>
      </c>
      <c r="K975" s="4">
        <v>44788</v>
      </c>
      <c r="L975" t="s">
        <v>23</v>
      </c>
      <c r="M975" t="s">
        <v>63</v>
      </c>
      <c r="N975">
        <v>1.91</v>
      </c>
      <c r="O975">
        <v>1985</v>
      </c>
      <c r="P975">
        <v>1.59</v>
      </c>
      <c r="Q975">
        <v>186</v>
      </c>
      <c r="R975">
        <v>348</v>
      </c>
    </row>
    <row r="976" spans="1:18" x14ac:dyDescent="0.2">
      <c r="A976">
        <v>8</v>
      </c>
      <c r="B976" t="s">
        <v>98</v>
      </c>
      <c r="C976" t="str">
        <f>VLOOKUP(B976, 'Council Area'!$A$2:$B$51, 2)</f>
        <v>Parramatta City Council</v>
      </c>
      <c r="D976" t="str">
        <f>_xlfn.XLOOKUP(B976, 'Council Area'!$A$2:$A$51, 'Council Area'!$B$2:$B$51)</f>
        <v>Parramatta City Council</v>
      </c>
      <c r="E976" t="s">
        <v>51</v>
      </c>
      <c r="F976">
        <v>1755361</v>
      </c>
      <c r="G976">
        <v>1</v>
      </c>
      <c r="H976">
        <v>2</v>
      </c>
      <c r="I976">
        <v>271</v>
      </c>
      <c r="J976">
        <v>2003</v>
      </c>
      <c r="K976" s="4">
        <v>45762</v>
      </c>
      <c r="L976" t="s">
        <v>26</v>
      </c>
      <c r="M976" t="s">
        <v>24</v>
      </c>
      <c r="N976">
        <v>2.14</v>
      </c>
      <c r="O976">
        <v>1885</v>
      </c>
      <c r="P976">
        <v>1.75</v>
      </c>
      <c r="Q976">
        <v>57</v>
      </c>
      <c r="R976">
        <v>559</v>
      </c>
    </row>
    <row r="977" spans="1:18" hidden="1" x14ac:dyDescent="0.2">
      <c r="A977">
        <v>0</v>
      </c>
      <c r="B977" t="s">
        <v>22</v>
      </c>
      <c r="E977" t="s">
        <v>19</v>
      </c>
      <c r="F977">
        <v>760718</v>
      </c>
      <c r="G977">
        <v>2</v>
      </c>
      <c r="H977">
        <v>2</v>
      </c>
      <c r="I977">
        <v>993</v>
      </c>
      <c r="J977">
        <v>1953</v>
      </c>
      <c r="K977" s="4">
        <v>44920</v>
      </c>
      <c r="L977" t="s">
        <v>23</v>
      </c>
      <c r="M977" t="s">
        <v>24</v>
      </c>
      <c r="N977">
        <v>1.64</v>
      </c>
      <c r="O977">
        <v>2461</v>
      </c>
      <c r="P977">
        <v>3.5</v>
      </c>
      <c r="Q977">
        <v>118</v>
      </c>
      <c r="R977">
        <v>355</v>
      </c>
    </row>
    <row r="978" spans="1:18" hidden="1" x14ac:dyDescent="0.2">
      <c r="A978">
        <v>6</v>
      </c>
      <c r="B978" t="s">
        <v>73</v>
      </c>
      <c r="E978" t="s">
        <v>51</v>
      </c>
      <c r="F978">
        <v>2087665</v>
      </c>
      <c r="G978">
        <v>6</v>
      </c>
      <c r="H978">
        <v>2</v>
      </c>
      <c r="I978">
        <v>352</v>
      </c>
      <c r="J978">
        <v>1965</v>
      </c>
      <c r="K978" s="4">
        <v>44475</v>
      </c>
      <c r="L978" t="s">
        <v>26</v>
      </c>
      <c r="M978" t="s">
        <v>82</v>
      </c>
      <c r="N978">
        <v>1.61</v>
      </c>
      <c r="O978">
        <v>1787</v>
      </c>
      <c r="P978">
        <v>0.87</v>
      </c>
      <c r="Q978">
        <v>325</v>
      </c>
      <c r="R978">
        <v>456</v>
      </c>
    </row>
    <row r="979" spans="1:18" hidden="1" x14ac:dyDescent="0.2">
      <c r="A979">
        <v>6</v>
      </c>
      <c r="B979" t="s">
        <v>104</v>
      </c>
      <c r="E979" t="s">
        <v>36</v>
      </c>
      <c r="F979">
        <v>1498522</v>
      </c>
      <c r="G979">
        <v>4</v>
      </c>
      <c r="H979">
        <v>1</v>
      </c>
      <c r="I979">
        <v>108</v>
      </c>
      <c r="J979">
        <v>1988</v>
      </c>
      <c r="K979" s="4">
        <v>45188</v>
      </c>
      <c r="L979" t="s">
        <v>30</v>
      </c>
      <c r="M979" t="s">
        <v>89</v>
      </c>
      <c r="N979">
        <v>1.53</v>
      </c>
      <c r="O979">
        <v>1930</v>
      </c>
      <c r="P979">
        <v>3.01</v>
      </c>
      <c r="Q979">
        <v>234</v>
      </c>
      <c r="R979">
        <v>518</v>
      </c>
    </row>
    <row r="980" spans="1:18" hidden="1" x14ac:dyDescent="0.2">
      <c r="A980">
        <v>2</v>
      </c>
      <c r="B980" t="s">
        <v>104</v>
      </c>
      <c r="E980" t="s">
        <v>19</v>
      </c>
      <c r="F980">
        <v>1725910</v>
      </c>
      <c r="G980">
        <v>4</v>
      </c>
      <c r="H980">
        <v>2</v>
      </c>
      <c r="I980">
        <v>887</v>
      </c>
      <c r="J980">
        <v>1975</v>
      </c>
      <c r="K980" s="4">
        <v>44076</v>
      </c>
      <c r="L980" t="s">
        <v>20</v>
      </c>
      <c r="M980" t="s">
        <v>21</v>
      </c>
      <c r="N980">
        <v>3.24</v>
      </c>
      <c r="O980">
        <v>1637</v>
      </c>
      <c r="P980">
        <v>1.91</v>
      </c>
      <c r="Q980">
        <v>292</v>
      </c>
      <c r="R980">
        <v>456</v>
      </c>
    </row>
    <row r="981" spans="1:18" x14ac:dyDescent="0.2">
      <c r="A981">
        <v>8</v>
      </c>
      <c r="B981" t="s">
        <v>95</v>
      </c>
      <c r="C981" t="str">
        <f>VLOOKUP(B981, 'Council Area'!$A$2:$B$51, 2)</f>
        <v>Hornsby Shire Council</v>
      </c>
      <c r="D981" t="str">
        <f>_xlfn.XLOOKUP(B981, 'Council Area'!$A$2:$A$51, 'Council Area'!$B$2:$B$51)</f>
        <v>Hornsby Shire Council</v>
      </c>
      <c r="E981" t="s">
        <v>51</v>
      </c>
      <c r="F981">
        <v>2541458</v>
      </c>
      <c r="G981">
        <v>4</v>
      </c>
      <c r="H981">
        <v>1</v>
      </c>
      <c r="I981">
        <v>93</v>
      </c>
      <c r="J981">
        <v>1991</v>
      </c>
      <c r="K981" s="4">
        <v>45592</v>
      </c>
      <c r="L981" t="s">
        <v>20</v>
      </c>
      <c r="M981" t="s">
        <v>42</v>
      </c>
      <c r="N981">
        <v>1.73</v>
      </c>
      <c r="O981">
        <v>1010</v>
      </c>
      <c r="P981">
        <v>2.98</v>
      </c>
      <c r="Q981">
        <v>372</v>
      </c>
      <c r="R981">
        <v>423</v>
      </c>
    </row>
    <row r="982" spans="1:18" hidden="1" x14ac:dyDescent="0.2">
      <c r="A982">
        <v>2</v>
      </c>
      <c r="B982" t="s">
        <v>87</v>
      </c>
      <c r="E982" t="s">
        <v>29</v>
      </c>
      <c r="F982">
        <v>1986292</v>
      </c>
      <c r="G982">
        <v>3</v>
      </c>
      <c r="H982">
        <v>2</v>
      </c>
      <c r="I982">
        <v>858</v>
      </c>
      <c r="J982">
        <v>1968</v>
      </c>
      <c r="K982" s="4">
        <v>44438</v>
      </c>
      <c r="L982" t="s">
        <v>26</v>
      </c>
      <c r="M982" t="s">
        <v>69</v>
      </c>
      <c r="N982">
        <v>3.17</v>
      </c>
      <c r="O982">
        <v>2335</v>
      </c>
      <c r="P982">
        <v>0.61</v>
      </c>
      <c r="Q982">
        <v>95</v>
      </c>
      <c r="R982">
        <v>697</v>
      </c>
    </row>
    <row r="983" spans="1:18" hidden="1" x14ac:dyDescent="0.2">
      <c r="A983">
        <v>0</v>
      </c>
      <c r="B983" t="s">
        <v>94</v>
      </c>
      <c r="E983" t="s">
        <v>51</v>
      </c>
      <c r="F983">
        <v>628911</v>
      </c>
      <c r="G983">
        <v>2</v>
      </c>
      <c r="H983">
        <v>3</v>
      </c>
      <c r="I983">
        <v>575</v>
      </c>
      <c r="J983">
        <v>1992</v>
      </c>
      <c r="K983" s="4">
        <v>44479</v>
      </c>
      <c r="L983" t="s">
        <v>20</v>
      </c>
      <c r="M983" t="s">
        <v>60</v>
      </c>
      <c r="N983">
        <v>1.87</v>
      </c>
      <c r="O983">
        <v>1627</v>
      </c>
      <c r="P983">
        <v>2.54</v>
      </c>
      <c r="Q983">
        <v>100</v>
      </c>
      <c r="R983">
        <v>308</v>
      </c>
    </row>
    <row r="984" spans="1:18" hidden="1" x14ac:dyDescent="0.2">
      <c r="A984">
        <v>6</v>
      </c>
      <c r="B984" t="s">
        <v>65</v>
      </c>
      <c r="E984" t="s">
        <v>19</v>
      </c>
      <c r="F984">
        <v>1495381</v>
      </c>
      <c r="G984">
        <v>2</v>
      </c>
      <c r="H984">
        <v>3</v>
      </c>
      <c r="I984">
        <v>788</v>
      </c>
      <c r="J984">
        <v>1955</v>
      </c>
      <c r="K984" s="4">
        <v>44278</v>
      </c>
      <c r="L984" t="s">
        <v>23</v>
      </c>
      <c r="M984" t="s">
        <v>74</v>
      </c>
      <c r="N984">
        <v>3.17</v>
      </c>
      <c r="O984">
        <v>1339</v>
      </c>
      <c r="P984">
        <v>4.8899999999999997</v>
      </c>
      <c r="Q984">
        <v>168</v>
      </c>
      <c r="R984">
        <v>534</v>
      </c>
    </row>
    <row r="985" spans="1:18" hidden="1" x14ac:dyDescent="0.2">
      <c r="A985">
        <v>4</v>
      </c>
      <c r="B985" t="s">
        <v>61</v>
      </c>
      <c r="E985" t="s">
        <v>29</v>
      </c>
      <c r="F985">
        <v>1092626</v>
      </c>
      <c r="G985">
        <v>3</v>
      </c>
      <c r="H985">
        <v>3</v>
      </c>
      <c r="I985">
        <v>145</v>
      </c>
      <c r="J985">
        <v>1965</v>
      </c>
      <c r="K985" s="4">
        <v>44817</v>
      </c>
      <c r="L985" t="s">
        <v>20</v>
      </c>
      <c r="M985" t="s">
        <v>59</v>
      </c>
      <c r="N985">
        <v>2.79</v>
      </c>
      <c r="O985">
        <v>1283</v>
      </c>
      <c r="P985">
        <v>0.41</v>
      </c>
      <c r="Q985">
        <v>96</v>
      </c>
      <c r="R985">
        <v>585</v>
      </c>
    </row>
    <row r="986" spans="1:18" hidden="1" x14ac:dyDescent="0.2">
      <c r="A986">
        <v>5</v>
      </c>
      <c r="B986" t="s">
        <v>102</v>
      </c>
      <c r="E986" t="s">
        <v>29</v>
      </c>
      <c r="F986">
        <v>2633416</v>
      </c>
      <c r="G986">
        <v>1</v>
      </c>
      <c r="H986">
        <v>2</v>
      </c>
      <c r="I986">
        <v>128</v>
      </c>
      <c r="J986">
        <v>1997</v>
      </c>
      <c r="K986" s="4">
        <v>45121</v>
      </c>
      <c r="L986" t="s">
        <v>20</v>
      </c>
      <c r="M986" t="s">
        <v>78</v>
      </c>
      <c r="N986">
        <v>2.13</v>
      </c>
      <c r="O986">
        <v>934</v>
      </c>
      <c r="P986">
        <v>1.51</v>
      </c>
      <c r="Q986">
        <v>66</v>
      </c>
      <c r="R986">
        <v>564</v>
      </c>
    </row>
    <row r="987" spans="1:18" hidden="1" x14ac:dyDescent="0.2">
      <c r="A987">
        <v>7</v>
      </c>
      <c r="B987" t="s">
        <v>96</v>
      </c>
      <c r="E987" t="s">
        <v>29</v>
      </c>
      <c r="F987">
        <v>2192600</v>
      </c>
      <c r="G987">
        <v>3</v>
      </c>
      <c r="H987">
        <v>1</v>
      </c>
      <c r="I987">
        <v>539</v>
      </c>
      <c r="J987">
        <v>1970</v>
      </c>
      <c r="K987" s="4">
        <v>45637</v>
      </c>
      <c r="L987" t="s">
        <v>26</v>
      </c>
      <c r="M987" t="s">
        <v>66</v>
      </c>
      <c r="N987">
        <v>2.89</v>
      </c>
      <c r="O987">
        <v>1836</v>
      </c>
      <c r="P987">
        <v>3.97</v>
      </c>
      <c r="Q987">
        <v>278</v>
      </c>
      <c r="R987">
        <v>533</v>
      </c>
    </row>
    <row r="988" spans="1:18" x14ac:dyDescent="0.2">
      <c r="A988">
        <v>8</v>
      </c>
      <c r="B988" t="s">
        <v>102</v>
      </c>
      <c r="C988" t="str">
        <f>VLOOKUP(B988, 'Council Area'!$A$2:$B$51, 2)</f>
        <v>City of Sydney</v>
      </c>
      <c r="D988" t="str">
        <f>_xlfn.XLOOKUP(B988, 'Council Area'!$A$2:$A$51, 'Council Area'!$B$2:$B$51)</f>
        <v>City of Sydney</v>
      </c>
      <c r="E988" t="s">
        <v>29</v>
      </c>
      <c r="F988">
        <v>2840451</v>
      </c>
      <c r="G988">
        <v>0</v>
      </c>
      <c r="H988">
        <v>1</v>
      </c>
      <c r="I988">
        <v>604</v>
      </c>
      <c r="J988">
        <v>2006</v>
      </c>
      <c r="K988" s="4">
        <v>45110</v>
      </c>
      <c r="L988" t="s">
        <v>30</v>
      </c>
      <c r="M988" t="s">
        <v>68</v>
      </c>
      <c r="N988">
        <v>2.02</v>
      </c>
      <c r="O988">
        <v>2135</v>
      </c>
      <c r="P988">
        <v>2.25</v>
      </c>
      <c r="Q988">
        <v>71</v>
      </c>
      <c r="R988">
        <v>584</v>
      </c>
    </row>
    <row r="989" spans="1:18" hidden="1" x14ac:dyDescent="0.2">
      <c r="A989">
        <v>3</v>
      </c>
      <c r="B989" t="s">
        <v>34</v>
      </c>
      <c r="E989" t="s">
        <v>36</v>
      </c>
      <c r="F989">
        <v>2492855</v>
      </c>
      <c r="G989">
        <v>0</v>
      </c>
      <c r="H989">
        <v>2</v>
      </c>
      <c r="I989">
        <v>176</v>
      </c>
      <c r="J989">
        <v>1985</v>
      </c>
      <c r="K989" s="4">
        <v>45752</v>
      </c>
      <c r="L989" t="s">
        <v>20</v>
      </c>
      <c r="M989" t="s">
        <v>97</v>
      </c>
      <c r="N989">
        <v>2.11</v>
      </c>
      <c r="O989">
        <v>2338</v>
      </c>
      <c r="P989">
        <v>0.9</v>
      </c>
      <c r="Q989">
        <v>59</v>
      </c>
      <c r="R989">
        <v>401</v>
      </c>
    </row>
    <row r="990" spans="1:18" hidden="1" x14ac:dyDescent="0.2">
      <c r="A990">
        <v>1</v>
      </c>
      <c r="B990" t="s">
        <v>105</v>
      </c>
      <c r="E990" t="s">
        <v>29</v>
      </c>
      <c r="F990">
        <v>1664101</v>
      </c>
      <c r="G990">
        <v>3</v>
      </c>
      <c r="H990">
        <v>2</v>
      </c>
      <c r="I990">
        <v>208</v>
      </c>
      <c r="J990">
        <v>1978</v>
      </c>
      <c r="K990" s="4">
        <v>44705</v>
      </c>
      <c r="L990" t="s">
        <v>26</v>
      </c>
      <c r="M990" t="s">
        <v>85</v>
      </c>
      <c r="N990">
        <v>1.79</v>
      </c>
      <c r="O990">
        <v>2226</v>
      </c>
      <c r="P990">
        <v>2.2200000000000002</v>
      </c>
      <c r="Q990">
        <v>229</v>
      </c>
      <c r="R990">
        <v>608</v>
      </c>
    </row>
    <row r="991" spans="1:18" x14ac:dyDescent="0.2">
      <c r="A991">
        <v>8</v>
      </c>
      <c r="B991" t="s">
        <v>106</v>
      </c>
      <c r="C991" t="str">
        <f>VLOOKUP(B991, 'Council Area'!$A$2:$B$51, 2)</f>
        <v>Hornsby Shire Council</v>
      </c>
      <c r="D991" t="str">
        <f>_xlfn.XLOOKUP(B991, 'Council Area'!$A$2:$A$51, 'Council Area'!$B$2:$B$51)</f>
        <v>Hornsby Shire Council</v>
      </c>
      <c r="E991" t="s">
        <v>19</v>
      </c>
      <c r="F991">
        <v>2117875</v>
      </c>
      <c r="G991">
        <v>4</v>
      </c>
      <c r="H991">
        <v>2</v>
      </c>
      <c r="I991">
        <v>396</v>
      </c>
      <c r="J991">
        <v>2017</v>
      </c>
      <c r="K991" s="4">
        <v>45463</v>
      </c>
      <c r="L991" t="s">
        <v>23</v>
      </c>
      <c r="M991" t="s">
        <v>21</v>
      </c>
      <c r="N991">
        <v>3.03</v>
      </c>
      <c r="O991">
        <v>2343</v>
      </c>
      <c r="P991">
        <v>3.53</v>
      </c>
      <c r="Q991">
        <v>280</v>
      </c>
      <c r="R991">
        <v>301</v>
      </c>
    </row>
    <row r="992" spans="1:18" hidden="1" x14ac:dyDescent="0.2">
      <c r="A992">
        <v>1</v>
      </c>
      <c r="B992" t="s">
        <v>48</v>
      </c>
      <c r="E992" t="s">
        <v>51</v>
      </c>
      <c r="F992">
        <v>491804</v>
      </c>
      <c r="G992">
        <v>1</v>
      </c>
      <c r="H992">
        <v>2</v>
      </c>
      <c r="I992">
        <v>0</v>
      </c>
      <c r="J992">
        <v>2018</v>
      </c>
      <c r="K992" s="4">
        <v>45201</v>
      </c>
      <c r="L992" t="s">
        <v>26</v>
      </c>
      <c r="M992" t="s">
        <v>70</v>
      </c>
      <c r="N992">
        <v>2.69</v>
      </c>
      <c r="O992">
        <v>910</v>
      </c>
      <c r="P992">
        <v>4.3600000000000003</v>
      </c>
      <c r="Q992">
        <v>290</v>
      </c>
      <c r="R992">
        <v>389</v>
      </c>
    </row>
    <row r="993" spans="1:18" hidden="1" x14ac:dyDescent="0.2">
      <c r="A993">
        <v>6</v>
      </c>
      <c r="B993" t="s">
        <v>55</v>
      </c>
      <c r="E993" t="s">
        <v>19</v>
      </c>
      <c r="F993">
        <v>2398550</v>
      </c>
      <c r="G993">
        <v>5</v>
      </c>
      <c r="H993">
        <v>3</v>
      </c>
      <c r="I993">
        <v>826</v>
      </c>
      <c r="J993">
        <v>1961</v>
      </c>
      <c r="K993" s="4">
        <v>45277</v>
      </c>
      <c r="L993" t="s">
        <v>23</v>
      </c>
      <c r="M993" t="s">
        <v>78</v>
      </c>
      <c r="N993">
        <v>2.84</v>
      </c>
      <c r="O993">
        <v>1844</v>
      </c>
      <c r="P993">
        <v>3.18</v>
      </c>
      <c r="Q993">
        <v>366</v>
      </c>
      <c r="R993">
        <v>637</v>
      </c>
    </row>
    <row r="994" spans="1:18" hidden="1" x14ac:dyDescent="0.2">
      <c r="A994">
        <v>0</v>
      </c>
      <c r="B994" t="s">
        <v>98</v>
      </c>
      <c r="E994" t="s">
        <v>29</v>
      </c>
      <c r="F994">
        <v>1204059</v>
      </c>
      <c r="G994">
        <v>5</v>
      </c>
      <c r="H994">
        <v>3</v>
      </c>
      <c r="I994">
        <v>287</v>
      </c>
      <c r="J994">
        <v>1973</v>
      </c>
      <c r="K994" s="4">
        <v>45169</v>
      </c>
      <c r="L994" t="s">
        <v>30</v>
      </c>
      <c r="M994" t="s">
        <v>77</v>
      </c>
      <c r="N994">
        <v>1.53</v>
      </c>
      <c r="O994">
        <v>938</v>
      </c>
      <c r="P994">
        <v>3.21</v>
      </c>
      <c r="Q994">
        <v>382</v>
      </c>
      <c r="R994">
        <v>367</v>
      </c>
    </row>
    <row r="995" spans="1:18" hidden="1" x14ac:dyDescent="0.2">
      <c r="A995">
        <v>5</v>
      </c>
      <c r="B995" t="s">
        <v>102</v>
      </c>
      <c r="E995" t="s">
        <v>36</v>
      </c>
      <c r="F995">
        <v>2392629</v>
      </c>
      <c r="G995">
        <v>4</v>
      </c>
      <c r="H995">
        <v>2</v>
      </c>
      <c r="I995">
        <v>366</v>
      </c>
      <c r="J995">
        <v>1966</v>
      </c>
      <c r="K995" s="4">
        <v>45480</v>
      </c>
      <c r="L995" t="s">
        <v>26</v>
      </c>
      <c r="M995" t="s">
        <v>76</v>
      </c>
      <c r="N995">
        <v>3.46</v>
      </c>
      <c r="O995">
        <v>1805</v>
      </c>
      <c r="P995">
        <v>3.58</v>
      </c>
      <c r="Q995">
        <v>280</v>
      </c>
      <c r="R995">
        <v>592</v>
      </c>
    </row>
    <row r="996" spans="1:18" hidden="1" x14ac:dyDescent="0.2">
      <c r="A996">
        <v>0</v>
      </c>
      <c r="B996" t="s">
        <v>95</v>
      </c>
      <c r="E996" t="s">
        <v>19</v>
      </c>
      <c r="F996">
        <v>2282808</v>
      </c>
      <c r="G996">
        <v>1</v>
      </c>
      <c r="H996">
        <v>3</v>
      </c>
      <c r="I996">
        <v>430</v>
      </c>
      <c r="J996">
        <v>1995</v>
      </c>
      <c r="K996" s="4">
        <v>45132</v>
      </c>
      <c r="L996" t="s">
        <v>23</v>
      </c>
      <c r="M996" t="s">
        <v>74</v>
      </c>
      <c r="N996">
        <v>2.9</v>
      </c>
      <c r="O996">
        <v>1784</v>
      </c>
      <c r="P996">
        <v>2.29</v>
      </c>
      <c r="Q996">
        <v>92</v>
      </c>
      <c r="R996">
        <v>446</v>
      </c>
    </row>
    <row r="997" spans="1:18" hidden="1" x14ac:dyDescent="0.2">
      <c r="A997">
        <v>3</v>
      </c>
      <c r="B997" t="s">
        <v>18</v>
      </c>
      <c r="E997" t="s">
        <v>51</v>
      </c>
      <c r="F997">
        <v>1286925</v>
      </c>
      <c r="G997">
        <v>4</v>
      </c>
      <c r="H997">
        <v>1</v>
      </c>
      <c r="I997">
        <v>98</v>
      </c>
      <c r="J997">
        <v>1955</v>
      </c>
      <c r="K997" s="4">
        <v>44128</v>
      </c>
      <c r="L997" t="s">
        <v>26</v>
      </c>
      <c r="M997" t="s">
        <v>74</v>
      </c>
      <c r="N997">
        <v>2.41</v>
      </c>
      <c r="O997">
        <v>980</v>
      </c>
      <c r="P997">
        <v>0.16</v>
      </c>
      <c r="Q997">
        <v>330</v>
      </c>
      <c r="R997">
        <v>419</v>
      </c>
    </row>
    <row r="998" spans="1:18" hidden="1" x14ac:dyDescent="0.2">
      <c r="A998">
        <v>6</v>
      </c>
      <c r="B998" t="s">
        <v>25</v>
      </c>
      <c r="E998" t="s">
        <v>29</v>
      </c>
      <c r="F998">
        <v>889248</v>
      </c>
      <c r="G998">
        <v>6</v>
      </c>
      <c r="H998">
        <v>1</v>
      </c>
      <c r="I998">
        <v>490</v>
      </c>
      <c r="J998">
        <v>1970</v>
      </c>
      <c r="K998" s="4">
        <v>45406</v>
      </c>
      <c r="L998" t="s">
        <v>23</v>
      </c>
      <c r="M998" t="s">
        <v>33</v>
      </c>
      <c r="N998">
        <v>2.02</v>
      </c>
      <c r="O998">
        <v>1953</v>
      </c>
      <c r="P998">
        <v>3.33</v>
      </c>
      <c r="Q998">
        <v>354</v>
      </c>
      <c r="R998">
        <v>434</v>
      </c>
    </row>
    <row r="999" spans="1:18" hidden="1" x14ac:dyDescent="0.2">
      <c r="A999">
        <v>6</v>
      </c>
      <c r="B999" t="s">
        <v>32</v>
      </c>
      <c r="E999" t="s">
        <v>51</v>
      </c>
      <c r="F999">
        <v>1902550</v>
      </c>
      <c r="G999">
        <v>6</v>
      </c>
      <c r="H999">
        <v>1</v>
      </c>
      <c r="I999">
        <v>89</v>
      </c>
      <c r="J999">
        <v>1985</v>
      </c>
      <c r="K999" s="4">
        <v>44259</v>
      </c>
      <c r="L999" t="s">
        <v>23</v>
      </c>
      <c r="M999" t="s">
        <v>33</v>
      </c>
      <c r="N999">
        <v>2.66</v>
      </c>
      <c r="O999">
        <v>1207</v>
      </c>
      <c r="P999">
        <v>2.37</v>
      </c>
      <c r="Q999">
        <v>341</v>
      </c>
      <c r="R999">
        <v>556</v>
      </c>
    </row>
    <row r="1000" spans="1:18" hidden="1" x14ac:dyDescent="0.2">
      <c r="A1000">
        <v>6</v>
      </c>
      <c r="B1000" t="s">
        <v>88</v>
      </c>
      <c r="E1000" t="s">
        <v>29</v>
      </c>
      <c r="F1000">
        <v>793246</v>
      </c>
      <c r="G1000">
        <v>4</v>
      </c>
      <c r="H1000">
        <v>3</v>
      </c>
      <c r="I1000">
        <v>228</v>
      </c>
      <c r="J1000">
        <v>2002</v>
      </c>
      <c r="K1000" s="4">
        <v>44641</v>
      </c>
      <c r="L1000" t="s">
        <v>23</v>
      </c>
      <c r="M1000" t="s">
        <v>82</v>
      </c>
      <c r="N1000">
        <v>2.2200000000000002</v>
      </c>
      <c r="O1000">
        <v>2394</v>
      </c>
      <c r="P1000">
        <v>0.31</v>
      </c>
      <c r="Q1000">
        <v>188</v>
      </c>
      <c r="R1000">
        <v>662</v>
      </c>
    </row>
    <row r="1001" spans="1:18" hidden="1" x14ac:dyDescent="0.2">
      <c r="A1001">
        <v>4</v>
      </c>
      <c r="B1001" t="s">
        <v>91</v>
      </c>
      <c r="E1001" t="s">
        <v>29</v>
      </c>
      <c r="F1001">
        <v>538114</v>
      </c>
      <c r="G1001">
        <v>2</v>
      </c>
      <c r="H1001">
        <v>3</v>
      </c>
      <c r="I1001">
        <v>847</v>
      </c>
      <c r="J1001">
        <v>1962</v>
      </c>
      <c r="K1001" s="4">
        <v>44960</v>
      </c>
      <c r="L1001" t="s">
        <v>23</v>
      </c>
      <c r="M1001" t="s">
        <v>78</v>
      </c>
      <c r="N1001">
        <v>2.12</v>
      </c>
      <c r="O1001">
        <v>834</v>
      </c>
      <c r="P1001">
        <v>0.62</v>
      </c>
      <c r="Q1001">
        <v>117</v>
      </c>
      <c r="R1001">
        <v>358</v>
      </c>
    </row>
    <row r="1002" spans="1:18" hidden="1" x14ac:dyDescent="0.2">
      <c r="A1002">
        <v>3</v>
      </c>
      <c r="B1002" t="s">
        <v>18</v>
      </c>
      <c r="E1002" t="s">
        <v>29</v>
      </c>
      <c r="F1002">
        <v>2552146</v>
      </c>
      <c r="G1002">
        <v>4</v>
      </c>
      <c r="H1002">
        <v>2</v>
      </c>
      <c r="I1002">
        <v>308</v>
      </c>
      <c r="J1002">
        <v>1982</v>
      </c>
      <c r="K1002" s="4">
        <v>45330</v>
      </c>
      <c r="L1002" t="s">
        <v>26</v>
      </c>
      <c r="M1002" t="s">
        <v>42</v>
      </c>
      <c r="N1002">
        <v>2.66</v>
      </c>
      <c r="O1002">
        <v>1628</v>
      </c>
      <c r="P1002">
        <v>1.27</v>
      </c>
      <c r="Q1002">
        <v>382</v>
      </c>
      <c r="R1002">
        <v>423</v>
      </c>
    </row>
    <row r="1003" spans="1:18" hidden="1" x14ac:dyDescent="0.2">
      <c r="A1003">
        <v>9</v>
      </c>
      <c r="B1003" t="s">
        <v>57</v>
      </c>
      <c r="E1003" t="s">
        <v>29</v>
      </c>
      <c r="F1003">
        <v>2510912</v>
      </c>
      <c r="G1003">
        <v>1</v>
      </c>
      <c r="H1003">
        <v>3</v>
      </c>
      <c r="I1003">
        <v>778</v>
      </c>
      <c r="J1003">
        <v>1978</v>
      </c>
      <c r="K1003" s="4">
        <v>44648</v>
      </c>
      <c r="L1003" t="s">
        <v>26</v>
      </c>
      <c r="M1003" t="s">
        <v>70</v>
      </c>
      <c r="N1003">
        <v>3.19</v>
      </c>
      <c r="O1003">
        <v>1838</v>
      </c>
      <c r="P1003">
        <v>0.95</v>
      </c>
      <c r="Q1003">
        <v>134</v>
      </c>
      <c r="R1003">
        <v>552</v>
      </c>
    </row>
    <row r="1004" spans="1:18" hidden="1" x14ac:dyDescent="0.2">
      <c r="A1004">
        <v>1</v>
      </c>
      <c r="B1004" t="s">
        <v>83</v>
      </c>
      <c r="E1004" t="s">
        <v>29</v>
      </c>
      <c r="F1004">
        <v>1348139</v>
      </c>
      <c r="G1004">
        <v>2</v>
      </c>
      <c r="H1004">
        <v>2</v>
      </c>
      <c r="I1004">
        <v>850</v>
      </c>
      <c r="J1004">
        <v>1950</v>
      </c>
      <c r="K1004" s="4">
        <v>44847</v>
      </c>
      <c r="L1004" t="s">
        <v>20</v>
      </c>
      <c r="M1004" t="s">
        <v>70</v>
      </c>
      <c r="N1004">
        <v>3.31</v>
      </c>
      <c r="O1004">
        <v>1321</v>
      </c>
      <c r="P1004">
        <v>0.28999999999999998</v>
      </c>
      <c r="Q1004">
        <v>166</v>
      </c>
      <c r="R1004">
        <v>355</v>
      </c>
    </row>
    <row r="1005" spans="1:18" hidden="1" x14ac:dyDescent="0.2">
      <c r="A1005">
        <v>5</v>
      </c>
      <c r="B1005" t="s">
        <v>93</v>
      </c>
      <c r="E1005" t="s">
        <v>51</v>
      </c>
      <c r="F1005">
        <v>1926087</v>
      </c>
      <c r="G1005">
        <v>6</v>
      </c>
      <c r="H1005">
        <v>2</v>
      </c>
      <c r="I1005">
        <v>308</v>
      </c>
      <c r="J1005">
        <v>1950</v>
      </c>
      <c r="K1005" s="4">
        <v>44645</v>
      </c>
      <c r="L1005" t="s">
        <v>30</v>
      </c>
      <c r="M1005" t="s">
        <v>59</v>
      </c>
      <c r="N1005">
        <v>1.67</v>
      </c>
      <c r="O1005">
        <v>1362</v>
      </c>
      <c r="P1005">
        <v>2.84</v>
      </c>
      <c r="Q1005">
        <v>380</v>
      </c>
      <c r="R1005">
        <v>580</v>
      </c>
    </row>
    <row r="1006" spans="1:18" hidden="1" x14ac:dyDescent="0.2">
      <c r="A1006">
        <v>7</v>
      </c>
      <c r="B1006" t="s">
        <v>95</v>
      </c>
      <c r="E1006" t="s">
        <v>36</v>
      </c>
      <c r="F1006">
        <v>2326000</v>
      </c>
      <c r="G1006">
        <v>2</v>
      </c>
      <c r="H1006">
        <v>2</v>
      </c>
      <c r="I1006">
        <v>598</v>
      </c>
      <c r="J1006">
        <v>1996</v>
      </c>
      <c r="K1006" s="4">
        <v>44220</v>
      </c>
      <c r="L1006" t="s">
        <v>30</v>
      </c>
      <c r="M1006" t="s">
        <v>68</v>
      </c>
      <c r="N1006">
        <v>3.03</v>
      </c>
      <c r="O1006">
        <v>1634</v>
      </c>
      <c r="P1006">
        <v>3.52</v>
      </c>
      <c r="Q1006">
        <v>208</v>
      </c>
      <c r="R1006">
        <v>680</v>
      </c>
    </row>
    <row r="1007" spans="1:18" hidden="1" x14ac:dyDescent="0.2">
      <c r="A1007">
        <v>2</v>
      </c>
      <c r="B1007" t="s">
        <v>75</v>
      </c>
      <c r="E1007" t="s">
        <v>29</v>
      </c>
      <c r="F1007">
        <v>945850</v>
      </c>
      <c r="G1007">
        <v>6</v>
      </c>
      <c r="H1007">
        <v>1</v>
      </c>
      <c r="I1007">
        <v>918</v>
      </c>
      <c r="J1007">
        <v>1987</v>
      </c>
      <c r="K1007" s="4">
        <v>45554</v>
      </c>
      <c r="L1007" t="s">
        <v>23</v>
      </c>
      <c r="M1007" t="s">
        <v>47</v>
      </c>
      <c r="N1007">
        <v>1.66</v>
      </c>
      <c r="O1007">
        <v>2179</v>
      </c>
      <c r="P1007">
        <v>2.21</v>
      </c>
      <c r="Q1007">
        <v>394</v>
      </c>
      <c r="R1007">
        <v>503</v>
      </c>
    </row>
    <row r="1008" spans="1:18" x14ac:dyDescent="0.2">
      <c r="A1008">
        <v>8</v>
      </c>
      <c r="B1008" t="s">
        <v>105</v>
      </c>
      <c r="C1008" t="str">
        <f>VLOOKUP(B1008, 'Council Area'!$A$2:$B$51, 2)</f>
        <v>Northern Beaches Council</v>
      </c>
      <c r="D1008" t="str">
        <f>_xlfn.XLOOKUP(B1008, 'Council Area'!$A$2:$A$51, 'Council Area'!$B$2:$B$51)</f>
        <v>Northern Beaches Council</v>
      </c>
      <c r="E1008" t="s">
        <v>36</v>
      </c>
      <c r="F1008">
        <v>2285903</v>
      </c>
      <c r="G1008">
        <v>1</v>
      </c>
      <c r="H1008">
        <v>3</v>
      </c>
      <c r="I1008">
        <v>481</v>
      </c>
      <c r="J1008">
        <v>2017</v>
      </c>
      <c r="K1008" s="4">
        <v>44185</v>
      </c>
      <c r="L1008" t="s">
        <v>20</v>
      </c>
      <c r="M1008" t="s">
        <v>54</v>
      </c>
      <c r="N1008">
        <v>3.36</v>
      </c>
      <c r="O1008">
        <v>1544</v>
      </c>
      <c r="P1008">
        <v>4.9800000000000004</v>
      </c>
      <c r="Q1008">
        <v>104</v>
      </c>
      <c r="R1008">
        <v>471</v>
      </c>
    </row>
    <row r="1009" spans="1:18" hidden="1" x14ac:dyDescent="0.2">
      <c r="A1009">
        <v>7</v>
      </c>
      <c r="B1009" t="s">
        <v>62</v>
      </c>
      <c r="E1009" t="s">
        <v>19</v>
      </c>
      <c r="F1009">
        <v>1808233</v>
      </c>
      <c r="G1009">
        <v>3</v>
      </c>
      <c r="H1009">
        <v>2</v>
      </c>
      <c r="I1009">
        <v>740</v>
      </c>
      <c r="J1009">
        <v>1954</v>
      </c>
      <c r="K1009" s="4">
        <v>45517</v>
      </c>
      <c r="L1009" t="s">
        <v>26</v>
      </c>
      <c r="M1009" t="s">
        <v>40</v>
      </c>
      <c r="N1009">
        <v>1.65</v>
      </c>
      <c r="O1009">
        <v>1566</v>
      </c>
      <c r="P1009">
        <v>4.4000000000000004</v>
      </c>
      <c r="Q1009">
        <v>299</v>
      </c>
      <c r="R1009">
        <v>483</v>
      </c>
    </row>
    <row r="1010" spans="1:18" hidden="1" x14ac:dyDescent="0.2">
      <c r="A1010">
        <v>2</v>
      </c>
      <c r="B1010" t="s">
        <v>43</v>
      </c>
      <c r="E1010" t="s">
        <v>51</v>
      </c>
      <c r="F1010">
        <v>1519734</v>
      </c>
      <c r="G1010">
        <v>3</v>
      </c>
      <c r="H1010">
        <v>3</v>
      </c>
      <c r="I1010">
        <v>765</v>
      </c>
      <c r="J1010">
        <v>2019</v>
      </c>
      <c r="K1010" s="4">
        <v>44299</v>
      </c>
      <c r="L1010" t="s">
        <v>30</v>
      </c>
      <c r="M1010" t="s">
        <v>82</v>
      </c>
      <c r="N1010">
        <v>2.27</v>
      </c>
      <c r="O1010">
        <v>1828</v>
      </c>
      <c r="P1010">
        <v>3.79</v>
      </c>
      <c r="Q1010">
        <v>131</v>
      </c>
      <c r="R1010">
        <v>666</v>
      </c>
    </row>
    <row r="1011" spans="1:18" hidden="1" x14ac:dyDescent="0.2">
      <c r="A1011">
        <v>1</v>
      </c>
      <c r="B1011" t="s">
        <v>105</v>
      </c>
      <c r="E1011" t="s">
        <v>29</v>
      </c>
      <c r="F1011">
        <v>2051572</v>
      </c>
      <c r="G1011">
        <v>4</v>
      </c>
      <c r="H1011">
        <v>1</v>
      </c>
      <c r="I1011">
        <v>750</v>
      </c>
      <c r="J1011">
        <v>1988</v>
      </c>
      <c r="K1011" s="4">
        <v>44863</v>
      </c>
      <c r="L1011" t="s">
        <v>26</v>
      </c>
      <c r="M1011" t="s">
        <v>68</v>
      </c>
      <c r="N1011">
        <v>2.11</v>
      </c>
      <c r="O1011">
        <v>1381</v>
      </c>
      <c r="P1011">
        <v>0.96</v>
      </c>
      <c r="Q1011">
        <v>375</v>
      </c>
      <c r="R1011">
        <v>639</v>
      </c>
    </row>
    <row r="1012" spans="1:18" hidden="1" x14ac:dyDescent="0.2">
      <c r="A1012">
        <v>2</v>
      </c>
      <c r="B1012" t="s">
        <v>25</v>
      </c>
      <c r="E1012" t="s">
        <v>51</v>
      </c>
      <c r="F1012">
        <v>1865674</v>
      </c>
      <c r="G1012">
        <v>2</v>
      </c>
      <c r="H1012">
        <v>2</v>
      </c>
      <c r="I1012">
        <v>546</v>
      </c>
      <c r="J1012">
        <v>1958</v>
      </c>
      <c r="K1012" s="4">
        <v>45275</v>
      </c>
      <c r="L1012" t="s">
        <v>30</v>
      </c>
      <c r="M1012" t="s">
        <v>89</v>
      </c>
      <c r="N1012">
        <v>1.79</v>
      </c>
      <c r="O1012">
        <v>1931</v>
      </c>
      <c r="P1012">
        <v>4.1100000000000003</v>
      </c>
      <c r="Q1012">
        <v>80</v>
      </c>
      <c r="R1012">
        <v>668</v>
      </c>
    </row>
    <row r="1013" spans="1:18" hidden="1" x14ac:dyDescent="0.2">
      <c r="A1013">
        <v>1</v>
      </c>
      <c r="B1013" t="s">
        <v>75</v>
      </c>
      <c r="E1013" t="s">
        <v>19</v>
      </c>
      <c r="F1013">
        <v>2148351</v>
      </c>
      <c r="G1013">
        <v>4</v>
      </c>
      <c r="H1013">
        <v>2</v>
      </c>
      <c r="I1013">
        <v>622</v>
      </c>
      <c r="J1013">
        <v>1971</v>
      </c>
      <c r="K1013" s="4">
        <v>45641</v>
      </c>
      <c r="L1013" t="s">
        <v>20</v>
      </c>
      <c r="M1013" t="s">
        <v>45</v>
      </c>
      <c r="N1013">
        <v>1.8</v>
      </c>
      <c r="O1013">
        <v>1981</v>
      </c>
      <c r="P1013">
        <v>1.1100000000000001</v>
      </c>
      <c r="Q1013">
        <v>279</v>
      </c>
      <c r="R1013">
        <v>343</v>
      </c>
    </row>
    <row r="1014" spans="1:18" hidden="1" x14ac:dyDescent="0.2">
      <c r="A1014">
        <v>4</v>
      </c>
      <c r="B1014" t="s">
        <v>64</v>
      </c>
      <c r="E1014" t="s">
        <v>19</v>
      </c>
      <c r="F1014">
        <v>2883566</v>
      </c>
      <c r="G1014">
        <v>4</v>
      </c>
      <c r="H1014">
        <v>1</v>
      </c>
      <c r="I1014">
        <v>853</v>
      </c>
      <c r="J1014">
        <v>1996</v>
      </c>
      <c r="K1014" s="4">
        <v>45381</v>
      </c>
      <c r="L1014" t="s">
        <v>30</v>
      </c>
      <c r="M1014" t="s">
        <v>52</v>
      </c>
      <c r="N1014">
        <v>1.66</v>
      </c>
      <c r="O1014">
        <v>1830</v>
      </c>
      <c r="P1014">
        <v>1.05</v>
      </c>
      <c r="Q1014">
        <v>230</v>
      </c>
      <c r="R1014">
        <v>646</v>
      </c>
    </row>
    <row r="1015" spans="1:18" hidden="1" x14ac:dyDescent="0.2">
      <c r="A1015">
        <v>6</v>
      </c>
      <c r="B1015" t="s">
        <v>22</v>
      </c>
      <c r="E1015" t="s">
        <v>51</v>
      </c>
      <c r="F1015">
        <v>2218820</v>
      </c>
      <c r="G1015">
        <v>4</v>
      </c>
      <c r="H1015">
        <v>2</v>
      </c>
      <c r="I1015">
        <v>888</v>
      </c>
      <c r="J1015">
        <v>1975</v>
      </c>
      <c r="K1015" s="4">
        <v>44565</v>
      </c>
      <c r="L1015" t="s">
        <v>30</v>
      </c>
      <c r="M1015" t="s">
        <v>56</v>
      </c>
      <c r="N1015">
        <v>2.73</v>
      </c>
      <c r="O1015">
        <v>1059</v>
      </c>
      <c r="P1015">
        <v>1.33</v>
      </c>
      <c r="Q1015">
        <v>189</v>
      </c>
      <c r="R1015">
        <v>373</v>
      </c>
    </row>
    <row r="1016" spans="1:18" x14ac:dyDescent="0.2">
      <c r="A1016">
        <v>8</v>
      </c>
      <c r="B1016" t="s">
        <v>55</v>
      </c>
      <c r="C1016" t="str">
        <f>VLOOKUP(B1016, 'Council Area'!$A$2:$B$51, 2)</f>
        <v>City of Sydney</v>
      </c>
      <c r="D1016" t="str">
        <f>_xlfn.XLOOKUP(B1016, 'Council Area'!$A$2:$A$51, 'Council Area'!$B$2:$B$51)</f>
        <v>City of Sydney</v>
      </c>
      <c r="E1016" t="s">
        <v>29</v>
      </c>
      <c r="F1016">
        <v>2295373</v>
      </c>
      <c r="G1016">
        <v>3</v>
      </c>
      <c r="H1016">
        <v>3</v>
      </c>
      <c r="I1016">
        <v>746</v>
      </c>
      <c r="J1016">
        <v>2017</v>
      </c>
      <c r="K1016" s="4">
        <v>45788</v>
      </c>
      <c r="L1016" t="s">
        <v>23</v>
      </c>
      <c r="M1016" t="s">
        <v>63</v>
      </c>
      <c r="N1016">
        <v>2.0299999999999998</v>
      </c>
      <c r="O1016">
        <v>1382</v>
      </c>
      <c r="P1016">
        <v>0.67</v>
      </c>
      <c r="Q1016">
        <v>235</v>
      </c>
      <c r="R1016">
        <v>446</v>
      </c>
    </row>
    <row r="1017" spans="1:18" hidden="1" x14ac:dyDescent="0.2">
      <c r="A1017">
        <v>1</v>
      </c>
      <c r="B1017" t="s">
        <v>88</v>
      </c>
      <c r="E1017" t="s">
        <v>51</v>
      </c>
      <c r="F1017">
        <v>2001541</v>
      </c>
      <c r="G1017">
        <v>2</v>
      </c>
      <c r="H1017">
        <v>3</v>
      </c>
      <c r="I1017">
        <v>568</v>
      </c>
      <c r="J1017">
        <v>1960</v>
      </c>
      <c r="K1017" s="4">
        <v>44887</v>
      </c>
      <c r="L1017" t="s">
        <v>26</v>
      </c>
      <c r="M1017" t="s">
        <v>70</v>
      </c>
      <c r="N1017">
        <v>2.04</v>
      </c>
      <c r="O1017">
        <v>1681</v>
      </c>
      <c r="P1017">
        <v>0.19</v>
      </c>
      <c r="Q1017">
        <v>194</v>
      </c>
      <c r="R1017">
        <v>371</v>
      </c>
    </row>
    <row r="1018" spans="1:18" hidden="1" x14ac:dyDescent="0.2">
      <c r="A1018">
        <v>7</v>
      </c>
      <c r="B1018" t="s">
        <v>86</v>
      </c>
      <c r="E1018" t="s">
        <v>29</v>
      </c>
      <c r="F1018">
        <v>676369</v>
      </c>
      <c r="G1018">
        <v>1</v>
      </c>
      <c r="H1018">
        <v>3</v>
      </c>
      <c r="I1018">
        <v>493</v>
      </c>
      <c r="J1018">
        <v>1962</v>
      </c>
      <c r="K1018" s="4">
        <v>44264</v>
      </c>
      <c r="L1018" t="s">
        <v>30</v>
      </c>
      <c r="M1018" t="s">
        <v>74</v>
      </c>
      <c r="N1018">
        <v>2.9</v>
      </c>
      <c r="O1018">
        <v>2400</v>
      </c>
      <c r="P1018">
        <v>3.75</v>
      </c>
      <c r="Q1018">
        <v>160</v>
      </c>
      <c r="R1018">
        <v>676</v>
      </c>
    </row>
    <row r="1019" spans="1:18" hidden="1" x14ac:dyDescent="0.2">
      <c r="A1019">
        <v>1</v>
      </c>
      <c r="B1019" t="s">
        <v>62</v>
      </c>
      <c r="E1019" t="s">
        <v>29</v>
      </c>
      <c r="F1019">
        <v>1699645</v>
      </c>
      <c r="G1019">
        <v>2</v>
      </c>
      <c r="H1019">
        <v>3</v>
      </c>
      <c r="I1019">
        <v>870</v>
      </c>
      <c r="J1019">
        <v>2006</v>
      </c>
      <c r="K1019" s="4">
        <v>44944</v>
      </c>
      <c r="L1019" t="s">
        <v>23</v>
      </c>
      <c r="M1019" t="s">
        <v>66</v>
      </c>
      <c r="N1019">
        <v>1.84</v>
      </c>
      <c r="O1019">
        <v>978</v>
      </c>
      <c r="P1019">
        <v>4.07</v>
      </c>
      <c r="Q1019">
        <v>212</v>
      </c>
      <c r="R1019">
        <v>308</v>
      </c>
    </row>
    <row r="1020" spans="1:18" hidden="1" x14ac:dyDescent="0.2">
      <c r="A1020">
        <v>2</v>
      </c>
      <c r="B1020" t="s">
        <v>106</v>
      </c>
      <c r="E1020" t="s">
        <v>29</v>
      </c>
      <c r="F1020">
        <v>453957</v>
      </c>
      <c r="G1020">
        <v>5</v>
      </c>
      <c r="H1020">
        <v>1</v>
      </c>
      <c r="I1020">
        <v>951</v>
      </c>
      <c r="J1020">
        <v>1961</v>
      </c>
      <c r="K1020" s="4">
        <v>45779</v>
      </c>
      <c r="L1020" t="s">
        <v>26</v>
      </c>
      <c r="M1020" t="s">
        <v>59</v>
      </c>
      <c r="N1020">
        <v>2.2599999999999998</v>
      </c>
      <c r="O1020">
        <v>2173</v>
      </c>
      <c r="P1020">
        <v>2.54</v>
      </c>
      <c r="Q1020">
        <v>303</v>
      </c>
      <c r="R1020">
        <v>691</v>
      </c>
    </row>
    <row r="1021" spans="1:18" hidden="1" x14ac:dyDescent="0.2">
      <c r="A1021">
        <v>7</v>
      </c>
      <c r="B1021" t="s">
        <v>49</v>
      </c>
      <c r="E1021" t="s">
        <v>36</v>
      </c>
      <c r="F1021">
        <v>2381061</v>
      </c>
      <c r="G1021">
        <v>2</v>
      </c>
      <c r="H1021">
        <v>2</v>
      </c>
      <c r="I1021">
        <v>815</v>
      </c>
      <c r="J1021">
        <v>1983</v>
      </c>
      <c r="K1021" s="4">
        <v>44150</v>
      </c>
      <c r="L1021" t="s">
        <v>23</v>
      </c>
      <c r="M1021" t="s">
        <v>52</v>
      </c>
      <c r="N1021">
        <v>2.2000000000000002</v>
      </c>
      <c r="O1021">
        <v>840</v>
      </c>
      <c r="P1021">
        <v>2.69</v>
      </c>
      <c r="Q1021">
        <v>45</v>
      </c>
      <c r="R1021">
        <v>406</v>
      </c>
    </row>
    <row r="1022" spans="1:18" hidden="1" x14ac:dyDescent="0.2">
      <c r="A1022">
        <v>9</v>
      </c>
      <c r="B1022" t="s">
        <v>84</v>
      </c>
      <c r="E1022" t="s">
        <v>51</v>
      </c>
      <c r="F1022">
        <v>1298062</v>
      </c>
      <c r="G1022">
        <v>3</v>
      </c>
      <c r="H1022">
        <v>3</v>
      </c>
      <c r="I1022">
        <v>196</v>
      </c>
      <c r="J1022">
        <v>1975</v>
      </c>
      <c r="K1022" s="4">
        <v>45536</v>
      </c>
      <c r="L1022" t="s">
        <v>30</v>
      </c>
      <c r="M1022" t="s">
        <v>24</v>
      </c>
      <c r="N1022">
        <v>2.15</v>
      </c>
      <c r="O1022">
        <v>2474</v>
      </c>
      <c r="P1022">
        <v>1.43</v>
      </c>
      <c r="Q1022">
        <v>171</v>
      </c>
      <c r="R1022">
        <v>420</v>
      </c>
    </row>
    <row r="1023" spans="1:18" hidden="1" x14ac:dyDescent="0.2">
      <c r="A1023">
        <v>1</v>
      </c>
      <c r="B1023" t="s">
        <v>41</v>
      </c>
      <c r="E1023" t="s">
        <v>19</v>
      </c>
      <c r="F1023">
        <v>2367021</v>
      </c>
      <c r="G1023">
        <v>1</v>
      </c>
      <c r="H1023">
        <v>2</v>
      </c>
      <c r="I1023">
        <v>296</v>
      </c>
      <c r="J1023">
        <v>1986</v>
      </c>
      <c r="K1023" s="4">
        <v>44954</v>
      </c>
      <c r="L1023" t="s">
        <v>23</v>
      </c>
      <c r="M1023" t="s">
        <v>97</v>
      </c>
      <c r="N1023">
        <v>1.79</v>
      </c>
      <c r="O1023">
        <v>1648</v>
      </c>
      <c r="P1023">
        <v>3.64</v>
      </c>
      <c r="Q1023">
        <v>96</v>
      </c>
      <c r="R1023">
        <v>408</v>
      </c>
    </row>
    <row r="1024" spans="1:18" hidden="1" x14ac:dyDescent="0.2">
      <c r="A1024">
        <v>3</v>
      </c>
      <c r="B1024" t="s">
        <v>92</v>
      </c>
      <c r="E1024" t="s">
        <v>19</v>
      </c>
      <c r="F1024">
        <v>553365</v>
      </c>
      <c r="G1024">
        <v>2</v>
      </c>
      <c r="H1024">
        <v>3</v>
      </c>
      <c r="I1024">
        <v>627</v>
      </c>
      <c r="J1024">
        <v>1973</v>
      </c>
      <c r="K1024" s="4">
        <v>44246</v>
      </c>
      <c r="L1024" t="s">
        <v>26</v>
      </c>
      <c r="M1024" t="s">
        <v>27</v>
      </c>
      <c r="N1024">
        <v>2.41</v>
      </c>
      <c r="O1024">
        <v>1267</v>
      </c>
      <c r="P1024">
        <v>0.6</v>
      </c>
      <c r="Q1024">
        <v>52</v>
      </c>
      <c r="R1024">
        <v>566</v>
      </c>
    </row>
    <row r="1025" spans="1:18" x14ac:dyDescent="0.2">
      <c r="A1025">
        <v>8</v>
      </c>
      <c r="B1025" t="s">
        <v>83</v>
      </c>
      <c r="C1025" t="str">
        <f>VLOOKUP(B1025, 'Council Area'!$A$2:$B$51, 2)</f>
        <v>Canterbury-Bankstown Council</v>
      </c>
      <c r="D1025" t="str">
        <f>_xlfn.XLOOKUP(B1025, 'Council Area'!$A$2:$A$51, 'Council Area'!$B$2:$B$51)</f>
        <v>Canterbury-Bankstown Council</v>
      </c>
      <c r="E1025" t="s">
        <v>36</v>
      </c>
      <c r="F1025">
        <v>2219875</v>
      </c>
      <c r="G1025">
        <v>0</v>
      </c>
      <c r="H1025">
        <v>1</v>
      </c>
      <c r="I1025">
        <v>666</v>
      </c>
      <c r="J1025">
        <v>1973</v>
      </c>
      <c r="K1025" s="4">
        <v>44486</v>
      </c>
      <c r="L1025" t="s">
        <v>26</v>
      </c>
      <c r="M1025" t="s">
        <v>40</v>
      </c>
      <c r="N1025">
        <v>2.4700000000000002</v>
      </c>
      <c r="O1025">
        <v>1655</v>
      </c>
      <c r="P1025">
        <v>3.32</v>
      </c>
      <c r="Q1025">
        <v>72</v>
      </c>
      <c r="R1025">
        <v>578</v>
      </c>
    </row>
    <row r="1026" spans="1:18" hidden="1" x14ac:dyDescent="0.2">
      <c r="A1026">
        <v>4</v>
      </c>
      <c r="B1026" t="s">
        <v>102</v>
      </c>
      <c r="E1026" t="s">
        <v>19</v>
      </c>
      <c r="F1026">
        <v>1196914</v>
      </c>
      <c r="G1026">
        <v>4</v>
      </c>
      <c r="H1026">
        <v>3</v>
      </c>
      <c r="I1026">
        <v>491</v>
      </c>
      <c r="J1026">
        <v>1972</v>
      </c>
      <c r="K1026" s="4">
        <v>44555</v>
      </c>
      <c r="L1026" t="s">
        <v>26</v>
      </c>
      <c r="M1026" t="s">
        <v>76</v>
      </c>
      <c r="N1026">
        <v>2.73</v>
      </c>
      <c r="O1026">
        <v>1294</v>
      </c>
      <c r="P1026">
        <v>0.92</v>
      </c>
      <c r="Q1026">
        <v>296</v>
      </c>
      <c r="R1026">
        <v>576</v>
      </c>
    </row>
    <row r="1027" spans="1:18" hidden="1" x14ac:dyDescent="0.2">
      <c r="A1027">
        <v>4</v>
      </c>
      <c r="B1027" t="s">
        <v>50</v>
      </c>
      <c r="E1027" t="s">
        <v>29</v>
      </c>
      <c r="F1027">
        <v>2860252</v>
      </c>
      <c r="G1027">
        <v>3</v>
      </c>
      <c r="H1027">
        <v>1</v>
      </c>
      <c r="I1027">
        <v>315</v>
      </c>
      <c r="J1027">
        <v>1980</v>
      </c>
      <c r="K1027" s="4">
        <v>44949</v>
      </c>
      <c r="L1027" t="s">
        <v>26</v>
      </c>
      <c r="M1027" t="s">
        <v>37</v>
      </c>
      <c r="N1027">
        <v>2.85</v>
      </c>
      <c r="O1027">
        <v>1980</v>
      </c>
      <c r="P1027">
        <v>0.7</v>
      </c>
      <c r="Q1027">
        <v>97</v>
      </c>
      <c r="R1027">
        <v>621</v>
      </c>
    </row>
    <row r="1028" spans="1:18" hidden="1" x14ac:dyDescent="0.2">
      <c r="A1028">
        <v>0</v>
      </c>
      <c r="B1028" t="s">
        <v>57</v>
      </c>
      <c r="E1028" t="s">
        <v>19</v>
      </c>
      <c r="F1028">
        <v>2801270</v>
      </c>
      <c r="G1028">
        <v>4</v>
      </c>
      <c r="H1028">
        <v>1</v>
      </c>
      <c r="I1028">
        <v>495</v>
      </c>
      <c r="J1028">
        <v>2020</v>
      </c>
      <c r="K1028" s="4">
        <v>45094</v>
      </c>
      <c r="L1028" t="s">
        <v>23</v>
      </c>
      <c r="M1028" t="s">
        <v>82</v>
      </c>
      <c r="N1028">
        <v>2.63</v>
      </c>
      <c r="O1028">
        <v>2191</v>
      </c>
      <c r="P1028">
        <v>0.98</v>
      </c>
      <c r="Q1028">
        <v>223</v>
      </c>
      <c r="R1028">
        <v>635</v>
      </c>
    </row>
    <row r="1029" spans="1:18" hidden="1" x14ac:dyDescent="0.2">
      <c r="A1029">
        <v>2</v>
      </c>
      <c r="B1029" t="s">
        <v>39</v>
      </c>
      <c r="E1029" t="s">
        <v>36</v>
      </c>
      <c r="F1029">
        <v>1664724</v>
      </c>
      <c r="G1029">
        <v>2</v>
      </c>
      <c r="H1029">
        <v>1</v>
      </c>
      <c r="I1029">
        <v>643</v>
      </c>
      <c r="J1029">
        <v>2016</v>
      </c>
      <c r="K1029" s="4">
        <v>45091</v>
      </c>
      <c r="L1029" t="s">
        <v>26</v>
      </c>
      <c r="M1029" t="s">
        <v>68</v>
      </c>
      <c r="N1029">
        <v>3.38</v>
      </c>
      <c r="O1029">
        <v>1831</v>
      </c>
      <c r="P1029">
        <v>3.66</v>
      </c>
      <c r="Q1029">
        <v>162</v>
      </c>
      <c r="R1029">
        <v>514</v>
      </c>
    </row>
    <row r="1030" spans="1:18" hidden="1" x14ac:dyDescent="0.2">
      <c r="A1030">
        <v>7</v>
      </c>
      <c r="B1030" t="s">
        <v>87</v>
      </c>
      <c r="E1030" t="s">
        <v>51</v>
      </c>
      <c r="F1030">
        <v>2378151</v>
      </c>
      <c r="G1030">
        <v>4</v>
      </c>
      <c r="H1030">
        <v>3</v>
      </c>
      <c r="I1030">
        <v>88</v>
      </c>
      <c r="J1030">
        <v>2012</v>
      </c>
      <c r="K1030" s="4">
        <v>44122</v>
      </c>
      <c r="L1030" t="s">
        <v>26</v>
      </c>
      <c r="M1030" t="s">
        <v>47</v>
      </c>
      <c r="N1030">
        <v>2.9</v>
      </c>
      <c r="O1030">
        <v>2206</v>
      </c>
      <c r="P1030">
        <v>1.89</v>
      </c>
      <c r="Q1030">
        <v>218</v>
      </c>
      <c r="R1030">
        <v>412</v>
      </c>
    </row>
    <row r="1031" spans="1:18" hidden="1" x14ac:dyDescent="0.2">
      <c r="A1031">
        <v>0</v>
      </c>
      <c r="B1031" t="s">
        <v>28</v>
      </c>
      <c r="E1031" t="s">
        <v>51</v>
      </c>
      <c r="F1031">
        <v>1195409</v>
      </c>
      <c r="G1031">
        <v>3</v>
      </c>
      <c r="H1031">
        <v>3</v>
      </c>
      <c r="I1031">
        <v>126</v>
      </c>
      <c r="J1031">
        <v>1964</v>
      </c>
      <c r="K1031" s="4">
        <v>44954</v>
      </c>
      <c r="L1031" t="s">
        <v>20</v>
      </c>
      <c r="M1031" t="s">
        <v>35</v>
      </c>
      <c r="N1031">
        <v>2.0299999999999998</v>
      </c>
      <c r="O1031">
        <v>2338</v>
      </c>
      <c r="P1031">
        <v>2.81</v>
      </c>
      <c r="Q1031">
        <v>304</v>
      </c>
      <c r="R1031">
        <v>589</v>
      </c>
    </row>
    <row r="1032" spans="1:18" hidden="1" x14ac:dyDescent="0.2">
      <c r="A1032">
        <v>4</v>
      </c>
      <c r="B1032" t="s">
        <v>88</v>
      </c>
      <c r="E1032" t="s">
        <v>29</v>
      </c>
      <c r="F1032">
        <v>2395539</v>
      </c>
      <c r="G1032">
        <v>1</v>
      </c>
      <c r="H1032">
        <v>2</v>
      </c>
      <c r="I1032">
        <v>866</v>
      </c>
      <c r="J1032">
        <v>1994</v>
      </c>
      <c r="K1032" s="4">
        <v>44581</v>
      </c>
      <c r="L1032" t="s">
        <v>26</v>
      </c>
      <c r="M1032" t="s">
        <v>40</v>
      </c>
      <c r="N1032">
        <v>3.05</v>
      </c>
      <c r="O1032">
        <v>2308</v>
      </c>
      <c r="P1032">
        <v>0.36</v>
      </c>
      <c r="Q1032">
        <v>116</v>
      </c>
      <c r="R1032">
        <v>419</v>
      </c>
    </row>
    <row r="1033" spans="1:18" hidden="1" x14ac:dyDescent="0.2">
      <c r="A1033">
        <v>6</v>
      </c>
      <c r="B1033" t="s">
        <v>93</v>
      </c>
      <c r="E1033" t="s">
        <v>29</v>
      </c>
      <c r="F1033">
        <v>1184037</v>
      </c>
      <c r="G1033">
        <v>2</v>
      </c>
      <c r="H1033">
        <v>2</v>
      </c>
      <c r="I1033">
        <v>801</v>
      </c>
      <c r="J1033">
        <v>1993</v>
      </c>
      <c r="K1033" s="4">
        <v>44534</v>
      </c>
      <c r="L1033" t="s">
        <v>20</v>
      </c>
      <c r="M1033" t="s">
        <v>77</v>
      </c>
      <c r="N1033">
        <v>3.46</v>
      </c>
      <c r="O1033">
        <v>2079</v>
      </c>
      <c r="P1033">
        <v>1.28</v>
      </c>
      <c r="Q1033">
        <v>101</v>
      </c>
      <c r="R1033">
        <v>515</v>
      </c>
    </row>
    <row r="1034" spans="1:18" hidden="1" x14ac:dyDescent="0.2">
      <c r="A1034">
        <v>9</v>
      </c>
      <c r="B1034" t="s">
        <v>98</v>
      </c>
      <c r="E1034" t="s">
        <v>36</v>
      </c>
      <c r="F1034">
        <v>866587</v>
      </c>
      <c r="G1034">
        <v>3</v>
      </c>
      <c r="H1034">
        <v>1</v>
      </c>
      <c r="I1034">
        <v>225</v>
      </c>
      <c r="J1034">
        <v>1953</v>
      </c>
      <c r="K1034" s="4">
        <v>44323</v>
      </c>
      <c r="L1034" t="s">
        <v>26</v>
      </c>
      <c r="M1034" t="s">
        <v>58</v>
      </c>
      <c r="N1034">
        <v>2.38</v>
      </c>
      <c r="O1034">
        <v>1589</v>
      </c>
      <c r="P1034">
        <v>1.51</v>
      </c>
      <c r="Q1034">
        <v>174</v>
      </c>
      <c r="R1034">
        <v>629</v>
      </c>
    </row>
    <row r="1035" spans="1:18" hidden="1" x14ac:dyDescent="0.2">
      <c r="A1035">
        <v>0</v>
      </c>
      <c r="B1035" t="s">
        <v>101</v>
      </c>
      <c r="E1035" t="s">
        <v>36</v>
      </c>
      <c r="F1035">
        <v>2714263</v>
      </c>
      <c r="G1035">
        <v>6</v>
      </c>
      <c r="H1035">
        <v>2</v>
      </c>
      <c r="I1035">
        <v>72</v>
      </c>
      <c r="J1035">
        <v>1991</v>
      </c>
      <c r="K1035" s="4">
        <v>44226</v>
      </c>
      <c r="L1035" t="s">
        <v>20</v>
      </c>
      <c r="M1035" t="s">
        <v>33</v>
      </c>
      <c r="N1035">
        <v>2.93</v>
      </c>
      <c r="O1035">
        <v>2257</v>
      </c>
      <c r="P1035">
        <v>4.8099999999999996</v>
      </c>
      <c r="Q1035">
        <v>350</v>
      </c>
      <c r="R1035">
        <v>562</v>
      </c>
    </row>
    <row r="1036" spans="1:18" hidden="1" x14ac:dyDescent="0.2">
      <c r="A1036">
        <v>2</v>
      </c>
      <c r="B1036" t="s">
        <v>57</v>
      </c>
      <c r="E1036" t="s">
        <v>19</v>
      </c>
      <c r="F1036">
        <v>662026</v>
      </c>
      <c r="G1036">
        <v>2</v>
      </c>
      <c r="H1036">
        <v>1</v>
      </c>
      <c r="I1036">
        <v>964</v>
      </c>
      <c r="J1036">
        <v>2022</v>
      </c>
      <c r="K1036" s="4">
        <v>45493</v>
      </c>
      <c r="L1036" t="s">
        <v>20</v>
      </c>
      <c r="M1036" t="s">
        <v>63</v>
      </c>
      <c r="N1036">
        <v>2.21</v>
      </c>
      <c r="O1036">
        <v>2423</v>
      </c>
      <c r="P1036">
        <v>3.6</v>
      </c>
      <c r="Q1036">
        <v>102</v>
      </c>
      <c r="R1036">
        <v>514</v>
      </c>
    </row>
    <row r="1037" spans="1:18" hidden="1" x14ac:dyDescent="0.2">
      <c r="A1037">
        <v>5</v>
      </c>
      <c r="B1037" t="s">
        <v>101</v>
      </c>
      <c r="E1037" t="s">
        <v>36</v>
      </c>
      <c r="F1037">
        <v>1123508</v>
      </c>
      <c r="G1037">
        <v>4</v>
      </c>
      <c r="H1037">
        <v>1</v>
      </c>
      <c r="I1037">
        <v>421</v>
      </c>
      <c r="J1037">
        <v>1998</v>
      </c>
      <c r="K1037" s="4">
        <v>44921</v>
      </c>
      <c r="L1037" t="s">
        <v>30</v>
      </c>
      <c r="M1037" t="s">
        <v>52</v>
      </c>
      <c r="N1037">
        <v>2.5</v>
      </c>
      <c r="O1037">
        <v>1142</v>
      </c>
      <c r="P1037">
        <v>2.89</v>
      </c>
      <c r="Q1037">
        <v>216</v>
      </c>
      <c r="R1037">
        <v>591</v>
      </c>
    </row>
    <row r="1038" spans="1:18" hidden="1" x14ac:dyDescent="0.2">
      <c r="A1038">
        <v>0</v>
      </c>
      <c r="B1038" t="s">
        <v>18</v>
      </c>
      <c r="E1038" t="s">
        <v>36</v>
      </c>
      <c r="F1038">
        <v>1511566</v>
      </c>
      <c r="G1038">
        <v>3</v>
      </c>
      <c r="H1038">
        <v>2</v>
      </c>
      <c r="I1038">
        <v>120</v>
      </c>
      <c r="J1038">
        <v>1980</v>
      </c>
      <c r="K1038" s="4">
        <v>44683</v>
      </c>
      <c r="L1038" t="s">
        <v>30</v>
      </c>
      <c r="M1038" t="s">
        <v>97</v>
      </c>
      <c r="N1038">
        <v>2.67</v>
      </c>
      <c r="O1038">
        <v>992</v>
      </c>
      <c r="P1038">
        <v>3.91</v>
      </c>
      <c r="Q1038">
        <v>320</v>
      </c>
      <c r="R1038">
        <v>432</v>
      </c>
    </row>
    <row r="1039" spans="1:18" hidden="1" x14ac:dyDescent="0.2">
      <c r="A1039">
        <v>2</v>
      </c>
      <c r="B1039" t="s">
        <v>102</v>
      </c>
      <c r="E1039" t="s">
        <v>29</v>
      </c>
      <c r="F1039">
        <v>1057009</v>
      </c>
      <c r="G1039">
        <v>6</v>
      </c>
      <c r="H1039">
        <v>1</v>
      </c>
      <c r="I1039">
        <v>154</v>
      </c>
      <c r="J1039">
        <v>2002</v>
      </c>
      <c r="K1039" s="4">
        <v>44399</v>
      </c>
      <c r="L1039" t="s">
        <v>20</v>
      </c>
      <c r="M1039" t="s">
        <v>33</v>
      </c>
      <c r="N1039">
        <v>1.86</v>
      </c>
      <c r="O1039">
        <v>2460</v>
      </c>
      <c r="P1039">
        <v>4.12</v>
      </c>
      <c r="Q1039">
        <v>363</v>
      </c>
      <c r="R1039">
        <v>683</v>
      </c>
    </row>
    <row r="1040" spans="1:18" hidden="1" x14ac:dyDescent="0.2">
      <c r="A1040">
        <v>5</v>
      </c>
      <c r="B1040" t="s">
        <v>98</v>
      </c>
      <c r="E1040" t="s">
        <v>51</v>
      </c>
      <c r="F1040">
        <v>2337425</v>
      </c>
      <c r="G1040">
        <v>5</v>
      </c>
      <c r="H1040">
        <v>2</v>
      </c>
      <c r="I1040">
        <v>642</v>
      </c>
      <c r="J1040">
        <v>1956</v>
      </c>
      <c r="K1040" s="4">
        <v>44070</v>
      </c>
      <c r="L1040" t="s">
        <v>20</v>
      </c>
      <c r="M1040" t="s">
        <v>70</v>
      </c>
      <c r="N1040">
        <v>2.74</v>
      </c>
      <c r="O1040">
        <v>1914</v>
      </c>
      <c r="P1040">
        <v>2.66</v>
      </c>
      <c r="Q1040">
        <v>332</v>
      </c>
      <c r="R1040">
        <v>651</v>
      </c>
    </row>
    <row r="1041" spans="1:18" hidden="1" x14ac:dyDescent="0.2">
      <c r="A1041">
        <v>0</v>
      </c>
      <c r="B1041" t="s">
        <v>88</v>
      </c>
      <c r="E1041" t="s">
        <v>19</v>
      </c>
      <c r="F1041">
        <v>1210885</v>
      </c>
      <c r="G1041">
        <v>6</v>
      </c>
      <c r="H1041">
        <v>2</v>
      </c>
      <c r="I1041">
        <v>782</v>
      </c>
      <c r="J1041">
        <v>2009</v>
      </c>
      <c r="K1041" s="4">
        <v>45636</v>
      </c>
      <c r="L1041" t="s">
        <v>26</v>
      </c>
      <c r="M1041" t="s">
        <v>89</v>
      </c>
      <c r="N1041">
        <v>3</v>
      </c>
      <c r="O1041">
        <v>1313</v>
      </c>
      <c r="P1041">
        <v>4.8899999999999997</v>
      </c>
      <c r="Q1041">
        <v>351</v>
      </c>
      <c r="R1041">
        <v>558</v>
      </c>
    </row>
    <row r="1042" spans="1:18" hidden="1" x14ac:dyDescent="0.2">
      <c r="A1042">
        <v>0</v>
      </c>
      <c r="B1042" t="s">
        <v>39</v>
      </c>
      <c r="E1042" t="s">
        <v>29</v>
      </c>
      <c r="F1042">
        <v>2909113</v>
      </c>
      <c r="G1042">
        <v>6</v>
      </c>
      <c r="H1042">
        <v>3</v>
      </c>
      <c r="I1042">
        <v>915</v>
      </c>
      <c r="J1042">
        <v>2008</v>
      </c>
      <c r="K1042" s="4">
        <v>45882</v>
      </c>
      <c r="L1042" t="s">
        <v>30</v>
      </c>
      <c r="M1042" t="s">
        <v>52</v>
      </c>
      <c r="N1042">
        <v>2.0099999999999998</v>
      </c>
      <c r="O1042">
        <v>1898</v>
      </c>
      <c r="P1042">
        <v>2.14</v>
      </c>
      <c r="Q1042">
        <v>335</v>
      </c>
      <c r="R1042">
        <v>463</v>
      </c>
    </row>
    <row r="1043" spans="1:18" hidden="1" x14ac:dyDescent="0.2">
      <c r="A1043">
        <v>3</v>
      </c>
      <c r="B1043" t="s">
        <v>100</v>
      </c>
      <c r="E1043" t="s">
        <v>51</v>
      </c>
      <c r="F1043">
        <v>485747</v>
      </c>
      <c r="G1043">
        <v>3</v>
      </c>
      <c r="H1043">
        <v>2</v>
      </c>
      <c r="I1043">
        <v>478</v>
      </c>
      <c r="J1043">
        <v>1960</v>
      </c>
      <c r="K1043" s="4">
        <v>44773</v>
      </c>
      <c r="L1043" t="s">
        <v>20</v>
      </c>
      <c r="M1043" t="s">
        <v>66</v>
      </c>
      <c r="N1043">
        <v>2.89</v>
      </c>
      <c r="O1043">
        <v>2479</v>
      </c>
      <c r="P1043">
        <v>4.6500000000000004</v>
      </c>
      <c r="Q1043">
        <v>312</v>
      </c>
      <c r="R1043">
        <v>373</v>
      </c>
    </row>
    <row r="1044" spans="1:18" hidden="1" x14ac:dyDescent="0.2">
      <c r="A1044">
        <v>0</v>
      </c>
      <c r="B1044" t="s">
        <v>102</v>
      </c>
      <c r="E1044" t="s">
        <v>36</v>
      </c>
      <c r="F1044">
        <v>541569</v>
      </c>
      <c r="G1044">
        <v>0</v>
      </c>
      <c r="H1044">
        <v>3</v>
      </c>
      <c r="I1044">
        <v>593</v>
      </c>
      <c r="J1044">
        <v>1989</v>
      </c>
      <c r="K1044" s="4">
        <v>45306</v>
      </c>
      <c r="L1044" t="s">
        <v>20</v>
      </c>
      <c r="M1044" t="s">
        <v>31</v>
      </c>
      <c r="N1044">
        <v>1.99</v>
      </c>
      <c r="O1044">
        <v>1922</v>
      </c>
      <c r="P1044">
        <v>4.07</v>
      </c>
      <c r="Q1044">
        <v>75</v>
      </c>
      <c r="R1044">
        <v>428</v>
      </c>
    </row>
    <row r="1045" spans="1:18" hidden="1" x14ac:dyDescent="0.2">
      <c r="A1045">
        <v>5</v>
      </c>
      <c r="B1045" t="s">
        <v>67</v>
      </c>
      <c r="E1045" t="s">
        <v>51</v>
      </c>
      <c r="F1045">
        <v>447944</v>
      </c>
      <c r="G1045">
        <v>5</v>
      </c>
      <c r="H1045">
        <v>3</v>
      </c>
      <c r="I1045">
        <v>701</v>
      </c>
      <c r="J1045">
        <v>2012</v>
      </c>
      <c r="K1045" s="4">
        <v>44288</v>
      </c>
      <c r="L1045" t="s">
        <v>30</v>
      </c>
      <c r="M1045" t="s">
        <v>37</v>
      </c>
      <c r="N1045">
        <v>3.36</v>
      </c>
      <c r="O1045">
        <v>1050</v>
      </c>
      <c r="P1045">
        <v>3.81</v>
      </c>
      <c r="Q1045">
        <v>272</v>
      </c>
      <c r="R1045">
        <v>355</v>
      </c>
    </row>
    <row r="1046" spans="1:18" hidden="1" x14ac:dyDescent="0.2">
      <c r="A1046">
        <v>3</v>
      </c>
      <c r="B1046" t="s">
        <v>62</v>
      </c>
      <c r="E1046" t="s">
        <v>29</v>
      </c>
      <c r="F1046">
        <v>1585462</v>
      </c>
      <c r="G1046">
        <v>5</v>
      </c>
      <c r="H1046">
        <v>3</v>
      </c>
      <c r="I1046">
        <v>58</v>
      </c>
      <c r="J1046">
        <v>1985</v>
      </c>
      <c r="K1046" s="4">
        <v>45744</v>
      </c>
      <c r="L1046" t="s">
        <v>20</v>
      </c>
      <c r="M1046" t="s">
        <v>78</v>
      </c>
      <c r="N1046">
        <v>3.28</v>
      </c>
      <c r="O1046">
        <v>2318</v>
      </c>
      <c r="P1046">
        <v>0.79</v>
      </c>
      <c r="Q1046">
        <v>347</v>
      </c>
      <c r="R1046">
        <v>542</v>
      </c>
    </row>
    <row r="1047" spans="1:18" hidden="1" x14ac:dyDescent="0.2">
      <c r="A1047">
        <v>2</v>
      </c>
      <c r="B1047" t="s">
        <v>87</v>
      </c>
      <c r="E1047" t="s">
        <v>19</v>
      </c>
      <c r="F1047">
        <v>2815320</v>
      </c>
      <c r="G1047">
        <v>1</v>
      </c>
      <c r="H1047">
        <v>3</v>
      </c>
      <c r="I1047">
        <v>415</v>
      </c>
      <c r="J1047">
        <v>2003</v>
      </c>
      <c r="K1047" s="4">
        <v>45376</v>
      </c>
      <c r="L1047" t="s">
        <v>23</v>
      </c>
      <c r="M1047" t="s">
        <v>40</v>
      </c>
      <c r="N1047">
        <v>1.71</v>
      </c>
      <c r="O1047">
        <v>2481</v>
      </c>
      <c r="P1047">
        <v>1.95</v>
      </c>
      <c r="Q1047">
        <v>116</v>
      </c>
      <c r="R1047">
        <v>680</v>
      </c>
    </row>
    <row r="1048" spans="1:18" hidden="1" x14ac:dyDescent="0.2">
      <c r="A1048">
        <v>4</v>
      </c>
      <c r="B1048" t="s">
        <v>102</v>
      </c>
      <c r="E1048" t="s">
        <v>29</v>
      </c>
      <c r="F1048">
        <v>2500796</v>
      </c>
      <c r="G1048">
        <v>5</v>
      </c>
      <c r="H1048">
        <v>2</v>
      </c>
      <c r="I1048">
        <v>57</v>
      </c>
      <c r="J1048">
        <v>1974</v>
      </c>
      <c r="K1048" s="4">
        <v>44900</v>
      </c>
      <c r="L1048" t="s">
        <v>23</v>
      </c>
      <c r="M1048" t="s">
        <v>37</v>
      </c>
      <c r="N1048">
        <v>3.17</v>
      </c>
      <c r="O1048">
        <v>806</v>
      </c>
      <c r="P1048">
        <v>1.21</v>
      </c>
      <c r="Q1048">
        <v>295</v>
      </c>
      <c r="R1048">
        <v>576</v>
      </c>
    </row>
    <row r="1049" spans="1:18" hidden="1" x14ac:dyDescent="0.2">
      <c r="A1049">
        <v>1</v>
      </c>
      <c r="B1049" t="s">
        <v>46</v>
      </c>
      <c r="E1049" t="s">
        <v>19</v>
      </c>
      <c r="F1049">
        <v>2015096</v>
      </c>
      <c r="G1049">
        <v>2</v>
      </c>
      <c r="H1049">
        <v>2</v>
      </c>
      <c r="I1049">
        <v>303</v>
      </c>
      <c r="J1049">
        <v>2016</v>
      </c>
      <c r="K1049" s="4">
        <v>45853</v>
      </c>
      <c r="L1049" t="s">
        <v>23</v>
      </c>
      <c r="M1049" t="s">
        <v>66</v>
      </c>
      <c r="N1049">
        <v>2.86</v>
      </c>
      <c r="O1049">
        <v>1170</v>
      </c>
      <c r="P1049">
        <v>0.26</v>
      </c>
      <c r="Q1049">
        <v>183</v>
      </c>
      <c r="R1049">
        <v>694</v>
      </c>
    </row>
    <row r="1050" spans="1:18" hidden="1" x14ac:dyDescent="0.2">
      <c r="A1050">
        <v>1</v>
      </c>
      <c r="B1050" t="s">
        <v>86</v>
      </c>
      <c r="E1050" t="s">
        <v>19</v>
      </c>
      <c r="F1050">
        <v>905195</v>
      </c>
      <c r="G1050">
        <v>4</v>
      </c>
      <c r="H1050">
        <v>1</v>
      </c>
      <c r="I1050">
        <v>891</v>
      </c>
      <c r="J1050">
        <v>1988</v>
      </c>
      <c r="K1050" s="4">
        <v>45231</v>
      </c>
      <c r="L1050" t="s">
        <v>26</v>
      </c>
      <c r="M1050" t="s">
        <v>63</v>
      </c>
      <c r="N1050">
        <v>2.84</v>
      </c>
      <c r="O1050">
        <v>1157</v>
      </c>
      <c r="P1050">
        <v>2.77</v>
      </c>
      <c r="Q1050">
        <v>261</v>
      </c>
      <c r="R1050">
        <v>388</v>
      </c>
    </row>
    <row r="1051" spans="1:18" hidden="1" x14ac:dyDescent="0.2">
      <c r="A1051">
        <v>6</v>
      </c>
      <c r="B1051" t="s">
        <v>43</v>
      </c>
      <c r="E1051" t="s">
        <v>36</v>
      </c>
      <c r="F1051">
        <v>1965876</v>
      </c>
      <c r="G1051">
        <v>0</v>
      </c>
      <c r="H1051">
        <v>1</v>
      </c>
      <c r="I1051">
        <v>665</v>
      </c>
      <c r="J1051">
        <v>2005</v>
      </c>
      <c r="K1051" s="4">
        <v>45669</v>
      </c>
      <c r="L1051" t="s">
        <v>23</v>
      </c>
      <c r="M1051" t="s">
        <v>70</v>
      </c>
      <c r="N1051">
        <v>3.26</v>
      </c>
      <c r="O1051">
        <v>1475</v>
      </c>
      <c r="P1051">
        <v>2.4700000000000002</v>
      </c>
      <c r="Q1051">
        <v>65</v>
      </c>
      <c r="R1051">
        <v>500</v>
      </c>
    </row>
    <row r="1052" spans="1:18" hidden="1" x14ac:dyDescent="0.2">
      <c r="A1052">
        <v>9</v>
      </c>
      <c r="B1052" t="s">
        <v>50</v>
      </c>
      <c r="E1052" t="s">
        <v>19</v>
      </c>
      <c r="F1052">
        <v>2766352</v>
      </c>
      <c r="G1052">
        <v>4</v>
      </c>
      <c r="H1052">
        <v>3</v>
      </c>
      <c r="I1052">
        <v>92</v>
      </c>
      <c r="J1052">
        <v>1972</v>
      </c>
      <c r="K1052" s="4">
        <v>44609</v>
      </c>
      <c r="L1052" t="s">
        <v>26</v>
      </c>
      <c r="M1052" t="s">
        <v>59</v>
      </c>
      <c r="N1052">
        <v>2.88</v>
      </c>
      <c r="O1052">
        <v>972</v>
      </c>
      <c r="P1052">
        <v>3.9</v>
      </c>
      <c r="Q1052">
        <v>164</v>
      </c>
      <c r="R1052">
        <v>686</v>
      </c>
    </row>
    <row r="1053" spans="1:18" x14ac:dyDescent="0.2">
      <c r="A1053">
        <v>8</v>
      </c>
      <c r="B1053" t="s">
        <v>39</v>
      </c>
      <c r="C1053" t="str">
        <f>VLOOKUP(B1053, 'Council Area'!$A$2:$B$51, 2)</f>
        <v>Hornsby Shire Council</v>
      </c>
      <c r="D1053" t="str">
        <f>_xlfn.XLOOKUP(B1053, 'Council Area'!$A$2:$A$51, 'Council Area'!$B$2:$B$51)</f>
        <v>Hornsby Shire Council</v>
      </c>
      <c r="E1053" t="s">
        <v>36</v>
      </c>
      <c r="F1053">
        <v>2565825</v>
      </c>
      <c r="G1053">
        <v>4</v>
      </c>
      <c r="H1053">
        <v>1</v>
      </c>
      <c r="I1053">
        <v>412</v>
      </c>
      <c r="J1053">
        <v>1993</v>
      </c>
      <c r="K1053" s="4">
        <v>45637</v>
      </c>
      <c r="L1053" t="s">
        <v>20</v>
      </c>
      <c r="M1053" t="s">
        <v>58</v>
      </c>
      <c r="N1053">
        <v>2.06</v>
      </c>
      <c r="O1053">
        <v>1131</v>
      </c>
      <c r="P1053">
        <v>2.84</v>
      </c>
      <c r="Q1053">
        <v>264</v>
      </c>
      <c r="R1053">
        <v>687</v>
      </c>
    </row>
    <row r="1054" spans="1:18" hidden="1" x14ac:dyDescent="0.2">
      <c r="A1054">
        <v>9</v>
      </c>
      <c r="B1054" t="s">
        <v>102</v>
      </c>
      <c r="E1054" t="s">
        <v>36</v>
      </c>
      <c r="F1054">
        <v>541770</v>
      </c>
      <c r="G1054">
        <v>4</v>
      </c>
      <c r="H1054">
        <v>3</v>
      </c>
      <c r="I1054">
        <v>528</v>
      </c>
      <c r="J1054">
        <v>1984</v>
      </c>
      <c r="K1054" s="4">
        <v>44874</v>
      </c>
      <c r="L1054" t="s">
        <v>20</v>
      </c>
      <c r="M1054" t="s">
        <v>21</v>
      </c>
      <c r="N1054">
        <v>1.8</v>
      </c>
      <c r="O1054">
        <v>963</v>
      </c>
      <c r="P1054">
        <v>4.34</v>
      </c>
      <c r="Q1054">
        <v>263</v>
      </c>
      <c r="R1054">
        <v>547</v>
      </c>
    </row>
    <row r="1055" spans="1:18" hidden="1" x14ac:dyDescent="0.2">
      <c r="A1055">
        <v>3</v>
      </c>
      <c r="B1055" t="s">
        <v>61</v>
      </c>
      <c r="E1055" t="s">
        <v>51</v>
      </c>
      <c r="F1055">
        <v>2675814</v>
      </c>
      <c r="G1055">
        <v>4</v>
      </c>
      <c r="H1055">
        <v>3</v>
      </c>
      <c r="I1055">
        <v>333</v>
      </c>
      <c r="J1055">
        <v>1956</v>
      </c>
      <c r="K1055" s="4">
        <v>44406</v>
      </c>
      <c r="L1055" t="s">
        <v>23</v>
      </c>
      <c r="M1055" t="s">
        <v>12</v>
      </c>
      <c r="N1055">
        <v>3.01</v>
      </c>
      <c r="O1055">
        <v>1775</v>
      </c>
      <c r="P1055">
        <v>4.2300000000000004</v>
      </c>
      <c r="Q1055">
        <v>282</v>
      </c>
      <c r="R1055">
        <v>629</v>
      </c>
    </row>
    <row r="1056" spans="1:18" hidden="1" x14ac:dyDescent="0.2">
      <c r="A1056">
        <v>5</v>
      </c>
      <c r="B1056" t="s">
        <v>106</v>
      </c>
      <c r="E1056" t="s">
        <v>29</v>
      </c>
      <c r="F1056">
        <v>2073508</v>
      </c>
      <c r="G1056">
        <v>5</v>
      </c>
      <c r="H1056">
        <v>1</v>
      </c>
      <c r="I1056">
        <v>971</v>
      </c>
      <c r="J1056">
        <v>1954</v>
      </c>
      <c r="K1056" s="4">
        <v>44860</v>
      </c>
      <c r="L1056" t="s">
        <v>23</v>
      </c>
      <c r="M1056" t="s">
        <v>60</v>
      </c>
      <c r="N1056">
        <v>2.68</v>
      </c>
      <c r="O1056">
        <v>1498</v>
      </c>
      <c r="P1056">
        <v>2.95</v>
      </c>
      <c r="Q1056">
        <v>345</v>
      </c>
      <c r="R1056">
        <v>540</v>
      </c>
    </row>
    <row r="1057" spans="1:18" hidden="1" x14ac:dyDescent="0.2">
      <c r="A1057">
        <v>9</v>
      </c>
      <c r="B1057" t="s">
        <v>25</v>
      </c>
      <c r="E1057" t="s">
        <v>51</v>
      </c>
      <c r="F1057">
        <v>1891394</v>
      </c>
      <c r="G1057">
        <v>4</v>
      </c>
      <c r="H1057">
        <v>2</v>
      </c>
      <c r="I1057">
        <v>594</v>
      </c>
      <c r="J1057">
        <v>1955</v>
      </c>
      <c r="K1057" s="4">
        <v>45304</v>
      </c>
      <c r="L1057" t="s">
        <v>20</v>
      </c>
      <c r="M1057" t="s">
        <v>56</v>
      </c>
      <c r="N1057">
        <v>2.71</v>
      </c>
      <c r="O1057">
        <v>2102</v>
      </c>
      <c r="P1057">
        <v>4.9800000000000004</v>
      </c>
      <c r="Q1057">
        <v>203</v>
      </c>
      <c r="R1057">
        <v>301</v>
      </c>
    </row>
    <row r="1058" spans="1:18" hidden="1" x14ac:dyDescent="0.2">
      <c r="A1058">
        <v>7</v>
      </c>
      <c r="B1058" t="s">
        <v>80</v>
      </c>
      <c r="E1058" t="s">
        <v>51</v>
      </c>
      <c r="F1058">
        <v>886592</v>
      </c>
      <c r="G1058">
        <v>2</v>
      </c>
      <c r="H1058">
        <v>2</v>
      </c>
      <c r="I1058">
        <v>218</v>
      </c>
      <c r="J1058">
        <v>1982</v>
      </c>
      <c r="K1058" s="4">
        <v>45541</v>
      </c>
      <c r="L1058" t="s">
        <v>23</v>
      </c>
      <c r="M1058" t="s">
        <v>47</v>
      </c>
      <c r="N1058">
        <v>2.94</v>
      </c>
      <c r="O1058">
        <v>2448</v>
      </c>
      <c r="P1058">
        <v>4.5999999999999996</v>
      </c>
      <c r="Q1058">
        <v>73</v>
      </c>
      <c r="R1058">
        <v>405</v>
      </c>
    </row>
    <row r="1059" spans="1:18" hidden="1" x14ac:dyDescent="0.2">
      <c r="A1059">
        <v>3</v>
      </c>
      <c r="B1059" t="s">
        <v>72</v>
      </c>
      <c r="E1059" t="s">
        <v>36</v>
      </c>
      <c r="F1059">
        <v>2193246</v>
      </c>
      <c r="G1059">
        <v>2</v>
      </c>
      <c r="H1059">
        <v>3</v>
      </c>
      <c r="I1059">
        <v>735</v>
      </c>
      <c r="J1059">
        <v>2011</v>
      </c>
      <c r="K1059" s="4">
        <v>45596</v>
      </c>
      <c r="L1059" t="s">
        <v>23</v>
      </c>
      <c r="M1059" t="s">
        <v>78</v>
      </c>
      <c r="N1059">
        <v>1.58</v>
      </c>
      <c r="O1059">
        <v>2048</v>
      </c>
      <c r="P1059">
        <v>1.1200000000000001</v>
      </c>
      <c r="Q1059">
        <v>89</v>
      </c>
      <c r="R1059">
        <v>431</v>
      </c>
    </row>
    <row r="1060" spans="1:18" hidden="1" x14ac:dyDescent="0.2">
      <c r="A1060">
        <v>4</v>
      </c>
      <c r="B1060" t="s">
        <v>104</v>
      </c>
      <c r="E1060" t="s">
        <v>29</v>
      </c>
      <c r="F1060">
        <v>1694359</v>
      </c>
      <c r="G1060">
        <v>5</v>
      </c>
      <c r="H1060">
        <v>3</v>
      </c>
      <c r="I1060">
        <v>721</v>
      </c>
      <c r="J1060">
        <v>1962</v>
      </c>
      <c r="K1060" s="4">
        <v>45846</v>
      </c>
      <c r="L1060" t="s">
        <v>23</v>
      </c>
      <c r="M1060" t="s">
        <v>59</v>
      </c>
      <c r="N1060">
        <v>1.72</v>
      </c>
      <c r="O1060">
        <v>2359</v>
      </c>
      <c r="P1060">
        <v>2.69</v>
      </c>
      <c r="Q1060">
        <v>295</v>
      </c>
      <c r="R1060">
        <v>320</v>
      </c>
    </row>
    <row r="1061" spans="1:18" hidden="1" x14ac:dyDescent="0.2">
      <c r="A1061">
        <v>3</v>
      </c>
      <c r="B1061" t="s">
        <v>57</v>
      </c>
      <c r="E1061" t="s">
        <v>36</v>
      </c>
      <c r="F1061">
        <v>1136757</v>
      </c>
      <c r="G1061">
        <v>3</v>
      </c>
      <c r="H1061">
        <v>3</v>
      </c>
      <c r="I1061">
        <v>404</v>
      </c>
      <c r="J1061">
        <v>1970</v>
      </c>
      <c r="K1061" s="4">
        <v>44561</v>
      </c>
      <c r="L1061" t="s">
        <v>23</v>
      </c>
      <c r="M1061" t="s">
        <v>74</v>
      </c>
      <c r="N1061">
        <v>3.01</v>
      </c>
      <c r="O1061">
        <v>895</v>
      </c>
      <c r="P1061">
        <v>0.69</v>
      </c>
      <c r="Q1061">
        <v>241</v>
      </c>
      <c r="R1061">
        <v>462</v>
      </c>
    </row>
    <row r="1062" spans="1:18" x14ac:dyDescent="0.2">
      <c r="A1062">
        <v>8</v>
      </c>
      <c r="B1062" t="s">
        <v>96</v>
      </c>
      <c r="C1062" t="str">
        <f>VLOOKUP(B1062, 'Council Area'!$A$2:$B$51, 2)</f>
        <v>Ku-ring-gai Council</v>
      </c>
      <c r="D1062" t="str">
        <f>_xlfn.XLOOKUP(B1062, 'Council Area'!$A$2:$A$51, 'Council Area'!$B$2:$B$51)</f>
        <v>Ku-ring-gai Council</v>
      </c>
      <c r="E1062" t="s">
        <v>36</v>
      </c>
      <c r="F1062">
        <v>1324794</v>
      </c>
      <c r="G1062">
        <v>5</v>
      </c>
      <c r="H1062">
        <v>3</v>
      </c>
      <c r="I1062">
        <v>266</v>
      </c>
      <c r="J1062">
        <v>1989</v>
      </c>
      <c r="K1062" s="4">
        <v>45053</v>
      </c>
      <c r="L1062" t="s">
        <v>20</v>
      </c>
      <c r="M1062" t="s">
        <v>33</v>
      </c>
      <c r="N1062">
        <v>2.2799999999999998</v>
      </c>
      <c r="O1062">
        <v>1815</v>
      </c>
      <c r="P1062">
        <v>4.13</v>
      </c>
      <c r="Q1062">
        <v>262</v>
      </c>
      <c r="R1062">
        <v>476</v>
      </c>
    </row>
    <row r="1063" spans="1:18" hidden="1" x14ac:dyDescent="0.2">
      <c r="A1063">
        <v>3</v>
      </c>
      <c r="B1063" t="s">
        <v>64</v>
      </c>
      <c r="E1063" t="s">
        <v>51</v>
      </c>
      <c r="F1063">
        <v>1819563</v>
      </c>
      <c r="G1063">
        <v>3</v>
      </c>
      <c r="H1063">
        <v>2</v>
      </c>
      <c r="I1063">
        <v>89</v>
      </c>
      <c r="J1063">
        <v>2019</v>
      </c>
      <c r="K1063" s="4">
        <v>44614</v>
      </c>
      <c r="L1063" t="s">
        <v>30</v>
      </c>
      <c r="M1063" t="s">
        <v>24</v>
      </c>
      <c r="N1063">
        <v>1.96</v>
      </c>
      <c r="O1063">
        <v>1767</v>
      </c>
      <c r="P1063">
        <v>0.66</v>
      </c>
      <c r="Q1063">
        <v>204</v>
      </c>
      <c r="R1063">
        <v>699</v>
      </c>
    </row>
    <row r="1064" spans="1:18" hidden="1" x14ac:dyDescent="0.2">
      <c r="A1064">
        <v>3</v>
      </c>
      <c r="B1064" t="s">
        <v>61</v>
      </c>
      <c r="E1064" t="s">
        <v>19</v>
      </c>
      <c r="F1064">
        <v>1482440</v>
      </c>
      <c r="G1064">
        <v>5</v>
      </c>
      <c r="H1064">
        <v>2</v>
      </c>
      <c r="I1064">
        <v>83</v>
      </c>
      <c r="J1064">
        <v>2019</v>
      </c>
      <c r="K1064" s="4">
        <v>44826</v>
      </c>
      <c r="L1064" t="s">
        <v>26</v>
      </c>
      <c r="M1064" t="s">
        <v>45</v>
      </c>
      <c r="N1064">
        <v>2.38</v>
      </c>
      <c r="O1064">
        <v>1914</v>
      </c>
      <c r="P1064">
        <v>1.53</v>
      </c>
      <c r="Q1064">
        <v>341</v>
      </c>
      <c r="R1064">
        <v>342</v>
      </c>
    </row>
    <row r="1065" spans="1:18" x14ac:dyDescent="0.2">
      <c r="A1065">
        <v>8</v>
      </c>
      <c r="B1065" t="s">
        <v>80</v>
      </c>
      <c r="C1065" t="str">
        <f>VLOOKUP(B1065, 'Council Area'!$A$2:$B$51, 2)</f>
        <v>Parramatta City Council</v>
      </c>
      <c r="D1065" t="str">
        <f>_xlfn.XLOOKUP(B1065, 'Council Area'!$A$2:$A$51, 'Council Area'!$B$2:$B$51)</f>
        <v>Parramatta City Council</v>
      </c>
      <c r="E1065" t="s">
        <v>36</v>
      </c>
      <c r="F1065">
        <v>2749545</v>
      </c>
      <c r="G1065">
        <v>0</v>
      </c>
      <c r="H1065">
        <v>1</v>
      </c>
      <c r="I1065">
        <v>407</v>
      </c>
      <c r="J1065">
        <v>1960</v>
      </c>
      <c r="K1065" s="4">
        <v>45493</v>
      </c>
      <c r="L1065" t="s">
        <v>23</v>
      </c>
      <c r="M1065" t="s">
        <v>74</v>
      </c>
      <c r="N1065">
        <v>3.12</v>
      </c>
      <c r="O1065">
        <v>1414</v>
      </c>
      <c r="P1065">
        <v>3.68</v>
      </c>
      <c r="Q1065">
        <v>64</v>
      </c>
      <c r="R1065">
        <v>323</v>
      </c>
    </row>
    <row r="1066" spans="1:18" hidden="1" x14ac:dyDescent="0.2">
      <c r="A1066">
        <v>0</v>
      </c>
      <c r="B1066" t="s">
        <v>46</v>
      </c>
      <c r="E1066" t="s">
        <v>29</v>
      </c>
      <c r="F1066">
        <v>1678104</v>
      </c>
      <c r="G1066">
        <v>1</v>
      </c>
      <c r="H1066">
        <v>2</v>
      </c>
      <c r="I1066">
        <v>742</v>
      </c>
      <c r="J1066">
        <v>2018</v>
      </c>
      <c r="K1066" s="4">
        <v>44965</v>
      </c>
      <c r="L1066" t="s">
        <v>30</v>
      </c>
      <c r="M1066" t="s">
        <v>35</v>
      </c>
      <c r="N1066">
        <v>1.52</v>
      </c>
      <c r="O1066">
        <v>2221</v>
      </c>
      <c r="P1066">
        <v>3.94</v>
      </c>
      <c r="Q1066">
        <v>114</v>
      </c>
      <c r="R1066">
        <v>588</v>
      </c>
    </row>
    <row r="1067" spans="1:18" hidden="1" x14ac:dyDescent="0.2">
      <c r="A1067">
        <v>5</v>
      </c>
      <c r="B1067" t="s">
        <v>106</v>
      </c>
      <c r="E1067" t="s">
        <v>51</v>
      </c>
      <c r="F1067">
        <v>1731168</v>
      </c>
      <c r="G1067">
        <v>5</v>
      </c>
      <c r="H1067">
        <v>3</v>
      </c>
      <c r="I1067">
        <v>569</v>
      </c>
      <c r="J1067">
        <v>2020</v>
      </c>
      <c r="K1067" s="4">
        <v>44547</v>
      </c>
      <c r="L1067" t="s">
        <v>30</v>
      </c>
      <c r="M1067" t="s">
        <v>77</v>
      </c>
      <c r="N1067">
        <v>1.68</v>
      </c>
      <c r="O1067">
        <v>2295</v>
      </c>
      <c r="P1067">
        <v>2.69</v>
      </c>
      <c r="Q1067">
        <v>394</v>
      </c>
      <c r="R1067">
        <v>402</v>
      </c>
    </row>
    <row r="1068" spans="1:18" hidden="1" x14ac:dyDescent="0.2">
      <c r="A1068">
        <v>7</v>
      </c>
      <c r="B1068" t="s">
        <v>25</v>
      </c>
      <c r="E1068" t="s">
        <v>51</v>
      </c>
      <c r="F1068">
        <v>2056519</v>
      </c>
      <c r="G1068">
        <v>5</v>
      </c>
      <c r="H1068">
        <v>3</v>
      </c>
      <c r="I1068">
        <v>425</v>
      </c>
      <c r="J1068">
        <v>1997</v>
      </c>
      <c r="K1068" s="4">
        <v>44459</v>
      </c>
      <c r="L1068" t="s">
        <v>20</v>
      </c>
      <c r="M1068" t="s">
        <v>76</v>
      </c>
      <c r="N1068">
        <v>2.17</v>
      </c>
      <c r="O1068">
        <v>1710</v>
      </c>
      <c r="P1068">
        <v>4.37</v>
      </c>
      <c r="Q1068">
        <v>323</v>
      </c>
      <c r="R1068">
        <v>403</v>
      </c>
    </row>
    <row r="1069" spans="1:18" hidden="1" x14ac:dyDescent="0.2">
      <c r="A1069">
        <v>6</v>
      </c>
      <c r="B1069" t="s">
        <v>84</v>
      </c>
      <c r="E1069" t="s">
        <v>51</v>
      </c>
      <c r="F1069">
        <v>962039</v>
      </c>
      <c r="G1069">
        <v>1</v>
      </c>
      <c r="H1069">
        <v>2</v>
      </c>
      <c r="I1069">
        <v>253</v>
      </c>
      <c r="J1069">
        <v>2006</v>
      </c>
      <c r="K1069" s="4">
        <v>44548</v>
      </c>
      <c r="L1069" t="s">
        <v>23</v>
      </c>
      <c r="M1069" t="s">
        <v>77</v>
      </c>
      <c r="N1069">
        <v>2.72</v>
      </c>
      <c r="O1069">
        <v>1439</v>
      </c>
      <c r="P1069">
        <v>3.15</v>
      </c>
      <c r="Q1069">
        <v>70</v>
      </c>
      <c r="R1069">
        <v>672</v>
      </c>
    </row>
    <row r="1070" spans="1:18" hidden="1" x14ac:dyDescent="0.2">
      <c r="A1070">
        <v>4</v>
      </c>
      <c r="B1070" t="s">
        <v>43</v>
      </c>
      <c r="E1070" t="s">
        <v>29</v>
      </c>
      <c r="F1070">
        <v>1612422</v>
      </c>
      <c r="G1070">
        <v>3</v>
      </c>
      <c r="H1070">
        <v>2</v>
      </c>
      <c r="I1070">
        <v>903</v>
      </c>
      <c r="J1070">
        <v>1951</v>
      </c>
      <c r="K1070" s="4">
        <v>45887</v>
      </c>
      <c r="L1070" t="s">
        <v>26</v>
      </c>
      <c r="M1070" t="s">
        <v>21</v>
      </c>
      <c r="N1070">
        <v>2.79</v>
      </c>
      <c r="O1070">
        <v>825</v>
      </c>
      <c r="P1070">
        <v>0.31</v>
      </c>
      <c r="Q1070">
        <v>220</v>
      </c>
      <c r="R1070">
        <v>454</v>
      </c>
    </row>
    <row r="1071" spans="1:18" hidden="1" x14ac:dyDescent="0.2">
      <c r="A1071">
        <v>6</v>
      </c>
      <c r="B1071" t="s">
        <v>71</v>
      </c>
      <c r="E1071" t="s">
        <v>51</v>
      </c>
      <c r="F1071">
        <v>1368577</v>
      </c>
      <c r="G1071">
        <v>4</v>
      </c>
      <c r="H1071">
        <v>2</v>
      </c>
      <c r="I1071">
        <v>96</v>
      </c>
      <c r="J1071">
        <v>1972</v>
      </c>
      <c r="K1071" s="4">
        <v>45071</v>
      </c>
      <c r="L1071" t="s">
        <v>30</v>
      </c>
      <c r="M1071" t="s">
        <v>97</v>
      </c>
      <c r="N1071">
        <v>2.65</v>
      </c>
      <c r="O1071">
        <v>1454</v>
      </c>
      <c r="P1071">
        <v>0.37</v>
      </c>
      <c r="Q1071">
        <v>382</v>
      </c>
      <c r="R1071">
        <v>583</v>
      </c>
    </row>
    <row r="1072" spans="1:18" hidden="1" x14ac:dyDescent="0.2">
      <c r="A1072">
        <v>3</v>
      </c>
      <c r="B1072" t="s">
        <v>101</v>
      </c>
      <c r="E1072" t="s">
        <v>19</v>
      </c>
      <c r="F1072">
        <v>2125150</v>
      </c>
      <c r="G1072">
        <v>6</v>
      </c>
      <c r="H1072">
        <v>1</v>
      </c>
      <c r="I1072">
        <v>225</v>
      </c>
      <c r="J1072">
        <v>2014</v>
      </c>
      <c r="K1072" s="4">
        <v>45684</v>
      </c>
      <c r="L1072" t="s">
        <v>30</v>
      </c>
      <c r="M1072" t="s">
        <v>27</v>
      </c>
      <c r="N1072">
        <v>2.83</v>
      </c>
      <c r="O1072">
        <v>1232</v>
      </c>
      <c r="P1072">
        <v>1.7</v>
      </c>
      <c r="Q1072">
        <v>351</v>
      </c>
      <c r="R1072">
        <v>306</v>
      </c>
    </row>
    <row r="1073" spans="1:18" x14ac:dyDescent="0.2">
      <c r="A1073">
        <v>8</v>
      </c>
      <c r="B1073" t="s">
        <v>91</v>
      </c>
      <c r="C1073" t="str">
        <f>VLOOKUP(B1073, 'Council Area'!$A$2:$B$51, 2)</f>
        <v>Northern Beaches Council</v>
      </c>
      <c r="D1073" t="str">
        <f>_xlfn.XLOOKUP(B1073, 'Council Area'!$A$2:$A$51, 'Council Area'!$B$2:$B$51)</f>
        <v>Northern Beaches Council</v>
      </c>
      <c r="E1073" t="s">
        <v>51</v>
      </c>
      <c r="F1073">
        <v>713648</v>
      </c>
      <c r="G1073">
        <v>1</v>
      </c>
      <c r="H1073">
        <v>1</v>
      </c>
      <c r="I1073">
        <v>481</v>
      </c>
      <c r="J1073">
        <v>2017</v>
      </c>
      <c r="K1073" s="4">
        <v>44618</v>
      </c>
      <c r="L1073" t="s">
        <v>26</v>
      </c>
      <c r="M1073" t="s">
        <v>58</v>
      </c>
      <c r="N1073">
        <v>1.88</v>
      </c>
      <c r="O1073">
        <v>2463</v>
      </c>
      <c r="P1073">
        <v>0.68</v>
      </c>
      <c r="Q1073">
        <v>62</v>
      </c>
      <c r="R1073">
        <v>331</v>
      </c>
    </row>
    <row r="1074" spans="1:18" hidden="1" x14ac:dyDescent="0.2">
      <c r="A1074">
        <v>5</v>
      </c>
      <c r="B1074" t="s">
        <v>38</v>
      </c>
      <c r="E1074" t="s">
        <v>19</v>
      </c>
      <c r="F1074">
        <v>2605529</v>
      </c>
      <c r="G1074">
        <v>6</v>
      </c>
      <c r="H1074">
        <v>3</v>
      </c>
      <c r="I1074">
        <v>987</v>
      </c>
      <c r="J1074">
        <v>2017</v>
      </c>
      <c r="K1074" s="4">
        <v>44065</v>
      </c>
      <c r="L1074" t="s">
        <v>30</v>
      </c>
      <c r="M1074" t="s">
        <v>37</v>
      </c>
      <c r="N1074">
        <v>2.8</v>
      </c>
      <c r="O1074">
        <v>1402</v>
      </c>
      <c r="P1074">
        <v>3.18</v>
      </c>
      <c r="Q1074">
        <v>322</v>
      </c>
      <c r="R1074">
        <v>596</v>
      </c>
    </row>
    <row r="1075" spans="1:18" x14ac:dyDescent="0.2">
      <c r="A1075">
        <v>8</v>
      </c>
      <c r="B1075" t="s">
        <v>65</v>
      </c>
      <c r="C1075" t="str">
        <f>VLOOKUP(B1075, 'Council Area'!$A$2:$B$51, 2)</f>
        <v>Sutherland Shire Council</v>
      </c>
      <c r="D1075" t="str">
        <f>_xlfn.XLOOKUP(B1075, 'Council Area'!$A$2:$A$51, 'Council Area'!$B$2:$B$51)</f>
        <v>Sutherland Shire Council</v>
      </c>
      <c r="E1075" t="s">
        <v>36</v>
      </c>
      <c r="F1075">
        <v>890587</v>
      </c>
      <c r="G1075">
        <v>2</v>
      </c>
      <c r="H1075">
        <v>2</v>
      </c>
      <c r="I1075">
        <v>795</v>
      </c>
      <c r="J1075">
        <v>1986</v>
      </c>
      <c r="K1075" s="4">
        <v>45138</v>
      </c>
      <c r="L1075" t="s">
        <v>20</v>
      </c>
      <c r="M1075" t="s">
        <v>85</v>
      </c>
      <c r="N1075">
        <v>1.51</v>
      </c>
      <c r="O1075">
        <v>2077</v>
      </c>
      <c r="P1075">
        <v>0.79</v>
      </c>
      <c r="Q1075">
        <v>142</v>
      </c>
      <c r="R1075">
        <v>578</v>
      </c>
    </row>
    <row r="1076" spans="1:18" hidden="1" x14ac:dyDescent="0.2">
      <c r="A1076">
        <v>2</v>
      </c>
      <c r="B1076" t="s">
        <v>79</v>
      </c>
      <c r="E1076" t="s">
        <v>29</v>
      </c>
      <c r="F1076">
        <v>537814</v>
      </c>
      <c r="G1076">
        <v>3</v>
      </c>
      <c r="H1076">
        <v>2</v>
      </c>
      <c r="I1076">
        <v>424</v>
      </c>
      <c r="J1076">
        <v>1985</v>
      </c>
      <c r="K1076" s="4">
        <v>44510</v>
      </c>
      <c r="L1076" t="s">
        <v>26</v>
      </c>
      <c r="M1076" t="s">
        <v>45</v>
      </c>
      <c r="N1076">
        <v>3.38</v>
      </c>
      <c r="O1076">
        <v>1835</v>
      </c>
      <c r="P1076">
        <v>0.71</v>
      </c>
      <c r="Q1076">
        <v>194</v>
      </c>
      <c r="R1076">
        <v>381</v>
      </c>
    </row>
    <row r="1077" spans="1:18" hidden="1" x14ac:dyDescent="0.2">
      <c r="A1077">
        <v>7</v>
      </c>
      <c r="B1077" t="s">
        <v>61</v>
      </c>
      <c r="E1077" t="s">
        <v>19</v>
      </c>
      <c r="F1077">
        <v>2353218</v>
      </c>
      <c r="G1077">
        <v>6</v>
      </c>
      <c r="H1077">
        <v>2</v>
      </c>
      <c r="I1077">
        <v>968</v>
      </c>
      <c r="J1077">
        <v>2008</v>
      </c>
      <c r="K1077" s="4">
        <v>45760</v>
      </c>
      <c r="L1077" t="s">
        <v>23</v>
      </c>
      <c r="M1077" t="s">
        <v>27</v>
      </c>
      <c r="N1077">
        <v>3.37</v>
      </c>
      <c r="O1077">
        <v>1561</v>
      </c>
      <c r="P1077">
        <v>4.07</v>
      </c>
      <c r="Q1077">
        <v>327</v>
      </c>
      <c r="R1077">
        <v>452</v>
      </c>
    </row>
    <row r="1078" spans="1:18" hidden="1" x14ac:dyDescent="0.2">
      <c r="A1078">
        <v>4</v>
      </c>
      <c r="B1078" t="s">
        <v>44</v>
      </c>
      <c r="E1078" t="s">
        <v>36</v>
      </c>
      <c r="F1078">
        <v>1643551</v>
      </c>
      <c r="G1078">
        <v>1</v>
      </c>
      <c r="H1078">
        <v>3</v>
      </c>
      <c r="I1078">
        <v>628</v>
      </c>
      <c r="J1078">
        <v>2015</v>
      </c>
      <c r="K1078" s="4">
        <v>45733</v>
      </c>
      <c r="L1078" t="s">
        <v>26</v>
      </c>
      <c r="M1078" t="s">
        <v>68</v>
      </c>
      <c r="N1078">
        <v>3.48</v>
      </c>
      <c r="O1078">
        <v>1452</v>
      </c>
      <c r="P1078">
        <v>0.43</v>
      </c>
      <c r="Q1078">
        <v>86</v>
      </c>
      <c r="R1078">
        <v>592</v>
      </c>
    </row>
    <row r="1079" spans="1:18" hidden="1" x14ac:dyDescent="0.2">
      <c r="A1079">
        <v>0</v>
      </c>
      <c r="B1079" t="s">
        <v>38</v>
      </c>
      <c r="E1079" t="s">
        <v>36</v>
      </c>
      <c r="F1079">
        <v>1702101</v>
      </c>
      <c r="G1079">
        <v>6</v>
      </c>
      <c r="H1079">
        <v>3</v>
      </c>
      <c r="I1079">
        <v>835</v>
      </c>
      <c r="J1079">
        <v>1993</v>
      </c>
      <c r="K1079" s="4">
        <v>45722</v>
      </c>
      <c r="L1079" t="s">
        <v>30</v>
      </c>
      <c r="M1079" t="s">
        <v>33</v>
      </c>
      <c r="N1079">
        <v>2.2000000000000002</v>
      </c>
      <c r="O1079">
        <v>2113</v>
      </c>
      <c r="P1079">
        <v>4.18</v>
      </c>
      <c r="Q1079">
        <v>336</v>
      </c>
      <c r="R1079">
        <v>626</v>
      </c>
    </row>
    <row r="1080" spans="1:18" hidden="1" x14ac:dyDescent="0.2">
      <c r="A1080">
        <v>0</v>
      </c>
      <c r="B1080" t="s">
        <v>50</v>
      </c>
      <c r="E1080" t="s">
        <v>19</v>
      </c>
      <c r="F1080">
        <v>425431</v>
      </c>
      <c r="G1080">
        <v>5</v>
      </c>
      <c r="H1080">
        <v>1</v>
      </c>
      <c r="I1080">
        <v>707</v>
      </c>
      <c r="J1080">
        <v>1997</v>
      </c>
      <c r="K1080" s="4">
        <v>44290</v>
      </c>
      <c r="L1080" t="s">
        <v>20</v>
      </c>
      <c r="M1080" t="s">
        <v>89</v>
      </c>
      <c r="N1080">
        <v>2.54</v>
      </c>
      <c r="O1080">
        <v>1650</v>
      </c>
      <c r="P1080">
        <v>1.1499999999999999</v>
      </c>
      <c r="Q1080">
        <v>283</v>
      </c>
      <c r="R1080">
        <v>346</v>
      </c>
    </row>
    <row r="1081" spans="1:18" hidden="1" x14ac:dyDescent="0.2">
      <c r="A1081">
        <v>9</v>
      </c>
      <c r="B1081" t="s">
        <v>105</v>
      </c>
      <c r="E1081" t="s">
        <v>51</v>
      </c>
      <c r="F1081">
        <v>2301587</v>
      </c>
      <c r="G1081">
        <v>4</v>
      </c>
      <c r="H1081">
        <v>2</v>
      </c>
      <c r="I1081">
        <v>489</v>
      </c>
      <c r="J1081">
        <v>1951</v>
      </c>
      <c r="K1081" s="4">
        <v>45394</v>
      </c>
      <c r="L1081" t="s">
        <v>26</v>
      </c>
      <c r="M1081" t="s">
        <v>27</v>
      </c>
      <c r="N1081">
        <v>2.6</v>
      </c>
      <c r="O1081">
        <v>1092</v>
      </c>
      <c r="P1081">
        <v>1.83</v>
      </c>
      <c r="Q1081">
        <v>166</v>
      </c>
      <c r="R1081">
        <v>683</v>
      </c>
    </row>
    <row r="1082" spans="1:18" hidden="1" x14ac:dyDescent="0.2">
      <c r="A1082">
        <v>7</v>
      </c>
      <c r="B1082" t="s">
        <v>83</v>
      </c>
      <c r="E1082" t="s">
        <v>19</v>
      </c>
      <c r="F1082">
        <v>2731634</v>
      </c>
      <c r="G1082">
        <v>0</v>
      </c>
      <c r="H1082">
        <v>3</v>
      </c>
      <c r="I1082">
        <v>728</v>
      </c>
      <c r="J1082">
        <v>1972</v>
      </c>
      <c r="K1082" s="4">
        <v>44558</v>
      </c>
      <c r="L1082" t="s">
        <v>23</v>
      </c>
      <c r="M1082" t="s">
        <v>54</v>
      </c>
      <c r="N1082">
        <v>2.06</v>
      </c>
      <c r="O1082">
        <v>1749</v>
      </c>
      <c r="P1082">
        <v>1.78</v>
      </c>
      <c r="Q1082">
        <v>52</v>
      </c>
      <c r="R1082">
        <v>560</v>
      </c>
    </row>
    <row r="1083" spans="1:18" hidden="1" x14ac:dyDescent="0.2">
      <c r="A1083">
        <v>1</v>
      </c>
      <c r="B1083" t="s">
        <v>72</v>
      </c>
      <c r="E1083" t="s">
        <v>36</v>
      </c>
      <c r="F1083">
        <v>504048</v>
      </c>
      <c r="G1083">
        <v>3</v>
      </c>
      <c r="H1083">
        <v>3</v>
      </c>
      <c r="I1083">
        <v>377</v>
      </c>
      <c r="J1083">
        <v>1955</v>
      </c>
      <c r="K1083" s="4">
        <v>44077</v>
      </c>
      <c r="L1083" t="s">
        <v>23</v>
      </c>
      <c r="M1083" t="s">
        <v>89</v>
      </c>
      <c r="N1083">
        <v>1.63</v>
      </c>
      <c r="O1083">
        <v>2239</v>
      </c>
      <c r="P1083">
        <v>1</v>
      </c>
      <c r="Q1083">
        <v>139</v>
      </c>
      <c r="R1083">
        <v>641</v>
      </c>
    </row>
    <row r="1084" spans="1:18" hidden="1" x14ac:dyDescent="0.2">
      <c r="A1084">
        <v>4</v>
      </c>
      <c r="B1084" t="s">
        <v>28</v>
      </c>
      <c r="E1084" t="s">
        <v>29</v>
      </c>
      <c r="F1084">
        <v>1954161</v>
      </c>
      <c r="G1084">
        <v>4</v>
      </c>
      <c r="H1084">
        <v>1</v>
      </c>
      <c r="I1084">
        <v>677</v>
      </c>
      <c r="J1084">
        <v>1981</v>
      </c>
      <c r="K1084" s="4">
        <v>44442</v>
      </c>
      <c r="L1084" t="s">
        <v>26</v>
      </c>
      <c r="M1084" t="s">
        <v>69</v>
      </c>
      <c r="N1084">
        <v>2.5499999999999998</v>
      </c>
      <c r="O1084">
        <v>939</v>
      </c>
      <c r="P1084">
        <v>4.9800000000000004</v>
      </c>
      <c r="Q1084">
        <v>224</v>
      </c>
      <c r="R1084">
        <v>573</v>
      </c>
    </row>
    <row r="1085" spans="1:18" hidden="1" x14ac:dyDescent="0.2">
      <c r="A1085">
        <v>9</v>
      </c>
      <c r="B1085" t="s">
        <v>96</v>
      </c>
      <c r="E1085" t="s">
        <v>36</v>
      </c>
      <c r="F1085">
        <v>1368219</v>
      </c>
      <c r="G1085">
        <v>2</v>
      </c>
      <c r="H1085">
        <v>3</v>
      </c>
      <c r="I1085">
        <v>183</v>
      </c>
      <c r="J1085">
        <v>1954</v>
      </c>
      <c r="K1085" s="4">
        <v>44299</v>
      </c>
      <c r="L1085" t="s">
        <v>26</v>
      </c>
      <c r="M1085" t="s">
        <v>82</v>
      </c>
      <c r="N1085">
        <v>1.78</v>
      </c>
      <c r="O1085">
        <v>1060</v>
      </c>
      <c r="P1085">
        <v>2.64</v>
      </c>
      <c r="Q1085">
        <v>73</v>
      </c>
      <c r="R1085">
        <v>309</v>
      </c>
    </row>
    <row r="1086" spans="1:18" hidden="1" x14ac:dyDescent="0.2">
      <c r="A1086">
        <v>9</v>
      </c>
      <c r="B1086" t="s">
        <v>64</v>
      </c>
      <c r="E1086" t="s">
        <v>29</v>
      </c>
      <c r="F1086">
        <v>2903806</v>
      </c>
      <c r="G1086">
        <v>4</v>
      </c>
      <c r="H1086">
        <v>3</v>
      </c>
      <c r="I1086">
        <v>214</v>
      </c>
      <c r="J1086">
        <v>1987</v>
      </c>
      <c r="K1086" s="4">
        <v>44471</v>
      </c>
      <c r="L1086" t="s">
        <v>26</v>
      </c>
      <c r="M1086" t="s">
        <v>21</v>
      </c>
      <c r="N1086">
        <v>1.97</v>
      </c>
      <c r="O1086">
        <v>1909</v>
      </c>
      <c r="P1086">
        <v>2.16</v>
      </c>
      <c r="Q1086">
        <v>254</v>
      </c>
      <c r="R1086">
        <v>677</v>
      </c>
    </row>
    <row r="1087" spans="1:18" hidden="1" x14ac:dyDescent="0.2">
      <c r="A1087">
        <v>7</v>
      </c>
      <c r="B1087" t="s">
        <v>73</v>
      </c>
      <c r="E1087" t="s">
        <v>51</v>
      </c>
      <c r="F1087">
        <v>2041254</v>
      </c>
      <c r="G1087">
        <v>6</v>
      </c>
      <c r="H1087">
        <v>1</v>
      </c>
      <c r="I1087">
        <v>737</v>
      </c>
      <c r="J1087">
        <v>2000</v>
      </c>
      <c r="K1087" s="4">
        <v>44795</v>
      </c>
      <c r="L1087" t="s">
        <v>23</v>
      </c>
      <c r="M1087" t="s">
        <v>47</v>
      </c>
      <c r="N1087">
        <v>2.64</v>
      </c>
      <c r="O1087">
        <v>2411</v>
      </c>
      <c r="P1087">
        <v>2.94</v>
      </c>
      <c r="Q1087">
        <v>328</v>
      </c>
      <c r="R1087">
        <v>606</v>
      </c>
    </row>
    <row r="1088" spans="1:18" hidden="1" x14ac:dyDescent="0.2">
      <c r="A1088">
        <v>3</v>
      </c>
      <c r="B1088" t="s">
        <v>61</v>
      </c>
      <c r="E1088" t="s">
        <v>36</v>
      </c>
      <c r="F1088">
        <v>2773879</v>
      </c>
      <c r="G1088">
        <v>4</v>
      </c>
      <c r="H1088">
        <v>2</v>
      </c>
      <c r="I1088">
        <v>254</v>
      </c>
      <c r="J1088">
        <v>2011</v>
      </c>
      <c r="K1088" s="4">
        <v>44505</v>
      </c>
      <c r="L1088" t="s">
        <v>23</v>
      </c>
      <c r="M1088" t="s">
        <v>97</v>
      </c>
      <c r="N1088">
        <v>3.25</v>
      </c>
      <c r="O1088">
        <v>889</v>
      </c>
      <c r="P1088">
        <v>1.02</v>
      </c>
      <c r="Q1088">
        <v>361</v>
      </c>
      <c r="R1088">
        <v>389</v>
      </c>
    </row>
    <row r="1089" spans="1:18" hidden="1" x14ac:dyDescent="0.2">
      <c r="A1089">
        <v>4</v>
      </c>
      <c r="B1089" t="s">
        <v>18</v>
      </c>
      <c r="E1089" t="s">
        <v>19</v>
      </c>
      <c r="F1089">
        <v>733483</v>
      </c>
      <c r="G1089">
        <v>3</v>
      </c>
      <c r="H1089">
        <v>2</v>
      </c>
      <c r="I1089">
        <v>106</v>
      </c>
      <c r="J1089">
        <v>1974</v>
      </c>
      <c r="K1089" s="4">
        <v>44696</v>
      </c>
      <c r="L1089" t="s">
        <v>23</v>
      </c>
      <c r="M1089" t="s">
        <v>68</v>
      </c>
      <c r="N1089">
        <v>2.97</v>
      </c>
      <c r="O1089">
        <v>1919</v>
      </c>
      <c r="P1089">
        <v>3.65</v>
      </c>
      <c r="Q1089">
        <v>299</v>
      </c>
      <c r="R1089">
        <v>533</v>
      </c>
    </row>
    <row r="1090" spans="1:18" hidden="1" x14ac:dyDescent="0.2">
      <c r="A1090">
        <v>4</v>
      </c>
      <c r="B1090" t="s">
        <v>71</v>
      </c>
      <c r="E1090" t="s">
        <v>51</v>
      </c>
      <c r="F1090">
        <v>1068970</v>
      </c>
      <c r="G1090">
        <v>4</v>
      </c>
      <c r="H1090">
        <v>1</v>
      </c>
      <c r="I1090">
        <v>870</v>
      </c>
      <c r="J1090">
        <v>2015</v>
      </c>
      <c r="K1090" s="4">
        <v>45468</v>
      </c>
      <c r="L1090" t="s">
        <v>20</v>
      </c>
      <c r="M1090" t="s">
        <v>85</v>
      </c>
      <c r="N1090">
        <v>1.95</v>
      </c>
      <c r="O1090">
        <v>1189</v>
      </c>
      <c r="P1090">
        <v>3.39</v>
      </c>
      <c r="Q1090">
        <v>290</v>
      </c>
      <c r="R1090">
        <v>540</v>
      </c>
    </row>
    <row r="1091" spans="1:18" hidden="1" x14ac:dyDescent="0.2">
      <c r="A1091">
        <v>5</v>
      </c>
      <c r="B1091" t="s">
        <v>34</v>
      </c>
      <c r="E1091" t="s">
        <v>29</v>
      </c>
      <c r="F1091">
        <v>2072200</v>
      </c>
      <c r="G1091">
        <v>6</v>
      </c>
      <c r="H1091">
        <v>2</v>
      </c>
      <c r="I1091">
        <v>415</v>
      </c>
      <c r="J1091">
        <v>2008</v>
      </c>
      <c r="K1091" s="4">
        <v>44874</v>
      </c>
      <c r="L1091" t="s">
        <v>23</v>
      </c>
      <c r="M1091" t="s">
        <v>52</v>
      </c>
      <c r="N1091">
        <v>2.11</v>
      </c>
      <c r="O1091">
        <v>2144</v>
      </c>
      <c r="P1091">
        <v>3</v>
      </c>
      <c r="Q1091">
        <v>345</v>
      </c>
      <c r="R1091">
        <v>336</v>
      </c>
    </row>
    <row r="1092" spans="1:18" hidden="1" x14ac:dyDescent="0.2">
      <c r="A1092">
        <v>5</v>
      </c>
      <c r="B1092" t="s">
        <v>38</v>
      </c>
      <c r="E1092" t="s">
        <v>29</v>
      </c>
      <c r="F1092">
        <v>1496682</v>
      </c>
      <c r="G1092">
        <v>3</v>
      </c>
      <c r="H1092">
        <v>1</v>
      </c>
      <c r="I1092">
        <v>910</v>
      </c>
      <c r="J1092">
        <v>1985</v>
      </c>
      <c r="K1092" s="4">
        <v>44605</v>
      </c>
      <c r="L1092" t="s">
        <v>26</v>
      </c>
      <c r="M1092" t="s">
        <v>76</v>
      </c>
      <c r="N1092">
        <v>1.66</v>
      </c>
      <c r="O1092">
        <v>1682</v>
      </c>
      <c r="P1092">
        <v>3.84</v>
      </c>
      <c r="Q1092">
        <v>232</v>
      </c>
      <c r="R1092">
        <v>690</v>
      </c>
    </row>
    <row r="1093" spans="1:18" hidden="1" x14ac:dyDescent="0.2">
      <c r="A1093">
        <v>3</v>
      </c>
      <c r="B1093" t="s">
        <v>65</v>
      </c>
      <c r="E1093" t="s">
        <v>29</v>
      </c>
      <c r="F1093">
        <v>2126996</v>
      </c>
      <c r="G1093">
        <v>2</v>
      </c>
      <c r="H1093">
        <v>3</v>
      </c>
      <c r="I1093">
        <v>105</v>
      </c>
      <c r="J1093">
        <v>2017</v>
      </c>
      <c r="K1093" s="4">
        <v>45380</v>
      </c>
      <c r="L1093" t="s">
        <v>20</v>
      </c>
      <c r="M1093" t="s">
        <v>45</v>
      </c>
      <c r="N1093">
        <v>3.08</v>
      </c>
      <c r="O1093">
        <v>1877</v>
      </c>
      <c r="P1093">
        <v>4.07</v>
      </c>
      <c r="Q1093">
        <v>116</v>
      </c>
      <c r="R1093">
        <v>400</v>
      </c>
    </row>
    <row r="1094" spans="1:18" hidden="1" x14ac:dyDescent="0.2">
      <c r="A1094">
        <v>0</v>
      </c>
      <c r="B1094" t="s">
        <v>73</v>
      </c>
      <c r="E1094" t="s">
        <v>19</v>
      </c>
      <c r="F1094">
        <v>400868</v>
      </c>
      <c r="G1094">
        <v>2</v>
      </c>
      <c r="H1094">
        <v>2</v>
      </c>
      <c r="I1094">
        <v>860</v>
      </c>
      <c r="J1094">
        <v>2001</v>
      </c>
      <c r="K1094" s="4">
        <v>45269</v>
      </c>
      <c r="L1094" t="s">
        <v>20</v>
      </c>
      <c r="M1094" t="s">
        <v>68</v>
      </c>
      <c r="N1094">
        <v>1.79</v>
      </c>
      <c r="O1094">
        <v>1729</v>
      </c>
      <c r="P1094">
        <v>1.82</v>
      </c>
      <c r="Q1094">
        <v>239</v>
      </c>
      <c r="R1094">
        <v>418</v>
      </c>
    </row>
    <row r="1095" spans="1:18" hidden="1" x14ac:dyDescent="0.2">
      <c r="A1095">
        <v>1</v>
      </c>
      <c r="B1095" t="s">
        <v>71</v>
      </c>
      <c r="E1095" t="s">
        <v>51</v>
      </c>
      <c r="F1095">
        <v>1565490</v>
      </c>
      <c r="G1095">
        <v>3</v>
      </c>
      <c r="H1095">
        <v>1</v>
      </c>
      <c r="I1095">
        <v>692</v>
      </c>
      <c r="J1095">
        <v>1995</v>
      </c>
      <c r="K1095" s="4">
        <v>45706</v>
      </c>
      <c r="L1095" t="s">
        <v>26</v>
      </c>
      <c r="M1095" t="s">
        <v>37</v>
      </c>
      <c r="N1095">
        <v>1.69</v>
      </c>
      <c r="O1095">
        <v>1019</v>
      </c>
      <c r="P1095">
        <v>1.99</v>
      </c>
      <c r="Q1095">
        <v>131</v>
      </c>
      <c r="R1095">
        <v>551</v>
      </c>
    </row>
    <row r="1096" spans="1:18" hidden="1" x14ac:dyDescent="0.2">
      <c r="A1096">
        <v>3</v>
      </c>
      <c r="B1096" t="s">
        <v>92</v>
      </c>
      <c r="E1096" t="s">
        <v>19</v>
      </c>
      <c r="F1096">
        <v>2192986</v>
      </c>
      <c r="G1096">
        <v>4</v>
      </c>
      <c r="H1096">
        <v>2</v>
      </c>
      <c r="I1096">
        <v>324</v>
      </c>
      <c r="J1096">
        <v>1956</v>
      </c>
      <c r="K1096" s="4">
        <v>45650</v>
      </c>
      <c r="L1096" t="s">
        <v>20</v>
      </c>
      <c r="M1096" t="s">
        <v>52</v>
      </c>
      <c r="N1096">
        <v>3.11</v>
      </c>
      <c r="O1096">
        <v>2082</v>
      </c>
      <c r="P1096">
        <v>0.34</v>
      </c>
      <c r="Q1096">
        <v>165</v>
      </c>
      <c r="R1096">
        <v>592</v>
      </c>
    </row>
    <row r="1097" spans="1:18" hidden="1" x14ac:dyDescent="0.2">
      <c r="A1097">
        <v>5</v>
      </c>
      <c r="B1097" t="s">
        <v>79</v>
      </c>
      <c r="E1097" t="s">
        <v>29</v>
      </c>
      <c r="F1097">
        <v>1886061</v>
      </c>
      <c r="G1097">
        <v>2</v>
      </c>
      <c r="H1097">
        <v>3</v>
      </c>
      <c r="I1097">
        <v>489</v>
      </c>
      <c r="J1097">
        <v>2021</v>
      </c>
      <c r="K1097" s="4">
        <v>44928</v>
      </c>
      <c r="L1097" t="s">
        <v>20</v>
      </c>
      <c r="M1097" t="s">
        <v>74</v>
      </c>
      <c r="N1097">
        <v>1.6</v>
      </c>
      <c r="O1097">
        <v>2321</v>
      </c>
      <c r="P1097">
        <v>4.2</v>
      </c>
      <c r="Q1097">
        <v>192</v>
      </c>
      <c r="R1097">
        <v>510</v>
      </c>
    </row>
    <row r="1098" spans="1:18" hidden="1" x14ac:dyDescent="0.2">
      <c r="A1098">
        <v>3</v>
      </c>
      <c r="B1098" t="s">
        <v>32</v>
      </c>
      <c r="E1098" t="s">
        <v>51</v>
      </c>
      <c r="F1098">
        <v>2209707</v>
      </c>
      <c r="G1098">
        <v>0</v>
      </c>
      <c r="H1098">
        <v>1</v>
      </c>
      <c r="I1098">
        <v>342</v>
      </c>
      <c r="J1098">
        <v>1981</v>
      </c>
      <c r="K1098" s="4">
        <v>45429</v>
      </c>
      <c r="L1098" t="s">
        <v>20</v>
      </c>
      <c r="M1098" t="s">
        <v>97</v>
      </c>
      <c r="N1098">
        <v>2.88</v>
      </c>
      <c r="O1098">
        <v>1885</v>
      </c>
      <c r="P1098">
        <v>1.99</v>
      </c>
      <c r="Q1098">
        <v>54</v>
      </c>
      <c r="R1098">
        <v>692</v>
      </c>
    </row>
    <row r="1099" spans="1:18" hidden="1" x14ac:dyDescent="0.2">
      <c r="A1099">
        <v>6</v>
      </c>
      <c r="B1099" t="s">
        <v>104</v>
      </c>
      <c r="E1099" t="s">
        <v>19</v>
      </c>
      <c r="F1099">
        <v>2739139</v>
      </c>
      <c r="G1099">
        <v>3</v>
      </c>
      <c r="H1099">
        <v>2</v>
      </c>
      <c r="I1099">
        <v>271</v>
      </c>
      <c r="J1099">
        <v>2006</v>
      </c>
      <c r="K1099" s="4">
        <v>44423</v>
      </c>
      <c r="L1099" t="s">
        <v>23</v>
      </c>
      <c r="M1099" t="s">
        <v>47</v>
      </c>
      <c r="N1099">
        <v>1.96</v>
      </c>
      <c r="O1099">
        <v>2082</v>
      </c>
      <c r="P1099">
        <v>4.2699999999999996</v>
      </c>
      <c r="Q1099">
        <v>145</v>
      </c>
      <c r="R1099">
        <v>561</v>
      </c>
    </row>
    <row r="1100" spans="1:18" hidden="1" x14ac:dyDescent="0.2">
      <c r="A1100">
        <v>7</v>
      </c>
      <c r="B1100" t="s">
        <v>57</v>
      </c>
      <c r="E1100" t="s">
        <v>29</v>
      </c>
      <c r="F1100">
        <v>2226543</v>
      </c>
      <c r="G1100">
        <v>4</v>
      </c>
      <c r="H1100">
        <v>2</v>
      </c>
      <c r="I1100">
        <v>890</v>
      </c>
      <c r="J1100">
        <v>1970</v>
      </c>
      <c r="K1100" s="4">
        <v>44656</v>
      </c>
      <c r="L1100" t="s">
        <v>20</v>
      </c>
      <c r="M1100" t="s">
        <v>33</v>
      </c>
      <c r="N1100">
        <v>2.17</v>
      </c>
      <c r="O1100">
        <v>2490</v>
      </c>
      <c r="P1100">
        <v>1.42</v>
      </c>
      <c r="Q1100">
        <v>179</v>
      </c>
      <c r="R1100">
        <v>683</v>
      </c>
    </row>
    <row r="1101" spans="1:18" hidden="1" x14ac:dyDescent="0.2">
      <c r="A1101">
        <v>1</v>
      </c>
      <c r="B1101" t="s">
        <v>55</v>
      </c>
      <c r="E1101" t="s">
        <v>51</v>
      </c>
      <c r="F1101">
        <v>1736669</v>
      </c>
      <c r="G1101">
        <v>4</v>
      </c>
      <c r="H1101">
        <v>3</v>
      </c>
      <c r="I1101">
        <v>866</v>
      </c>
      <c r="J1101">
        <v>1982</v>
      </c>
      <c r="K1101" s="4">
        <v>45886</v>
      </c>
      <c r="L1101" t="s">
        <v>30</v>
      </c>
      <c r="M1101" t="s">
        <v>33</v>
      </c>
      <c r="N1101">
        <v>1.81</v>
      </c>
      <c r="O1101">
        <v>1429</v>
      </c>
      <c r="P1101">
        <v>4.33</v>
      </c>
      <c r="Q1101">
        <v>215</v>
      </c>
      <c r="R1101">
        <v>326</v>
      </c>
    </row>
    <row r="1102" spans="1:18" hidden="1" x14ac:dyDescent="0.2">
      <c r="A1102">
        <v>2</v>
      </c>
      <c r="B1102" t="s">
        <v>73</v>
      </c>
      <c r="E1102" t="s">
        <v>36</v>
      </c>
      <c r="F1102">
        <v>1932856</v>
      </c>
      <c r="G1102">
        <v>2</v>
      </c>
      <c r="H1102">
        <v>1</v>
      </c>
      <c r="I1102">
        <v>637</v>
      </c>
      <c r="J1102">
        <v>2019</v>
      </c>
      <c r="K1102" s="4">
        <v>44719</v>
      </c>
      <c r="L1102" t="s">
        <v>20</v>
      </c>
      <c r="M1102" t="s">
        <v>89</v>
      </c>
      <c r="N1102">
        <v>1.99</v>
      </c>
      <c r="O1102">
        <v>950</v>
      </c>
      <c r="P1102">
        <v>3.28</v>
      </c>
      <c r="Q1102">
        <v>40</v>
      </c>
      <c r="R1102">
        <v>688</v>
      </c>
    </row>
    <row r="1103" spans="1:18" hidden="1" x14ac:dyDescent="0.2">
      <c r="A1103">
        <v>4</v>
      </c>
      <c r="B1103" t="s">
        <v>55</v>
      </c>
      <c r="E1103" t="s">
        <v>19</v>
      </c>
      <c r="F1103">
        <v>1486298</v>
      </c>
      <c r="G1103">
        <v>3</v>
      </c>
      <c r="H1103">
        <v>3</v>
      </c>
      <c r="I1103">
        <v>534</v>
      </c>
      <c r="J1103">
        <v>1975</v>
      </c>
      <c r="K1103" s="4">
        <v>44620</v>
      </c>
      <c r="L1103" t="s">
        <v>23</v>
      </c>
      <c r="M1103" t="s">
        <v>82</v>
      </c>
      <c r="N1103">
        <v>2.52</v>
      </c>
      <c r="O1103">
        <v>2110</v>
      </c>
      <c r="P1103">
        <v>4.72</v>
      </c>
      <c r="Q1103">
        <v>96</v>
      </c>
      <c r="R1103">
        <v>602</v>
      </c>
    </row>
    <row r="1104" spans="1:18" hidden="1" x14ac:dyDescent="0.2">
      <c r="A1104">
        <v>4</v>
      </c>
      <c r="B1104" t="s">
        <v>67</v>
      </c>
      <c r="E1104" t="s">
        <v>51</v>
      </c>
      <c r="F1104">
        <v>994860</v>
      </c>
      <c r="G1104">
        <v>2</v>
      </c>
      <c r="H1104">
        <v>1</v>
      </c>
      <c r="I1104">
        <v>846</v>
      </c>
      <c r="J1104">
        <v>1963</v>
      </c>
      <c r="K1104" s="4">
        <v>44268</v>
      </c>
      <c r="L1104" t="s">
        <v>20</v>
      </c>
      <c r="M1104" t="s">
        <v>31</v>
      </c>
      <c r="N1104">
        <v>1.91</v>
      </c>
      <c r="O1104">
        <v>1206</v>
      </c>
      <c r="P1104">
        <v>0.34</v>
      </c>
      <c r="Q1104">
        <v>168</v>
      </c>
      <c r="R1104">
        <v>606</v>
      </c>
    </row>
    <row r="1105" spans="1:18" hidden="1" x14ac:dyDescent="0.2">
      <c r="A1105">
        <v>9</v>
      </c>
      <c r="B1105" t="s">
        <v>57</v>
      </c>
      <c r="E1105" t="s">
        <v>29</v>
      </c>
      <c r="F1105">
        <v>1600534</v>
      </c>
      <c r="G1105">
        <v>4</v>
      </c>
      <c r="H1105">
        <v>2</v>
      </c>
      <c r="I1105">
        <v>803</v>
      </c>
      <c r="J1105">
        <v>1998</v>
      </c>
      <c r="K1105" s="4">
        <v>44095</v>
      </c>
      <c r="L1105" t="s">
        <v>23</v>
      </c>
      <c r="M1105" t="s">
        <v>42</v>
      </c>
      <c r="N1105">
        <v>2.76</v>
      </c>
      <c r="O1105">
        <v>1665</v>
      </c>
      <c r="P1105">
        <v>3.32</v>
      </c>
      <c r="Q1105">
        <v>372</v>
      </c>
      <c r="R1105">
        <v>494</v>
      </c>
    </row>
    <row r="1106" spans="1:18" hidden="1" x14ac:dyDescent="0.2">
      <c r="A1106">
        <v>6</v>
      </c>
      <c r="B1106" t="s">
        <v>98</v>
      </c>
      <c r="E1106" t="s">
        <v>19</v>
      </c>
      <c r="F1106">
        <v>955360</v>
      </c>
      <c r="G1106">
        <v>3</v>
      </c>
      <c r="H1106">
        <v>1</v>
      </c>
      <c r="I1106">
        <v>158</v>
      </c>
      <c r="J1106">
        <v>2011</v>
      </c>
      <c r="K1106" s="4">
        <v>45854</v>
      </c>
      <c r="L1106" t="s">
        <v>26</v>
      </c>
      <c r="M1106" t="s">
        <v>66</v>
      </c>
      <c r="N1106">
        <v>3.27</v>
      </c>
      <c r="O1106">
        <v>1211</v>
      </c>
      <c r="P1106">
        <v>0.55000000000000004</v>
      </c>
      <c r="Q1106">
        <v>294</v>
      </c>
      <c r="R1106">
        <v>649</v>
      </c>
    </row>
    <row r="1107" spans="1:18" hidden="1" x14ac:dyDescent="0.2">
      <c r="A1107">
        <v>3</v>
      </c>
      <c r="B1107" t="s">
        <v>55</v>
      </c>
      <c r="E1107" t="s">
        <v>51</v>
      </c>
      <c r="F1107">
        <v>2490306</v>
      </c>
      <c r="G1107">
        <v>1</v>
      </c>
      <c r="H1107">
        <v>1</v>
      </c>
      <c r="I1107">
        <v>888</v>
      </c>
      <c r="J1107">
        <v>1981</v>
      </c>
      <c r="K1107" s="4">
        <v>44916</v>
      </c>
      <c r="L1107" t="s">
        <v>23</v>
      </c>
      <c r="M1107" t="s">
        <v>42</v>
      </c>
      <c r="N1107">
        <v>1.97</v>
      </c>
      <c r="O1107">
        <v>2135</v>
      </c>
      <c r="P1107">
        <v>3.06</v>
      </c>
      <c r="Q1107">
        <v>91</v>
      </c>
      <c r="R1107">
        <v>428</v>
      </c>
    </row>
    <row r="1108" spans="1:18" hidden="1" x14ac:dyDescent="0.2">
      <c r="A1108">
        <v>2</v>
      </c>
      <c r="B1108" t="s">
        <v>44</v>
      </c>
      <c r="E1108" t="s">
        <v>51</v>
      </c>
      <c r="F1108">
        <v>2017092</v>
      </c>
      <c r="G1108">
        <v>1</v>
      </c>
      <c r="H1108">
        <v>1</v>
      </c>
      <c r="I1108">
        <v>155</v>
      </c>
      <c r="J1108">
        <v>1967</v>
      </c>
      <c r="K1108" s="4">
        <v>44952</v>
      </c>
      <c r="L1108" t="s">
        <v>20</v>
      </c>
      <c r="M1108" t="s">
        <v>21</v>
      </c>
      <c r="N1108">
        <v>2.5</v>
      </c>
      <c r="O1108">
        <v>2085</v>
      </c>
      <c r="P1108">
        <v>3.02</v>
      </c>
      <c r="Q1108">
        <v>57</v>
      </c>
      <c r="R1108">
        <v>617</v>
      </c>
    </row>
    <row r="1109" spans="1:18" hidden="1" x14ac:dyDescent="0.2">
      <c r="A1109">
        <v>0</v>
      </c>
      <c r="B1109" t="s">
        <v>64</v>
      </c>
      <c r="E1109" t="s">
        <v>51</v>
      </c>
      <c r="F1109">
        <v>1882234</v>
      </c>
      <c r="G1109">
        <v>3</v>
      </c>
      <c r="H1109">
        <v>1</v>
      </c>
      <c r="I1109">
        <v>344</v>
      </c>
      <c r="J1109">
        <v>2021</v>
      </c>
      <c r="K1109" s="4">
        <v>44351</v>
      </c>
      <c r="L1109" t="s">
        <v>30</v>
      </c>
      <c r="M1109" t="s">
        <v>42</v>
      </c>
      <c r="N1109">
        <v>1.92</v>
      </c>
      <c r="O1109">
        <v>1569</v>
      </c>
      <c r="P1109">
        <v>3.91</v>
      </c>
      <c r="Q1109">
        <v>252</v>
      </c>
      <c r="R1109">
        <v>314</v>
      </c>
    </row>
    <row r="1110" spans="1:18" hidden="1" x14ac:dyDescent="0.2">
      <c r="A1110">
        <v>9</v>
      </c>
      <c r="B1110" t="s">
        <v>53</v>
      </c>
      <c r="E1110" t="s">
        <v>29</v>
      </c>
      <c r="F1110">
        <v>530739</v>
      </c>
      <c r="G1110">
        <v>4</v>
      </c>
      <c r="H1110">
        <v>3</v>
      </c>
      <c r="I1110">
        <v>81</v>
      </c>
      <c r="J1110">
        <v>1961</v>
      </c>
      <c r="K1110" s="4">
        <v>44416</v>
      </c>
      <c r="L1110" t="s">
        <v>30</v>
      </c>
      <c r="M1110" t="s">
        <v>85</v>
      </c>
      <c r="N1110">
        <v>3.14</v>
      </c>
      <c r="O1110">
        <v>1654</v>
      </c>
      <c r="P1110">
        <v>3.47</v>
      </c>
      <c r="Q1110">
        <v>316</v>
      </c>
      <c r="R1110">
        <v>307</v>
      </c>
    </row>
    <row r="1111" spans="1:18" hidden="1" x14ac:dyDescent="0.2">
      <c r="A1111">
        <v>9</v>
      </c>
      <c r="B1111" t="s">
        <v>87</v>
      </c>
      <c r="E1111" t="s">
        <v>19</v>
      </c>
      <c r="F1111">
        <v>1388664</v>
      </c>
      <c r="G1111">
        <v>6</v>
      </c>
      <c r="H1111">
        <v>3</v>
      </c>
      <c r="I1111">
        <v>87</v>
      </c>
      <c r="J1111">
        <v>2022</v>
      </c>
      <c r="K1111" s="4">
        <v>45573</v>
      </c>
      <c r="L1111" t="s">
        <v>20</v>
      </c>
      <c r="M1111" t="s">
        <v>59</v>
      </c>
      <c r="N1111">
        <v>2.92</v>
      </c>
      <c r="O1111">
        <v>1130</v>
      </c>
      <c r="P1111">
        <v>3.89</v>
      </c>
      <c r="Q1111">
        <v>331</v>
      </c>
      <c r="R1111">
        <v>510</v>
      </c>
    </row>
    <row r="1112" spans="1:18" hidden="1" x14ac:dyDescent="0.2">
      <c r="A1112">
        <v>4</v>
      </c>
      <c r="B1112" t="s">
        <v>95</v>
      </c>
      <c r="E1112" t="s">
        <v>51</v>
      </c>
      <c r="F1112">
        <v>1894829</v>
      </c>
      <c r="G1112">
        <v>3</v>
      </c>
      <c r="H1112">
        <v>1</v>
      </c>
      <c r="I1112">
        <v>645</v>
      </c>
      <c r="J1112">
        <v>1951</v>
      </c>
      <c r="K1112" s="4">
        <v>45053</v>
      </c>
      <c r="L1112" t="s">
        <v>23</v>
      </c>
      <c r="M1112" t="s">
        <v>52</v>
      </c>
      <c r="N1112">
        <v>2.74</v>
      </c>
      <c r="O1112">
        <v>831</v>
      </c>
      <c r="P1112">
        <v>4.45</v>
      </c>
      <c r="Q1112">
        <v>137</v>
      </c>
      <c r="R1112">
        <v>314</v>
      </c>
    </row>
    <row r="1113" spans="1:18" hidden="1" x14ac:dyDescent="0.2">
      <c r="A1113">
        <v>5</v>
      </c>
      <c r="B1113" t="s">
        <v>39</v>
      </c>
      <c r="E1113" t="s">
        <v>36</v>
      </c>
      <c r="F1113">
        <v>661085</v>
      </c>
      <c r="G1113">
        <v>1</v>
      </c>
      <c r="H1113">
        <v>3</v>
      </c>
      <c r="I1113">
        <v>150</v>
      </c>
      <c r="J1113">
        <v>2011</v>
      </c>
      <c r="K1113" s="4">
        <v>45548</v>
      </c>
      <c r="L1113" t="s">
        <v>26</v>
      </c>
      <c r="M1113" t="s">
        <v>74</v>
      </c>
      <c r="N1113">
        <v>2.69</v>
      </c>
      <c r="O1113">
        <v>2202</v>
      </c>
      <c r="P1113">
        <v>3.14</v>
      </c>
      <c r="Q1113">
        <v>137</v>
      </c>
      <c r="R1113">
        <v>332</v>
      </c>
    </row>
    <row r="1114" spans="1:18" hidden="1" x14ac:dyDescent="0.2">
      <c r="A1114">
        <v>6</v>
      </c>
      <c r="B1114" t="s">
        <v>32</v>
      </c>
      <c r="E1114" t="s">
        <v>19</v>
      </c>
      <c r="F1114">
        <v>2758893</v>
      </c>
      <c r="G1114">
        <v>4</v>
      </c>
      <c r="H1114">
        <v>1</v>
      </c>
      <c r="I1114">
        <v>85</v>
      </c>
      <c r="J1114">
        <v>1988</v>
      </c>
      <c r="K1114" s="4">
        <v>45403</v>
      </c>
      <c r="L1114" t="s">
        <v>30</v>
      </c>
      <c r="M1114" t="s">
        <v>78</v>
      </c>
      <c r="N1114">
        <v>1.79</v>
      </c>
      <c r="O1114">
        <v>1364</v>
      </c>
      <c r="P1114">
        <v>2.82</v>
      </c>
      <c r="Q1114">
        <v>243</v>
      </c>
      <c r="R1114">
        <v>663</v>
      </c>
    </row>
    <row r="1115" spans="1:18" hidden="1" x14ac:dyDescent="0.2">
      <c r="A1115">
        <v>7</v>
      </c>
      <c r="B1115" t="s">
        <v>48</v>
      </c>
      <c r="E1115" t="s">
        <v>19</v>
      </c>
      <c r="F1115">
        <v>1225930</v>
      </c>
      <c r="G1115">
        <v>1</v>
      </c>
      <c r="H1115">
        <v>3</v>
      </c>
      <c r="I1115">
        <v>101</v>
      </c>
      <c r="J1115">
        <v>2008</v>
      </c>
      <c r="K1115" s="4">
        <v>44987</v>
      </c>
      <c r="L1115" t="s">
        <v>26</v>
      </c>
      <c r="M1115" t="s">
        <v>68</v>
      </c>
      <c r="N1115">
        <v>1.88</v>
      </c>
      <c r="O1115">
        <v>991</v>
      </c>
      <c r="P1115">
        <v>2.58</v>
      </c>
      <c r="Q1115">
        <v>157</v>
      </c>
      <c r="R1115">
        <v>507</v>
      </c>
    </row>
    <row r="1116" spans="1:18" x14ac:dyDescent="0.2">
      <c r="A1116">
        <v>8</v>
      </c>
      <c r="B1116" t="s">
        <v>83</v>
      </c>
      <c r="C1116" t="str">
        <f>VLOOKUP(B1116, 'Council Area'!$A$2:$B$51, 2)</f>
        <v>Canterbury-Bankstown Council</v>
      </c>
      <c r="D1116" t="str">
        <f>_xlfn.XLOOKUP(B1116, 'Council Area'!$A$2:$A$51, 'Council Area'!$B$2:$B$51)</f>
        <v>Canterbury-Bankstown Council</v>
      </c>
      <c r="E1116" t="s">
        <v>51</v>
      </c>
      <c r="F1116">
        <v>834664</v>
      </c>
      <c r="G1116">
        <v>4</v>
      </c>
      <c r="H1116">
        <v>1</v>
      </c>
      <c r="I1116">
        <v>688</v>
      </c>
      <c r="J1116">
        <v>2017</v>
      </c>
      <c r="K1116" s="4">
        <v>45101</v>
      </c>
      <c r="L1116" t="s">
        <v>23</v>
      </c>
      <c r="M1116" t="s">
        <v>54</v>
      </c>
      <c r="N1116">
        <v>2.21</v>
      </c>
      <c r="O1116">
        <v>1022</v>
      </c>
      <c r="P1116">
        <v>0.63</v>
      </c>
      <c r="Q1116">
        <v>371</v>
      </c>
      <c r="R1116">
        <v>568</v>
      </c>
    </row>
    <row r="1117" spans="1:18" hidden="1" x14ac:dyDescent="0.2">
      <c r="A1117">
        <v>0</v>
      </c>
      <c r="B1117" t="s">
        <v>34</v>
      </c>
      <c r="E1117" t="s">
        <v>19</v>
      </c>
      <c r="F1117">
        <v>2139485</v>
      </c>
      <c r="G1117">
        <v>2</v>
      </c>
      <c r="H1117">
        <v>1</v>
      </c>
      <c r="I1117">
        <v>459</v>
      </c>
      <c r="J1117">
        <v>1950</v>
      </c>
      <c r="K1117" s="4">
        <v>44195</v>
      </c>
      <c r="L1117" t="s">
        <v>30</v>
      </c>
      <c r="M1117" t="s">
        <v>59</v>
      </c>
      <c r="N1117">
        <v>2.79</v>
      </c>
      <c r="O1117">
        <v>916</v>
      </c>
      <c r="P1117">
        <v>1.68</v>
      </c>
      <c r="Q1117">
        <v>50</v>
      </c>
      <c r="R1117">
        <v>373</v>
      </c>
    </row>
    <row r="1118" spans="1:18" hidden="1" x14ac:dyDescent="0.2">
      <c r="A1118">
        <v>5</v>
      </c>
      <c r="B1118" t="s">
        <v>102</v>
      </c>
      <c r="E1118" t="s">
        <v>19</v>
      </c>
      <c r="F1118">
        <v>2731087</v>
      </c>
      <c r="G1118">
        <v>5</v>
      </c>
      <c r="H1118">
        <v>1</v>
      </c>
      <c r="I1118">
        <v>365</v>
      </c>
      <c r="J1118">
        <v>1995</v>
      </c>
      <c r="K1118" s="4">
        <v>45360</v>
      </c>
      <c r="L1118" t="s">
        <v>23</v>
      </c>
      <c r="M1118" t="s">
        <v>52</v>
      </c>
      <c r="N1118">
        <v>3.19</v>
      </c>
      <c r="O1118">
        <v>839</v>
      </c>
      <c r="P1118">
        <v>2.33</v>
      </c>
      <c r="Q1118">
        <v>241</v>
      </c>
      <c r="R1118">
        <v>327</v>
      </c>
    </row>
    <row r="1119" spans="1:18" hidden="1" x14ac:dyDescent="0.2">
      <c r="A1119">
        <v>5</v>
      </c>
      <c r="B1119" t="s">
        <v>32</v>
      </c>
      <c r="E1119" t="s">
        <v>29</v>
      </c>
      <c r="F1119">
        <v>2185238</v>
      </c>
      <c r="G1119">
        <v>2</v>
      </c>
      <c r="H1119">
        <v>2</v>
      </c>
      <c r="I1119">
        <v>707</v>
      </c>
      <c r="J1119">
        <v>1981</v>
      </c>
      <c r="K1119" s="4">
        <v>44407</v>
      </c>
      <c r="L1119" t="s">
        <v>30</v>
      </c>
      <c r="M1119" t="s">
        <v>68</v>
      </c>
      <c r="N1119">
        <v>2.1800000000000002</v>
      </c>
      <c r="O1119">
        <v>1707</v>
      </c>
      <c r="P1119">
        <v>0.66</v>
      </c>
      <c r="Q1119">
        <v>217</v>
      </c>
      <c r="R1119">
        <v>311</v>
      </c>
    </row>
    <row r="1120" spans="1:18" hidden="1" x14ac:dyDescent="0.2">
      <c r="A1120">
        <v>4</v>
      </c>
      <c r="B1120" t="s">
        <v>90</v>
      </c>
      <c r="E1120" t="s">
        <v>36</v>
      </c>
      <c r="F1120">
        <v>1476368</v>
      </c>
      <c r="G1120">
        <v>5</v>
      </c>
      <c r="H1120">
        <v>2</v>
      </c>
      <c r="I1120">
        <v>526</v>
      </c>
      <c r="J1120">
        <v>2011</v>
      </c>
      <c r="K1120" s="4">
        <v>45849</v>
      </c>
      <c r="L1120" t="s">
        <v>26</v>
      </c>
      <c r="M1120" t="s">
        <v>77</v>
      </c>
      <c r="N1120">
        <v>3.32</v>
      </c>
      <c r="O1120">
        <v>2093</v>
      </c>
      <c r="P1120">
        <v>1.58</v>
      </c>
      <c r="Q1120">
        <v>360</v>
      </c>
      <c r="R1120">
        <v>405</v>
      </c>
    </row>
    <row r="1121" spans="1:18" hidden="1" x14ac:dyDescent="0.2">
      <c r="A1121">
        <v>6</v>
      </c>
      <c r="B1121" t="s">
        <v>38</v>
      </c>
      <c r="E1121" t="s">
        <v>51</v>
      </c>
      <c r="F1121">
        <v>551452</v>
      </c>
      <c r="G1121">
        <v>2</v>
      </c>
      <c r="H1121">
        <v>2</v>
      </c>
      <c r="I1121">
        <v>836</v>
      </c>
      <c r="J1121">
        <v>1984</v>
      </c>
      <c r="K1121" s="4">
        <v>45057</v>
      </c>
      <c r="L1121" t="s">
        <v>23</v>
      </c>
      <c r="M1121" t="s">
        <v>60</v>
      </c>
      <c r="N1121">
        <v>2.56</v>
      </c>
      <c r="O1121">
        <v>1617</v>
      </c>
      <c r="P1121">
        <v>1.57</v>
      </c>
      <c r="Q1121">
        <v>117</v>
      </c>
      <c r="R1121">
        <v>450</v>
      </c>
    </row>
    <row r="1122" spans="1:18" x14ac:dyDescent="0.2">
      <c r="A1122">
        <v>8</v>
      </c>
      <c r="B1122" t="s">
        <v>88</v>
      </c>
      <c r="C1122" t="str">
        <f>VLOOKUP(B1122, 'Council Area'!$A$2:$B$51, 2)</f>
        <v>Blacktown City Council</v>
      </c>
      <c r="D1122" t="str">
        <f>_xlfn.XLOOKUP(B1122, 'Council Area'!$A$2:$A$51, 'Council Area'!$B$2:$B$51)</f>
        <v>Blacktown City Council</v>
      </c>
      <c r="E1122" t="s">
        <v>29</v>
      </c>
      <c r="F1122">
        <v>1659623</v>
      </c>
      <c r="G1122">
        <v>2</v>
      </c>
      <c r="H1122">
        <v>3</v>
      </c>
      <c r="I1122">
        <v>595</v>
      </c>
      <c r="J1122">
        <v>2003</v>
      </c>
      <c r="K1122" s="4">
        <v>45734</v>
      </c>
      <c r="L1122" t="s">
        <v>23</v>
      </c>
      <c r="M1122" t="s">
        <v>60</v>
      </c>
      <c r="N1122">
        <v>3</v>
      </c>
      <c r="O1122">
        <v>1013</v>
      </c>
      <c r="P1122">
        <v>2.44</v>
      </c>
      <c r="Q1122">
        <v>111</v>
      </c>
      <c r="R1122">
        <v>469</v>
      </c>
    </row>
    <row r="1123" spans="1:18" hidden="1" x14ac:dyDescent="0.2">
      <c r="A1123">
        <v>1</v>
      </c>
      <c r="B1123" t="s">
        <v>86</v>
      </c>
      <c r="E1123" t="s">
        <v>29</v>
      </c>
      <c r="F1123">
        <v>890672</v>
      </c>
      <c r="G1123">
        <v>4</v>
      </c>
      <c r="H1123">
        <v>2</v>
      </c>
      <c r="I1123">
        <v>872</v>
      </c>
      <c r="J1123">
        <v>1997</v>
      </c>
      <c r="K1123" s="4">
        <v>44583</v>
      </c>
      <c r="L1123" t="s">
        <v>20</v>
      </c>
      <c r="M1123" t="s">
        <v>74</v>
      </c>
      <c r="N1123">
        <v>1.83</v>
      </c>
      <c r="O1123">
        <v>1006</v>
      </c>
      <c r="P1123">
        <v>2.85</v>
      </c>
      <c r="Q1123">
        <v>325</v>
      </c>
      <c r="R1123">
        <v>547</v>
      </c>
    </row>
    <row r="1124" spans="1:18" hidden="1" x14ac:dyDescent="0.2">
      <c r="A1124">
        <v>1</v>
      </c>
      <c r="B1124" t="s">
        <v>43</v>
      </c>
      <c r="E1124" t="s">
        <v>51</v>
      </c>
      <c r="F1124">
        <v>1117953</v>
      </c>
      <c r="G1124">
        <v>3</v>
      </c>
      <c r="H1124">
        <v>2</v>
      </c>
      <c r="I1124">
        <v>107</v>
      </c>
      <c r="J1124">
        <v>1959</v>
      </c>
      <c r="K1124" s="4">
        <v>44575</v>
      </c>
      <c r="L1124" t="s">
        <v>23</v>
      </c>
      <c r="M1124" t="s">
        <v>66</v>
      </c>
      <c r="N1124">
        <v>1.71</v>
      </c>
      <c r="O1124">
        <v>2377</v>
      </c>
      <c r="P1124">
        <v>1.77</v>
      </c>
      <c r="Q1124">
        <v>300</v>
      </c>
      <c r="R1124">
        <v>313</v>
      </c>
    </row>
    <row r="1125" spans="1:18" hidden="1" x14ac:dyDescent="0.2">
      <c r="A1125">
        <v>5</v>
      </c>
      <c r="B1125" t="s">
        <v>46</v>
      </c>
      <c r="E1125" t="s">
        <v>29</v>
      </c>
      <c r="F1125">
        <v>2439588</v>
      </c>
      <c r="G1125">
        <v>5</v>
      </c>
      <c r="H1125">
        <v>3</v>
      </c>
      <c r="I1125">
        <v>147</v>
      </c>
      <c r="J1125">
        <v>1996</v>
      </c>
      <c r="K1125" s="4">
        <v>45717</v>
      </c>
      <c r="L1125" t="s">
        <v>30</v>
      </c>
      <c r="M1125" t="s">
        <v>45</v>
      </c>
      <c r="N1125">
        <v>2.14</v>
      </c>
      <c r="O1125">
        <v>1690</v>
      </c>
      <c r="P1125">
        <v>0.68</v>
      </c>
      <c r="Q1125">
        <v>335</v>
      </c>
      <c r="R1125">
        <v>419</v>
      </c>
    </row>
    <row r="1126" spans="1:18" hidden="1" x14ac:dyDescent="0.2">
      <c r="A1126">
        <v>0</v>
      </c>
      <c r="B1126" t="s">
        <v>75</v>
      </c>
      <c r="E1126" t="s">
        <v>29</v>
      </c>
      <c r="F1126">
        <v>2000661</v>
      </c>
      <c r="G1126">
        <v>5</v>
      </c>
      <c r="H1126">
        <v>2</v>
      </c>
      <c r="I1126">
        <v>716</v>
      </c>
      <c r="J1126">
        <v>1959</v>
      </c>
      <c r="K1126" s="4">
        <v>44520</v>
      </c>
      <c r="L1126" t="s">
        <v>30</v>
      </c>
      <c r="M1126" t="s">
        <v>27</v>
      </c>
      <c r="N1126">
        <v>1.54</v>
      </c>
      <c r="O1126">
        <v>1039</v>
      </c>
      <c r="P1126">
        <v>3.54</v>
      </c>
      <c r="Q1126">
        <v>286</v>
      </c>
      <c r="R1126">
        <v>492</v>
      </c>
    </row>
    <row r="1127" spans="1:18" hidden="1" x14ac:dyDescent="0.2">
      <c r="A1127">
        <v>1</v>
      </c>
      <c r="B1127" t="s">
        <v>55</v>
      </c>
      <c r="E1127" t="s">
        <v>29</v>
      </c>
      <c r="F1127">
        <v>2532949</v>
      </c>
      <c r="G1127">
        <v>4</v>
      </c>
      <c r="H1127">
        <v>2</v>
      </c>
      <c r="I1127">
        <v>413</v>
      </c>
      <c r="J1127">
        <v>1979</v>
      </c>
      <c r="K1127" s="4">
        <v>45799</v>
      </c>
      <c r="L1127" t="s">
        <v>30</v>
      </c>
      <c r="M1127" t="s">
        <v>45</v>
      </c>
      <c r="N1127">
        <v>2.04</v>
      </c>
      <c r="O1127">
        <v>2178</v>
      </c>
      <c r="P1127">
        <v>1.83</v>
      </c>
      <c r="Q1127">
        <v>305</v>
      </c>
      <c r="R1127">
        <v>481</v>
      </c>
    </row>
    <row r="1128" spans="1:18" hidden="1" x14ac:dyDescent="0.2">
      <c r="A1128">
        <v>1</v>
      </c>
      <c r="B1128" t="s">
        <v>57</v>
      </c>
      <c r="E1128" t="s">
        <v>51</v>
      </c>
      <c r="F1128">
        <v>1456586</v>
      </c>
      <c r="G1128">
        <v>4</v>
      </c>
      <c r="H1128">
        <v>1</v>
      </c>
      <c r="I1128">
        <v>978</v>
      </c>
      <c r="J1128">
        <v>1982</v>
      </c>
      <c r="K1128" s="4">
        <v>45754</v>
      </c>
      <c r="L1128" t="s">
        <v>20</v>
      </c>
      <c r="M1128" t="s">
        <v>69</v>
      </c>
      <c r="N1128">
        <v>2.52</v>
      </c>
      <c r="O1128">
        <v>1185</v>
      </c>
      <c r="P1128">
        <v>1.4</v>
      </c>
      <c r="Q1128">
        <v>208</v>
      </c>
      <c r="R1128">
        <v>521</v>
      </c>
    </row>
    <row r="1129" spans="1:18" hidden="1" x14ac:dyDescent="0.2">
      <c r="A1129">
        <v>3</v>
      </c>
      <c r="B1129" t="s">
        <v>86</v>
      </c>
      <c r="E1129" t="s">
        <v>19</v>
      </c>
      <c r="F1129">
        <v>1431029</v>
      </c>
      <c r="G1129">
        <v>3</v>
      </c>
      <c r="H1129">
        <v>3</v>
      </c>
      <c r="I1129">
        <v>152</v>
      </c>
      <c r="J1129">
        <v>1987</v>
      </c>
      <c r="K1129" s="4">
        <v>44972</v>
      </c>
      <c r="L1129" t="s">
        <v>26</v>
      </c>
      <c r="M1129" t="s">
        <v>97</v>
      </c>
      <c r="N1129">
        <v>1.91</v>
      </c>
      <c r="O1129">
        <v>1531</v>
      </c>
      <c r="P1129">
        <v>1.68</v>
      </c>
      <c r="Q1129">
        <v>298</v>
      </c>
      <c r="R1129">
        <v>304</v>
      </c>
    </row>
    <row r="1130" spans="1:18" hidden="1" x14ac:dyDescent="0.2">
      <c r="A1130">
        <v>4</v>
      </c>
      <c r="B1130" t="s">
        <v>71</v>
      </c>
      <c r="E1130" t="s">
        <v>29</v>
      </c>
      <c r="F1130">
        <v>1633813</v>
      </c>
      <c r="G1130">
        <v>3</v>
      </c>
      <c r="H1130">
        <v>1</v>
      </c>
      <c r="I1130">
        <v>102</v>
      </c>
      <c r="J1130">
        <v>2016</v>
      </c>
      <c r="K1130" s="4">
        <v>44546</v>
      </c>
      <c r="L1130" t="s">
        <v>30</v>
      </c>
      <c r="M1130" t="s">
        <v>35</v>
      </c>
      <c r="N1130">
        <v>2.87</v>
      </c>
      <c r="O1130">
        <v>1938</v>
      </c>
      <c r="P1130">
        <v>4.41</v>
      </c>
      <c r="Q1130">
        <v>253</v>
      </c>
      <c r="R1130">
        <v>650</v>
      </c>
    </row>
    <row r="1131" spans="1:18" hidden="1" x14ac:dyDescent="0.2">
      <c r="A1131">
        <v>2</v>
      </c>
      <c r="B1131" t="s">
        <v>83</v>
      </c>
      <c r="E1131" t="s">
        <v>36</v>
      </c>
      <c r="F1131">
        <v>2919704</v>
      </c>
      <c r="G1131">
        <v>3</v>
      </c>
      <c r="H1131">
        <v>2</v>
      </c>
      <c r="I1131">
        <v>759</v>
      </c>
      <c r="J1131">
        <v>1990</v>
      </c>
      <c r="K1131" s="4">
        <v>45627</v>
      </c>
      <c r="L1131" t="s">
        <v>23</v>
      </c>
      <c r="M1131" t="s">
        <v>58</v>
      </c>
      <c r="N1131">
        <v>3.39</v>
      </c>
      <c r="O1131">
        <v>2053</v>
      </c>
      <c r="P1131">
        <v>3.14</v>
      </c>
      <c r="Q1131">
        <v>194</v>
      </c>
      <c r="R1131">
        <v>544</v>
      </c>
    </row>
    <row r="1132" spans="1:18" hidden="1" x14ac:dyDescent="0.2">
      <c r="A1132">
        <v>9</v>
      </c>
      <c r="B1132" t="s">
        <v>53</v>
      </c>
      <c r="E1132" t="s">
        <v>36</v>
      </c>
      <c r="F1132">
        <v>1532789</v>
      </c>
      <c r="G1132">
        <v>1</v>
      </c>
      <c r="H1132">
        <v>3</v>
      </c>
      <c r="I1132">
        <v>895</v>
      </c>
      <c r="J1132">
        <v>1972</v>
      </c>
      <c r="K1132" s="4">
        <v>45202</v>
      </c>
      <c r="L1132" t="s">
        <v>30</v>
      </c>
      <c r="M1132" t="s">
        <v>78</v>
      </c>
      <c r="N1132">
        <v>1.56</v>
      </c>
      <c r="O1132">
        <v>2380</v>
      </c>
      <c r="P1132">
        <v>4.38</v>
      </c>
      <c r="Q1132">
        <v>52</v>
      </c>
      <c r="R1132">
        <v>433</v>
      </c>
    </row>
    <row r="1133" spans="1:18" hidden="1" x14ac:dyDescent="0.2">
      <c r="A1133">
        <v>6</v>
      </c>
      <c r="B1133" t="s">
        <v>22</v>
      </c>
      <c r="E1133" t="s">
        <v>51</v>
      </c>
      <c r="F1133">
        <v>2375996</v>
      </c>
      <c r="G1133">
        <v>6</v>
      </c>
      <c r="H1133">
        <v>3</v>
      </c>
      <c r="I1133">
        <v>563</v>
      </c>
      <c r="J1133">
        <v>1973</v>
      </c>
      <c r="K1133" s="4">
        <v>45564</v>
      </c>
      <c r="L1133" t="s">
        <v>23</v>
      </c>
      <c r="M1133" t="s">
        <v>59</v>
      </c>
      <c r="N1133">
        <v>1.91</v>
      </c>
      <c r="O1133">
        <v>874</v>
      </c>
      <c r="P1133">
        <v>2.65</v>
      </c>
      <c r="Q1133">
        <v>383</v>
      </c>
      <c r="R1133">
        <v>440</v>
      </c>
    </row>
    <row r="1134" spans="1:18" hidden="1" x14ac:dyDescent="0.2">
      <c r="A1134">
        <v>3</v>
      </c>
      <c r="B1134" t="s">
        <v>28</v>
      </c>
      <c r="E1134" t="s">
        <v>51</v>
      </c>
      <c r="F1134">
        <v>2498300</v>
      </c>
      <c r="G1134">
        <v>4</v>
      </c>
      <c r="H1134">
        <v>1</v>
      </c>
      <c r="I1134">
        <v>310</v>
      </c>
      <c r="J1134">
        <v>1990</v>
      </c>
      <c r="K1134" s="4">
        <v>44381</v>
      </c>
      <c r="L1134" t="s">
        <v>26</v>
      </c>
      <c r="M1134" t="s">
        <v>47</v>
      </c>
      <c r="N1134">
        <v>2.94</v>
      </c>
      <c r="O1134">
        <v>2184</v>
      </c>
      <c r="P1134">
        <v>1.18</v>
      </c>
      <c r="Q1134">
        <v>216</v>
      </c>
      <c r="R1134">
        <v>581</v>
      </c>
    </row>
    <row r="1135" spans="1:18" hidden="1" x14ac:dyDescent="0.2">
      <c r="A1135">
        <v>6</v>
      </c>
      <c r="B1135" t="s">
        <v>48</v>
      </c>
      <c r="E1135" t="s">
        <v>29</v>
      </c>
      <c r="F1135">
        <v>561775</v>
      </c>
      <c r="G1135">
        <v>3</v>
      </c>
      <c r="H1135">
        <v>3</v>
      </c>
      <c r="I1135">
        <v>732</v>
      </c>
      <c r="J1135">
        <v>1968</v>
      </c>
      <c r="K1135" s="4">
        <v>45727</v>
      </c>
      <c r="L1135" t="s">
        <v>30</v>
      </c>
      <c r="M1135" t="s">
        <v>31</v>
      </c>
      <c r="N1135">
        <v>2.93</v>
      </c>
      <c r="O1135">
        <v>2126</v>
      </c>
      <c r="P1135">
        <v>1.0900000000000001</v>
      </c>
      <c r="Q1135">
        <v>244</v>
      </c>
      <c r="R1135">
        <v>587</v>
      </c>
    </row>
    <row r="1136" spans="1:18" hidden="1" x14ac:dyDescent="0.2">
      <c r="A1136">
        <v>4</v>
      </c>
      <c r="B1136" t="s">
        <v>61</v>
      </c>
      <c r="E1136" t="s">
        <v>19</v>
      </c>
      <c r="F1136">
        <v>659267</v>
      </c>
      <c r="G1136">
        <v>4</v>
      </c>
      <c r="H1136">
        <v>3</v>
      </c>
      <c r="I1136">
        <v>403</v>
      </c>
      <c r="J1136">
        <v>1969</v>
      </c>
      <c r="K1136" s="4">
        <v>45555</v>
      </c>
      <c r="L1136" t="s">
        <v>30</v>
      </c>
      <c r="M1136" t="s">
        <v>47</v>
      </c>
      <c r="N1136">
        <v>3.07</v>
      </c>
      <c r="O1136">
        <v>992</v>
      </c>
      <c r="P1136">
        <v>0.99</v>
      </c>
      <c r="Q1136">
        <v>187</v>
      </c>
      <c r="R1136">
        <v>404</v>
      </c>
    </row>
    <row r="1137" spans="1:18" hidden="1" x14ac:dyDescent="0.2">
      <c r="A1137">
        <v>3</v>
      </c>
      <c r="B1137" t="s">
        <v>95</v>
      </c>
      <c r="E1137" t="s">
        <v>29</v>
      </c>
      <c r="F1137">
        <v>790392</v>
      </c>
      <c r="G1137">
        <v>3</v>
      </c>
      <c r="H1137">
        <v>1</v>
      </c>
      <c r="I1137">
        <v>321</v>
      </c>
      <c r="J1137">
        <v>1999</v>
      </c>
      <c r="K1137" s="4">
        <v>44668</v>
      </c>
      <c r="L1137" t="s">
        <v>20</v>
      </c>
      <c r="M1137" t="s">
        <v>74</v>
      </c>
      <c r="N1137">
        <v>1.59</v>
      </c>
      <c r="O1137">
        <v>1325</v>
      </c>
      <c r="P1137">
        <v>2.2000000000000002</v>
      </c>
      <c r="Q1137">
        <v>246</v>
      </c>
      <c r="R1137">
        <v>387</v>
      </c>
    </row>
    <row r="1138" spans="1:18" hidden="1" x14ac:dyDescent="0.2">
      <c r="A1138">
        <v>7</v>
      </c>
      <c r="B1138" t="s">
        <v>81</v>
      </c>
      <c r="E1138" t="s">
        <v>29</v>
      </c>
      <c r="F1138">
        <v>596586</v>
      </c>
      <c r="G1138">
        <v>5</v>
      </c>
      <c r="H1138">
        <v>1</v>
      </c>
      <c r="I1138">
        <v>0</v>
      </c>
      <c r="J1138">
        <v>1954</v>
      </c>
      <c r="K1138" s="4">
        <v>44106</v>
      </c>
      <c r="L1138" t="s">
        <v>23</v>
      </c>
      <c r="M1138" t="s">
        <v>52</v>
      </c>
      <c r="N1138">
        <v>2.6</v>
      </c>
      <c r="O1138">
        <v>1943</v>
      </c>
      <c r="P1138">
        <v>2.94</v>
      </c>
      <c r="Q1138">
        <v>112</v>
      </c>
      <c r="R1138">
        <v>407</v>
      </c>
    </row>
    <row r="1139" spans="1:18" hidden="1" x14ac:dyDescent="0.2">
      <c r="A1139">
        <v>6</v>
      </c>
      <c r="B1139" t="s">
        <v>48</v>
      </c>
      <c r="E1139" t="s">
        <v>19</v>
      </c>
      <c r="F1139">
        <v>2087108</v>
      </c>
      <c r="G1139">
        <v>3</v>
      </c>
      <c r="H1139">
        <v>2</v>
      </c>
      <c r="I1139">
        <v>533</v>
      </c>
      <c r="J1139">
        <v>1967</v>
      </c>
      <c r="K1139" s="4">
        <v>44359</v>
      </c>
      <c r="L1139" t="s">
        <v>26</v>
      </c>
      <c r="M1139" t="s">
        <v>45</v>
      </c>
      <c r="N1139">
        <v>2.36</v>
      </c>
      <c r="O1139">
        <v>2322</v>
      </c>
      <c r="P1139">
        <v>0.25</v>
      </c>
      <c r="Q1139">
        <v>208</v>
      </c>
      <c r="R1139">
        <v>551</v>
      </c>
    </row>
    <row r="1140" spans="1:18" hidden="1" x14ac:dyDescent="0.2">
      <c r="A1140">
        <v>3</v>
      </c>
      <c r="B1140" t="s">
        <v>53</v>
      </c>
      <c r="E1140" t="s">
        <v>29</v>
      </c>
      <c r="F1140">
        <v>2037537</v>
      </c>
      <c r="G1140">
        <v>5</v>
      </c>
      <c r="H1140">
        <v>3</v>
      </c>
      <c r="I1140">
        <v>474</v>
      </c>
      <c r="J1140">
        <v>1983</v>
      </c>
      <c r="K1140" s="4">
        <v>45763</v>
      </c>
      <c r="L1140" t="s">
        <v>20</v>
      </c>
      <c r="M1140" t="s">
        <v>78</v>
      </c>
      <c r="N1140">
        <v>3.16</v>
      </c>
      <c r="O1140">
        <v>2041</v>
      </c>
      <c r="P1140">
        <v>2.68</v>
      </c>
      <c r="Q1140">
        <v>392</v>
      </c>
      <c r="R1140">
        <v>620</v>
      </c>
    </row>
    <row r="1141" spans="1:18" hidden="1" x14ac:dyDescent="0.2">
      <c r="A1141">
        <v>4</v>
      </c>
      <c r="B1141" t="s">
        <v>34</v>
      </c>
      <c r="E1141" t="s">
        <v>36</v>
      </c>
      <c r="F1141">
        <v>1888561</v>
      </c>
      <c r="G1141">
        <v>4</v>
      </c>
      <c r="H1141">
        <v>3</v>
      </c>
      <c r="I1141">
        <v>211</v>
      </c>
      <c r="J1141">
        <v>1986</v>
      </c>
      <c r="K1141" s="4">
        <v>44856</v>
      </c>
      <c r="L1141" t="s">
        <v>30</v>
      </c>
      <c r="M1141" t="s">
        <v>74</v>
      </c>
      <c r="N1141">
        <v>2.11</v>
      </c>
      <c r="O1141">
        <v>1400</v>
      </c>
      <c r="P1141">
        <v>3.8</v>
      </c>
      <c r="Q1141">
        <v>373</v>
      </c>
      <c r="R1141">
        <v>302</v>
      </c>
    </row>
    <row r="1142" spans="1:18" hidden="1" x14ac:dyDescent="0.2">
      <c r="A1142">
        <v>1</v>
      </c>
      <c r="B1142" t="s">
        <v>80</v>
      </c>
      <c r="E1142" t="s">
        <v>19</v>
      </c>
      <c r="F1142">
        <v>1468596</v>
      </c>
      <c r="G1142">
        <v>3</v>
      </c>
      <c r="H1142">
        <v>2</v>
      </c>
      <c r="I1142">
        <v>900</v>
      </c>
      <c r="J1142">
        <v>1975</v>
      </c>
      <c r="K1142" s="4">
        <v>44606</v>
      </c>
      <c r="L1142" t="s">
        <v>20</v>
      </c>
      <c r="M1142" t="s">
        <v>70</v>
      </c>
      <c r="N1142">
        <v>2.68</v>
      </c>
      <c r="O1142">
        <v>1025</v>
      </c>
      <c r="P1142">
        <v>2.21</v>
      </c>
      <c r="Q1142">
        <v>311</v>
      </c>
      <c r="R1142">
        <v>316</v>
      </c>
    </row>
    <row r="1143" spans="1:18" hidden="1" x14ac:dyDescent="0.2">
      <c r="A1143">
        <v>0</v>
      </c>
      <c r="B1143" t="s">
        <v>43</v>
      </c>
      <c r="E1143" t="s">
        <v>36</v>
      </c>
      <c r="F1143">
        <v>2793491</v>
      </c>
      <c r="G1143">
        <v>5</v>
      </c>
      <c r="H1143">
        <v>1</v>
      </c>
      <c r="I1143">
        <v>785</v>
      </c>
      <c r="J1143">
        <v>1957</v>
      </c>
      <c r="K1143" s="4">
        <v>44314</v>
      </c>
      <c r="L1143" t="s">
        <v>26</v>
      </c>
      <c r="M1143" t="s">
        <v>63</v>
      </c>
      <c r="N1143">
        <v>2.2200000000000002</v>
      </c>
      <c r="O1143">
        <v>2085</v>
      </c>
      <c r="P1143">
        <v>4.21</v>
      </c>
      <c r="Q1143">
        <v>324</v>
      </c>
      <c r="R1143">
        <v>364</v>
      </c>
    </row>
    <row r="1144" spans="1:18" hidden="1" x14ac:dyDescent="0.2">
      <c r="A1144">
        <v>2</v>
      </c>
      <c r="B1144" t="s">
        <v>32</v>
      </c>
      <c r="E1144" t="s">
        <v>19</v>
      </c>
      <c r="F1144">
        <v>709833</v>
      </c>
      <c r="G1144">
        <v>2</v>
      </c>
      <c r="H1144">
        <v>1</v>
      </c>
      <c r="I1144">
        <v>60</v>
      </c>
      <c r="J1144">
        <v>1976</v>
      </c>
      <c r="K1144" s="4">
        <v>44370</v>
      </c>
      <c r="L1144" t="s">
        <v>30</v>
      </c>
      <c r="M1144" t="s">
        <v>63</v>
      </c>
      <c r="N1144">
        <v>1.8</v>
      </c>
      <c r="O1144">
        <v>2069</v>
      </c>
      <c r="P1144">
        <v>1.45</v>
      </c>
      <c r="Q1144">
        <v>121</v>
      </c>
      <c r="R1144">
        <v>688</v>
      </c>
    </row>
    <row r="1145" spans="1:18" hidden="1" x14ac:dyDescent="0.2">
      <c r="A1145">
        <v>7</v>
      </c>
      <c r="B1145" t="s">
        <v>44</v>
      </c>
      <c r="E1145" t="s">
        <v>29</v>
      </c>
      <c r="F1145">
        <v>2144362</v>
      </c>
      <c r="G1145">
        <v>4</v>
      </c>
      <c r="H1145">
        <v>2</v>
      </c>
      <c r="I1145">
        <v>997</v>
      </c>
      <c r="J1145">
        <v>1959</v>
      </c>
      <c r="K1145" s="4">
        <v>44895</v>
      </c>
      <c r="L1145" t="s">
        <v>30</v>
      </c>
      <c r="M1145" t="s">
        <v>89</v>
      </c>
      <c r="N1145">
        <v>2.92</v>
      </c>
      <c r="O1145">
        <v>1944</v>
      </c>
      <c r="P1145">
        <v>0.98</v>
      </c>
      <c r="Q1145">
        <v>193</v>
      </c>
      <c r="R1145">
        <v>675</v>
      </c>
    </row>
    <row r="1146" spans="1:18" hidden="1" x14ac:dyDescent="0.2">
      <c r="A1146">
        <v>6</v>
      </c>
      <c r="B1146" t="s">
        <v>80</v>
      </c>
      <c r="E1146" t="s">
        <v>36</v>
      </c>
      <c r="F1146">
        <v>2570508</v>
      </c>
      <c r="G1146">
        <v>1</v>
      </c>
      <c r="H1146">
        <v>3</v>
      </c>
      <c r="I1146">
        <v>677</v>
      </c>
      <c r="J1146">
        <v>1990</v>
      </c>
      <c r="K1146" s="4">
        <v>44412</v>
      </c>
      <c r="L1146" t="s">
        <v>26</v>
      </c>
      <c r="M1146" t="s">
        <v>42</v>
      </c>
      <c r="N1146">
        <v>1.65</v>
      </c>
      <c r="O1146">
        <v>2250</v>
      </c>
      <c r="P1146">
        <v>4.6399999999999997</v>
      </c>
      <c r="Q1146">
        <v>134</v>
      </c>
      <c r="R1146">
        <v>449</v>
      </c>
    </row>
    <row r="1147" spans="1:18" hidden="1" x14ac:dyDescent="0.2">
      <c r="A1147">
        <v>3</v>
      </c>
      <c r="B1147" t="s">
        <v>81</v>
      </c>
      <c r="E1147" t="s">
        <v>51</v>
      </c>
      <c r="F1147">
        <v>2853104</v>
      </c>
      <c r="G1147">
        <v>5</v>
      </c>
      <c r="H1147">
        <v>2</v>
      </c>
      <c r="I1147">
        <v>278</v>
      </c>
      <c r="J1147">
        <v>2006</v>
      </c>
      <c r="K1147" s="4">
        <v>44974</v>
      </c>
      <c r="L1147" t="s">
        <v>20</v>
      </c>
      <c r="M1147" t="s">
        <v>27</v>
      </c>
      <c r="N1147">
        <v>2.56</v>
      </c>
      <c r="O1147">
        <v>2161</v>
      </c>
      <c r="P1147">
        <v>2.87</v>
      </c>
      <c r="Q1147">
        <v>316</v>
      </c>
      <c r="R1147">
        <v>617</v>
      </c>
    </row>
    <row r="1148" spans="1:18" hidden="1" x14ac:dyDescent="0.2">
      <c r="A1148">
        <v>9</v>
      </c>
      <c r="B1148" t="s">
        <v>79</v>
      </c>
      <c r="E1148" t="s">
        <v>36</v>
      </c>
      <c r="F1148">
        <v>2483037</v>
      </c>
      <c r="G1148">
        <v>2</v>
      </c>
      <c r="H1148">
        <v>2</v>
      </c>
      <c r="I1148">
        <v>954</v>
      </c>
      <c r="J1148">
        <v>2012</v>
      </c>
      <c r="K1148" s="4">
        <v>44634</v>
      </c>
      <c r="L1148" t="s">
        <v>30</v>
      </c>
      <c r="M1148" t="s">
        <v>59</v>
      </c>
      <c r="N1148">
        <v>2.29</v>
      </c>
      <c r="O1148">
        <v>1362</v>
      </c>
      <c r="P1148">
        <v>4.93</v>
      </c>
      <c r="Q1148">
        <v>40</v>
      </c>
      <c r="R1148">
        <v>652</v>
      </c>
    </row>
    <row r="1149" spans="1:18" hidden="1" x14ac:dyDescent="0.2">
      <c r="A1149">
        <v>5</v>
      </c>
      <c r="B1149" t="s">
        <v>46</v>
      </c>
      <c r="E1149" t="s">
        <v>51</v>
      </c>
      <c r="F1149">
        <v>1117383</v>
      </c>
      <c r="G1149">
        <v>2</v>
      </c>
      <c r="H1149">
        <v>2</v>
      </c>
      <c r="I1149">
        <v>997</v>
      </c>
      <c r="J1149">
        <v>1952</v>
      </c>
      <c r="K1149" s="4">
        <v>45027</v>
      </c>
      <c r="L1149" t="s">
        <v>23</v>
      </c>
      <c r="M1149" t="s">
        <v>42</v>
      </c>
      <c r="N1149">
        <v>2</v>
      </c>
      <c r="O1149">
        <v>880</v>
      </c>
      <c r="P1149">
        <v>2.66</v>
      </c>
      <c r="Q1149">
        <v>178</v>
      </c>
      <c r="R1149">
        <v>333</v>
      </c>
    </row>
    <row r="1150" spans="1:18" hidden="1" x14ac:dyDescent="0.2">
      <c r="A1150">
        <v>5</v>
      </c>
      <c r="B1150" t="s">
        <v>34</v>
      </c>
      <c r="E1150" t="s">
        <v>36</v>
      </c>
      <c r="F1150">
        <v>976452</v>
      </c>
      <c r="G1150">
        <v>2</v>
      </c>
      <c r="H1150">
        <v>1</v>
      </c>
      <c r="I1150">
        <v>638</v>
      </c>
      <c r="J1150">
        <v>1983</v>
      </c>
      <c r="K1150" s="4">
        <v>45624</v>
      </c>
      <c r="L1150" t="s">
        <v>30</v>
      </c>
      <c r="M1150" t="s">
        <v>35</v>
      </c>
      <c r="N1150">
        <v>2.2799999999999998</v>
      </c>
      <c r="O1150">
        <v>1031</v>
      </c>
      <c r="P1150">
        <v>3.39</v>
      </c>
      <c r="Q1150">
        <v>239</v>
      </c>
      <c r="R1150">
        <v>574</v>
      </c>
    </row>
    <row r="1151" spans="1:18" hidden="1" x14ac:dyDescent="0.2">
      <c r="A1151">
        <v>1</v>
      </c>
      <c r="B1151" t="s">
        <v>67</v>
      </c>
      <c r="E1151" t="s">
        <v>36</v>
      </c>
      <c r="F1151">
        <v>445625</v>
      </c>
      <c r="G1151">
        <v>6</v>
      </c>
      <c r="H1151">
        <v>3</v>
      </c>
      <c r="I1151">
        <v>695</v>
      </c>
      <c r="J1151">
        <v>2012</v>
      </c>
      <c r="K1151" s="4">
        <v>44190</v>
      </c>
      <c r="L1151" t="s">
        <v>30</v>
      </c>
      <c r="M1151" t="s">
        <v>59</v>
      </c>
      <c r="N1151">
        <v>1.7</v>
      </c>
      <c r="O1151">
        <v>1775</v>
      </c>
      <c r="P1151">
        <v>4.3600000000000003</v>
      </c>
      <c r="Q1151">
        <v>357</v>
      </c>
      <c r="R1151">
        <v>464</v>
      </c>
    </row>
    <row r="1152" spans="1:18" hidden="1" x14ac:dyDescent="0.2">
      <c r="A1152">
        <v>6</v>
      </c>
      <c r="B1152" t="s">
        <v>95</v>
      </c>
      <c r="E1152" t="s">
        <v>19</v>
      </c>
      <c r="F1152">
        <v>2773601</v>
      </c>
      <c r="G1152">
        <v>5</v>
      </c>
      <c r="H1152">
        <v>2</v>
      </c>
      <c r="I1152">
        <v>612</v>
      </c>
      <c r="J1152">
        <v>2004</v>
      </c>
      <c r="K1152" s="4">
        <v>44330</v>
      </c>
      <c r="L1152" t="s">
        <v>20</v>
      </c>
      <c r="M1152" t="s">
        <v>70</v>
      </c>
      <c r="N1152">
        <v>1.53</v>
      </c>
      <c r="O1152">
        <v>1466</v>
      </c>
      <c r="P1152">
        <v>1.52</v>
      </c>
      <c r="Q1152">
        <v>383</v>
      </c>
      <c r="R1152">
        <v>639</v>
      </c>
    </row>
    <row r="1153" spans="1:18" hidden="1" x14ac:dyDescent="0.2">
      <c r="A1153">
        <v>1</v>
      </c>
      <c r="B1153" t="s">
        <v>80</v>
      </c>
      <c r="E1153" t="s">
        <v>19</v>
      </c>
      <c r="F1153">
        <v>1680214</v>
      </c>
      <c r="G1153">
        <v>1</v>
      </c>
      <c r="H1153">
        <v>1</v>
      </c>
      <c r="I1153">
        <v>395</v>
      </c>
      <c r="J1153">
        <v>1983</v>
      </c>
      <c r="K1153" s="4">
        <v>44857</v>
      </c>
      <c r="L1153" t="s">
        <v>26</v>
      </c>
      <c r="M1153" t="s">
        <v>31</v>
      </c>
      <c r="N1153">
        <v>2.54</v>
      </c>
      <c r="O1153">
        <v>2113</v>
      </c>
      <c r="P1153">
        <v>2.5</v>
      </c>
      <c r="Q1153">
        <v>85</v>
      </c>
      <c r="R1153">
        <v>556</v>
      </c>
    </row>
    <row r="1154" spans="1:18" hidden="1" x14ac:dyDescent="0.2">
      <c r="A1154">
        <v>3</v>
      </c>
      <c r="B1154" t="s">
        <v>28</v>
      </c>
      <c r="E1154" t="s">
        <v>51</v>
      </c>
      <c r="F1154">
        <v>448283</v>
      </c>
      <c r="G1154">
        <v>2</v>
      </c>
      <c r="H1154">
        <v>3</v>
      </c>
      <c r="I1154">
        <v>730</v>
      </c>
      <c r="J1154">
        <v>1954</v>
      </c>
      <c r="K1154" s="4">
        <v>45505</v>
      </c>
      <c r="L1154" t="s">
        <v>30</v>
      </c>
      <c r="M1154" t="s">
        <v>27</v>
      </c>
      <c r="N1154">
        <v>1.63</v>
      </c>
      <c r="O1154">
        <v>1598</v>
      </c>
      <c r="P1154">
        <v>4.3099999999999996</v>
      </c>
      <c r="Q1154">
        <v>72</v>
      </c>
      <c r="R1154">
        <v>502</v>
      </c>
    </row>
    <row r="1155" spans="1:18" hidden="1" x14ac:dyDescent="0.2">
      <c r="A1155">
        <v>5</v>
      </c>
      <c r="B1155" t="s">
        <v>80</v>
      </c>
      <c r="E1155" t="s">
        <v>29</v>
      </c>
      <c r="F1155">
        <v>1938745</v>
      </c>
      <c r="G1155">
        <v>3</v>
      </c>
      <c r="H1155">
        <v>3</v>
      </c>
      <c r="I1155">
        <v>170</v>
      </c>
      <c r="J1155">
        <v>2003</v>
      </c>
      <c r="K1155" s="4">
        <v>44098</v>
      </c>
      <c r="L1155" t="s">
        <v>20</v>
      </c>
      <c r="M1155" t="s">
        <v>47</v>
      </c>
      <c r="N1155">
        <v>2.09</v>
      </c>
      <c r="O1155">
        <v>1876</v>
      </c>
      <c r="P1155">
        <v>0.27</v>
      </c>
      <c r="Q1155">
        <v>158</v>
      </c>
      <c r="R1155">
        <v>466</v>
      </c>
    </row>
    <row r="1156" spans="1:18" hidden="1" x14ac:dyDescent="0.2">
      <c r="A1156">
        <v>4</v>
      </c>
      <c r="B1156" t="s">
        <v>39</v>
      </c>
      <c r="E1156" t="s">
        <v>51</v>
      </c>
      <c r="F1156">
        <v>1774322</v>
      </c>
      <c r="G1156">
        <v>5</v>
      </c>
      <c r="H1156">
        <v>2</v>
      </c>
      <c r="I1156">
        <v>923</v>
      </c>
      <c r="J1156">
        <v>1966</v>
      </c>
      <c r="K1156" s="4">
        <v>45564</v>
      </c>
      <c r="L1156" t="s">
        <v>26</v>
      </c>
      <c r="M1156" t="s">
        <v>63</v>
      </c>
      <c r="N1156">
        <v>2.5</v>
      </c>
      <c r="O1156">
        <v>1513</v>
      </c>
      <c r="P1156">
        <v>3.99</v>
      </c>
      <c r="Q1156">
        <v>367</v>
      </c>
      <c r="R1156">
        <v>423</v>
      </c>
    </row>
    <row r="1157" spans="1:18" hidden="1" x14ac:dyDescent="0.2">
      <c r="A1157">
        <v>7</v>
      </c>
      <c r="B1157" t="s">
        <v>38</v>
      </c>
      <c r="E1157" t="s">
        <v>19</v>
      </c>
      <c r="F1157">
        <v>941591</v>
      </c>
      <c r="G1157">
        <v>3</v>
      </c>
      <c r="H1157">
        <v>2</v>
      </c>
      <c r="I1157">
        <v>601</v>
      </c>
      <c r="J1157">
        <v>1975</v>
      </c>
      <c r="K1157" s="4">
        <v>45100</v>
      </c>
      <c r="L1157" t="s">
        <v>20</v>
      </c>
      <c r="M1157" t="s">
        <v>45</v>
      </c>
      <c r="N1157">
        <v>2.35</v>
      </c>
      <c r="O1157">
        <v>2225</v>
      </c>
      <c r="P1157">
        <v>1.46</v>
      </c>
      <c r="Q1157">
        <v>205</v>
      </c>
      <c r="R1157">
        <v>504</v>
      </c>
    </row>
    <row r="1158" spans="1:18" hidden="1" x14ac:dyDescent="0.2">
      <c r="A1158">
        <v>1</v>
      </c>
      <c r="B1158" t="s">
        <v>61</v>
      </c>
      <c r="E1158" t="s">
        <v>36</v>
      </c>
      <c r="F1158">
        <v>646466</v>
      </c>
      <c r="G1158">
        <v>1</v>
      </c>
      <c r="H1158">
        <v>2</v>
      </c>
      <c r="I1158">
        <v>730</v>
      </c>
      <c r="J1158">
        <v>1952</v>
      </c>
      <c r="K1158" s="4">
        <v>45248</v>
      </c>
      <c r="L1158" t="s">
        <v>23</v>
      </c>
      <c r="M1158" t="s">
        <v>66</v>
      </c>
      <c r="N1158">
        <v>3.38</v>
      </c>
      <c r="O1158">
        <v>1424</v>
      </c>
      <c r="P1158">
        <v>2.6</v>
      </c>
      <c r="Q1158">
        <v>122</v>
      </c>
      <c r="R1158">
        <v>510</v>
      </c>
    </row>
    <row r="1159" spans="1:18" hidden="1" x14ac:dyDescent="0.2">
      <c r="A1159">
        <v>4</v>
      </c>
      <c r="B1159" t="s">
        <v>102</v>
      </c>
      <c r="E1159" t="s">
        <v>29</v>
      </c>
      <c r="F1159">
        <v>2870439</v>
      </c>
      <c r="G1159">
        <v>5</v>
      </c>
      <c r="H1159">
        <v>2</v>
      </c>
      <c r="I1159">
        <v>817</v>
      </c>
      <c r="J1159">
        <v>1971</v>
      </c>
      <c r="K1159" s="4">
        <v>45391</v>
      </c>
      <c r="L1159" t="s">
        <v>30</v>
      </c>
      <c r="M1159" t="s">
        <v>77</v>
      </c>
      <c r="N1159">
        <v>3.47</v>
      </c>
      <c r="O1159">
        <v>1655</v>
      </c>
      <c r="P1159">
        <v>4.96</v>
      </c>
      <c r="Q1159">
        <v>388</v>
      </c>
      <c r="R1159">
        <v>602</v>
      </c>
    </row>
    <row r="1160" spans="1:18" hidden="1" x14ac:dyDescent="0.2">
      <c r="A1160">
        <v>9</v>
      </c>
      <c r="B1160" t="s">
        <v>46</v>
      </c>
      <c r="E1160" t="s">
        <v>19</v>
      </c>
      <c r="F1160">
        <v>992472</v>
      </c>
      <c r="G1160">
        <v>3</v>
      </c>
      <c r="H1160">
        <v>3</v>
      </c>
      <c r="I1160">
        <v>820</v>
      </c>
      <c r="J1160">
        <v>1995</v>
      </c>
      <c r="K1160" s="4">
        <v>45800</v>
      </c>
      <c r="L1160" t="s">
        <v>20</v>
      </c>
      <c r="M1160" t="s">
        <v>58</v>
      </c>
      <c r="N1160">
        <v>1.5</v>
      </c>
      <c r="O1160">
        <v>2240</v>
      </c>
      <c r="P1160">
        <v>0.19</v>
      </c>
      <c r="Q1160">
        <v>195</v>
      </c>
      <c r="R1160">
        <v>494</v>
      </c>
    </row>
    <row r="1161" spans="1:18" hidden="1" x14ac:dyDescent="0.2">
      <c r="A1161">
        <v>3</v>
      </c>
      <c r="B1161" t="s">
        <v>43</v>
      </c>
      <c r="E1161" t="s">
        <v>51</v>
      </c>
      <c r="F1161">
        <v>1488296</v>
      </c>
      <c r="G1161">
        <v>4</v>
      </c>
      <c r="H1161">
        <v>2</v>
      </c>
      <c r="I1161">
        <v>960</v>
      </c>
      <c r="J1161">
        <v>1970</v>
      </c>
      <c r="K1161" s="4">
        <v>45232</v>
      </c>
      <c r="L1161" t="s">
        <v>26</v>
      </c>
      <c r="M1161" t="s">
        <v>70</v>
      </c>
      <c r="N1161">
        <v>3.28</v>
      </c>
      <c r="O1161">
        <v>2051</v>
      </c>
      <c r="P1161">
        <v>4.9800000000000004</v>
      </c>
      <c r="Q1161">
        <v>399</v>
      </c>
      <c r="R1161">
        <v>326</v>
      </c>
    </row>
    <row r="1162" spans="1:18" hidden="1" x14ac:dyDescent="0.2">
      <c r="A1162">
        <v>7</v>
      </c>
      <c r="B1162" t="s">
        <v>62</v>
      </c>
      <c r="E1162" t="s">
        <v>29</v>
      </c>
      <c r="F1162">
        <v>2272938</v>
      </c>
      <c r="G1162">
        <v>2</v>
      </c>
      <c r="H1162">
        <v>3</v>
      </c>
      <c r="I1162">
        <v>748</v>
      </c>
      <c r="J1162">
        <v>1965</v>
      </c>
      <c r="K1162" s="4">
        <v>44206</v>
      </c>
      <c r="L1162" t="s">
        <v>26</v>
      </c>
      <c r="M1162" t="s">
        <v>24</v>
      </c>
      <c r="N1162">
        <v>1.57</v>
      </c>
      <c r="O1162">
        <v>2458</v>
      </c>
      <c r="P1162">
        <v>1.49</v>
      </c>
      <c r="Q1162">
        <v>119</v>
      </c>
      <c r="R1162">
        <v>422</v>
      </c>
    </row>
    <row r="1163" spans="1:18" hidden="1" x14ac:dyDescent="0.2">
      <c r="A1163">
        <v>3</v>
      </c>
      <c r="B1163" t="s">
        <v>43</v>
      </c>
      <c r="E1163" t="s">
        <v>36</v>
      </c>
      <c r="F1163">
        <v>464951</v>
      </c>
      <c r="G1163">
        <v>2</v>
      </c>
      <c r="H1163">
        <v>2</v>
      </c>
      <c r="I1163">
        <v>716</v>
      </c>
      <c r="J1163">
        <v>1999</v>
      </c>
      <c r="K1163" s="4">
        <v>45379</v>
      </c>
      <c r="L1163" t="s">
        <v>20</v>
      </c>
      <c r="M1163" t="s">
        <v>66</v>
      </c>
      <c r="N1163">
        <v>1.68</v>
      </c>
      <c r="O1163">
        <v>1590</v>
      </c>
      <c r="P1163">
        <v>0.27</v>
      </c>
      <c r="Q1163">
        <v>233</v>
      </c>
      <c r="R1163">
        <v>386</v>
      </c>
    </row>
    <row r="1164" spans="1:18" hidden="1" x14ac:dyDescent="0.2">
      <c r="A1164">
        <v>6</v>
      </c>
      <c r="B1164" t="s">
        <v>95</v>
      </c>
      <c r="E1164" t="s">
        <v>19</v>
      </c>
      <c r="F1164">
        <v>545048</v>
      </c>
      <c r="G1164">
        <v>3</v>
      </c>
      <c r="H1164">
        <v>1</v>
      </c>
      <c r="I1164">
        <v>980</v>
      </c>
      <c r="J1164">
        <v>1955</v>
      </c>
      <c r="K1164" s="4">
        <v>44579</v>
      </c>
      <c r="L1164" t="s">
        <v>26</v>
      </c>
      <c r="M1164" t="s">
        <v>21</v>
      </c>
      <c r="N1164">
        <v>2.8</v>
      </c>
      <c r="O1164">
        <v>1217</v>
      </c>
      <c r="P1164">
        <v>0.98</v>
      </c>
      <c r="Q1164">
        <v>231</v>
      </c>
      <c r="R1164">
        <v>572</v>
      </c>
    </row>
    <row r="1165" spans="1:18" hidden="1" x14ac:dyDescent="0.2">
      <c r="A1165">
        <v>7</v>
      </c>
      <c r="B1165" t="s">
        <v>32</v>
      </c>
      <c r="E1165" t="s">
        <v>29</v>
      </c>
      <c r="F1165">
        <v>1068959</v>
      </c>
      <c r="G1165">
        <v>6</v>
      </c>
      <c r="H1165">
        <v>1</v>
      </c>
      <c r="I1165">
        <v>267</v>
      </c>
      <c r="J1165">
        <v>1996</v>
      </c>
      <c r="K1165" s="4">
        <v>45640</v>
      </c>
      <c r="L1165" t="s">
        <v>30</v>
      </c>
      <c r="M1165" t="s">
        <v>89</v>
      </c>
      <c r="N1165">
        <v>2.0299999999999998</v>
      </c>
      <c r="O1165">
        <v>2119</v>
      </c>
      <c r="P1165">
        <v>1.98</v>
      </c>
      <c r="Q1165">
        <v>353</v>
      </c>
      <c r="R1165">
        <v>320</v>
      </c>
    </row>
    <row r="1166" spans="1:18" x14ac:dyDescent="0.2">
      <c r="A1166">
        <v>8</v>
      </c>
      <c r="B1166" t="s">
        <v>73</v>
      </c>
      <c r="C1166" t="str">
        <f>VLOOKUP(B1166, 'Council Area'!$A$2:$B$51, 2)</f>
        <v>Ku-ring-gai Council</v>
      </c>
      <c r="D1166" t="str">
        <f>_xlfn.XLOOKUP(B1166, 'Council Area'!$A$2:$A$51, 'Council Area'!$B$2:$B$51)</f>
        <v>Ku-ring-gai Council</v>
      </c>
      <c r="E1166" t="s">
        <v>29</v>
      </c>
      <c r="F1166">
        <v>1208118</v>
      </c>
      <c r="G1166">
        <v>1</v>
      </c>
      <c r="H1166">
        <v>1</v>
      </c>
      <c r="I1166">
        <v>668</v>
      </c>
      <c r="J1166">
        <v>1984</v>
      </c>
      <c r="K1166" s="4">
        <v>45611</v>
      </c>
      <c r="L1166" t="s">
        <v>26</v>
      </c>
      <c r="M1166" t="s">
        <v>56</v>
      </c>
      <c r="N1166">
        <v>3.41</v>
      </c>
      <c r="O1166">
        <v>899</v>
      </c>
      <c r="P1166">
        <v>2.37</v>
      </c>
      <c r="Q1166">
        <v>46</v>
      </c>
      <c r="R1166">
        <v>335</v>
      </c>
    </row>
    <row r="1167" spans="1:18" hidden="1" x14ac:dyDescent="0.2">
      <c r="A1167">
        <v>3</v>
      </c>
      <c r="B1167" t="s">
        <v>50</v>
      </c>
      <c r="E1167" t="s">
        <v>51</v>
      </c>
      <c r="F1167">
        <v>1634221</v>
      </c>
      <c r="G1167">
        <v>2</v>
      </c>
      <c r="H1167">
        <v>3</v>
      </c>
      <c r="I1167">
        <v>264</v>
      </c>
      <c r="J1167">
        <v>2015</v>
      </c>
      <c r="K1167" s="4">
        <v>44817</v>
      </c>
      <c r="L1167" t="s">
        <v>20</v>
      </c>
      <c r="M1167" t="s">
        <v>24</v>
      </c>
      <c r="N1167">
        <v>3.45</v>
      </c>
      <c r="O1167">
        <v>1235</v>
      </c>
      <c r="P1167">
        <v>2</v>
      </c>
      <c r="Q1167">
        <v>152</v>
      </c>
      <c r="R1167">
        <v>628</v>
      </c>
    </row>
    <row r="1168" spans="1:18" hidden="1" x14ac:dyDescent="0.2">
      <c r="A1168">
        <v>0</v>
      </c>
      <c r="B1168" t="s">
        <v>94</v>
      </c>
      <c r="E1168" t="s">
        <v>29</v>
      </c>
      <c r="F1168">
        <v>1126969</v>
      </c>
      <c r="G1168">
        <v>4</v>
      </c>
      <c r="H1168">
        <v>2</v>
      </c>
      <c r="I1168">
        <v>73</v>
      </c>
      <c r="J1168">
        <v>1970</v>
      </c>
      <c r="K1168" s="4">
        <v>44594</v>
      </c>
      <c r="L1168" t="s">
        <v>26</v>
      </c>
      <c r="M1168" t="s">
        <v>24</v>
      </c>
      <c r="N1168">
        <v>3.2</v>
      </c>
      <c r="O1168">
        <v>1506</v>
      </c>
      <c r="P1168">
        <v>2.85</v>
      </c>
      <c r="Q1168">
        <v>255</v>
      </c>
      <c r="R1168">
        <v>305</v>
      </c>
    </row>
    <row r="1169" spans="1:18" hidden="1" x14ac:dyDescent="0.2">
      <c r="A1169">
        <v>2</v>
      </c>
      <c r="B1169" t="s">
        <v>104</v>
      </c>
      <c r="E1169" t="s">
        <v>36</v>
      </c>
      <c r="F1169">
        <v>869033</v>
      </c>
      <c r="G1169">
        <v>5</v>
      </c>
      <c r="H1169">
        <v>1</v>
      </c>
      <c r="I1169">
        <v>480</v>
      </c>
      <c r="J1169">
        <v>1985</v>
      </c>
      <c r="K1169" s="4">
        <v>44304</v>
      </c>
      <c r="L1169" t="s">
        <v>23</v>
      </c>
      <c r="M1169" t="s">
        <v>78</v>
      </c>
      <c r="N1169">
        <v>2.44</v>
      </c>
      <c r="O1169">
        <v>1530</v>
      </c>
      <c r="P1169">
        <v>0.9</v>
      </c>
      <c r="Q1169">
        <v>333</v>
      </c>
      <c r="R1169">
        <v>595</v>
      </c>
    </row>
    <row r="1170" spans="1:18" hidden="1" x14ac:dyDescent="0.2">
      <c r="A1170">
        <v>0</v>
      </c>
      <c r="B1170" t="s">
        <v>50</v>
      </c>
      <c r="E1170" t="s">
        <v>19</v>
      </c>
      <c r="F1170">
        <v>2965367</v>
      </c>
      <c r="G1170">
        <v>3</v>
      </c>
      <c r="H1170">
        <v>2</v>
      </c>
      <c r="I1170">
        <v>695</v>
      </c>
      <c r="J1170">
        <v>2014</v>
      </c>
      <c r="K1170" s="4">
        <v>44983</v>
      </c>
      <c r="L1170" t="s">
        <v>20</v>
      </c>
      <c r="M1170" t="s">
        <v>37</v>
      </c>
      <c r="N1170">
        <v>3.24</v>
      </c>
      <c r="O1170">
        <v>1367</v>
      </c>
      <c r="P1170">
        <v>1.1399999999999999</v>
      </c>
      <c r="Q1170">
        <v>119</v>
      </c>
      <c r="R1170">
        <v>411</v>
      </c>
    </row>
    <row r="1171" spans="1:18" hidden="1" x14ac:dyDescent="0.2">
      <c r="A1171">
        <v>9</v>
      </c>
      <c r="B1171" t="s">
        <v>94</v>
      </c>
      <c r="E1171" t="s">
        <v>29</v>
      </c>
      <c r="F1171">
        <v>1981568</v>
      </c>
      <c r="G1171">
        <v>5</v>
      </c>
      <c r="H1171">
        <v>3</v>
      </c>
      <c r="I1171">
        <v>586</v>
      </c>
      <c r="J1171">
        <v>1957</v>
      </c>
      <c r="K1171" s="4">
        <v>44510</v>
      </c>
      <c r="L1171" t="s">
        <v>23</v>
      </c>
      <c r="M1171" t="s">
        <v>45</v>
      </c>
      <c r="N1171">
        <v>2.19</v>
      </c>
      <c r="O1171">
        <v>1174</v>
      </c>
      <c r="P1171">
        <v>1.68</v>
      </c>
      <c r="Q1171">
        <v>383</v>
      </c>
      <c r="R1171">
        <v>463</v>
      </c>
    </row>
    <row r="1172" spans="1:18" hidden="1" x14ac:dyDescent="0.2">
      <c r="A1172">
        <v>6</v>
      </c>
      <c r="B1172" t="s">
        <v>100</v>
      </c>
      <c r="E1172" t="s">
        <v>19</v>
      </c>
      <c r="F1172">
        <v>906647</v>
      </c>
      <c r="G1172">
        <v>2</v>
      </c>
      <c r="H1172">
        <v>3</v>
      </c>
      <c r="I1172">
        <v>312</v>
      </c>
      <c r="J1172">
        <v>2010</v>
      </c>
      <c r="K1172" s="4">
        <v>45391</v>
      </c>
      <c r="L1172" t="s">
        <v>23</v>
      </c>
      <c r="M1172" t="s">
        <v>76</v>
      </c>
      <c r="N1172">
        <v>3.12</v>
      </c>
      <c r="O1172">
        <v>1957</v>
      </c>
      <c r="P1172">
        <v>4.75</v>
      </c>
      <c r="Q1172">
        <v>118</v>
      </c>
      <c r="R1172">
        <v>321</v>
      </c>
    </row>
    <row r="1173" spans="1:18" hidden="1" x14ac:dyDescent="0.2">
      <c r="A1173">
        <v>2</v>
      </c>
      <c r="B1173" t="s">
        <v>104</v>
      </c>
      <c r="E1173" t="s">
        <v>19</v>
      </c>
      <c r="F1173">
        <v>2883216</v>
      </c>
      <c r="G1173">
        <v>2</v>
      </c>
      <c r="H1173">
        <v>2</v>
      </c>
      <c r="I1173">
        <v>543</v>
      </c>
      <c r="J1173">
        <v>2014</v>
      </c>
      <c r="K1173" s="4">
        <v>45244</v>
      </c>
      <c r="L1173" t="s">
        <v>20</v>
      </c>
      <c r="M1173" t="s">
        <v>42</v>
      </c>
      <c r="N1173">
        <v>2.38</v>
      </c>
      <c r="O1173">
        <v>1591</v>
      </c>
      <c r="P1173">
        <v>0.72</v>
      </c>
      <c r="Q1173">
        <v>231</v>
      </c>
      <c r="R1173">
        <v>319</v>
      </c>
    </row>
    <row r="1174" spans="1:18" hidden="1" x14ac:dyDescent="0.2">
      <c r="A1174">
        <v>1</v>
      </c>
      <c r="B1174" t="s">
        <v>46</v>
      </c>
      <c r="E1174" t="s">
        <v>29</v>
      </c>
      <c r="F1174">
        <v>2097973</v>
      </c>
      <c r="G1174">
        <v>5</v>
      </c>
      <c r="H1174">
        <v>1</v>
      </c>
      <c r="I1174">
        <v>494</v>
      </c>
      <c r="J1174">
        <v>1958</v>
      </c>
      <c r="K1174" s="4">
        <v>45406</v>
      </c>
      <c r="L1174" t="s">
        <v>23</v>
      </c>
      <c r="M1174" t="s">
        <v>63</v>
      </c>
      <c r="N1174">
        <v>3.22</v>
      </c>
      <c r="O1174">
        <v>1331</v>
      </c>
      <c r="P1174">
        <v>3.86</v>
      </c>
      <c r="Q1174">
        <v>381</v>
      </c>
      <c r="R1174">
        <v>528</v>
      </c>
    </row>
    <row r="1175" spans="1:18" hidden="1" x14ac:dyDescent="0.2">
      <c r="A1175">
        <v>4</v>
      </c>
      <c r="B1175" t="s">
        <v>91</v>
      </c>
      <c r="E1175" t="s">
        <v>19</v>
      </c>
      <c r="F1175">
        <v>584891</v>
      </c>
      <c r="G1175">
        <v>3</v>
      </c>
      <c r="H1175">
        <v>1</v>
      </c>
      <c r="I1175">
        <v>117</v>
      </c>
      <c r="J1175">
        <v>2005</v>
      </c>
      <c r="K1175" s="4">
        <v>44867</v>
      </c>
      <c r="L1175" t="s">
        <v>30</v>
      </c>
      <c r="M1175" t="s">
        <v>56</v>
      </c>
      <c r="N1175">
        <v>1.81</v>
      </c>
      <c r="O1175">
        <v>1371</v>
      </c>
      <c r="P1175">
        <v>4.51</v>
      </c>
      <c r="Q1175">
        <v>142</v>
      </c>
      <c r="R1175">
        <v>665</v>
      </c>
    </row>
    <row r="1176" spans="1:18" hidden="1" x14ac:dyDescent="0.2">
      <c r="A1176">
        <v>2</v>
      </c>
      <c r="B1176" t="s">
        <v>73</v>
      </c>
      <c r="E1176" t="s">
        <v>51</v>
      </c>
      <c r="F1176">
        <v>2768621</v>
      </c>
      <c r="G1176">
        <v>4</v>
      </c>
      <c r="H1176">
        <v>3</v>
      </c>
      <c r="I1176">
        <v>250</v>
      </c>
      <c r="J1176">
        <v>1990</v>
      </c>
      <c r="K1176" s="4">
        <v>44601</v>
      </c>
      <c r="L1176" t="s">
        <v>30</v>
      </c>
      <c r="M1176" t="s">
        <v>52</v>
      </c>
      <c r="N1176">
        <v>2.0499999999999998</v>
      </c>
      <c r="O1176">
        <v>1221</v>
      </c>
      <c r="P1176">
        <v>2.79</v>
      </c>
      <c r="Q1176">
        <v>214</v>
      </c>
      <c r="R1176">
        <v>418</v>
      </c>
    </row>
    <row r="1177" spans="1:18" hidden="1" x14ac:dyDescent="0.2">
      <c r="A1177">
        <v>6</v>
      </c>
      <c r="B1177" t="s">
        <v>98</v>
      </c>
      <c r="E1177" t="s">
        <v>29</v>
      </c>
      <c r="F1177">
        <v>2384301</v>
      </c>
      <c r="G1177">
        <v>2</v>
      </c>
      <c r="H1177">
        <v>3</v>
      </c>
      <c r="I1177">
        <v>912</v>
      </c>
      <c r="J1177">
        <v>2005</v>
      </c>
      <c r="K1177" s="4">
        <v>45469</v>
      </c>
      <c r="L1177" t="s">
        <v>23</v>
      </c>
      <c r="M1177" t="s">
        <v>42</v>
      </c>
      <c r="N1177">
        <v>2.4500000000000002</v>
      </c>
      <c r="O1177">
        <v>1982</v>
      </c>
      <c r="P1177">
        <v>0.61</v>
      </c>
      <c r="Q1177">
        <v>188</v>
      </c>
      <c r="R1177">
        <v>505</v>
      </c>
    </row>
    <row r="1178" spans="1:18" hidden="1" x14ac:dyDescent="0.2">
      <c r="A1178">
        <v>1</v>
      </c>
      <c r="B1178" t="s">
        <v>41</v>
      </c>
      <c r="E1178" t="s">
        <v>36</v>
      </c>
      <c r="F1178">
        <v>1775498</v>
      </c>
      <c r="G1178">
        <v>2</v>
      </c>
      <c r="H1178">
        <v>1</v>
      </c>
      <c r="I1178">
        <v>86</v>
      </c>
      <c r="J1178">
        <v>1955</v>
      </c>
      <c r="K1178" s="4">
        <v>45550</v>
      </c>
      <c r="L1178" t="s">
        <v>23</v>
      </c>
      <c r="M1178" t="s">
        <v>31</v>
      </c>
      <c r="N1178">
        <v>3.07</v>
      </c>
      <c r="O1178">
        <v>1633</v>
      </c>
      <c r="P1178">
        <v>2.12</v>
      </c>
      <c r="Q1178">
        <v>210</v>
      </c>
      <c r="R1178">
        <v>605</v>
      </c>
    </row>
    <row r="1179" spans="1:18" hidden="1" x14ac:dyDescent="0.2">
      <c r="A1179">
        <v>4</v>
      </c>
      <c r="B1179" t="s">
        <v>102</v>
      </c>
      <c r="E1179" t="s">
        <v>29</v>
      </c>
      <c r="F1179">
        <v>1191602</v>
      </c>
      <c r="G1179">
        <v>3</v>
      </c>
      <c r="H1179">
        <v>1</v>
      </c>
      <c r="I1179">
        <v>595</v>
      </c>
      <c r="J1179">
        <v>1959</v>
      </c>
      <c r="K1179" s="4">
        <v>45343</v>
      </c>
      <c r="L1179" t="s">
        <v>20</v>
      </c>
      <c r="M1179" t="s">
        <v>77</v>
      </c>
      <c r="N1179">
        <v>2.78</v>
      </c>
      <c r="O1179">
        <v>862</v>
      </c>
      <c r="P1179">
        <v>4.6900000000000004</v>
      </c>
      <c r="Q1179">
        <v>225</v>
      </c>
      <c r="R1179">
        <v>692</v>
      </c>
    </row>
    <row r="1180" spans="1:18" hidden="1" x14ac:dyDescent="0.2">
      <c r="A1180">
        <v>4</v>
      </c>
      <c r="B1180" t="s">
        <v>46</v>
      </c>
      <c r="E1180" t="s">
        <v>29</v>
      </c>
      <c r="F1180">
        <v>2421524</v>
      </c>
      <c r="G1180">
        <v>5</v>
      </c>
      <c r="H1180">
        <v>1</v>
      </c>
      <c r="I1180">
        <v>770</v>
      </c>
      <c r="J1180">
        <v>2001</v>
      </c>
      <c r="K1180" s="4">
        <v>45128</v>
      </c>
      <c r="L1180" t="s">
        <v>23</v>
      </c>
      <c r="M1180" t="s">
        <v>77</v>
      </c>
      <c r="N1180">
        <v>1.85</v>
      </c>
      <c r="O1180">
        <v>1830</v>
      </c>
      <c r="P1180">
        <v>4.3600000000000003</v>
      </c>
      <c r="Q1180">
        <v>343</v>
      </c>
      <c r="R1180">
        <v>644</v>
      </c>
    </row>
    <row r="1181" spans="1:18" hidden="1" x14ac:dyDescent="0.2">
      <c r="A1181">
        <v>1</v>
      </c>
      <c r="B1181" t="s">
        <v>88</v>
      </c>
      <c r="E1181" t="s">
        <v>51</v>
      </c>
      <c r="F1181">
        <v>840268</v>
      </c>
      <c r="G1181">
        <v>4</v>
      </c>
      <c r="H1181">
        <v>2</v>
      </c>
      <c r="I1181">
        <v>881</v>
      </c>
      <c r="J1181">
        <v>1973</v>
      </c>
      <c r="K1181" s="4">
        <v>45859</v>
      </c>
      <c r="L1181" t="s">
        <v>26</v>
      </c>
      <c r="M1181" t="s">
        <v>63</v>
      </c>
      <c r="N1181">
        <v>3.16</v>
      </c>
      <c r="O1181">
        <v>856</v>
      </c>
      <c r="P1181">
        <v>3.57</v>
      </c>
      <c r="Q1181">
        <v>287</v>
      </c>
      <c r="R1181">
        <v>540</v>
      </c>
    </row>
    <row r="1182" spans="1:18" x14ac:dyDescent="0.2">
      <c r="A1182">
        <v>8</v>
      </c>
      <c r="B1182" t="s">
        <v>86</v>
      </c>
      <c r="C1182" t="str">
        <f>VLOOKUP(B1182, 'Council Area'!$A$2:$B$51, 2)</f>
        <v>Randwick City Council</v>
      </c>
      <c r="D1182" t="str">
        <f>_xlfn.XLOOKUP(B1182, 'Council Area'!$A$2:$A$51, 'Council Area'!$B$2:$B$51)</f>
        <v>Randwick City Council</v>
      </c>
      <c r="E1182" t="s">
        <v>36</v>
      </c>
      <c r="F1182">
        <v>1840949</v>
      </c>
      <c r="G1182">
        <v>2</v>
      </c>
      <c r="H1182">
        <v>3</v>
      </c>
      <c r="I1182">
        <v>99</v>
      </c>
      <c r="J1182">
        <v>2005</v>
      </c>
      <c r="K1182" s="4">
        <v>45706</v>
      </c>
      <c r="L1182" t="s">
        <v>20</v>
      </c>
      <c r="M1182" t="s">
        <v>66</v>
      </c>
      <c r="N1182">
        <v>1.94</v>
      </c>
      <c r="O1182">
        <v>2210</v>
      </c>
      <c r="P1182">
        <v>1.54</v>
      </c>
      <c r="Q1182">
        <v>177</v>
      </c>
      <c r="R1182">
        <v>577</v>
      </c>
    </row>
    <row r="1183" spans="1:18" x14ac:dyDescent="0.2">
      <c r="A1183">
        <v>8</v>
      </c>
      <c r="B1183" t="s">
        <v>102</v>
      </c>
      <c r="C1183" t="str">
        <f>VLOOKUP(B1183, 'Council Area'!$A$2:$B$51, 2)</f>
        <v>City of Sydney</v>
      </c>
      <c r="D1183" t="str">
        <f>_xlfn.XLOOKUP(B1183, 'Council Area'!$A$2:$A$51, 'Council Area'!$B$2:$B$51)</f>
        <v>City of Sydney</v>
      </c>
      <c r="E1183" t="s">
        <v>19</v>
      </c>
      <c r="F1183">
        <v>879288</v>
      </c>
      <c r="G1183">
        <v>6</v>
      </c>
      <c r="H1183">
        <v>1</v>
      </c>
      <c r="I1183">
        <v>580</v>
      </c>
      <c r="J1183">
        <v>2016</v>
      </c>
      <c r="K1183" s="4">
        <v>45064</v>
      </c>
      <c r="L1183" t="s">
        <v>23</v>
      </c>
      <c r="M1183" t="s">
        <v>59</v>
      </c>
      <c r="N1183">
        <v>2.25</v>
      </c>
      <c r="O1183">
        <v>1846</v>
      </c>
      <c r="P1183">
        <v>4.91</v>
      </c>
      <c r="Q1183">
        <v>397</v>
      </c>
      <c r="R1183">
        <v>675</v>
      </c>
    </row>
    <row r="1184" spans="1:18" x14ac:dyDescent="0.2">
      <c r="A1184">
        <v>8</v>
      </c>
      <c r="B1184" t="s">
        <v>22</v>
      </c>
      <c r="C1184" t="str">
        <f>VLOOKUP(B1184, 'Council Area'!$A$2:$B$51, 2)</f>
        <v>Sutherland Shire Council</v>
      </c>
      <c r="D1184" t="str">
        <f>_xlfn.XLOOKUP(B1184, 'Council Area'!$A$2:$A$51, 'Council Area'!$B$2:$B$51)</f>
        <v>Sutherland Shire Council</v>
      </c>
      <c r="E1184" t="s">
        <v>19</v>
      </c>
      <c r="F1184">
        <v>1234229</v>
      </c>
      <c r="G1184">
        <v>3</v>
      </c>
      <c r="H1184">
        <v>1</v>
      </c>
      <c r="I1184">
        <v>645</v>
      </c>
      <c r="J1184">
        <v>1952</v>
      </c>
      <c r="K1184" s="4">
        <v>44165</v>
      </c>
      <c r="L1184" t="s">
        <v>30</v>
      </c>
      <c r="M1184" t="s">
        <v>47</v>
      </c>
      <c r="N1184">
        <v>1.52</v>
      </c>
      <c r="O1184">
        <v>1632</v>
      </c>
      <c r="P1184">
        <v>4.6500000000000004</v>
      </c>
      <c r="Q1184">
        <v>114</v>
      </c>
      <c r="R1184">
        <v>453</v>
      </c>
    </row>
    <row r="1185" spans="1:18" hidden="1" x14ac:dyDescent="0.2">
      <c r="A1185">
        <v>3</v>
      </c>
      <c r="B1185" t="s">
        <v>98</v>
      </c>
      <c r="E1185" t="s">
        <v>103</v>
      </c>
      <c r="F1185">
        <v>834413</v>
      </c>
      <c r="G1185">
        <v>3</v>
      </c>
      <c r="H1185">
        <v>2</v>
      </c>
      <c r="I1185">
        <v>723</v>
      </c>
      <c r="J1185">
        <v>2009</v>
      </c>
      <c r="K1185" s="4">
        <v>44469</v>
      </c>
      <c r="L1185" t="s">
        <v>20</v>
      </c>
      <c r="M1185" t="s">
        <v>85</v>
      </c>
      <c r="N1185">
        <v>3.4</v>
      </c>
      <c r="O1185">
        <v>1899</v>
      </c>
      <c r="P1185">
        <v>2.08</v>
      </c>
      <c r="Q1185">
        <v>225</v>
      </c>
      <c r="R1185">
        <v>558</v>
      </c>
    </row>
    <row r="1186" spans="1:18" hidden="1" x14ac:dyDescent="0.2">
      <c r="A1186">
        <v>3</v>
      </c>
      <c r="B1186" t="s">
        <v>75</v>
      </c>
      <c r="E1186" t="s">
        <v>51</v>
      </c>
      <c r="F1186">
        <v>794337</v>
      </c>
      <c r="G1186">
        <v>2</v>
      </c>
      <c r="H1186">
        <v>1</v>
      </c>
      <c r="I1186">
        <v>656</v>
      </c>
      <c r="J1186">
        <v>1983</v>
      </c>
      <c r="K1186" s="4">
        <v>45520</v>
      </c>
      <c r="L1186" t="s">
        <v>26</v>
      </c>
      <c r="M1186" t="s">
        <v>78</v>
      </c>
      <c r="N1186">
        <v>3.44</v>
      </c>
      <c r="O1186">
        <v>1728</v>
      </c>
      <c r="P1186">
        <v>2.73</v>
      </c>
      <c r="Q1186">
        <v>157</v>
      </c>
      <c r="R1186">
        <v>315</v>
      </c>
    </row>
    <row r="1187" spans="1:18" x14ac:dyDescent="0.2">
      <c r="A1187">
        <v>8</v>
      </c>
      <c r="B1187" t="s">
        <v>98</v>
      </c>
      <c r="C1187" t="str">
        <f>VLOOKUP(B1187, 'Council Area'!$A$2:$B$51, 2)</f>
        <v>Parramatta City Council</v>
      </c>
      <c r="D1187" t="str">
        <f>_xlfn.XLOOKUP(B1187, 'Council Area'!$A$2:$A$51, 'Council Area'!$B$2:$B$51)</f>
        <v>Parramatta City Council</v>
      </c>
      <c r="E1187" t="s">
        <v>36</v>
      </c>
      <c r="F1187">
        <v>1122563</v>
      </c>
      <c r="G1187">
        <v>3</v>
      </c>
      <c r="H1187">
        <v>1</v>
      </c>
      <c r="I1187">
        <v>674</v>
      </c>
      <c r="J1187">
        <v>1994</v>
      </c>
      <c r="K1187" s="4">
        <v>44634</v>
      </c>
      <c r="L1187" t="s">
        <v>26</v>
      </c>
      <c r="M1187" t="s">
        <v>74</v>
      </c>
      <c r="N1187">
        <v>3.37</v>
      </c>
      <c r="O1187">
        <v>2168</v>
      </c>
      <c r="P1187">
        <v>1.78</v>
      </c>
      <c r="Q1187">
        <v>253</v>
      </c>
      <c r="R1187">
        <v>649</v>
      </c>
    </row>
    <row r="1188" spans="1:18" hidden="1" x14ac:dyDescent="0.2">
      <c r="A1188">
        <v>2</v>
      </c>
      <c r="B1188" t="s">
        <v>102</v>
      </c>
      <c r="E1188" t="s">
        <v>36</v>
      </c>
      <c r="F1188">
        <v>2956357</v>
      </c>
      <c r="G1188">
        <v>3</v>
      </c>
      <c r="H1188">
        <v>1</v>
      </c>
      <c r="I1188">
        <v>719</v>
      </c>
      <c r="J1188">
        <v>1977</v>
      </c>
      <c r="K1188" s="4">
        <v>44400</v>
      </c>
      <c r="L1188" t="s">
        <v>23</v>
      </c>
      <c r="M1188" t="s">
        <v>27</v>
      </c>
      <c r="N1188">
        <v>2.76</v>
      </c>
      <c r="O1188">
        <v>1590</v>
      </c>
      <c r="P1188">
        <v>4</v>
      </c>
      <c r="Q1188">
        <v>124</v>
      </c>
      <c r="R1188">
        <v>607</v>
      </c>
    </row>
    <row r="1189" spans="1:18" hidden="1" x14ac:dyDescent="0.2">
      <c r="A1189">
        <v>4</v>
      </c>
      <c r="B1189" t="s">
        <v>46</v>
      </c>
      <c r="E1189" t="s">
        <v>51</v>
      </c>
      <c r="F1189">
        <v>1772528</v>
      </c>
      <c r="G1189">
        <v>3</v>
      </c>
      <c r="H1189">
        <v>3</v>
      </c>
      <c r="I1189">
        <v>846</v>
      </c>
      <c r="J1189">
        <v>1956</v>
      </c>
      <c r="K1189" s="4">
        <v>44754</v>
      </c>
      <c r="L1189" t="s">
        <v>23</v>
      </c>
      <c r="M1189" t="s">
        <v>82</v>
      </c>
      <c r="N1189">
        <v>2.4700000000000002</v>
      </c>
      <c r="O1189">
        <v>2330</v>
      </c>
      <c r="P1189">
        <v>2.69</v>
      </c>
      <c r="Q1189">
        <v>112</v>
      </c>
      <c r="R1189">
        <v>499</v>
      </c>
    </row>
    <row r="1190" spans="1:18" hidden="1" x14ac:dyDescent="0.2">
      <c r="A1190">
        <v>6</v>
      </c>
      <c r="B1190" t="s">
        <v>50</v>
      </c>
      <c r="E1190" t="s">
        <v>51</v>
      </c>
      <c r="F1190">
        <v>497688</v>
      </c>
      <c r="G1190">
        <v>2</v>
      </c>
      <c r="H1190">
        <v>2</v>
      </c>
      <c r="I1190">
        <v>205</v>
      </c>
      <c r="J1190">
        <v>1979</v>
      </c>
      <c r="K1190" s="4">
        <v>45689</v>
      </c>
      <c r="L1190" t="s">
        <v>23</v>
      </c>
      <c r="M1190" t="s">
        <v>68</v>
      </c>
      <c r="N1190">
        <v>3.05</v>
      </c>
      <c r="O1190">
        <v>1939</v>
      </c>
      <c r="P1190">
        <v>0.16</v>
      </c>
      <c r="Q1190">
        <v>222</v>
      </c>
      <c r="R1190">
        <v>433</v>
      </c>
    </row>
    <row r="1191" spans="1:18" hidden="1" x14ac:dyDescent="0.2">
      <c r="A1191">
        <v>5</v>
      </c>
      <c r="B1191" t="s">
        <v>53</v>
      </c>
      <c r="E1191" t="s">
        <v>51</v>
      </c>
      <c r="F1191">
        <v>1489797</v>
      </c>
      <c r="G1191">
        <v>5</v>
      </c>
      <c r="H1191">
        <v>3</v>
      </c>
      <c r="I1191">
        <v>297</v>
      </c>
      <c r="J1191">
        <v>1964</v>
      </c>
      <c r="K1191" s="4">
        <v>44816</v>
      </c>
      <c r="L1191" t="s">
        <v>30</v>
      </c>
      <c r="M1191" t="s">
        <v>85</v>
      </c>
      <c r="N1191">
        <v>3.07</v>
      </c>
      <c r="O1191">
        <v>1701</v>
      </c>
      <c r="P1191">
        <v>4.08</v>
      </c>
      <c r="Q1191">
        <v>361</v>
      </c>
      <c r="R1191">
        <v>495</v>
      </c>
    </row>
    <row r="1192" spans="1:18" hidden="1" x14ac:dyDescent="0.2">
      <c r="A1192">
        <v>9</v>
      </c>
      <c r="B1192" t="s">
        <v>96</v>
      </c>
      <c r="E1192" t="s">
        <v>29</v>
      </c>
      <c r="F1192">
        <v>2609204</v>
      </c>
      <c r="G1192">
        <v>4</v>
      </c>
      <c r="H1192">
        <v>2</v>
      </c>
      <c r="I1192">
        <v>271</v>
      </c>
      <c r="J1192">
        <v>1964</v>
      </c>
      <c r="K1192" s="4">
        <v>45086</v>
      </c>
      <c r="L1192" t="s">
        <v>20</v>
      </c>
      <c r="M1192" t="s">
        <v>78</v>
      </c>
      <c r="N1192">
        <v>2.3199999999999998</v>
      </c>
      <c r="O1192">
        <v>1850</v>
      </c>
      <c r="P1192">
        <v>1.96</v>
      </c>
      <c r="Q1192">
        <v>304</v>
      </c>
      <c r="R1192">
        <v>393</v>
      </c>
    </row>
    <row r="1193" spans="1:18" hidden="1" x14ac:dyDescent="0.2">
      <c r="A1193">
        <v>1</v>
      </c>
      <c r="B1193" t="s">
        <v>102</v>
      </c>
      <c r="E1193" t="s">
        <v>36</v>
      </c>
      <c r="F1193">
        <v>1035932</v>
      </c>
      <c r="G1193">
        <v>3</v>
      </c>
      <c r="H1193">
        <v>2</v>
      </c>
      <c r="I1193">
        <v>618</v>
      </c>
      <c r="J1193">
        <v>2016</v>
      </c>
      <c r="K1193" s="4">
        <v>44301</v>
      </c>
      <c r="L1193" t="s">
        <v>20</v>
      </c>
      <c r="M1193" t="s">
        <v>56</v>
      </c>
      <c r="N1193">
        <v>2.02</v>
      </c>
      <c r="O1193">
        <v>1675</v>
      </c>
      <c r="P1193">
        <v>3.73</v>
      </c>
      <c r="Q1193">
        <v>96</v>
      </c>
      <c r="R1193">
        <v>633</v>
      </c>
    </row>
    <row r="1194" spans="1:18" hidden="1" x14ac:dyDescent="0.2">
      <c r="A1194">
        <v>4</v>
      </c>
      <c r="B1194" t="s">
        <v>94</v>
      </c>
      <c r="E1194" t="s">
        <v>29</v>
      </c>
      <c r="F1194">
        <v>2035933</v>
      </c>
      <c r="G1194">
        <v>2</v>
      </c>
      <c r="H1194">
        <v>2</v>
      </c>
      <c r="I1194">
        <v>973</v>
      </c>
      <c r="J1194">
        <v>2011</v>
      </c>
      <c r="K1194" s="4">
        <v>45732</v>
      </c>
      <c r="L1194" t="s">
        <v>20</v>
      </c>
      <c r="M1194" t="s">
        <v>69</v>
      </c>
      <c r="N1194">
        <v>3.38</v>
      </c>
      <c r="O1194">
        <v>1834</v>
      </c>
      <c r="P1194">
        <v>1.99</v>
      </c>
      <c r="Q1194">
        <v>69</v>
      </c>
      <c r="R1194">
        <v>418</v>
      </c>
    </row>
    <row r="1195" spans="1:18" hidden="1" x14ac:dyDescent="0.2">
      <c r="A1195">
        <v>6</v>
      </c>
      <c r="B1195" t="s">
        <v>86</v>
      </c>
      <c r="E1195" t="s">
        <v>19</v>
      </c>
      <c r="F1195">
        <v>1316609</v>
      </c>
      <c r="G1195">
        <v>4</v>
      </c>
      <c r="H1195">
        <v>3</v>
      </c>
      <c r="I1195">
        <v>483</v>
      </c>
      <c r="J1195">
        <v>2007</v>
      </c>
      <c r="K1195" s="4">
        <v>45235</v>
      </c>
      <c r="L1195" t="s">
        <v>23</v>
      </c>
      <c r="M1195" t="s">
        <v>60</v>
      </c>
      <c r="N1195">
        <v>2.88</v>
      </c>
      <c r="O1195">
        <v>1771</v>
      </c>
      <c r="P1195">
        <v>3.55</v>
      </c>
      <c r="Q1195">
        <v>254</v>
      </c>
      <c r="R1195">
        <v>561</v>
      </c>
    </row>
    <row r="1196" spans="1:18" hidden="1" x14ac:dyDescent="0.2">
      <c r="A1196">
        <v>2</v>
      </c>
      <c r="B1196" t="s">
        <v>104</v>
      </c>
      <c r="E1196" t="s">
        <v>36</v>
      </c>
      <c r="F1196">
        <v>544951</v>
      </c>
      <c r="G1196">
        <v>4</v>
      </c>
      <c r="H1196">
        <v>1</v>
      </c>
      <c r="I1196">
        <v>537</v>
      </c>
      <c r="J1196">
        <v>1956</v>
      </c>
      <c r="K1196" s="4">
        <v>45457</v>
      </c>
      <c r="L1196" t="s">
        <v>30</v>
      </c>
      <c r="M1196" t="s">
        <v>89</v>
      </c>
      <c r="N1196">
        <v>3.15</v>
      </c>
      <c r="O1196">
        <v>2370</v>
      </c>
      <c r="P1196">
        <v>2.85</v>
      </c>
      <c r="Q1196">
        <v>169</v>
      </c>
      <c r="R1196">
        <v>469</v>
      </c>
    </row>
    <row r="1197" spans="1:18" hidden="1" x14ac:dyDescent="0.2">
      <c r="A1197">
        <v>1</v>
      </c>
      <c r="B1197" t="s">
        <v>95</v>
      </c>
      <c r="E1197" t="s">
        <v>36</v>
      </c>
      <c r="F1197">
        <v>1676826</v>
      </c>
      <c r="G1197">
        <v>1</v>
      </c>
      <c r="H1197">
        <v>3</v>
      </c>
      <c r="I1197">
        <v>653</v>
      </c>
      <c r="J1197">
        <v>1959</v>
      </c>
      <c r="K1197" s="4">
        <v>45257</v>
      </c>
      <c r="L1197" t="s">
        <v>26</v>
      </c>
      <c r="M1197" t="s">
        <v>60</v>
      </c>
      <c r="N1197">
        <v>2.2799999999999998</v>
      </c>
      <c r="O1197">
        <v>1839</v>
      </c>
      <c r="P1197">
        <v>3.89</v>
      </c>
      <c r="Q1197">
        <v>47</v>
      </c>
      <c r="R1197">
        <v>497</v>
      </c>
    </row>
    <row r="1198" spans="1:18" hidden="1" x14ac:dyDescent="0.2">
      <c r="A1198">
        <v>2</v>
      </c>
      <c r="B1198" t="s">
        <v>46</v>
      </c>
      <c r="E1198" t="s">
        <v>36</v>
      </c>
      <c r="F1198">
        <v>2868311</v>
      </c>
      <c r="G1198">
        <v>1</v>
      </c>
      <c r="H1198">
        <v>2</v>
      </c>
      <c r="I1198">
        <v>0</v>
      </c>
      <c r="J1198">
        <v>2014</v>
      </c>
      <c r="K1198" s="4">
        <v>45419</v>
      </c>
      <c r="L1198" t="s">
        <v>30</v>
      </c>
      <c r="M1198" t="s">
        <v>24</v>
      </c>
      <c r="N1198">
        <v>3.25</v>
      </c>
      <c r="O1198">
        <v>1176</v>
      </c>
      <c r="P1198">
        <v>1.02</v>
      </c>
      <c r="Q1198">
        <v>345</v>
      </c>
      <c r="R1198">
        <v>677</v>
      </c>
    </row>
    <row r="1199" spans="1:18" hidden="1" x14ac:dyDescent="0.2">
      <c r="A1199">
        <v>5</v>
      </c>
      <c r="B1199" t="s">
        <v>61</v>
      </c>
      <c r="E1199" t="s">
        <v>36</v>
      </c>
      <c r="F1199">
        <v>2300360</v>
      </c>
      <c r="G1199">
        <v>3</v>
      </c>
      <c r="H1199">
        <v>1</v>
      </c>
      <c r="I1199">
        <v>837</v>
      </c>
      <c r="J1199">
        <v>2026</v>
      </c>
      <c r="K1199" s="4">
        <v>45270</v>
      </c>
      <c r="L1199" t="s">
        <v>20</v>
      </c>
      <c r="M1199" t="s">
        <v>47</v>
      </c>
      <c r="N1199">
        <v>2.48</v>
      </c>
      <c r="O1199">
        <v>1702</v>
      </c>
      <c r="P1199">
        <v>4.8</v>
      </c>
      <c r="Q1199">
        <v>97</v>
      </c>
      <c r="R1199">
        <v>695</v>
      </c>
    </row>
    <row r="1200" spans="1:18" hidden="1" x14ac:dyDescent="0.2">
      <c r="A1200">
        <v>5</v>
      </c>
      <c r="B1200" t="s">
        <v>100</v>
      </c>
      <c r="E1200" t="s">
        <v>29</v>
      </c>
      <c r="F1200">
        <v>2574450</v>
      </c>
      <c r="G1200">
        <v>4</v>
      </c>
      <c r="H1200">
        <v>2</v>
      </c>
      <c r="I1200">
        <v>936</v>
      </c>
      <c r="J1200">
        <v>1960</v>
      </c>
      <c r="K1200" s="4">
        <v>45144</v>
      </c>
      <c r="L1200" t="s">
        <v>26</v>
      </c>
      <c r="M1200" t="s">
        <v>24</v>
      </c>
      <c r="N1200">
        <v>2.93</v>
      </c>
      <c r="O1200">
        <v>1721</v>
      </c>
      <c r="P1200">
        <v>3.06</v>
      </c>
      <c r="Q1200">
        <v>252</v>
      </c>
      <c r="R1200">
        <v>695</v>
      </c>
    </row>
    <row r="1201" spans="1:18" hidden="1" x14ac:dyDescent="0.2">
      <c r="A1201">
        <v>3</v>
      </c>
      <c r="B1201" t="s">
        <v>28</v>
      </c>
      <c r="E1201" t="s">
        <v>51</v>
      </c>
      <c r="F1201">
        <v>2247385</v>
      </c>
      <c r="G1201">
        <v>4</v>
      </c>
      <c r="H1201">
        <v>3</v>
      </c>
      <c r="I1201">
        <v>318</v>
      </c>
      <c r="J1201">
        <v>1999</v>
      </c>
      <c r="K1201" s="4">
        <v>44119</v>
      </c>
      <c r="L1201" t="s">
        <v>23</v>
      </c>
      <c r="M1201" t="s">
        <v>47</v>
      </c>
      <c r="N1201">
        <v>1.64</v>
      </c>
      <c r="O1201">
        <v>965</v>
      </c>
      <c r="P1201">
        <v>2.96</v>
      </c>
      <c r="Q1201">
        <v>183</v>
      </c>
      <c r="R1201">
        <v>320</v>
      </c>
    </row>
    <row r="1202" spans="1:18" hidden="1" x14ac:dyDescent="0.2">
      <c r="A1202">
        <v>7</v>
      </c>
      <c r="B1202" t="s">
        <v>94</v>
      </c>
      <c r="E1202" t="s">
        <v>36</v>
      </c>
      <c r="F1202">
        <v>1949841</v>
      </c>
      <c r="G1202">
        <v>3</v>
      </c>
      <c r="H1202">
        <v>2</v>
      </c>
      <c r="I1202">
        <v>314</v>
      </c>
      <c r="J1202">
        <v>1999</v>
      </c>
      <c r="K1202" s="4">
        <v>45599</v>
      </c>
      <c r="L1202" t="s">
        <v>30</v>
      </c>
      <c r="M1202" t="s">
        <v>78</v>
      </c>
      <c r="N1202">
        <v>2.04</v>
      </c>
      <c r="O1202">
        <v>1249</v>
      </c>
      <c r="P1202">
        <v>3.77</v>
      </c>
      <c r="Q1202">
        <v>221</v>
      </c>
      <c r="R1202">
        <v>359</v>
      </c>
    </row>
    <row r="1203" spans="1:18" hidden="1" x14ac:dyDescent="0.2">
      <c r="A1203">
        <v>3</v>
      </c>
      <c r="B1203" t="s">
        <v>87</v>
      </c>
      <c r="E1203" t="s">
        <v>19</v>
      </c>
      <c r="F1203">
        <v>1582443</v>
      </c>
      <c r="G1203">
        <v>2</v>
      </c>
      <c r="H1203">
        <v>3</v>
      </c>
      <c r="I1203">
        <v>397</v>
      </c>
      <c r="J1203">
        <v>1974</v>
      </c>
      <c r="K1203" s="4">
        <v>44792</v>
      </c>
      <c r="L1203" t="s">
        <v>30</v>
      </c>
      <c r="M1203" t="s">
        <v>82</v>
      </c>
      <c r="N1203">
        <v>2.8</v>
      </c>
      <c r="O1203">
        <v>1447</v>
      </c>
      <c r="P1203">
        <v>1.21</v>
      </c>
      <c r="Q1203">
        <v>76</v>
      </c>
      <c r="R1203">
        <v>368</v>
      </c>
    </row>
    <row r="1204" spans="1:18" hidden="1" x14ac:dyDescent="0.2">
      <c r="A1204">
        <v>1</v>
      </c>
      <c r="B1204" t="s">
        <v>93</v>
      </c>
      <c r="E1204" t="s">
        <v>19</v>
      </c>
      <c r="F1204">
        <v>1417076</v>
      </c>
      <c r="G1204">
        <v>1</v>
      </c>
      <c r="H1204">
        <v>2</v>
      </c>
      <c r="I1204">
        <v>780</v>
      </c>
      <c r="J1204">
        <v>1951</v>
      </c>
      <c r="K1204" s="4">
        <v>44972</v>
      </c>
      <c r="L1204" t="s">
        <v>30</v>
      </c>
      <c r="M1204" t="s">
        <v>31</v>
      </c>
      <c r="N1204">
        <v>2.2799999999999998</v>
      </c>
      <c r="O1204">
        <v>1464</v>
      </c>
      <c r="P1204">
        <v>0.56999999999999995</v>
      </c>
      <c r="Q1204">
        <v>137</v>
      </c>
      <c r="R1204">
        <v>506</v>
      </c>
    </row>
    <row r="1205" spans="1:18" hidden="1" x14ac:dyDescent="0.2">
      <c r="A1205">
        <v>3</v>
      </c>
      <c r="B1205" t="s">
        <v>84</v>
      </c>
      <c r="E1205" t="s">
        <v>51</v>
      </c>
      <c r="F1205">
        <v>737540</v>
      </c>
      <c r="G1205">
        <v>4</v>
      </c>
      <c r="H1205">
        <v>3</v>
      </c>
      <c r="I1205">
        <v>655</v>
      </c>
      <c r="J1205">
        <v>1974</v>
      </c>
      <c r="K1205" s="4">
        <v>45786</v>
      </c>
      <c r="L1205" t="s">
        <v>23</v>
      </c>
      <c r="M1205" t="s">
        <v>45</v>
      </c>
      <c r="N1205">
        <v>2.71</v>
      </c>
      <c r="O1205">
        <v>1750</v>
      </c>
      <c r="P1205">
        <v>2.4</v>
      </c>
      <c r="Q1205">
        <v>276</v>
      </c>
      <c r="R1205">
        <v>477</v>
      </c>
    </row>
    <row r="1206" spans="1:18" hidden="1" x14ac:dyDescent="0.2">
      <c r="A1206">
        <v>0</v>
      </c>
      <c r="B1206" t="s">
        <v>39</v>
      </c>
      <c r="E1206" t="s">
        <v>19</v>
      </c>
      <c r="F1206">
        <v>1408807</v>
      </c>
      <c r="G1206">
        <v>0</v>
      </c>
      <c r="H1206">
        <v>2</v>
      </c>
      <c r="I1206">
        <v>554</v>
      </c>
      <c r="J1206">
        <v>1968</v>
      </c>
      <c r="K1206" s="4">
        <v>45485</v>
      </c>
      <c r="L1206" t="s">
        <v>20</v>
      </c>
      <c r="M1206" t="s">
        <v>74</v>
      </c>
      <c r="N1206">
        <v>3.36</v>
      </c>
      <c r="O1206">
        <v>1843</v>
      </c>
      <c r="P1206">
        <v>2.97</v>
      </c>
      <c r="Q1206">
        <v>74</v>
      </c>
      <c r="R1206">
        <v>448</v>
      </c>
    </row>
    <row r="1207" spans="1:18" hidden="1" x14ac:dyDescent="0.2">
      <c r="A1207">
        <v>9</v>
      </c>
      <c r="B1207" t="s">
        <v>99</v>
      </c>
      <c r="E1207" t="s">
        <v>19</v>
      </c>
      <c r="F1207">
        <v>1036240</v>
      </c>
      <c r="G1207">
        <v>3</v>
      </c>
      <c r="H1207">
        <v>3</v>
      </c>
      <c r="I1207">
        <v>664</v>
      </c>
      <c r="J1207">
        <v>1997</v>
      </c>
      <c r="K1207" s="4">
        <v>45384</v>
      </c>
      <c r="L1207" t="s">
        <v>20</v>
      </c>
      <c r="M1207" t="s">
        <v>37</v>
      </c>
      <c r="N1207">
        <v>2.87</v>
      </c>
      <c r="O1207">
        <v>2098</v>
      </c>
      <c r="P1207">
        <v>3.83</v>
      </c>
      <c r="Q1207">
        <v>84</v>
      </c>
      <c r="R1207">
        <v>429</v>
      </c>
    </row>
    <row r="1208" spans="1:18" hidden="1" x14ac:dyDescent="0.2">
      <c r="A1208">
        <v>4</v>
      </c>
      <c r="B1208" t="s">
        <v>39</v>
      </c>
      <c r="E1208" t="s">
        <v>19</v>
      </c>
      <c r="F1208">
        <v>2027528</v>
      </c>
      <c r="G1208">
        <v>3</v>
      </c>
      <c r="H1208">
        <v>3</v>
      </c>
      <c r="I1208">
        <v>461</v>
      </c>
      <c r="J1208">
        <v>1958</v>
      </c>
      <c r="K1208" s="4">
        <v>45184</v>
      </c>
      <c r="L1208" t="s">
        <v>20</v>
      </c>
      <c r="M1208" t="s">
        <v>33</v>
      </c>
      <c r="N1208">
        <v>3.15</v>
      </c>
      <c r="O1208">
        <v>1227</v>
      </c>
      <c r="P1208">
        <v>2.0099999999999998</v>
      </c>
      <c r="Q1208">
        <v>108</v>
      </c>
      <c r="R1208">
        <v>304</v>
      </c>
    </row>
    <row r="1209" spans="1:18" hidden="1" x14ac:dyDescent="0.2">
      <c r="A1209">
        <v>1</v>
      </c>
      <c r="B1209" t="s">
        <v>95</v>
      </c>
      <c r="E1209" t="s">
        <v>36</v>
      </c>
      <c r="F1209">
        <v>2496866</v>
      </c>
      <c r="G1209">
        <v>1</v>
      </c>
      <c r="H1209">
        <v>3</v>
      </c>
      <c r="I1209">
        <v>80</v>
      </c>
      <c r="J1209">
        <v>1957</v>
      </c>
      <c r="K1209" s="4">
        <v>45084</v>
      </c>
      <c r="L1209" t="s">
        <v>23</v>
      </c>
      <c r="M1209" t="s">
        <v>70</v>
      </c>
      <c r="N1209">
        <v>1.57</v>
      </c>
      <c r="O1209">
        <v>1057</v>
      </c>
      <c r="P1209">
        <v>0.63</v>
      </c>
      <c r="Q1209">
        <v>149</v>
      </c>
      <c r="R1209">
        <v>482</v>
      </c>
    </row>
    <row r="1210" spans="1:18" hidden="1" x14ac:dyDescent="0.2">
      <c r="A1210">
        <v>9</v>
      </c>
      <c r="B1210" t="s">
        <v>44</v>
      </c>
      <c r="E1210" t="s">
        <v>36</v>
      </c>
      <c r="F1210">
        <v>1916647</v>
      </c>
      <c r="G1210">
        <v>3</v>
      </c>
      <c r="H1210">
        <v>1</v>
      </c>
      <c r="I1210">
        <v>136</v>
      </c>
      <c r="J1210">
        <v>1969</v>
      </c>
      <c r="K1210" s="4">
        <v>45461</v>
      </c>
      <c r="L1210" t="s">
        <v>26</v>
      </c>
      <c r="M1210" t="s">
        <v>70</v>
      </c>
      <c r="N1210">
        <v>1.81</v>
      </c>
      <c r="O1210">
        <v>1585</v>
      </c>
      <c r="P1210">
        <v>4.1399999999999997</v>
      </c>
      <c r="Q1210">
        <v>320</v>
      </c>
      <c r="R1210">
        <v>401</v>
      </c>
    </row>
    <row r="1211" spans="1:18" hidden="1" x14ac:dyDescent="0.2">
      <c r="A1211">
        <v>9</v>
      </c>
      <c r="B1211" t="s">
        <v>64</v>
      </c>
      <c r="E1211" t="s">
        <v>29</v>
      </c>
      <c r="F1211">
        <v>594294</v>
      </c>
      <c r="G1211">
        <v>2</v>
      </c>
      <c r="H1211">
        <v>1</v>
      </c>
      <c r="I1211">
        <v>609</v>
      </c>
      <c r="J1211">
        <v>2010</v>
      </c>
      <c r="K1211" s="4">
        <v>44971</v>
      </c>
      <c r="L1211" t="s">
        <v>20</v>
      </c>
      <c r="M1211" t="s">
        <v>27</v>
      </c>
      <c r="N1211">
        <v>3.12</v>
      </c>
      <c r="O1211">
        <v>2004</v>
      </c>
      <c r="P1211">
        <v>3.99</v>
      </c>
      <c r="Q1211">
        <v>47</v>
      </c>
      <c r="R1211">
        <v>539</v>
      </c>
    </row>
    <row r="1212" spans="1:18" x14ac:dyDescent="0.2">
      <c r="A1212">
        <v>8</v>
      </c>
      <c r="B1212" t="s">
        <v>71</v>
      </c>
      <c r="C1212" t="str">
        <f>VLOOKUP(B1212, 'Council Area'!$A$2:$B$51, 2)</f>
        <v>Hornsby Shire Council</v>
      </c>
      <c r="D1212" t="str">
        <f>_xlfn.XLOOKUP(B1212, 'Council Area'!$A$2:$A$51, 'Council Area'!$B$2:$B$51)</f>
        <v>Hornsby Shire Council</v>
      </c>
      <c r="E1212" t="s">
        <v>36</v>
      </c>
      <c r="F1212">
        <v>1879180</v>
      </c>
      <c r="G1212">
        <v>0</v>
      </c>
      <c r="H1212">
        <v>2</v>
      </c>
      <c r="I1212">
        <v>837</v>
      </c>
      <c r="J1212">
        <v>1977</v>
      </c>
      <c r="K1212" s="4">
        <v>45126</v>
      </c>
      <c r="L1212" t="s">
        <v>30</v>
      </c>
      <c r="M1212" t="s">
        <v>42</v>
      </c>
      <c r="N1212">
        <v>2.44</v>
      </c>
      <c r="O1212">
        <v>1492</v>
      </c>
      <c r="P1212">
        <v>3.62</v>
      </c>
      <c r="Q1212">
        <v>59</v>
      </c>
      <c r="R1212">
        <v>527</v>
      </c>
    </row>
    <row r="1213" spans="1:18" hidden="1" x14ac:dyDescent="0.2">
      <c r="A1213">
        <v>5</v>
      </c>
      <c r="B1213" t="s">
        <v>86</v>
      </c>
      <c r="E1213" t="s">
        <v>29</v>
      </c>
      <c r="F1213">
        <v>1357089</v>
      </c>
      <c r="G1213">
        <v>1</v>
      </c>
      <c r="H1213">
        <v>3</v>
      </c>
      <c r="I1213">
        <v>95</v>
      </c>
      <c r="J1213">
        <v>1986</v>
      </c>
      <c r="K1213" s="4">
        <v>44251</v>
      </c>
      <c r="L1213" t="s">
        <v>23</v>
      </c>
      <c r="M1213" t="s">
        <v>54</v>
      </c>
      <c r="N1213">
        <v>3.21</v>
      </c>
      <c r="O1213">
        <v>1062</v>
      </c>
      <c r="P1213">
        <v>1.26</v>
      </c>
      <c r="Q1213">
        <v>140</v>
      </c>
      <c r="R1213">
        <v>468</v>
      </c>
    </row>
    <row r="1214" spans="1:18" hidden="1" x14ac:dyDescent="0.2">
      <c r="A1214">
        <v>4</v>
      </c>
      <c r="B1214" t="s">
        <v>80</v>
      </c>
      <c r="E1214" t="s">
        <v>29</v>
      </c>
      <c r="F1214">
        <v>1328582</v>
      </c>
      <c r="G1214">
        <v>3</v>
      </c>
      <c r="H1214">
        <v>2</v>
      </c>
      <c r="I1214">
        <v>633</v>
      </c>
      <c r="J1214">
        <v>2017</v>
      </c>
      <c r="K1214" s="4">
        <v>44154</v>
      </c>
      <c r="L1214" t="s">
        <v>20</v>
      </c>
      <c r="M1214" t="s">
        <v>68</v>
      </c>
      <c r="N1214">
        <v>2.21</v>
      </c>
      <c r="O1214">
        <v>1592</v>
      </c>
      <c r="P1214">
        <v>0.64</v>
      </c>
      <c r="Q1214">
        <v>307</v>
      </c>
      <c r="R1214">
        <v>357</v>
      </c>
    </row>
    <row r="1215" spans="1:18" hidden="1" x14ac:dyDescent="0.2">
      <c r="A1215">
        <v>1</v>
      </c>
      <c r="B1215" t="s">
        <v>48</v>
      </c>
      <c r="E1215" t="s">
        <v>19</v>
      </c>
      <c r="F1215">
        <v>2207204</v>
      </c>
      <c r="G1215">
        <v>2</v>
      </c>
      <c r="H1215">
        <v>3</v>
      </c>
      <c r="I1215">
        <v>183</v>
      </c>
      <c r="J1215">
        <v>2013</v>
      </c>
      <c r="K1215" s="4">
        <v>44958</v>
      </c>
      <c r="L1215" t="s">
        <v>30</v>
      </c>
      <c r="M1215" t="s">
        <v>52</v>
      </c>
      <c r="N1215">
        <v>3.21</v>
      </c>
      <c r="O1215">
        <v>2262</v>
      </c>
      <c r="P1215">
        <v>1.38</v>
      </c>
      <c r="Q1215">
        <v>65</v>
      </c>
      <c r="R1215">
        <v>537</v>
      </c>
    </row>
    <row r="1216" spans="1:18" hidden="1" x14ac:dyDescent="0.2">
      <c r="A1216">
        <v>0</v>
      </c>
      <c r="B1216" t="s">
        <v>61</v>
      </c>
      <c r="E1216" t="s">
        <v>19</v>
      </c>
      <c r="F1216">
        <v>1601208</v>
      </c>
      <c r="G1216">
        <v>3</v>
      </c>
      <c r="H1216">
        <v>1</v>
      </c>
      <c r="I1216">
        <v>884</v>
      </c>
      <c r="J1216">
        <v>1985</v>
      </c>
      <c r="K1216" s="4">
        <v>44297</v>
      </c>
      <c r="L1216" t="s">
        <v>26</v>
      </c>
      <c r="M1216" t="s">
        <v>24</v>
      </c>
      <c r="N1216">
        <v>2.4</v>
      </c>
      <c r="O1216">
        <v>1895</v>
      </c>
      <c r="P1216">
        <v>1.7</v>
      </c>
      <c r="Q1216">
        <v>166</v>
      </c>
      <c r="R1216">
        <v>308</v>
      </c>
    </row>
    <row r="1217" spans="1:18" hidden="1" x14ac:dyDescent="0.2">
      <c r="A1217">
        <v>6</v>
      </c>
      <c r="B1217" t="s">
        <v>39</v>
      </c>
      <c r="E1217" t="s">
        <v>36</v>
      </c>
      <c r="F1217">
        <v>1848135</v>
      </c>
      <c r="G1217">
        <v>5</v>
      </c>
      <c r="H1217">
        <v>2</v>
      </c>
      <c r="I1217">
        <v>558</v>
      </c>
      <c r="J1217">
        <v>1959</v>
      </c>
      <c r="K1217" s="4">
        <v>45725</v>
      </c>
      <c r="L1217" t="s">
        <v>23</v>
      </c>
      <c r="M1217" t="s">
        <v>63</v>
      </c>
      <c r="N1217">
        <v>2.54</v>
      </c>
      <c r="O1217">
        <v>1345</v>
      </c>
      <c r="P1217">
        <v>4.3899999999999997</v>
      </c>
      <c r="Q1217">
        <v>361</v>
      </c>
      <c r="R1217">
        <v>333</v>
      </c>
    </row>
    <row r="1218" spans="1:18" hidden="1" x14ac:dyDescent="0.2">
      <c r="A1218">
        <v>0</v>
      </c>
      <c r="B1218" t="s">
        <v>38</v>
      </c>
      <c r="E1218" t="s">
        <v>19</v>
      </c>
      <c r="F1218">
        <v>411154</v>
      </c>
      <c r="G1218">
        <v>2</v>
      </c>
      <c r="H1218">
        <v>1</v>
      </c>
      <c r="I1218">
        <v>966</v>
      </c>
      <c r="J1218">
        <v>1980</v>
      </c>
      <c r="K1218" s="4">
        <v>44201</v>
      </c>
      <c r="L1218" t="s">
        <v>30</v>
      </c>
      <c r="M1218" t="s">
        <v>24</v>
      </c>
      <c r="N1218">
        <v>2.1</v>
      </c>
      <c r="O1218">
        <v>2482</v>
      </c>
      <c r="P1218">
        <v>1.1299999999999999</v>
      </c>
      <c r="Q1218">
        <v>145</v>
      </c>
      <c r="R1218">
        <v>520</v>
      </c>
    </row>
    <row r="1219" spans="1:18" x14ac:dyDescent="0.2">
      <c r="A1219">
        <v>8</v>
      </c>
      <c r="B1219" t="s">
        <v>73</v>
      </c>
      <c r="C1219" t="str">
        <f>VLOOKUP(B1219, 'Council Area'!$A$2:$B$51, 2)</f>
        <v>Ku-ring-gai Council</v>
      </c>
      <c r="D1219" t="str">
        <f>_xlfn.XLOOKUP(B1219, 'Council Area'!$A$2:$A$51, 'Council Area'!$B$2:$B$51)</f>
        <v>Ku-ring-gai Council</v>
      </c>
      <c r="E1219" t="s">
        <v>29</v>
      </c>
      <c r="F1219">
        <v>455574</v>
      </c>
      <c r="G1219">
        <v>1</v>
      </c>
      <c r="H1219">
        <v>1</v>
      </c>
      <c r="I1219">
        <v>425</v>
      </c>
      <c r="J1219">
        <v>1966</v>
      </c>
      <c r="K1219" s="4">
        <v>45662</v>
      </c>
      <c r="L1219" t="s">
        <v>30</v>
      </c>
      <c r="M1219" t="s">
        <v>54</v>
      </c>
      <c r="N1219">
        <v>2.44</v>
      </c>
      <c r="O1219">
        <v>1856</v>
      </c>
      <c r="P1219">
        <v>2.48</v>
      </c>
      <c r="Q1219">
        <v>140</v>
      </c>
      <c r="R1219">
        <v>554</v>
      </c>
    </row>
    <row r="1220" spans="1:18" hidden="1" x14ac:dyDescent="0.2">
      <c r="A1220">
        <v>4</v>
      </c>
      <c r="B1220" t="s">
        <v>87</v>
      </c>
      <c r="E1220" t="s">
        <v>36</v>
      </c>
      <c r="F1220">
        <v>2922160</v>
      </c>
      <c r="G1220">
        <v>4</v>
      </c>
      <c r="H1220">
        <v>2</v>
      </c>
      <c r="I1220">
        <v>828</v>
      </c>
      <c r="J1220">
        <v>1978</v>
      </c>
      <c r="K1220" s="4">
        <v>45004</v>
      </c>
      <c r="L1220" t="s">
        <v>23</v>
      </c>
      <c r="M1220" t="s">
        <v>33</v>
      </c>
      <c r="N1220">
        <v>3.28</v>
      </c>
      <c r="O1220">
        <v>1951</v>
      </c>
      <c r="P1220">
        <v>4.6500000000000004</v>
      </c>
      <c r="Q1220">
        <v>225</v>
      </c>
      <c r="R1220">
        <v>531</v>
      </c>
    </row>
    <row r="1221" spans="1:18" hidden="1" x14ac:dyDescent="0.2">
      <c r="A1221">
        <v>6</v>
      </c>
      <c r="B1221" t="s">
        <v>91</v>
      </c>
      <c r="E1221" t="s">
        <v>51</v>
      </c>
      <c r="F1221">
        <v>1533057</v>
      </c>
      <c r="G1221">
        <v>5</v>
      </c>
      <c r="H1221">
        <v>3</v>
      </c>
      <c r="I1221">
        <v>683</v>
      </c>
      <c r="J1221">
        <v>1992</v>
      </c>
      <c r="K1221" s="4">
        <v>44249</v>
      </c>
      <c r="L1221" t="s">
        <v>20</v>
      </c>
      <c r="M1221" t="s">
        <v>77</v>
      </c>
      <c r="N1221">
        <v>1.55</v>
      </c>
      <c r="O1221">
        <v>2349</v>
      </c>
      <c r="P1221">
        <v>4.91</v>
      </c>
      <c r="Q1221">
        <v>342</v>
      </c>
      <c r="R1221">
        <v>626</v>
      </c>
    </row>
    <row r="1222" spans="1:18" x14ac:dyDescent="0.2">
      <c r="A1222">
        <v>8</v>
      </c>
      <c r="B1222" t="s">
        <v>92</v>
      </c>
      <c r="C1222" t="str">
        <f>VLOOKUP(B1222, 'Council Area'!$A$2:$B$51, 2)</f>
        <v>Randwick City Council</v>
      </c>
      <c r="D1222" t="str">
        <f>_xlfn.XLOOKUP(B1222, 'Council Area'!$A$2:$A$51, 'Council Area'!$B$2:$B$51)</f>
        <v>Randwick City Council</v>
      </c>
      <c r="E1222" t="s">
        <v>36</v>
      </c>
      <c r="F1222">
        <v>1217885</v>
      </c>
      <c r="G1222">
        <v>2</v>
      </c>
      <c r="H1222">
        <v>1</v>
      </c>
      <c r="I1222">
        <v>314</v>
      </c>
      <c r="J1222">
        <v>1962</v>
      </c>
      <c r="K1222" s="4">
        <v>44081</v>
      </c>
      <c r="L1222" t="s">
        <v>30</v>
      </c>
      <c r="M1222" t="s">
        <v>60</v>
      </c>
      <c r="N1222">
        <v>1.5</v>
      </c>
      <c r="O1222">
        <v>1574</v>
      </c>
      <c r="P1222">
        <v>3.36</v>
      </c>
      <c r="Q1222">
        <v>141</v>
      </c>
      <c r="R1222">
        <v>652</v>
      </c>
    </row>
    <row r="1223" spans="1:18" hidden="1" x14ac:dyDescent="0.2">
      <c r="A1223">
        <v>0</v>
      </c>
      <c r="B1223" t="s">
        <v>61</v>
      </c>
      <c r="E1223" t="s">
        <v>51</v>
      </c>
      <c r="F1223">
        <v>1443992</v>
      </c>
      <c r="G1223">
        <v>2</v>
      </c>
      <c r="H1223">
        <v>1</v>
      </c>
      <c r="I1223">
        <v>520</v>
      </c>
      <c r="J1223">
        <v>1997</v>
      </c>
      <c r="K1223" s="4">
        <v>45229</v>
      </c>
      <c r="L1223" t="s">
        <v>30</v>
      </c>
      <c r="M1223" t="s">
        <v>45</v>
      </c>
      <c r="N1223">
        <v>3.26</v>
      </c>
      <c r="O1223">
        <v>1518</v>
      </c>
      <c r="P1223">
        <v>1.23</v>
      </c>
      <c r="Q1223">
        <v>105</v>
      </c>
      <c r="R1223">
        <v>347</v>
      </c>
    </row>
    <row r="1224" spans="1:18" hidden="1" x14ac:dyDescent="0.2">
      <c r="A1224">
        <v>1</v>
      </c>
      <c r="B1224" t="s">
        <v>105</v>
      </c>
      <c r="E1224" t="s">
        <v>51</v>
      </c>
      <c r="F1224">
        <v>1743452</v>
      </c>
      <c r="G1224">
        <v>6</v>
      </c>
      <c r="H1224">
        <v>2</v>
      </c>
      <c r="I1224">
        <v>498</v>
      </c>
      <c r="J1224">
        <v>1989</v>
      </c>
      <c r="K1224" s="4">
        <v>44715</v>
      </c>
      <c r="L1224" t="s">
        <v>26</v>
      </c>
      <c r="M1224" t="s">
        <v>37</v>
      </c>
      <c r="N1224">
        <v>1.54</v>
      </c>
      <c r="O1224">
        <v>1212</v>
      </c>
      <c r="P1224">
        <v>0.69</v>
      </c>
      <c r="Q1224">
        <v>362</v>
      </c>
      <c r="R1224">
        <v>584</v>
      </c>
    </row>
    <row r="1225" spans="1:18" hidden="1" x14ac:dyDescent="0.2">
      <c r="A1225">
        <v>6</v>
      </c>
      <c r="B1225" t="s">
        <v>44</v>
      </c>
      <c r="E1225" t="s">
        <v>29</v>
      </c>
      <c r="F1225">
        <v>2810778</v>
      </c>
      <c r="G1225">
        <v>4</v>
      </c>
      <c r="H1225">
        <v>3</v>
      </c>
      <c r="I1225">
        <v>693</v>
      </c>
      <c r="J1225">
        <v>1970</v>
      </c>
      <c r="K1225" s="4">
        <v>44824</v>
      </c>
      <c r="L1225" t="s">
        <v>20</v>
      </c>
      <c r="M1225" t="s">
        <v>31</v>
      </c>
      <c r="N1225">
        <v>1.83</v>
      </c>
      <c r="O1225">
        <v>1894</v>
      </c>
      <c r="P1225">
        <v>0.21</v>
      </c>
      <c r="Q1225">
        <v>361</v>
      </c>
      <c r="R1225">
        <v>448</v>
      </c>
    </row>
    <row r="1226" spans="1:18" x14ac:dyDescent="0.2">
      <c r="A1226">
        <v>8</v>
      </c>
      <c r="B1226" t="s">
        <v>57</v>
      </c>
      <c r="C1226" t="str">
        <f>VLOOKUP(B1226, 'Council Area'!$A$2:$B$51, 2)</f>
        <v>Blacktown City Council</v>
      </c>
      <c r="D1226" t="str">
        <f>_xlfn.XLOOKUP(B1226, 'Council Area'!$A$2:$A$51, 'Council Area'!$B$2:$B$51)</f>
        <v>Blacktown City Council</v>
      </c>
      <c r="E1226" t="s">
        <v>19</v>
      </c>
      <c r="F1226">
        <v>821330</v>
      </c>
      <c r="G1226">
        <v>2</v>
      </c>
      <c r="H1226">
        <v>2</v>
      </c>
      <c r="I1226">
        <v>847</v>
      </c>
      <c r="J1226">
        <v>2010</v>
      </c>
      <c r="K1226" s="4">
        <v>44828</v>
      </c>
      <c r="L1226" t="s">
        <v>30</v>
      </c>
      <c r="M1226" t="s">
        <v>78</v>
      </c>
      <c r="N1226">
        <v>2.37</v>
      </c>
      <c r="O1226">
        <v>978</v>
      </c>
      <c r="P1226">
        <v>1.8</v>
      </c>
      <c r="Q1226">
        <v>123</v>
      </c>
      <c r="R1226">
        <v>385</v>
      </c>
    </row>
    <row r="1227" spans="1:18" hidden="1" x14ac:dyDescent="0.2">
      <c r="A1227">
        <v>7</v>
      </c>
      <c r="B1227" t="s">
        <v>50</v>
      </c>
      <c r="E1227" t="s">
        <v>19</v>
      </c>
      <c r="F1227">
        <v>485136</v>
      </c>
      <c r="G1227">
        <v>4</v>
      </c>
      <c r="H1227">
        <v>2</v>
      </c>
      <c r="I1227">
        <v>162</v>
      </c>
      <c r="J1227">
        <v>1952</v>
      </c>
      <c r="K1227" s="4">
        <v>44533</v>
      </c>
      <c r="L1227" t="s">
        <v>23</v>
      </c>
      <c r="M1227" t="s">
        <v>78</v>
      </c>
      <c r="N1227">
        <v>3.34</v>
      </c>
      <c r="O1227">
        <v>1682</v>
      </c>
      <c r="P1227">
        <v>1.97</v>
      </c>
      <c r="Q1227">
        <v>303</v>
      </c>
      <c r="R1227">
        <v>308</v>
      </c>
    </row>
    <row r="1228" spans="1:18" hidden="1" x14ac:dyDescent="0.2">
      <c r="A1228">
        <v>6</v>
      </c>
      <c r="B1228" t="s">
        <v>81</v>
      </c>
      <c r="E1228" t="s">
        <v>51</v>
      </c>
      <c r="F1228">
        <v>1710940</v>
      </c>
      <c r="G1228">
        <v>6</v>
      </c>
      <c r="H1228">
        <v>1</v>
      </c>
      <c r="I1228">
        <v>60</v>
      </c>
      <c r="J1228">
        <v>1967</v>
      </c>
      <c r="K1228" s="4">
        <v>44941</v>
      </c>
      <c r="L1228" t="s">
        <v>26</v>
      </c>
      <c r="M1228" t="s">
        <v>82</v>
      </c>
      <c r="N1228">
        <v>2.15</v>
      </c>
      <c r="O1228">
        <v>2018</v>
      </c>
      <c r="P1228">
        <v>2.81</v>
      </c>
      <c r="Q1228">
        <v>321</v>
      </c>
      <c r="R1228">
        <v>579</v>
      </c>
    </row>
    <row r="1229" spans="1:18" hidden="1" x14ac:dyDescent="0.2">
      <c r="A1229">
        <v>9</v>
      </c>
      <c r="B1229" t="s">
        <v>65</v>
      </c>
      <c r="E1229" t="s">
        <v>36</v>
      </c>
      <c r="F1229">
        <v>1460595</v>
      </c>
      <c r="G1229">
        <v>2</v>
      </c>
      <c r="H1229">
        <v>1</v>
      </c>
      <c r="I1229">
        <v>631</v>
      </c>
      <c r="J1229">
        <v>1994</v>
      </c>
      <c r="K1229" s="4">
        <v>44105</v>
      </c>
      <c r="L1229" t="s">
        <v>23</v>
      </c>
      <c r="M1229" t="s">
        <v>66</v>
      </c>
      <c r="N1229">
        <v>2.04</v>
      </c>
      <c r="O1229">
        <v>2460</v>
      </c>
      <c r="P1229">
        <v>3.82</v>
      </c>
      <c r="Q1229">
        <v>216</v>
      </c>
      <c r="R1229">
        <v>567</v>
      </c>
    </row>
    <row r="1230" spans="1:18" hidden="1" x14ac:dyDescent="0.2">
      <c r="A1230">
        <v>6</v>
      </c>
      <c r="B1230" t="s">
        <v>72</v>
      </c>
      <c r="E1230" t="s">
        <v>29</v>
      </c>
      <c r="F1230">
        <v>835152</v>
      </c>
      <c r="G1230">
        <v>2</v>
      </c>
      <c r="H1230">
        <v>1</v>
      </c>
      <c r="I1230">
        <v>318</v>
      </c>
      <c r="J1230">
        <v>2008</v>
      </c>
      <c r="K1230" s="4">
        <v>44280</v>
      </c>
      <c r="L1230" t="s">
        <v>26</v>
      </c>
      <c r="M1230" t="s">
        <v>77</v>
      </c>
      <c r="N1230">
        <v>3.07</v>
      </c>
      <c r="O1230">
        <v>1006</v>
      </c>
      <c r="P1230">
        <v>0.94</v>
      </c>
      <c r="Q1230">
        <v>132</v>
      </c>
      <c r="R1230">
        <v>551</v>
      </c>
    </row>
    <row r="1231" spans="1:18" hidden="1" x14ac:dyDescent="0.2">
      <c r="A1231">
        <v>4</v>
      </c>
      <c r="B1231" t="s">
        <v>101</v>
      </c>
      <c r="E1231" t="s">
        <v>36</v>
      </c>
      <c r="F1231">
        <v>2112842</v>
      </c>
      <c r="G1231">
        <v>2</v>
      </c>
      <c r="H1231">
        <v>2</v>
      </c>
      <c r="I1231">
        <v>358</v>
      </c>
      <c r="J1231">
        <v>1995</v>
      </c>
      <c r="K1231" s="4">
        <v>44591</v>
      </c>
      <c r="L1231" t="s">
        <v>20</v>
      </c>
      <c r="M1231" t="s">
        <v>21</v>
      </c>
      <c r="N1231">
        <v>2.15</v>
      </c>
      <c r="O1231">
        <v>1186</v>
      </c>
      <c r="P1231">
        <v>1.92</v>
      </c>
      <c r="Q1231">
        <v>105</v>
      </c>
      <c r="R1231">
        <v>437</v>
      </c>
    </row>
    <row r="1232" spans="1:18" hidden="1" x14ac:dyDescent="0.2">
      <c r="A1232">
        <v>2</v>
      </c>
      <c r="B1232" t="s">
        <v>81</v>
      </c>
      <c r="E1232" t="s">
        <v>29</v>
      </c>
      <c r="F1232">
        <v>1325718</v>
      </c>
      <c r="G1232">
        <v>4</v>
      </c>
      <c r="H1232">
        <v>1</v>
      </c>
      <c r="I1232">
        <v>744</v>
      </c>
      <c r="J1232">
        <v>2007</v>
      </c>
      <c r="K1232" s="4">
        <v>44688</v>
      </c>
      <c r="L1232" t="s">
        <v>20</v>
      </c>
      <c r="M1232" t="s">
        <v>40</v>
      </c>
      <c r="N1232">
        <v>1.8</v>
      </c>
      <c r="O1232">
        <v>879</v>
      </c>
      <c r="P1232">
        <v>3.14</v>
      </c>
      <c r="Q1232">
        <v>375</v>
      </c>
      <c r="R1232">
        <v>628</v>
      </c>
    </row>
    <row r="1233" spans="1:18" x14ac:dyDescent="0.2">
      <c r="A1233">
        <v>8</v>
      </c>
      <c r="B1233" t="s">
        <v>44</v>
      </c>
      <c r="C1233" t="str">
        <f>VLOOKUP(B1233, 'Council Area'!$A$2:$B$51, 2)</f>
        <v>Inner West Council</v>
      </c>
      <c r="D1233" t="str">
        <f>_xlfn.XLOOKUP(B1233, 'Council Area'!$A$2:$A$51, 'Council Area'!$B$2:$B$51)</f>
        <v>Inner West Council</v>
      </c>
      <c r="E1233" t="s">
        <v>29</v>
      </c>
      <c r="F1233">
        <v>1612427</v>
      </c>
      <c r="G1233">
        <v>5</v>
      </c>
      <c r="H1233">
        <v>2</v>
      </c>
      <c r="I1233">
        <v>712</v>
      </c>
      <c r="J1233">
        <v>1958</v>
      </c>
      <c r="K1233" s="4">
        <v>44373</v>
      </c>
      <c r="L1233" t="s">
        <v>20</v>
      </c>
      <c r="M1233" t="s">
        <v>85</v>
      </c>
      <c r="N1233">
        <v>1.72</v>
      </c>
      <c r="O1233">
        <v>2398</v>
      </c>
      <c r="P1233">
        <v>0.87</v>
      </c>
      <c r="Q1233">
        <v>333</v>
      </c>
      <c r="R1233">
        <v>303</v>
      </c>
    </row>
    <row r="1234" spans="1:18" hidden="1" x14ac:dyDescent="0.2">
      <c r="A1234">
        <v>2</v>
      </c>
      <c r="B1234" t="s">
        <v>55</v>
      </c>
      <c r="E1234" t="s">
        <v>19</v>
      </c>
      <c r="F1234">
        <v>2170843</v>
      </c>
      <c r="G1234">
        <v>2</v>
      </c>
      <c r="H1234">
        <v>1</v>
      </c>
      <c r="I1234">
        <v>842</v>
      </c>
      <c r="J1234">
        <v>1959</v>
      </c>
      <c r="K1234" s="4">
        <v>45334</v>
      </c>
      <c r="L1234" t="s">
        <v>30</v>
      </c>
      <c r="M1234" t="s">
        <v>74</v>
      </c>
      <c r="N1234">
        <v>3.18</v>
      </c>
      <c r="O1234">
        <v>2408</v>
      </c>
      <c r="P1234">
        <v>4.2300000000000004</v>
      </c>
      <c r="Q1234">
        <v>237</v>
      </c>
      <c r="R1234">
        <v>405</v>
      </c>
    </row>
    <row r="1235" spans="1:18" hidden="1" x14ac:dyDescent="0.2">
      <c r="A1235">
        <v>0</v>
      </c>
      <c r="B1235" t="s">
        <v>64</v>
      </c>
      <c r="E1235" t="s">
        <v>19</v>
      </c>
      <c r="F1235">
        <v>2863832</v>
      </c>
      <c r="G1235">
        <v>5</v>
      </c>
      <c r="H1235">
        <v>3</v>
      </c>
      <c r="I1235">
        <v>457</v>
      </c>
      <c r="J1235">
        <v>2013</v>
      </c>
      <c r="K1235" s="4">
        <v>45112</v>
      </c>
      <c r="L1235" t="s">
        <v>26</v>
      </c>
      <c r="M1235" t="s">
        <v>24</v>
      </c>
      <c r="N1235">
        <v>3.42</v>
      </c>
      <c r="O1235">
        <v>1156</v>
      </c>
      <c r="P1235">
        <v>0.69</v>
      </c>
      <c r="Q1235">
        <v>345</v>
      </c>
      <c r="R1235">
        <v>366</v>
      </c>
    </row>
    <row r="1236" spans="1:18" hidden="1" x14ac:dyDescent="0.2">
      <c r="A1236">
        <v>3</v>
      </c>
      <c r="B1236" t="s">
        <v>100</v>
      </c>
      <c r="E1236" t="s">
        <v>29</v>
      </c>
      <c r="F1236">
        <v>2325668</v>
      </c>
      <c r="G1236">
        <v>3</v>
      </c>
      <c r="H1236">
        <v>2</v>
      </c>
      <c r="I1236">
        <v>461</v>
      </c>
      <c r="J1236">
        <v>1965</v>
      </c>
      <c r="K1236" s="4">
        <v>44138</v>
      </c>
      <c r="L1236" t="s">
        <v>23</v>
      </c>
      <c r="M1236" t="s">
        <v>58</v>
      </c>
      <c r="N1236">
        <v>3.27</v>
      </c>
      <c r="O1236">
        <v>2255</v>
      </c>
      <c r="P1236">
        <v>0.66</v>
      </c>
      <c r="Q1236">
        <v>230</v>
      </c>
      <c r="R1236">
        <v>389</v>
      </c>
    </row>
    <row r="1237" spans="1:18" hidden="1" x14ac:dyDescent="0.2">
      <c r="A1237">
        <v>5</v>
      </c>
      <c r="B1237" t="s">
        <v>81</v>
      </c>
      <c r="E1237" t="s">
        <v>36</v>
      </c>
      <c r="F1237">
        <v>1818745</v>
      </c>
      <c r="G1237">
        <v>1</v>
      </c>
      <c r="H1237">
        <v>1</v>
      </c>
      <c r="I1237">
        <v>993</v>
      </c>
      <c r="J1237">
        <v>2006</v>
      </c>
      <c r="K1237" s="4">
        <v>44715</v>
      </c>
      <c r="L1237" t="s">
        <v>23</v>
      </c>
      <c r="M1237" t="s">
        <v>45</v>
      </c>
      <c r="N1237">
        <v>2.64</v>
      </c>
      <c r="O1237">
        <v>2193</v>
      </c>
      <c r="P1237">
        <v>3.86</v>
      </c>
      <c r="Q1237">
        <v>77</v>
      </c>
      <c r="R1237">
        <v>573</v>
      </c>
    </row>
    <row r="1238" spans="1:18" hidden="1" x14ac:dyDescent="0.2">
      <c r="A1238">
        <v>1</v>
      </c>
      <c r="B1238" t="s">
        <v>84</v>
      </c>
      <c r="E1238" t="s">
        <v>29</v>
      </c>
      <c r="F1238">
        <v>1950088</v>
      </c>
      <c r="G1238">
        <v>4</v>
      </c>
      <c r="H1238">
        <v>3</v>
      </c>
      <c r="I1238">
        <v>850</v>
      </c>
      <c r="J1238">
        <v>2012</v>
      </c>
      <c r="K1238" s="4">
        <v>45521</v>
      </c>
      <c r="L1238" t="s">
        <v>23</v>
      </c>
      <c r="M1238" t="s">
        <v>76</v>
      </c>
      <c r="N1238">
        <v>3.08</v>
      </c>
      <c r="O1238">
        <v>1689</v>
      </c>
      <c r="P1238">
        <v>2.21</v>
      </c>
      <c r="Q1238">
        <v>295</v>
      </c>
      <c r="R1238">
        <v>376</v>
      </c>
    </row>
    <row r="1239" spans="1:18" x14ac:dyDescent="0.2">
      <c r="A1239">
        <v>8</v>
      </c>
      <c r="B1239" t="s">
        <v>104</v>
      </c>
      <c r="C1239" t="str">
        <f>VLOOKUP(B1239, 'Council Area'!$A$2:$B$51, 2)</f>
        <v>Northern Beaches Council</v>
      </c>
      <c r="D1239" t="str">
        <f>_xlfn.XLOOKUP(B1239, 'Council Area'!$A$2:$A$51, 'Council Area'!$B$2:$B$51)</f>
        <v>Northern Beaches Council</v>
      </c>
      <c r="E1239" t="s">
        <v>51</v>
      </c>
      <c r="F1239">
        <v>2459040</v>
      </c>
      <c r="G1239">
        <v>4</v>
      </c>
      <c r="H1239">
        <v>1</v>
      </c>
      <c r="I1239">
        <v>733</v>
      </c>
      <c r="J1239">
        <v>1991</v>
      </c>
      <c r="K1239" s="4">
        <v>44914</v>
      </c>
      <c r="L1239" t="s">
        <v>23</v>
      </c>
      <c r="M1239" t="s">
        <v>21</v>
      </c>
      <c r="N1239">
        <v>1.93</v>
      </c>
      <c r="O1239">
        <v>1305</v>
      </c>
      <c r="P1239">
        <v>3.74</v>
      </c>
      <c r="Q1239">
        <v>252</v>
      </c>
      <c r="R1239">
        <v>318</v>
      </c>
    </row>
    <row r="1240" spans="1:18" hidden="1" x14ac:dyDescent="0.2">
      <c r="A1240">
        <v>6</v>
      </c>
      <c r="B1240" t="s">
        <v>99</v>
      </c>
      <c r="E1240" t="s">
        <v>29</v>
      </c>
      <c r="F1240">
        <v>899481</v>
      </c>
      <c r="G1240">
        <v>0</v>
      </c>
      <c r="H1240">
        <v>2</v>
      </c>
      <c r="I1240">
        <v>920</v>
      </c>
      <c r="J1240">
        <v>1992</v>
      </c>
      <c r="K1240" s="4">
        <v>44529</v>
      </c>
      <c r="L1240" t="s">
        <v>23</v>
      </c>
      <c r="M1240" t="s">
        <v>66</v>
      </c>
      <c r="N1240">
        <v>2.21</v>
      </c>
      <c r="O1240">
        <v>1442</v>
      </c>
      <c r="P1240">
        <v>4.8600000000000003</v>
      </c>
      <c r="Q1240">
        <v>44</v>
      </c>
      <c r="R1240">
        <v>469</v>
      </c>
    </row>
    <row r="1241" spans="1:18" hidden="1" x14ac:dyDescent="0.2">
      <c r="A1241">
        <v>6</v>
      </c>
      <c r="B1241" t="s">
        <v>80</v>
      </c>
      <c r="E1241" t="s">
        <v>29</v>
      </c>
      <c r="F1241">
        <v>1443712</v>
      </c>
      <c r="G1241">
        <v>4</v>
      </c>
      <c r="H1241">
        <v>2</v>
      </c>
      <c r="I1241">
        <v>809</v>
      </c>
      <c r="J1241">
        <v>1998</v>
      </c>
      <c r="K1241" s="4">
        <v>45416</v>
      </c>
      <c r="L1241" t="s">
        <v>23</v>
      </c>
      <c r="M1241" t="s">
        <v>58</v>
      </c>
      <c r="N1241">
        <v>2.72</v>
      </c>
      <c r="O1241">
        <v>2193</v>
      </c>
      <c r="P1241">
        <v>1.79</v>
      </c>
      <c r="Q1241">
        <v>255</v>
      </c>
      <c r="R1241">
        <v>663</v>
      </c>
    </row>
    <row r="1242" spans="1:18" hidden="1" x14ac:dyDescent="0.2">
      <c r="A1242">
        <v>4</v>
      </c>
      <c r="B1242" t="s">
        <v>72</v>
      </c>
      <c r="E1242" t="s">
        <v>36</v>
      </c>
      <c r="F1242">
        <v>2466458</v>
      </c>
      <c r="G1242">
        <v>1</v>
      </c>
      <c r="H1242">
        <v>1</v>
      </c>
      <c r="I1242">
        <v>526</v>
      </c>
      <c r="J1242">
        <v>1958</v>
      </c>
      <c r="K1242" s="4">
        <v>45594</v>
      </c>
      <c r="L1242" t="s">
        <v>30</v>
      </c>
      <c r="M1242" t="s">
        <v>76</v>
      </c>
      <c r="N1242">
        <v>3.13</v>
      </c>
      <c r="O1242">
        <v>2482</v>
      </c>
      <c r="P1242">
        <v>2.35</v>
      </c>
      <c r="Q1242">
        <v>71</v>
      </c>
      <c r="R1242">
        <v>412</v>
      </c>
    </row>
    <row r="1243" spans="1:18" hidden="1" x14ac:dyDescent="0.2">
      <c r="A1243">
        <v>0</v>
      </c>
      <c r="B1243" t="s">
        <v>81</v>
      </c>
      <c r="E1243" t="s">
        <v>36</v>
      </c>
      <c r="F1243">
        <v>1327774</v>
      </c>
      <c r="G1243">
        <v>4</v>
      </c>
      <c r="H1243">
        <v>2</v>
      </c>
      <c r="I1243">
        <v>808</v>
      </c>
      <c r="J1243">
        <v>1996</v>
      </c>
      <c r="K1243" s="4">
        <v>45824</v>
      </c>
      <c r="L1243" t="s">
        <v>30</v>
      </c>
      <c r="M1243" t="s">
        <v>54</v>
      </c>
      <c r="N1243">
        <v>3.43</v>
      </c>
      <c r="O1243">
        <v>1654</v>
      </c>
      <c r="P1243">
        <v>0.66</v>
      </c>
      <c r="Q1243">
        <v>399</v>
      </c>
      <c r="R1243">
        <v>695</v>
      </c>
    </row>
    <row r="1244" spans="1:18" hidden="1" x14ac:dyDescent="0.2">
      <c r="A1244">
        <v>4</v>
      </c>
      <c r="B1244" t="s">
        <v>95</v>
      </c>
      <c r="E1244" t="s">
        <v>36</v>
      </c>
      <c r="F1244">
        <v>1395239</v>
      </c>
      <c r="G1244">
        <v>3</v>
      </c>
      <c r="H1244">
        <v>2</v>
      </c>
      <c r="I1244">
        <v>808</v>
      </c>
      <c r="J1244">
        <v>1953</v>
      </c>
      <c r="K1244" s="4">
        <v>44246</v>
      </c>
      <c r="L1244" t="s">
        <v>23</v>
      </c>
      <c r="M1244" t="s">
        <v>68</v>
      </c>
      <c r="N1244">
        <v>1.74</v>
      </c>
      <c r="O1244">
        <v>1261</v>
      </c>
      <c r="P1244">
        <v>2.96</v>
      </c>
      <c r="Q1244">
        <v>287</v>
      </c>
      <c r="R1244">
        <v>497</v>
      </c>
    </row>
    <row r="1245" spans="1:18" hidden="1" x14ac:dyDescent="0.2">
      <c r="A1245">
        <v>4</v>
      </c>
      <c r="B1245" t="s">
        <v>73</v>
      </c>
      <c r="E1245" t="s">
        <v>29</v>
      </c>
      <c r="F1245">
        <v>2106237</v>
      </c>
      <c r="G1245">
        <v>4</v>
      </c>
      <c r="H1245">
        <v>3</v>
      </c>
      <c r="I1245">
        <v>511</v>
      </c>
      <c r="J1245">
        <v>1960</v>
      </c>
      <c r="K1245" s="4">
        <v>45261</v>
      </c>
      <c r="L1245" t="s">
        <v>30</v>
      </c>
      <c r="M1245" t="s">
        <v>69</v>
      </c>
      <c r="N1245">
        <v>1.59</v>
      </c>
      <c r="O1245">
        <v>1182</v>
      </c>
      <c r="P1245">
        <v>1.48</v>
      </c>
      <c r="Q1245">
        <v>209</v>
      </c>
      <c r="R1245">
        <v>527</v>
      </c>
    </row>
    <row r="1246" spans="1:18" hidden="1" x14ac:dyDescent="0.2">
      <c r="A1246">
        <v>6</v>
      </c>
      <c r="B1246" t="s">
        <v>67</v>
      </c>
      <c r="E1246" t="s">
        <v>51</v>
      </c>
      <c r="F1246">
        <v>2520969</v>
      </c>
      <c r="G1246">
        <v>4</v>
      </c>
      <c r="H1246">
        <v>3</v>
      </c>
      <c r="I1246">
        <v>556</v>
      </c>
      <c r="J1246">
        <v>1986</v>
      </c>
      <c r="K1246" s="4">
        <v>44855</v>
      </c>
      <c r="L1246" t="s">
        <v>23</v>
      </c>
      <c r="M1246" t="s">
        <v>77</v>
      </c>
      <c r="N1246">
        <v>2.92</v>
      </c>
      <c r="O1246">
        <v>926</v>
      </c>
      <c r="P1246">
        <v>1.1399999999999999</v>
      </c>
      <c r="Q1246">
        <v>248</v>
      </c>
      <c r="R1246">
        <v>422</v>
      </c>
    </row>
    <row r="1247" spans="1:18" hidden="1" x14ac:dyDescent="0.2">
      <c r="A1247">
        <v>3</v>
      </c>
      <c r="B1247" t="s">
        <v>39</v>
      </c>
      <c r="E1247" t="s">
        <v>36</v>
      </c>
      <c r="F1247">
        <v>462818</v>
      </c>
      <c r="G1247">
        <v>4</v>
      </c>
      <c r="H1247">
        <v>1</v>
      </c>
      <c r="I1247">
        <v>843</v>
      </c>
      <c r="J1247">
        <v>2018</v>
      </c>
      <c r="K1247" s="4">
        <v>44416</v>
      </c>
      <c r="L1247" t="s">
        <v>20</v>
      </c>
      <c r="M1247" t="s">
        <v>21</v>
      </c>
      <c r="N1247">
        <v>2.13</v>
      </c>
      <c r="O1247">
        <v>844</v>
      </c>
      <c r="P1247">
        <v>0.16</v>
      </c>
      <c r="Q1247">
        <v>302</v>
      </c>
      <c r="R1247">
        <v>563</v>
      </c>
    </row>
    <row r="1248" spans="1:18" hidden="1" x14ac:dyDescent="0.2">
      <c r="A1248">
        <v>1</v>
      </c>
      <c r="B1248" t="s">
        <v>53</v>
      </c>
      <c r="E1248" t="s">
        <v>36</v>
      </c>
      <c r="F1248">
        <v>2017521</v>
      </c>
      <c r="G1248">
        <v>3</v>
      </c>
      <c r="H1248">
        <v>1</v>
      </c>
      <c r="I1248">
        <v>388</v>
      </c>
      <c r="J1248">
        <v>2004</v>
      </c>
      <c r="K1248" s="4">
        <v>44225</v>
      </c>
      <c r="L1248" t="s">
        <v>26</v>
      </c>
      <c r="M1248" t="s">
        <v>74</v>
      </c>
      <c r="N1248">
        <v>3</v>
      </c>
      <c r="O1248">
        <v>1201</v>
      </c>
      <c r="P1248">
        <v>4.66</v>
      </c>
      <c r="Q1248">
        <v>313</v>
      </c>
      <c r="R1248">
        <v>619</v>
      </c>
    </row>
    <row r="1249" spans="1:18" x14ac:dyDescent="0.2">
      <c r="A1249">
        <v>8</v>
      </c>
      <c r="B1249" t="s">
        <v>87</v>
      </c>
      <c r="C1249" t="str">
        <f>VLOOKUP(B1249, 'Council Area'!$A$2:$B$51, 2)</f>
        <v>Randwick City Council</v>
      </c>
      <c r="D1249" t="str">
        <f>_xlfn.XLOOKUP(B1249, 'Council Area'!$A$2:$A$51, 'Council Area'!$B$2:$B$51)</f>
        <v>Randwick City Council</v>
      </c>
      <c r="E1249" t="s">
        <v>36</v>
      </c>
      <c r="F1249">
        <v>927176</v>
      </c>
      <c r="G1249">
        <v>3</v>
      </c>
      <c r="H1249">
        <v>2</v>
      </c>
      <c r="I1249">
        <v>236</v>
      </c>
      <c r="J1249">
        <v>1984</v>
      </c>
      <c r="K1249" s="4">
        <v>44990</v>
      </c>
      <c r="L1249" t="s">
        <v>30</v>
      </c>
      <c r="M1249" t="s">
        <v>70</v>
      </c>
      <c r="N1249">
        <v>2.66</v>
      </c>
      <c r="O1249">
        <v>1679</v>
      </c>
      <c r="P1249">
        <v>2.2200000000000002</v>
      </c>
      <c r="Q1249">
        <v>304</v>
      </c>
      <c r="R1249">
        <v>479</v>
      </c>
    </row>
    <row r="1250" spans="1:18" hidden="1" x14ac:dyDescent="0.2">
      <c r="A1250">
        <v>1</v>
      </c>
      <c r="B1250" t="s">
        <v>72</v>
      </c>
      <c r="E1250" t="s">
        <v>29</v>
      </c>
      <c r="F1250">
        <v>2821758</v>
      </c>
      <c r="G1250">
        <v>3</v>
      </c>
      <c r="H1250">
        <v>3</v>
      </c>
      <c r="I1250">
        <v>662</v>
      </c>
      <c r="J1250">
        <v>1993</v>
      </c>
      <c r="K1250" s="4">
        <v>44936</v>
      </c>
      <c r="L1250" t="s">
        <v>20</v>
      </c>
      <c r="M1250" t="s">
        <v>35</v>
      </c>
      <c r="N1250">
        <v>2.68</v>
      </c>
      <c r="O1250">
        <v>1957</v>
      </c>
      <c r="P1250">
        <v>2.4700000000000002</v>
      </c>
      <c r="Q1250">
        <v>267</v>
      </c>
      <c r="R1250">
        <v>458</v>
      </c>
    </row>
    <row r="1251" spans="1:18" hidden="1" x14ac:dyDescent="0.2">
      <c r="A1251">
        <v>6</v>
      </c>
      <c r="B1251" t="s">
        <v>49</v>
      </c>
      <c r="E1251" t="s">
        <v>36</v>
      </c>
      <c r="F1251">
        <v>587967</v>
      </c>
      <c r="G1251">
        <v>6</v>
      </c>
      <c r="H1251">
        <v>3</v>
      </c>
      <c r="I1251">
        <v>361</v>
      </c>
      <c r="J1251">
        <v>1952</v>
      </c>
      <c r="K1251" s="4">
        <v>44177</v>
      </c>
      <c r="L1251" t="s">
        <v>20</v>
      </c>
      <c r="M1251" t="s">
        <v>33</v>
      </c>
      <c r="N1251">
        <v>1.97</v>
      </c>
      <c r="O1251">
        <v>1935</v>
      </c>
      <c r="P1251">
        <v>4.03</v>
      </c>
      <c r="Q1251">
        <v>371</v>
      </c>
      <c r="R1251">
        <v>530</v>
      </c>
    </row>
    <row r="1252" spans="1:18" hidden="1" x14ac:dyDescent="0.2">
      <c r="A1252">
        <v>3</v>
      </c>
      <c r="B1252" t="s">
        <v>50</v>
      </c>
      <c r="E1252" t="s">
        <v>19</v>
      </c>
      <c r="F1252">
        <v>999991</v>
      </c>
      <c r="G1252">
        <v>3</v>
      </c>
      <c r="H1252">
        <v>1</v>
      </c>
      <c r="I1252">
        <v>674</v>
      </c>
      <c r="J1252">
        <v>1967</v>
      </c>
      <c r="K1252" s="4">
        <v>44820</v>
      </c>
      <c r="L1252" t="s">
        <v>23</v>
      </c>
      <c r="M1252" t="s">
        <v>21</v>
      </c>
      <c r="N1252">
        <v>2.68</v>
      </c>
      <c r="O1252">
        <v>2017</v>
      </c>
      <c r="P1252">
        <v>4.0199999999999996</v>
      </c>
      <c r="Q1252">
        <v>211</v>
      </c>
      <c r="R1252">
        <v>395</v>
      </c>
    </row>
    <row r="1253" spans="1:18" x14ac:dyDescent="0.2">
      <c r="A1253">
        <v>8</v>
      </c>
      <c r="B1253" t="s">
        <v>98</v>
      </c>
      <c r="C1253" t="str">
        <f>VLOOKUP(B1253, 'Council Area'!$A$2:$B$51, 2)</f>
        <v>Parramatta City Council</v>
      </c>
      <c r="D1253" t="str">
        <f>_xlfn.XLOOKUP(B1253, 'Council Area'!$A$2:$A$51, 'Council Area'!$B$2:$B$51)</f>
        <v>Parramatta City Council</v>
      </c>
      <c r="E1253" t="s">
        <v>19</v>
      </c>
      <c r="F1253">
        <v>2677009</v>
      </c>
      <c r="G1253">
        <v>4</v>
      </c>
      <c r="H1253">
        <v>3</v>
      </c>
      <c r="I1253">
        <v>499</v>
      </c>
      <c r="J1253">
        <v>1957</v>
      </c>
      <c r="K1253" s="4">
        <v>44097</v>
      </c>
      <c r="L1253" t="s">
        <v>23</v>
      </c>
      <c r="M1253" t="s">
        <v>31</v>
      </c>
      <c r="N1253">
        <v>3.24</v>
      </c>
      <c r="O1253">
        <v>1948</v>
      </c>
      <c r="P1253">
        <v>1.67</v>
      </c>
      <c r="Q1253">
        <v>324</v>
      </c>
      <c r="R1253">
        <v>335</v>
      </c>
    </row>
    <row r="1254" spans="1:18" hidden="1" x14ac:dyDescent="0.2">
      <c r="A1254">
        <v>1</v>
      </c>
      <c r="B1254" t="s">
        <v>98</v>
      </c>
      <c r="E1254" t="s">
        <v>51</v>
      </c>
      <c r="F1254">
        <v>2322171</v>
      </c>
      <c r="G1254">
        <v>2</v>
      </c>
      <c r="H1254">
        <v>3</v>
      </c>
      <c r="I1254">
        <v>579</v>
      </c>
      <c r="J1254">
        <v>1953</v>
      </c>
      <c r="K1254" s="4">
        <v>44926</v>
      </c>
      <c r="L1254" t="s">
        <v>26</v>
      </c>
      <c r="M1254" t="s">
        <v>82</v>
      </c>
      <c r="N1254">
        <v>3.2</v>
      </c>
      <c r="O1254">
        <v>2473</v>
      </c>
      <c r="P1254">
        <v>1.78</v>
      </c>
      <c r="Q1254">
        <v>42</v>
      </c>
      <c r="R1254">
        <v>522</v>
      </c>
    </row>
    <row r="1255" spans="1:18" hidden="1" x14ac:dyDescent="0.2">
      <c r="A1255">
        <v>7</v>
      </c>
      <c r="B1255" t="s">
        <v>105</v>
      </c>
      <c r="E1255" t="s">
        <v>51</v>
      </c>
      <c r="F1255">
        <v>2172832</v>
      </c>
      <c r="G1255">
        <v>1</v>
      </c>
      <c r="H1255">
        <v>1</v>
      </c>
      <c r="I1255">
        <v>792</v>
      </c>
      <c r="J1255">
        <v>1970</v>
      </c>
      <c r="K1255" s="4">
        <v>45508</v>
      </c>
      <c r="L1255" t="s">
        <v>30</v>
      </c>
      <c r="M1255" t="s">
        <v>70</v>
      </c>
      <c r="N1255">
        <v>2.34</v>
      </c>
      <c r="O1255">
        <v>893</v>
      </c>
      <c r="P1255">
        <v>2.42</v>
      </c>
      <c r="Q1255">
        <v>92</v>
      </c>
      <c r="R1255">
        <v>458</v>
      </c>
    </row>
    <row r="1256" spans="1:18" hidden="1" x14ac:dyDescent="0.2">
      <c r="A1256">
        <v>7</v>
      </c>
      <c r="B1256" t="s">
        <v>104</v>
      </c>
      <c r="E1256" t="s">
        <v>51</v>
      </c>
      <c r="F1256">
        <v>469834</v>
      </c>
      <c r="G1256">
        <v>5</v>
      </c>
      <c r="H1256">
        <v>1</v>
      </c>
      <c r="I1256">
        <v>772</v>
      </c>
      <c r="J1256">
        <v>1966</v>
      </c>
      <c r="K1256" s="4">
        <v>44077</v>
      </c>
      <c r="L1256" t="s">
        <v>26</v>
      </c>
      <c r="M1256" t="s">
        <v>59</v>
      </c>
      <c r="N1256">
        <v>1.76</v>
      </c>
      <c r="O1256">
        <v>2230</v>
      </c>
      <c r="P1256">
        <v>0.31</v>
      </c>
      <c r="Q1256">
        <v>268</v>
      </c>
      <c r="R1256">
        <v>688</v>
      </c>
    </row>
    <row r="1257" spans="1:18" hidden="1" x14ac:dyDescent="0.2">
      <c r="A1257">
        <v>4</v>
      </c>
      <c r="B1257" t="s">
        <v>83</v>
      </c>
      <c r="E1257" t="s">
        <v>29</v>
      </c>
      <c r="F1257">
        <v>1911512</v>
      </c>
      <c r="G1257">
        <v>3</v>
      </c>
      <c r="H1257">
        <v>3</v>
      </c>
      <c r="I1257">
        <v>874</v>
      </c>
      <c r="J1257">
        <v>1990</v>
      </c>
      <c r="K1257" s="4">
        <v>44281</v>
      </c>
      <c r="L1257" t="s">
        <v>26</v>
      </c>
      <c r="M1257" t="s">
        <v>56</v>
      </c>
      <c r="N1257">
        <v>2.46</v>
      </c>
      <c r="O1257">
        <v>1557</v>
      </c>
      <c r="P1257">
        <v>4.22</v>
      </c>
      <c r="Q1257">
        <v>92</v>
      </c>
      <c r="R1257">
        <v>689</v>
      </c>
    </row>
    <row r="1258" spans="1:18" hidden="1" x14ac:dyDescent="0.2">
      <c r="A1258">
        <v>7</v>
      </c>
      <c r="B1258" t="s">
        <v>41</v>
      </c>
      <c r="E1258" t="s">
        <v>36</v>
      </c>
      <c r="F1258">
        <v>2257073</v>
      </c>
      <c r="G1258">
        <v>3</v>
      </c>
      <c r="H1258">
        <v>3</v>
      </c>
      <c r="I1258">
        <v>86</v>
      </c>
      <c r="J1258">
        <v>1999</v>
      </c>
      <c r="K1258" s="4">
        <v>45134</v>
      </c>
      <c r="L1258" t="s">
        <v>23</v>
      </c>
      <c r="M1258" t="s">
        <v>85</v>
      </c>
      <c r="N1258">
        <v>1.88</v>
      </c>
      <c r="O1258">
        <v>1752</v>
      </c>
      <c r="P1258">
        <v>1.47</v>
      </c>
      <c r="Q1258">
        <v>186</v>
      </c>
      <c r="R1258">
        <v>609</v>
      </c>
    </row>
    <row r="1259" spans="1:18" hidden="1" x14ac:dyDescent="0.2">
      <c r="A1259">
        <v>2</v>
      </c>
      <c r="B1259" t="s">
        <v>93</v>
      </c>
      <c r="E1259" t="s">
        <v>19</v>
      </c>
      <c r="F1259">
        <v>479321</v>
      </c>
      <c r="G1259">
        <v>3</v>
      </c>
      <c r="H1259">
        <v>2</v>
      </c>
      <c r="I1259">
        <v>127</v>
      </c>
      <c r="J1259">
        <v>2020</v>
      </c>
      <c r="K1259" s="4">
        <v>44873</v>
      </c>
      <c r="L1259" t="s">
        <v>30</v>
      </c>
      <c r="M1259" t="s">
        <v>59</v>
      </c>
      <c r="N1259">
        <v>1.79</v>
      </c>
      <c r="O1259">
        <v>2435</v>
      </c>
      <c r="P1259">
        <v>1.9</v>
      </c>
      <c r="Q1259">
        <v>156</v>
      </c>
      <c r="R1259">
        <v>388</v>
      </c>
    </row>
    <row r="1260" spans="1:18" hidden="1" x14ac:dyDescent="0.2">
      <c r="A1260">
        <v>9</v>
      </c>
      <c r="B1260" t="s">
        <v>95</v>
      </c>
      <c r="E1260" t="s">
        <v>19</v>
      </c>
      <c r="F1260">
        <v>848461</v>
      </c>
      <c r="G1260">
        <v>0</v>
      </c>
      <c r="H1260">
        <v>2</v>
      </c>
      <c r="I1260">
        <v>376</v>
      </c>
      <c r="J1260">
        <v>1991</v>
      </c>
      <c r="K1260" s="4">
        <v>44936</v>
      </c>
      <c r="L1260" t="s">
        <v>30</v>
      </c>
      <c r="M1260" t="s">
        <v>31</v>
      </c>
      <c r="N1260">
        <v>3.14</v>
      </c>
      <c r="O1260">
        <v>2110</v>
      </c>
      <c r="P1260">
        <v>4.45</v>
      </c>
      <c r="Q1260">
        <v>61</v>
      </c>
      <c r="R1260">
        <v>633</v>
      </c>
    </row>
    <row r="1261" spans="1:18" hidden="1" x14ac:dyDescent="0.2">
      <c r="A1261">
        <v>5</v>
      </c>
      <c r="B1261" t="s">
        <v>32</v>
      </c>
      <c r="E1261" t="s">
        <v>29</v>
      </c>
      <c r="F1261">
        <v>1927750</v>
      </c>
      <c r="G1261">
        <v>3</v>
      </c>
      <c r="H1261">
        <v>1</v>
      </c>
      <c r="I1261">
        <v>992</v>
      </c>
      <c r="J1261">
        <v>1988</v>
      </c>
      <c r="K1261" s="4">
        <v>44995</v>
      </c>
      <c r="L1261" t="s">
        <v>23</v>
      </c>
      <c r="M1261" t="s">
        <v>52</v>
      </c>
      <c r="N1261">
        <v>1.97</v>
      </c>
      <c r="O1261">
        <v>2370</v>
      </c>
      <c r="P1261">
        <v>2.39</v>
      </c>
      <c r="Q1261">
        <v>127</v>
      </c>
      <c r="R1261">
        <v>510</v>
      </c>
    </row>
    <row r="1262" spans="1:18" hidden="1" x14ac:dyDescent="0.2">
      <c r="A1262">
        <v>3</v>
      </c>
      <c r="B1262" t="s">
        <v>39</v>
      </c>
      <c r="E1262" t="s">
        <v>19</v>
      </c>
      <c r="F1262">
        <v>1794665</v>
      </c>
      <c r="G1262">
        <v>0</v>
      </c>
      <c r="H1262">
        <v>2</v>
      </c>
      <c r="I1262">
        <v>198</v>
      </c>
      <c r="J1262">
        <v>1951</v>
      </c>
      <c r="K1262" s="4">
        <v>45795</v>
      </c>
      <c r="L1262" t="s">
        <v>30</v>
      </c>
      <c r="M1262" t="s">
        <v>54</v>
      </c>
      <c r="N1262">
        <v>1.83</v>
      </c>
      <c r="O1262">
        <v>1337</v>
      </c>
      <c r="P1262">
        <v>0.48</v>
      </c>
      <c r="Q1262">
        <v>68</v>
      </c>
      <c r="R1262">
        <v>437</v>
      </c>
    </row>
    <row r="1263" spans="1:18" hidden="1" x14ac:dyDescent="0.2">
      <c r="A1263">
        <v>9</v>
      </c>
      <c r="B1263" t="s">
        <v>61</v>
      </c>
      <c r="E1263" t="s">
        <v>36</v>
      </c>
      <c r="F1263">
        <v>1314052</v>
      </c>
      <c r="G1263">
        <v>2</v>
      </c>
      <c r="H1263">
        <v>2</v>
      </c>
      <c r="I1263">
        <v>647</v>
      </c>
      <c r="J1263">
        <v>1991</v>
      </c>
      <c r="K1263" s="4">
        <v>45708</v>
      </c>
      <c r="L1263" t="s">
        <v>23</v>
      </c>
      <c r="M1263" t="s">
        <v>35</v>
      </c>
      <c r="N1263">
        <v>2.33</v>
      </c>
      <c r="O1263">
        <v>915</v>
      </c>
      <c r="P1263">
        <v>4.2</v>
      </c>
      <c r="Q1263">
        <v>189</v>
      </c>
      <c r="R1263">
        <v>529</v>
      </c>
    </row>
    <row r="1264" spans="1:18" hidden="1" x14ac:dyDescent="0.2">
      <c r="A1264">
        <v>9</v>
      </c>
      <c r="B1264" t="s">
        <v>99</v>
      </c>
      <c r="E1264" t="s">
        <v>51</v>
      </c>
      <c r="F1264">
        <v>650166</v>
      </c>
      <c r="G1264">
        <v>2</v>
      </c>
      <c r="H1264">
        <v>2</v>
      </c>
      <c r="I1264">
        <v>156</v>
      </c>
      <c r="J1264">
        <v>1960</v>
      </c>
      <c r="K1264" s="4">
        <v>44239</v>
      </c>
      <c r="L1264" t="s">
        <v>30</v>
      </c>
      <c r="M1264" t="s">
        <v>40</v>
      </c>
      <c r="N1264">
        <v>1.53</v>
      </c>
      <c r="O1264">
        <v>1260</v>
      </c>
      <c r="P1264">
        <v>2.2599999999999998</v>
      </c>
      <c r="Q1264">
        <v>202</v>
      </c>
      <c r="R1264">
        <v>559</v>
      </c>
    </row>
    <row r="1265" spans="1:18" hidden="1" x14ac:dyDescent="0.2">
      <c r="A1265">
        <v>4</v>
      </c>
      <c r="B1265" t="s">
        <v>96</v>
      </c>
      <c r="E1265" t="s">
        <v>51</v>
      </c>
      <c r="F1265">
        <v>783228</v>
      </c>
      <c r="G1265">
        <v>2</v>
      </c>
      <c r="H1265">
        <v>2</v>
      </c>
      <c r="I1265">
        <v>177</v>
      </c>
      <c r="J1265">
        <v>2003</v>
      </c>
      <c r="K1265" s="4">
        <v>45637</v>
      </c>
      <c r="L1265" t="s">
        <v>20</v>
      </c>
      <c r="M1265" t="s">
        <v>69</v>
      </c>
      <c r="N1265">
        <v>3.29</v>
      </c>
      <c r="O1265">
        <v>1866</v>
      </c>
      <c r="P1265">
        <v>2.71</v>
      </c>
      <c r="Q1265">
        <v>51</v>
      </c>
      <c r="R1265">
        <v>590</v>
      </c>
    </row>
    <row r="1266" spans="1:18" hidden="1" x14ac:dyDescent="0.2">
      <c r="A1266">
        <v>6</v>
      </c>
      <c r="B1266" t="s">
        <v>62</v>
      </c>
      <c r="E1266" t="s">
        <v>51</v>
      </c>
      <c r="F1266">
        <v>1358966</v>
      </c>
      <c r="G1266">
        <v>3</v>
      </c>
      <c r="H1266">
        <v>3</v>
      </c>
      <c r="I1266">
        <v>724</v>
      </c>
      <c r="J1266">
        <v>1973</v>
      </c>
      <c r="K1266" s="4">
        <v>44667</v>
      </c>
      <c r="L1266" t="s">
        <v>23</v>
      </c>
      <c r="M1266" t="s">
        <v>45</v>
      </c>
      <c r="N1266">
        <v>2.83</v>
      </c>
      <c r="O1266">
        <v>2095</v>
      </c>
      <c r="P1266">
        <v>4.92</v>
      </c>
      <c r="Q1266">
        <v>207</v>
      </c>
      <c r="R1266">
        <v>605</v>
      </c>
    </row>
    <row r="1267" spans="1:18" hidden="1" x14ac:dyDescent="0.2">
      <c r="A1267">
        <v>9</v>
      </c>
      <c r="B1267" t="s">
        <v>86</v>
      </c>
      <c r="E1267" t="s">
        <v>29</v>
      </c>
      <c r="F1267">
        <v>2500699</v>
      </c>
      <c r="G1267">
        <v>3</v>
      </c>
      <c r="H1267">
        <v>1</v>
      </c>
      <c r="I1267">
        <v>451</v>
      </c>
      <c r="J1267">
        <v>1985</v>
      </c>
      <c r="K1267" s="4">
        <v>44320</v>
      </c>
      <c r="L1267" t="s">
        <v>20</v>
      </c>
      <c r="M1267" t="s">
        <v>31</v>
      </c>
      <c r="N1267">
        <v>3.19</v>
      </c>
      <c r="O1267">
        <v>2363</v>
      </c>
      <c r="P1267">
        <v>3.24</v>
      </c>
      <c r="Q1267">
        <v>255</v>
      </c>
      <c r="R1267">
        <v>637</v>
      </c>
    </row>
    <row r="1268" spans="1:18" hidden="1" x14ac:dyDescent="0.2">
      <c r="A1268">
        <v>3</v>
      </c>
      <c r="B1268" t="s">
        <v>95</v>
      </c>
      <c r="E1268" t="s">
        <v>36</v>
      </c>
      <c r="F1268">
        <v>2244997</v>
      </c>
      <c r="G1268">
        <v>2</v>
      </c>
      <c r="H1268">
        <v>1</v>
      </c>
      <c r="I1268">
        <v>282</v>
      </c>
      <c r="J1268">
        <v>1953</v>
      </c>
      <c r="K1268" s="4">
        <v>44525</v>
      </c>
      <c r="L1268" t="s">
        <v>23</v>
      </c>
      <c r="M1268" t="s">
        <v>35</v>
      </c>
      <c r="N1268">
        <v>1.59</v>
      </c>
      <c r="O1268">
        <v>1223</v>
      </c>
      <c r="P1268">
        <v>3.95</v>
      </c>
      <c r="Q1268">
        <v>201</v>
      </c>
      <c r="R1268">
        <v>476</v>
      </c>
    </row>
    <row r="1269" spans="1:18" x14ac:dyDescent="0.2">
      <c r="A1269">
        <v>8</v>
      </c>
      <c r="B1269" t="s">
        <v>28</v>
      </c>
      <c r="C1269" t="str">
        <f>VLOOKUP(B1269, 'Council Area'!$A$2:$B$51, 2)</f>
        <v>City of Sydney</v>
      </c>
      <c r="D1269" t="str">
        <f>_xlfn.XLOOKUP(B1269, 'Council Area'!$A$2:$A$51, 'Council Area'!$B$2:$B$51)</f>
        <v>City of Sydney</v>
      </c>
      <c r="E1269" t="s">
        <v>29</v>
      </c>
      <c r="F1269">
        <v>617768</v>
      </c>
      <c r="G1269">
        <v>2</v>
      </c>
      <c r="H1269">
        <v>2</v>
      </c>
      <c r="I1269">
        <v>299</v>
      </c>
      <c r="J1269">
        <v>1955</v>
      </c>
      <c r="K1269" s="4">
        <v>45826</v>
      </c>
      <c r="L1269" t="s">
        <v>20</v>
      </c>
      <c r="M1269" t="s">
        <v>70</v>
      </c>
      <c r="N1269">
        <v>3.33</v>
      </c>
      <c r="O1269">
        <v>2492</v>
      </c>
      <c r="P1269">
        <v>3.33</v>
      </c>
      <c r="Q1269">
        <v>216</v>
      </c>
      <c r="R1269">
        <v>644</v>
      </c>
    </row>
    <row r="1270" spans="1:18" hidden="1" x14ac:dyDescent="0.2">
      <c r="A1270">
        <v>4</v>
      </c>
      <c r="B1270" t="s">
        <v>75</v>
      </c>
      <c r="E1270" t="s">
        <v>19</v>
      </c>
      <c r="F1270">
        <v>940325</v>
      </c>
      <c r="G1270">
        <v>4</v>
      </c>
      <c r="H1270">
        <v>2</v>
      </c>
      <c r="I1270">
        <v>386</v>
      </c>
      <c r="J1270">
        <v>2004</v>
      </c>
      <c r="K1270" s="4">
        <v>44967</v>
      </c>
      <c r="L1270" t="s">
        <v>23</v>
      </c>
      <c r="M1270" t="s">
        <v>40</v>
      </c>
      <c r="N1270">
        <v>3.32</v>
      </c>
      <c r="O1270">
        <v>2329</v>
      </c>
      <c r="P1270">
        <v>2.64</v>
      </c>
      <c r="Q1270">
        <v>322</v>
      </c>
      <c r="R1270">
        <v>687</v>
      </c>
    </row>
    <row r="1271" spans="1:18" hidden="1" x14ac:dyDescent="0.2">
      <c r="A1271">
        <v>0</v>
      </c>
      <c r="B1271" t="s">
        <v>64</v>
      </c>
      <c r="E1271" t="s">
        <v>36</v>
      </c>
      <c r="F1271">
        <v>2111297</v>
      </c>
      <c r="G1271">
        <v>6</v>
      </c>
      <c r="H1271">
        <v>3</v>
      </c>
      <c r="I1271">
        <v>460</v>
      </c>
      <c r="J1271">
        <v>1988</v>
      </c>
      <c r="K1271" s="4">
        <v>44091</v>
      </c>
      <c r="L1271" t="s">
        <v>26</v>
      </c>
      <c r="M1271" t="s">
        <v>27</v>
      </c>
      <c r="N1271">
        <v>2.71</v>
      </c>
      <c r="O1271">
        <v>1015</v>
      </c>
      <c r="P1271">
        <v>0.25</v>
      </c>
      <c r="Q1271">
        <v>374</v>
      </c>
      <c r="R1271">
        <v>429</v>
      </c>
    </row>
    <row r="1272" spans="1:18" hidden="1" x14ac:dyDescent="0.2">
      <c r="A1272">
        <v>3</v>
      </c>
      <c r="B1272" t="s">
        <v>93</v>
      </c>
      <c r="E1272" t="s">
        <v>29</v>
      </c>
      <c r="F1272">
        <v>2652587</v>
      </c>
      <c r="G1272">
        <v>2</v>
      </c>
      <c r="H1272">
        <v>3</v>
      </c>
      <c r="I1272">
        <v>405</v>
      </c>
      <c r="J1272">
        <v>1994</v>
      </c>
      <c r="K1272" s="4">
        <v>44442</v>
      </c>
      <c r="L1272" t="s">
        <v>20</v>
      </c>
      <c r="M1272" t="s">
        <v>60</v>
      </c>
      <c r="N1272">
        <v>2.09</v>
      </c>
      <c r="O1272">
        <v>2433</v>
      </c>
      <c r="P1272">
        <v>2.0499999999999998</v>
      </c>
      <c r="Q1272">
        <v>141</v>
      </c>
      <c r="R1272">
        <v>444</v>
      </c>
    </row>
    <row r="1273" spans="1:18" hidden="1" x14ac:dyDescent="0.2">
      <c r="A1273">
        <v>1</v>
      </c>
      <c r="B1273" t="s">
        <v>98</v>
      </c>
      <c r="E1273" t="s">
        <v>51</v>
      </c>
      <c r="F1273">
        <v>1623847</v>
      </c>
      <c r="G1273">
        <v>4</v>
      </c>
      <c r="H1273">
        <v>3</v>
      </c>
      <c r="I1273">
        <v>253</v>
      </c>
      <c r="J1273">
        <v>1977</v>
      </c>
      <c r="K1273" s="4">
        <v>45843</v>
      </c>
      <c r="L1273" t="s">
        <v>26</v>
      </c>
      <c r="M1273" t="s">
        <v>45</v>
      </c>
      <c r="N1273">
        <v>2.64</v>
      </c>
      <c r="O1273">
        <v>2170</v>
      </c>
      <c r="P1273">
        <v>2</v>
      </c>
      <c r="Q1273">
        <v>314</v>
      </c>
      <c r="R1273">
        <v>465</v>
      </c>
    </row>
    <row r="1274" spans="1:18" hidden="1" x14ac:dyDescent="0.2">
      <c r="A1274">
        <v>3</v>
      </c>
      <c r="B1274" t="s">
        <v>41</v>
      </c>
      <c r="E1274" t="s">
        <v>29</v>
      </c>
      <c r="F1274">
        <v>2112310</v>
      </c>
      <c r="G1274">
        <v>3</v>
      </c>
      <c r="H1274">
        <v>3</v>
      </c>
      <c r="I1274">
        <v>213</v>
      </c>
      <c r="J1274">
        <v>1951</v>
      </c>
      <c r="K1274" s="4">
        <v>44907</v>
      </c>
      <c r="L1274" t="s">
        <v>20</v>
      </c>
      <c r="M1274" t="s">
        <v>56</v>
      </c>
      <c r="N1274">
        <v>3.19</v>
      </c>
      <c r="O1274">
        <v>885</v>
      </c>
      <c r="P1274">
        <v>2.81</v>
      </c>
      <c r="Q1274">
        <v>82</v>
      </c>
      <c r="R1274">
        <v>610</v>
      </c>
    </row>
    <row r="1275" spans="1:18" hidden="1" x14ac:dyDescent="0.2">
      <c r="A1275">
        <v>3</v>
      </c>
      <c r="B1275" t="s">
        <v>106</v>
      </c>
      <c r="E1275" t="s">
        <v>36</v>
      </c>
      <c r="F1275">
        <v>1440011</v>
      </c>
      <c r="G1275">
        <v>0</v>
      </c>
      <c r="H1275">
        <v>1</v>
      </c>
      <c r="I1275">
        <v>775</v>
      </c>
      <c r="J1275">
        <v>1960</v>
      </c>
      <c r="K1275" s="4">
        <v>45109</v>
      </c>
      <c r="L1275" t="s">
        <v>23</v>
      </c>
      <c r="M1275" t="s">
        <v>31</v>
      </c>
      <c r="N1275">
        <v>2.61</v>
      </c>
      <c r="O1275">
        <v>2241</v>
      </c>
      <c r="P1275">
        <v>4.72</v>
      </c>
      <c r="Q1275">
        <v>67</v>
      </c>
      <c r="R1275">
        <v>646</v>
      </c>
    </row>
    <row r="1276" spans="1:18" hidden="1" x14ac:dyDescent="0.2">
      <c r="A1276">
        <v>4</v>
      </c>
      <c r="B1276" t="s">
        <v>100</v>
      </c>
      <c r="E1276" t="s">
        <v>19</v>
      </c>
      <c r="F1276">
        <v>2653001</v>
      </c>
      <c r="G1276">
        <v>3</v>
      </c>
      <c r="H1276">
        <v>1</v>
      </c>
      <c r="I1276">
        <v>380</v>
      </c>
      <c r="J1276">
        <v>2007</v>
      </c>
      <c r="K1276" s="4">
        <v>44747</v>
      </c>
      <c r="L1276" t="s">
        <v>30</v>
      </c>
      <c r="M1276" t="s">
        <v>56</v>
      </c>
      <c r="N1276">
        <v>2.5499999999999998</v>
      </c>
      <c r="O1276">
        <v>2340</v>
      </c>
      <c r="P1276">
        <v>2.63</v>
      </c>
      <c r="Q1276">
        <v>91</v>
      </c>
      <c r="R1276">
        <v>654</v>
      </c>
    </row>
    <row r="1277" spans="1:18" x14ac:dyDescent="0.2">
      <c r="A1277">
        <v>8</v>
      </c>
      <c r="B1277" t="s">
        <v>46</v>
      </c>
      <c r="C1277" t="str">
        <f>VLOOKUP(B1277, 'Council Area'!$A$2:$B$51, 2)</f>
        <v>Ku-ring-gai Council</v>
      </c>
      <c r="D1277" t="str">
        <f>_xlfn.XLOOKUP(B1277, 'Council Area'!$A$2:$A$51, 'Council Area'!$B$2:$B$51)</f>
        <v>Ku-ring-gai Council</v>
      </c>
      <c r="E1277" t="s">
        <v>51</v>
      </c>
      <c r="F1277">
        <v>2381021</v>
      </c>
      <c r="G1277">
        <v>2</v>
      </c>
      <c r="H1277">
        <v>2</v>
      </c>
      <c r="I1277">
        <v>634</v>
      </c>
      <c r="J1277">
        <v>1994</v>
      </c>
      <c r="K1277" s="4">
        <v>44998</v>
      </c>
      <c r="L1277" t="s">
        <v>30</v>
      </c>
      <c r="M1277" t="s">
        <v>21</v>
      </c>
      <c r="N1277">
        <v>3.04</v>
      </c>
      <c r="O1277">
        <v>2072</v>
      </c>
      <c r="P1277">
        <v>2.46</v>
      </c>
      <c r="Q1277">
        <v>140</v>
      </c>
      <c r="R1277">
        <v>338</v>
      </c>
    </row>
    <row r="1278" spans="1:18" hidden="1" x14ac:dyDescent="0.2">
      <c r="A1278">
        <v>4</v>
      </c>
      <c r="B1278" t="s">
        <v>105</v>
      </c>
      <c r="E1278" t="s">
        <v>29</v>
      </c>
      <c r="F1278">
        <v>1565795</v>
      </c>
      <c r="G1278">
        <v>3</v>
      </c>
      <c r="H1278">
        <v>1</v>
      </c>
      <c r="I1278">
        <v>358</v>
      </c>
      <c r="J1278">
        <v>1991</v>
      </c>
      <c r="K1278" s="4">
        <v>44737</v>
      </c>
      <c r="L1278" t="s">
        <v>20</v>
      </c>
      <c r="M1278" t="s">
        <v>27</v>
      </c>
      <c r="N1278">
        <v>1.54</v>
      </c>
      <c r="O1278">
        <v>1235</v>
      </c>
      <c r="P1278">
        <v>3.25</v>
      </c>
      <c r="Q1278">
        <v>142</v>
      </c>
      <c r="R1278">
        <v>340</v>
      </c>
    </row>
    <row r="1279" spans="1:18" hidden="1" x14ac:dyDescent="0.2">
      <c r="A1279">
        <v>2</v>
      </c>
      <c r="B1279" t="s">
        <v>81</v>
      </c>
      <c r="E1279" t="s">
        <v>29</v>
      </c>
      <c r="F1279">
        <v>1864482</v>
      </c>
      <c r="G1279">
        <v>2</v>
      </c>
      <c r="H1279">
        <v>3</v>
      </c>
      <c r="I1279">
        <v>861</v>
      </c>
      <c r="J1279">
        <v>1998</v>
      </c>
      <c r="K1279" s="4">
        <v>45561</v>
      </c>
      <c r="L1279" t="s">
        <v>23</v>
      </c>
      <c r="M1279" t="s">
        <v>68</v>
      </c>
      <c r="N1279">
        <v>2.23</v>
      </c>
      <c r="O1279">
        <v>1193</v>
      </c>
      <c r="P1279">
        <v>3.4</v>
      </c>
      <c r="Q1279">
        <v>196</v>
      </c>
      <c r="R1279">
        <v>569</v>
      </c>
    </row>
    <row r="1280" spans="1:18" hidden="1" x14ac:dyDescent="0.2">
      <c r="A1280">
        <v>3</v>
      </c>
      <c r="B1280" t="s">
        <v>98</v>
      </c>
      <c r="E1280" t="s">
        <v>19</v>
      </c>
      <c r="F1280">
        <v>1556025</v>
      </c>
      <c r="G1280">
        <v>3</v>
      </c>
      <c r="H1280">
        <v>1</v>
      </c>
      <c r="I1280">
        <v>657</v>
      </c>
      <c r="J1280">
        <v>1950</v>
      </c>
      <c r="K1280" s="4">
        <v>45652</v>
      </c>
      <c r="L1280" t="s">
        <v>23</v>
      </c>
      <c r="M1280" t="s">
        <v>76</v>
      </c>
      <c r="N1280">
        <v>2.54</v>
      </c>
      <c r="O1280">
        <v>2352</v>
      </c>
      <c r="P1280">
        <v>3.93</v>
      </c>
      <c r="Q1280">
        <v>225</v>
      </c>
      <c r="R1280">
        <v>577</v>
      </c>
    </row>
    <row r="1281" spans="1:18" hidden="1" x14ac:dyDescent="0.2">
      <c r="A1281">
        <v>2</v>
      </c>
      <c r="B1281" t="s">
        <v>101</v>
      </c>
      <c r="E1281" t="s">
        <v>51</v>
      </c>
      <c r="F1281">
        <v>2564031</v>
      </c>
      <c r="G1281">
        <v>2</v>
      </c>
      <c r="H1281">
        <v>2</v>
      </c>
      <c r="I1281">
        <v>417</v>
      </c>
      <c r="J1281">
        <v>1973</v>
      </c>
      <c r="K1281" s="4">
        <v>44799</v>
      </c>
      <c r="L1281" t="s">
        <v>30</v>
      </c>
      <c r="M1281" t="s">
        <v>85</v>
      </c>
      <c r="N1281">
        <v>1.85</v>
      </c>
      <c r="O1281">
        <v>1428</v>
      </c>
      <c r="P1281">
        <v>2.12</v>
      </c>
      <c r="Q1281">
        <v>86</v>
      </c>
      <c r="R1281">
        <v>358</v>
      </c>
    </row>
    <row r="1282" spans="1:18" hidden="1" x14ac:dyDescent="0.2">
      <c r="A1282">
        <v>3</v>
      </c>
      <c r="B1282" t="s">
        <v>94</v>
      </c>
      <c r="E1282" t="s">
        <v>51</v>
      </c>
      <c r="F1282">
        <v>1547314</v>
      </c>
      <c r="G1282">
        <v>4</v>
      </c>
      <c r="H1282">
        <v>1</v>
      </c>
      <c r="I1282">
        <v>712</v>
      </c>
      <c r="J1282">
        <v>2015</v>
      </c>
      <c r="K1282" s="4">
        <v>44554</v>
      </c>
      <c r="L1282" t="s">
        <v>30</v>
      </c>
      <c r="M1282" t="s">
        <v>60</v>
      </c>
      <c r="N1282">
        <v>2.17</v>
      </c>
      <c r="O1282">
        <v>814</v>
      </c>
      <c r="P1282">
        <v>0.45</v>
      </c>
      <c r="Q1282">
        <v>242</v>
      </c>
      <c r="R1282">
        <v>322</v>
      </c>
    </row>
    <row r="1283" spans="1:18" hidden="1" x14ac:dyDescent="0.2">
      <c r="A1283">
        <v>1</v>
      </c>
      <c r="B1283" t="s">
        <v>100</v>
      </c>
      <c r="E1283" t="s">
        <v>29</v>
      </c>
      <c r="F1283">
        <v>2160333</v>
      </c>
      <c r="G1283">
        <v>3</v>
      </c>
      <c r="H1283">
        <v>2</v>
      </c>
      <c r="I1283">
        <v>281</v>
      </c>
      <c r="J1283">
        <v>1955</v>
      </c>
      <c r="K1283" s="4">
        <v>45491</v>
      </c>
      <c r="L1283" t="s">
        <v>23</v>
      </c>
      <c r="M1283" t="s">
        <v>70</v>
      </c>
      <c r="N1283">
        <v>2.04</v>
      </c>
      <c r="O1283">
        <v>2213</v>
      </c>
      <c r="P1283">
        <v>0.55000000000000004</v>
      </c>
      <c r="Q1283">
        <v>255</v>
      </c>
      <c r="R1283">
        <v>448</v>
      </c>
    </row>
    <row r="1284" spans="1:18" hidden="1" x14ac:dyDescent="0.2">
      <c r="A1284">
        <v>6</v>
      </c>
      <c r="B1284" t="s">
        <v>38</v>
      </c>
      <c r="E1284" t="s">
        <v>51</v>
      </c>
      <c r="F1284">
        <v>2661724</v>
      </c>
      <c r="G1284">
        <v>4</v>
      </c>
      <c r="H1284">
        <v>3</v>
      </c>
      <c r="I1284">
        <v>144</v>
      </c>
      <c r="J1284">
        <v>1982</v>
      </c>
      <c r="K1284" s="4">
        <v>44603</v>
      </c>
      <c r="L1284" t="s">
        <v>20</v>
      </c>
      <c r="M1284" t="s">
        <v>69</v>
      </c>
      <c r="N1284">
        <v>2.76</v>
      </c>
      <c r="O1284">
        <v>1255</v>
      </c>
      <c r="P1284">
        <v>1.5</v>
      </c>
      <c r="Q1284">
        <v>195</v>
      </c>
      <c r="R1284">
        <v>322</v>
      </c>
    </row>
    <row r="1285" spans="1:18" hidden="1" x14ac:dyDescent="0.2">
      <c r="A1285">
        <v>1</v>
      </c>
      <c r="B1285" t="s">
        <v>41</v>
      </c>
      <c r="E1285" t="s">
        <v>29</v>
      </c>
      <c r="F1285">
        <v>2084998</v>
      </c>
      <c r="G1285">
        <v>4</v>
      </c>
      <c r="H1285">
        <v>1</v>
      </c>
      <c r="I1285">
        <v>902</v>
      </c>
      <c r="J1285">
        <v>1982</v>
      </c>
      <c r="K1285" s="4">
        <v>44962</v>
      </c>
      <c r="L1285" t="s">
        <v>26</v>
      </c>
      <c r="M1285" t="s">
        <v>21</v>
      </c>
      <c r="N1285">
        <v>1.9</v>
      </c>
      <c r="O1285">
        <v>1350</v>
      </c>
      <c r="P1285">
        <v>1.97</v>
      </c>
      <c r="Q1285">
        <v>305</v>
      </c>
      <c r="R1285">
        <v>510</v>
      </c>
    </row>
    <row r="1286" spans="1:18" x14ac:dyDescent="0.2">
      <c r="A1286">
        <v>8</v>
      </c>
      <c r="B1286" t="s">
        <v>75</v>
      </c>
      <c r="C1286" t="str">
        <f>VLOOKUP(B1286, 'Council Area'!$A$2:$B$51, 2)</f>
        <v>Inner West Council</v>
      </c>
      <c r="D1286" t="str">
        <f>_xlfn.XLOOKUP(B1286, 'Council Area'!$A$2:$A$51, 'Council Area'!$B$2:$B$51)</f>
        <v>Inner West Council</v>
      </c>
      <c r="E1286" t="s">
        <v>36</v>
      </c>
      <c r="F1286">
        <v>778488</v>
      </c>
      <c r="G1286">
        <v>2</v>
      </c>
      <c r="H1286">
        <v>2</v>
      </c>
      <c r="I1286">
        <v>907</v>
      </c>
      <c r="J1286">
        <v>1953</v>
      </c>
      <c r="K1286" s="4">
        <v>45683</v>
      </c>
      <c r="L1286" t="s">
        <v>30</v>
      </c>
      <c r="M1286" t="s">
        <v>70</v>
      </c>
      <c r="N1286">
        <v>2.48</v>
      </c>
      <c r="O1286">
        <v>1412</v>
      </c>
      <c r="P1286">
        <v>0.12</v>
      </c>
      <c r="Q1286">
        <v>162</v>
      </c>
      <c r="R1286">
        <v>671</v>
      </c>
    </row>
    <row r="1287" spans="1:18" hidden="1" x14ac:dyDescent="0.2">
      <c r="A1287">
        <v>5</v>
      </c>
      <c r="B1287" t="s">
        <v>18</v>
      </c>
      <c r="E1287" t="s">
        <v>19</v>
      </c>
      <c r="F1287">
        <v>845724</v>
      </c>
      <c r="G1287">
        <v>2</v>
      </c>
      <c r="H1287">
        <v>2</v>
      </c>
      <c r="I1287">
        <v>381</v>
      </c>
      <c r="J1287">
        <v>2011</v>
      </c>
      <c r="K1287" s="4">
        <v>44967</v>
      </c>
      <c r="L1287" t="s">
        <v>20</v>
      </c>
      <c r="M1287" t="s">
        <v>66</v>
      </c>
      <c r="N1287">
        <v>3.31</v>
      </c>
      <c r="O1287">
        <v>2132</v>
      </c>
      <c r="P1287">
        <v>1.65</v>
      </c>
      <c r="Q1287">
        <v>172</v>
      </c>
      <c r="R1287">
        <v>485</v>
      </c>
    </row>
    <row r="1288" spans="1:18" x14ac:dyDescent="0.2">
      <c r="A1288">
        <v>8</v>
      </c>
      <c r="B1288" t="s">
        <v>104</v>
      </c>
      <c r="C1288" t="str">
        <f>VLOOKUP(B1288, 'Council Area'!$A$2:$B$51, 2)</f>
        <v>Northern Beaches Council</v>
      </c>
      <c r="D1288" t="str">
        <f>_xlfn.XLOOKUP(B1288, 'Council Area'!$A$2:$A$51, 'Council Area'!$B$2:$B$51)</f>
        <v>Northern Beaches Council</v>
      </c>
      <c r="E1288" t="s">
        <v>51</v>
      </c>
      <c r="F1288">
        <v>2783962</v>
      </c>
      <c r="G1288">
        <v>2</v>
      </c>
      <c r="H1288">
        <v>2</v>
      </c>
      <c r="I1288">
        <v>318</v>
      </c>
      <c r="J1288">
        <v>1958</v>
      </c>
      <c r="K1288" s="4">
        <v>45277</v>
      </c>
      <c r="L1288" t="s">
        <v>30</v>
      </c>
      <c r="M1288" t="s">
        <v>24</v>
      </c>
      <c r="N1288">
        <v>2.88</v>
      </c>
      <c r="O1288">
        <v>1905</v>
      </c>
      <c r="P1288">
        <v>2.2000000000000002</v>
      </c>
      <c r="Q1288">
        <v>123</v>
      </c>
      <c r="R1288">
        <v>414</v>
      </c>
    </row>
    <row r="1289" spans="1:18" hidden="1" x14ac:dyDescent="0.2">
      <c r="A1289">
        <v>7</v>
      </c>
      <c r="B1289" t="s">
        <v>88</v>
      </c>
      <c r="E1289" t="s">
        <v>29</v>
      </c>
      <c r="F1289">
        <v>2945866</v>
      </c>
      <c r="G1289">
        <v>4</v>
      </c>
      <c r="H1289">
        <v>1</v>
      </c>
      <c r="I1289">
        <v>774</v>
      </c>
      <c r="J1289">
        <v>2022</v>
      </c>
      <c r="K1289" s="4">
        <v>44409</v>
      </c>
      <c r="L1289" t="s">
        <v>20</v>
      </c>
      <c r="M1289" t="s">
        <v>45</v>
      </c>
      <c r="N1289">
        <v>1.89</v>
      </c>
      <c r="O1289">
        <v>1399</v>
      </c>
      <c r="P1289">
        <v>1.78</v>
      </c>
      <c r="Q1289">
        <v>241</v>
      </c>
      <c r="R1289">
        <v>348</v>
      </c>
    </row>
    <row r="1290" spans="1:18" hidden="1" x14ac:dyDescent="0.2">
      <c r="A1290">
        <v>1</v>
      </c>
      <c r="B1290" t="s">
        <v>71</v>
      </c>
      <c r="E1290" t="s">
        <v>51</v>
      </c>
      <c r="F1290">
        <v>1311540</v>
      </c>
      <c r="G1290">
        <v>2</v>
      </c>
      <c r="H1290">
        <v>3</v>
      </c>
      <c r="I1290">
        <v>123</v>
      </c>
      <c r="J1290">
        <v>1995</v>
      </c>
      <c r="K1290" s="4">
        <v>45074</v>
      </c>
      <c r="L1290" t="s">
        <v>30</v>
      </c>
      <c r="M1290" t="s">
        <v>31</v>
      </c>
      <c r="N1290">
        <v>2.4300000000000002</v>
      </c>
      <c r="O1290">
        <v>1198</v>
      </c>
      <c r="P1290">
        <v>4.04</v>
      </c>
      <c r="Q1290">
        <v>227</v>
      </c>
      <c r="R1290">
        <v>413</v>
      </c>
    </row>
    <row r="1291" spans="1:18" hidden="1" x14ac:dyDescent="0.2">
      <c r="A1291">
        <v>9</v>
      </c>
      <c r="B1291" t="s">
        <v>79</v>
      </c>
      <c r="E1291" t="s">
        <v>51</v>
      </c>
      <c r="F1291">
        <v>1432601</v>
      </c>
      <c r="G1291">
        <v>4</v>
      </c>
      <c r="H1291">
        <v>2</v>
      </c>
      <c r="I1291">
        <v>618</v>
      </c>
      <c r="J1291">
        <v>1965</v>
      </c>
      <c r="K1291" s="4">
        <v>44351</v>
      </c>
      <c r="L1291" t="s">
        <v>30</v>
      </c>
      <c r="M1291" t="s">
        <v>59</v>
      </c>
      <c r="N1291">
        <v>2.33</v>
      </c>
      <c r="O1291">
        <v>2317</v>
      </c>
      <c r="P1291">
        <v>1.79</v>
      </c>
      <c r="Q1291">
        <v>223</v>
      </c>
      <c r="R1291">
        <v>394</v>
      </c>
    </row>
    <row r="1292" spans="1:18" hidden="1" x14ac:dyDescent="0.2">
      <c r="A1292">
        <v>5</v>
      </c>
      <c r="B1292" t="s">
        <v>106</v>
      </c>
      <c r="E1292" t="s">
        <v>51</v>
      </c>
      <c r="F1292">
        <v>1446059</v>
      </c>
      <c r="G1292">
        <v>4</v>
      </c>
      <c r="H1292">
        <v>3</v>
      </c>
      <c r="I1292">
        <v>212</v>
      </c>
      <c r="J1292">
        <v>1954</v>
      </c>
      <c r="K1292" s="4">
        <v>45865</v>
      </c>
      <c r="L1292" t="s">
        <v>23</v>
      </c>
      <c r="M1292" t="s">
        <v>78</v>
      </c>
      <c r="N1292">
        <v>2.31</v>
      </c>
      <c r="O1292">
        <v>1165</v>
      </c>
      <c r="P1292">
        <v>3.84</v>
      </c>
      <c r="Q1292">
        <v>292</v>
      </c>
      <c r="R1292">
        <v>317</v>
      </c>
    </row>
    <row r="1293" spans="1:18" hidden="1" x14ac:dyDescent="0.2">
      <c r="A1293">
        <v>6</v>
      </c>
      <c r="B1293" t="s">
        <v>88</v>
      </c>
      <c r="E1293" t="s">
        <v>36</v>
      </c>
      <c r="F1293">
        <v>2418717</v>
      </c>
      <c r="G1293">
        <v>1</v>
      </c>
      <c r="H1293">
        <v>1</v>
      </c>
      <c r="I1293">
        <v>155</v>
      </c>
      <c r="J1293">
        <v>1992</v>
      </c>
      <c r="K1293" s="4">
        <v>45207</v>
      </c>
      <c r="L1293" t="s">
        <v>30</v>
      </c>
      <c r="M1293" t="s">
        <v>74</v>
      </c>
      <c r="N1293">
        <v>2.11</v>
      </c>
      <c r="O1293">
        <v>1516</v>
      </c>
      <c r="P1293">
        <v>3.47</v>
      </c>
      <c r="Q1293">
        <v>154</v>
      </c>
      <c r="R1293">
        <v>618</v>
      </c>
    </row>
    <row r="1294" spans="1:18" hidden="1" x14ac:dyDescent="0.2">
      <c r="A1294">
        <v>6</v>
      </c>
      <c r="B1294" t="s">
        <v>22</v>
      </c>
      <c r="E1294" t="s">
        <v>29</v>
      </c>
      <c r="F1294">
        <v>1813126</v>
      </c>
      <c r="G1294">
        <v>2</v>
      </c>
      <c r="H1294">
        <v>3</v>
      </c>
      <c r="I1294">
        <v>113</v>
      </c>
      <c r="J1294">
        <v>2014</v>
      </c>
      <c r="K1294" s="4">
        <v>44482</v>
      </c>
      <c r="L1294" t="s">
        <v>30</v>
      </c>
      <c r="M1294" t="s">
        <v>66</v>
      </c>
      <c r="N1294">
        <v>1.52</v>
      </c>
      <c r="O1294">
        <v>1453</v>
      </c>
      <c r="P1294">
        <v>3.8</v>
      </c>
      <c r="Q1294">
        <v>162</v>
      </c>
      <c r="R1294">
        <v>469</v>
      </c>
    </row>
    <row r="1295" spans="1:18" hidden="1" x14ac:dyDescent="0.2">
      <c r="A1295">
        <v>7</v>
      </c>
      <c r="B1295" t="s">
        <v>95</v>
      </c>
      <c r="E1295" t="s">
        <v>19</v>
      </c>
      <c r="F1295">
        <v>2060772</v>
      </c>
      <c r="G1295">
        <v>2</v>
      </c>
      <c r="H1295">
        <v>2</v>
      </c>
      <c r="I1295">
        <v>145</v>
      </c>
      <c r="J1295">
        <v>1982</v>
      </c>
      <c r="K1295" s="4">
        <v>44679</v>
      </c>
      <c r="L1295" t="s">
        <v>20</v>
      </c>
      <c r="M1295" t="s">
        <v>60</v>
      </c>
      <c r="N1295">
        <v>2.65</v>
      </c>
      <c r="O1295">
        <v>976</v>
      </c>
      <c r="P1295">
        <v>1.56</v>
      </c>
      <c r="Q1295">
        <v>139</v>
      </c>
      <c r="R1295">
        <v>359</v>
      </c>
    </row>
    <row r="1296" spans="1:18" hidden="1" x14ac:dyDescent="0.2">
      <c r="A1296">
        <v>7</v>
      </c>
      <c r="B1296" t="s">
        <v>84</v>
      </c>
      <c r="E1296" t="s">
        <v>29</v>
      </c>
      <c r="F1296">
        <v>2348710</v>
      </c>
      <c r="G1296">
        <v>2</v>
      </c>
      <c r="H1296">
        <v>3</v>
      </c>
      <c r="I1296">
        <v>237</v>
      </c>
      <c r="J1296">
        <v>1959</v>
      </c>
      <c r="K1296" s="4">
        <v>44103</v>
      </c>
      <c r="L1296" t="s">
        <v>23</v>
      </c>
      <c r="M1296" t="s">
        <v>60</v>
      </c>
      <c r="N1296">
        <v>1.58</v>
      </c>
      <c r="O1296">
        <v>803</v>
      </c>
      <c r="P1296">
        <v>2.7</v>
      </c>
      <c r="Q1296">
        <v>81</v>
      </c>
      <c r="R1296">
        <v>640</v>
      </c>
    </row>
    <row r="1297" spans="1:18" hidden="1" x14ac:dyDescent="0.2">
      <c r="A1297">
        <v>0</v>
      </c>
      <c r="B1297" t="s">
        <v>72</v>
      </c>
      <c r="E1297" t="s">
        <v>51</v>
      </c>
      <c r="F1297">
        <v>1845477</v>
      </c>
      <c r="G1297">
        <v>2</v>
      </c>
      <c r="H1297">
        <v>2</v>
      </c>
      <c r="I1297">
        <v>506</v>
      </c>
      <c r="J1297">
        <v>1969</v>
      </c>
      <c r="K1297" s="4">
        <v>44530</v>
      </c>
      <c r="L1297" t="s">
        <v>20</v>
      </c>
      <c r="M1297" t="s">
        <v>70</v>
      </c>
      <c r="N1297">
        <v>3.2</v>
      </c>
      <c r="O1297">
        <v>1865</v>
      </c>
      <c r="P1297">
        <v>3.08</v>
      </c>
      <c r="Q1297">
        <v>112</v>
      </c>
      <c r="R1297">
        <v>332</v>
      </c>
    </row>
    <row r="1298" spans="1:18" hidden="1" x14ac:dyDescent="0.2">
      <c r="A1298">
        <v>3</v>
      </c>
      <c r="B1298" t="s">
        <v>73</v>
      </c>
      <c r="E1298" t="s">
        <v>36</v>
      </c>
      <c r="F1298">
        <v>1102091</v>
      </c>
      <c r="G1298">
        <v>4</v>
      </c>
      <c r="H1298">
        <v>2</v>
      </c>
      <c r="I1298">
        <v>653</v>
      </c>
      <c r="J1298">
        <v>1960</v>
      </c>
      <c r="K1298" s="4">
        <v>44784</v>
      </c>
      <c r="L1298" t="s">
        <v>20</v>
      </c>
      <c r="M1298" t="s">
        <v>74</v>
      </c>
      <c r="N1298">
        <v>3.08</v>
      </c>
      <c r="O1298">
        <v>1758</v>
      </c>
      <c r="P1298">
        <v>3.01</v>
      </c>
      <c r="Q1298">
        <v>360</v>
      </c>
      <c r="R1298">
        <v>640</v>
      </c>
    </row>
    <row r="1299" spans="1:18" hidden="1" x14ac:dyDescent="0.2">
      <c r="A1299">
        <v>5</v>
      </c>
      <c r="B1299" t="s">
        <v>49</v>
      </c>
      <c r="E1299" t="s">
        <v>29</v>
      </c>
      <c r="F1299">
        <v>2585654</v>
      </c>
      <c r="G1299">
        <v>3</v>
      </c>
      <c r="H1299">
        <v>3</v>
      </c>
      <c r="I1299">
        <v>583</v>
      </c>
      <c r="J1299">
        <v>1968</v>
      </c>
      <c r="K1299" s="4">
        <v>45694</v>
      </c>
      <c r="L1299" t="s">
        <v>30</v>
      </c>
      <c r="M1299" t="s">
        <v>85</v>
      </c>
      <c r="N1299">
        <v>1.89</v>
      </c>
      <c r="O1299">
        <v>1199</v>
      </c>
      <c r="P1299">
        <v>0.16</v>
      </c>
      <c r="Q1299">
        <v>196</v>
      </c>
      <c r="R1299">
        <v>624</v>
      </c>
    </row>
    <row r="1300" spans="1:18" hidden="1" x14ac:dyDescent="0.2">
      <c r="A1300">
        <v>3</v>
      </c>
      <c r="B1300" t="s">
        <v>96</v>
      </c>
      <c r="E1300" t="s">
        <v>19</v>
      </c>
      <c r="F1300">
        <v>1217081</v>
      </c>
      <c r="G1300">
        <v>4</v>
      </c>
      <c r="H1300">
        <v>3</v>
      </c>
      <c r="I1300">
        <v>759</v>
      </c>
      <c r="J1300">
        <v>1987</v>
      </c>
      <c r="K1300" s="4">
        <v>45400</v>
      </c>
      <c r="L1300" t="s">
        <v>26</v>
      </c>
      <c r="M1300" t="s">
        <v>78</v>
      </c>
      <c r="N1300">
        <v>3.01</v>
      </c>
      <c r="O1300">
        <v>2427</v>
      </c>
      <c r="P1300">
        <v>1.08</v>
      </c>
      <c r="Q1300">
        <v>270</v>
      </c>
      <c r="R1300">
        <v>400</v>
      </c>
    </row>
    <row r="1301" spans="1:18" hidden="1" x14ac:dyDescent="0.2">
      <c r="A1301">
        <v>4</v>
      </c>
      <c r="B1301" t="s">
        <v>80</v>
      </c>
      <c r="E1301" t="s">
        <v>19</v>
      </c>
      <c r="F1301">
        <v>2713963</v>
      </c>
      <c r="G1301">
        <v>2</v>
      </c>
      <c r="H1301">
        <v>2</v>
      </c>
      <c r="I1301">
        <v>710</v>
      </c>
      <c r="J1301">
        <v>1995</v>
      </c>
      <c r="K1301" s="4">
        <v>45074</v>
      </c>
      <c r="L1301" t="s">
        <v>23</v>
      </c>
      <c r="M1301" t="s">
        <v>60</v>
      </c>
      <c r="N1301">
        <v>1.64</v>
      </c>
      <c r="O1301">
        <v>1785</v>
      </c>
      <c r="P1301">
        <v>3.88</v>
      </c>
      <c r="Q1301">
        <v>90</v>
      </c>
      <c r="R1301">
        <v>459</v>
      </c>
    </row>
    <row r="1302" spans="1:18" hidden="1" x14ac:dyDescent="0.2">
      <c r="A1302">
        <v>1</v>
      </c>
      <c r="B1302" t="s">
        <v>22</v>
      </c>
      <c r="E1302" t="s">
        <v>19</v>
      </c>
      <c r="F1302">
        <v>890514</v>
      </c>
      <c r="G1302">
        <v>2</v>
      </c>
      <c r="H1302">
        <v>2</v>
      </c>
      <c r="I1302">
        <v>156</v>
      </c>
      <c r="J1302">
        <v>1958</v>
      </c>
      <c r="K1302" s="4">
        <v>44261</v>
      </c>
      <c r="L1302" t="s">
        <v>23</v>
      </c>
      <c r="M1302" t="s">
        <v>60</v>
      </c>
      <c r="N1302">
        <v>3.26</v>
      </c>
      <c r="O1302">
        <v>1638</v>
      </c>
      <c r="P1302">
        <v>2.48</v>
      </c>
      <c r="Q1302">
        <v>131</v>
      </c>
      <c r="R1302">
        <v>533</v>
      </c>
    </row>
    <row r="1303" spans="1:18" hidden="1" x14ac:dyDescent="0.2">
      <c r="A1303">
        <v>6</v>
      </c>
      <c r="B1303" t="s">
        <v>100</v>
      </c>
      <c r="E1303" t="s">
        <v>29</v>
      </c>
      <c r="F1303">
        <v>1561297</v>
      </c>
      <c r="G1303">
        <v>3</v>
      </c>
      <c r="H1303">
        <v>1</v>
      </c>
      <c r="I1303">
        <v>94</v>
      </c>
      <c r="J1303">
        <v>1973</v>
      </c>
      <c r="K1303" s="4">
        <v>44577</v>
      </c>
      <c r="L1303" t="s">
        <v>30</v>
      </c>
      <c r="M1303" t="s">
        <v>37</v>
      </c>
      <c r="N1303">
        <v>2.97</v>
      </c>
      <c r="O1303">
        <v>1571</v>
      </c>
      <c r="P1303">
        <v>1.71</v>
      </c>
      <c r="Q1303">
        <v>134</v>
      </c>
      <c r="R1303">
        <v>449</v>
      </c>
    </row>
    <row r="1304" spans="1:18" x14ac:dyDescent="0.2">
      <c r="A1304">
        <v>8</v>
      </c>
      <c r="B1304" t="s">
        <v>101</v>
      </c>
      <c r="C1304" t="str">
        <f>VLOOKUP(B1304, 'Council Area'!$A$2:$B$51, 2)</f>
        <v>City of Sydney</v>
      </c>
      <c r="D1304" t="str">
        <f>_xlfn.XLOOKUP(B1304, 'Council Area'!$A$2:$A$51, 'Council Area'!$B$2:$B$51)</f>
        <v>City of Sydney</v>
      </c>
      <c r="E1304" t="s">
        <v>19</v>
      </c>
      <c r="F1304">
        <v>2495977</v>
      </c>
      <c r="G1304">
        <v>4</v>
      </c>
      <c r="H1304">
        <v>1</v>
      </c>
      <c r="I1304">
        <v>810</v>
      </c>
      <c r="J1304">
        <v>1965</v>
      </c>
      <c r="K1304" s="4">
        <v>44835</v>
      </c>
      <c r="L1304" t="s">
        <v>20</v>
      </c>
      <c r="M1304" t="s">
        <v>52</v>
      </c>
      <c r="N1304">
        <v>3.21</v>
      </c>
      <c r="O1304">
        <v>2110</v>
      </c>
      <c r="P1304">
        <v>3.98</v>
      </c>
      <c r="Q1304">
        <v>211</v>
      </c>
      <c r="R1304">
        <v>516</v>
      </c>
    </row>
    <row r="1305" spans="1:18" x14ac:dyDescent="0.2">
      <c r="A1305">
        <v>8</v>
      </c>
      <c r="B1305" t="s">
        <v>90</v>
      </c>
      <c r="C1305" t="str">
        <f>VLOOKUP(B1305, 'Council Area'!$A$2:$B$51, 2)</f>
        <v>Ku-ring-gai Council</v>
      </c>
      <c r="D1305" t="str">
        <f>_xlfn.XLOOKUP(B1305, 'Council Area'!$A$2:$A$51, 'Council Area'!$B$2:$B$51)</f>
        <v>Ku-ring-gai Council</v>
      </c>
      <c r="E1305" t="s">
        <v>51</v>
      </c>
      <c r="F1305">
        <v>2722791</v>
      </c>
      <c r="G1305">
        <v>4</v>
      </c>
      <c r="H1305">
        <v>1</v>
      </c>
      <c r="I1305">
        <v>850</v>
      </c>
      <c r="J1305">
        <v>2012</v>
      </c>
      <c r="K1305" s="4">
        <v>44437</v>
      </c>
      <c r="L1305" t="s">
        <v>20</v>
      </c>
      <c r="M1305" t="s">
        <v>45</v>
      </c>
      <c r="N1305">
        <v>2.83</v>
      </c>
      <c r="O1305">
        <v>1779</v>
      </c>
      <c r="P1305">
        <v>1.22</v>
      </c>
      <c r="Q1305">
        <v>310</v>
      </c>
      <c r="R1305">
        <v>606</v>
      </c>
    </row>
    <row r="1306" spans="1:18" hidden="1" x14ac:dyDescent="0.2">
      <c r="A1306">
        <v>6</v>
      </c>
      <c r="B1306" t="s">
        <v>65</v>
      </c>
      <c r="E1306" t="s">
        <v>36</v>
      </c>
      <c r="F1306">
        <v>2436940</v>
      </c>
      <c r="G1306">
        <v>3</v>
      </c>
      <c r="H1306">
        <v>3</v>
      </c>
      <c r="I1306">
        <v>53</v>
      </c>
      <c r="J1306">
        <v>1993</v>
      </c>
      <c r="K1306" s="4">
        <v>44687</v>
      </c>
      <c r="L1306" t="s">
        <v>20</v>
      </c>
      <c r="M1306" t="s">
        <v>33</v>
      </c>
      <c r="N1306">
        <v>3.16</v>
      </c>
      <c r="O1306">
        <v>1685</v>
      </c>
      <c r="P1306">
        <v>4.8</v>
      </c>
      <c r="Q1306">
        <v>104</v>
      </c>
      <c r="R1306">
        <v>674</v>
      </c>
    </row>
    <row r="1307" spans="1:18" hidden="1" x14ac:dyDescent="0.2">
      <c r="A1307">
        <v>6</v>
      </c>
      <c r="B1307" t="s">
        <v>99</v>
      </c>
      <c r="E1307" t="s">
        <v>29</v>
      </c>
      <c r="F1307">
        <v>1761867</v>
      </c>
      <c r="G1307">
        <v>3</v>
      </c>
      <c r="H1307">
        <v>3</v>
      </c>
      <c r="I1307">
        <v>558</v>
      </c>
      <c r="J1307">
        <v>1991</v>
      </c>
      <c r="K1307" s="4">
        <v>44659</v>
      </c>
      <c r="L1307" t="s">
        <v>26</v>
      </c>
      <c r="M1307" t="s">
        <v>70</v>
      </c>
      <c r="N1307">
        <v>2.4900000000000002</v>
      </c>
      <c r="O1307">
        <v>1716</v>
      </c>
      <c r="P1307">
        <v>0.26</v>
      </c>
      <c r="Q1307">
        <v>320</v>
      </c>
      <c r="R1307">
        <v>697</v>
      </c>
    </row>
    <row r="1308" spans="1:18" hidden="1" x14ac:dyDescent="0.2">
      <c r="A1308">
        <v>5</v>
      </c>
      <c r="B1308" t="s">
        <v>95</v>
      </c>
      <c r="E1308" t="s">
        <v>51</v>
      </c>
      <c r="F1308">
        <v>2701824</v>
      </c>
      <c r="G1308">
        <v>1</v>
      </c>
      <c r="H1308">
        <v>3</v>
      </c>
      <c r="I1308">
        <v>355</v>
      </c>
      <c r="J1308">
        <v>1966</v>
      </c>
      <c r="K1308" s="4">
        <v>44655</v>
      </c>
      <c r="L1308" t="s">
        <v>20</v>
      </c>
      <c r="M1308" t="s">
        <v>21</v>
      </c>
      <c r="N1308">
        <v>1.56</v>
      </c>
      <c r="O1308">
        <v>2167</v>
      </c>
      <c r="P1308">
        <v>3.72</v>
      </c>
      <c r="Q1308">
        <v>62</v>
      </c>
      <c r="R1308">
        <v>353</v>
      </c>
    </row>
    <row r="1309" spans="1:18" x14ac:dyDescent="0.2">
      <c r="A1309">
        <v>8</v>
      </c>
      <c r="B1309" t="s">
        <v>93</v>
      </c>
      <c r="C1309" t="str">
        <f>VLOOKUP(B1309, 'Council Area'!$A$2:$B$51, 2)</f>
        <v>Blacktown City Council</v>
      </c>
      <c r="D1309" t="str">
        <f>_xlfn.XLOOKUP(B1309, 'Council Area'!$A$2:$A$51, 'Council Area'!$B$2:$B$51)</f>
        <v>Blacktown City Council</v>
      </c>
      <c r="E1309" t="s">
        <v>36</v>
      </c>
      <c r="F1309">
        <v>866777</v>
      </c>
      <c r="G1309">
        <v>0</v>
      </c>
      <c r="H1309">
        <v>3</v>
      </c>
      <c r="I1309">
        <v>686</v>
      </c>
      <c r="J1309">
        <v>2016</v>
      </c>
      <c r="K1309" s="4">
        <v>45779</v>
      </c>
      <c r="L1309" t="s">
        <v>20</v>
      </c>
      <c r="M1309" t="s">
        <v>97</v>
      </c>
      <c r="N1309">
        <v>1.62</v>
      </c>
      <c r="O1309">
        <v>1717</v>
      </c>
      <c r="P1309">
        <v>3.87</v>
      </c>
      <c r="Q1309">
        <v>43</v>
      </c>
      <c r="R1309">
        <v>637</v>
      </c>
    </row>
    <row r="1310" spans="1:18" hidden="1" x14ac:dyDescent="0.2">
      <c r="A1310">
        <v>0</v>
      </c>
      <c r="B1310" t="s">
        <v>92</v>
      </c>
      <c r="E1310" t="s">
        <v>19</v>
      </c>
      <c r="F1310">
        <v>964762</v>
      </c>
      <c r="G1310">
        <v>5</v>
      </c>
      <c r="H1310">
        <v>2</v>
      </c>
      <c r="I1310">
        <v>441</v>
      </c>
      <c r="J1310">
        <v>1978</v>
      </c>
      <c r="K1310" s="4">
        <v>44111</v>
      </c>
      <c r="L1310" t="s">
        <v>20</v>
      </c>
      <c r="M1310" t="s">
        <v>21</v>
      </c>
      <c r="N1310">
        <v>3.3</v>
      </c>
      <c r="O1310">
        <v>1063</v>
      </c>
      <c r="P1310">
        <v>4.7699999999999996</v>
      </c>
      <c r="Q1310">
        <v>383</v>
      </c>
      <c r="R1310">
        <v>504</v>
      </c>
    </row>
    <row r="1311" spans="1:18" x14ac:dyDescent="0.2">
      <c r="A1311">
        <v>8</v>
      </c>
      <c r="B1311" t="s">
        <v>50</v>
      </c>
      <c r="C1311" t="str">
        <f>VLOOKUP(B1311, 'Council Area'!$A$2:$B$51, 2)</f>
        <v>Canterbury-Bankstown Council</v>
      </c>
      <c r="D1311" t="str">
        <f>_xlfn.XLOOKUP(B1311, 'Council Area'!$A$2:$A$51, 'Council Area'!$B$2:$B$51)</f>
        <v>Canterbury-Bankstown Council</v>
      </c>
      <c r="E1311" t="s">
        <v>19</v>
      </c>
      <c r="F1311">
        <v>1397786</v>
      </c>
      <c r="G1311">
        <v>4</v>
      </c>
      <c r="H1311">
        <v>1</v>
      </c>
      <c r="I1311">
        <v>308</v>
      </c>
      <c r="J1311">
        <v>1964</v>
      </c>
      <c r="K1311" s="4">
        <v>44616</v>
      </c>
      <c r="L1311" t="s">
        <v>20</v>
      </c>
      <c r="M1311" t="s">
        <v>89</v>
      </c>
      <c r="N1311">
        <v>1.6</v>
      </c>
      <c r="O1311">
        <v>2016</v>
      </c>
      <c r="P1311">
        <v>4.51</v>
      </c>
      <c r="Q1311">
        <v>236</v>
      </c>
      <c r="R1311">
        <v>478</v>
      </c>
    </row>
    <row r="1312" spans="1:18" hidden="1" x14ac:dyDescent="0.2">
      <c r="A1312">
        <v>6</v>
      </c>
      <c r="B1312" t="s">
        <v>101</v>
      </c>
      <c r="E1312" t="s">
        <v>29</v>
      </c>
      <c r="F1312">
        <v>1318971</v>
      </c>
      <c r="G1312">
        <v>5</v>
      </c>
      <c r="H1312">
        <v>2</v>
      </c>
      <c r="I1312">
        <v>540</v>
      </c>
      <c r="J1312">
        <v>1985</v>
      </c>
      <c r="K1312" s="4">
        <v>45046</v>
      </c>
      <c r="L1312" t="s">
        <v>23</v>
      </c>
      <c r="M1312" t="s">
        <v>56</v>
      </c>
      <c r="N1312">
        <v>2.74</v>
      </c>
      <c r="O1312">
        <v>883</v>
      </c>
      <c r="P1312">
        <v>1.68</v>
      </c>
      <c r="Q1312">
        <v>292</v>
      </c>
      <c r="R1312">
        <v>394</v>
      </c>
    </row>
    <row r="1313" spans="1:18" hidden="1" x14ac:dyDescent="0.2">
      <c r="A1313">
        <v>5</v>
      </c>
      <c r="B1313" t="s">
        <v>79</v>
      </c>
      <c r="E1313" t="s">
        <v>19</v>
      </c>
      <c r="F1313">
        <v>2091347</v>
      </c>
      <c r="G1313">
        <v>3</v>
      </c>
      <c r="H1313">
        <v>2</v>
      </c>
      <c r="I1313">
        <v>170</v>
      </c>
      <c r="J1313">
        <v>1950</v>
      </c>
      <c r="K1313" s="4">
        <v>44734</v>
      </c>
      <c r="L1313" t="s">
        <v>23</v>
      </c>
      <c r="M1313" t="s">
        <v>37</v>
      </c>
      <c r="N1313">
        <v>2.06</v>
      </c>
      <c r="O1313">
        <v>2405</v>
      </c>
      <c r="P1313">
        <v>3.17</v>
      </c>
      <c r="Q1313">
        <v>149</v>
      </c>
      <c r="R1313">
        <v>544</v>
      </c>
    </row>
    <row r="1314" spans="1:18" hidden="1" x14ac:dyDescent="0.2">
      <c r="A1314">
        <v>1</v>
      </c>
      <c r="B1314" t="s">
        <v>62</v>
      </c>
      <c r="E1314" t="s">
        <v>19</v>
      </c>
      <c r="F1314">
        <v>1445296</v>
      </c>
      <c r="G1314">
        <v>3</v>
      </c>
      <c r="H1314">
        <v>3</v>
      </c>
      <c r="I1314">
        <v>266</v>
      </c>
      <c r="J1314">
        <v>2014</v>
      </c>
      <c r="K1314" s="4">
        <v>45873</v>
      </c>
      <c r="L1314" t="s">
        <v>26</v>
      </c>
      <c r="M1314" t="s">
        <v>33</v>
      </c>
      <c r="N1314">
        <v>1.9</v>
      </c>
      <c r="O1314">
        <v>2176</v>
      </c>
      <c r="P1314">
        <v>2.2200000000000002</v>
      </c>
      <c r="Q1314">
        <v>116</v>
      </c>
      <c r="R1314">
        <v>354</v>
      </c>
    </row>
    <row r="1315" spans="1:18" hidden="1" x14ac:dyDescent="0.2">
      <c r="A1315">
        <v>9</v>
      </c>
      <c r="B1315" t="s">
        <v>32</v>
      </c>
      <c r="E1315" t="s">
        <v>36</v>
      </c>
      <c r="F1315">
        <v>2652724</v>
      </c>
      <c r="G1315">
        <v>2</v>
      </c>
      <c r="H1315">
        <v>3</v>
      </c>
      <c r="I1315">
        <v>530</v>
      </c>
      <c r="J1315">
        <v>1995</v>
      </c>
      <c r="K1315" s="4">
        <v>44816</v>
      </c>
      <c r="L1315" t="s">
        <v>30</v>
      </c>
      <c r="M1315" t="s">
        <v>56</v>
      </c>
      <c r="N1315">
        <v>2.66</v>
      </c>
      <c r="O1315">
        <v>1102</v>
      </c>
      <c r="P1315">
        <v>2.61</v>
      </c>
      <c r="Q1315">
        <v>65</v>
      </c>
      <c r="R1315">
        <v>593</v>
      </c>
    </row>
    <row r="1316" spans="1:18" hidden="1" x14ac:dyDescent="0.2">
      <c r="A1316">
        <v>6</v>
      </c>
      <c r="B1316" t="s">
        <v>62</v>
      </c>
      <c r="E1316" t="s">
        <v>36</v>
      </c>
      <c r="F1316">
        <v>1746174</v>
      </c>
      <c r="G1316">
        <v>3</v>
      </c>
      <c r="H1316">
        <v>1</v>
      </c>
      <c r="I1316">
        <v>831</v>
      </c>
      <c r="J1316">
        <v>2009</v>
      </c>
      <c r="K1316" s="4">
        <v>45217</v>
      </c>
      <c r="L1316" t="s">
        <v>30</v>
      </c>
      <c r="M1316" t="s">
        <v>27</v>
      </c>
      <c r="N1316">
        <v>2.19</v>
      </c>
      <c r="O1316">
        <v>1553</v>
      </c>
      <c r="P1316">
        <v>4.24</v>
      </c>
      <c r="Q1316">
        <v>154</v>
      </c>
      <c r="R1316">
        <v>434</v>
      </c>
    </row>
    <row r="1317" spans="1:18" hidden="1" x14ac:dyDescent="0.2">
      <c r="A1317">
        <v>0</v>
      </c>
      <c r="B1317" t="s">
        <v>106</v>
      </c>
      <c r="E1317" t="s">
        <v>36</v>
      </c>
      <c r="F1317">
        <v>1928718</v>
      </c>
      <c r="G1317">
        <v>2</v>
      </c>
      <c r="H1317">
        <v>2</v>
      </c>
      <c r="I1317">
        <v>474</v>
      </c>
      <c r="J1317">
        <v>1973</v>
      </c>
      <c r="K1317" s="4">
        <v>44520</v>
      </c>
      <c r="L1317" t="s">
        <v>26</v>
      </c>
      <c r="M1317" t="s">
        <v>70</v>
      </c>
      <c r="N1317">
        <v>1.94</v>
      </c>
      <c r="O1317">
        <v>1488</v>
      </c>
      <c r="P1317">
        <v>4.5999999999999996</v>
      </c>
      <c r="Q1317">
        <v>144</v>
      </c>
      <c r="R1317">
        <v>449</v>
      </c>
    </row>
    <row r="1318" spans="1:18" hidden="1" x14ac:dyDescent="0.2">
      <c r="A1318">
        <v>6</v>
      </c>
      <c r="B1318" t="s">
        <v>44</v>
      </c>
      <c r="E1318" t="s">
        <v>19</v>
      </c>
      <c r="F1318">
        <v>581171</v>
      </c>
      <c r="G1318">
        <v>6</v>
      </c>
      <c r="H1318">
        <v>1</v>
      </c>
      <c r="I1318">
        <v>919</v>
      </c>
      <c r="J1318">
        <v>2014</v>
      </c>
      <c r="K1318" s="4">
        <v>44908</v>
      </c>
      <c r="L1318" t="s">
        <v>23</v>
      </c>
      <c r="M1318" t="s">
        <v>82</v>
      </c>
      <c r="N1318">
        <v>2.74</v>
      </c>
      <c r="O1318">
        <v>1154</v>
      </c>
      <c r="P1318">
        <v>0.5</v>
      </c>
      <c r="Q1318">
        <v>373</v>
      </c>
      <c r="R1318">
        <v>664</v>
      </c>
    </row>
    <row r="1319" spans="1:18" hidden="1" x14ac:dyDescent="0.2">
      <c r="A1319">
        <v>9</v>
      </c>
      <c r="B1319" t="s">
        <v>87</v>
      </c>
      <c r="E1319" t="s">
        <v>36</v>
      </c>
      <c r="F1319">
        <v>2432692</v>
      </c>
      <c r="G1319">
        <v>2</v>
      </c>
      <c r="H1319">
        <v>2</v>
      </c>
      <c r="I1319">
        <v>100</v>
      </c>
      <c r="J1319">
        <v>1962</v>
      </c>
      <c r="K1319" s="4">
        <v>44356</v>
      </c>
      <c r="L1319" t="s">
        <v>23</v>
      </c>
      <c r="M1319" t="s">
        <v>24</v>
      </c>
      <c r="N1319">
        <v>2.52</v>
      </c>
      <c r="O1319">
        <v>1797</v>
      </c>
      <c r="P1319">
        <v>2.71</v>
      </c>
      <c r="Q1319">
        <v>102</v>
      </c>
      <c r="R1319">
        <v>412</v>
      </c>
    </row>
    <row r="1320" spans="1:18" hidden="1" x14ac:dyDescent="0.2">
      <c r="A1320">
        <v>2</v>
      </c>
      <c r="B1320" t="s">
        <v>101</v>
      </c>
      <c r="E1320" t="s">
        <v>36</v>
      </c>
      <c r="F1320">
        <v>2036889</v>
      </c>
      <c r="G1320">
        <v>5</v>
      </c>
      <c r="H1320">
        <v>1</v>
      </c>
      <c r="I1320">
        <v>293</v>
      </c>
      <c r="J1320">
        <v>1975</v>
      </c>
      <c r="K1320" s="4">
        <v>44546</v>
      </c>
      <c r="L1320" t="s">
        <v>30</v>
      </c>
      <c r="M1320" t="s">
        <v>24</v>
      </c>
      <c r="N1320">
        <v>2.82</v>
      </c>
      <c r="O1320">
        <v>2002</v>
      </c>
      <c r="P1320">
        <v>3.67</v>
      </c>
      <c r="Q1320">
        <v>355</v>
      </c>
      <c r="R1320">
        <v>580</v>
      </c>
    </row>
    <row r="1321" spans="1:18" hidden="1" x14ac:dyDescent="0.2">
      <c r="A1321">
        <v>9</v>
      </c>
      <c r="B1321" t="s">
        <v>28</v>
      </c>
      <c r="E1321" t="s">
        <v>19</v>
      </c>
      <c r="F1321">
        <v>2329503</v>
      </c>
      <c r="G1321">
        <v>3</v>
      </c>
      <c r="H1321">
        <v>3</v>
      </c>
      <c r="I1321">
        <v>281</v>
      </c>
      <c r="J1321">
        <v>2010</v>
      </c>
      <c r="K1321" s="4">
        <v>44387</v>
      </c>
      <c r="L1321" t="s">
        <v>30</v>
      </c>
      <c r="M1321" t="s">
        <v>82</v>
      </c>
      <c r="N1321">
        <v>1.83</v>
      </c>
      <c r="O1321">
        <v>1246</v>
      </c>
      <c r="P1321">
        <v>1.02</v>
      </c>
      <c r="Q1321">
        <v>86</v>
      </c>
      <c r="R1321">
        <v>496</v>
      </c>
    </row>
    <row r="1322" spans="1:18" hidden="1" x14ac:dyDescent="0.2">
      <c r="A1322">
        <v>3</v>
      </c>
      <c r="B1322" t="s">
        <v>83</v>
      </c>
      <c r="E1322" t="s">
        <v>51</v>
      </c>
      <c r="F1322">
        <v>746543</v>
      </c>
      <c r="G1322">
        <v>4</v>
      </c>
      <c r="H1322">
        <v>1</v>
      </c>
      <c r="I1322">
        <v>952</v>
      </c>
      <c r="J1322">
        <v>1979</v>
      </c>
      <c r="K1322" s="4">
        <v>45630</v>
      </c>
      <c r="L1322" t="s">
        <v>30</v>
      </c>
      <c r="M1322" t="s">
        <v>27</v>
      </c>
      <c r="N1322">
        <v>3.35</v>
      </c>
      <c r="O1322">
        <v>1403</v>
      </c>
      <c r="P1322">
        <v>4.8899999999999997</v>
      </c>
      <c r="Q1322">
        <v>179</v>
      </c>
      <c r="R1322">
        <v>586</v>
      </c>
    </row>
    <row r="1323" spans="1:18" hidden="1" x14ac:dyDescent="0.2">
      <c r="A1323">
        <v>9</v>
      </c>
      <c r="B1323" t="s">
        <v>41</v>
      </c>
      <c r="E1323" t="s">
        <v>29</v>
      </c>
      <c r="F1323">
        <v>2295122</v>
      </c>
      <c r="G1323">
        <v>4</v>
      </c>
      <c r="H1323">
        <v>2</v>
      </c>
      <c r="I1323">
        <v>548</v>
      </c>
      <c r="J1323">
        <v>2018</v>
      </c>
      <c r="K1323" s="4">
        <v>45404</v>
      </c>
      <c r="L1323" t="s">
        <v>30</v>
      </c>
      <c r="M1323" t="s">
        <v>76</v>
      </c>
      <c r="N1323">
        <v>2.39</v>
      </c>
      <c r="O1323">
        <v>1778</v>
      </c>
      <c r="P1323">
        <v>3.64</v>
      </c>
      <c r="Q1323">
        <v>314</v>
      </c>
      <c r="R1323">
        <v>696</v>
      </c>
    </row>
    <row r="1324" spans="1:18" hidden="1" x14ac:dyDescent="0.2">
      <c r="A1324">
        <v>0</v>
      </c>
      <c r="B1324" t="s">
        <v>46</v>
      </c>
      <c r="E1324" t="s">
        <v>36</v>
      </c>
      <c r="F1324">
        <v>2892479</v>
      </c>
      <c r="G1324">
        <v>4</v>
      </c>
      <c r="H1324">
        <v>1</v>
      </c>
      <c r="I1324">
        <v>471</v>
      </c>
      <c r="J1324">
        <v>2001</v>
      </c>
      <c r="K1324" s="4">
        <v>45183</v>
      </c>
      <c r="L1324" t="s">
        <v>23</v>
      </c>
      <c r="M1324" t="s">
        <v>35</v>
      </c>
      <c r="N1324">
        <v>2.73</v>
      </c>
      <c r="O1324">
        <v>1933</v>
      </c>
      <c r="P1324">
        <v>2.13</v>
      </c>
      <c r="Q1324">
        <v>333</v>
      </c>
      <c r="R1324">
        <v>321</v>
      </c>
    </row>
    <row r="1325" spans="1:18" hidden="1" x14ac:dyDescent="0.2">
      <c r="A1325">
        <v>5</v>
      </c>
      <c r="B1325" t="s">
        <v>104</v>
      </c>
      <c r="E1325" t="s">
        <v>51</v>
      </c>
      <c r="F1325">
        <v>902459</v>
      </c>
      <c r="G1325">
        <v>2</v>
      </c>
      <c r="H1325">
        <v>1</v>
      </c>
      <c r="I1325">
        <v>270</v>
      </c>
      <c r="J1325">
        <v>1993</v>
      </c>
      <c r="K1325" s="4">
        <v>44542</v>
      </c>
      <c r="L1325" t="s">
        <v>26</v>
      </c>
      <c r="M1325" t="s">
        <v>56</v>
      </c>
      <c r="N1325">
        <v>2.61</v>
      </c>
      <c r="O1325">
        <v>816</v>
      </c>
      <c r="P1325">
        <v>2.79</v>
      </c>
      <c r="Q1325">
        <v>71</v>
      </c>
      <c r="R1325">
        <v>475</v>
      </c>
    </row>
    <row r="1326" spans="1:18" hidden="1" x14ac:dyDescent="0.2">
      <c r="A1326">
        <v>5</v>
      </c>
      <c r="B1326" t="s">
        <v>104</v>
      </c>
      <c r="E1326" t="s">
        <v>19</v>
      </c>
      <c r="F1326">
        <v>2509736</v>
      </c>
      <c r="G1326">
        <v>3</v>
      </c>
      <c r="H1326">
        <v>2</v>
      </c>
      <c r="I1326">
        <v>788</v>
      </c>
      <c r="J1326">
        <v>2008</v>
      </c>
      <c r="K1326" s="4">
        <v>45767</v>
      </c>
      <c r="L1326" t="s">
        <v>30</v>
      </c>
      <c r="M1326" t="s">
        <v>70</v>
      </c>
      <c r="N1326">
        <v>3.41</v>
      </c>
      <c r="O1326">
        <v>1649</v>
      </c>
      <c r="P1326">
        <v>1.32</v>
      </c>
      <c r="Q1326">
        <v>289</v>
      </c>
      <c r="R1326">
        <v>532</v>
      </c>
    </row>
    <row r="1327" spans="1:18" hidden="1" x14ac:dyDescent="0.2">
      <c r="A1327">
        <v>3</v>
      </c>
      <c r="B1327" t="s">
        <v>49</v>
      </c>
      <c r="E1327" t="s">
        <v>36</v>
      </c>
      <c r="F1327">
        <v>543012</v>
      </c>
      <c r="G1327">
        <v>2</v>
      </c>
      <c r="H1327">
        <v>2</v>
      </c>
      <c r="I1327">
        <v>917</v>
      </c>
      <c r="J1327">
        <v>2018</v>
      </c>
      <c r="K1327" s="4">
        <v>44455</v>
      </c>
      <c r="L1327" t="s">
        <v>30</v>
      </c>
      <c r="M1327" t="s">
        <v>59</v>
      </c>
      <c r="N1327">
        <v>2.12</v>
      </c>
      <c r="O1327">
        <v>1521</v>
      </c>
      <c r="P1327">
        <v>0.36</v>
      </c>
      <c r="Q1327">
        <v>51</v>
      </c>
      <c r="R1327">
        <v>478</v>
      </c>
    </row>
    <row r="1328" spans="1:18" hidden="1" x14ac:dyDescent="0.2">
      <c r="A1328">
        <v>2</v>
      </c>
      <c r="B1328" t="s">
        <v>50</v>
      </c>
      <c r="E1328" t="s">
        <v>19</v>
      </c>
      <c r="F1328">
        <v>2763643</v>
      </c>
      <c r="G1328">
        <v>6</v>
      </c>
      <c r="H1328">
        <v>3</v>
      </c>
      <c r="I1328">
        <v>625</v>
      </c>
      <c r="J1328">
        <v>1993</v>
      </c>
      <c r="K1328" s="4">
        <v>44267</v>
      </c>
      <c r="L1328" t="s">
        <v>26</v>
      </c>
      <c r="M1328" t="s">
        <v>59</v>
      </c>
      <c r="N1328">
        <v>3.06</v>
      </c>
      <c r="O1328">
        <v>2276</v>
      </c>
      <c r="P1328">
        <v>3.87</v>
      </c>
      <c r="Q1328">
        <v>390</v>
      </c>
      <c r="R1328">
        <v>360</v>
      </c>
    </row>
    <row r="1329" spans="1:18" hidden="1" x14ac:dyDescent="0.2">
      <c r="A1329">
        <v>2</v>
      </c>
      <c r="B1329" t="s">
        <v>87</v>
      </c>
      <c r="E1329" t="s">
        <v>51</v>
      </c>
      <c r="F1329">
        <v>2153687</v>
      </c>
      <c r="G1329">
        <v>2</v>
      </c>
      <c r="H1329">
        <v>2</v>
      </c>
      <c r="I1329">
        <v>136</v>
      </c>
      <c r="J1329">
        <v>1993</v>
      </c>
      <c r="K1329" s="4">
        <v>45243</v>
      </c>
      <c r="L1329" t="s">
        <v>26</v>
      </c>
      <c r="M1329" t="s">
        <v>35</v>
      </c>
      <c r="N1329">
        <v>3.05</v>
      </c>
      <c r="O1329">
        <v>1730</v>
      </c>
      <c r="P1329">
        <v>0.62</v>
      </c>
      <c r="Q1329">
        <v>208</v>
      </c>
      <c r="R1329">
        <v>559</v>
      </c>
    </row>
    <row r="1330" spans="1:18" hidden="1" x14ac:dyDescent="0.2">
      <c r="A1330">
        <v>9</v>
      </c>
      <c r="B1330" t="s">
        <v>93</v>
      </c>
      <c r="E1330" t="s">
        <v>36</v>
      </c>
      <c r="F1330">
        <v>644003</v>
      </c>
      <c r="G1330">
        <v>-2</v>
      </c>
      <c r="H1330">
        <v>1</v>
      </c>
      <c r="I1330">
        <v>856</v>
      </c>
      <c r="J1330">
        <v>1972</v>
      </c>
      <c r="K1330" s="4">
        <v>45590</v>
      </c>
      <c r="L1330" t="s">
        <v>20</v>
      </c>
      <c r="M1330" t="s">
        <v>52</v>
      </c>
      <c r="N1330">
        <v>3.34</v>
      </c>
      <c r="O1330">
        <v>1020</v>
      </c>
      <c r="P1330">
        <v>2.2200000000000002</v>
      </c>
      <c r="Q1330">
        <v>333</v>
      </c>
      <c r="R1330">
        <v>304</v>
      </c>
    </row>
    <row r="1331" spans="1:18" hidden="1" x14ac:dyDescent="0.2">
      <c r="A1331">
        <v>0</v>
      </c>
      <c r="B1331" t="s">
        <v>87</v>
      </c>
      <c r="E1331" t="s">
        <v>19</v>
      </c>
      <c r="F1331">
        <v>2699653</v>
      </c>
      <c r="G1331">
        <v>2</v>
      </c>
      <c r="H1331">
        <v>3</v>
      </c>
      <c r="I1331">
        <v>197</v>
      </c>
      <c r="J1331">
        <v>1999</v>
      </c>
      <c r="K1331" s="4">
        <v>45100</v>
      </c>
      <c r="L1331" t="s">
        <v>20</v>
      </c>
      <c r="M1331" t="s">
        <v>35</v>
      </c>
      <c r="N1331">
        <v>3.3</v>
      </c>
      <c r="O1331">
        <v>1092</v>
      </c>
      <c r="P1331">
        <v>2.68</v>
      </c>
      <c r="Q1331">
        <v>211</v>
      </c>
      <c r="R1331">
        <v>409</v>
      </c>
    </row>
    <row r="1332" spans="1:18" x14ac:dyDescent="0.2">
      <c r="A1332">
        <v>8</v>
      </c>
      <c r="B1332" t="s">
        <v>18</v>
      </c>
      <c r="C1332" t="str">
        <f>VLOOKUP(B1332, 'Council Area'!$A$2:$B$51, 2)</f>
        <v>Blacktown City Council</v>
      </c>
      <c r="D1332" t="str">
        <f>_xlfn.XLOOKUP(B1332, 'Council Area'!$A$2:$A$51, 'Council Area'!$B$2:$B$51)</f>
        <v>Blacktown City Council</v>
      </c>
      <c r="E1332" t="s">
        <v>51</v>
      </c>
      <c r="F1332">
        <v>2925161</v>
      </c>
      <c r="G1332">
        <v>3</v>
      </c>
      <c r="H1332">
        <v>2</v>
      </c>
      <c r="I1332">
        <v>992</v>
      </c>
      <c r="J1332">
        <v>1977</v>
      </c>
      <c r="K1332" s="4">
        <v>44133</v>
      </c>
      <c r="L1332" t="s">
        <v>23</v>
      </c>
      <c r="M1332" t="s">
        <v>66</v>
      </c>
      <c r="N1332">
        <v>2.86</v>
      </c>
      <c r="O1332">
        <v>2093</v>
      </c>
      <c r="P1332">
        <v>2.68</v>
      </c>
      <c r="Q1332">
        <v>299</v>
      </c>
      <c r="R1332">
        <v>381</v>
      </c>
    </row>
    <row r="1333" spans="1:18" hidden="1" x14ac:dyDescent="0.2">
      <c r="A1333">
        <v>2</v>
      </c>
      <c r="B1333" t="s">
        <v>75</v>
      </c>
      <c r="E1333" t="s">
        <v>19</v>
      </c>
      <c r="F1333">
        <v>1660097</v>
      </c>
      <c r="G1333">
        <v>2</v>
      </c>
      <c r="H1333">
        <v>3</v>
      </c>
      <c r="I1333">
        <v>480</v>
      </c>
      <c r="J1333">
        <v>1966</v>
      </c>
      <c r="K1333" s="4">
        <v>44101</v>
      </c>
      <c r="L1333" t="s">
        <v>26</v>
      </c>
      <c r="M1333" t="s">
        <v>82</v>
      </c>
      <c r="N1333">
        <v>1.63</v>
      </c>
      <c r="O1333">
        <v>1139</v>
      </c>
      <c r="P1333">
        <v>0.54</v>
      </c>
      <c r="Q1333">
        <v>78</v>
      </c>
      <c r="R1333">
        <v>517</v>
      </c>
    </row>
    <row r="1334" spans="1:18" hidden="1" x14ac:dyDescent="0.2">
      <c r="A1334">
        <v>3</v>
      </c>
      <c r="B1334" t="s">
        <v>80</v>
      </c>
      <c r="E1334" t="s">
        <v>51</v>
      </c>
      <c r="F1334">
        <v>1880334</v>
      </c>
      <c r="G1334">
        <v>5</v>
      </c>
      <c r="H1334">
        <v>1</v>
      </c>
      <c r="I1334">
        <v>498</v>
      </c>
      <c r="J1334">
        <v>1954</v>
      </c>
      <c r="K1334" s="4">
        <v>44566</v>
      </c>
      <c r="L1334" t="s">
        <v>20</v>
      </c>
      <c r="M1334" t="s">
        <v>47</v>
      </c>
      <c r="N1334">
        <v>3.12</v>
      </c>
      <c r="O1334">
        <v>2404</v>
      </c>
      <c r="P1334">
        <v>0.13</v>
      </c>
      <c r="Q1334">
        <v>248</v>
      </c>
      <c r="R1334">
        <v>650</v>
      </c>
    </row>
    <row r="1335" spans="1:18" hidden="1" x14ac:dyDescent="0.2">
      <c r="A1335">
        <v>6</v>
      </c>
      <c r="B1335" t="s">
        <v>49</v>
      </c>
      <c r="E1335" t="s">
        <v>19</v>
      </c>
      <c r="F1335">
        <v>1240495</v>
      </c>
      <c r="G1335">
        <v>3</v>
      </c>
      <c r="H1335">
        <v>3</v>
      </c>
      <c r="I1335">
        <v>843</v>
      </c>
      <c r="J1335">
        <v>1998</v>
      </c>
      <c r="K1335" s="4">
        <v>45319</v>
      </c>
      <c r="L1335" t="s">
        <v>30</v>
      </c>
      <c r="M1335" t="s">
        <v>52</v>
      </c>
      <c r="N1335">
        <v>2.87</v>
      </c>
      <c r="O1335">
        <v>1838</v>
      </c>
      <c r="P1335">
        <v>1.06</v>
      </c>
      <c r="Q1335">
        <v>118</v>
      </c>
      <c r="R1335">
        <v>597</v>
      </c>
    </row>
    <row r="1336" spans="1:18" x14ac:dyDescent="0.2">
      <c r="A1336">
        <v>8</v>
      </c>
      <c r="B1336" t="s">
        <v>81</v>
      </c>
      <c r="C1336" t="str">
        <f>VLOOKUP(B1336, 'Council Area'!$A$2:$B$51, 2)</f>
        <v>Canterbury-Bankstown Council</v>
      </c>
      <c r="D1336" t="str">
        <f>_xlfn.XLOOKUP(B1336, 'Council Area'!$A$2:$A$51, 'Council Area'!$B$2:$B$51)</f>
        <v>Canterbury-Bankstown Council</v>
      </c>
      <c r="E1336" t="s">
        <v>29</v>
      </c>
      <c r="F1336">
        <v>1750291</v>
      </c>
      <c r="G1336">
        <v>5</v>
      </c>
      <c r="H1336">
        <v>3</v>
      </c>
      <c r="I1336">
        <v>844</v>
      </c>
      <c r="J1336">
        <v>1965</v>
      </c>
      <c r="K1336" s="4">
        <v>44438</v>
      </c>
      <c r="L1336" t="s">
        <v>20</v>
      </c>
      <c r="M1336" t="s">
        <v>59</v>
      </c>
      <c r="N1336">
        <v>1.68</v>
      </c>
      <c r="O1336">
        <v>1164</v>
      </c>
      <c r="P1336">
        <v>1.45</v>
      </c>
      <c r="Q1336">
        <v>283</v>
      </c>
      <c r="R1336">
        <v>363</v>
      </c>
    </row>
    <row r="1337" spans="1:18" x14ac:dyDescent="0.2">
      <c r="A1337">
        <v>8</v>
      </c>
      <c r="B1337" t="s">
        <v>99</v>
      </c>
      <c r="C1337" t="str">
        <f>VLOOKUP(B1337, 'Council Area'!$A$2:$B$51, 2)</f>
        <v>Canterbury-Bankstown Council</v>
      </c>
      <c r="D1337" t="str">
        <f>_xlfn.XLOOKUP(B1337, 'Council Area'!$A$2:$A$51, 'Council Area'!$B$2:$B$51)</f>
        <v>Canterbury-Bankstown Council</v>
      </c>
      <c r="E1337" t="s">
        <v>29</v>
      </c>
      <c r="F1337">
        <v>2504627</v>
      </c>
      <c r="G1337">
        <v>4</v>
      </c>
      <c r="H1337">
        <v>2</v>
      </c>
      <c r="I1337">
        <v>976</v>
      </c>
      <c r="J1337">
        <v>1983</v>
      </c>
      <c r="K1337" s="4">
        <v>44814</v>
      </c>
      <c r="L1337" t="s">
        <v>26</v>
      </c>
      <c r="M1337" t="s">
        <v>60</v>
      </c>
      <c r="N1337">
        <v>2.64</v>
      </c>
      <c r="O1337">
        <v>2033</v>
      </c>
      <c r="P1337">
        <v>2.27</v>
      </c>
      <c r="Q1337">
        <v>304</v>
      </c>
      <c r="R1337">
        <v>319</v>
      </c>
    </row>
    <row r="1338" spans="1:18" hidden="1" x14ac:dyDescent="0.2">
      <c r="A1338">
        <v>1</v>
      </c>
      <c r="B1338" t="s">
        <v>99</v>
      </c>
      <c r="E1338" t="s">
        <v>36</v>
      </c>
      <c r="F1338">
        <v>1577209</v>
      </c>
      <c r="G1338">
        <v>2</v>
      </c>
      <c r="H1338">
        <v>3</v>
      </c>
      <c r="I1338">
        <v>189</v>
      </c>
      <c r="J1338">
        <v>1994</v>
      </c>
      <c r="K1338" s="4">
        <v>44742</v>
      </c>
      <c r="L1338" t="s">
        <v>26</v>
      </c>
      <c r="M1338" t="s">
        <v>33</v>
      </c>
      <c r="N1338">
        <v>3.34</v>
      </c>
      <c r="O1338">
        <v>2342</v>
      </c>
      <c r="P1338">
        <v>0.34</v>
      </c>
      <c r="Q1338">
        <v>65</v>
      </c>
      <c r="R1338">
        <v>610</v>
      </c>
    </row>
    <row r="1339" spans="1:18" hidden="1" x14ac:dyDescent="0.2">
      <c r="A1339">
        <v>6</v>
      </c>
      <c r="B1339" t="s">
        <v>104</v>
      </c>
      <c r="E1339" t="s">
        <v>29</v>
      </c>
      <c r="F1339">
        <v>2013343</v>
      </c>
      <c r="G1339">
        <v>1</v>
      </c>
      <c r="H1339">
        <v>1</v>
      </c>
      <c r="I1339">
        <v>256</v>
      </c>
      <c r="J1339">
        <v>2003</v>
      </c>
      <c r="K1339" s="4">
        <v>45398</v>
      </c>
      <c r="L1339" t="s">
        <v>20</v>
      </c>
      <c r="M1339" t="s">
        <v>66</v>
      </c>
      <c r="N1339">
        <v>3.28</v>
      </c>
      <c r="O1339">
        <v>2285</v>
      </c>
      <c r="P1339">
        <v>2.91</v>
      </c>
      <c r="Q1339">
        <v>82</v>
      </c>
      <c r="R1339">
        <v>332</v>
      </c>
    </row>
    <row r="1340" spans="1:18" hidden="1" x14ac:dyDescent="0.2">
      <c r="A1340">
        <v>4</v>
      </c>
      <c r="B1340" t="s">
        <v>55</v>
      </c>
      <c r="E1340" t="s">
        <v>36</v>
      </c>
      <c r="F1340">
        <v>2015994</v>
      </c>
      <c r="G1340">
        <v>5</v>
      </c>
      <c r="H1340">
        <v>3</v>
      </c>
      <c r="I1340">
        <v>859</v>
      </c>
      <c r="J1340">
        <v>2015</v>
      </c>
      <c r="K1340" s="4">
        <v>45401</v>
      </c>
      <c r="L1340" t="s">
        <v>30</v>
      </c>
      <c r="M1340" t="s">
        <v>45</v>
      </c>
      <c r="N1340">
        <v>3.49</v>
      </c>
      <c r="O1340">
        <v>1867</v>
      </c>
      <c r="P1340">
        <v>0.45</v>
      </c>
      <c r="Q1340">
        <v>321</v>
      </c>
      <c r="R1340">
        <v>674</v>
      </c>
    </row>
    <row r="1341" spans="1:18" hidden="1" x14ac:dyDescent="0.2">
      <c r="A1341">
        <v>2</v>
      </c>
      <c r="B1341" t="s">
        <v>96</v>
      </c>
      <c r="E1341" t="s">
        <v>29</v>
      </c>
      <c r="F1341">
        <v>2507256</v>
      </c>
      <c r="G1341">
        <v>4</v>
      </c>
      <c r="H1341">
        <v>1</v>
      </c>
      <c r="I1341">
        <v>925</v>
      </c>
      <c r="J1341">
        <v>1987</v>
      </c>
      <c r="K1341" s="4">
        <v>45246</v>
      </c>
      <c r="L1341" t="s">
        <v>20</v>
      </c>
      <c r="M1341" t="s">
        <v>27</v>
      </c>
      <c r="N1341">
        <v>1.76</v>
      </c>
      <c r="O1341">
        <v>2411</v>
      </c>
      <c r="P1341">
        <v>3.91</v>
      </c>
      <c r="Q1341">
        <v>191</v>
      </c>
      <c r="R1341">
        <v>313</v>
      </c>
    </row>
    <row r="1342" spans="1:18" hidden="1" x14ac:dyDescent="0.2">
      <c r="A1342">
        <v>0</v>
      </c>
      <c r="B1342" t="s">
        <v>55</v>
      </c>
      <c r="E1342" t="s">
        <v>19</v>
      </c>
      <c r="F1342">
        <v>443982</v>
      </c>
      <c r="G1342">
        <v>6</v>
      </c>
      <c r="H1342">
        <v>2</v>
      </c>
      <c r="I1342">
        <v>246</v>
      </c>
      <c r="J1342">
        <v>1968</v>
      </c>
      <c r="K1342" s="4">
        <v>44775</v>
      </c>
      <c r="L1342" t="s">
        <v>23</v>
      </c>
      <c r="M1342" t="s">
        <v>33</v>
      </c>
      <c r="N1342">
        <v>3.3</v>
      </c>
      <c r="O1342">
        <v>877</v>
      </c>
      <c r="P1342">
        <v>3.87</v>
      </c>
      <c r="Q1342">
        <v>374</v>
      </c>
      <c r="R1342">
        <v>432</v>
      </c>
    </row>
    <row r="1343" spans="1:18" hidden="1" x14ac:dyDescent="0.2">
      <c r="A1343">
        <v>9</v>
      </c>
      <c r="B1343" t="s">
        <v>81</v>
      </c>
      <c r="E1343" t="s">
        <v>36</v>
      </c>
      <c r="F1343">
        <v>862392</v>
      </c>
      <c r="G1343">
        <v>4</v>
      </c>
      <c r="H1343">
        <v>1</v>
      </c>
      <c r="I1343">
        <v>552</v>
      </c>
      <c r="J1343">
        <v>1995</v>
      </c>
      <c r="K1343" s="4">
        <v>45195</v>
      </c>
      <c r="L1343" t="s">
        <v>23</v>
      </c>
      <c r="M1343" t="s">
        <v>60</v>
      </c>
      <c r="N1343">
        <v>2.66</v>
      </c>
      <c r="O1343">
        <v>1961</v>
      </c>
      <c r="P1343">
        <v>4.68</v>
      </c>
      <c r="Q1343">
        <v>296</v>
      </c>
      <c r="R1343">
        <v>674</v>
      </c>
    </row>
    <row r="1344" spans="1:18" hidden="1" x14ac:dyDescent="0.2">
      <c r="A1344">
        <v>6</v>
      </c>
      <c r="B1344" t="s">
        <v>94</v>
      </c>
      <c r="E1344" t="s">
        <v>19</v>
      </c>
      <c r="F1344">
        <v>2940825</v>
      </c>
      <c r="G1344">
        <v>3</v>
      </c>
      <c r="H1344">
        <v>2</v>
      </c>
      <c r="I1344">
        <v>76</v>
      </c>
      <c r="J1344">
        <v>1966</v>
      </c>
      <c r="K1344" s="4">
        <v>44772</v>
      </c>
      <c r="L1344" t="s">
        <v>30</v>
      </c>
      <c r="M1344" t="s">
        <v>68</v>
      </c>
      <c r="N1344">
        <v>2.83</v>
      </c>
      <c r="O1344">
        <v>919</v>
      </c>
      <c r="P1344">
        <v>3.43</v>
      </c>
      <c r="Q1344">
        <v>261</v>
      </c>
      <c r="R1344">
        <v>500</v>
      </c>
    </row>
    <row r="1345" spans="1:18" x14ac:dyDescent="0.2">
      <c r="A1345">
        <v>8</v>
      </c>
      <c r="B1345" t="s">
        <v>48</v>
      </c>
      <c r="C1345" t="str">
        <f>VLOOKUP(B1345, 'Council Area'!$A$2:$B$51, 2)</f>
        <v>Inner West Council</v>
      </c>
      <c r="D1345" t="str">
        <f>_xlfn.XLOOKUP(B1345, 'Council Area'!$A$2:$A$51, 'Council Area'!$B$2:$B$51)</f>
        <v>Inner West Council</v>
      </c>
      <c r="E1345" t="s">
        <v>36</v>
      </c>
      <c r="F1345">
        <v>1584463</v>
      </c>
      <c r="G1345">
        <v>3</v>
      </c>
      <c r="H1345">
        <v>2</v>
      </c>
      <c r="I1345">
        <v>977</v>
      </c>
      <c r="J1345">
        <v>1968</v>
      </c>
      <c r="K1345" s="4">
        <v>44265</v>
      </c>
      <c r="L1345" t="s">
        <v>30</v>
      </c>
      <c r="M1345" t="s">
        <v>82</v>
      </c>
      <c r="N1345">
        <v>2.21</v>
      </c>
      <c r="O1345">
        <v>2193</v>
      </c>
      <c r="P1345">
        <v>0.56000000000000005</v>
      </c>
      <c r="Q1345">
        <v>93</v>
      </c>
      <c r="R1345">
        <v>661</v>
      </c>
    </row>
    <row r="1346" spans="1:18" hidden="1" x14ac:dyDescent="0.2">
      <c r="A1346">
        <v>1</v>
      </c>
      <c r="B1346" t="s">
        <v>61</v>
      </c>
      <c r="E1346" t="s">
        <v>29</v>
      </c>
      <c r="F1346">
        <v>1893991</v>
      </c>
      <c r="G1346">
        <v>4</v>
      </c>
      <c r="H1346">
        <v>3</v>
      </c>
      <c r="I1346">
        <v>148</v>
      </c>
      <c r="J1346">
        <v>2004</v>
      </c>
      <c r="K1346" s="4">
        <v>44928</v>
      </c>
      <c r="L1346" t="s">
        <v>20</v>
      </c>
      <c r="M1346" t="s">
        <v>85</v>
      </c>
      <c r="N1346">
        <v>1.52</v>
      </c>
      <c r="O1346">
        <v>1476</v>
      </c>
      <c r="P1346">
        <v>2.35</v>
      </c>
      <c r="Q1346">
        <v>299</v>
      </c>
      <c r="R1346">
        <v>610</v>
      </c>
    </row>
    <row r="1347" spans="1:18" hidden="1" x14ac:dyDescent="0.2">
      <c r="A1347">
        <v>7</v>
      </c>
      <c r="B1347" t="s">
        <v>67</v>
      </c>
      <c r="E1347" t="s">
        <v>51</v>
      </c>
      <c r="F1347">
        <v>949277</v>
      </c>
      <c r="G1347">
        <v>4</v>
      </c>
      <c r="H1347">
        <v>3</v>
      </c>
      <c r="I1347">
        <v>992</v>
      </c>
      <c r="J1347">
        <v>1996</v>
      </c>
      <c r="K1347" s="4">
        <v>45011</v>
      </c>
      <c r="L1347" t="s">
        <v>30</v>
      </c>
      <c r="M1347" t="s">
        <v>70</v>
      </c>
      <c r="N1347">
        <v>3.3</v>
      </c>
      <c r="O1347">
        <v>1484</v>
      </c>
      <c r="P1347">
        <v>2.29</v>
      </c>
      <c r="Q1347">
        <v>321</v>
      </c>
      <c r="R1347">
        <v>567</v>
      </c>
    </row>
    <row r="1348" spans="1:18" hidden="1" x14ac:dyDescent="0.2">
      <c r="A1348">
        <v>7</v>
      </c>
      <c r="B1348" t="s">
        <v>55</v>
      </c>
      <c r="E1348" t="s">
        <v>29</v>
      </c>
      <c r="F1348">
        <v>2278534</v>
      </c>
      <c r="G1348">
        <v>1</v>
      </c>
      <c r="H1348">
        <v>2</v>
      </c>
      <c r="I1348">
        <v>67</v>
      </c>
      <c r="J1348">
        <v>1954</v>
      </c>
      <c r="K1348" s="4">
        <v>44742</v>
      </c>
      <c r="L1348" t="s">
        <v>30</v>
      </c>
      <c r="M1348" t="s">
        <v>40</v>
      </c>
      <c r="N1348">
        <v>1.98</v>
      </c>
      <c r="O1348">
        <v>2149</v>
      </c>
      <c r="P1348">
        <v>4.8</v>
      </c>
      <c r="Q1348">
        <v>160</v>
      </c>
      <c r="R1348">
        <v>368</v>
      </c>
    </row>
    <row r="1349" spans="1:18" hidden="1" x14ac:dyDescent="0.2">
      <c r="A1349">
        <v>9</v>
      </c>
      <c r="B1349" t="s">
        <v>99</v>
      </c>
      <c r="E1349" t="s">
        <v>51</v>
      </c>
      <c r="F1349">
        <v>1533631</v>
      </c>
      <c r="G1349">
        <v>3</v>
      </c>
      <c r="H1349">
        <v>2</v>
      </c>
      <c r="I1349">
        <v>206</v>
      </c>
      <c r="J1349">
        <v>1982</v>
      </c>
      <c r="K1349" s="4">
        <v>44889</v>
      </c>
      <c r="L1349" t="s">
        <v>30</v>
      </c>
      <c r="M1349" t="s">
        <v>54</v>
      </c>
      <c r="N1349">
        <v>2.36</v>
      </c>
      <c r="O1349">
        <v>1065</v>
      </c>
      <c r="P1349">
        <v>0.4</v>
      </c>
      <c r="Q1349">
        <v>255</v>
      </c>
      <c r="R1349">
        <v>445</v>
      </c>
    </row>
    <row r="1350" spans="1:18" x14ac:dyDescent="0.2">
      <c r="A1350">
        <v>8</v>
      </c>
      <c r="B1350" t="s">
        <v>98</v>
      </c>
      <c r="C1350" t="str">
        <f>VLOOKUP(B1350, 'Council Area'!$A$2:$B$51, 2)</f>
        <v>Parramatta City Council</v>
      </c>
      <c r="D1350" t="str">
        <f>_xlfn.XLOOKUP(B1350, 'Council Area'!$A$2:$A$51, 'Council Area'!$B$2:$B$51)</f>
        <v>Parramatta City Council</v>
      </c>
      <c r="E1350" t="s">
        <v>29</v>
      </c>
      <c r="F1350">
        <v>1027607</v>
      </c>
      <c r="G1350">
        <v>2</v>
      </c>
      <c r="H1350">
        <v>3</v>
      </c>
      <c r="I1350">
        <v>539</v>
      </c>
      <c r="J1350">
        <v>2000</v>
      </c>
      <c r="K1350" s="4">
        <v>44500</v>
      </c>
      <c r="L1350" t="s">
        <v>26</v>
      </c>
      <c r="M1350" t="s">
        <v>40</v>
      </c>
      <c r="N1350">
        <v>1.88</v>
      </c>
      <c r="O1350">
        <v>2059</v>
      </c>
      <c r="P1350">
        <v>3.37</v>
      </c>
      <c r="Q1350">
        <v>225</v>
      </c>
      <c r="R1350">
        <v>669</v>
      </c>
    </row>
    <row r="1351" spans="1:18" hidden="1" x14ac:dyDescent="0.2">
      <c r="A1351">
        <v>9</v>
      </c>
      <c r="B1351" t="s">
        <v>71</v>
      </c>
      <c r="E1351" t="s">
        <v>36</v>
      </c>
      <c r="F1351">
        <v>2842902</v>
      </c>
      <c r="G1351">
        <v>3</v>
      </c>
      <c r="H1351">
        <v>1</v>
      </c>
      <c r="I1351">
        <v>606</v>
      </c>
      <c r="J1351">
        <v>1958</v>
      </c>
      <c r="K1351" s="4">
        <v>45229</v>
      </c>
      <c r="L1351" t="s">
        <v>30</v>
      </c>
      <c r="M1351" t="s">
        <v>85</v>
      </c>
      <c r="N1351">
        <v>2.84</v>
      </c>
      <c r="O1351">
        <v>2369</v>
      </c>
      <c r="P1351">
        <v>1.03</v>
      </c>
      <c r="Q1351">
        <v>162</v>
      </c>
      <c r="R1351">
        <v>389</v>
      </c>
    </row>
    <row r="1352" spans="1:18" hidden="1" x14ac:dyDescent="0.2">
      <c r="A1352">
        <v>4</v>
      </c>
      <c r="B1352" t="s">
        <v>57</v>
      </c>
      <c r="E1352" t="s">
        <v>29</v>
      </c>
      <c r="F1352">
        <v>1997079</v>
      </c>
      <c r="G1352">
        <v>4</v>
      </c>
      <c r="H1352">
        <v>3</v>
      </c>
      <c r="I1352">
        <v>155</v>
      </c>
      <c r="J1352">
        <v>1960</v>
      </c>
      <c r="K1352" s="4">
        <v>45476</v>
      </c>
      <c r="L1352" t="s">
        <v>20</v>
      </c>
      <c r="M1352" t="s">
        <v>54</v>
      </c>
      <c r="N1352">
        <v>3.08</v>
      </c>
      <c r="O1352">
        <v>1134</v>
      </c>
      <c r="P1352">
        <v>0.18</v>
      </c>
      <c r="Q1352">
        <v>342</v>
      </c>
      <c r="R1352">
        <v>379</v>
      </c>
    </row>
    <row r="1353" spans="1:18" hidden="1" x14ac:dyDescent="0.2">
      <c r="A1353">
        <v>9</v>
      </c>
      <c r="B1353" t="s">
        <v>87</v>
      </c>
      <c r="E1353" t="s">
        <v>19</v>
      </c>
      <c r="F1353">
        <v>570182</v>
      </c>
      <c r="G1353">
        <v>4</v>
      </c>
      <c r="H1353">
        <v>2</v>
      </c>
      <c r="I1353">
        <v>842</v>
      </c>
      <c r="J1353">
        <v>1968</v>
      </c>
      <c r="K1353" s="4">
        <v>44799</v>
      </c>
      <c r="L1353" t="s">
        <v>30</v>
      </c>
      <c r="M1353" t="s">
        <v>45</v>
      </c>
      <c r="N1353">
        <v>2.2999999999999998</v>
      </c>
      <c r="O1353">
        <v>1264</v>
      </c>
      <c r="P1353">
        <v>2.29</v>
      </c>
      <c r="Q1353">
        <v>250</v>
      </c>
      <c r="R1353">
        <v>328</v>
      </c>
    </row>
    <row r="1354" spans="1:18" hidden="1" x14ac:dyDescent="0.2">
      <c r="A1354">
        <v>9</v>
      </c>
      <c r="B1354" t="s">
        <v>50</v>
      </c>
      <c r="E1354" t="s">
        <v>36</v>
      </c>
      <c r="F1354">
        <v>765608</v>
      </c>
      <c r="G1354">
        <v>1</v>
      </c>
      <c r="H1354">
        <v>2</v>
      </c>
      <c r="I1354">
        <v>417</v>
      </c>
      <c r="J1354">
        <v>1979</v>
      </c>
      <c r="K1354" s="4">
        <v>44325</v>
      </c>
      <c r="L1354" t="s">
        <v>26</v>
      </c>
      <c r="M1354" t="s">
        <v>74</v>
      </c>
      <c r="N1354">
        <v>1.58</v>
      </c>
      <c r="O1354">
        <v>1077</v>
      </c>
      <c r="P1354">
        <v>4.8499999999999996</v>
      </c>
      <c r="Q1354">
        <v>135</v>
      </c>
      <c r="R1354">
        <v>353</v>
      </c>
    </row>
    <row r="1355" spans="1:18" hidden="1" x14ac:dyDescent="0.2">
      <c r="A1355">
        <v>7</v>
      </c>
      <c r="B1355" t="s">
        <v>93</v>
      </c>
      <c r="E1355" t="s">
        <v>51</v>
      </c>
      <c r="F1355">
        <v>1093756</v>
      </c>
      <c r="G1355">
        <v>5</v>
      </c>
      <c r="H1355">
        <v>3</v>
      </c>
      <c r="I1355">
        <v>97</v>
      </c>
      <c r="J1355">
        <v>1973</v>
      </c>
      <c r="K1355" s="4">
        <v>44552</v>
      </c>
      <c r="L1355" t="s">
        <v>30</v>
      </c>
      <c r="M1355" t="s">
        <v>58</v>
      </c>
      <c r="N1355">
        <v>2.31</v>
      </c>
      <c r="O1355">
        <v>987</v>
      </c>
      <c r="P1355">
        <v>0.3</v>
      </c>
      <c r="Q1355">
        <v>323</v>
      </c>
      <c r="R1355">
        <v>583</v>
      </c>
    </row>
    <row r="1356" spans="1:18" hidden="1" x14ac:dyDescent="0.2">
      <c r="A1356">
        <v>6</v>
      </c>
      <c r="B1356" t="s">
        <v>41</v>
      </c>
      <c r="E1356" t="s">
        <v>19</v>
      </c>
      <c r="F1356">
        <v>880295</v>
      </c>
      <c r="G1356">
        <v>1</v>
      </c>
      <c r="H1356">
        <v>3</v>
      </c>
      <c r="I1356">
        <v>375</v>
      </c>
      <c r="J1356">
        <v>2010</v>
      </c>
      <c r="K1356" s="4">
        <v>44625</v>
      </c>
      <c r="L1356" t="s">
        <v>30</v>
      </c>
      <c r="M1356" t="s">
        <v>97</v>
      </c>
      <c r="N1356">
        <v>2.36</v>
      </c>
      <c r="O1356">
        <v>2310</v>
      </c>
      <c r="P1356">
        <v>4.38</v>
      </c>
      <c r="Q1356">
        <v>132</v>
      </c>
      <c r="R1356">
        <v>653</v>
      </c>
    </row>
    <row r="1357" spans="1:18" x14ac:dyDescent="0.2">
      <c r="A1357">
        <v>8</v>
      </c>
      <c r="B1357" t="s">
        <v>57</v>
      </c>
      <c r="C1357" t="str">
        <f>VLOOKUP(B1357, 'Council Area'!$A$2:$B$51, 2)</f>
        <v>Blacktown City Council</v>
      </c>
      <c r="D1357" t="str">
        <f>_xlfn.XLOOKUP(B1357, 'Council Area'!$A$2:$A$51, 'Council Area'!$B$2:$B$51)</f>
        <v>Blacktown City Council</v>
      </c>
      <c r="E1357" t="s">
        <v>36</v>
      </c>
      <c r="F1357">
        <v>1928584</v>
      </c>
      <c r="G1357">
        <v>5</v>
      </c>
      <c r="H1357">
        <v>2</v>
      </c>
      <c r="I1357">
        <v>635</v>
      </c>
      <c r="J1357">
        <v>2002</v>
      </c>
      <c r="K1357" s="4">
        <v>44073</v>
      </c>
      <c r="L1357" t="s">
        <v>30</v>
      </c>
      <c r="M1357" t="s">
        <v>58</v>
      </c>
      <c r="N1357">
        <v>3.47</v>
      </c>
      <c r="O1357">
        <v>1706</v>
      </c>
      <c r="P1357">
        <v>1.37</v>
      </c>
      <c r="Q1357">
        <v>400</v>
      </c>
      <c r="R1357">
        <v>379</v>
      </c>
    </row>
    <row r="1358" spans="1:18" hidden="1" x14ac:dyDescent="0.2">
      <c r="A1358">
        <v>3</v>
      </c>
      <c r="B1358" t="s">
        <v>106</v>
      </c>
      <c r="E1358" t="s">
        <v>29</v>
      </c>
      <c r="F1358">
        <v>2115762</v>
      </c>
      <c r="G1358">
        <v>6</v>
      </c>
      <c r="H1358">
        <v>2</v>
      </c>
      <c r="I1358">
        <v>70</v>
      </c>
      <c r="J1358">
        <v>1954</v>
      </c>
      <c r="K1358" s="4">
        <v>44450</v>
      </c>
      <c r="L1358" t="s">
        <v>20</v>
      </c>
      <c r="M1358" t="s">
        <v>59</v>
      </c>
      <c r="N1358">
        <v>2.92</v>
      </c>
      <c r="O1358">
        <v>1219</v>
      </c>
      <c r="P1358">
        <v>0.78</v>
      </c>
      <c r="Q1358">
        <v>374</v>
      </c>
      <c r="R1358">
        <v>535</v>
      </c>
    </row>
    <row r="1359" spans="1:18" hidden="1" x14ac:dyDescent="0.2">
      <c r="A1359">
        <v>6</v>
      </c>
      <c r="B1359" t="s">
        <v>99</v>
      </c>
      <c r="E1359" t="s">
        <v>29</v>
      </c>
      <c r="F1359">
        <v>2659327</v>
      </c>
      <c r="G1359">
        <v>6</v>
      </c>
      <c r="H1359">
        <v>1</v>
      </c>
      <c r="I1359">
        <v>283</v>
      </c>
      <c r="J1359">
        <v>2003</v>
      </c>
      <c r="K1359" s="4">
        <v>44079</v>
      </c>
      <c r="L1359" t="s">
        <v>26</v>
      </c>
      <c r="M1359" t="s">
        <v>82</v>
      </c>
      <c r="N1359">
        <v>2</v>
      </c>
      <c r="O1359">
        <v>1815</v>
      </c>
      <c r="P1359">
        <v>2.76</v>
      </c>
      <c r="Q1359">
        <v>388</v>
      </c>
      <c r="R1359">
        <v>526</v>
      </c>
    </row>
    <row r="1360" spans="1:18" hidden="1" x14ac:dyDescent="0.2">
      <c r="A1360">
        <v>7</v>
      </c>
      <c r="B1360" t="s">
        <v>75</v>
      </c>
      <c r="E1360" t="s">
        <v>29</v>
      </c>
      <c r="F1360">
        <v>1563661</v>
      </c>
      <c r="G1360">
        <v>4</v>
      </c>
      <c r="H1360">
        <v>1</v>
      </c>
      <c r="I1360">
        <v>835</v>
      </c>
      <c r="J1360">
        <v>1950</v>
      </c>
      <c r="K1360" s="4">
        <v>44066</v>
      </c>
      <c r="L1360" t="s">
        <v>26</v>
      </c>
      <c r="M1360" t="s">
        <v>68</v>
      </c>
      <c r="N1360">
        <v>2.75</v>
      </c>
      <c r="O1360">
        <v>815</v>
      </c>
      <c r="P1360">
        <v>0.93</v>
      </c>
      <c r="Q1360">
        <v>331</v>
      </c>
      <c r="R1360">
        <v>317</v>
      </c>
    </row>
    <row r="1361" spans="1:18" hidden="1" x14ac:dyDescent="0.2">
      <c r="A1361">
        <v>5</v>
      </c>
      <c r="B1361" t="s">
        <v>93</v>
      </c>
      <c r="E1361" t="s">
        <v>19</v>
      </c>
      <c r="F1361">
        <v>2979855</v>
      </c>
      <c r="G1361">
        <v>5</v>
      </c>
      <c r="H1361">
        <v>2</v>
      </c>
      <c r="I1361">
        <v>133</v>
      </c>
      <c r="J1361">
        <v>1956</v>
      </c>
      <c r="K1361" s="4">
        <v>44253</v>
      </c>
      <c r="L1361" t="s">
        <v>30</v>
      </c>
      <c r="M1361" t="s">
        <v>63</v>
      </c>
      <c r="N1361">
        <v>2.2799999999999998</v>
      </c>
      <c r="O1361">
        <v>929</v>
      </c>
      <c r="P1361">
        <v>3.68</v>
      </c>
      <c r="Q1361">
        <v>400</v>
      </c>
      <c r="R1361">
        <v>456</v>
      </c>
    </row>
    <row r="1362" spans="1:18" hidden="1" x14ac:dyDescent="0.2">
      <c r="A1362">
        <v>6</v>
      </c>
      <c r="B1362" t="s">
        <v>65</v>
      </c>
      <c r="E1362" t="s">
        <v>19</v>
      </c>
      <c r="F1362">
        <v>730548</v>
      </c>
      <c r="G1362">
        <v>3</v>
      </c>
      <c r="H1362">
        <v>1</v>
      </c>
      <c r="I1362">
        <v>78</v>
      </c>
      <c r="J1362">
        <v>2026</v>
      </c>
      <c r="K1362" s="4">
        <v>44371</v>
      </c>
      <c r="L1362" t="s">
        <v>30</v>
      </c>
      <c r="M1362" t="s">
        <v>56</v>
      </c>
      <c r="N1362">
        <v>1.6</v>
      </c>
      <c r="O1362">
        <v>1929</v>
      </c>
      <c r="P1362">
        <v>4.84</v>
      </c>
      <c r="Q1362">
        <v>120</v>
      </c>
      <c r="R1362">
        <v>623</v>
      </c>
    </row>
    <row r="1363" spans="1:18" hidden="1" x14ac:dyDescent="0.2">
      <c r="A1363">
        <v>7</v>
      </c>
      <c r="B1363" t="s">
        <v>41</v>
      </c>
      <c r="E1363" t="s">
        <v>29</v>
      </c>
      <c r="F1363">
        <v>2296714</v>
      </c>
      <c r="G1363">
        <v>1</v>
      </c>
      <c r="H1363">
        <v>1</v>
      </c>
      <c r="I1363">
        <v>148</v>
      </c>
      <c r="J1363">
        <v>1954</v>
      </c>
      <c r="K1363" s="4">
        <v>45034</v>
      </c>
      <c r="L1363" t="s">
        <v>20</v>
      </c>
      <c r="M1363" t="s">
        <v>31</v>
      </c>
      <c r="N1363">
        <v>2.4300000000000002</v>
      </c>
      <c r="O1363">
        <v>2427</v>
      </c>
      <c r="P1363">
        <v>0.39</v>
      </c>
      <c r="Q1363">
        <v>123</v>
      </c>
      <c r="R1363">
        <v>672</v>
      </c>
    </row>
    <row r="1364" spans="1:18" hidden="1" x14ac:dyDescent="0.2">
      <c r="A1364">
        <v>0</v>
      </c>
      <c r="B1364" t="s">
        <v>53</v>
      </c>
      <c r="E1364" t="s">
        <v>36</v>
      </c>
      <c r="F1364">
        <v>1269223</v>
      </c>
      <c r="G1364">
        <v>5</v>
      </c>
      <c r="H1364">
        <v>2</v>
      </c>
      <c r="I1364">
        <v>332</v>
      </c>
      <c r="J1364">
        <v>2013</v>
      </c>
      <c r="K1364" s="4">
        <v>45436</v>
      </c>
      <c r="L1364" t="s">
        <v>30</v>
      </c>
      <c r="M1364" t="s">
        <v>85</v>
      </c>
      <c r="N1364">
        <v>1.52</v>
      </c>
      <c r="O1364">
        <v>944</v>
      </c>
      <c r="P1364">
        <v>3.91</v>
      </c>
      <c r="Q1364">
        <v>400</v>
      </c>
      <c r="R1364">
        <v>533</v>
      </c>
    </row>
    <row r="1365" spans="1:18" hidden="1" x14ac:dyDescent="0.2">
      <c r="A1365">
        <v>2</v>
      </c>
      <c r="B1365" t="s">
        <v>79</v>
      </c>
      <c r="E1365" t="s">
        <v>19</v>
      </c>
      <c r="F1365">
        <v>2633714</v>
      </c>
      <c r="G1365">
        <v>2</v>
      </c>
      <c r="H1365">
        <v>3</v>
      </c>
      <c r="I1365">
        <v>588</v>
      </c>
      <c r="J1365">
        <v>2022</v>
      </c>
      <c r="K1365" s="4">
        <v>44092</v>
      </c>
      <c r="L1365" t="s">
        <v>20</v>
      </c>
      <c r="M1365" t="s">
        <v>31</v>
      </c>
      <c r="N1365">
        <v>2.88</v>
      </c>
      <c r="O1365">
        <v>1686</v>
      </c>
      <c r="P1365">
        <v>2.89</v>
      </c>
      <c r="Q1365">
        <v>166</v>
      </c>
      <c r="R1365">
        <v>440</v>
      </c>
    </row>
    <row r="1366" spans="1:18" hidden="1" x14ac:dyDescent="0.2">
      <c r="A1366">
        <v>7</v>
      </c>
      <c r="B1366" t="s">
        <v>95</v>
      </c>
      <c r="E1366" t="s">
        <v>51</v>
      </c>
      <c r="F1366">
        <v>2826795</v>
      </c>
      <c r="G1366">
        <v>3</v>
      </c>
      <c r="H1366">
        <v>1</v>
      </c>
      <c r="I1366">
        <v>241</v>
      </c>
      <c r="J1366">
        <v>2011</v>
      </c>
      <c r="K1366" s="4">
        <v>45209</v>
      </c>
      <c r="L1366" t="s">
        <v>20</v>
      </c>
      <c r="M1366" t="s">
        <v>21</v>
      </c>
      <c r="N1366">
        <v>3.48</v>
      </c>
      <c r="O1366">
        <v>2061</v>
      </c>
      <c r="P1366">
        <v>4.6900000000000004</v>
      </c>
      <c r="Q1366">
        <v>172</v>
      </c>
      <c r="R1366">
        <v>557</v>
      </c>
    </row>
    <row r="1367" spans="1:18" hidden="1" x14ac:dyDescent="0.2">
      <c r="A1367">
        <v>5</v>
      </c>
      <c r="B1367" t="s">
        <v>104</v>
      </c>
      <c r="E1367" t="s">
        <v>19</v>
      </c>
      <c r="F1367">
        <v>858872</v>
      </c>
      <c r="G1367">
        <v>2</v>
      </c>
      <c r="H1367">
        <v>1</v>
      </c>
      <c r="I1367">
        <v>454</v>
      </c>
      <c r="J1367">
        <v>2021</v>
      </c>
      <c r="K1367" s="4">
        <v>44963</v>
      </c>
      <c r="L1367" t="s">
        <v>30</v>
      </c>
      <c r="M1367" t="s">
        <v>60</v>
      </c>
      <c r="N1367">
        <v>1.99</v>
      </c>
      <c r="O1367">
        <v>1359</v>
      </c>
      <c r="P1367">
        <v>4.32</v>
      </c>
      <c r="Q1367">
        <v>91</v>
      </c>
      <c r="R1367">
        <v>685</v>
      </c>
    </row>
    <row r="1368" spans="1:18" hidden="1" x14ac:dyDescent="0.2">
      <c r="A1368">
        <v>0</v>
      </c>
      <c r="B1368" t="s">
        <v>83</v>
      </c>
      <c r="E1368" t="s">
        <v>19</v>
      </c>
      <c r="F1368">
        <v>1436896</v>
      </c>
      <c r="G1368">
        <v>3</v>
      </c>
      <c r="H1368">
        <v>3</v>
      </c>
      <c r="I1368">
        <v>823</v>
      </c>
      <c r="J1368">
        <v>2011</v>
      </c>
      <c r="K1368" s="4">
        <v>45152</v>
      </c>
      <c r="L1368" t="s">
        <v>20</v>
      </c>
      <c r="M1368" t="s">
        <v>69</v>
      </c>
      <c r="N1368">
        <v>2.21</v>
      </c>
      <c r="O1368">
        <v>2051</v>
      </c>
      <c r="P1368">
        <v>2.96</v>
      </c>
      <c r="Q1368">
        <v>154</v>
      </c>
      <c r="R1368">
        <v>566</v>
      </c>
    </row>
    <row r="1369" spans="1:18" hidden="1" x14ac:dyDescent="0.2">
      <c r="A1369">
        <v>1</v>
      </c>
      <c r="B1369" t="s">
        <v>105</v>
      </c>
      <c r="E1369" t="s">
        <v>29</v>
      </c>
      <c r="F1369">
        <v>2728061</v>
      </c>
      <c r="G1369">
        <v>3</v>
      </c>
      <c r="H1369">
        <v>3</v>
      </c>
      <c r="I1369">
        <v>584</v>
      </c>
      <c r="J1369">
        <v>2003</v>
      </c>
      <c r="K1369" s="4">
        <v>45072</v>
      </c>
      <c r="L1369" t="s">
        <v>30</v>
      </c>
      <c r="M1369" t="s">
        <v>47</v>
      </c>
      <c r="N1369">
        <v>3.17</v>
      </c>
      <c r="O1369">
        <v>1635</v>
      </c>
      <c r="P1369">
        <v>0.12</v>
      </c>
      <c r="Q1369">
        <v>108</v>
      </c>
      <c r="R1369">
        <v>577</v>
      </c>
    </row>
    <row r="1370" spans="1:18" hidden="1" x14ac:dyDescent="0.2">
      <c r="A1370">
        <v>3</v>
      </c>
      <c r="B1370" t="s">
        <v>87</v>
      </c>
      <c r="E1370" t="s">
        <v>19</v>
      </c>
      <c r="F1370">
        <v>1484280</v>
      </c>
      <c r="G1370">
        <v>2</v>
      </c>
      <c r="H1370">
        <v>1</v>
      </c>
      <c r="I1370">
        <v>511</v>
      </c>
      <c r="J1370">
        <v>1975</v>
      </c>
      <c r="K1370" s="4">
        <v>45372</v>
      </c>
      <c r="L1370" t="s">
        <v>26</v>
      </c>
      <c r="M1370" t="s">
        <v>35</v>
      </c>
      <c r="N1370">
        <v>3.1</v>
      </c>
      <c r="O1370">
        <v>2431</v>
      </c>
      <c r="P1370">
        <v>4.84</v>
      </c>
      <c r="Q1370">
        <v>205</v>
      </c>
      <c r="R1370">
        <v>547</v>
      </c>
    </row>
    <row r="1371" spans="1:18" hidden="1" x14ac:dyDescent="0.2">
      <c r="A1371">
        <v>6</v>
      </c>
      <c r="B1371" t="s">
        <v>99</v>
      </c>
      <c r="E1371" t="s">
        <v>29</v>
      </c>
      <c r="F1371">
        <v>2660424</v>
      </c>
      <c r="G1371">
        <v>1</v>
      </c>
      <c r="H1371">
        <v>1</v>
      </c>
      <c r="I1371">
        <v>119</v>
      </c>
      <c r="J1371">
        <v>1962</v>
      </c>
      <c r="K1371" s="4">
        <v>44874</v>
      </c>
      <c r="L1371" t="s">
        <v>26</v>
      </c>
      <c r="M1371" t="s">
        <v>66</v>
      </c>
      <c r="N1371">
        <v>2.13</v>
      </c>
      <c r="O1371">
        <v>1700</v>
      </c>
      <c r="P1371">
        <v>1.51</v>
      </c>
      <c r="Q1371">
        <v>99</v>
      </c>
      <c r="R1371">
        <v>574</v>
      </c>
    </row>
    <row r="1372" spans="1:18" hidden="1" x14ac:dyDescent="0.2">
      <c r="A1372">
        <v>9</v>
      </c>
      <c r="B1372" t="s">
        <v>64</v>
      </c>
      <c r="E1372" t="s">
        <v>51</v>
      </c>
      <c r="F1372">
        <v>761269</v>
      </c>
      <c r="G1372">
        <v>1</v>
      </c>
      <c r="H1372">
        <v>3</v>
      </c>
      <c r="I1372">
        <v>708</v>
      </c>
      <c r="J1372">
        <v>1950</v>
      </c>
      <c r="K1372" s="4">
        <v>44260</v>
      </c>
      <c r="L1372" t="s">
        <v>30</v>
      </c>
      <c r="M1372" t="s">
        <v>31</v>
      </c>
      <c r="N1372">
        <v>1.82</v>
      </c>
      <c r="O1372">
        <v>1873</v>
      </c>
      <c r="P1372">
        <v>4.7</v>
      </c>
      <c r="Q1372">
        <v>160</v>
      </c>
      <c r="R1372">
        <v>496</v>
      </c>
    </row>
    <row r="1373" spans="1:18" hidden="1" x14ac:dyDescent="0.2">
      <c r="A1373">
        <v>4</v>
      </c>
      <c r="B1373" t="s">
        <v>18</v>
      </c>
      <c r="E1373" t="s">
        <v>36</v>
      </c>
      <c r="F1373">
        <v>704282</v>
      </c>
      <c r="G1373">
        <v>2</v>
      </c>
      <c r="H1373">
        <v>1</v>
      </c>
      <c r="I1373">
        <v>568</v>
      </c>
      <c r="J1373">
        <v>1980</v>
      </c>
      <c r="K1373" s="4">
        <v>44708</v>
      </c>
      <c r="L1373" t="s">
        <v>26</v>
      </c>
      <c r="M1373" t="s">
        <v>78</v>
      </c>
      <c r="N1373">
        <v>2.0299999999999998</v>
      </c>
      <c r="O1373">
        <v>2387</v>
      </c>
      <c r="P1373">
        <v>2.83</v>
      </c>
      <c r="Q1373">
        <v>86</v>
      </c>
      <c r="R1373">
        <v>522</v>
      </c>
    </row>
    <row r="1374" spans="1:18" hidden="1" x14ac:dyDescent="0.2">
      <c r="A1374">
        <v>2</v>
      </c>
      <c r="B1374" t="s">
        <v>67</v>
      </c>
      <c r="E1374" t="s">
        <v>29</v>
      </c>
      <c r="F1374">
        <v>2822577</v>
      </c>
      <c r="G1374">
        <v>3</v>
      </c>
      <c r="H1374">
        <v>1</v>
      </c>
      <c r="I1374">
        <v>483</v>
      </c>
      <c r="J1374">
        <v>2011</v>
      </c>
      <c r="K1374" s="4">
        <v>45470</v>
      </c>
      <c r="L1374" t="s">
        <v>23</v>
      </c>
      <c r="M1374" t="s">
        <v>74</v>
      </c>
      <c r="N1374">
        <v>1.52</v>
      </c>
      <c r="O1374">
        <v>1949</v>
      </c>
      <c r="P1374">
        <v>1.93</v>
      </c>
      <c r="Q1374">
        <v>262</v>
      </c>
      <c r="R1374">
        <v>369</v>
      </c>
    </row>
    <row r="1375" spans="1:18" hidden="1" x14ac:dyDescent="0.2">
      <c r="A1375">
        <v>2</v>
      </c>
      <c r="B1375" t="s">
        <v>71</v>
      </c>
      <c r="E1375" t="s">
        <v>29</v>
      </c>
      <c r="F1375">
        <v>2117233</v>
      </c>
      <c r="G1375">
        <v>2</v>
      </c>
      <c r="H1375">
        <v>2</v>
      </c>
      <c r="I1375">
        <v>281</v>
      </c>
      <c r="J1375">
        <v>1950</v>
      </c>
      <c r="K1375" s="4">
        <v>45779</v>
      </c>
      <c r="L1375" t="s">
        <v>26</v>
      </c>
      <c r="M1375" t="s">
        <v>78</v>
      </c>
      <c r="N1375">
        <v>2.25</v>
      </c>
      <c r="O1375">
        <v>1821</v>
      </c>
      <c r="P1375">
        <v>0.12</v>
      </c>
      <c r="Q1375">
        <v>154</v>
      </c>
      <c r="R1375">
        <v>377</v>
      </c>
    </row>
    <row r="1376" spans="1:18" hidden="1" x14ac:dyDescent="0.2">
      <c r="A1376">
        <v>9</v>
      </c>
      <c r="B1376" t="s">
        <v>104</v>
      </c>
      <c r="E1376" t="s">
        <v>51</v>
      </c>
      <c r="F1376">
        <v>1203948</v>
      </c>
      <c r="G1376">
        <v>6</v>
      </c>
      <c r="H1376">
        <v>3</v>
      </c>
      <c r="I1376">
        <v>679</v>
      </c>
      <c r="J1376">
        <v>2003</v>
      </c>
      <c r="K1376" s="4">
        <v>45136</v>
      </c>
      <c r="L1376" t="s">
        <v>30</v>
      </c>
      <c r="M1376" t="s">
        <v>47</v>
      </c>
      <c r="N1376">
        <v>3.16</v>
      </c>
      <c r="O1376">
        <v>1953</v>
      </c>
      <c r="P1376">
        <v>3.78</v>
      </c>
      <c r="Q1376">
        <v>351</v>
      </c>
      <c r="R1376">
        <v>654</v>
      </c>
    </row>
    <row r="1377" spans="1:18" hidden="1" x14ac:dyDescent="0.2">
      <c r="A1377">
        <v>2</v>
      </c>
      <c r="B1377" t="s">
        <v>53</v>
      </c>
      <c r="E1377" t="s">
        <v>19</v>
      </c>
      <c r="F1377">
        <v>2787279</v>
      </c>
      <c r="G1377">
        <v>2</v>
      </c>
      <c r="H1377">
        <v>3</v>
      </c>
      <c r="I1377">
        <v>395</v>
      </c>
      <c r="J1377">
        <v>1999</v>
      </c>
      <c r="K1377" s="4">
        <v>45280</v>
      </c>
      <c r="L1377" t="s">
        <v>30</v>
      </c>
      <c r="M1377" t="s">
        <v>47</v>
      </c>
      <c r="N1377">
        <v>2.4</v>
      </c>
      <c r="O1377">
        <v>2410</v>
      </c>
      <c r="P1377">
        <v>2.31</v>
      </c>
      <c r="Q1377">
        <v>68</v>
      </c>
      <c r="R1377">
        <v>501</v>
      </c>
    </row>
    <row r="1378" spans="1:18" hidden="1" x14ac:dyDescent="0.2">
      <c r="A1378">
        <v>3</v>
      </c>
      <c r="B1378" t="s">
        <v>90</v>
      </c>
      <c r="E1378" t="s">
        <v>36</v>
      </c>
      <c r="F1378">
        <v>639387</v>
      </c>
      <c r="G1378">
        <v>2</v>
      </c>
      <c r="H1378">
        <v>3</v>
      </c>
      <c r="I1378">
        <v>974</v>
      </c>
      <c r="J1378">
        <v>2022</v>
      </c>
      <c r="K1378" s="4">
        <v>44104</v>
      </c>
      <c r="L1378" t="s">
        <v>26</v>
      </c>
      <c r="M1378" t="s">
        <v>35</v>
      </c>
      <c r="N1378">
        <v>2.27</v>
      </c>
      <c r="O1378">
        <v>1197</v>
      </c>
      <c r="P1378">
        <v>4.74</v>
      </c>
      <c r="Q1378">
        <v>170</v>
      </c>
      <c r="R1378">
        <v>668</v>
      </c>
    </row>
    <row r="1379" spans="1:18" hidden="1" x14ac:dyDescent="0.2">
      <c r="A1379">
        <v>0</v>
      </c>
      <c r="B1379" t="s">
        <v>84</v>
      </c>
      <c r="E1379" t="s">
        <v>19</v>
      </c>
      <c r="F1379">
        <v>1918749</v>
      </c>
      <c r="G1379">
        <v>3</v>
      </c>
      <c r="H1379">
        <v>1</v>
      </c>
      <c r="I1379">
        <v>462</v>
      </c>
      <c r="J1379">
        <v>2022</v>
      </c>
      <c r="K1379" s="4">
        <v>45683</v>
      </c>
      <c r="L1379" t="s">
        <v>20</v>
      </c>
      <c r="M1379" t="s">
        <v>47</v>
      </c>
      <c r="N1379">
        <v>2.25</v>
      </c>
      <c r="O1379">
        <v>1875</v>
      </c>
      <c r="P1379">
        <v>2.36</v>
      </c>
      <c r="Q1379">
        <v>88</v>
      </c>
      <c r="R1379">
        <v>529</v>
      </c>
    </row>
    <row r="1380" spans="1:18" hidden="1" x14ac:dyDescent="0.2">
      <c r="A1380">
        <v>5</v>
      </c>
      <c r="B1380" t="s">
        <v>95</v>
      </c>
      <c r="E1380" t="s">
        <v>19</v>
      </c>
      <c r="F1380">
        <v>1792992</v>
      </c>
      <c r="G1380">
        <v>2</v>
      </c>
      <c r="H1380">
        <v>3</v>
      </c>
      <c r="I1380">
        <v>294</v>
      </c>
      <c r="J1380">
        <v>1973</v>
      </c>
      <c r="K1380" s="4">
        <v>44243</v>
      </c>
      <c r="L1380" t="s">
        <v>26</v>
      </c>
      <c r="M1380" t="s">
        <v>82</v>
      </c>
      <c r="N1380">
        <v>2.0099999999999998</v>
      </c>
      <c r="O1380">
        <v>1764</v>
      </c>
      <c r="P1380">
        <v>4.12</v>
      </c>
      <c r="Q1380">
        <v>64</v>
      </c>
      <c r="R1380">
        <v>562</v>
      </c>
    </row>
    <row r="1381" spans="1:18" hidden="1" x14ac:dyDescent="0.2">
      <c r="A1381">
        <v>2</v>
      </c>
      <c r="B1381" t="s">
        <v>81</v>
      </c>
      <c r="E1381" t="s">
        <v>36</v>
      </c>
      <c r="F1381">
        <v>1618368</v>
      </c>
      <c r="G1381">
        <v>3</v>
      </c>
      <c r="H1381">
        <v>1</v>
      </c>
      <c r="I1381">
        <v>918</v>
      </c>
      <c r="J1381">
        <v>1958</v>
      </c>
      <c r="K1381" s="4">
        <v>44808</v>
      </c>
      <c r="L1381" t="s">
        <v>26</v>
      </c>
      <c r="M1381" t="s">
        <v>82</v>
      </c>
      <c r="N1381">
        <v>3.16</v>
      </c>
      <c r="O1381">
        <v>1607</v>
      </c>
      <c r="P1381">
        <v>2.2599999999999998</v>
      </c>
      <c r="Q1381">
        <v>133</v>
      </c>
      <c r="R1381">
        <v>536</v>
      </c>
    </row>
    <row r="1382" spans="1:18" hidden="1" x14ac:dyDescent="0.2">
      <c r="A1382">
        <v>0</v>
      </c>
      <c r="B1382" t="s">
        <v>73</v>
      </c>
      <c r="E1382" t="s">
        <v>51</v>
      </c>
      <c r="F1382">
        <v>1233999</v>
      </c>
      <c r="G1382">
        <v>3</v>
      </c>
      <c r="H1382">
        <v>3</v>
      </c>
      <c r="I1382">
        <v>849</v>
      </c>
      <c r="J1382">
        <v>1986</v>
      </c>
      <c r="K1382" s="4">
        <v>44819</v>
      </c>
      <c r="L1382" t="s">
        <v>30</v>
      </c>
      <c r="M1382" t="s">
        <v>74</v>
      </c>
      <c r="N1382">
        <v>2.73</v>
      </c>
      <c r="O1382">
        <v>1537</v>
      </c>
      <c r="P1382">
        <v>3.69</v>
      </c>
      <c r="Q1382">
        <v>250</v>
      </c>
      <c r="R1382">
        <v>431</v>
      </c>
    </row>
    <row r="1383" spans="1:18" hidden="1" x14ac:dyDescent="0.2">
      <c r="A1383">
        <v>0</v>
      </c>
      <c r="B1383" t="s">
        <v>32</v>
      </c>
      <c r="E1383" t="s">
        <v>19</v>
      </c>
      <c r="F1383">
        <v>1330761</v>
      </c>
      <c r="G1383">
        <v>5</v>
      </c>
      <c r="H1383">
        <v>2</v>
      </c>
      <c r="I1383">
        <v>721</v>
      </c>
      <c r="J1383">
        <v>1968</v>
      </c>
      <c r="K1383" s="4">
        <v>44863</v>
      </c>
      <c r="L1383" t="s">
        <v>30</v>
      </c>
      <c r="M1383" t="s">
        <v>12</v>
      </c>
      <c r="N1383">
        <v>3.3</v>
      </c>
      <c r="O1383">
        <v>2306</v>
      </c>
      <c r="P1383">
        <v>0.33</v>
      </c>
      <c r="Q1383">
        <v>369</v>
      </c>
      <c r="R1383">
        <v>366</v>
      </c>
    </row>
    <row r="1384" spans="1:18" hidden="1" x14ac:dyDescent="0.2">
      <c r="A1384">
        <v>2</v>
      </c>
      <c r="B1384" t="s">
        <v>55</v>
      </c>
      <c r="E1384" t="s">
        <v>36</v>
      </c>
      <c r="F1384">
        <v>2648029</v>
      </c>
      <c r="G1384">
        <v>3</v>
      </c>
      <c r="H1384">
        <v>1</v>
      </c>
      <c r="I1384">
        <v>805</v>
      </c>
      <c r="J1384">
        <v>1993</v>
      </c>
      <c r="K1384" s="4">
        <v>45647</v>
      </c>
      <c r="L1384" t="s">
        <v>30</v>
      </c>
      <c r="M1384" t="s">
        <v>77</v>
      </c>
      <c r="N1384">
        <v>1.71</v>
      </c>
      <c r="O1384">
        <v>2340</v>
      </c>
      <c r="P1384">
        <v>4.1900000000000004</v>
      </c>
      <c r="Q1384">
        <v>176</v>
      </c>
      <c r="R1384">
        <v>463</v>
      </c>
    </row>
    <row r="1385" spans="1:18" hidden="1" x14ac:dyDescent="0.2">
      <c r="A1385">
        <v>1</v>
      </c>
      <c r="B1385" t="s">
        <v>64</v>
      </c>
      <c r="E1385" t="s">
        <v>36</v>
      </c>
      <c r="F1385">
        <v>2307407</v>
      </c>
      <c r="G1385">
        <v>4</v>
      </c>
      <c r="H1385">
        <v>2</v>
      </c>
      <c r="I1385">
        <v>52</v>
      </c>
      <c r="J1385">
        <v>2000</v>
      </c>
      <c r="K1385" s="4">
        <v>45532</v>
      </c>
      <c r="L1385" t="s">
        <v>23</v>
      </c>
      <c r="M1385" t="s">
        <v>77</v>
      </c>
      <c r="N1385">
        <v>2.7</v>
      </c>
      <c r="O1385">
        <v>1763</v>
      </c>
      <c r="P1385">
        <v>0.56999999999999995</v>
      </c>
      <c r="Q1385">
        <v>285</v>
      </c>
      <c r="R1385">
        <v>552</v>
      </c>
    </row>
    <row r="1386" spans="1:18" hidden="1" x14ac:dyDescent="0.2">
      <c r="A1386">
        <v>7</v>
      </c>
      <c r="B1386" t="s">
        <v>86</v>
      </c>
      <c r="E1386" t="s">
        <v>19</v>
      </c>
      <c r="F1386">
        <v>2141327</v>
      </c>
      <c r="G1386">
        <v>3</v>
      </c>
      <c r="H1386">
        <v>3</v>
      </c>
      <c r="I1386">
        <v>718</v>
      </c>
      <c r="J1386">
        <v>1988</v>
      </c>
      <c r="K1386" s="4">
        <v>44085</v>
      </c>
      <c r="L1386" t="s">
        <v>20</v>
      </c>
      <c r="M1386" t="s">
        <v>60</v>
      </c>
      <c r="N1386">
        <v>2.2200000000000002</v>
      </c>
      <c r="O1386">
        <v>873</v>
      </c>
      <c r="P1386">
        <v>2.17</v>
      </c>
      <c r="Q1386">
        <v>208</v>
      </c>
      <c r="R1386">
        <v>455</v>
      </c>
    </row>
    <row r="1387" spans="1:18" hidden="1" x14ac:dyDescent="0.2">
      <c r="A1387">
        <v>7</v>
      </c>
      <c r="B1387" t="s">
        <v>57</v>
      </c>
      <c r="E1387" t="s">
        <v>36</v>
      </c>
      <c r="F1387">
        <v>1097379</v>
      </c>
      <c r="G1387">
        <v>3</v>
      </c>
      <c r="H1387">
        <v>2</v>
      </c>
      <c r="I1387">
        <v>625</v>
      </c>
      <c r="J1387">
        <v>1989</v>
      </c>
      <c r="K1387" s="4">
        <v>45229</v>
      </c>
      <c r="L1387" t="s">
        <v>23</v>
      </c>
      <c r="M1387" t="s">
        <v>40</v>
      </c>
      <c r="N1387">
        <v>2.95</v>
      </c>
      <c r="O1387">
        <v>1750</v>
      </c>
      <c r="P1387">
        <v>0.27</v>
      </c>
      <c r="Q1387">
        <v>266</v>
      </c>
      <c r="R1387">
        <v>645</v>
      </c>
    </row>
    <row r="1388" spans="1:18" hidden="1" x14ac:dyDescent="0.2">
      <c r="A1388">
        <v>9</v>
      </c>
      <c r="B1388" t="s">
        <v>67</v>
      </c>
      <c r="E1388" t="s">
        <v>19</v>
      </c>
      <c r="F1388">
        <v>1643466</v>
      </c>
      <c r="G1388">
        <v>4</v>
      </c>
      <c r="H1388">
        <v>1</v>
      </c>
      <c r="I1388">
        <v>174</v>
      </c>
      <c r="J1388">
        <v>1975</v>
      </c>
      <c r="K1388" s="4">
        <v>45670</v>
      </c>
      <c r="L1388" t="s">
        <v>20</v>
      </c>
      <c r="M1388" t="s">
        <v>35</v>
      </c>
      <c r="N1388">
        <v>2.0299999999999998</v>
      </c>
      <c r="O1388">
        <v>1274</v>
      </c>
      <c r="P1388">
        <v>1.28</v>
      </c>
      <c r="Q1388">
        <v>354</v>
      </c>
      <c r="R1388">
        <v>513</v>
      </c>
    </row>
    <row r="1389" spans="1:18" hidden="1" x14ac:dyDescent="0.2">
      <c r="A1389">
        <v>7</v>
      </c>
      <c r="B1389" t="s">
        <v>57</v>
      </c>
      <c r="E1389" t="s">
        <v>29</v>
      </c>
      <c r="F1389">
        <v>1027436</v>
      </c>
      <c r="G1389">
        <v>1</v>
      </c>
      <c r="H1389">
        <v>1</v>
      </c>
      <c r="I1389">
        <v>250</v>
      </c>
      <c r="J1389">
        <v>2018</v>
      </c>
      <c r="K1389" s="4">
        <v>44649</v>
      </c>
      <c r="L1389" t="s">
        <v>20</v>
      </c>
      <c r="M1389" t="s">
        <v>68</v>
      </c>
      <c r="N1389">
        <v>3.24</v>
      </c>
      <c r="O1389">
        <v>2430</v>
      </c>
      <c r="P1389">
        <v>1.96</v>
      </c>
      <c r="Q1389">
        <v>143</v>
      </c>
      <c r="R1389">
        <v>576</v>
      </c>
    </row>
    <row r="1390" spans="1:18" hidden="1" x14ac:dyDescent="0.2">
      <c r="A1390">
        <v>2</v>
      </c>
      <c r="B1390" t="s">
        <v>106</v>
      </c>
      <c r="E1390" t="s">
        <v>19</v>
      </c>
      <c r="F1390">
        <v>1556690</v>
      </c>
      <c r="G1390">
        <v>4</v>
      </c>
      <c r="H1390">
        <v>2</v>
      </c>
      <c r="I1390">
        <v>493</v>
      </c>
      <c r="J1390">
        <v>1962</v>
      </c>
      <c r="K1390" s="4">
        <v>45478</v>
      </c>
      <c r="L1390" t="s">
        <v>26</v>
      </c>
      <c r="M1390" t="s">
        <v>59</v>
      </c>
      <c r="N1390">
        <v>1.69</v>
      </c>
      <c r="O1390">
        <v>1555</v>
      </c>
      <c r="P1390">
        <v>0.17</v>
      </c>
      <c r="Q1390">
        <v>177</v>
      </c>
      <c r="R1390">
        <v>520</v>
      </c>
    </row>
    <row r="1391" spans="1:18" hidden="1" x14ac:dyDescent="0.2">
      <c r="A1391">
        <v>2</v>
      </c>
      <c r="B1391" t="s">
        <v>38</v>
      </c>
      <c r="E1391" t="s">
        <v>36</v>
      </c>
      <c r="F1391">
        <v>2043416</v>
      </c>
      <c r="G1391">
        <v>3</v>
      </c>
      <c r="H1391">
        <v>1</v>
      </c>
      <c r="I1391">
        <v>699</v>
      </c>
      <c r="J1391">
        <v>1999</v>
      </c>
      <c r="K1391" s="4">
        <v>44326</v>
      </c>
      <c r="L1391" t="s">
        <v>26</v>
      </c>
      <c r="M1391" t="s">
        <v>42</v>
      </c>
      <c r="N1391">
        <v>1.6</v>
      </c>
      <c r="O1391">
        <v>2036</v>
      </c>
      <c r="P1391">
        <v>4.8099999999999996</v>
      </c>
      <c r="Q1391">
        <v>296</v>
      </c>
      <c r="R1391">
        <v>411</v>
      </c>
    </row>
    <row r="1392" spans="1:18" hidden="1" x14ac:dyDescent="0.2">
      <c r="A1392">
        <v>4</v>
      </c>
      <c r="B1392" t="s">
        <v>83</v>
      </c>
      <c r="E1392" t="s">
        <v>36</v>
      </c>
      <c r="F1392">
        <v>981154</v>
      </c>
      <c r="G1392">
        <v>3</v>
      </c>
      <c r="H1392">
        <v>1</v>
      </c>
      <c r="I1392">
        <v>620</v>
      </c>
      <c r="J1392">
        <v>2015</v>
      </c>
      <c r="K1392" s="4">
        <v>45673</v>
      </c>
      <c r="L1392" t="s">
        <v>23</v>
      </c>
      <c r="M1392" t="s">
        <v>35</v>
      </c>
      <c r="N1392">
        <v>3.39</v>
      </c>
      <c r="O1392">
        <v>2016</v>
      </c>
      <c r="P1392">
        <v>1.4</v>
      </c>
      <c r="Q1392">
        <v>268</v>
      </c>
      <c r="R1392">
        <v>436</v>
      </c>
    </row>
    <row r="1393" spans="1:18" hidden="1" x14ac:dyDescent="0.2">
      <c r="A1393">
        <v>1</v>
      </c>
      <c r="B1393" t="s">
        <v>71</v>
      </c>
      <c r="E1393" t="s">
        <v>51</v>
      </c>
      <c r="F1393">
        <v>1581753</v>
      </c>
      <c r="G1393">
        <v>4</v>
      </c>
      <c r="H1393">
        <v>3</v>
      </c>
      <c r="I1393">
        <v>371</v>
      </c>
      <c r="J1393">
        <v>1999</v>
      </c>
      <c r="K1393" s="4">
        <v>45072</v>
      </c>
      <c r="L1393" t="s">
        <v>23</v>
      </c>
      <c r="M1393" t="s">
        <v>97</v>
      </c>
      <c r="N1393">
        <v>1.81</v>
      </c>
      <c r="O1393">
        <v>2454</v>
      </c>
      <c r="P1393">
        <v>2.37</v>
      </c>
      <c r="Q1393">
        <v>325</v>
      </c>
      <c r="R1393">
        <v>317</v>
      </c>
    </row>
    <row r="1394" spans="1:18" x14ac:dyDescent="0.2">
      <c r="A1394">
        <v>8</v>
      </c>
      <c r="B1394" t="s">
        <v>98</v>
      </c>
      <c r="C1394" t="str">
        <f>VLOOKUP(B1394, 'Council Area'!$A$2:$B$51, 2)</f>
        <v>Parramatta City Council</v>
      </c>
      <c r="D1394" t="str">
        <f>_xlfn.XLOOKUP(B1394, 'Council Area'!$A$2:$A$51, 'Council Area'!$B$2:$B$51)</f>
        <v>Parramatta City Council</v>
      </c>
      <c r="E1394" t="s">
        <v>36</v>
      </c>
      <c r="F1394">
        <v>1727068</v>
      </c>
      <c r="G1394">
        <v>2</v>
      </c>
      <c r="H1394">
        <v>2</v>
      </c>
      <c r="I1394">
        <v>180</v>
      </c>
      <c r="J1394">
        <v>1974</v>
      </c>
      <c r="K1394" s="4">
        <v>44598</v>
      </c>
      <c r="L1394" t="s">
        <v>26</v>
      </c>
      <c r="M1394" t="s">
        <v>54</v>
      </c>
      <c r="N1394">
        <v>2.0699999999999998</v>
      </c>
      <c r="O1394">
        <v>1292</v>
      </c>
      <c r="P1394">
        <v>3.82</v>
      </c>
      <c r="Q1394">
        <v>238</v>
      </c>
      <c r="R1394">
        <v>459</v>
      </c>
    </row>
    <row r="1395" spans="1:18" hidden="1" x14ac:dyDescent="0.2">
      <c r="A1395">
        <v>5</v>
      </c>
      <c r="B1395" t="s">
        <v>88</v>
      </c>
      <c r="E1395" t="s">
        <v>51</v>
      </c>
      <c r="F1395">
        <v>2160202</v>
      </c>
      <c r="G1395">
        <v>3</v>
      </c>
      <c r="H1395">
        <v>1</v>
      </c>
      <c r="I1395">
        <v>727</v>
      </c>
      <c r="J1395">
        <v>2004</v>
      </c>
      <c r="K1395" s="4">
        <v>45473</v>
      </c>
      <c r="L1395" t="s">
        <v>30</v>
      </c>
      <c r="M1395" t="s">
        <v>21</v>
      </c>
      <c r="N1395">
        <v>1.51</v>
      </c>
      <c r="O1395">
        <v>1659</v>
      </c>
      <c r="P1395">
        <v>0.13</v>
      </c>
      <c r="Q1395">
        <v>225</v>
      </c>
      <c r="R1395">
        <v>668</v>
      </c>
    </row>
    <row r="1396" spans="1:18" hidden="1" x14ac:dyDescent="0.2">
      <c r="A1396">
        <v>5</v>
      </c>
      <c r="B1396" t="s">
        <v>34</v>
      </c>
      <c r="E1396" t="s">
        <v>51</v>
      </c>
      <c r="F1396">
        <v>2039904</v>
      </c>
      <c r="G1396">
        <v>4</v>
      </c>
      <c r="H1396">
        <v>1</v>
      </c>
      <c r="I1396">
        <v>831</v>
      </c>
      <c r="J1396">
        <v>2021</v>
      </c>
      <c r="K1396" s="4">
        <v>45125</v>
      </c>
      <c r="L1396" t="s">
        <v>20</v>
      </c>
      <c r="M1396" t="s">
        <v>82</v>
      </c>
      <c r="N1396">
        <v>3.24</v>
      </c>
      <c r="O1396">
        <v>1211</v>
      </c>
      <c r="P1396">
        <v>4.87</v>
      </c>
      <c r="Q1396">
        <v>238</v>
      </c>
      <c r="R1396">
        <v>506</v>
      </c>
    </row>
    <row r="1397" spans="1:18" hidden="1" x14ac:dyDescent="0.2">
      <c r="A1397">
        <v>4</v>
      </c>
      <c r="B1397" t="s">
        <v>61</v>
      </c>
      <c r="E1397" t="s">
        <v>51</v>
      </c>
      <c r="F1397">
        <v>789469</v>
      </c>
      <c r="G1397">
        <v>1</v>
      </c>
      <c r="H1397">
        <v>2</v>
      </c>
      <c r="I1397">
        <v>671</v>
      </c>
      <c r="J1397">
        <v>2003</v>
      </c>
      <c r="K1397" s="4">
        <v>45186</v>
      </c>
      <c r="L1397" t="s">
        <v>26</v>
      </c>
      <c r="M1397" t="s">
        <v>77</v>
      </c>
      <c r="N1397">
        <v>2.09</v>
      </c>
      <c r="O1397">
        <v>913</v>
      </c>
      <c r="P1397">
        <v>4.7300000000000004</v>
      </c>
      <c r="Q1397">
        <v>65</v>
      </c>
      <c r="R1397">
        <v>554</v>
      </c>
    </row>
    <row r="1398" spans="1:18" hidden="1" x14ac:dyDescent="0.2">
      <c r="A1398">
        <v>0</v>
      </c>
      <c r="B1398" t="s">
        <v>91</v>
      </c>
      <c r="E1398" t="s">
        <v>51</v>
      </c>
      <c r="F1398">
        <v>1480104</v>
      </c>
      <c r="G1398">
        <v>0</v>
      </c>
      <c r="H1398">
        <v>3</v>
      </c>
      <c r="I1398">
        <v>471</v>
      </c>
      <c r="J1398">
        <v>2005</v>
      </c>
      <c r="K1398" s="4">
        <v>45844</v>
      </c>
      <c r="L1398" t="s">
        <v>26</v>
      </c>
      <c r="M1398" t="s">
        <v>68</v>
      </c>
      <c r="N1398">
        <v>2.58</v>
      </c>
      <c r="O1398">
        <v>1329</v>
      </c>
      <c r="P1398">
        <v>4.05</v>
      </c>
      <c r="Q1398">
        <v>63</v>
      </c>
      <c r="R1398">
        <v>578</v>
      </c>
    </row>
    <row r="1399" spans="1:18" hidden="1" x14ac:dyDescent="0.2">
      <c r="A1399">
        <v>5</v>
      </c>
      <c r="B1399" t="s">
        <v>101</v>
      </c>
      <c r="E1399" t="s">
        <v>19</v>
      </c>
      <c r="F1399">
        <v>2279406</v>
      </c>
      <c r="G1399">
        <v>3</v>
      </c>
      <c r="H1399">
        <v>1</v>
      </c>
      <c r="I1399">
        <v>130</v>
      </c>
      <c r="J1399">
        <v>1954</v>
      </c>
      <c r="K1399" s="4">
        <v>45064</v>
      </c>
      <c r="L1399" t="s">
        <v>23</v>
      </c>
      <c r="M1399" t="s">
        <v>33</v>
      </c>
      <c r="N1399">
        <v>1.69</v>
      </c>
      <c r="O1399">
        <v>2398</v>
      </c>
      <c r="P1399">
        <v>2.58</v>
      </c>
      <c r="Q1399">
        <v>104</v>
      </c>
      <c r="R1399">
        <v>322</v>
      </c>
    </row>
    <row r="1400" spans="1:18" hidden="1" x14ac:dyDescent="0.2">
      <c r="A1400">
        <v>3</v>
      </c>
      <c r="B1400" t="s">
        <v>93</v>
      </c>
      <c r="E1400" t="s">
        <v>51</v>
      </c>
      <c r="F1400">
        <v>2049506</v>
      </c>
      <c r="G1400">
        <v>4</v>
      </c>
      <c r="H1400">
        <v>1</v>
      </c>
      <c r="I1400">
        <v>479</v>
      </c>
      <c r="J1400">
        <v>1978</v>
      </c>
      <c r="K1400" s="4">
        <v>44387</v>
      </c>
      <c r="L1400" t="s">
        <v>23</v>
      </c>
      <c r="M1400" t="s">
        <v>69</v>
      </c>
      <c r="N1400">
        <v>2.1800000000000002</v>
      </c>
      <c r="O1400">
        <v>1374</v>
      </c>
      <c r="P1400">
        <v>2.3199999999999998</v>
      </c>
      <c r="Q1400">
        <v>181</v>
      </c>
      <c r="R1400">
        <v>426</v>
      </c>
    </row>
    <row r="1401" spans="1:18" x14ac:dyDescent="0.2">
      <c r="A1401">
        <v>8</v>
      </c>
      <c r="B1401" t="s">
        <v>105</v>
      </c>
      <c r="C1401" t="str">
        <f>VLOOKUP(B1401, 'Council Area'!$A$2:$B$51, 2)</f>
        <v>Northern Beaches Council</v>
      </c>
      <c r="D1401" t="str">
        <f>_xlfn.XLOOKUP(B1401, 'Council Area'!$A$2:$A$51, 'Council Area'!$B$2:$B$51)</f>
        <v>Northern Beaches Council</v>
      </c>
      <c r="E1401" t="s">
        <v>19</v>
      </c>
      <c r="F1401">
        <v>752101</v>
      </c>
      <c r="G1401">
        <v>4</v>
      </c>
      <c r="H1401">
        <v>2</v>
      </c>
      <c r="I1401">
        <v>669</v>
      </c>
      <c r="J1401">
        <v>2009</v>
      </c>
      <c r="K1401" s="4">
        <v>44472</v>
      </c>
      <c r="L1401" t="s">
        <v>23</v>
      </c>
      <c r="M1401" t="s">
        <v>60</v>
      </c>
      <c r="N1401">
        <v>1.8</v>
      </c>
      <c r="O1401">
        <v>1175</v>
      </c>
      <c r="P1401">
        <v>2.79</v>
      </c>
      <c r="Q1401">
        <v>280</v>
      </c>
      <c r="R1401">
        <v>495</v>
      </c>
    </row>
    <row r="1402" spans="1:18" hidden="1" x14ac:dyDescent="0.2">
      <c r="A1402">
        <v>6</v>
      </c>
      <c r="B1402" t="s">
        <v>88</v>
      </c>
      <c r="E1402" t="s">
        <v>29</v>
      </c>
      <c r="F1402">
        <v>751355</v>
      </c>
      <c r="G1402">
        <v>5</v>
      </c>
      <c r="H1402">
        <v>3</v>
      </c>
      <c r="I1402">
        <v>124</v>
      </c>
      <c r="J1402">
        <v>1985</v>
      </c>
      <c r="K1402" s="4">
        <v>45362</v>
      </c>
      <c r="L1402" t="s">
        <v>26</v>
      </c>
      <c r="M1402" t="s">
        <v>60</v>
      </c>
      <c r="N1402">
        <v>3.36</v>
      </c>
      <c r="O1402">
        <v>1466</v>
      </c>
      <c r="P1402">
        <v>1.64</v>
      </c>
      <c r="Q1402">
        <v>342</v>
      </c>
      <c r="R1402">
        <v>479</v>
      </c>
    </row>
    <row r="1403" spans="1:18" hidden="1" x14ac:dyDescent="0.2">
      <c r="A1403">
        <v>4</v>
      </c>
      <c r="B1403" t="s">
        <v>104</v>
      </c>
      <c r="E1403" t="s">
        <v>29</v>
      </c>
      <c r="F1403">
        <v>956438</v>
      </c>
      <c r="G1403">
        <v>3</v>
      </c>
      <c r="H1403">
        <v>2</v>
      </c>
      <c r="I1403">
        <v>87</v>
      </c>
      <c r="J1403">
        <v>1979</v>
      </c>
      <c r="K1403" s="4">
        <v>44944</v>
      </c>
      <c r="L1403" t="s">
        <v>26</v>
      </c>
      <c r="M1403" t="s">
        <v>59</v>
      </c>
      <c r="N1403">
        <v>2.79</v>
      </c>
      <c r="O1403">
        <v>1758</v>
      </c>
      <c r="P1403">
        <v>0.12</v>
      </c>
      <c r="Q1403">
        <v>106</v>
      </c>
      <c r="R1403">
        <v>324</v>
      </c>
    </row>
    <row r="1404" spans="1:18" hidden="1" x14ac:dyDescent="0.2">
      <c r="A1404">
        <v>2</v>
      </c>
      <c r="B1404" t="s">
        <v>41</v>
      </c>
      <c r="E1404" t="s">
        <v>19</v>
      </c>
      <c r="F1404">
        <v>1014995</v>
      </c>
      <c r="G1404">
        <v>2</v>
      </c>
      <c r="H1404">
        <v>1</v>
      </c>
      <c r="I1404">
        <v>969</v>
      </c>
      <c r="J1404">
        <v>1963</v>
      </c>
      <c r="K1404" s="4">
        <v>44942</v>
      </c>
      <c r="L1404" t="s">
        <v>23</v>
      </c>
      <c r="M1404" t="s">
        <v>85</v>
      </c>
      <c r="N1404">
        <v>2.69</v>
      </c>
      <c r="O1404">
        <v>1524</v>
      </c>
      <c r="P1404">
        <v>2.5299999999999998</v>
      </c>
      <c r="Q1404">
        <v>142</v>
      </c>
      <c r="R1404">
        <v>404</v>
      </c>
    </row>
    <row r="1405" spans="1:18" hidden="1" x14ac:dyDescent="0.2">
      <c r="A1405">
        <v>2</v>
      </c>
      <c r="B1405" t="s">
        <v>104</v>
      </c>
      <c r="E1405" t="s">
        <v>51</v>
      </c>
      <c r="F1405">
        <v>1051781</v>
      </c>
      <c r="G1405">
        <v>2</v>
      </c>
      <c r="H1405">
        <v>3</v>
      </c>
      <c r="I1405">
        <v>655</v>
      </c>
      <c r="J1405">
        <v>1950</v>
      </c>
      <c r="K1405" s="4">
        <v>44800</v>
      </c>
      <c r="L1405" t="s">
        <v>26</v>
      </c>
      <c r="M1405" t="s">
        <v>60</v>
      </c>
      <c r="N1405">
        <v>3.23</v>
      </c>
      <c r="O1405">
        <v>1251</v>
      </c>
      <c r="P1405">
        <v>3.65</v>
      </c>
      <c r="Q1405">
        <v>95</v>
      </c>
      <c r="R1405">
        <v>302</v>
      </c>
    </row>
    <row r="1406" spans="1:18" hidden="1" x14ac:dyDescent="0.2">
      <c r="A1406">
        <v>1</v>
      </c>
      <c r="B1406" t="s">
        <v>18</v>
      </c>
      <c r="E1406" t="s">
        <v>29</v>
      </c>
      <c r="F1406">
        <v>1642704</v>
      </c>
      <c r="G1406">
        <v>3</v>
      </c>
      <c r="H1406">
        <v>1</v>
      </c>
      <c r="I1406">
        <v>793</v>
      </c>
      <c r="J1406">
        <v>1992</v>
      </c>
      <c r="K1406" s="4">
        <v>45399</v>
      </c>
      <c r="L1406" t="s">
        <v>26</v>
      </c>
      <c r="M1406" t="s">
        <v>40</v>
      </c>
      <c r="N1406">
        <v>3.22</v>
      </c>
      <c r="O1406">
        <v>1480</v>
      </c>
      <c r="P1406">
        <v>4.1100000000000003</v>
      </c>
      <c r="Q1406">
        <v>294</v>
      </c>
      <c r="R1406">
        <v>629</v>
      </c>
    </row>
    <row r="1407" spans="1:18" hidden="1" x14ac:dyDescent="0.2">
      <c r="A1407">
        <v>9</v>
      </c>
      <c r="B1407" t="s">
        <v>80</v>
      </c>
      <c r="E1407" t="s">
        <v>29</v>
      </c>
      <c r="F1407">
        <v>1072348</v>
      </c>
      <c r="G1407">
        <v>2</v>
      </c>
      <c r="H1407">
        <v>1</v>
      </c>
      <c r="I1407">
        <v>377</v>
      </c>
      <c r="J1407">
        <v>1998</v>
      </c>
      <c r="K1407" s="4">
        <v>44128</v>
      </c>
      <c r="L1407" t="s">
        <v>23</v>
      </c>
      <c r="M1407" t="s">
        <v>68</v>
      </c>
      <c r="N1407">
        <v>2.34</v>
      </c>
      <c r="O1407">
        <v>1655</v>
      </c>
      <c r="P1407">
        <v>3.27</v>
      </c>
      <c r="Q1407">
        <v>210</v>
      </c>
      <c r="R1407">
        <v>509</v>
      </c>
    </row>
    <row r="1408" spans="1:18" hidden="1" x14ac:dyDescent="0.2">
      <c r="A1408">
        <v>0</v>
      </c>
      <c r="B1408" t="s">
        <v>90</v>
      </c>
      <c r="E1408" t="s">
        <v>19</v>
      </c>
      <c r="F1408">
        <v>930121</v>
      </c>
      <c r="G1408">
        <v>4</v>
      </c>
      <c r="H1408">
        <v>3</v>
      </c>
      <c r="I1408">
        <v>780</v>
      </c>
      <c r="J1408">
        <v>1971</v>
      </c>
      <c r="K1408" s="4">
        <v>44091</v>
      </c>
      <c r="L1408" t="s">
        <v>20</v>
      </c>
      <c r="M1408" t="s">
        <v>42</v>
      </c>
      <c r="N1408">
        <v>2.48</v>
      </c>
      <c r="O1408">
        <v>1551</v>
      </c>
      <c r="P1408">
        <v>4.83</v>
      </c>
      <c r="Q1408">
        <v>343</v>
      </c>
      <c r="R1408">
        <v>556</v>
      </c>
    </row>
    <row r="1409" spans="1:18" hidden="1" x14ac:dyDescent="0.2">
      <c r="A1409">
        <v>9</v>
      </c>
      <c r="B1409" t="s">
        <v>44</v>
      </c>
      <c r="E1409" t="s">
        <v>36</v>
      </c>
      <c r="F1409">
        <v>1260423</v>
      </c>
      <c r="G1409">
        <v>3</v>
      </c>
      <c r="H1409">
        <v>1</v>
      </c>
      <c r="I1409">
        <v>530</v>
      </c>
      <c r="J1409">
        <v>1963</v>
      </c>
      <c r="K1409" s="4">
        <v>45638</v>
      </c>
      <c r="L1409" t="s">
        <v>20</v>
      </c>
      <c r="M1409" t="s">
        <v>59</v>
      </c>
      <c r="N1409">
        <v>2.2200000000000002</v>
      </c>
      <c r="O1409">
        <v>1636</v>
      </c>
      <c r="P1409">
        <v>4.97</v>
      </c>
      <c r="Q1409">
        <v>104</v>
      </c>
      <c r="R1409">
        <v>559</v>
      </c>
    </row>
    <row r="1410" spans="1:18" hidden="1" x14ac:dyDescent="0.2">
      <c r="A1410">
        <v>7</v>
      </c>
      <c r="B1410" t="s">
        <v>92</v>
      </c>
      <c r="E1410" t="s">
        <v>29</v>
      </c>
      <c r="F1410">
        <v>1012378</v>
      </c>
      <c r="G1410">
        <v>2</v>
      </c>
      <c r="H1410">
        <v>3</v>
      </c>
      <c r="I1410">
        <v>209</v>
      </c>
      <c r="J1410">
        <v>1999</v>
      </c>
      <c r="K1410" s="4">
        <v>44809</v>
      </c>
      <c r="L1410" t="s">
        <v>30</v>
      </c>
      <c r="M1410" t="s">
        <v>70</v>
      </c>
      <c r="N1410">
        <v>2.69</v>
      </c>
      <c r="O1410">
        <v>1020</v>
      </c>
      <c r="P1410">
        <v>2.29</v>
      </c>
      <c r="Q1410">
        <v>196</v>
      </c>
      <c r="R1410">
        <v>386</v>
      </c>
    </row>
    <row r="1411" spans="1:18" hidden="1" x14ac:dyDescent="0.2">
      <c r="A1411">
        <v>0</v>
      </c>
      <c r="B1411" t="s">
        <v>22</v>
      </c>
      <c r="E1411" t="s">
        <v>36</v>
      </c>
      <c r="F1411">
        <v>1676234</v>
      </c>
      <c r="G1411">
        <v>5</v>
      </c>
      <c r="H1411">
        <v>1</v>
      </c>
      <c r="I1411">
        <v>973</v>
      </c>
      <c r="J1411">
        <v>1990</v>
      </c>
      <c r="K1411" s="4">
        <v>44591</v>
      </c>
      <c r="L1411" t="s">
        <v>20</v>
      </c>
      <c r="M1411" t="s">
        <v>37</v>
      </c>
      <c r="N1411">
        <v>1.81</v>
      </c>
      <c r="O1411">
        <v>1527</v>
      </c>
      <c r="P1411">
        <v>3.89</v>
      </c>
      <c r="Q1411">
        <v>318</v>
      </c>
      <c r="R1411">
        <v>468</v>
      </c>
    </row>
    <row r="1412" spans="1:18" hidden="1" x14ac:dyDescent="0.2">
      <c r="A1412">
        <v>3</v>
      </c>
      <c r="B1412" t="s">
        <v>100</v>
      </c>
      <c r="E1412" t="s">
        <v>19</v>
      </c>
      <c r="F1412">
        <v>980250</v>
      </c>
      <c r="G1412">
        <v>5</v>
      </c>
      <c r="H1412">
        <v>1</v>
      </c>
      <c r="I1412">
        <v>527</v>
      </c>
      <c r="J1412">
        <v>1965</v>
      </c>
      <c r="K1412" s="4">
        <v>44345</v>
      </c>
      <c r="L1412" t="s">
        <v>26</v>
      </c>
      <c r="M1412" t="s">
        <v>77</v>
      </c>
      <c r="N1412">
        <v>1.57</v>
      </c>
      <c r="O1412">
        <v>1943</v>
      </c>
      <c r="P1412">
        <v>2.97</v>
      </c>
      <c r="Q1412">
        <v>329</v>
      </c>
      <c r="R1412">
        <v>366</v>
      </c>
    </row>
    <row r="1413" spans="1:18" hidden="1" x14ac:dyDescent="0.2">
      <c r="A1413">
        <v>1</v>
      </c>
      <c r="B1413" t="s">
        <v>41</v>
      </c>
      <c r="E1413" t="s">
        <v>29</v>
      </c>
      <c r="F1413">
        <v>1939867</v>
      </c>
      <c r="G1413">
        <v>3</v>
      </c>
      <c r="H1413">
        <v>3</v>
      </c>
      <c r="I1413">
        <v>523</v>
      </c>
      <c r="J1413">
        <v>1990</v>
      </c>
      <c r="K1413" s="4">
        <v>44669</v>
      </c>
      <c r="L1413" t="s">
        <v>20</v>
      </c>
      <c r="M1413" t="s">
        <v>60</v>
      </c>
      <c r="N1413">
        <v>2.21</v>
      </c>
      <c r="O1413">
        <v>1831</v>
      </c>
      <c r="P1413">
        <v>1.86</v>
      </c>
      <c r="Q1413">
        <v>203</v>
      </c>
      <c r="R1413">
        <v>690</v>
      </c>
    </row>
    <row r="1414" spans="1:18" hidden="1" x14ac:dyDescent="0.2">
      <c r="A1414">
        <v>1</v>
      </c>
      <c r="B1414" t="s">
        <v>95</v>
      </c>
      <c r="E1414" t="s">
        <v>29</v>
      </c>
      <c r="F1414">
        <v>2134606</v>
      </c>
      <c r="G1414">
        <v>4</v>
      </c>
      <c r="H1414">
        <v>3</v>
      </c>
      <c r="I1414">
        <v>781</v>
      </c>
      <c r="J1414">
        <v>1988</v>
      </c>
      <c r="K1414" s="4">
        <v>45532</v>
      </c>
      <c r="L1414" t="s">
        <v>26</v>
      </c>
      <c r="M1414" t="s">
        <v>35</v>
      </c>
      <c r="N1414">
        <v>3.45</v>
      </c>
      <c r="O1414">
        <v>1765</v>
      </c>
      <c r="P1414">
        <v>1.2</v>
      </c>
      <c r="Q1414">
        <v>368</v>
      </c>
      <c r="R1414">
        <v>551</v>
      </c>
    </row>
    <row r="1415" spans="1:18" hidden="1" x14ac:dyDescent="0.2">
      <c r="A1415">
        <v>6</v>
      </c>
      <c r="B1415" t="s">
        <v>71</v>
      </c>
      <c r="E1415" t="s">
        <v>36</v>
      </c>
      <c r="F1415">
        <v>1372360</v>
      </c>
      <c r="G1415">
        <v>1</v>
      </c>
      <c r="H1415">
        <v>3</v>
      </c>
      <c r="I1415">
        <v>868</v>
      </c>
      <c r="J1415">
        <v>2020</v>
      </c>
      <c r="K1415" s="4">
        <v>45642</v>
      </c>
      <c r="L1415" t="s">
        <v>20</v>
      </c>
      <c r="M1415" t="s">
        <v>74</v>
      </c>
      <c r="N1415">
        <v>2.85</v>
      </c>
      <c r="O1415">
        <v>1782</v>
      </c>
      <c r="P1415">
        <v>3.56</v>
      </c>
      <c r="Q1415">
        <v>134</v>
      </c>
      <c r="R1415">
        <v>476</v>
      </c>
    </row>
    <row r="1416" spans="1:18" x14ac:dyDescent="0.2">
      <c r="A1416">
        <v>8</v>
      </c>
      <c r="B1416" t="s">
        <v>41</v>
      </c>
      <c r="C1416" t="str">
        <f>VLOOKUP(B1416, 'Council Area'!$A$2:$B$51, 2)</f>
        <v>Parramatta City Council</v>
      </c>
      <c r="D1416" t="str">
        <f>_xlfn.XLOOKUP(B1416, 'Council Area'!$A$2:$A$51, 'Council Area'!$B$2:$B$51)</f>
        <v>Parramatta City Council</v>
      </c>
      <c r="E1416" t="s">
        <v>36</v>
      </c>
      <c r="F1416">
        <v>2959291</v>
      </c>
      <c r="G1416">
        <v>5</v>
      </c>
      <c r="H1416">
        <v>3</v>
      </c>
      <c r="I1416">
        <v>413</v>
      </c>
      <c r="J1416">
        <v>2015</v>
      </c>
      <c r="K1416" s="4">
        <v>45185</v>
      </c>
      <c r="L1416" t="s">
        <v>23</v>
      </c>
      <c r="M1416" t="s">
        <v>78</v>
      </c>
      <c r="N1416">
        <v>1.78</v>
      </c>
      <c r="O1416">
        <v>1263</v>
      </c>
      <c r="P1416">
        <v>4.83</v>
      </c>
      <c r="Q1416">
        <v>346</v>
      </c>
      <c r="R1416">
        <v>690</v>
      </c>
    </row>
    <row r="1417" spans="1:18" hidden="1" x14ac:dyDescent="0.2">
      <c r="A1417">
        <v>0</v>
      </c>
      <c r="B1417" t="s">
        <v>80</v>
      </c>
      <c r="E1417" t="s">
        <v>36</v>
      </c>
      <c r="F1417">
        <v>412633</v>
      </c>
      <c r="G1417">
        <v>5</v>
      </c>
      <c r="H1417">
        <v>2</v>
      </c>
      <c r="I1417">
        <v>583</v>
      </c>
      <c r="J1417">
        <v>2026</v>
      </c>
      <c r="K1417" s="4">
        <v>45865</v>
      </c>
      <c r="L1417" t="s">
        <v>26</v>
      </c>
      <c r="M1417" t="s">
        <v>21</v>
      </c>
      <c r="N1417">
        <v>3.38</v>
      </c>
      <c r="O1417">
        <v>1186</v>
      </c>
      <c r="P1417">
        <v>3.8</v>
      </c>
      <c r="Q1417">
        <v>375</v>
      </c>
      <c r="R1417">
        <v>587</v>
      </c>
    </row>
    <row r="1418" spans="1:18" hidden="1" x14ac:dyDescent="0.2">
      <c r="A1418">
        <v>1</v>
      </c>
      <c r="B1418" t="s">
        <v>65</v>
      </c>
      <c r="E1418" t="s">
        <v>19</v>
      </c>
      <c r="F1418">
        <v>580184</v>
      </c>
      <c r="G1418">
        <v>4</v>
      </c>
      <c r="H1418">
        <v>3</v>
      </c>
      <c r="I1418">
        <v>627</v>
      </c>
      <c r="J1418">
        <v>1975</v>
      </c>
      <c r="K1418" s="4">
        <v>44895</v>
      </c>
      <c r="L1418" t="s">
        <v>20</v>
      </c>
      <c r="M1418" t="s">
        <v>69</v>
      </c>
      <c r="N1418">
        <v>3.12</v>
      </c>
      <c r="O1418">
        <v>1384</v>
      </c>
      <c r="P1418">
        <v>0.73</v>
      </c>
      <c r="Q1418">
        <v>181</v>
      </c>
      <c r="R1418">
        <v>606</v>
      </c>
    </row>
    <row r="1419" spans="1:18" hidden="1" x14ac:dyDescent="0.2">
      <c r="A1419">
        <v>6</v>
      </c>
      <c r="B1419" t="s">
        <v>90</v>
      </c>
      <c r="E1419" t="s">
        <v>19</v>
      </c>
      <c r="F1419">
        <v>994297</v>
      </c>
      <c r="G1419">
        <v>0</v>
      </c>
      <c r="H1419">
        <v>3</v>
      </c>
      <c r="I1419">
        <v>292</v>
      </c>
      <c r="J1419">
        <v>1979</v>
      </c>
      <c r="K1419" s="4">
        <v>44221</v>
      </c>
      <c r="L1419" t="s">
        <v>20</v>
      </c>
      <c r="M1419" t="s">
        <v>42</v>
      </c>
      <c r="N1419">
        <v>3.37</v>
      </c>
      <c r="O1419">
        <v>1030</v>
      </c>
      <c r="P1419">
        <v>3.49</v>
      </c>
      <c r="Q1419">
        <v>80</v>
      </c>
      <c r="R1419">
        <v>500</v>
      </c>
    </row>
    <row r="1420" spans="1:18" hidden="1" x14ac:dyDescent="0.2">
      <c r="A1420">
        <v>2</v>
      </c>
      <c r="B1420" t="s">
        <v>48</v>
      </c>
      <c r="E1420" t="s">
        <v>29</v>
      </c>
      <c r="F1420">
        <v>1940741</v>
      </c>
      <c r="G1420">
        <v>3</v>
      </c>
      <c r="H1420">
        <v>1</v>
      </c>
      <c r="I1420">
        <v>831</v>
      </c>
      <c r="J1420">
        <v>1960</v>
      </c>
      <c r="K1420" s="4">
        <v>44595</v>
      </c>
      <c r="L1420" t="s">
        <v>30</v>
      </c>
      <c r="M1420" t="s">
        <v>63</v>
      </c>
      <c r="N1420">
        <v>2.78</v>
      </c>
      <c r="O1420">
        <v>2157</v>
      </c>
      <c r="P1420">
        <v>3.27</v>
      </c>
      <c r="Q1420">
        <v>224</v>
      </c>
      <c r="R1420">
        <v>330</v>
      </c>
    </row>
    <row r="1421" spans="1:18" hidden="1" x14ac:dyDescent="0.2">
      <c r="A1421">
        <v>1</v>
      </c>
      <c r="B1421" t="s">
        <v>75</v>
      </c>
      <c r="E1421" t="s">
        <v>19</v>
      </c>
      <c r="F1421">
        <v>2470765</v>
      </c>
      <c r="G1421">
        <v>2</v>
      </c>
      <c r="H1421">
        <v>1</v>
      </c>
      <c r="I1421">
        <v>749</v>
      </c>
      <c r="J1421">
        <v>1975</v>
      </c>
      <c r="K1421" s="4">
        <v>44932</v>
      </c>
      <c r="L1421" t="s">
        <v>20</v>
      </c>
      <c r="M1421" t="s">
        <v>47</v>
      </c>
      <c r="N1421">
        <v>2.0699999999999998</v>
      </c>
      <c r="O1421">
        <v>1518</v>
      </c>
      <c r="P1421">
        <v>4.09</v>
      </c>
      <c r="Q1421">
        <v>61</v>
      </c>
      <c r="R1421">
        <v>578</v>
      </c>
    </row>
    <row r="1422" spans="1:18" hidden="1" x14ac:dyDescent="0.2">
      <c r="A1422">
        <v>6</v>
      </c>
      <c r="B1422" t="s">
        <v>75</v>
      </c>
      <c r="E1422" t="s">
        <v>19</v>
      </c>
      <c r="F1422">
        <v>2112147</v>
      </c>
      <c r="G1422">
        <v>4</v>
      </c>
      <c r="H1422">
        <v>2</v>
      </c>
      <c r="I1422">
        <v>567</v>
      </c>
      <c r="J1422">
        <v>1983</v>
      </c>
      <c r="K1422" s="4">
        <v>44294</v>
      </c>
      <c r="L1422" t="s">
        <v>30</v>
      </c>
      <c r="M1422" t="s">
        <v>63</v>
      </c>
      <c r="N1422">
        <v>2.56</v>
      </c>
      <c r="O1422">
        <v>1962</v>
      </c>
      <c r="P1422">
        <v>3.46</v>
      </c>
      <c r="Q1422">
        <v>309</v>
      </c>
      <c r="R1422">
        <v>339</v>
      </c>
    </row>
    <row r="1423" spans="1:18" hidden="1" x14ac:dyDescent="0.2">
      <c r="A1423">
        <v>5</v>
      </c>
      <c r="B1423" t="s">
        <v>50</v>
      </c>
      <c r="E1423" t="s">
        <v>29</v>
      </c>
      <c r="F1423">
        <v>457440</v>
      </c>
      <c r="G1423">
        <v>3</v>
      </c>
      <c r="H1423">
        <v>2</v>
      </c>
      <c r="I1423">
        <v>67</v>
      </c>
      <c r="J1423">
        <v>2008</v>
      </c>
      <c r="K1423" s="4">
        <v>44515</v>
      </c>
      <c r="L1423" t="s">
        <v>20</v>
      </c>
      <c r="M1423" t="s">
        <v>40</v>
      </c>
      <c r="N1423">
        <v>3.04</v>
      </c>
      <c r="O1423">
        <v>1510</v>
      </c>
      <c r="P1423">
        <v>0.71</v>
      </c>
      <c r="Q1423">
        <v>308</v>
      </c>
      <c r="R1423">
        <v>496</v>
      </c>
    </row>
    <row r="1424" spans="1:18" hidden="1" x14ac:dyDescent="0.2">
      <c r="A1424">
        <v>1</v>
      </c>
      <c r="B1424" t="s">
        <v>79</v>
      </c>
      <c r="E1424" t="s">
        <v>51</v>
      </c>
      <c r="F1424">
        <v>2509423</v>
      </c>
      <c r="G1424">
        <v>3</v>
      </c>
      <c r="H1424">
        <v>3</v>
      </c>
      <c r="I1424">
        <v>249</v>
      </c>
      <c r="J1424">
        <v>1984</v>
      </c>
      <c r="K1424" s="4">
        <v>45830</v>
      </c>
      <c r="L1424" t="s">
        <v>20</v>
      </c>
      <c r="M1424" t="s">
        <v>89</v>
      </c>
      <c r="N1424">
        <v>2.96</v>
      </c>
      <c r="O1424">
        <v>1493</v>
      </c>
      <c r="P1424">
        <v>0.74</v>
      </c>
      <c r="Q1424">
        <v>93</v>
      </c>
      <c r="R1424">
        <v>670</v>
      </c>
    </row>
    <row r="1425" spans="1:18" hidden="1" x14ac:dyDescent="0.2">
      <c r="A1425">
        <v>4</v>
      </c>
      <c r="B1425" t="s">
        <v>80</v>
      </c>
      <c r="E1425" t="s">
        <v>36</v>
      </c>
      <c r="F1425">
        <v>1901954</v>
      </c>
      <c r="G1425">
        <v>2</v>
      </c>
      <c r="H1425">
        <v>2</v>
      </c>
      <c r="I1425">
        <v>802</v>
      </c>
      <c r="J1425">
        <v>1987</v>
      </c>
      <c r="K1425" s="4">
        <v>44846</v>
      </c>
      <c r="L1425" t="s">
        <v>20</v>
      </c>
      <c r="M1425" t="s">
        <v>24</v>
      </c>
      <c r="N1425">
        <v>2.76</v>
      </c>
      <c r="O1425">
        <v>2151</v>
      </c>
      <c r="P1425">
        <v>0.67</v>
      </c>
      <c r="Q1425">
        <v>157</v>
      </c>
      <c r="R1425">
        <v>571</v>
      </c>
    </row>
    <row r="1426" spans="1:18" hidden="1" x14ac:dyDescent="0.2">
      <c r="A1426">
        <v>7</v>
      </c>
      <c r="B1426" t="s">
        <v>95</v>
      </c>
      <c r="E1426" t="s">
        <v>19</v>
      </c>
      <c r="F1426">
        <v>2131968</v>
      </c>
      <c r="G1426">
        <v>2</v>
      </c>
      <c r="H1426">
        <v>3</v>
      </c>
      <c r="I1426">
        <v>320</v>
      </c>
      <c r="J1426">
        <v>2005</v>
      </c>
      <c r="K1426" s="4">
        <v>45543</v>
      </c>
      <c r="L1426" t="s">
        <v>20</v>
      </c>
      <c r="M1426" t="s">
        <v>78</v>
      </c>
      <c r="N1426">
        <v>2.66</v>
      </c>
      <c r="O1426">
        <v>1491</v>
      </c>
      <c r="P1426">
        <v>4</v>
      </c>
      <c r="Q1426">
        <v>85</v>
      </c>
      <c r="R1426">
        <v>389</v>
      </c>
    </row>
    <row r="1427" spans="1:18" hidden="1" x14ac:dyDescent="0.2">
      <c r="A1427">
        <v>6</v>
      </c>
      <c r="B1427" t="s">
        <v>100</v>
      </c>
      <c r="E1427" t="s">
        <v>29</v>
      </c>
      <c r="F1427">
        <v>2385022</v>
      </c>
      <c r="G1427">
        <v>4</v>
      </c>
      <c r="H1427">
        <v>3</v>
      </c>
      <c r="I1427">
        <v>327</v>
      </c>
      <c r="J1427">
        <v>1956</v>
      </c>
      <c r="K1427" s="4">
        <v>45389</v>
      </c>
      <c r="L1427" t="s">
        <v>20</v>
      </c>
      <c r="M1427" t="s">
        <v>35</v>
      </c>
      <c r="N1427">
        <v>3.49</v>
      </c>
      <c r="O1427">
        <v>1183</v>
      </c>
      <c r="P1427">
        <v>3.34</v>
      </c>
      <c r="Q1427">
        <v>343</v>
      </c>
      <c r="R1427">
        <v>591</v>
      </c>
    </row>
    <row r="1428" spans="1:18" x14ac:dyDescent="0.2">
      <c r="A1428">
        <v>8</v>
      </c>
      <c r="B1428" t="s">
        <v>46</v>
      </c>
      <c r="C1428" t="str">
        <f>VLOOKUP(B1428, 'Council Area'!$A$2:$B$51, 2)</f>
        <v>Ku-ring-gai Council</v>
      </c>
      <c r="D1428" t="str">
        <f>_xlfn.XLOOKUP(B1428, 'Council Area'!$A$2:$A$51, 'Council Area'!$B$2:$B$51)</f>
        <v>Ku-ring-gai Council</v>
      </c>
      <c r="E1428" t="s">
        <v>36</v>
      </c>
      <c r="F1428">
        <v>2077138</v>
      </c>
      <c r="G1428">
        <v>0</v>
      </c>
      <c r="H1428">
        <v>3</v>
      </c>
      <c r="I1428">
        <v>965</v>
      </c>
      <c r="J1428">
        <v>1970</v>
      </c>
      <c r="K1428" s="4">
        <v>45654</v>
      </c>
      <c r="L1428" t="s">
        <v>20</v>
      </c>
      <c r="M1428" t="s">
        <v>68</v>
      </c>
      <c r="N1428">
        <v>2.74</v>
      </c>
      <c r="O1428">
        <v>1381</v>
      </c>
      <c r="P1428">
        <v>4.29</v>
      </c>
      <c r="Q1428">
        <v>60</v>
      </c>
      <c r="R1428">
        <v>327</v>
      </c>
    </row>
    <row r="1429" spans="1:18" hidden="1" x14ac:dyDescent="0.2">
      <c r="A1429">
        <v>2</v>
      </c>
      <c r="B1429" t="s">
        <v>38</v>
      </c>
      <c r="E1429" t="s">
        <v>36</v>
      </c>
      <c r="F1429">
        <v>526231</v>
      </c>
      <c r="G1429">
        <v>2</v>
      </c>
      <c r="H1429">
        <v>3</v>
      </c>
      <c r="I1429">
        <v>618</v>
      </c>
      <c r="J1429">
        <v>1982</v>
      </c>
      <c r="K1429" s="4">
        <v>44961</v>
      </c>
      <c r="L1429" t="s">
        <v>23</v>
      </c>
      <c r="M1429" t="s">
        <v>37</v>
      </c>
      <c r="N1429">
        <v>3.05</v>
      </c>
      <c r="O1429">
        <v>2354</v>
      </c>
      <c r="P1429">
        <v>4.8899999999999997</v>
      </c>
      <c r="Q1429">
        <v>50</v>
      </c>
      <c r="R1429">
        <v>504</v>
      </c>
    </row>
    <row r="1430" spans="1:18" hidden="1" x14ac:dyDescent="0.2">
      <c r="A1430">
        <v>2</v>
      </c>
      <c r="B1430" t="s">
        <v>83</v>
      </c>
      <c r="E1430" t="s">
        <v>19</v>
      </c>
      <c r="F1430">
        <v>807077</v>
      </c>
      <c r="G1430">
        <v>5</v>
      </c>
      <c r="H1430">
        <v>2</v>
      </c>
      <c r="I1430">
        <v>239</v>
      </c>
      <c r="J1430">
        <v>1997</v>
      </c>
      <c r="K1430" s="4">
        <v>45601</v>
      </c>
      <c r="L1430" t="s">
        <v>26</v>
      </c>
      <c r="M1430" t="s">
        <v>37</v>
      </c>
      <c r="N1430">
        <v>2.4</v>
      </c>
      <c r="O1430">
        <v>2116</v>
      </c>
      <c r="P1430">
        <v>3.18</v>
      </c>
      <c r="Q1430">
        <v>293</v>
      </c>
      <c r="R1430">
        <v>649</v>
      </c>
    </row>
    <row r="1431" spans="1:18" hidden="1" x14ac:dyDescent="0.2">
      <c r="A1431">
        <v>2</v>
      </c>
      <c r="B1431" t="s">
        <v>91</v>
      </c>
      <c r="E1431" t="s">
        <v>29</v>
      </c>
      <c r="F1431">
        <v>1946717</v>
      </c>
      <c r="G1431">
        <v>1</v>
      </c>
      <c r="H1431">
        <v>2</v>
      </c>
      <c r="I1431">
        <v>499</v>
      </c>
      <c r="J1431">
        <v>1981</v>
      </c>
      <c r="K1431" s="4">
        <v>44703</v>
      </c>
      <c r="L1431" t="s">
        <v>23</v>
      </c>
      <c r="M1431" t="s">
        <v>63</v>
      </c>
      <c r="N1431">
        <v>2.62</v>
      </c>
      <c r="O1431">
        <v>1094</v>
      </c>
      <c r="P1431">
        <v>2.7</v>
      </c>
      <c r="Q1431">
        <v>64</v>
      </c>
      <c r="R1431">
        <v>437</v>
      </c>
    </row>
    <row r="1432" spans="1:18" hidden="1" x14ac:dyDescent="0.2">
      <c r="A1432">
        <v>9</v>
      </c>
      <c r="B1432" t="s">
        <v>86</v>
      </c>
      <c r="E1432" t="s">
        <v>29</v>
      </c>
      <c r="F1432">
        <v>2976971</v>
      </c>
      <c r="G1432">
        <v>0</v>
      </c>
      <c r="H1432">
        <v>1</v>
      </c>
      <c r="I1432">
        <v>905</v>
      </c>
      <c r="J1432">
        <v>1995</v>
      </c>
      <c r="K1432" s="4">
        <v>45867</v>
      </c>
      <c r="L1432" t="s">
        <v>30</v>
      </c>
      <c r="M1432" t="s">
        <v>74</v>
      </c>
      <c r="N1432">
        <v>3.06</v>
      </c>
      <c r="O1432">
        <v>2033</v>
      </c>
      <c r="P1432">
        <v>1.0900000000000001</v>
      </c>
      <c r="Q1432">
        <v>50</v>
      </c>
      <c r="R1432">
        <v>523</v>
      </c>
    </row>
    <row r="1433" spans="1:18" hidden="1" x14ac:dyDescent="0.2">
      <c r="A1433">
        <v>2</v>
      </c>
      <c r="B1433" t="s">
        <v>53</v>
      </c>
      <c r="E1433" t="s">
        <v>36</v>
      </c>
      <c r="F1433">
        <v>2527058</v>
      </c>
      <c r="G1433">
        <v>3</v>
      </c>
      <c r="H1433">
        <v>3</v>
      </c>
      <c r="I1433">
        <v>610</v>
      </c>
      <c r="J1433">
        <v>1981</v>
      </c>
      <c r="K1433" s="4">
        <v>44191</v>
      </c>
      <c r="L1433" t="s">
        <v>30</v>
      </c>
      <c r="M1433" t="s">
        <v>59</v>
      </c>
      <c r="N1433">
        <v>3.04</v>
      </c>
      <c r="O1433">
        <v>2495</v>
      </c>
      <c r="P1433">
        <v>2.21</v>
      </c>
      <c r="Q1433">
        <v>117</v>
      </c>
      <c r="R1433">
        <v>306</v>
      </c>
    </row>
    <row r="1434" spans="1:18" hidden="1" x14ac:dyDescent="0.2">
      <c r="A1434">
        <v>0</v>
      </c>
      <c r="B1434" t="s">
        <v>92</v>
      </c>
      <c r="E1434" t="s">
        <v>36</v>
      </c>
      <c r="F1434">
        <v>1150844</v>
      </c>
      <c r="G1434">
        <v>5</v>
      </c>
      <c r="H1434">
        <v>3</v>
      </c>
      <c r="I1434">
        <v>553</v>
      </c>
      <c r="J1434">
        <v>1987</v>
      </c>
      <c r="K1434" s="4">
        <v>45436</v>
      </c>
      <c r="L1434" t="s">
        <v>30</v>
      </c>
      <c r="M1434" t="s">
        <v>82</v>
      </c>
      <c r="N1434">
        <v>1.83</v>
      </c>
      <c r="O1434">
        <v>980</v>
      </c>
      <c r="P1434">
        <v>0.87</v>
      </c>
      <c r="Q1434">
        <v>276</v>
      </c>
      <c r="R1434">
        <v>406</v>
      </c>
    </row>
    <row r="1435" spans="1:18" hidden="1" x14ac:dyDescent="0.2">
      <c r="A1435">
        <v>9</v>
      </c>
      <c r="B1435" t="s">
        <v>43</v>
      </c>
      <c r="E1435" t="s">
        <v>51</v>
      </c>
      <c r="F1435">
        <v>989129</v>
      </c>
      <c r="G1435">
        <v>1</v>
      </c>
      <c r="H1435">
        <v>2</v>
      </c>
      <c r="I1435">
        <v>506</v>
      </c>
      <c r="J1435">
        <v>1957</v>
      </c>
      <c r="K1435" s="4">
        <v>45514</v>
      </c>
      <c r="L1435" t="s">
        <v>30</v>
      </c>
      <c r="M1435" t="s">
        <v>63</v>
      </c>
      <c r="N1435">
        <v>2.76</v>
      </c>
      <c r="O1435">
        <v>981</v>
      </c>
      <c r="P1435">
        <v>4.6500000000000004</v>
      </c>
      <c r="Q1435">
        <v>79</v>
      </c>
      <c r="R1435">
        <v>537</v>
      </c>
    </row>
    <row r="1436" spans="1:18" hidden="1" x14ac:dyDescent="0.2">
      <c r="A1436">
        <v>0</v>
      </c>
      <c r="B1436" t="s">
        <v>95</v>
      </c>
      <c r="E1436" t="s">
        <v>36</v>
      </c>
      <c r="F1436">
        <v>2538615</v>
      </c>
      <c r="G1436">
        <v>0</v>
      </c>
      <c r="H1436">
        <v>1</v>
      </c>
      <c r="I1436">
        <v>351</v>
      </c>
      <c r="J1436">
        <v>1992</v>
      </c>
      <c r="K1436" s="4">
        <v>45633</v>
      </c>
      <c r="L1436" t="s">
        <v>20</v>
      </c>
      <c r="M1436" t="s">
        <v>42</v>
      </c>
      <c r="N1436">
        <v>2.29</v>
      </c>
      <c r="O1436">
        <v>1806</v>
      </c>
      <c r="P1436">
        <v>3.25</v>
      </c>
      <c r="Q1436">
        <v>42</v>
      </c>
      <c r="R1436">
        <v>472</v>
      </c>
    </row>
    <row r="1437" spans="1:18" hidden="1" x14ac:dyDescent="0.2">
      <c r="A1437">
        <v>6</v>
      </c>
      <c r="B1437" t="s">
        <v>96</v>
      </c>
      <c r="E1437" t="s">
        <v>51</v>
      </c>
      <c r="F1437">
        <v>1060128</v>
      </c>
      <c r="G1437">
        <v>5</v>
      </c>
      <c r="H1437">
        <v>2</v>
      </c>
      <c r="I1437">
        <v>911</v>
      </c>
      <c r="J1437">
        <v>1969</v>
      </c>
      <c r="K1437" s="4">
        <v>44396</v>
      </c>
      <c r="L1437" t="s">
        <v>26</v>
      </c>
      <c r="M1437" t="s">
        <v>82</v>
      </c>
      <c r="N1437">
        <v>2.19</v>
      </c>
      <c r="O1437">
        <v>2083</v>
      </c>
      <c r="P1437">
        <v>4.7</v>
      </c>
      <c r="Q1437">
        <v>279</v>
      </c>
      <c r="R1437">
        <v>356</v>
      </c>
    </row>
    <row r="1438" spans="1:18" hidden="1" x14ac:dyDescent="0.2">
      <c r="A1438">
        <v>4</v>
      </c>
      <c r="B1438" t="s">
        <v>72</v>
      </c>
      <c r="E1438" t="s">
        <v>51</v>
      </c>
      <c r="F1438">
        <v>719490</v>
      </c>
      <c r="G1438">
        <v>1</v>
      </c>
      <c r="H1438">
        <v>3</v>
      </c>
      <c r="I1438">
        <v>368</v>
      </c>
      <c r="J1438">
        <v>1996</v>
      </c>
      <c r="K1438" s="4">
        <v>45278</v>
      </c>
      <c r="L1438" t="s">
        <v>23</v>
      </c>
      <c r="M1438" t="s">
        <v>74</v>
      </c>
      <c r="N1438">
        <v>2.74</v>
      </c>
      <c r="O1438">
        <v>2119</v>
      </c>
      <c r="P1438">
        <v>2.84</v>
      </c>
      <c r="Q1438">
        <v>102</v>
      </c>
      <c r="R1438">
        <v>367</v>
      </c>
    </row>
    <row r="1439" spans="1:18" hidden="1" x14ac:dyDescent="0.2">
      <c r="A1439">
        <v>2</v>
      </c>
      <c r="B1439" t="s">
        <v>41</v>
      </c>
      <c r="E1439" t="s">
        <v>51</v>
      </c>
      <c r="F1439">
        <v>1340139</v>
      </c>
      <c r="G1439">
        <v>2</v>
      </c>
      <c r="H1439">
        <v>3</v>
      </c>
      <c r="I1439">
        <v>684</v>
      </c>
      <c r="J1439">
        <v>1950</v>
      </c>
      <c r="K1439" s="4">
        <v>44828</v>
      </c>
      <c r="L1439" t="s">
        <v>20</v>
      </c>
      <c r="M1439" t="s">
        <v>63</v>
      </c>
      <c r="N1439">
        <v>1.93</v>
      </c>
      <c r="O1439">
        <v>1256</v>
      </c>
      <c r="P1439">
        <v>0.79</v>
      </c>
      <c r="Q1439">
        <v>114</v>
      </c>
      <c r="R1439">
        <v>622</v>
      </c>
    </row>
    <row r="1440" spans="1:18" hidden="1" x14ac:dyDescent="0.2">
      <c r="A1440">
        <v>6</v>
      </c>
      <c r="B1440" t="s">
        <v>43</v>
      </c>
      <c r="E1440" t="s">
        <v>36</v>
      </c>
      <c r="F1440">
        <v>695478</v>
      </c>
      <c r="G1440">
        <v>4</v>
      </c>
      <c r="H1440">
        <v>2</v>
      </c>
      <c r="I1440">
        <v>484</v>
      </c>
      <c r="J1440">
        <v>1959</v>
      </c>
      <c r="K1440" s="4">
        <v>45310</v>
      </c>
      <c r="L1440" t="s">
        <v>26</v>
      </c>
      <c r="M1440" t="s">
        <v>45</v>
      </c>
      <c r="N1440">
        <v>3.15</v>
      </c>
      <c r="O1440">
        <v>1173</v>
      </c>
      <c r="P1440">
        <v>4.16</v>
      </c>
      <c r="Q1440">
        <v>295</v>
      </c>
      <c r="R1440">
        <v>576</v>
      </c>
    </row>
    <row r="1441" spans="1:18" hidden="1" x14ac:dyDescent="0.2">
      <c r="A1441">
        <v>0</v>
      </c>
      <c r="B1441" t="s">
        <v>65</v>
      </c>
      <c r="E1441" t="s">
        <v>51</v>
      </c>
      <c r="F1441">
        <v>2414302</v>
      </c>
      <c r="G1441">
        <v>2</v>
      </c>
      <c r="H1441">
        <v>3</v>
      </c>
      <c r="I1441">
        <v>627</v>
      </c>
      <c r="J1441">
        <v>1997</v>
      </c>
      <c r="K1441" s="4">
        <v>45791</v>
      </c>
      <c r="L1441" t="s">
        <v>20</v>
      </c>
      <c r="M1441" t="s">
        <v>27</v>
      </c>
      <c r="N1441">
        <v>1.84</v>
      </c>
      <c r="O1441">
        <v>2259</v>
      </c>
      <c r="P1441">
        <v>0.91</v>
      </c>
      <c r="Q1441">
        <v>73</v>
      </c>
      <c r="R1441">
        <v>370</v>
      </c>
    </row>
    <row r="1442" spans="1:18" hidden="1" x14ac:dyDescent="0.2">
      <c r="A1442">
        <v>2</v>
      </c>
      <c r="B1442" t="s">
        <v>101</v>
      </c>
      <c r="E1442" t="s">
        <v>51</v>
      </c>
      <c r="F1442">
        <v>1472900</v>
      </c>
      <c r="G1442">
        <v>2</v>
      </c>
      <c r="H1442">
        <v>1</v>
      </c>
      <c r="I1442">
        <v>710</v>
      </c>
      <c r="J1442">
        <v>1951</v>
      </c>
      <c r="K1442" s="4">
        <v>44258</v>
      </c>
      <c r="L1442" t="s">
        <v>26</v>
      </c>
      <c r="M1442" t="s">
        <v>68</v>
      </c>
      <c r="N1442">
        <v>3.19</v>
      </c>
      <c r="O1442">
        <v>1883</v>
      </c>
      <c r="P1442">
        <v>1.46</v>
      </c>
      <c r="Q1442">
        <v>172</v>
      </c>
      <c r="R1442">
        <v>645</v>
      </c>
    </row>
    <row r="1443" spans="1:18" hidden="1" x14ac:dyDescent="0.2">
      <c r="A1443">
        <v>4</v>
      </c>
      <c r="B1443" t="s">
        <v>22</v>
      </c>
      <c r="E1443" t="s">
        <v>36</v>
      </c>
      <c r="F1443">
        <v>1947106</v>
      </c>
      <c r="G1443">
        <v>1</v>
      </c>
      <c r="H1443">
        <v>2</v>
      </c>
      <c r="I1443">
        <v>278</v>
      </c>
      <c r="J1443">
        <v>1990</v>
      </c>
      <c r="K1443" s="4">
        <v>44125</v>
      </c>
      <c r="L1443" t="s">
        <v>30</v>
      </c>
      <c r="M1443" t="s">
        <v>78</v>
      </c>
      <c r="N1443">
        <v>2.52</v>
      </c>
      <c r="O1443">
        <v>2197</v>
      </c>
      <c r="P1443">
        <v>4</v>
      </c>
      <c r="Q1443">
        <v>77</v>
      </c>
      <c r="R1443">
        <v>317</v>
      </c>
    </row>
    <row r="1444" spans="1:18" hidden="1" x14ac:dyDescent="0.2">
      <c r="A1444">
        <v>0</v>
      </c>
      <c r="B1444" t="s">
        <v>22</v>
      </c>
      <c r="E1444" t="s">
        <v>29</v>
      </c>
      <c r="F1444">
        <v>693800</v>
      </c>
      <c r="G1444">
        <v>2</v>
      </c>
      <c r="H1444">
        <v>1</v>
      </c>
      <c r="I1444">
        <v>904</v>
      </c>
      <c r="J1444">
        <v>1993</v>
      </c>
      <c r="K1444" s="4">
        <v>45458</v>
      </c>
      <c r="L1444" t="s">
        <v>20</v>
      </c>
      <c r="M1444" t="s">
        <v>60</v>
      </c>
      <c r="N1444">
        <v>1.59</v>
      </c>
      <c r="O1444">
        <v>1814</v>
      </c>
      <c r="P1444">
        <v>2.66</v>
      </c>
      <c r="Q1444">
        <v>130</v>
      </c>
      <c r="R1444">
        <v>452</v>
      </c>
    </row>
    <row r="1445" spans="1:18" hidden="1" x14ac:dyDescent="0.2">
      <c r="A1445">
        <v>7</v>
      </c>
      <c r="B1445" t="s">
        <v>72</v>
      </c>
      <c r="E1445" t="s">
        <v>36</v>
      </c>
      <c r="F1445">
        <v>2685264</v>
      </c>
      <c r="G1445">
        <v>2</v>
      </c>
      <c r="H1445">
        <v>3</v>
      </c>
      <c r="I1445">
        <v>762</v>
      </c>
      <c r="J1445">
        <v>1975</v>
      </c>
      <c r="K1445" s="4">
        <v>45729</v>
      </c>
      <c r="L1445" t="s">
        <v>20</v>
      </c>
      <c r="M1445" t="s">
        <v>76</v>
      </c>
      <c r="N1445">
        <v>3.18</v>
      </c>
      <c r="O1445">
        <v>1869</v>
      </c>
      <c r="P1445">
        <v>0.38</v>
      </c>
      <c r="Q1445">
        <v>107</v>
      </c>
      <c r="R1445">
        <v>514</v>
      </c>
    </row>
    <row r="1446" spans="1:18" hidden="1" x14ac:dyDescent="0.2">
      <c r="A1446">
        <v>0</v>
      </c>
      <c r="B1446" t="s">
        <v>46</v>
      </c>
      <c r="E1446" t="s">
        <v>19</v>
      </c>
      <c r="F1446">
        <v>529464</v>
      </c>
      <c r="G1446">
        <v>4</v>
      </c>
      <c r="H1446">
        <v>3</v>
      </c>
      <c r="I1446">
        <v>707</v>
      </c>
      <c r="J1446">
        <v>1959</v>
      </c>
      <c r="K1446" s="4">
        <v>45748</v>
      </c>
      <c r="L1446" t="s">
        <v>23</v>
      </c>
      <c r="M1446" t="s">
        <v>47</v>
      </c>
      <c r="N1446">
        <v>2.6</v>
      </c>
      <c r="O1446">
        <v>2444</v>
      </c>
      <c r="P1446">
        <v>3.02</v>
      </c>
      <c r="Q1446">
        <v>175</v>
      </c>
      <c r="R1446">
        <v>667</v>
      </c>
    </row>
    <row r="1447" spans="1:18" hidden="1" x14ac:dyDescent="0.2">
      <c r="A1447">
        <v>5</v>
      </c>
      <c r="B1447" t="s">
        <v>50</v>
      </c>
      <c r="E1447" t="s">
        <v>29</v>
      </c>
      <c r="F1447">
        <v>1095404</v>
      </c>
      <c r="G1447">
        <v>4</v>
      </c>
      <c r="H1447">
        <v>3</v>
      </c>
      <c r="I1447">
        <v>397</v>
      </c>
      <c r="J1447">
        <v>1996</v>
      </c>
      <c r="K1447" s="4">
        <v>45114</v>
      </c>
      <c r="L1447" t="s">
        <v>30</v>
      </c>
      <c r="M1447" t="s">
        <v>77</v>
      </c>
      <c r="N1447">
        <v>1.88</v>
      </c>
      <c r="O1447">
        <v>1382</v>
      </c>
      <c r="P1447">
        <v>0.61</v>
      </c>
      <c r="Q1447">
        <v>260</v>
      </c>
      <c r="R1447">
        <v>455</v>
      </c>
    </row>
    <row r="1448" spans="1:18" x14ac:dyDescent="0.2">
      <c r="A1448">
        <v>8</v>
      </c>
      <c r="B1448" t="s">
        <v>87</v>
      </c>
      <c r="C1448" t="str">
        <f>VLOOKUP(B1448, 'Council Area'!$A$2:$B$51, 2)</f>
        <v>Randwick City Council</v>
      </c>
      <c r="D1448" t="str">
        <f>_xlfn.XLOOKUP(B1448, 'Council Area'!$A$2:$A$51, 'Council Area'!$B$2:$B$51)</f>
        <v>Randwick City Council</v>
      </c>
      <c r="E1448" t="s">
        <v>19</v>
      </c>
      <c r="F1448">
        <v>817935</v>
      </c>
      <c r="G1448">
        <v>5</v>
      </c>
      <c r="H1448">
        <v>1</v>
      </c>
      <c r="I1448">
        <v>473</v>
      </c>
      <c r="J1448">
        <v>2004</v>
      </c>
      <c r="K1448" s="4">
        <v>45207</v>
      </c>
      <c r="L1448" t="s">
        <v>26</v>
      </c>
      <c r="M1448" t="s">
        <v>85</v>
      </c>
      <c r="N1448">
        <v>3.47</v>
      </c>
      <c r="O1448">
        <v>1044</v>
      </c>
      <c r="P1448">
        <v>1.35</v>
      </c>
      <c r="Q1448">
        <v>366</v>
      </c>
      <c r="R1448">
        <v>614</v>
      </c>
    </row>
    <row r="1449" spans="1:18" hidden="1" x14ac:dyDescent="0.2">
      <c r="A1449">
        <v>5</v>
      </c>
      <c r="B1449" t="s">
        <v>48</v>
      </c>
      <c r="E1449" t="s">
        <v>19</v>
      </c>
      <c r="F1449">
        <v>892427</v>
      </c>
      <c r="G1449">
        <v>2</v>
      </c>
      <c r="H1449">
        <v>3</v>
      </c>
      <c r="I1449">
        <v>424</v>
      </c>
      <c r="J1449">
        <v>2007</v>
      </c>
      <c r="K1449" s="4">
        <v>44664</v>
      </c>
      <c r="L1449" t="s">
        <v>26</v>
      </c>
      <c r="M1449" t="s">
        <v>31</v>
      </c>
      <c r="N1449">
        <v>2.2200000000000002</v>
      </c>
      <c r="O1449">
        <v>1637</v>
      </c>
      <c r="P1449">
        <v>4.4800000000000004</v>
      </c>
      <c r="Q1449">
        <v>163</v>
      </c>
      <c r="R1449">
        <v>549</v>
      </c>
    </row>
    <row r="1450" spans="1:18" hidden="1" x14ac:dyDescent="0.2">
      <c r="A1450">
        <v>5</v>
      </c>
      <c r="B1450" t="s">
        <v>50</v>
      </c>
      <c r="E1450" t="s">
        <v>51</v>
      </c>
      <c r="F1450">
        <v>1207491</v>
      </c>
      <c r="G1450">
        <v>5</v>
      </c>
      <c r="H1450">
        <v>2</v>
      </c>
      <c r="I1450">
        <v>666</v>
      </c>
      <c r="J1450">
        <v>1989</v>
      </c>
      <c r="K1450" s="4">
        <v>45358</v>
      </c>
      <c r="L1450" t="s">
        <v>23</v>
      </c>
      <c r="M1450" t="s">
        <v>56</v>
      </c>
      <c r="N1450">
        <v>2.19</v>
      </c>
      <c r="O1450">
        <v>1235</v>
      </c>
      <c r="P1450">
        <v>3.68</v>
      </c>
      <c r="Q1450">
        <v>274</v>
      </c>
      <c r="R1450">
        <v>560</v>
      </c>
    </row>
    <row r="1451" spans="1:18" hidden="1" x14ac:dyDescent="0.2">
      <c r="A1451">
        <v>7</v>
      </c>
      <c r="B1451" t="s">
        <v>62</v>
      </c>
      <c r="E1451" t="s">
        <v>36</v>
      </c>
      <c r="F1451">
        <v>566250</v>
      </c>
      <c r="G1451">
        <v>5</v>
      </c>
      <c r="H1451">
        <v>1</v>
      </c>
      <c r="I1451">
        <v>809</v>
      </c>
      <c r="J1451">
        <v>1977</v>
      </c>
      <c r="K1451" s="4">
        <v>45132</v>
      </c>
      <c r="L1451" t="s">
        <v>30</v>
      </c>
      <c r="M1451" t="s">
        <v>63</v>
      </c>
      <c r="N1451">
        <v>1.88</v>
      </c>
      <c r="O1451">
        <v>1472</v>
      </c>
      <c r="P1451">
        <v>3.1</v>
      </c>
      <c r="Q1451">
        <v>395</v>
      </c>
      <c r="R1451">
        <v>558</v>
      </c>
    </row>
    <row r="1452" spans="1:18" hidden="1" x14ac:dyDescent="0.2">
      <c r="A1452">
        <v>9</v>
      </c>
      <c r="B1452" t="s">
        <v>86</v>
      </c>
      <c r="E1452" t="s">
        <v>19</v>
      </c>
      <c r="F1452">
        <v>1895251</v>
      </c>
      <c r="G1452">
        <v>4</v>
      </c>
      <c r="H1452">
        <v>3</v>
      </c>
      <c r="I1452">
        <v>564</v>
      </c>
      <c r="J1452">
        <v>1990</v>
      </c>
      <c r="K1452" s="4">
        <v>45657</v>
      </c>
      <c r="L1452" t="s">
        <v>23</v>
      </c>
      <c r="M1452" t="s">
        <v>33</v>
      </c>
      <c r="N1452">
        <v>1.67</v>
      </c>
      <c r="O1452">
        <v>1236</v>
      </c>
      <c r="P1452">
        <v>1.28</v>
      </c>
      <c r="Q1452">
        <v>202</v>
      </c>
      <c r="R1452">
        <v>475</v>
      </c>
    </row>
    <row r="1453" spans="1:18" hidden="1" x14ac:dyDescent="0.2">
      <c r="A1453">
        <v>2</v>
      </c>
      <c r="B1453" t="s">
        <v>72</v>
      </c>
      <c r="E1453" t="s">
        <v>29</v>
      </c>
      <c r="F1453">
        <v>1456981</v>
      </c>
      <c r="G1453">
        <v>2</v>
      </c>
      <c r="H1453">
        <v>3</v>
      </c>
      <c r="I1453">
        <v>188</v>
      </c>
      <c r="J1453">
        <v>1990</v>
      </c>
      <c r="K1453" s="4">
        <v>45289</v>
      </c>
      <c r="L1453" t="s">
        <v>23</v>
      </c>
      <c r="M1453" t="s">
        <v>69</v>
      </c>
      <c r="N1453">
        <v>1.64</v>
      </c>
      <c r="O1453">
        <v>2364</v>
      </c>
      <c r="P1453">
        <v>1.1200000000000001</v>
      </c>
      <c r="Q1453">
        <v>45</v>
      </c>
      <c r="R1453">
        <v>530</v>
      </c>
    </row>
    <row r="1454" spans="1:18" hidden="1" x14ac:dyDescent="0.2">
      <c r="A1454">
        <v>2</v>
      </c>
      <c r="B1454" t="s">
        <v>55</v>
      </c>
      <c r="E1454" t="s">
        <v>29</v>
      </c>
      <c r="F1454">
        <v>730074</v>
      </c>
      <c r="G1454">
        <v>3</v>
      </c>
      <c r="H1454">
        <v>1</v>
      </c>
      <c r="I1454">
        <v>657</v>
      </c>
      <c r="J1454">
        <v>1958</v>
      </c>
      <c r="K1454" s="4">
        <v>44730</v>
      </c>
      <c r="L1454" t="s">
        <v>26</v>
      </c>
      <c r="M1454" t="s">
        <v>68</v>
      </c>
      <c r="N1454">
        <v>3.1</v>
      </c>
      <c r="O1454">
        <v>1223</v>
      </c>
      <c r="P1454">
        <v>4.9800000000000004</v>
      </c>
      <c r="Q1454">
        <v>267</v>
      </c>
      <c r="R1454">
        <v>571</v>
      </c>
    </row>
    <row r="1455" spans="1:18" hidden="1" x14ac:dyDescent="0.2">
      <c r="A1455">
        <v>7</v>
      </c>
      <c r="B1455" t="s">
        <v>72</v>
      </c>
      <c r="E1455" t="s">
        <v>36</v>
      </c>
      <c r="F1455">
        <v>1657343</v>
      </c>
      <c r="G1455">
        <v>3</v>
      </c>
      <c r="H1455">
        <v>2</v>
      </c>
      <c r="I1455">
        <v>980</v>
      </c>
      <c r="J1455">
        <v>1987</v>
      </c>
      <c r="K1455" s="4">
        <v>45069</v>
      </c>
      <c r="L1455" t="s">
        <v>20</v>
      </c>
      <c r="M1455" t="s">
        <v>21</v>
      </c>
      <c r="N1455">
        <v>2.25</v>
      </c>
      <c r="O1455">
        <v>2113</v>
      </c>
      <c r="P1455">
        <v>2.75</v>
      </c>
      <c r="Q1455">
        <v>211</v>
      </c>
      <c r="R1455">
        <v>581</v>
      </c>
    </row>
    <row r="1456" spans="1:18" hidden="1" x14ac:dyDescent="0.2">
      <c r="A1456">
        <v>3</v>
      </c>
      <c r="B1456" t="s">
        <v>57</v>
      </c>
      <c r="E1456" t="s">
        <v>51</v>
      </c>
      <c r="F1456">
        <v>2166500</v>
      </c>
      <c r="G1456">
        <v>6</v>
      </c>
      <c r="H1456">
        <v>2</v>
      </c>
      <c r="I1456">
        <v>439</v>
      </c>
      <c r="J1456">
        <v>1989</v>
      </c>
      <c r="K1456" s="4">
        <v>44867</v>
      </c>
      <c r="L1456" t="s">
        <v>26</v>
      </c>
      <c r="M1456" t="s">
        <v>37</v>
      </c>
      <c r="N1456">
        <v>2.63</v>
      </c>
      <c r="O1456">
        <v>1031</v>
      </c>
      <c r="P1456">
        <v>0.73</v>
      </c>
      <c r="Q1456">
        <v>333</v>
      </c>
      <c r="R1456">
        <v>530</v>
      </c>
    </row>
    <row r="1457" spans="1:18" hidden="1" x14ac:dyDescent="0.2">
      <c r="A1457">
        <v>7</v>
      </c>
      <c r="B1457" t="s">
        <v>49</v>
      </c>
      <c r="E1457" t="s">
        <v>29</v>
      </c>
      <c r="F1457">
        <v>1103763</v>
      </c>
      <c r="G1457">
        <v>4</v>
      </c>
      <c r="H1457">
        <v>1</v>
      </c>
      <c r="I1457">
        <v>756</v>
      </c>
      <c r="J1457">
        <v>1982</v>
      </c>
      <c r="K1457" s="4">
        <v>44649</v>
      </c>
      <c r="L1457" t="s">
        <v>23</v>
      </c>
      <c r="M1457" t="s">
        <v>78</v>
      </c>
      <c r="N1457">
        <v>2.29</v>
      </c>
      <c r="O1457">
        <v>2222</v>
      </c>
      <c r="P1457">
        <v>0.81</v>
      </c>
      <c r="Q1457">
        <v>284</v>
      </c>
      <c r="R1457">
        <v>617</v>
      </c>
    </row>
    <row r="1458" spans="1:18" hidden="1" x14ac:dyDescent="0.2">
      <c r="A1458">
        <v>1</v>
      </c>
      <c r="B1458" t="s">
        <v>83</v>
      </c>
      <c r="E1458" t="s">
        <v>36</v>
      </c>
      <c r="F1458">
        <v>911591</v>
      </c>
      <c r="G1458">
        <v>3</v>
      </c>
      <c r="H1458">
        <v>1</v>
      </c>
      <c r="I1458">
        <v>318</v>
      </c>
      <c r="J1458">
        <v>1956</v>
      </c>
      <c r="K1458" s="4">
        <v>44227</v>
      </c>
      <c r="L1458" t="s">
        <v>26</v>
      </c>
      <c r="M1458" t="s">
        <v>82</v>
      </c>
      <c r="N1458">
        <v>3.33</v>
      </c>
      <c r="O1458">
        <v>2454</v>
      </c>
      <c r="P1458">
        <v>2.98</v>
      </c>
      <c r="Q1458">
        <v>129</v>
      </c>
      <c r="R1458">
        <v>378</v>
      </c>
    </row>
    <row r="1459" spans="1:18" hidden="1" x14ac:dyDescent="0.2">
      <c r="A1459">
        <v>2</v>
      </c>
      <c r="B1459" t="s">
        <v>65</v>
      </c>
      <c r="E1459" t="s">
        <v>19</v>
      </c>
      <c r="F1459">
        <v>502155</v>
      </c>
      <c r="G1459">
        <v>5</v>
      </c>
      <c r="H1459">
        <v>3</v>
      </c>
      <c r="I1459">
        <v>72</v>
      </c>
      <c r="J1459">
        <v>2004</v>
      </c>
      <c r="K1459" s="4">
        <v>44602</v>
      </c>
      <c r="L1459" t="s">
        <v>30</v>
      </c>
      <c r="M1459" t="s">
        <v>59</v>
      </c>
      <c r="N1459">
        <v>3.31</v>
      </c>
      <c r="O1459">
        <v>1584</v>
      </c>
      <c r="P1459">
        <v>0.65</v>
      </c>
      <c r="Q1459">
        <v>248</v>
      </c>
      <c r="R1459">
        <v>454</v>
      </c>
    </row>
    <row r="1460" spans="1:18" hidden="1" x14ac:dyDescent="0.2">
      <c r="A1460">
        <v>2</v>
      </c>
      <c r="B1460" t="s">
        <v>53</v>
      </c>
      <c r="E1460" t="s">
        <v>51</v>
      </c>
      <c r="F1460">
        <v>2407893</v>
      </c>
      <c r="G1460">
        <v>2</v>
      </c>
      <c r="H1460">
        <v>2</v>
      </c>
      <c r="I1460">
        <v>932</v>
      </c>
      <c r="J1460">
        <v>2008</v>
      </c>
      <c r="K1460" s="4">
        <v>44652</v>
      </c>
      <c r="L1460" t="s">
        <v>20</v>
      </c>
      <c r="M1460" t="s">
        <v>66</v>
      </c>
      <c r="N1460">
        <v>1.61</v>
      </c>
      <c r="O1460">
        <v>2430</v>
      </c>
      <c r="P1460">
        <v>0.71</v>
      </c>
      <c r="Q1460">
        <v>178</v>
      </c>
      <c r="R1460">
        <v>632</v>
      </c>
    </row>
    <row r="1461" spans="1:18" hidden="1" x14ac:dyDescent="0.2">
      <c r="A1461">
        <v>9</v>
      </c>
      <c r="B1461" t="s">
        <v>49</v>
      </c>
      <c r="E1461" t="s">
        <v>29</v>
      </c>
      <c r="F1461">
        <v>1483780</v>
      </c>
      <c r="G1461">
        <v>4</v>
      </c>
      <c r="H1461">
        <v>2</v>
      </c>
      <c r="I1461">
        <v>595</v>
      </c>
      <c r="J1461">
        <v>1988</v>
      </c>
      <c r="K1461" s="4">
        <v>44224</v>
      </c>
      <c r="L1461" t="s">
        <v>23</v>
      </c>
      <c r="M1461" t="s">
        <v>47</v>
      </c>
      <c r="N1461">
        <v>1.53</v>
      </c>
      <c r="O1461">
        <v>1514</v>
      </c>
      <c r="P1461">
        <v>3.24</v>
      </c>
      <c r="Q1461">
        <v>180</v>
      </c>
      <c r="R1461">
        <v>412</v>
      </c>
    </row>
    <row r="1462" spans="1:18" hidden="1" x14ac:dyDescent="0.2">
      <c r="A1462">
        <v>0</v>
      </c>
      <c r="B1462" t="s">
        <v>80</v>
      </c>
      <c r="E1462" t="s">
        <v>36</v>
      </c>
      <c r="F1462">
        <v>762664</v>
      </c>
      <c r="G1462">
        <v>3</v>
      </c>
      <c r="H1462">
        <v>1</v>
      </c>
      <c r="I1462">
        <v>838</v>
      </c>
      <c r="J1462">
        <v>2008</v>
      </c>
      <c r="K1462" s="4">
        <v>44619</v>
      </c>
      <c r="L1462" t="s">
        <v>23</v>
      </c>
      <c r="M1462" t="s">
        <v>76</v>
      </c>
      <c r="N1462">
        <v>1.85</v>
      </c>
      <c r="O1462">
        <v>1948</v>
      </c>
      <c r="P1462">
        <v>3.74</v>
      </c>
      <c r="Q1462">
        <v>234</v>
      </c>
      <c r="R1462">
        <v>579</v>
      </c>
    </row>
    <row r="1463" spans="1:18" hidden="1" x14ac:dyDescent="0.2">
      <c r="A1463">
        <v>7</v>
      </c>
      <c r="B1463" t="s">
        <v>90</v>
      </c>
      <c r="E1463" t="s">
        <v>51</v>
      </c>
      <c r="F1463">
        <v>1098525</v>
      </c>
      <c r="G1463">
        <v>4</v>
      </c>
      <c r="H1463">
        <v>2</v>
      </c>
      <c r="I1463">
        <v>600</v>
      </c>
      <c r="J1463">
        <v>2020</v>
      </c>
      <c r="K1463" s="4">
        <v>45427</v>
      </c>
      <c r="L1463" t="s">
        <v>23</v>
      </c>
      <c r="M1463" t="s">
        <v>37</v>
      </c>
      <c r="N1463">
        <v>1.62</v>
      </c>
      <c r="O1463">
        <v>848</v>
      </c>
      <c r="P1463">
        <v>4.32</v>
      </c>
      <c r="Q1463">
        <v>226</v>
      </c>
      <c r="R1463">
        <v>567</v>
      </c>
    </row>
    <row r="1464" spans="1:18" hidden="1" x14ac:dyDescent="0.2">
      <c r="A1464">
        <v>1</v>
      </c>
      <c r="B1464" t="s">
        <v>55</v>
      </c>
      <c r="E1464" t="s">
        <v>51</v>
      </c>
      <c r="F1464">
        <v>1860768</v>
      </c>
      <c r="G1464">
        <v>3</v>
      </c>
      <c r="H1464">
        <v>1</v>
      </c>
      <c r="I1464">
        <v>431</v>
      </c>
      <c r="J1464">
        <v>1966</v>
      </c>
      <c r="K1464" s="4">
        <v>45733</v>
      </c>
      <c r="L1464" t="s">
        <v>26</v>
      </c>
      <c r="M1464" t="s">
        <v>97</v>
      </c>
      <c r="N1464">
        <v>3.2</v>
      </c>
      <c r="O1464">
        <v>2162</v>
      </c>
      <c r="P1464">
        <v>0.71</v>
      </c>
      <c r="Q1464">
        <v>244</v>
      </c>
      <c r="R1464">
        <v>610</v>
      </c>
    </row>
    <row r="1465" spans="1:18" hidden="1" x14ac:dyDescent="0.2">
      <c r="A1465">
        <v>4</v>
      </c>
      <c r="B1465" t="s">
        <v>96</v>
      </c>
      <c r="E1465" t="s">
        <v>36</v>
      </c>
      <c r="F1465">
        <v>1540676</v>
      </c>
      <c r="G1465">
        <v>4</v>
      </c>
      <c r="H1465">
        <v>1</v>
      </c>
      <c r="I1465">
        <v>245</v>
      </c>
      <c r="J1465">
        <v>2012</v>
      </c>
      <c r="K1465" s="4">
        <v>44077</v>
      </c>
      <c r="L1465" t="s">
        <v>30</v>
      </c>
      <c r="M1465" t="s">
        <v>56</v>
      </c>
      <c r="N1465">
        <v>1.75</v>
      </c>
      <c r="O1465">
        <v>1719</v>
      </c>
      <c r="P1465">
        <v>4</v>
      </c>
      <c r="Q1465">
        <v>167</v>
      </c>
      <c r="R1465">
        <v>466</v>
      </c>
    </row>
    <row r="1466" spans="1:18" hidden="1" x14ac:dyDescent="0.2">
      <c r="A1466">
        <v>4</v>
      </c>
      <c r="B1466" t="s">
        <v>83</v>
      </c>
      <c r="E1466" t="s">
        <v>29</v>
      </c>
      <c r="F1466">
        <v>1125672</v>
      </c>
      <c r="G1466">
        <v>4</v>
      </c>
      <c r="H1466">
        <v>2</v>
      </c>
      <c r="I1466">
        <v>295</v>
      </c>
      <c r="J1466">
        <v>2020</v>
      </c>
      <c r="K1466" s="4">
        <v>44489</v>
      </c>
      <c r="L1466" t="s">
        <v>23</v>
      </c>
      <c r="M1466" t="s">
        <v>85</v>
      </c>
      <c r="N1466">
        <v>3.18</v>
      </c>
      <c r="O1466">
        <v>2431</v>
      </c>
      <c r="P1466">
        <v>2.29</v>
      </c>
      <c r="Q1466">
        <v>283</v>
      </c>
      <c r="R1466">
        <v>448</v>
      </c>
    </row>
    <row r="1467" spans="1:18" hidden="1" x14ac:dyDescent="0.2">
      <c r="A1467">
        <v>0</v>
      </c>
      <c r="B1467" t="s">
        <v>38</v>
      </c>
      <c r="E1467" t="s">
        <v>36</v>
      </c>
      <c r="F1467">
        <v>538173</v>
      </c>
      <c r="G1467">
        <v>2</v>
      </c>
      <c r="H1467">
        <v>1</v>
      </c>
      <c r="I1467">
        <v>717</v>
      </c>
      <c r="J1467">
        <v>1998</v>
      </c>
      <c r="K1467" s="4">
        <v>45864</v>
      </c>
      <c r="L1467" t="s">
        <v>20</v>
      </c>
      <c r="M1467" t="s">
        <v>45</v>
      </c>
      <c r="N1467">
        <v>2.27</v>
      </c>
      <c r="O1467">
        <v>847</v>
      </c>
      <c r="P1467">
        <v>0.84</v>
      </c>
      <c r="Q1467">
        <v>137</v>
      </c>
      <c r="R1467">
        <v>496</v>
      </c>
    </row>
    <row r="1468" spans="1:18" hidden="1" x14ac:dyDescent="0.2">
      <c r="A1468">
        <v>2</v>
      </c>
      <c r="B1468" t="s">
        <v>79</v>
      </c>
      <c r="E1468" t="s">
        <v>36</v>
      </c>
      <c r="F1468">
        <v>695697</v>
      </c>
      <c r="G1468">
        <v>4</v>
      </c>
      <c r="H1468">
        <v>3</v>
      </c>
      <c r="I1468">
        <v>947</v>
      </c>
      <c r="J1468">
        <v>1984</v>
      </c>
      <c r="K1468" s="4">
        <v>45496</v>
      </c>
      <c r="L1468" t="s">
        <v>26</v>
      </c>
      <c r="M1468" t="s">
        <v>59</v>
      </c>
      <c r="N1468">
        <v>2.09</v>
      </c>
      <c r="O1468">
        <v>1356</v>
      </c>
      <c r="P1468">
        <v>1.32</v>
      </c>
      <c r="Q1468">
        <v>219</v>
      </c>
      <c r="R1468">
        <v>517</v>
      </c>
    </row>
    <row r="1469" spans="1:18" hidden="1" x14ac:dyDescent="0.2">
      <c r="A1469">
        <v>2</v>
      </c>
      <c r="B1469" t="s">
        <v>65</v>
      </c>
      <c r="E1469" t="s">
        <v>51</v>
      </c>
      <c r="F1469">
        <v>729049</v>
      </c>
      <c r="G1469">
        <v>0</v>
      </c>
      <c r="H1469">
        <v>1</v>
      </c>
      <c r="I1469">
        <v>500</v>
      </c>
      <c r="J1469">
        <v>1959</v>
      </c>
      <c r="K1469" s="4">
        <v>44614</v>
      </c>
      <c r="L1469" t="s">
        <v>20</v>
      </c>
      <c r="M1469" t="s">
        <v>68</v>
      </c>
      <c r="N1469">
        <v>1.77</v>
      </c>
      <c r="O1469">
        <v>1970</v>
      </c>
      <c r="P1469">
        <v>0.69</v>
      </c>
      <c r="Q1469">
        <v>58</v>
      </c>
      <c r="R1469">
        <v>324</v>
      </c>
    </row>
    <row r="1470" spans="1:18" hidden="1" x14ac:dyDescent="0.2">
      <c r="A1470">
        <v>4</v>
      </c>
      <c r="B1470" t="s">
        <v>57</v>
      </c>
      <c r="E1470" t="s">
        <v>51</v>
      </c>
      <c r="F1470">
        <v>2664227</v>
      </c>
      <c r="G1470">
        <v>1</v>
      </c>
      <c r="H1470">
        <v>3</v>
      </c>
      <c r="I1470">
        <v>900</v>
      </c>
      <c r="J1470">
        <v>1988</v>
      </c>
      <c r="K1470" s="4">
        <v>44603</v>
      </c>
      <c r="L1470" t="s">
        <v>30</v>
      </c>
      <c r="M1470" t="s">
        <v>77</v>
      </c>
      <c r="N1470">
        <v>2.04</v>
      </c>
      <c r="O1470">
        <v>1615</v>
      </c>
      <c r="P1470">
        <v>4.49</v>
      </c>
      <c r="Q1470">
        <v>56</v>
      </c>
      <c r="R1470">
        <v>567</v>
      </c>
    </row>
    <row r="1471" spans="1:18" hidden="1" x14ac:dyDescent="0.2">
      <c r="A1471">
        <v>3</v>
      </c>
      <c r="B1471" t="s">
        <v>102</v>
      </c>
      <c r="E1471" t="s">
        <v>19</v>
      </c>
      <c r="F1471">
        <v>1921013</v>
      </c>
      <c r="G1471">
        <v>3</v>
      </c>
      <c r="H1471">
        <v>3</v>
      </c>
      <c r="I1471">
        <v>890</v>
      </c>
      <c r="J1471">
        <v>1961</v>
      </c>
      <c r="K1471" s="4">
        <v>44303</v>
      </c>
      <c r="L1471" t="s">
        <v>26</v>
      </c>
      <c r="M1471" t="s">
        <v>85</v>
      </c>
      <c r="N1471">
        <v>2.34</v>
      </c>
      <c r="O1471">
        <v>2499</v>
      </c>
      <c r="P1471">
        <v>4.4400000000000004</v>
      </c>
      <c r="Q1471">
        <v>199</v>
      </c>
      <c r="R1471">
        <v>375</v>
      </c>
    </row>
    <row r="1472" spans="1:18" hidden="1" x14ac:dyDescent="0.2">
      <c r="A1472">
        <v>9</v>
      </c>
      <c r="B1472" t="s">
        <v>34</v>
      </c>
      <c r="E1472" t="s">
        <v>51</v>
      </c>
      <c r="F1472">
        <v>1298137</v>
      </c>
      <c r="G1472">
        <v>4</v>
      </c>
      <c r="H1472">
        <v>1</v>
      </c>
      <c r="I1472">
        <v>318</v>
      </c>
      <c r="J1472">
        <v>1975</v>
      </c>
      <c r="K1472" s="4">
        <v>45323</v>
      </c>
      <c r="L1472" t="s">
        <v>23</v>
      </c>
      <c r="M1472" t="s">
        <v>70</v>
      </c>
      <c r="N1472">
        <v>1.68</v>
      </c>
      <c r="O1472">
        <v>818</v>
      </c>
      <c r="P1472">
        <v>2.69</v>
      </c>
      <c r="Q1472">
        <v>392</v>
      </c>
      <c r="R1472">
        <v>356</v>
      </c>
    </row>
    <row r="1473" spans="1:18" hidden="1" x14ac:dyDescent="0.2">
      <c r="A1473">
        <v>1</v>
      </c>
      <c r="B1473" t="s">
        <v>64</v>
      </c>
      <c r="E1473" t="s">
        <v>19</v>
      </c>
      <c r="F1473">
        <v>2371127</v>
      </c>
      <c r="G1473">
        <v>2</v>
      </c>
      <c r="H1473">
        <v>2</v>
      </c>
      <c r="I1473">
        <v>129</v>
      </c>
      <c r="J1473">
        <v>1977</v>
      </c>
      <c r="K1473" s="4">
        <v>44836</v>
      </c>
      <c r="L1473" t="s">
        <v>23</v>
      </c>
      <c r="M1473" t="s">
        <v>54</v>
      </c>
      <c r="N1473">
        <v>2.52</v>
      </c>
      <c r="O1473">
        <v>1816</v>
      </c>
      <c r="P1473">
        <v>4.07</v>
      </c>
      <c r="Q1473">
        <v>225</v>
      </c>
      <c r="R1473">
        <v>448</v>
      </c>
    </row>
    <row r="1474" spans="1:18" hidden="1" x14ac:dyDescent="0.2">
      <c r="A1474">
        <v>0</v>
      </c>
      <c r="B1474" t="s">
        <v>18</v>
      </c>
      <c r="E1474" t="s">
        <v>19</v>
      </c>
      <c r="F1474">
        <v>1796848</v>
      </c>
      <c r="G1474">
        <v>1</v>
      </c>
      <c r="H1474">
        <v>2</v>
      </c>
      <c r="I1474">
        <v>264</v>
      </c>
      <c r="J1474">
        <v>1995</v>
      </c>
      <c r="K1474" s="4">
        <v>44615</v>
      </c>
      <c r="L1474" t="s">
        <v>20</v>
      </c>
      <c r="M1474" t="s">
        <v>45</v>
      </c>
      <c r="N1474">
        <v>1.73</v>
      </c>
      <c r="O1474">
        <v>1343</v>
      </c>
      <c r="P1474">
        <v>4.38</v>
      </c>
      <c r="Q1474">
        <v>66</v>
      </c>
      <c r="R1474">
        <v>380</v>
      </c>
    </row>
    <row r="1475" spans="1:18" hidden="1" x14ac:dyDescent="0.2">
      <c r="A1475">
        <v>9</v>
      </c>
      <c r="B1475" t="s">
        <v>95</v>
      </c>
      <c r="E1475" t="s">
        <v>29</v>
      </c>
      <c r="F1475">
        <v>2953738</v>
      </c>
      <c r="G1475">
        <v>5</v>
      </c>
      <c r="H1475">
        <v>2</v>
      </c>
      <c r="I1475">
        <v>232</v>
      </c>
      <c r="J1475">
        <v>2009</v>
      </c>
      <c r="K1475" s="4">
        <v>44746</v>
      </c>
      <c r="L1475" t="s">
        <v>26</v>
      </c>
      <c r="M1475" t="s">
        <v>78</v>
      </c>
      <c r="N1475">
        <v>2.0299999999999998</v>
      </c>
      <c r="O1475">
        <v>824</v>
      </c>
      <c r="P1475">
        <v>4.75</v>
      </c>
      <c r="Q1475">
        <v>393</v>
      </c>
      <c r="R1475">
        <v>474</v>
      </c>
    </row>
    <row r="1476" spans="1:18" hidden="1" x14ac:dyDescent="0.2">
      <c r="A1476">
        <v>9</v>
      </c>
      <c r="B1476" t="s">
        <v>102</v>
      </c>
      <c r="E1476" t="s">
        <v>51</v>
      </c>
      <c r="F1476">
        <v>2075787</v>
      </c>
      <c r="G1476">
        <v>3</v>
      </c>
      <c r="H1476">
        <v>2</v>
      </c>
      <c r="I1476">
        <v>369</v>
      </c>
      <c r="J1476">
        <v>1956</v>
      </c>
      <c r="K1476" s="4">
        <v>44958</v>
      </c>
      <c r="L1476" t="s">
        <v>26</v>
      </c>
      <c r="M1476" t="s">
        <v>70</v>
      </c>
      <c r="N1476">
        <v>2.17</v>
      </c>
      <c r="O1476">
        <v>982</v>
      </c>
      <c r="P1476">
        <v>3.09</v>
      </c>
      <c r="Q1476">
        <v>275</v>
      </c>
      <c r="R1476">
        <v>588</v>
      </c>
    </row>
    <row r="1477" spans="1:18" hidden="1" x14ac:dyDescent="0.2">
      <c r="A1477">
        <v>6</v>
      </c>
      <c r="B1477" t="s">
        <v>75</v>
      </c>
      <c r="E1477" t="s">
        <v>19</v>
      </c>
      <c r="F1477">
        <v>994775</v>
      </c>
      <c r="G1477">
        <v>2</v>
      </c>
      <c r="H1477">
        <v>3</v>
      </c>
      <c r="I1477">
        <v>888</v>
      </c>
      <c r="J1477">
        <v>2020</v>
      </c>
      <c r="K1477" s="4">
        <v>44731</v>
      </c>
      <c r="L1477" t="s">
        <v>20</v>
      </c>
      <c r="M1477" t="s">
        <v>78</v>
      </c>
      <c r="N1477">
        <v>2.8</v>
      </c>
      <c r="O1477">
        <v>1360</v>
      </c>
      <c r="P1477">
        <v>1.02</v>
      </c>
      <c r="Q1477">
        <v>114</v>
      </c>
      <c r="R1477">
        <v>566</v>
      </c>
    </row>
    <row r="1478" spans="1:18" hidden="1" x14ac:dyDescent="0.2">
      <c r="A1478">
        <v>3</v>
      </c>
      <c r="B1478" t="s">
        <v>84</v>
      </c>
      <c r="E1478" t="s">
        <v>51</v>
      </c>
      <c r="F1478">
        <v>953116</v>
      </c>
      <c r="G1478">
        <v>3</v>
      </c>
      <c r="H1478">
        <v>3</v>
      </c>
      <c r="I1478">
        <v>802</v>
      </c>
      <c r="J1478">
        <v>2009</v>
      </c>
      <c r="K1478" s="4">
        <v>45034</v>
      </c>
      <c r="L1478" t="s">
        <v>26</v>
      </c>
      <c r="M1478" t="s">
        <v>40</v>
      </c>
      <c r="N1478">
        <v>1.91</v>
      </c>
      <c r="O1478">
        <v>1523</v>
      </c>
      <c r="P1478">
        <v>4.9400000000000004</v>
      </c>
      <c r="Q1478">
        <v>283</v>
      </c>
      <c r="R1478">
        <v>637</v>
      </c>
    </row>
    <row r="1479" spans="1:18" hidden="1" x14ac:dyDescent="0.2">
      <c r="A1479">
        <v>0</v>
      </c>
      <c r="B1479" t="s">
        <v>100</v>
      </c>
      <c r="E1479" t="s">
        <v>19</v>
      </c>
      <c r="F1479">
        <v>2709488</v>
      </c>
      <c r="G1479">
        <v>3</v>
      </c>
      <c r="H1479">
        <v>1</v>
      </c>
      <c r="I1479">
        <v>161</v>
      </c>
      <c r="J1479">
        <v>1954</v>
      </c>
      <c r="K1479" s="4">
        <v>45572</v>
      </c>
      <c r="L1479" t="s">
        <v>26</v>
      </c>
      <c r="M1479" t="s">
        <v>52</v>
      </c>
      <c r="N1479">
        <v>2.61</v>
      </c>
      <c r="O1479">
        <v>2278</v>
      </c>
      <c r="P1479">
        <v>4.3</v>
      </c>
      <c r="Q1479">
        <v>133</v>
      </c>
      <c r="R1479">
        <v>405</v>
      </c>
    </row>
    <row r="1480" spans="1:18" hidden="1" x14ac:dyDescent="0.2">
      <c r="A1480">
        <v>1</v>
      </c>
      <c r="B1480" t="s">
        <v>18</v>
      </c>
      <c r="E1480" t="s">
        <v>36</v>
      </c>
      <c r="F1480">
        <v>1967167</v>
      </c>
      <c r="G1480">
        <v>2</v>
      </c>
      <c r="H1480">
        <v>3</v>
      </c>
      <c r="I1480">
        <v>632</v>
      </c>
      <c r="J1480">
        <v>1981</v>
      </c>
      <c r="K1480" s="4">
        <v>44173</v>
      </c>
      <c r="L1480" t="s">
        <v>26</v>
      </c>
      <c r="M1480" t="s">
        <v>97</v>
      </c>
      <c r="N1480">
        <v>2.96</v>
      </c>
      <c r="O1480">
        <v>854</v>
      </c>
      <c r="P1480">
        <v>1.73</v>
      </c>
      <c r="Q1480">
        <v>174</v>
      </c>
      <c r="R1480">
        <v>650</v>
      </c>
    </row>
    <row r="1481" spans="1:18" hidden="1" x14ac:dyDescent="0.2">
      <c r="A1481">
        <v>7</v>
      </c>
      <c r="B1481" t="s">
        <v>93</v>
      </c>
      <c r="E1481" t="s">
        <v>51</v>
      </c>
      <c r="F1481">
        <v>2502464</v>
      </c>
      <c r="G1481">
        <v>2</v>
      </c>
      <c r="H1481">
        <v>3</v>
      </c>
      <c r="I1481">
        <v>585</v>
      </c>
      <c r="J1481">
        <v>1992</v>
      </c>
      <c r="K1481" s="4">
        <v>44691</v>
      </c>
      <c r="L1481" t="s">
        <v>23</v>
      </c>
      <c r="M1481" t="s">
        <v>77</v>
      </c>
      <c r="N1481">
        <v>3.23</v>
      </c>
      <c r="O1481">
        <v>1911</v>
      </c>
      <c r="P1481">
        <v>0.64</v>
      </c>
      <c r="Q1481">
        <v>138</v>
      </c>
      <c r="R1481">
        <v>571</v>
      </c>
    </row>
    <row r="1482" spans="1:18" hidden="1" x14ac:dyDescent="0.2">
      <c r="A1482">
        <v>6</v>
      </c>
      <c r="B1482" t="s">
        <v>92</v>
      </c>
      <c r="E1482" t="s">
        <v>51</v>
      </c>
      <c r="F1482">
        <v>1269182</v>
      </c>
      <c r="G1482">
        <v>2</v>
      </c>
      <c r="H1482">
        <v>3</v>
      </c>
      <c r="I1482">
        <v>253</v>
      </c>
      <c r="J1482">
        <v>2001</v>
      </c>
      <c r="K1482" s="4">
        <v>45098</v>
      </c>
      <c r="L1482" t="s">
        <v>20</v>
      </c>
      <c r="M1482" t="s">
        <v>68</v>
      </c>
      <c r="N1482">
        <v>2.65</v>
      </c>
      <c r="O1482">
        <v>2258</v>
      </c>
      <c r="P1482">
        <v>0.59</v>
      </c>
      <c r="Q1482">
        <v>209</v>
      </c>
      <c r="R1482">
        <v>457</v>
      </c>
    </row>
    <row r="1483" spans="1:18" hidden="1" x14ac:dyDescent="0.2">
      <c r="A1483">
        <v>1</v>
      </c>
      <c r="B1483" t="s">
        <v>81</v>
      </c>
      <c r="E1483" t="s">
        <v>29</v>
      </c>
      <c r="F1483">
        <v>661980</v>
      </c>
      <c r="G1483">
        <v>2</v>
      </c>
      <c r="H1483">
        <v>1</v>
      </c>
      <c r="I1483">
        <v>391</v>
      </c>
      <c r="J1483">
        <v>1999</v>
      </c>
      <c r="K1483" s="4">
        <v>44598</v>
      </c>
      <c r="L1483" t="s">
        <v>26</v>
      </c>
      <c r="M1483" t="s">
        <v>47</v>
      </c>
      <c r="N1483">
        <v>1.67</v>
      </c>
      <c r="O1483">
        <v>2039</v>
      </c>
      <c r="P1483">
        <v>3.88</v>
      </c>
      <c r="Q1483">
        <v>41</v>
      </c>
      <c r="R1483">
        <v>343</v>
      </c>
    </row>
    <row r="1484" spans="1:18" x14ac:dyDescent="0.2">
      <c r="A1484">
        <v>8</v>
      </c>
      <c r="B1484" t="s">
        <v>86</v>
      </c>
      <c r="C1484" t="str">
        <f>VLOOKUP(B1484, 'Council Area'!$A$2:$B$51, 2)</f>
        <v>Randwick City Council</v>
      </c>
      <c r="D1484" t="str">
        <f>_xlfn.XLOOKUP(B1484, 'Council Area'!$A$2:$A$51, 'Council Area'!$B$2:$B$51)</f>
        <v>Randwick City Council</v>
      </c>
      <c r="E1484" t="s">
        <v>19</v>
      </c>
      <c r="F1484">
        <v>1748043</v>
      </c>
      <c r="G1484">
        <v>3</v>
      </c>
      <c r="H1484">
        <v>2</v>
      </c>
      <c r="I1484">
        <v>437</v>
      </c>
      <c r="J1484">
        <v>2005</v>
      </c>
      <c r="K1484" s="4">
        <v>45405</v>
      </c>
      <c r="L1484" t="s">
        <v>23</v>
      </c>
      <c r="M1484" t="s">
        <v>76</v>
      </c>
      <c r="N1484">
        <v>2.97</v>
      </c>
      <c r="O1484">
        <v>1276</v>
      </c>
      <c r="P1484">
        <v>0.69</v>
      </c>
      <c r="Q1484">
        <v>216</v>
      </c>
      <c r="R1484">
        <v>309</v>
      </c>
    </row>
    <row r="1485" spans="1:18" hidden="1" x14ac:dyDescent="0.2">
      <c r="A1485">
        <v>2</v>
      </c>
      <c r="B1485" t="s">
        <v>83</v>
      </c>
      <c r="E1485" t="s">
        <v>19</v>
      </c>
      <c r="F1485">
        <v>1148586</v>
      </c>
      <c r="G1485">
        <v>1</v>
      </c>
      <c r="H1485">
        <v>3</v>
      </c>
      <c r="I1485">
        <v>972</v>
      </c>
      <c r="J1485">
        <v>2005</v>
      </c>
      <c r="K1485" s="4">
        <v>45382</v>
      </c>
      <c r="L1485" t="s">
        <v>30</v>
      </c>
      <c r="M1485" t="s">
        <v>54</v>
      </c>
      <c r="N1485">
        <v>1.99</v>
      </c>
      <c r="O1485">
        <v>1929</v>
      </c>
      <c r="P1485">
        <v>3.84</v>
      </c>
      <c r="Q1485">
        <v>88</v>
      </c>
      <c r="R1485">
        <v>431</v>
      </c>
    </row>
    <row r="1486" spans="1:18" hidden="1" x14ac:dyDescent="0.2">
      <c r="A1486">
        <v>6</v>
      </c>
      <c r="B1486" t="s">
        <v>25</v>
      </c>
      <c r="E1486" t="s">
        <v>36</v>
      </c>
      <c r="F1486">
        <v>2705447</v>
      </c>
      <c r="G1486">
        <v>6</v>
      </c>
      <c r="H1486">
        <v>1</v>
      </c>
      <c r="I1486">
        <v>509</v>
      </c>
      <c r="J1486">
        <v>2022</v>
      </c>
      <c r="K1486" s="4">
        <v>45711</v>
      </c>
      <c r="L1486" t="s">
        <v>20</v>
      </c>
      <c r="M1486" t="s">
        <v>69</v>
      </c>
      <c r="N1486">
        <v>2.6</v>
      </c>
      <c r="O1486">
        <v>1652</v>
      </c>
      <c r="P1486">
        <v>0.74</v>
      </c>
      <c r="Q1486">
        <v>340</v>
      </c>
      <c r="R1486">
        <v>439</v>
      </c>
    </row>
    <row r="1487" spans="1:18" hidden="1" x14ac:dyDescent="0.2">
      <c r="A1487">
        <v>1</v>
      </c>
      <c r="B1487" t="s">
        <v>22</v>
      </c>
      <c r="E1487" t="s">
        <v>51</v>
      </c>
      <c r="F1487">
        <v>1651618</v>
      </c>
      <c r="G1487">
        <v>3</v>
      </c>
      <c r="H1487">
        <v>3</v>
      </c>
      <c r="I1487">
        <v>271</v>
      </c>
      <c r="J1487">
        <v>1991</v>
      </c>
      <c r="K1487" s="4">
        <v>45326</v>
      </c>
      <c r="L1487" t="s">
        <v>20</v>
      </c>
      <c r="M1487" t="s">
        <v>47</v>
      </c>
      <c r="N1487">
        <v>2.68</v>
      </c>
      <c r="O1487">
        <v>1870</v>
      </c>
      <c r="P1487">
        <v>2.79</v>
      </c>
      <c r="Q1487">
        <v>115</v>
      </c>
      <c r="R1487">
        <v>499</v>
      </c>
    </row>
    <row r="1488" spans="1:18" hidden="1" x14ac:dyDescent="0.2">
      <c r="A1488">
        <v>3</v>
      </c>
      <c r="B1488" t="s">
        <v>46</v>
      </c>
      <c r="E1488" t="s">
        <v>36</v>
      </c>
      <c r="F1488">
        <v>1898380</v>
      </c>
      <c r="G1488">
        <v>4</v>
      </c>
      <c r="H1488">
        <v>1</v>
      </c>
      <c r="I1488">
        <v>689</v>
      </c>
      <c r="J1488">
        <v>1966</v>
      </c>
      <c r="K1488" s="4">
        <v>44936</v>
      </c>
      <c r="L1488" t="s">
        <v>20</v>
      </c>
      <c r="M1488" t="s">
        <v>42</v>
      </c>
      <c r="N1488">
        <v>3.16</v>
      </c>
      <c r="O1488">
        <v>1916</v>
      </c>
      <c r="P1488">
        <v>3.88</v>
      </c>
      <c r="Q1488">
        <v>333</v>
      </c>
      <c r="R1488">
        <v>351</v>
      </c>
    </row>
    <row r="1489" spans="1:18" hidden="1" x14ac:dyDescent="0.2">
      <c r="A1489">
        <v>9</v>
      </c>
      <c r="B1489" t="s">
        <v>99</v>
      </c>
      <c r="E1489" t="s">
        <v>51</v>
      </c>
      <c r="F1489">
        <v>1722986</v>
      </c>
      <c r="G1489">
        <v>1</v>
      </c>
      <c r="H1489">
        <v>2</v>
      </c>
      <c r="I1489">
        <v>458</v>
      </c>
      <c r="J1489">
        <v>1964</v>
      </c>
      <c r="K1489" s="4">
        <v>45822</v>
      </c>
      <c r="L1489" t="s">
        <v>26</v>
      </c>
      <c r="M1489" t="s">
        <v>31</v>
      </c>
      <c r="N1489">
        <v>1.94</v>
      </c>
      <c r="O1489">
        <v>1482</v>
      </c>
      <c r="P1489">
        <v>0.26</v>
      </c>
      <c r="Q1489">
        <v>127</v>
      </c>
      <c r="R1489">
        <v>450</v>
      </c>
    </row>
    <row r="1490" spans="1:18" hidden="1" x14ac:dyDescent="0.2">
      <c r="A1490">
        <v>2</v>
      </c>
      <c r="B1490" t="s">
        <v>55</v>
      </c>
      <c r="E1490" t="s">
        <v>36</v>
      </c>
      <c r="F1490">
        <v>915515</v>
      </c>
      <c r="G1490">
        <v>1</v>
      </c>
      <c r="H1490">
        <v>1</v>
      </c>
      <c r="I1490">
        <v>405</v>
      </c>
      <c r="J1490">
        <v>2022</v>
      </c>
      <c r="K1490" s="4">
        <v>44962</v>
      </c>
      <c r="L1490" t="s">
        <v>30</v>
      </c>
      <c r="M1490" t="s">
        <v>97</v>
      </c>
      <c r="N1490">
        <v>2.93</v>
      </c>
      <c r="O1490">
        <v>2004</v>
      </c>
      <c r="P1490">
        <v>4.03</v>
      </c>
      <c r="Q1490">
        <v>127</v>
      </c>
      <c r="R1490">
        <v>499</v>
      </c>
    </row>
    <row r="1491" spans="1:18" hidden="1" x14ac:dyDescent="0.2">
      <c r="A1491">
        <v>9</v>
      </c>
      <c r="B1491" t="s">
        <v>25</v>
      </c>
      <c r="E1491" t="s">
        <v>19</v>
      </c>
      <c r="F1491">
        <v>1210682</v>
      </c>
      <c r="G1491">
        <v>2</v>
      </c>
      <c r="H1491">
        <v>1</v>
      </c>
      <c r="I1491">
        <v>935</v>
      </c>
      <c r="J1491">
        <v>1986</v>
      </c>
      <c r="K1491" s="4">
        <v>44181</v>
      </c>
      <c r="L1491" t="s">
        <v>26</v>
      </c>
      <c r="M1491" t="s">
        <v>45</v>
      </c>
      <c r="N1491">
        <v>1.87</v>
      </c>
      <c r="O1491">
        <v>2253</v>
      </c>
      <c r="P1491">
        <v>4.54</v>
      </c>
      <c r="Q1491">
        <v>141</v>
      </c>
      <c r="R1491">
        <v>523</v>
      </c>
    </row>
    <row r="1492" spans="1:18" hidden="1" x14ac:dyDescent="0.2">
      <c r="A1492">
        <v>2</v>
      </c>
      <c r="B1492" t="s">
        <v>105</v>
      </c>
      <c r="E1492" t="s">
        <v>19</v>
      </c>
      <c r="F1492">
        <v>668809</v>
      </c>
      <c r="G1492">
        <v>2</v>
      </c>
      <c r="H1492">
        <v>2</v>
      </c>
      <c r="I1492">
        <v>641</v>
      </c>
      <c r="J1492">
        <v>1980</v>
      </c>
      <c r="K1492" s="4">
        <v>45705</v>
      </c>
      <c r="L1492" t="s">
        <v>23</v>
      </c>
      <c r="M1492" t="s">
        <v>78</v>
      </c>
      <c r="N1492">
        <v>1.96</v>
      </c>
      <c r="O1492">
        <v>884</v>
      </c>
      <c r="P1492">
        <v>2.6</v>
      </c>
      <c r="Q1492">
        <v>130</v>
      </c>
      <c r="R1492">
        <v>660</v>
      </c>
    </row>
    <row r="1493" spans="1:18" hidden="1" x14ac:dyDescent="0.2">
      <c r="A1493">
        <v>9</v>
      </c>
      <c r="B1493" t="s">
        <v>93</v>
      </c>
      <c r="E1493" t="s">
        <v>29</v>
      </c>
      <c r="F1493">
        <v>2393073</v>
      </c>
      <c r="G1493">
        <v>2</v>
      </c>
      <c r="H1493">
        <v>1</v>
      </c>
      <c r="I1493">
        <v>304</v>
      </c>
      <c r="J1493">
        <v>1994</v>
      </c>
      <c r="K1493" s="4">
        <v>45246</v>
      </c>
      <c r="L1493" t="s">
        <v>23</v>
      </c>
      <c r="M1493" t="s">
        <v>76</v>
      </c>
      <c r="N1493">
        <v>2.06</v>
      </c>
      <c r="O1493">
        <v>2490</v>
      </c>
      <c r="P1493">
        <v>1.37</v>
      </c>
      <c r="Q1493">
        <v>134</v>
      </c>
      <c r="R1493">
        <v>580</v>
      </c>
    </row>
    <row r="1494" spans="1:18" hidden="1" x14ac:dyDescent="0.2">
      <c r="A1494">
        <v>5</v>
      </c>
      <c r="B1494" t="s">
        <v>64</v>
      </c>
      <c r="E1494" t="s">
        <v>29</v>
      </c>
      <c r="F1494">
        <v>796856</v>
      </c>
      <c r="G1494">
        <v>4</v>
      </c>
      <c r="H1494">
        <v>2</v>
      </c>
      <c r="I1494">
        <v>296</v>
      </c>
      <c r="J1494">
        <v>1974</v>
      </c>
      <c r="K1494" s="4">
        <v>44806</v>
      </c>
      <c r="L1494" t="s">
        <v>26</v>
      </c>
      <c r="M1494" t="s">
        <v>77</v>
      </c>
      <c r="N1494">
        <v>2.95</v>
      </c>
      <c r="O1494">
        <v>1707</v>
      </c>
      <c r="P1494">
        <v>3.61</v>
      </c>
      <c r="Q1494">
        <v>250</v>
      </c>
      <c r="R1494">
        <v>381</v>
      </c>
    </row>
    <row r="1495" spans="1:18" hidden="1" x14ac:dyDescent="0.2">
      <c r="A1495">
        <v>2</v>
      </c>
      <c r="B1495" t="s">
        <v>104</v>
      </c>
      <c r="E1495" t="s">
        <v>29</v>
      </c>
      <c r="F1495">
        <v>1001326</v>
      </c>
      <c r="G1495">
        <v>2</v>
      </c>
      <c r="H1495">
        <v>2</v>
      </c>
      <c r="I1495">
        <v>66</v>
      </c>
      <c r="J1495">
        <v>1955</v>
      </c>
      <c r="K1495" s="4">
        <v>45063</v>
      </c>
      <c r="L1495" t="s">
        <v>30</v>
      </c>
      <c r="M1495" t="s">
        <v>24</v>
      </c>
      <c r="N1495">
        <v>1.87</v>
      </c>
      <c r="O1495">
        <v>1237</v>
      </c>
      <c r="P1495">
        <v>3.25</v>
      </c>
      <c r="Q1495">
        <v>115</v>
      </c>
      <c r="R1495">
        <v>364</v>
      </c>
    </row>
    <row r="1496" spans="1:18" hidden="1" x14ac:dyDescent="0.2">
      <c r="A1496">
        <v>3</v>
      </c>
      <c r="B1496" t="s">
        <v>55</v>
      </c>
      <c r="E1496" t="s">
        <v>19</v>
      </c>
      <c r="F1496">
        <v>407069</v>
      </c>
      <c r="G1496">
        <v>2</v>
      </c>
      <c r="H1496">
        <v>2</v>
      </c>
      <c r="I1496">
        <v>100</v>
      </c>
      <c r="J1496">
        <v>1996</v>
      </c>
      <c r="K1496" s="4">
        <v>44555</v>
      </c>
      <c r="L1496" t="s">
        <v>30</v>
      </c>
      <c r="M1496" t="s">
        <v>35</v>
      </c>
      <c r="N1496">
        <v>2.96</v>
      </c>
      <c r="O1496">
        <v>1317</v>
      </c>
      <c r="P1496">
        <v>4.9000000000000004</v>
      </c>
      <c r="Q1496">
        <v>166</v>
      </c>
      <c r="R1496">
        <v>512</v>
      </c>
    </row>
    <row r="1497" spans="1:18" hidden="1" x14ac:dyDescent="0.2">
      <c r="A1497">
        <v>9</v>
      </c>
      <c r="B1497" t="s">
        <v>71</v>
      </c>
      <c r="E1497" t="s">
        <v>29</v>
      </c>
      <c r="F1497">
        <v>1574345</v>
      </c>
      <c r="G1497">
        <v>0</v>
      </c>
      <c r="H1497">
        <v>2</v>
      </c>
      <c r="I1497">
        <v>1000</v>
      </c>
      <c r="J1497">
        <v>2014</v>
      </c>
      <c r="K1497" s="4">
        <v>44165</v>
      </c>
      <c r="L1497" t="s">
        <v>30</v>
      </c>
      <c r="M1497" t="s">
        <v>68</v>
      </c>
      <c r="N1497">
        <v>3.25</v>
      </c>
      <c r="O1497">
        <v>1368</v>
      </c>
      <c r="P1497">
        <v>2.75</v>
      </c>
      <c r="Q1497">
        <v>60</v>
      </c>
      <c r="R1497">
        <v>472</v>
      </c>
    </row>
    <row r="1498" spans="1:18" hidden="1" x14ac:dyDescent="0.2">
      <c r="A1498">
        <v>1</v>
      </c>
      <c r="B1498" t="s">
        <v>91</v>
      </c>
      <c r="E1498" t="s">
        <v>36</v>
      </c>
      <c r="F1498">
        <v>1054572</v>
      </c>
      <c r="G1498">
        <v>3</v>
      </c>
      <c r="H1498">
        <v>2</v>
      </c>
      <c r="I1498">
        <v>701</v>
      </c>
      <c r="J1498">
        <v>1986</v>
      </c>
      <c r="K1498" s="4">
        <v>44587</v>
      </c>
      <c r="L1498" t="s">
        <v>26</v>
      </c>
      <c r="M1498" t="s">
        <v>24</v>
      </c>
      <c r="N1498">
        <v>3.09</v>
      </c>
      <c r="O1498">
        <v>2145</v>
      </c>
      <c r="P1498">
        <v>4.4800000000000004</v>
      </c>
      <c r="Q1498">
        <v>163</v>
      </c>
      <c r="R1498">
        <v>562</v>
      </c>
    </row>
    <row r="1499" spans="1:18" hidden="1" x14ac:dyDescent="0.2">
      <c r="A1499">
        <v>2</v>
      </c>
      <c r="B1499" t="s">
        <v>53</v>
      </c>
      <c r="E1499" t="s">
        <v>36</v>
      </c>
      <c r="F1499">
        <v>2809214</v>
      </c>
      <c r="G1499">
        <v>1</v>
      </c>
      <c r="H1499">
        <v>2</v>
      </c>
      <c r="I1499">
        <v>471</v>
      </c>
      <c r="J1499">
        <v>2004</v>
      </c>
      <c r="K1499" s="4">
        <v>45602</v>
      </c>
      <c r="L1499" t="s">
        <v>26</v>
      </c>
      <c r="M1499" t="s">
        <v>24</v>
      </c>
      <c r="N1499">
        <v>1.74</v>
      </c>
      <c r="O1499">
        <v>2430</v>
      </c>
      <c r="P1499">
        <v>1.65</v>
      </c>
      <c r="Q1499">
        <v>50</v>
      </c>
      <c r="R1499">
        <v>680</v>
      </c>
    </row>
    <row r="1500" spans="1:18" x14ac:dyDescent="0.2">
      <c r="A1500">
        <v>8</v>
      </c>
      <c r="B1500" t="s">
        <v>96</v>
      </c>
      <c r="C1500" t="str">
        <f>VLOOKUP(B1500, 'Council Area'!$A$2:$B$51, 2)</f>
        <v>Ku-ring-gai Council</v>
      </c>
      <c r="D1500" t="str">
        <f>_xlfn.XLOOKUP(B1500, 'Council Area'!$A$2:$A$51, 'Council Area'!$B$2:$B$51)</f>
        <v>Ku-ring-gai Council</v>
      </c>
      <c r="E1500" t="s">
        <v>51</v>
      </c>
      <c r="F1500">
        <v>2371277</v>
      </c>
      <c r="G1500">
        <v>2</v>
      </c>
      <c r="H1500">
        <v>3</v>
      </c>
      <c r="I1500">
        <v>734</v>
      </c>
      <c r="J1500">
        <v>1983</v>
      </c>
      <c r="K1500" s="4">
        <v>44907</v>
      </c>
      <c r="L1500" t="s">
        <v>26</v>
      </c>
      <c r="M1500" t="s">
        <v>45</v>
      </c>
      <c r="N1500">
        <v>1.89</v>
      </c>
      <c r="O1500">
        <v>980</v>
      </c>
      <c r="P1500">
        <v>0.65</v>
      </c>
      <c r="Q1500">
        <v>111</v>
      </c>
      <c r="R1500">
        <v>683</v>
      </c>
    </row>
    <row r="1501" spans="1:18" hidden="1" x14ac:dyDescent="0.2">
      <c r="A1501">
        <v>7</v>
      </c>
      <c r="B1501" t="s">
        <v>83</v>
      </c>
      <c r="E1501" t="s">
        <v>19</v>
      </c>
      <c r="F1501">
        <v>2803283</v>
      </c>
      <c r="G1501">
        <v>4</v>
      </c>
      <c r="H1501">
        <v>2</v>
      </c>
      <c r="I1501">
        <v>152</v>
      </c>
      <c r="J1501">
        <v>1975</v>
      </c>
      <c r="K1501" s="4">
        <v>45328</v>
      </c>
      <c r="L1501" t="s">
        <v>26</v>
      </c>
      <c r="M1501" t="s">
        <v>54</v>
      </c>
      <c r="N1501">
        <v>1.71</v>
      </c>
      <c r="O1501">
        <v>2293</v>
      </c>
      <c r="P1501">
        <v>2.41</v>
      </c>
      <c r="Q1501">
        <v>373</v>
      </c>
      <c r="R1501">
        <v>337</v>
      </c>
    </row>
    <row r="1502" spans="1:18" hidden="1" x14ac:dyDescent="0.2">
      <c r="A1502">
        <v>5</v>
      </c>
      <c r="B1502" t="s">
        <v>88</v>
      </c>
      <c r="E1502" t="s">
        <v>29</v>
      </c>
      <c r="F1502">
        <v>1378724</v>
      </c>
      <c r="G1502">
        <v>3</v>
      </c>
      <c r="H1502">
        <v>3</v>
      </c>
      <c r="I1502">
        <v>362</v>
      </c>
      <c r="J1502">
        <v>1998</v>
      </c>
      <c r="K1502" s="4">
        <v>45580</v>
      </c>
      <c r="L1502" t="s">
        <v>30</v>
      </c>
      <c r="M1502" t="s">
        <v>68</v>
      </c>
      <c r="N1502">
        <v>2.69</v>
      </c>
      <c r="O1502">
        <v>1970</v>
      </c>
      <c r="P1502">
        <v>3.66</v>
      </c>
      <c r="Q1502">
        <v>280</v>
      </c>
      <c r="R1502">
        <v>520</v>
      </c>
    </row>
    <row r="1503" spans="1:18" hidden="1" x14ac:dyDescent="0.2">
      <c r="A1503">
        <v>3</v>
      </c>
      <c r="B1503" t="s">
        <v>101</v>
      </c>
      <c r="E1503" t="s">
        <v>36</v>
      </c>
      <c r="F1503">
        <v>1543327</v>
      </c>
      <c r="G1503">
        <v>0</v>
      </c>
      <c r="H1503">
        <v>2</v>
      </c>
      <c r="I1503">
        <v>162</v>
      </c>
      <c r="J1503">
        <v>1957</v>
      </c>
      <c r="K1503" s="4">
        <v>44357</v>
      </c>
      <c r="L1503" t="s">
        <v>30</v>
      </c>
      <c r="M1503" t="s">
        <v>40</v>
      </c>
      <c r="N1503">
        <v>3.19</v>
      </c>
      <c r="O1503">
        <v>1256</v>
      </c>
      <c r="P1503">
        <v>0.69</v>
      </c>
      <c r="Q1503">
        <v>77</v>
      </c>
      <c r="R1503">
        <v>447</v>
      </c>
    </row>
    <row r="1504" spans="1:18" hidden="1" x14ac:dyDescent="0.2">
      <c r="A1504">
        <v>2</v>
      </c>
      <c r="B1504" t="s">
        <v>71</v>
      </c>
      <c r="E1504" t="s">
        <v>19</v>
      </c>
      <c r="F1504">
        <v>2686332</v>
      </c>
      <c r="G1504">
        <v>4</v>
      </c>
      <c r="H1504">
        <v>3</v>
      </c>
      <c r="I1504">
        <v>833</v>
      </c>
      <c r="J1504">
        <v>1952</v>
      </c>
      <c r="K1504" s="4">
        <v>45004</v>
      </c>
      <c r="L1504" t="s">
        <v>20</v>
      </c>
      <c r="M1504" t="s">
        <v>59</v>
      </c>
      <c r="N1504">
        <v>1.72</v>
      </c>
      <c r="O1504">
        <v>904</v>
      </c>
      <c r="P1504">
        <v>2.13</v>
      </c>
      <c r="Q1504">
        <v>235</v>
      </c>
      <c r="R1504">
        <v>690</v>
      </c>
    </row>
    <row r="1505" spans="1:18" hidden="1" x14ac:dyDescent="0.2">
      <c r="A1505">
        <v>0</v>
      </c>
      <c r="B1505" t="s">
        <v>105</v>
      </c>
      <c r="E1505" t="s">
        <v>51</v>
      </c>
      <c r="F1505">
        <v>2287433</v>
      </c>
      <c r="G1505">
        <v>2</v>
      </c>
      <c r="H1505">
        <v>1</v>
      </c>
      <c r="I1505">
        <v>522</v>
      </c>
      <c r="J1505">
        <v>1953</v>
      </c>
      <c r="K1505" s="4">
        <v>44978</v>
      </c>
      <c r="L1505" t="s">
        <v>26</v>
      </c>
      <c r="M1505" t="s">
        <v>42</v>
      </c>
      <c r="N1505">
        <v>2.79</v>
      </c>
      <c r="O1505">
        <v>845</v>
      </c>
      <c r="P1505">
        <v>1.79</v>
      </c>
      <c r="Q1505">
        <v>170</v>
      </c>
      <c r="R1505">
        <v>649</v>
      </c>
    </row>
    <row r="1506" spans="1:18" hidden="1" x14ac:dyDescent="0.2">
      <c r="A1506">
        <v>3</v>
      </c>
      <c r="B1506" t="s">
        <v>84</v>
      </c>
      <c r="E1506" t="s">
        <v>51</v>
      </c>
      <c r="F1506">
        <v>1271800</v>
      </c>
      <c r="G1506">
        <v>2</v>
      </c>
      <c r="H1506">
        <v>2</v>
      </c>
      <c r="I1506">
        <v>499</v>
      </c>
      <c r="J1506">
        <v>2004</v>
      </c>
      <c r="K1506" s="4">
        <v>44882</v>
      </c>
      <c r="L1506" t="s">
        <v>26</v>
      </c>
      <c r="M1506" t="s">
        <v>77</v>
      </c>
      <c r="N1506">
        <v>2.59</v>
      </c>
      <c r="O1506">
        <v>1365</v>
      </c>
      <c r="P1506">
        <v>2.54</v>
      </c>
      <c r="Q1506">
        <v>117</v>
      </c>
      <c r="R1506">
        <v>314</v>
      </c>
    </row>
    <row r="1507" spans="1:18" hidden="1" x14ac:dyDescent="0.2">
      <c r="A1507">
        <v>6</v>
      </c>
      <c r="B1507" t="s">
        <v>48</v>
      </c>
      <c r="E1507" t="s">
        <v>36</v>
      </c>
      <c r="F1507">
        <v>667414</v>
      </c>
      <c r="G1507">
        <v>2</v>
      </c>
      <c r="H1507">
        <v>1</v>
      </c>
      <c r="I1507">
        <v>111</v>
      </c>
      <c r="J1507">
        <v>1974</v>
      </c>
      <c r="K1507" s="4">
        <v>45400</v>
      </c>
      <c r="L1507" t="s">
        <v>23</v>
      </c>
      <c r="M1507" t="s">
        <v>77</v>
      </c>
      <c r="N1507">
        <v>3.38</v>
      </c>
      <c r="O1507">
        <v>1007</v>
      </c>
      <c r="P1507">
        <v>3.59</v>
      </c>
      <c r="Q1507">
        <v>132</v>
      </c>
      <c r="R1507">
        <v>345</v>
      </c>
    </row>
    <row r="1508" spans="1:18" hidden="1" x14ac:dyDescent="0.2">
      <c r="A1508">
        <v>4</v>
      </c>
      <c r="B1508" t="s">
        <v>96</v>
      </c>
      <c r="E1508" t="s">
        <v>29</v>
      </c>
      <c r="F1508">
        <v>465519</v>
      </c>
      <c r="G1508">
        <v>5</v>
      </c>
      <c r="H1508">
        <v>1</v>
      </c>
      <c r="I1508">
        <v>801</v>
      </c>
      <c r="J1508">
        <v>1960</v>
      </c>
      <c r="K1508" s="4">
        <v>45118</v>
      </c>
      <c r="L1508" t="s">
        <v>30</v>
      </c>
      <c r="M1508" t="s">
        <v>12</v>
      </c>
      <c r="N1508">
        <v>3.15</v>
      </c>
      <c r="O1508">
        <v>1443</v>
      </c>
      <c r="P1508">
        <v>4.9800000000000004</v>
      </c>
      <c r="Q1508">
        <v>381</v>
      </c>
      <c r="R1508">
        <v>430</v>
      </c>
    </row>
    <row r="1509" spans="1:18" hidden="1" x14ac:dyDescent="0.2">
      <c r="A1509">
        <v>1</v>
      </c>
      <c r="B1509" t="s">
        <v>87</v>
      </c>
      <c r="E1509" t="s">
        <v>51</v>
      </c>
      <c r="F1509">
        <v>1753338</v>
      </c>
      <c r="G1509">
        <v>4</v>
      </c>
      <c r="H1509">
        <v>1</v>
      </c>
      <c r="I1509">
        <v>675</v>
      </c>
      <c r="J1509">
        <v>1988</v>
      </c>
      <c r="K1509" s="4">
        <v>44094</v>
      </c>
      <c r="L1509" t="s">
        <v>30</v>
      </c>
      <c r="M1509" t="s">
        <v>37</v>
      </c>
      <c r="N1509">
        <v>2.5</v>
      </c>
      <c r="O1509">
        <v>908</v>
      </c>
      <c r="P1509">
        <v>4.0999999999999996</v>
      </c>
      <c r="Q1509">
        <v>217</v>
      </c>
      <c r="R1509">
        <v>687</v>
      </c>
    </row>
    <row r="1510" spans="1:18" hidden="1" x14ac:dyDescent="0.2">
      <c r="A1510">
        <v>2</v>
      </c>
      <c r="B1510" t="s">
        <v>48</v>
      </c>
      <c r="E1510" t="s">
        <v>36</v>
      </c>
      <c r="F1510">
        <v>1357555</v>
      </c>
      <c r="G1510">
        <v>2</v>
      </c>
      <c r="H1510">
        <v>2</v>
      </c>
      <c r="I1510">
        <v>903</v>
      </c>
      <c r="J1510">
        <v>1998</v>
      </c>
      <c r="K1510" s="4">
        <v>45408</v>
      </c>
      <c r="L1510" t="s">
        <v>20</v>
      </c>
      <c r="M1510" t="s">
        <v>89</v>
      </c>
      <c r="N1510">
        <v>2.2000000000000002</v>
      </c>
      <c r="O1510">
        <v>896</v>
      </c>
      <c r="P1510">
        <v>2.0499999999999998</v>
      </c>
      <c r="Q1510">
        <v>58</v>
      </c>
      <c r="R1510">
        <v>483</v>
      </c>
    </row>
    <row r="1511" spans="1:18" hidden="1" x14ac:dyDescent="0.2">
      <c r="A1511">
        <v>4</v>
      </c>
      <c r="B1511" t="s">
        <v>95</v>
      </c>
      <c r="E1511" t="s">
        <v>19</v>
      </c>
      <c r="F1511">
        <v>1349439</v>
      </c>
      <c r="G1511">
        <v>2</v>
      </c>
      <c r="H1511">
        <v>3</v>
      </c>
      <c r="I1511">
        <v>422</v>
      </c>
      <c r="J1511">
        <v>1979</v>
      </c>
      <c r="K1511" s="4">
        <v>44774</v>
      </c>
      <c r="L1511" t="s">
        <v>20</v>
      </c>
      <c r="M1511" t="s">
        <v>42</v>
      </c>
      <c r="N1511">
        <v>2.12</v>
      </c>
      <c r="O1511">
        <v>994</v>
      </c>
      <c r="P1511">
        <v>1.71</v>
      </c>
      <c r="Q1511">
        <v>174</v>
      </c>
      <c r="R1511">
        <v>641</v>
      </c>
    </row>
    <row r="1512" spans="1:18" hidden="1" x14ac:dyDescent="0.2">
      <c r="A1512">
        <v>9</v>
      </c>
      <c r="B1512" t="s">
        <v>49</v>
      </c>
      <c r="E1512" t="s">
        <v>29</v>
      </c>
      <c r="F1512">
        <v>1733601</v>
      </c>
      <c r="G1512">
        <v>4</v>
      </c>
      <c r="H1512">
        <v>3</v>
      </c>
      <c r="I1512">
        <v>972</v>
      </c>
      <c r="J1512">
        <v>1988</v>
      </c>
      <c r="K1512" s="4">
        <v>44842</v>
      </c>
      <c r="L1512" t="s">
        <v>20</v>
      </c>
      <c r="M1512" t="s">
        <v>47</v>
      </c>
      <c r="N1512">
        <v>2.0299999999999998</v>
      </c>
      <c r="O1512">
        <v>2124</v>
      </c>
      <c r="P1512">
        <v>0.75</v>
      </c>
      <c r="Q1512">
        <v>199</v>
      </c>
      <c r="R1512">
        <v>585</v>
      </c>
    </row>
    <row r="1513" spans="1:18" hidden="1" x14ac:dyDescent="0.2">
      <c r="A1513">
        <v>5</v>
      </c>
      <c r="B1513" t="s">
        <v>22</v>
      </c>
      <c r="E1513" t="s">
        <v>36</v>
      </c>
      <c r="F1513">
        <v>1599238</v>
      </c>
      <c r="G1513">
        <v>2</v>
      </c>
      <c r="H1513">
        <v>1</v>
      </c>
      <c r="I1513">
        <v>463</v>
      </c>
      <c r="J1513">
        <v>2005</v>
      </c>
      <c r="K1513" s="4">
        <v>44978</v>
      </c>
      <c r="L1513" t="s">
        <v>30</v>
      </c>
      <c r="M1513" t="s">
        <v>54</v>
      </c>
      <c r="N1513">
        <v>3.39</v>
      </c>
      <c r="O1513">
        <v>1671</v>
      </c>
      <c r="P1513">
        <v>0.84</v>
      </c>
      <c r="Q1513">
        <v>230</v>
      </c>
      <c r="R1513">
        <v>685</v>
      </c>
    </row>
    <row r="1514" spans="1:18" hidden="1" x14ac:dyDescent="0.2">
      <c r="A1514">
        <v>4</v>
      </c>
      <c r="B1514" t="s">
        <v>46</v>
      </c>
      <c r="E1514" t="s">
        <v>19</v>
      </c>
      <c r="F1514">
        <v>1864416</v>
      </c>
      <c r="G1514">
        <v>4</v>
      </c>
      <c r="H1514">
        <v>2</v>
      </c>
      <c r="I1514">
        <v>712</v>
      </c>
      <c r="J1514">
        <v>2013</v>
      </c>
      <c r="K1514" s="4">
        <v>44429</v>
      </c>
      <c r="L1514" t="s">
        <v>20</v>
      </c>
      <c r="M1514" t="s">
        <v>52</v>
      </c>
      <c r="N1514">
        <v>2.02</v>
      </c>
      <c r="O1514">
        <v>1876</v>
      </c>
      <c r="P1514">
        <v>0.57999999999999996</v>
      </c>
      <c r="Q1514">
        <v>184</v>
      </c>
      <c r="R1514">
        <v>484</v>
      </c>
    </row>
    <row r="1515" spans="1:18" x14ac:dyDescent="0.2">
      <c r="A1515">
        <v>8</v>
      </c>
      <c r="B1515" t="s">
        <v>102</v>
      </c>
      <c r="C1515" t="str">
        <f>VLOOKUP(B1515, 'Council Area'!$A$2:$B$51, 2)</f>
        <v>City of Sydney</v>
      </c>
      <c r="D1515" t="str">
        <f>_xlfn.XLOOKUP(B1515, 'Council Area'!$A$2:$A$51, 'Council Area'!$B$2:$B$51)</f>
        <v>City of Sydney</v>
      </c>
      <c r="E1515" t="s">
        <v>19</v>
      </c>
      <c r="F1515">
        <v>2861761</v>
      </c>
      <c r="G1515">
        <v>0</v>
      </c>
      <c r="H1515">
        <v>3</v>
      </c>
      <c r="I1515">
        <v>549</v>
      </c>
      <c r="J1515">
        <v>1992</v>
      </c>
      <c r="K1515" s="4">
        <v>44771</v>
      </c>
      <c r="L1515" t="s">
        <v>30</v>
      </c>
      <c r="M1515" t="s">
        <v>42</v>
      </c>
      <c r="N1515">
        <v>1.62</v>
      </c>
      <c r="O1515">
        <v>2238</v>
      </c>
      <c r="P1515">
        <v>2</v>
      </c>
      <c r="Q1515">
        <v>62</v>
      </c>
      <c r="R1515">
        <v>390</v>
      </c>
    </row>
    <row r="1516" spans="1:18" hidden="1" x14ac:dyDescent="0.2">
      <c r="A1516">
        <v>2</v>
      </c>
      <c r="B1516" t="s">
        <v>64</v>
      </c>
      <c r="E1516" t="s">
        <v>29</v>
      </c>
      <c r="F1516">
        <v>1715911</v>
      </c>
      <c r="G1516">
        <v>3</v>
      </c>
      <c r="H1516">
        <v>2</v>
      </c>
      <c r="I1516">
        <v>811</v>
      </c>
      <c r="J1516">
        <v>2017</v>
      </c>
      <c r="K1516" s="4">
        <v>44899</v>
      </c>
      <c r="L1516" t="s">
        <v>30</v>
      </c>
      <c r="M1516" t="s">
        <v>78</v>
      </c>
      <c r="N1516">
        <v>3.21</v>
      </c>
      <c r="O1516">
        <v>1586</v>
      </c>
      <c r="P1516">
        <v>2.36</v>
      </c>
      <c r="Q1516">
        <v>208</v>
      </c>
      <c r="R1516">
        <v>341</v>
      </c>
    </row>
    <row r="1517" spans="1:18" hidden="1" x14ac:dyDescent="0.2">
      <c r="A1517">
        <v>3</v>
      </c>
      <c r="B1517" t="s">
        <v>83</v>
      </c>
      <c r="E1517" t="s">
        <v>29</v>
      </c>
      <c r="F1517">
        <v>2944823</v>
      </c>
      <c r="G1517">
        <v>4</v>
      </c>
      <c r="H1517">
        <v>1</v>
      </c>
      <c r="I1517">
        <v>123</v>
      </c>
      <c r="J1517">
        <v>2021</v>
      </c>
      <c r="K1517" s="4">
        <v>44872</v>
      </c>
      <c r="L1517" t="s">
        <v>26</v>
      </c>
      <c r="M1517" t="s">
        <v>89</v>
      </c>
      <c r="N1517">
        <v>1.78</v>
      </c>
      <c r="O1517">
        <v>1722</v>
      </c>
      <c r="P1517">
        <v>2.6</v>
      </c>
      <c r="Q1517">
        <v>201</v>
      </c>
      <c r="R1517">
        <v>424</v>
      </c>
    </row>
    <row r="1518" spans="1:18" hidden="1" x14ac:dyDescent="0.2">
      <c r="A1518">
        <v>9</v>
      </c>
      <c r="B1518" t="s">
        <v>84</v>
      </c>
      <c r="E1518" t="s">
        <v>36</v>
      </c>
      <c r="F1518">
        <v>1902153</v>
      </c>
      <c r="G1518">
        <v>1</v>
      </c>
      <c r="H1518">
        <v>3</v>
      </c>
      <c r="I1518">
        <v>589</v>
      </c>
      <c r="J1518">
        <v>1958</v>
      </c>
      <c r="K1518" s="4">
        <v>45497</v>
      </c>
      <c r="L1518" t="s">
        <v>20</v>
      </c>
      <c r="M1518" t="s">
        <v>66</v>
      </c>
      <c r="N1518">
        <v>1.79</v>
      </c>
      <c r="O1518">
        <v>1929</v>
      </c>
      <c r="P1518">
        <v>3.39</v>
      </c>
      <c r="Q1518">
        <v>82</v>
      </c>
      <c r="R1518">
        <v>311</v>
      </c>
    </row>
    <row r="1519" spans="1:18" hidden="1" x14ac:dyDescent="0.2">
      <c r="A1519">
        <v>0</v>
      </c>
      <c r="B1519" t="s">
        <v>95</v>
      </c>
      <c r="E1519" t="s">
        <v>29</v>
      </c>
      <c r="F1519">
        <v>646952</v>
      </c>
      <c r="G1519">
        <v>0</v>
      </c>
      <c r="H1519">
        <v>1</v>
      </c>
      <c r="I1519">
        <v>724</v>
      </c>
      <c r="J1519">
        <v>2009</v>
      </c>
      <c r="K1519" s="4">
        <v>44558</v>
      </c>
      <c r="L1519" t="s">
        <v>20</v>
      </c>
      <c r="M1519" t="s">
        <v>31</v>
      </c>
      <c r="N1519">
        <v>2.92</v>
      </c>
      <c r="O1519">
        <v>1231</v>
      </c>
      <c r="P1519">
        <v>3.73</v>
      </c>
      <c r="Q1519">
        <v>69</v>
      </c>
      <c r="R1519">
        <v>337</v>
      </c>
    </row>
    <row r="1520" spans="1:18" hidden="1" x14ac:dyDescent="0.2">
      <c r="A1520">
        <v>1</v>
      </c>
      <c r="B1520" t="s">
        <v>75</v>
      </c>
      <c r="E1520" t="s">
        <v>29</v>
      </c>
      <c r="F1520">
        <v>2391703</v>
      </c>
      <c r="G1520">
        <v>0</v>
      </c>
      <c r="H1520">
        <v>3</v>
      </c>
      <c r="I1520">
        <v>780</v>
      </c>
      <c r="J1520">
        <v>2000</v>
      </c>
      <c r="K1520" s="4">
        <v>44529</v>
      </c>
      <c r="L1520" t="s">
        <v>20</v>
      </c>
      <c r="M1520" t="s">
        <v>68</v>
      </c>
      <c r="N1520">
        <v>2.72</v>
      </c>
      <c r="O1520">
        <v>2440</v>
      </c>
      <c r="P1520">
        <v>2.85</v>
      </c>
      <c r="Q1520">
        <v>66</v>
      </c>
      <c r="R1520">
        <v>532</v>
      </c>
    </row>
    <row r="1521" spans="1:18" hidden="1" x14ac:dyDescent="0.2">
      <c r="A1521">
        <v>3</v>
      </c>
      <c r="B1521" t="s">
        <v>88</v>
      </c>
      <c r="E1521" t="s">
        <v>19</v>
      </c>
      <c r="F1521">
        <v>1521326</v>
      </c>
      <c r="G1521">
        <v>5</v>
      </c>
      <c r="H1521">
        <v>1</v>
      </c>
      <c r="I1521">
        <v>288</v>
      </c>
      <c r="J1521">
        <v>1990</v>
      </c>
      <c r="K1521" s="4">
        <v>44566</v>
      </c>
      <c r="L1521" t="s">
        <v>20</v>
      </c>
      <c r="M1521" t="s">
        <v>77</v>
      </c>
      <c r="N1521">
        <v>2.04</v>
      </c>
      <c r="O1521">
        <v>2458</v>
      </c>
      <c r="P1521">
        <v>4.54</v>
      </c>
      <c r="Q1521">
        <v>384</v>
      </c>
      <c r="R1521">
        <v>678</v>
      </c>
    </row>
    <row r="1522" spans="1:18" hidden="1" x14ac:dyDescent="0.2">
      <c r="A1522">
        <v>0</v>
      </c>
      <c r="B1522" t="s">
        <v>57</v>
      </c>
      <c r="E1522" t="s">
        <v>36</v>
      </c>
      <c r="F1522">
        <v>2554157</v>
      </c>
      <c r="G1522">
        <v>1</v>
      </c>
      <c r="H1522">
        <v>3</v>
      </c>
      <c r="I1522">
        <v>236</v>
      </c>
      <c r="J1522">
        <v>1990</v>
      </c>
      <c r="K1522" s="4">
        <v>44551</v>
      </c>
      <c r="L1522" t="s">
        <v>20</v>
      </c>
      <c r="M1522" t="s">
        <v>31</v>
      </c>
      <c r="N1522">
        <v>1.74</v>
      </c>
      <c r="O1522">
        <v>2145</v>
      </c>
      <c r="P1522">
        <v>2.04</v>
      </c>
      <c r="Q1522">
        <v>144</v>
      </c>
      <c r="R1522">
        <v>635</v>
      </c>
    </row>
    <row r="1523" spans="1:18" x14ac:dyDescent="0.2">
      <c r="A1523">
        <v>8</v>
      </c>
      <c r="B1523" t="s">
        <v>38</v>
      </c>
      <c r="C1523" t="str">
        <f>VLOOKUP(B1523, 'Council Area'!$A$2:$B$51, 2)</f>
        <v>Sutherland Shire Council</v>
      </c>
      <c r="D1523" t="str">
        <f>_xlfn.XLOOKUP(B1523, 'Council Area'!$A$2:$A$51, 'Council Area'!$B$2:$B$51)</f>
        <v>Sutherland Shire Council</v>
      </c>
      <c r="E1523" t="s">
        <v>29</v>
      </c>
      <c r="F1523">
        <v>1473454</v>
      </c>
      <c r="G1523">
        <v>2</v>
      </c>
      <c r="H1523">
        <v>1</v>
      </c>
      <c r="I1523">
        <v>909</v>
      </c>
      <c r="J1523">
        <v>1953</v>
      </c>
      <c r="K1523" s="4">
        <v>44406</v>
      </c>
      <c r="L1523" t="s">
        <v>23</v>
      </c>
      <c r="M1523" t="s">
        <v>35</v>
      </c>
      <c r="N1523">
        <v>1.67</v>
      </c>
      <c r="O1523">
        <v>2058</v>
      </c>
      <c r="P1523">
        <v>1.2</v>
      </c>
      <c r="Q1523">
        <v>212</v>
      </c>
      <c r="R1523">
        <v>477</v>
      </c>
    </row>
    <row r="1524" spans="1:18" hidden="1" x14ac:dyDescent="0.2">
      <c r="A1524">
        <v>9</v>
      </c>
      <c r="B1524" t="s">
        <v>86</v>
      </c>
      <c r="E1524" t="s">
        <v>36</v>
      </c>
      <c r="F1524">
        <v>695432</v>
      </c>
      <c r="G1524">
        <v>4</v>
      </c>
      <c r="H1524">
        <v>2</v>
      </c>
      <c r="I1524">
        <v>257</v>
      </c>
      <c r="J1524">
        <v>2022</v>
      </c>
      <c r="K1524" s="4">
        <v>45827</v>
      </c>
      <c r="L1524" t="s">
        <v>23</v>
      </c>
      <c r="M1524" t="s">
        <v>33</v>
      </c>
      <c r="N1524">
        <v>2.57</v>
      </c>
      <c r="O1524">
        <v>1682</v>
      </c>
      <c r="P1524">
        <v>3.94</v>
      </c>
      <c r="Q1524">
        <v>218</v>
      </c>
      <c r="R1524">
        <v>614</v>
      </c>
    </row>
    <row r="1525" spans="1:18" hidden="1" x14ac:dyDescent="0.2">
      <c r="A1525">
        <v>2</v>
      </c>
      <c r="B1525" t="s">
        <v>50</v>
      </c>
      <c r="E1525" t="s">
        <v>29</v>
      </c>
      <c r="F1525">
        <v>940988</v>
      </c>
      <c r="G1525">
        <v>4</v>
      </c>
      <c r="H1525">
        <v>2</v>
      </c>
      <c r="I1525">
        <v>129</v>
      </c>
      <c r="J1525">
        <v>1950</v>
      </c>
      <c r="K1525" s="4">
        <v>44241</v>
      </c>
      <c r="L1525" t="s">
        <v>23</v>
      </c>
      <c r="M1525" t="s">
        <v>89</v>
      </c>
      <c r="N1525">
        <v>2.25</v>
      </c>
      <c r="O1525">
        <v>2422</v>
      </c>
      <c r="P1525">
        <v>4.55</v>
      </c>
      <c r="Q1525">
        <v>197</v>
      </c>
      <c r="R1525">
        <v>325</v>
      </c>
    </row>
    <row r="1526" spans="1:18" hidden="1" x14ac:dyDescent="0.2">
      <c r="A1526">
        <v>7</v>
      </c>
      <c r="B1526" t="s">
        <v>50</v>
      </c>
      <c r="E1526" t="s">
        <v>51</v>
      </c>
      <c r="F1526">
        <v>2364043</v>
      </c>
      <c r="G1526">
        <v>5</v>
      </c>
      <c r="H1526">
        <v>2</v>
      </c>
      <c r="I1526">
        <v>851</v>
      </c>
      <c r="J1526">
        <v>1953</v>
      </c>
      <c r="K1526" s="4">
        <v>44087</v>
      </c>
      <c r="L1526" t="s">
        <v>26</v>
      </c>
      <c r="M1526" t="s">
        <v>82</v>
      </c>
      <c r="N1526">
        <v>3.06</v>
      </c>
      <c r="O1526">
        <v>1042</v>
      </c>
      <c r="P1526">
        <v>0.3</v>
      </c>
      <c r="Q1526">
        <v>301</v>
      </c>
      <c r="R1526">
        <v>638</v>
      </c>
    </row>
    <row r="1527" spans="1:18" hidden="1" x14ac:dyDescent="0.2">
      <c r="A1527">
        <v>1</v>
      </c>
      <c r="B1527" t="s">
        <v>57</v>
      </c>
      <c r="E1527" t="s">
        <v>19</v>
      </c>
      <c r="F1527">
        <v>1410345</v>
      </c>
      <c r="G1527">
        <v>2</v>
      </c>
      <c r="H1527">
        <v>2</v>
      </c>
      <c r="I1527">
        <v>468</v>
      </c>
      <c r="J1527">
        <v>2002</v>
      </c>
      <c r="K1527" s="4">
        <v>45739</v>
      </c>
      <c r="L1527" t="s">
        <v>30</v>
      </c>
      <c r="M1527" t="s">
        <v>21</v>
      </c>
      <c r="N1527">
        <v>1.57</v>
      </c>
      <c r="O1527">
        <v>1830</v>
      </c>
      <c r="P1527">
        <v>4.0599999999999996</v>
      </c>
      <c r="Q1527">
        <v>134</v>
      </c>
      <c r="R1527">
        <v>322</v>
      </c>
    </row>
    <row r="1528" spans="1:18" hidden="1" x14ac:dyDescent="0.2">
      <c r="A1528">
        <v>5</v>
      </c>
      <c r="B1528" t="s">
        <v>86</v>
      </c>
      <c r="E1528" t="s">
        <v>36</v>
      </c>
      <c r="F1528">
        <v>490765</v>
      </c>
      <c r="G1528">
        <v>4</v>
      </c>
      <c r="H1528">
        <v>3</v>
      </c>
      <c r="I1528">
        <v>621</v>
      </c>
      <c r="J1528">
        <v>1976</v>
      </c>
      <c r="K1528" s="4">
        <v>45852</v>
      </c>
      <c r="L1528" t="s">
        <v>23</v>
      </c>
      <c r="M1528" t="s">
        <v>42</v>
      </c>
      <c r="N1528">
        <v>3.39</v>
      </c>
      <c r="O1528">
        <v>1968</v>
      </c>
      <c r="P1528">
        <v>4.8099999999999996</v>
      </c>
      <c r="Q1528">
        <v>356</v>
      </c>
      <c r="R1528">
        <v>565</v>
      </c>
    </row>
    <row r="1529" spans="1:18" hidden="1" x14ac:dyDescent="0.2">
      <c r="A1529">
        <v>6</v>
      </c>
      <c r="B1529" t="s">
        <v>91</v>
      </c>
      <c r="E1529" t="s">
        <v>51</v>
      </c>
      <c r="F1529">
        <v>939025</v>
      </c>
      <c r="G1529">
        <v>6</v>
      </c>
      <c r="H1529">
        <v>3</v>
      </c>
      <c r="I1529">
        <v>919</v>
      </c>
      <c r="J1529">
        <v>2021</v>
      </c>
      <c r="K1529" s="4">
        <v>45123</v>
      </c>
      <c r="L1529" t="s">
        <v>26</v>
      </c>
      <c r="M1529" t="s">
        <v>82</v>
      </c>
      <c r="N1529">
        <v>3.38</v>
      </c>
      <c r="O1529">
        <v>2476</v>
      </c>
      <c r="P1529">
        <v>3.36</v>
      </c>
      <c r="Q1529">
        <v>334</v>
      </c>
      <c r="R1529">
        <v>559</v>
      </c>
    </row>
    <row r="1530" spans="1:18" hidden="1" x14ac:dyDescent="0.2">
      <c r="A1530">
        <v>6</v>
      </c>
      <c r="B1530" t="s">
        <v>49</v>
      </c>
      <c r="E1530" t="s">
        <v>19</v>
      </c>
      <c r="F1530">
        <v>844972</v>
      </c>
      <c r="G1530">
        <v>6</v>
      </c>
      <c r="H1530">
        <v>3</v>
      </c>
      <c r="I1530">
        <v>822</v>
      </c>
      <c r="J1530">
        <v>2015</v>
      </c>
      <c r="K1530" s="4">
        <v>44936</v>
      </c>
      <c r="L1530" t="s">
        <v>23</v>
      </c>
      <c r="M1530" t="s">
        <v>59</v>
      </c>
      <c r="N1530">
        <v>3.27</v>
      </c>
      <c r="O1530">
        <v>2117</v>
      </c>
      <c r="P1530">
        <v>0.42</v>
      </c>
      <c r="Q1530">
        <v>336</v>
      </c>
      <c r="R1530">
        <v>490</v>
      </c>
    </row>
    <row r="1531" spans="1:18" hidden="1" x14ac:dyDescent="0.2">
      <c r="A1531">
        <v>4</v>
      </c>
      <c r="B1531" t="s">
        <v>106</v>
      </c>
      <c r="E1531" t="s">
        <v>19</v>
      </c>
      <c r="F1531">
        <v>2289955</v>
      </c>
      <c r="G1531">
        <v>2</v>
      </c>
      <c r="H1531">
        <v>1</v>
      </c>
      <c r="I1531">
        <v>596</v>
      </c>
      <c r="J1531">
        <v>1950</v>
      </c>
      <c r="K1531" s="4">
        <v>45383</v>
      </c>
      <c r="L1531" t="s">
        <v>20</v>
      </c>
      <c r="M1531" t="s">
        <v>33</v>
      </c>
      <c r="N1531">
        <v>1.78</v>
      </c>
      <c r="O1531">
        <v>1709</v>
      </c>
      <c r="P1531">
        <v>3.26</v>
      </c>
      <c r="Q1531">
        <v>44</v>
      </c>
      <c r="R1531">
        <v>485</v>
      </c>
    </row>
    <row r="1532" spans="1:18" x14ac:dyDescent="0.2">
      <c r="A1532">
        <v>8</v>
      </c>
      <c r="B1532" t="s">
        <v>106</v>
      </c>
      <c r="C1532" t="str">
        <f>VLOOKUP(B1532, 'Council Area'!$A$2:$B$51, 2)</f>
        <v>Hornsby Shire Council</v>
      </c>
      <c r="D1532" t="str">
        <f>_xlfn.XLOOKUP(B1532, 'Council Area'!$A$2:$A$51, 'Council Area'!$B$2:$B$51)</f>
        <v>Hornsby Shire Council</v>
      </c>
      <c r="E1532" t="s">
        <v>19</v>
      </c>
      <c r="F1532">
        <v>2260335</v>
      </c>
      <c r="G1532">
        <v>3</v>
      </c>
      <c r="H1532">
        <v>1</v>
      </c>
      <c r="I1532">
        <v>601</v>
      </c>
      <c r="J1532">
        <v>1969</v>
      </c>
      <c r="K1532" s="4">
        <v>44511</v>
      </c>
      <c r="L1532" t="s">
        <v>20</v>
      </c>
      <c r="M1532" t="s">
        <v>82</v>
      </c>
      <c r="N1532">
        <v>2.77</v>
      </c>
      <c r="O1532">
        <v>1835</v>
      </c>
      <c r="P1532">
        <v>4.08</v>
      </c>
      <c r="Q1532">
        <v>155</v>
      </c>
      <c r="R1532">
        <v>321</v>
      </c>
    </row>
    <row r="1533" spans="1:18" hidden="1" x14ac:dyDescent="0.2">
      <c r="A1533">
        <v>2</v>
      </c>
      <c r="B1533" t="s">
        <v>41</v>
      </c>
      <c r="E1533" t="s">
        <v>36</v>
      </c>
      <c r="F1533">
        <v>1720693</v>
      </c>
      <c r="G1533">
        <v>2</v>
      </c>
      <c r="H1533">
        <v>1</v>
      </c>
      <c r="I1533">
        <v>202</v>
      </c>
      <c r="J1533">
        <v>1960</v>
      </c>
      <c r="K1533" s="4">
        <v>45606</v>
      </c>
      <c r="L1533" t="s">
        <v>23</v>
      </c>
      <c r="M1533" t="s">
        <v>56</v>
      </c>
      <c r="N1533">
        <v>1.89</v>
      </c>
      <c r="O1533">
        <v>1786</v>
      </c>
      <c r="P1533">
        <v>3.55</v>
      </c>
      <c r="Q1533">
        <v>156</v>
      </c>
      <c r="R1533">
        <v>331</v>
      </c>
    </row>
    <row r="1534" spans="1:18" x14ac:dyDescent="0.2">
      <c r="A1534">
        <v>8</v>
      </c>
      <c r="B1534" t="s">
        <v>49</v>
      </c>
      <c r="C1534" t="str">
        <f>VLOOKUP(B1534, 'Council Area'!$A$2:$B$51, 2)</f>
        <v>Inner West Council</v>
      </c>
      <c r="D1534" t="str">
        <f>_xlfn.XLOOKUP(B1534, 'Council Area'!$A$2:$A$51, 'Council Area'!$B$2:$B$51)</f>
        <v>Inner West Council</v>
      </c>
      <c r="E1534" t="s">
        <v>51</v>
      </c>
      <c r="F1534">
        <v>1369360</v>
      </c>
      <c r="G1534">
        <v>3</v>
      </c>
      <c r="H1534">
        <v>2</v>
      </c>
      <c r="I1534">
        <v>56</v>
      </c>
      <c r="J1534">
        <v>2016</v>
      </c>
      <c r="K1534" s="4">
        <v>45482</v>
      </c>
      <c r="L1534" t="s">
        <v>20</v>
      </c>
      <c r="M1534" t="s">
        <v>24</v>
      </c>
      <c r="N1534">
        <v>1.72</v>
      </c>
      <c r="O1534">
        <v>1481</v>
      </c>
      <c r="P1534">
        <v>2.67</v>
      </c>
      <c r="Q1534">
        <v>227</v>
      </c>
      <c r="R1534">
        <v>564</v>
      </c>
    </row>
    <row r="1535" spans="1:18" hidden="1" x14ac:dyDescent="0.2">
      <c r="A1535">
        <v>9</v>
      </c>
      <c r="B1535" t="s">
        <v>75</v>
      </c>
      <c r="E1535" t="s">
        <v>29</v>
      </c>
      <c r="F1535">
        <v>1548610</v>
      </c>
      <c r="G1535">
        <v>0</v>
      </c>
      <c r="H1535">
        <v>1</v>
      </c>
      <c r="I1535">
        <v>793</v>
      </c>
      <c r="J1535">
        <v>1957</v>
      </c>
      <c r="K1535" s="4">
        <v>45817</v>
      </c>
      <c r="L1535" t="s">
        <v>20</v>
      </c>
      <c r="M1535" t="s">
        <v>31</v>
      </c>
      <c r="N1535">
        <v>2.69</v>
      </c>
      <c r="O1535">
        <v>2038</v>
      </c>
      <c r="P1535">
        <v>2.58</v>
      </c>
      <c r="Q1535">
        <v>50</v>
      </c>
      <c r="R1535">
        <v>432</v>
      </c>
    </row>
    <row r="1536" spans="1:18" hidden="1" x14ac:dyDescent="0.2">
      <c r="A1536">
        <v>5</v>
      </c>
      <c r="B1536" t="s">
        <v>48</v>
      </c>
      <c r="E1536" t="s">
        <v>19</v>
      </c>
      <c r="F1536">
        <v>1930993</v>
      </c>
      <c r="G1536">
        <v>5</v>
      </c>
      <c r="H1536">
        <v>3</v>
      </c>
      <c r="I1536">
        <v>464</v>
      </c>
      <c r="J1536">
        <v>1999</v>
      </c>
      <c r="K1536" s="4">
        <v>44601</v>
      </c>
      <c r="L1536" t="s">
        <v>20</v>
      </c>
      <c r="M1536" t="s">
        <v>58</v>
      </c>
      <c r="N1536">
        <v>2.85</v>
      </c>
      <c r="O1536">
        <v>1145</v>
      </c>
      <c r="P1536">
        <v>4.66</v>
      </c>
      <c r="Q1536">
        <v>396</v>
      </c>
      <c r="R1536">
        <v>623</v>
      </c>
    </row>
    <row r="1537" spans="1:18" x14ac:dyDescent="0.2">
      <c r="A1537">
        <v>8</v>
      </c>
      <c r="B1537" t="s">
        <v>98</v>
      </c>
      <c r="C1537" t="str">
        <f>VLOOKUP(B1537, 'Council Area'!$A$2:$B$51, 2)</f>
        <v>Parramatta City Council</v>
      </c>
      <c r="D1537" t="str">
        <f>_xlfn.XLOOKUP(B1537, 'Council Area'!$A$2:$A$51, 'Council Area'!$B$2:$B$51)</f>
        <v>Parramatta City Council</v>
      </c>
      <c r="E1537" t="s">
        <v>36</v>
      </c>
      <c r="F1537">
        <v>738346</v>
      </c>
      <c r="G1537">
        <v>2</v>
      </c>
      <c r="H1537">
        <v>2</v>
      </c>
      <c r="I1537">
        <v>191</v>
      </c>
      <c r="J1537">
        <v>1953</v>
      </c>
      <c r="K1537" s="4">
        <v>45294</v>
      </c>
      <c r="L1537" t="s">
        <v>20</v>
      </c>
      <c r="M1537" t="s">
        <v>66</v>
      </c>
      <c r="N1537">
        <v>2.63</v>
      </c>
      <c r="O1537">
        <v>1606</v>
      </c>
      <c r="P1537">
        <v>2.13</v>
      </c>
      <c r="Q1537">
        <v>183</v>
      </c>
      <c r="R1537">
        <v>531</v>
      </c>
    </row>
    <row r="1538" spans="1:18" hidden="1" x14ac:dyDescent="0.2">
      <c r="A1538">
        <v>0</v>
      </c>
      <c r="B1538" t="s">
        <v>46</v>
      </c>
      <c r="E1538" t="s">
        <v>51</v>
      </c>
      <c r="F1538">
        <v>985162</v>
      </c>
      <c r="G1538">
        <v>5</v>
      </c>
      <c r="H1538">
        <v>1</v>
      </c>
      <c r="I1538">
        <v>341</v>
      </c>
      <c r="J1538">
        <v>2009</v>
      </c>
      <c r="K1538" s="4">
        <v>44313</v>
      </c>
      <c r="L1538" t="s">
        <v>20</v>
      </c>
      <c r="M1538" t="s">
        <v>47</v>
      </c>
      <c r="N1538">
        <v>3.09</v>
      </c>
      <c r="O1538">
        <v>842</v>
      </c>
      <c r="P1538">
        <v>4.53</v>
      </c>
      <c r="Q1538">
        <v>267</v>
      </c>
      <c r="R1538">
        <v>646</v>
      </c>
    </row>
    <row r="1539" spans="1:18" hidden="1" x14ac:dyDescent="0.2">
      <c r="A1539">
        <v>7</v>
      </c>
      <c r="B1539" t="s">
        <v>57</v>
      </c>
      <c r="E1539" t="s">
        <v>36</v>
      </c>
      <c r="F1539">
        <v>807845</v>
      </c>
      <c r="G1539">
        <v>5</v>
      </c>
      <c r="H1539">
        <v>2</v>
      </c>
      <c r="I1539">
        <v>876</v>
      </c>
      <c r="J1539">
        <v>2002</v>
      </c>
      <c r="K1539" s="4">
        <v>44951</v>
      </c>
      <c r="L1539" t="s">
        <v>30</v>
      </c>
      <c r="M1539" t="s">
        <v>47</v>
      </c>
      <c r="N1539">
        <v>3.44</v>
      </c>
      <c r="O1539">
        <v>1038</v>
      </c>
      <c r="P1539">
        <v>1.96</v>
      </c>
      <c r="Q1539">
        <v>274</v>
      </c>
      <c r="R1539">
        <v>348</v>
      </c>
    </row>
    <row r="1540" spans="1:18" hidden="1" x14ac:dyDescent="0.2">
      <c r="A1540">
        <v>9</v>
      </c>
      <c r="B1540" t="s">
        <v>102</v>
      </c>
      <c r="E1540" t="s">
        <v>29</v>
      </c>
      <c r="F1540">
        <v>2580302</v>
      </c>
      <c r="G1540">
        <v>3</v>
      </c>
      <c r="H1540">
        <v>2</v>
      </c>
      <c r="I1540">
        <v>394</v>
      </c>
      <c r="J1540">
        <v>1958</v>
      </c>
      <c r="K1540" s="4">
        <v>44857</v>
      </c>
      <c r="L1540" t="s">
        <v>30</v>
      </c>
      <c r="M1540" t="s">
        <v>52</v>
      </c>
      <c r="N1540">
        <v>2.0499999999999998</v>
      </c>
      <c r="O1540">
        <v>1807</v>
      </c>
      <c r="P1540">
        <v>4.33</v>
      </c>
      <c r="Q1540">
        <v>127</v>
      </c>
      <c r="R1540">
        <v>624</v>
      </c>
    </row>
    <row r="1541" spans="1:18" hidden="1" x14ac:dyDescent="0.2">
      <c r="A1541">
        <v>5</v>
      </c>
      <c r="B1541" t="s">
        <v>50</v>
      </c>
      <c r="E1541" t="s">
        <v>51</v>
      </c>
      <c r="F1541">
        <v>1115791</v>
      </c>
      <c r="G1541">
        <v>6</v>
      </c>
      <c r="H1541">
        <v>1</v>
      </c>
      <c r="I1541">
        <v>723</v>
      </c>
      <c r="J1541">
        <v>2003</v>
      </c>
      <c r="K1541" s="4">
        <v>45570</v>
      </c>
      <c r="L1541" t="s">
        <v>20</v>
      </c>
      <c r="M1541" t="s">
        <v>89</v>
      </c>
      <c r="N1541">
        <v>3.49</v>
      </c>
      <c r="O1541">
        <v>1556</v>
      </c>
      <c r="P1541">
        <v>0.73</v>
      </c>
      <c r="Q1541">
        <v>361</v>
      </c>
      <c r="R1541">
        <v>619</v>
      </c>
    </row>
    <row r="1542" spans="1:18" x14ac:dyDescent="0.2">
      <c r="A1542">
        <v>8</v>
      </c>
      <c r="B1542" t="s">
        <v>79</v>
      </c>
      <c r="C1542" t="str">
        <f>VLOOKUP(B1542, 'Council Area'!$A$2:$B$51, 2)</f>
        <v>Parramatta City Council</v>
      </c>
      <c r="D1542" t="str">
        <f>_xlfn.XLOOKUP(B1542, 'Council Area'!$A$2:$A$51, 'Council Area'!$B$2:$B$51)</f>
        <v>Parramatta City Council</v>
      </c>
      <c r="E1542" t="s">
        <v>51</v>
      </c>
      <c r="F1542">
        <v>1158395</v>
      </c>
      <c r="G1542">
        <v>6</v>
      </c>
      <c r="H1542">
        <v>1</v>
      </c>
      <c r="I1542">
        <v>144</v>
      </c>
      <c r="J1542">
        <v>1994</v>
      </c>
      <c r="K1542" s="4">
        <v>44761</v>
      </c>
      <c r="L1542" t="s">
        <v>26</v>
      </c>
      <c r="M1542" t="s">
        <v>27</v>
      </c>
      <c r="N1542">
        <v>1.96</v>
      </c>
      <c r="O1542">
        <v>1226</v>
      </c>
      <c r="P1542">
        <v>1.4</v>
      </c>
      <c r="Q1542">
        <v>340</v>
      </c>
      <c r="R1542">
        <v>451</v>
      </c>
    </row>
    <row r="1543" spans="1:18" hidden="1" x14ac:dyDescent="0.2">
      <c r="A1543">
        <v>4</v>
      </c>
      <c r="B1543" t="s">
        <v>79</v>
      </c>
      <c r="E1543" t="s">
        <v>29</v>
      </c>
      <c r="F1543">
        <v>581577</v>
      </c>
      <c r="G1543">
        <v>3</v>
      </c>
      <c r="H1543">
        <v>3</v>
      </c>
      <c r="I1543">
        <v>521</v>
      </c>
      <c r="J1543">
        <v>1952</v>
      </c>
      <c r="K1543" s="4">
        <v>44439</v>
      </c>
      <c r="L1543" t="s">
        <v>20</v>
      </c>
      <c r="M1543" t="s">
        <v>31</v>
      </c>
      <c r="N1543">
        <v>3.01</v>
      </c>
      <c r="O1543">
        <v>2348</v>
      </c>
      <c r="P1543">
        <v>0.35</v>
      </c>
      <c r="Q1543">
        <v>258</v>
      </c>
      <c r="R1543">
        <v>417</v>
      </c>
    </row>
    <row r="1544" spans="1:18" hidden="1" x14ac:dyDescent="0.2">
      <c r="A1544">
        <v>0</v>
      </c>
      <c r="B1544" t="s">
        <v>38</v>
      </c>
      <c r="E1544" t="s">
        <v>36</v>
      </c>
      <c r="F1544">
        <v>420052</v>
      </c>
      <c r="G1544">
        <v>3</v>
      </c>
      <c r="H1544">
        <v>2</v>
      </c>
      <c r="I1544">
        <v>939</v>
      </c>
      <c r="J1544">
        <v>1958</v>
      </c>
      <c r="K1544" s="4">
        <v>45206</v>
      </c>
      <c r="L1544" t="s">
        <v>30</v>
      </c>
      <c r="M1544" t="s">
        <v>47</v>
      </c>
      <c r="N1544">
        <v>2.08</v>
      </c>
      <c r="O1544">
        <v>2413</v>
      </c>
      <c r="P1544">
        <v>3.49</v>
      </c>
      <c r="Q1544">
        <v>87</v>
      </c>
      <c r="R1544">
        <v>322</v>
      </c>
    </row>
    <row r="1545" spans="1:18" hidden="1" x14ac:dyDescent="0.2">
      <c r="A1545">
        <v>9</v>
      </c>
      <c r="B1545" t="s">
        <v>53</v>
      </c>
      <c r="E1545" t="s">
        <v>51</v>
      </c>
      <c r="F1545">
        <v>858798</v>
      </c>
      <c r="G1545">
        <v>2</v>
      </c>
      <c r="H1545">
        <v>2</v>
      </c>
      <c r="I1545">
        <v>572</v>
      </c>
      <c r="J1545">
        <v>1953</v>
      </c>
      <c r="K1545" s="4">
        <v>45411</v>
      </c>
      <c r="L1545" t="s">
        <v>23</v>
      </c>
      <c r="M1545" t="s">
        <v>68</v>
      </c>
      <c r="N1545">
        <v>1.87</v>
      </c>
      <c r="O1545">
        <v>939</v>
      </c>
      <c r="P1545">
        <v>2.77</v>
      </c>
      <c r="Q1545">
        <v>196</v>
      </c>
      <c r="R1545">
        <v>378</v>
      </c>
    </row>
    <row r="1546" spans="1:18" hidden="1" x14ac:dyDescent="0.2">
      <c r="A1546">
        <v>7</v>
      </c>
      <c r="B1546" t="s">
        <v>86</v>
      </c>
      <c r="E1546" t="s">
        <v>36</v>
      </c>
      <c r="F1546">
        <v>1031533</v>
      </c>
      <c r="G1546">
        <v>1</v>
      </c>
      <c r="H1546">
        <v>1</v>
      </c>
      <c r="I1546">
        <v>733</v>
      </c>
      <c r="J1546">
        <v>1968</v>
      </c>
      <c r="K1546" s="4">
        <v>44165</v>
      </c>
      <c r="L1546" t="s">
        <v>20</v>
      </c>
      <c r="M1546" t="s">
        <v>60</v>
      </c>
      <c r="N1546">
        <v>2.63</v>
      </c>
      <c r="O1546">
        <v>2045</v>
      </c>
      <c r="P1546">
        <v>1.44</v>
      </c>
      <c r="Q1546">
        <v>43</v>
      </c>
      <c r="R1546">
        <v>306</v>
      </c>
    </row>
    <row r="1547" spans="1:18" hidden="1" x14ac:dyDescent="0.2">
      <c r="A1547">
        <v>5</v>
      </c>
      <c r="B1547" t="s">
        <v>44</v>
      </c>
      <c r="E1547" t="s">
        <v>51</v>
      </c>
      <c r="F1547">
        <v>797792</v>
      </c>
      <c r="G1547">
        <v>4</v>
      </c>
      <c r="H1547">
        <v>2</v>
      </c>
      <c r="I1547">
        <v>831</v>
      </c>
      <c r="J1547">
        <v>1956</v>
      </c>
      <c r="K1547" s="4">
        <v>45561</v>
      </c>
      <c r="L1547" t="s">
        <v>26</v>
      </c>
      <c r="M1547" t="s">
        <v>37</v>
      </c>
      <c r="N1547">
        <v>2.46</v>
      </c>
      <c r="O1547">
        <v>1425</v>
      </c>
      <c r="P1547">
        <v>3.46</v>
      </c>
      <c r="Q1547">
        <v>218</v>
      </c>
      <c r="R1547">
        <v>498</v>
      </c>
    </row>
    <row r="1548" spans="1:18" hidden="1" x14ac:dyDescent="0.2">
      <c r="A1548">
        <v>1</v>
      </c>
      <c r="B1548" t="s">
        <v>50</v>
      </c>
      <c r="E1548" t="s">
        <v>36</v>
      </c>
      <c r="F1548">
        <v>2763955</v>
      </c>
      <c r="G1548">
        <v>3</v>
      </c>
      <c r="H1548">
        <v>3</v>
      </c>
      <c r="I1548">
        <v>569</v>
      </c>
      <c r="J1548">
        <v>2007</v>
      </c>
      <c r="K1548" s="4">
        <v>44229</v>
      </c>
      <c r="L1548" t="s">
        <v>30</v>
      </c>
      <c r="M1548" t="s">
        <v>54</v>
      </c>
      <c r="N1548">
        <v>2.78</v>
      </c>
      <c r="O1548">
        <v>1651</v>
      </c>
      <c r="P1548">
        <v>2.36</v>
      </c>
      <c r="Q1548">
        <v>291</v>
      </c>
      <c r="R1548">
        <v>537</v>
      </c>
    </row>
    <row r="1549" spans="1:18" hidden="1" x14ac:dyDescent="0.2">
      <c r="A1549">
        <v>2</v>
      </c>
      <c r="B1549" t="s">
        <v>104</v>
      </c>
      <c r="E1549" t="s">
        <v>19</v>
      </c>
      <c r="F1549">
        <v>1277885</v>
      </c>
      <c r="G1549">
        <v>4</v>
      </c>
      <c r="H1549">
        <v>1</v>
      </c>
      <c r="I1549">
        <v>894</v>
      </c>
      <c r="J1549">
        <v>2015</v>
      </c>
      <c r="K1549" s="4">
        <v>44658</v>
      </c>
      <c r="L1549" t="s">
        <v>23</v>
      </c>
      <c r="M1549" t="s">
        <v>59</v>
      </c>
      <c r="N1549">
        <v>3.02</v>
      </c>
      <c r="O1549">
        <v>1199</v>
      </c>
      <c r="P1549">
        <v>0.14000000000000001</v>
      </c>
      <c r="Q1549">
        <v>193</v>
      </c>
      <c r="R1549">
        <v>452</v>
      </c>
    </row>
    <row r="1550" spans="1:18" hidden="1" x14ac:dyDescent="0.2">
      <c r="A1550">
        <v>9</v>
      </c>
      <c r="B1550" t="s">
        <v>72</v>
      </c>
      <c r="E1550" t="s">
        <v>29</v>
      </c>
      <c r="F1550">
        <v>1848814</v>
      </c>
      <c r="G1550">
        <v>1</v>
      </c>
      <c r="H1550">
        <v>2</v>
      </c>
      <c r="I1550">
        <v>995</v>
      </c>
      <c r="J1550">
        <v>1957</v>
      </c>
      <c r="K1550" s="4">
        <v>44929</v>
      </c>
      <c r="L1550" t="s">
        <v>26</v>
      </c>
      <c r="M1550" t="s">
        <v>35</v>
      </c>
      <c r="N1550">
        <v>2.77</v>
      </c>
      <c r="O1550">
        <v>2385</v>
      </c>
      <c r="P1550">
        <v>0.49</v>
      </c>
      <c r="Q1550">
        <v>93</v>
      </c>
      <c r="R1550">
        <v>529</v>
      </c>
    </row>
    <row r="1551" spans="1:18" hidden="1" x14ac:dyDescent="0.2">
      <c r="A1551">
        <v>3</v>
      </c>
      <c r="B1551" t="s">
        <v>49</v>
      </c>
      <c r="E1551" t="s">
        <v>29</v>
      </c>
      <c r="F1551">
        <v>1495296</v>
      </c>
      <c r="G1551">
        <v>4</v>
      </c>
      <c r="H1551">
        <v>3</v>
      </c>
      <c r="I1551">
        <v>120</v>
      </c>
      <c r="J1551">
        <v>2022</v>
      </c>
      <c r="K1551" s="4">
        <v>45605</v>
      </c>
      <c r="L1551" t="s">
        <v>26</v>
      </c>
      <c r="M1551" t="s">
        <v>31</v>
      </c>
      <c r="N1551">
        <v>2.4500000000000002</v>
      </c>
      <c r="O1551">
        <v>1610</v>
      </c>
      <c r="P1551">
        <v>0.37</v>
      </c>
      <c r="Q1551">
        <v>334</v>
      </c>
      <c r="R1551">
        <v>555</v>
      </c>
    </row>
    <row r="1552" spans="1:18" x14ac:dyDescent="0.2">
      <c r="A1552">
        <v>8</v>
      </c>
      <c r="B1552" t="s">
        <v>43</v>
      </c>
      <c r="C1552" t="str">
        <f>VLOOKUP(B1552, 'Council Area'!$A$2:$B$51, 2)</f>
        <v>Sutherland Shire Council</v>
      </c>
      <c r="D1552" t="str">
        <f>_xlfn.XLOOKUP(B1552, 'Council Area'!$A$2:$A$51, 'Council Area'!$B$2:$B$51)</f>
        <v>Sutherland Shire Council</v>
      </c>
      <c r="E1552" t="s">
        <v>29</v>
      </c>
      <c r="F1552">
        <v>413596</v>
      </c>
      <c r="G1552">
        <v>4</v>
      </c>
      <c r="H1552">
        <v>2</v>
      </c>
      <c r="I1552">
        <v>223</v>
      </c>
      <c r="J1552">
        <v>1974</v>
      </c>
      <c r="K1552" s="4">
        <v>44368</v>
      </c>
      <c r="L1552" t="s">
        <v>30</v>
      </c>
      <c r="M1552" t="s">
        <v>21</v>
      </c>
      <c r="N1552">
        <v>2.5</v>
      </c>
      <c r="O1552">
        <v>1192</v>
      </c>
      <c r="P1552">
        <v>2.5099999999999998</v>
      </c>
      <c r="Q1552">
        <v>308</v>
      </c>
      <c r="R1552">
        <v>409</v>
      </c>
    </row>
    <row r="1553" spans="1:18" hidden="1" x14ac:dyDescent="0.2">
      <c r="A1553">
        <v>0</v>
      </c>
      <c r="B1553" t="s">
        <v>83</v>
      </c>
      <c r="E1553" t="s">
        <v>29</v>
      </c>
      <c r="F1553">
        <v>569268</v>
      </c>
      <c r="G1553">
        <v>3</v>
      </c>
      <c r="H1553">
        <v>2</v>
      </c>
      <c r="I1553">
        <v>178</v>
      </c>
      <c r="J1553">
        <v>2004</v>
      </c>
      <c r="K1553" s="4">
        <v>44621</v>
      </c>
      <c r="L1553" t="s">
        <v>20</v>
      </c>
      <c r="M1553" t="s">
        <v>89</v>
      </c>
      <c r="N1553">
        <v>2.3199999999999998</v>
      </c>
      <c r="O1553">
        <v>1080</v>
      </c>
      <c r="P1553">
        <v>1.77</v>
      </c>
      <c r="Q1553">
        <v>137</v>
      </c>
      <c r="R1553">
        <v>507</v>
      </c>
    </row>
    <row r="1554" spans="1:18" x14ac:dyDescent="0.2">
      <c r="A1554">
        <v>8</v>
      </c>
      <c r="B1554" t="s">
        <v>95</v>
      </c>
      <c r="C1554" t="str">
        <f>VLOOKUP(B1554, 'Council Area'!$A$2:$B$51, 2)</f>
        <v>Hornsby Shire Council</v>
      </c>
      <c r="D1554" t="str">
        <f>_xlfn.XLOOKUP(B1554, 'Council Area'!$A$2:$A$51, 'Council Area'!$B$2:$B$51)</f>
        <v>Hornsby Shire Council</v>
      </c>
      <c r="E1554" t="s">
        <v>36</v>
      </c>
      <c r="F1554">
        <v>1477525</v>
      </c>
      <c r="G1554">
        <v>4</v>
      </c>
      <c r="H1554">
        <v>1</v>
      </c>
      <c r="I1554">
        <v>771</v>
      </c>
      <c r="J1554">
        <v>2011</v>
      </c>
      <c r="K1554" s="4">
        <v>44286</v>
      </c>
      <c r="L1554" t="s">
        <v>23</v>
      </c>
      <c r="M1554" t="s">
        <v>89</v>
      </c>
      <c r="N1554">
        <v>1.82</v>
      </c>
      <c r="O1554">
        <v>1502</v>
      </c>
      <c r="P1554">
        <v>4.9000000000000004</v>
      </c>
      <c r="Q1554">
        <v>205</v>
      </c>
      <c r="R1554">
        <v>645</v>
      </c>
    </row>
    <row r="1555" spans="1:18" hidden="1" x14ac:dyDescent="0.2">
      <c r="A1555">
        <v>7</v>
      </c>
      <c r="B1555" t="s">
        <v>95</v>
      </c>
      <c r="E1555" t="s">
        <v>19</v>
      </c>
      <c r="F1555">
        <v>2176880</v>
      </c>
      <c r="G1555">
        <v>3</v>
      </c>
      <c r="H1555">
        <v>1</v>
      </c>
      <c r="I1555">
        <v>238</v>
      </c>
      <c r="J1555">
        <v>1998</v>
      </c>
      <c r="K1555" s="4">
        <v>45024</v>
      </c>
      <c r="L1555" t="s">
        <v>26</v>
      </c>
      <c r="M1555" t="s">
        <v>69</v>
      </c>
      <c r="N1555">
        <v>2.34</v>
      </c>
      <c r="O1555">
        <v>2101</v>
      </c>
      <c r="P1555">
        <v>2.65</v>
      </c>
      <c r="Q1555">
        <v>109</v>
      </c>
      <c r="R1555">
        <v>393</v>
      </c>
    </row>
    <row r="1556" spans="1:18" hidden="1" x14ac:dyDescent="0.2">
      <c r="A1556">
        <v>2</v>
      </c>
      <c r="B1556" t="s">
        <v>105</v>
      </c>
      <c r="E1556" t="s">
        <v>51</v>
      </c>
      <c r="F1556">
        <v>2975817</v>
      </c>
      <c r="G1556">
        <v>4</v>
      </c>
      <c r="H1556">
        <v>1</v>
      </c>
      <c r="I1556">
        <v>510</v>
      </c>
      <c r="J1556">
        <v>1999</v>
      </c>
      <c r="K1556" s="4">
        <v>44360</v>
      </c>
      <c r="L1556" t="s">
        <v>30</v>
      </c>
      <c r="M1556" t="s">
        <v>37</v>
      </c>
      <c r="N1556">
        <v>1.6</v>
      </c>
      <c r="O1556">
        <v>1151</v>
      </c>
      <c r="P1556">
        <v>2.58</v>
      </c>
      <c r="Q1556">
        <v>170</v>
      </c>
      <c r="R1556">
        <v>578</v>
      </c>
    </row>
    <row r="1557" spans="1:18" hidden="1" x14ac:dyDescent="0.2">
      <c r="A1557">
        <v>0</v>
      </c>
      <c r="B1557" t="s">
        <v>87</v>
      </c>
      <c r="E1557" t="s">
        <v>29</v>
      </c>
      <c r="F1557">
        <v>2033174</v>
      </c>
      <c r="G1557">
        <v>6</v>
      </c>
      <c r="H1557">
        <v>1</v>
      </c>
      <c r="I1557">
        <v>656</v>
      </c>
      <c r="J1557">
        <v>1986</v>
      </c>
      <c r="K1557" s="4">
        <v>44133</v>
      </c>
      <c r="L1557" t="s">
        <v>23</v>
      </c>
      <c r="M1557" t="s">
        <v>33</v>
      </c>
      <c r="N1557">
        <v>2.02</v>
      </c>
      <c r="O1557">
        <v>1679</v>
      </c>
      <c r="P1557">
        <v>2.61</v>
      </c>
      <c r="Q1557">
        <v>378</v>
      </c>
      <c r="R1557">
        <v>547</v>
      </c>
    </row>
    <row r="1558" spans="1:18" hidden="1" x14ac:dyDescent="0.2">
      <c r="A1558">
        <v>5</v>
      </c>
      <c r="B1558" t="s">
        <v>43</v>
      </c>
      <c r="E1558" t="s">
        <v>36</v>
      </c>
      <c r="F1558">
        <v>609020</v>
      </c>
      <c r="G1558">
        <v>4</v>
      </c>
      <c r="H1558">
        <v>2</v>
      </c>
      <c r="I1558">
        <v>488</v>
      </c>
      <c r="J1558">
        <v>1952</v>
      </c>
      <c r="K1558" s="4">
        <v>45682</v>
      </c>
      <c r="L1558" t="s">
        <v>30</v>
      </c>
      <c r="M1558" t="s">
        <v>33</v>
      </c>
      <c r="N1558">
        <v>2.86</v>
      </c>
      <c r="O1558">
        <v>1178</v>
      </c>
      <c r="P1558">
        <v>3.12</v>
      </c>
      <c r="Q1558">
        <v>182</v>
      </c>
      <c r="R1558">
        <v>572</v>
      </c>
    </row>
    <row r="1559" spans="1:18" hidden="1" x14ac:dyDescent="0.2">
      <c r="A1559">
        <v>6</v>
      </c>
      <c r="B1559" t="s">
        <v>48</v>
      </c>
      <c r="E1559" t="s">
        <v>36</v>
      </c>
      <c r="F1559">
        <v>2560014</v>
      </c>
      <c r="G1559">
        <v>5</v>
      </c>
      <c r="H1559">
        <v>1</v>
      </c>
      <c r="I1559">
        <v>211</v>
      </c>
      <c r="J1559">
        <v>1961</v>
      </c>
      <c r="K1559" s="4">
        <v>45612</v>
      </c>
      <c r="L1559" t="s">
        <v>26</v>
      </c>
      <c r="M1559" t="s">
        <v>85</v>
      </c>
      <c r="N1559">
        <v>1.68</v>
      </c>
      <c r="O1559">
        <v>1316</v>
      </c>
      <c r="P1559">
        <v>2.96</v>
      </c>
      <c r="Q1559">
        <v>352</v>
      </c>
      <c r="R1559">
        <v>335</v>
      </c>
    </row>
    <row r="1560" spans="1:18" hidden="1" x14ac:dyDescent="0.2">
      <c r="A1560">
        <v>1</v>
      </c>
      <c r="B1560" t="s">
        <v>62</v>
      </c>
      <c r="E1560" t="s">
        <v>19</v>
      </c>
      <c r="F1560">
        <v>789517</v>
      </c>
      <c r="G1560">
        <v>6</v>
      </c>
      <c r="H1560">
        <v>2</v>
      </c>
      <c r="I1560">
        <v>846</v>
      </c>
      <c r="J1560">
        <v>1982</v>
      </c>
      <c r="K1560" s="4">
        <v>45266</v>
      </c>
      <c r="L1560" t="s">
        <v>20</v>
      </c>
      <c r="M1560" t="s">
        <v>69</v>
      </c>
      <c r="N1560">
        <v>1.51</v>
      </c>
      <c r="O1560">
        <v>2145</v>
      </c>
      <c r="P1560">
        <v>3.93</v>
      </c>
      <c r="Q1560">
        <v>385</v>
      </c>
      <c r="R1560">
        <v>345</v>
      </c>
    </row>
    <row r="1561" spans="1:18" hidden="1" x14ac:dyDescent="0.2">
      <c r="A1561">
        <v>0</v>
      </c>
      <c r="B1561" t="s">
        <v>90</v>
      </c>
      <c r="E1561" t="s">
        <v>36</v>
      </c>
      <c r="F1561">
        <v>566920</v>
      </c>
      <c r="G1561">
        <v>5</v>
      </c>
      <c r="H1561">
        <v>1</v>
      </c>
      <c r="I1561">
        <v>680</v>
      </c>
      <c r="J1561">
        <v>1966</v>
      </c>
      <c r="K1561" s="4">
        <v>44166</v>
      </c>
      <c r="L1561" t="s">
        <v>20</v>
      </c>
      <c r="M1561" t="s">
        <v>37</v>
      </c>
      <c r="N1561">
        <v>2.2599999999999998</v>
      </c>
      <c r="O1561">
        <v>2258</v>
      </c>
      <c r="P1561">
        <v>1.55</v>
      </c>
      <c r="Q1561">
        <v>313</v>
      </c>
      <c r="R1561">
        <v>607</v>
      </c>
    </row>
    <row r="1562" spans="1:18" hidden="1" x14ac:dyDescent="0.2">
      <c r="A1562">
        <v>6</v>
      </c>
      <c r="B1562" t="s">
        <v>28</v>
      </c>
      <c r="E1562" t="s">
        <v>29</v>
      </c>
      <c r="F1562">
        <v>539127</v>
      </c>
      <c r="G1562">
        <v>2</v>
      </c>
      <c r="H1562">
        <v>2</v>
      </c>
      <c r="I1562">
        <v>252</v>
      </c>
      <c r="J1562">
        <v>1973</v>
      </c>
      <c r="K1562" s="4">
        <v>45408</v>
      </c>
      <c r="L1562" t="s">
        <v>23</v>
      </c>
      <c r="M1562" t="s">
        <v>78</v>
      </c>
      <c r="N1562">
        <v>2.2799999999999998</v>
      </c>
      <c r="O1562">
        <v>1194</v>
      </c>
      <c r="P1562">
        <v>4.43</v>
      </c>
      <c r="Q1562">
        <v>110</v>
      </c>
      <c r="R1562">
        <v>360</v>
      </c>
    </row>
    <row r="1563" spans="1:18" hidden="1" x14ac:dyDescent="0.2">
      <c r="A1563">
        <v>7</v>
      </c>
      <c r="B1563" t="s">
        <v>80</v>
      </c>
      <c r="E1563" t="s">
        <v>36</v>
      </c>
      <c r="F1563">
        <v>482230</v>
      </c>
      <c r="G1563">
        <v>0</v>
      </c>
      <c r="H1563">
        <v>3</v>
      </c>
      <c r="I1563">
        <v>770</v>
      </c>
      <c r="J1563">
        <v>2022</v>
      </c>
      <c r="K1563" s="4">
        <v>45132</v>
      </c>
      <c r="L1563" t="s">
        <v>20</v>
      </c>
      <c r="M1563" t="s">
        <v>74</v>
      </c>
      <c r="N1563">
        <v>1.99</v>
      </c>
      <c r="O1563">
        <v>2145</v>
      </c>
      <c r="P1563">
        <v>3.1</v>
      </c>
      <c r="Q1563">
        <v>62</v>
      </c>
      <c r="R1563">
        <v>535</v>
      </c>
    </row>
    <row r="1564" spans="1:18" hidden="1" x14ac:dyDescent="0.2">
      <c r="A1564">
        <v>2</v>
      </c>
      <c r="B1564" t="s">
        <v>84</v>
      </c>
      <c r="E1564" t="s">
        <v>29</v>
      </c>
      <c r="F1564">
        <v>1385811</v>
      </c>
      <c r="G1564">
        <v>2</v>
      </c>
      <c r="H1564">
        <v>1</v>
      </c>
      <c r="I1564">
        <v>415</v>
      </c>
      <c r="J1564">
        <v>1988</v>
      </c>
      <c r="K1564" s="4">
        <v>44525</v>
      </c>
      <c r="L1564" t="s">
        <v>30</v>
      </c>
      <c r="M1564" t="s">
        <v>40</v>
      </c>
      <c r="N1564">
        <v>3.31</v>
      </c>
      <c r="O1564">
        <v>966</v>
      </c>
      <c r="P1564">
        <v>3.55</v>
      </c>
      <c r="Q1564">
        <v>236</v>
      </c>
      <c r="R1564">
        <v>437</v>
      </c>
    </row>
    <row r="1565" spans="1:18" x14ac:dyDescent="0.2">
      <c r="A1565">
        <v>8</v>
      </c>
      <c r="B1565" t="s">
        <v>43</v>
      </c>
      <c r="C1565" t="str">
        <f>VLOOKUP(B1565, 'Council Area'!$A$2:$B$51, 2)</f>
        <v>Sutherland Shire Council</v>
      </c>
      <c r="D1565" t="str">
        <f>_xlfn.XLOOKUP(B1565, 'Council Area'!$A$2:$A$51, 'Council Area'!$B$2:$B$51)</f>
        <v>Sutherland Shire Council</v>
      </c>
      <c r="E1565" t="s">
        <v>36</v>
      </c>
      <c r="F1565">
        <v>2187034</v>
      </c>
      <c r="G1565">
        <v>2</v>
      </c>
      <c r="H1565">
        <v>1</v>
      </c>
      <c r="I1565">
        <v>703</v>
      </c>
      <c r="J1565">
        <v>1965</v>
      </c>
      <c r="K1565" s="4">
        <v>44526</v>
      </c>
      <c r="L1565" t="s">
        <v>23</v>
      </c>
      <c r="M1565" t="s">
        <v>31</v>
      </c>
      <c r="N1565">
        <v>2.5499999999999998</v>
      </c>
      <c r="O1565">
        <v>1042</v>
      </c>
      <c r="P1565">
        <v>0.55000000000000004</v>
      </c>
      <c r="Q1565">
        <v>235</v>
      </c>
      <c r="R1565">
        <v>463</v>
      </c>
    </row>
    <row r="1566" spans="1:18" hidden="1" x14ac:dyDescent="0.2">
      <c r="A1566">
        <v>2</v>
      </c>
      <c r="B1566" t="s">
        <v>105</v>
      </c>
      <c r="E1566" t="s">
        <v>36</v>
      </c>
      <c r="F1566">
        <v>1394981</v>
      </c>
      <c r="G1566">
        <v>4</v>
      </c>
      <c r="H1566">
        <v>3</v>
      </c>
      <c r="I1566">
        <v>948</v>
      </c>
      <c r="J1566">
        <v>1977</v>
      </c>
      <c r="K1566" s="4">
        <v>45515</v>
      </c>
      <c r="L1566" t="s">
        <v>20</v>
      </c>
      <c r="M1566" t="s">
        <v>89</v>
      </c>
      <c r="N1566">
        <v>3.32</v>
      </c>
      <c r="O1566">
        <v>834</v>
      </c>
      <c r="P1566">
        <v>3.88</v>
      </c>
      <c r="Q1566">
        <v>219</v>
      </c>
      <c r="R1566">
        <v>346</v>
      </c>
    </row>
    <row r="1567" spans="1:18" x14ac:dyDescent="0.2">
      <c r="A1567">
        <v>8</v>
      </c>
      <c r="B1567" t="s">
        <v>93</v>
      </c>
      <c r="C1567" t="str">
        <f>VLOOKUP(B1567, 'Council Area'!$A$2:$B$51, 2)</f>
        <v>Blacktown City Council</v>
      </c>
      <c r="D1567" t="str">
        <f>_xlfn.XLOOKUP(B1567, 'Council Area'!$A$2:$A$51, 'Council Area'!$B$2:$B$51)</f>
        <v>Blacktown City Council</v>
      </c>
      <c r="E1567" t="s">
        <v>29</v>
      </c>
      <c r="F1567">
        <v>2432390</v>
      </c>
      <c r="G1567">
        <v>5</v>
      </c>
      <c r="H1567">
        <v>1</v>
      </c>
      <c r="I1567">
        <v>781</v>
      </c>
      <c r="J1567">
        <v>2012</v>
      </c>
      <c r="K1567" s="4">
        <v>45886</v>
      </c>
      <c r="L1567" t="s">
        <v>30</v>
      </c>
      <c r="M1567" t="s">
        <v>24</v>
      </c>
      <c r="N1567">
        <v>3.45</v>
      </c>
      <c r="O1567">
        <v>1069</v>
      </c>
      <c r="P1567">
        <v>0.87</v>
      </c>
      <c r="Q1567">
        <v>336</v>
      </c>
      <c r="R1567">
        <v>335</v>
      </c>
    </row>
    <row r="1568" spans="1:18" hidden="1" x14ac:dyDescent="0.2">
      <c r="A1568">
        <v>7</v>
      </c>
      <c r="B1568" t="s">
        <v>39</v>
      </c>
      <c r="E1568" t="s">
        <v>29</v>
      </c>
      <c r="F1568">
        <v>2881669</v>
      </c>
      <c r="G1568">
        <v>6</v>
      </c>
      <c r="H1568">
        <v>1</v>
      </c>
      <c r="I1568">
        <v>831</v>
      </c>
      <c r="J1568">
        <v>1981</v>
      </c>
      <c r="K1568" s="4">
        <v>44598</v>
      </c>
      <c r="L1568" t="s">
        <v>23</v>
      </c>
      <c r="M1568" t="s">
        <v>82</v>
      </c>
      <c r="N1568">
        <v>3.1</v>
      </c>
      <c r="O1568">
        <v>1786</v>
      </c>
      <c r="P1568">
        <v>0.43</v>
      </c>
      <c r="Q1568">
        <v>368</v>
      </c>
      <c r="R1568">
        <v>639</v>
      </c>
    </row>
    <row r="1569" spans="1:18" hidden="1" x14ac:dyDescent="0.2">
      <c r="A1569">
        <v>5</v>
      </c>
      <c r="B1569" t="s">
        <v>72</v>
      </c>
      <c r="E1569" t="s">
        <v>51</v>
      </c>
      <c r="F1569">
        <v>2558044</v>
      </c>
      <c r="G1569">
        <v>2</v>
      </c>
      <c r="H1569">
        <v>2</v>
      </c>
      <c r="I1569">
        <v>185</v>
      </c>
      <c r="J1569">
        <v>1967</v>
      </c>
      <c r="K1569" s="4">
        <v>45133</v>
      </c>
      <c r="L1569" t="s">
        <v>26</v>
      </c>
      <c r="M1569" t="s">
        <v>60</v>
      </c>
      <c r="N1569">
        <v>3.22</v>
      </c>
      <c r="O1569">
        <v>1367</v>
      </c>
      <c r="P1569">
        <v>1.87</v>
      </c>
      <c r="Q1569">
        <v>145</v>
      </c>
      <c r="R1569">
        <v>415</v>
      </c>
    </row>
    <row r="1570" spans="1:18" hidden="1" x14ac:dyDescent="0.2">
      <c r="A1570">
        <v>3</v>
      </c>
      <c r="B1570" t="s">
        <v>25</v>
      </c>
      <c r="E1570" t="s">
        <v>36</v>
      </c>
      <c r="F1570">
        <v>2295703</v>
      </c>
      <c r="G1570">
        <v>5</v>
      </c>
      <c r="H1570">
        <v>3</v>
      </c>
      <c r="I1570">
        <v>498</v>
      </c>
      <c r="J1570">
        <v>1971</v>
      </c>
      <c r="K1570" s="4">
        <v>44202</v>
      </c>
      <c r="L1570" t="s">
        <v>20</v>
      </c>
      <c r="M1570" t="s">
        <v>47</v>
      </c>
      <c r="N1570">
        <v>1.69</v>
      </c>
      <c r="O1570">
        <v>1030</v>
      </c>
      <c r="P1570">
        <v>3.67</v>
      </c>
      <c r="Q1570">
        <v>258</v>
      </c>
      <c r="R1570">
        <v>502</v>
      </c>
    </row>
    <row r="1571" spans="1:18" x14ac:dyDescent="0.2">
      <c r="A1571">
        <v>8</v>
      </c>
      <c r="B1571" t="s">
        <v>38</v>
      </c>
      <c r="C1571" t="str">
        <f>VLOOKUP(B1571, 'Council Area'!$A$2:$B$51, 2)</f>
        <v>Sutherland Shire Council</v>
      </c>
      <c r="D1571" t="str">
        <f>_xlfn.XLOOKUP(B1571, 'Council Area'!$A$2:$A$51, 'Council Area'!$B$2:$B$51)</f>
        <v>Sutherland Shire Council</v>
      </c>
      <c r="E1571" t="s">
        <v>19</v>
      </c>
      <c r="F1571">
        <v>1041941</v>
      </c>
      <c r="G1571">
        <v>0</v>
      </c>
      <c r="H1571">
        <v>3</v>
      </c>
      <c r="I1571">
        <v>459</v>
      </c>
      <c r="J1571">
        <v>2006</v>
      </c>
      <c r="K1571" s="4">
        <v>45093</v>
      </c>
      <c r="L1571" t="s">
        <v>20</v>
      </c>
      <c r="M1571" t="s">
        <v>66</v>
      </c>
      <c r="N1571">
        <v>2.34</v>
      </c>
      <c r="O1571">
        <v>853</v>
      </c>
      <c r="P1571">
        <v>2.83</v>
      </c>
      <c r="Q1571">
        <v>66</v>
      </c>
      <c r="R1571">
        <v>594</v>
      </c>
    </row>
    <row r="1572" spans="1:18" hidden="1" x14ac:dyDescent="0.2">
      <c r="A1572">
        <v>6</v>
      </c>
      <c r="B1572" t="s">
        <v>81</v>
      </c>
      <c r="E1572" t="s">
        <v>19</v>
      </c>
      <c r="F1572">
        <v>2551388</v>
      </c>
      <c r="G1572">
        <v>3</v>
      </c>
      <c r="H1572">
        <v>2</v>
      </c>
      <c r="I1572">
        <v>970</v>
      </c>
      <c r="J1572">
        <v>1958</v>
      </c>
      <c r="K1572" s="4">
        <v>44887</v>
      </c>
      <c r="L1572" t="s">
        <v>20</v>
      </c>
      <c r="M1572" t="s">
        <v>69</v>
      </c>
      <c r="N1572">
        <v>2.97</v>
      </c>
      <c r="O1572">
        <v>2011</v>
      </c>
      <c r="P1572">
        <v>4.59</v>
      </c>
      <c r="Q1572">
        <v>132</v>
      </c>
      <c r="R1572">
        <v>369</v>
      </c>
    </row>
    <row r="1573" spans="1:18" hidden="1" x14ac:dyDescent="0.2">
      <c r="A1573">
        <v>9</v>
      </c>
      <c r="B1573" t="s">
        <v>96</v>
      </c>
      <c r="E1573" t="s">
        <v>29</v>
      </c>
      <c r="F1573">
        <v>633599</v>
      </c>
      <c r="G1573">
        <v>3</v>
      </c>
      <c r="H1573">
        <v>1</v>
      </c>
      <c r="I1573">
        <v>447</v>
      </c>
      <c r="J1573">
        <v>1981</v>
      </c>
      <c r="K1573" s="4">
        <v>44917</v>
      </c>
      <c r="L1573" t="s">
        <v>20</v>
      </c>
      <c r="M1573" t="s">
        <v>66</v>
      </c>
      <c r="N1573">
        <v>1.56</v>
      </c>
      <c r="O1573">
        <v>1464</v>
      </c>
      <c r="P1573">
        <v>2.17</v>
      </c>
      <c r="Q1573">
        <v>306</v>
      </c>
      <c r="R1573">
        <v>599</v>
      </c>
    </row>
    <row r="1574" spans="1:18" hidden="1" x14ac:dyDescent="0.2">
      <c r="A1574">
        <v>3</v>
      </c>
      <c r="B1574" t="s">
        <v>61</v>
      </c>
      <c r="E1574" t="s">
        <v>29</v>
      </c>
      <c r="F1574">
        <v>1347656</v>
      </c>
      <c r="G1574">
        <v>1</v>
      </c>
      <c r="H1574">
        <v>2</v>
      </c>
      <c r="I1574">
        <v>156</v>
      </c>
      <c r="J1574">
        <v>2002</v>
      </c>
      <c r="K1574" s="4">
        <v>44648</v>
      </c>
      <c r="L1574" t="s">
        <v>30</v>
      </c>
      <c r="M1574" t="s">
        <v>68</v>
      </c>
      <c r="N1574">
        <v>3.47</v>
      </c>
      <c r="O1574">
        <v>2096</v>
      </c>
      <c r="P1574">
        <v>2.92</v>
      </c>
      <c r="Q1574">
        <v>135</v>
      </c>
      <c r="R1574">
        <v>321</v>
      </c>
    </row>
    <row r="1575" spans="1:18" hidden="1" x14ac:dyDescent="0.2">
      <c r="A1575">
        <v>9</v>
      </c>
      <c r="B1575" t="s">
        <v>32</v>
      </c>
      <c r="E1575" t="s">
        <v>51</v>
      </c>
      <c r="F1575">
        <v>1350104</v>
      </c>
      <c r="G1575">
        <v>2</v>
      </c>
      <c r="H1575">
        <v>2</v>
      </c>
      <c r="I1575">
        <v>688</v>
      </c>
      <c r="J1575">
        <v>1990</v>
      </c>
      <c r="K1575" s="4">
        <v>45233</v>
      </c>
      <c r="L1575" t="s">
        <v>26</v>
      </c>
      <c r="M1575" t="s">
        <v>31</v>
      </c>
      <c r="N1575">
        <v>2.93</v>
      </c>
      <c r="O1575">
        <v>1841</v>
      </c>
      <c r="P1575">
        <v>4.2300000000000004</v>
      </c>
      <c r="Q1575">
        <v>238</v>
      </c>
      <c r="R1575">
        <v>458</v>
      </c>
    </row>
    <row r="1576" spans="1:18" hidden="1" x14ac:dyDescent="0.2">
      <c r="A1576">
        <v>3</v>
      </c>
      <c r="B1576" t="s">
        <v>73</v>
      </c>
      <c r="E1576" t="s">
        <v>51</v>
      </c>
      <c r="F1576">
        <v>2689408</v>
      </c>
      <c r="G1576">
        <v>4</v>
      </c>
      <c r="H1576">
        <v>2</v>
      </c>
      <c r="I1576">
        <v>247</v>
      </c>
      <c r="J1576">
        <v>1996</v>
      </c>
      <c r="K1576" s="4">
        <v>44550</v>
      </c>
      <c r="L1576" t="s">
        <v>20</v>
      </c>
      <c r="M1576" t="s">
        <v>56</v>
      </c>
      <c r="N1576">
        <v>2.14</v>
      </c>
      <c r="O1576">
        <v>1635</v>
      </c>
      <c r="P1576">
        <v>2.27</v>
      </c>
      <c r="Q1576">
        <v>235</v>
      </c>
      <c r="R1576">
        <v>392</v>
      </c>
    </row>
    <row r="1577" spans="1:18" hidden="1" x14ac:dyDescent="0.2">
      <c r="A1577">
        <v>4</v>
      </c>
      <c r="B1577" t="s">
        <v>46</v>
      </c>
      <c r="E1577" t="s">
        <v>36</v>
      </c>
      <c r="F1577">
        <v>2049505</v>
      </c>
      <c r="G1577">
        <v>0</v>
      </c>
      <c r="H1577">
        <v>1</v>
      </c>
      <c r="I1577">
        <v>483</v>
      </c>
      <c r="J1577">
        <v>2022</v>
      </c>
      <c r="K1577" s="4">
        <v>44824</v>
      </c>
      <c r="L1577" t="s">
        <v>23</v>
      </c>
      <c r="M1577" t="s">
        <v>97</v>
      </c>
      <c r="N1577">
        <v>2.56</v>
      </c>
      <c r="O1577">
        <v>2329</v>
      </c>
      <c r="P1577">
        <v>3.91</v>
      </c>
      <c r="Q1577">
        <v>61</v>
      </c>
      <c r="R1577">
        <v>650</v>
      </c>
    </row>
    <row r="1578" spans="1:18" hidden="1" x14ac:dyDescent="0.2">
      <c r="A1578">
        <v>5</v>
      </c>
      <c r="B1578" t="s">
        <v>106</v>
      </c>
      <c r="E1578" t="s">
        <v>19</v>
      </c>
      <c r="F1578">
        <v>2006805</v>
      </c>
      <c r="G1578">
        <v>2</v>
      </c>
      <c r="H1578">
        <v>2</v>
      </c>
      <c r="I1578">
        <v>651</v>
      </c>
      <c r="J1578">
        <v>1955</v>
      </c>
      <c r="K1578" s="4">
        <v>44313</v>
      </c>
      <c r="L1578" t="s">
        <v>30</v>
      </c>
      <c r="M1578" t="s">
        <v>54</v>
      </c>
      <c r="N1578">
        <v>2.54</v>
      </c>
      <c r="O1578">
        <v>2464</v>
      </c>
      <c r="P1578">
        <v>2.35</v>
      </c>
      <c r="Q1578">
        <v>197</v>
      </c>
      <c r="R1578">
        <v>341</v>
      </c>
    </row>
    <row r="1579" spans="1:18" x14ac:dyDescent="0.2">
      <c r="A1579">
        <v>8</v>
      </c>
      <c r="B1579" t="s">
        <v>44</v>
      </c>
      <c r="C1579" t="str">
        <f>VLOOKUP(B1579, 'Council Area'!$A$2:$B$51, 2)</f>
        <v>Inner West Council</v>
      </c>
      <c r="D1579" t="str">
        <f>_xlfn.XLOOKUP(B1579, 'Council Area'!$A$2:$A$51, 'Council Area'!$B$2:$B$51)</f>
        <v>Inner West Council</v>
      </c>
      <c r="E1579" t="s">
        <v>51</v>
      </c>
      <c r="F1579">
        <v>2121859</v>
      </c>
      <c r="G1579">
        <v>5</v>
      </c>
      <c r="H1579">
        <v>3</v>
      </c>
      <c r="I1579">
        <v>530</v>
      </c>
      <c r="J1579">
        <v>1961</v>
      </c>
      <c r="K1579" s="4">
        <v>45681</v>
      </c>
      <c r="L1579" t="s">
        <v>23</v>
      </c>
      <c r="M1579" t="s">
        <v>77</v>
      </c>
      <c r="N1579">
        <v>2.04</v>
      </c>
      <c r="O1579">
        <v>2238</v>
      </c>
      <c r="P1579">
        <v>2.71</v>
      </c>
      <c r="Q1579">
        <v>394</v>
      </c>
      <c r="R1579">
        <v>370</v>
      </c>
    </row>
    <row r="1580" spans="1:18" hidden="1" x14ac:dyDescent="0.2">
      <c r="A1580">
        <v>2</v>
      </c>
      <c r="B1580" t="s">
        <v>87</v>
      </c>
      <c r="E1580" t="s">
        <v>36</v>
      </c>
      <c r="F1580">
        <v>2288835</v>
      </c>
      <c r="G1580">
        <v>1</v>
      </c>
      <c r="H1580">
        <v>1</v>
      </c>
      <c r="I1580">
        <v>842</v>
      </c>
      <c r="J1580">
        <v>2005</v>
      </c>
      <c r="K1580" s="4">
        <v>44534</v>
      </c>
      <c r="L1580" t="s">
        <v>23</v>
      </c>
      <c r="M1580" t="s">
        <v>78</v>
      </c>
      <c r="N1580">
        <v>2.57</v>
      </c>
      <c r="O1580">
        <v>1300</v>
      </c>
      <c r="P1580">
        <v>3.57</v>
      </c>
      <c r="Q1580">
        <v>56</v>
      </c>
      <c r="R1580">
        <v>511</v>
      </c>
    </row>
    <row r="1581" spans="1:18" hidden="1" x14ac:dyDescent="0.2">
      <c r="A1581">
        <v>6</v>
      </c>
      <c r="B1581" t="s">
        <v>34</v>
      </c>
      <c r="E1581" t="s">
        <v>19</v>
      </c>
      <c r="F1581">
        <v>2962904</v>
      </c>
      <c r="G1581">
        <v>-2</v>
      </c>
      <c r="H1581">
        <v>2</v>
      </c>
      <c r="I1581">
        <v>880</v>
      </c>
      <c r="J1581">
        <v>1958</v>
      </c>
      <c r="K1581" s="4">
        <v>44334</v>
      </c>
      <c r="L1581" t="s">
        <v>30</v>
      </c>
      <c r="M1581" t="s">
        <v>27</v>
      </c>
      <c r="N1581">
        <v>2.27</v>
      </c>
      <c r="O1581">
        <v>1021</v>
      </c>
      <c r="P1581">
        <v>0.23</v>
      </c>
      <c r="Q1581">
        <v>101</v>
      </c>
      <c r="R1581">
        <v>595</v>
      </c>
    </row>
    <row r="1582" spans="1:18" hidden="1" x14ac:dyDescent="0.2">
      <c r="A1582">
        <v>4</v>
      </c>
      <c r="B1582" t="s">
        <v>100</v>
      </c>
      <c r="E1582" t="s">
        <v>36</v>
      </c>
      <c r="F1582">
        <v>2407365</v>
      </c>
      <c r="G1582">
        <v>5</v>
      </c>
      <c r="H1582">
        <v>3</v>
      </c>
      <c r="I1582">
        <v>110</v>
      </c>
      <c r="J1582">
        <v>1974</v>
      </c>
      <c r="K1582" s="4">
        <v>45214</v>
      </c>
      <c r="L1582" t="s">
        <v>20</v>
      </c>
      <c r="M1582" t="s">
        <v>24</v>
      </c>
      <c r="N1582">
        <v>2.44</v>
      </c>
      <c r="O1582">
        <v>1902</v>
      </c>
      <c r="P1582">
        <v>2.0299999999999998</v>
      </c>
      <c r="Q1582">
        <v>341</v>
      </c>
      <c r="R1582">
        <v>497</v>
      </c>
    </row>
    <row r="1583" spans="1:18" hidden="1" x14ac:dyDescent="0.2">
      <c r="A1583">
        <v>1</v>
      </c>
      <c r="B1583" t="s">
        <v>48</v>
      </c>
      <c r="E1583" t="s">
        <v>51</v>
      </c>
      <c r="F1583">
        <v>608858</v>
      </c>
      <c r="G1583">
        <v>3</v>
      </c>
      <c r="H1583">
        <v>2</v>
      </c>
      <c r="I1583">
        <v>506</v>
      </c>
      <c r="J1583">
        <v>1981</v>
      </c>
      <c r="K1583" s="4">
        <v>44919</v>
      </c>
      <c r="L1583" t="s">
        <v>26</v>
      </c>
      <c r="M1583" t="s">
        <v>12</v>
      </c>
      <c r="N1583">
        <v>2.5499999999999998</v>
      </c>
      <c r="O1583">
        <v>1805</v>
      </c>
      <c r="P1583">
        <v>0.35</v>
      </c>
      <c r="Q1583">
        <v>204</v>
      </c>
      <c r="R1583">
        <v>561</v>
      </c>
    </row>
    <row r="1584" spans="1:18" hidden="1" x14ac:dyDescent="0.2">
      <c r="A1584">
        <v>9</v>
      </c>
      <c r="B1584" t="s">
        <v>38</v>
      </c>
      <c r="E1584" t="s">
        <v>29</v>
      </c>
      <c r="F1584">
        <v>629961</v>
      </c>
      <c r="G1584">
        <v>5</v>
      </c>
      <c r="H1584">
        <v>3</v>
      </c>
      <c r="I1584">
        <v>952</v>
      </c>
      <c r="J1584">
        <v>1959</v>
      </c>
      <c r="K1584" s="4">
        <v>45157</v>
      </c>
      <c r="L1584" t="s">
        <v>26</v>
      </c>
      <c r="M1584" t="s">
        <v>45</v>
      </c>
      <c r="N1584">
        <v>1.83</v>
      </c>
      <c r="O1584">
        <v>1618</v>
      </c>
      <c r="P1584">
        <v>2.5099999999999998</v>
      </c>
      <c r="Q1584">
        <v>356</v>
      </c>
      <c r="R1584">
        <v>323</v>
      </c>
    </row>
    <row r="1585" spans="1:18" x14ac:dyDescent="0.2">
      <c r="A1585">
        <v>8</v>
      </c>
      <c r="B1585" t="s">
        <v>64</v>
      </c>
      <c r="C1585" t="str">
        <f>VLOOKUP(B1585, 'Council Area'!$A$2:$B$51, 2)</f>
        <v>Canterbury-Bankstown Council</v>
      </c>
      <c r="D1585" t="str">
        <f>_xlfn.XLOOKUP(B1585, 'Council Area'!$A$2:$A$51, 'Council Area'!$B$2:$B$51)</f>
        <v>Canterbury-Bankstown Council</v>
      </c>
      <c r="E1585" t="s">
        <v>51</v>
      </c>
      <c r="F1585">
        <v>1777008</v>
      </c>
      <c r="G1585">
        <v>6</v>
      </c>
      <c r="H1585">
        <v>2</v>
      </c>
      <c r="I1585">
        <v>499</v>
      </c>
      <c r="J1585">
        <v>1974</v>
      </c>
      <c r="K1585" s="4">
        <v>45852</v>
      </c>
      <c r="L1585" t="s">
        <v>23</v>
      </c>
      <c r="M1585" t="s">
        <v>59</v>
      </c>
      <c r="N1585">
        <v>2.83</v>
      </c>
      <c r="O1585">
        <v>1071</v>
      </c>
      <c r="P1585">
        <v>3.72</v>
      </c>
      <c r="Q1585">
        <v>335</v>
      </c>
      <c r="R1585">
        <v>620</v>
      </c>
    </row>
    <row r="1586" spans="1:18" hidden="1" x14ac:dyDescent="0.2">
      <c r="A1586">
        <v>6</v>
      </c>
      <c r="B1586" t="s">
        <v>88</v>
      </c>
      <c r="E1586" t="s">
        <v>36</v>
      </c>
      <c r="F1586">
        <v>1618957</v>
      </c>
      <c r="G1586">
        <v>5</v>
      </c>
      <c r="H1586">
        <v>1</v>
      </c>
      <c r="I1586">
        <v>986</v>
      </c>
      <c r="J1586">
        <v>1977</v>
      </c>
      <c r="K1586" s="4">
        <v>45018</v>
      </c>
      <c r="L1586" t="s">
        <v>23</v>
      </c>
      <c r="M1586" t="s">
        <v>33</v>
      </c>
      <c r="N1586">
        <v>1.87</v>
      </c>
      <c r="O1586">
        <v>2236</v>
      </c>
      <c r="P1586">
        <v>1.01</v>
      </c>
      <c r="Q1586">
        <v>266</v>
      </c>
      <c r="R1586">
        <v>319</v>
      </c>
    </row>
    <row r="1587" spans="1:18" hidden="1" x14ac:dyDescent="0.2">
      <c r="A1587">
        <v>1</v>
      </c>
      <c r="B1587" t="s">
        <v>55</v>
      </c>
      <c r="E1587" t="s">
        <v>29</v>
      </c>
      <c r="F1587">
        <v>2010995</v>
      </c>
      <c r="G1587">
        <v>5</v>
      </c>
      <c r="H1587">
        <v>2</v>
      </c>
      <c r="I1587">
        <v>671</v>
      </c>
      <c r="J1587">
        <v>1985</v>
      </c>
      <c r="K1587" s="4">
        <v>44948</v>
      </c>
      <c r="L1587" t="s">
        <v>26</v>
      </c>
      <c r="M1587" t="s">
        <v>45</v>
      </c>
      <c r="N1587">
        <v>3.16</v>
      </c>
      <c r="O1587">
        <v>2404</v>
      </c>
      <c r="P1587">
        <v>1.05</v>
      </c>
      <c r="Q1587">
        <v>371</v>
      </c>
      <c r="R1587">
        <v>540</v>
      </c>
    </row>
    <row r="1588" spans="1:18" hidden="1" x14ac:dyDescent="0.2">
      <c r="A1588">
        <v>4</v>
      </c>
      <c r="B1588" t="s">
        <v>99</v>
      </c>
      <c r="E1588" t="s">
        <v>29</v>
      </c>
      <c r="F1588">
        <v>2123500</v>
      </c>
      <c r="G1588">
        <v>3</v>
      </c>
      <c r="H1588">
        <v>3</v>
      </c>
      <c r="I1588">
        <v>63</v>
      </c>
      <c r="J1588">
        <v>1959</v>
      </c>
      <c r="K1588" s="4">
        <v>45540</v>
      </c>
      <c r="L1588" t="s">
        <v>30</v>
      </c>
      <c r="M1588" t="s">
        <v>60</v>
      </c>
      <c r="N1588">
        <v>2.75</v>
      </c>
      <c r="O1588">
        <v>2392</v>
      </c>
      <c r="P1588">
        <v>4.21</v>
      </c>
      <c r="Q1588">
        <v>199</v>
      </c>
      <c r="R1588">
        <v>628</v>
      </c>
    </row>
    <row r="1589" spans="1:18" hidden="1" x14ac:dyDescent="0.2">
      <c r="A1589">
        <v>1</v>
      </c>
      <c r="B1589" t="s">
        <v>96</v>
      </c>
      <c r="E1589" t="s">
        <v>51</v>
      </c>
      <c r="F1589">
        <v>2692555</v>
      </c>
      <c r="G1589">
        <v>4</v>
      </c>
      <c r="H1589">
        <v>1</v>
      </c>
      <c r="I1589">
        <v>883</v>
      </c>
      <c r="J1589">
        <v>1962</v>
      </c>
      <c r="K1589" s="4">
        <v>45211</v>
      </c>
      <c r="L1589" t="s">
        <v>20</v>
      </c>
      <c r="M1589" t="s">
        <v>70</v>
      </c>
      <c r="N1589">
        <v>2.21</v>
      </c>
      <c r="O1589">
        <v>1614</v>
      </c>
      <c r="P1589">
        <v>1.27</v>
      </c>
      <c r="Q1589">
        <v>396</v>
      </c>
      <c r="R1589">
        <v>383</v>
      </c>
    </row>
    <row r="1590" spans="1:18" x14ac:dyDescent="0.2">
      <c r="A1590">
        <v>8</v>
      </c>
      <c r="B1590" t="s">
        <v>28</v>
      </c>
      <c r="C1590" t="str">
        <f>VLOOKUP(B1590, 'Council Area'!$A$2:$B$51, 2)</f>
        <v>City of Sydney</v>
      </c>
      <c r="D1590" t="str">
        <f>_xlfn.XLOOKUP(B1590, 'Council Area'!$A$2:$A$51, 'Council Area'!$B$2:$B$51)</f>
        <v>City of Sydney</v>
      </c>
      <c r="E1590" t="s">
        <v>51</v>
      </c>
      <c r="F1590">
        <v>1682397</v>
      </c>
      <c r="G1590">
        <v>4</v>
      </c>
      <c r="H1590">
        <v>2</v>
      </c>
      <c r="I1590">
        <v>451</v>
      </c>
      <c r="J1590">
        <v>2001</v>
      </c>
      <c r="K1590" s="4">
        <v>45823</v>
      </c>
      <c r="L1590" t="s">
        <v>20</v>
      </c>
      <c r="M1590" t="s">
        <v>27</v>
      </c>
      <c r="N1590">
        <v>2.42</v>
      </c>
      <c r="O1590">
        <v>1621</v>
      </c>
      <c r="P1590">
        <v>2.6</v>
      </c>
      <c r="Q1590">
        <v>240</v>
      </c>
      <c r="R1590">
        <v>454</v>
      </c>
    </row>
    <row r="1591" spans="1:18" hidden="1" x14ac:dyDescent="0.2">
      <c r="A1591">
        <v>3</v>
      </c>
      <c r="B1591" t="s">
        <v>92</v>
      </c>
      <c r="E1591" t="s">
        <v>36</v>
      </c>
      <c r="F1591">
        <v>1230709</v>
      </c>
      <c r="G1591">
        <v>4</v>
      </c>
      <c r="H1591">
        <v>2</v>
      </c>
      <c r="I1591">
        <v>233</v>
      </c>
      <c r="J1591">
        <v>1966</v>
      </c>
      <c r="K1591" s="4">
        <v>45735</v>
      </c>
      <c r="L1591" t="s">
        <v>30</v>
      </c>
      <c r="M1591" t="s">
        <v>27</v>
      </c>
      <c r="N1591">
        <v>1.78</v>
      </c>
      <c r="O1591">
        <v>2098</v>
      </c>
      <c r="P1591">
        <v>2.9</v>
      </c>
      <c r="Q1591">
        <v>191</v>
      </c>
      <c r="R1591">
        <v>380</v>
      </c>
    </row>
    <row r="1592" spans="1:18" hidden="1" x14ac:dyDescent="0.2">
      <c r="A1592">
        <v>6</v>
      </c>
      <c r="B1592" t="s">
        <v>62</v>
      </c>
      <c r="E1592" t="s">
        <v>36</v>
      </c>
      <c r="F1592">
        <v>700887</v>
      </c>
      <c r="G1592">
        <v>4</v>
      </c>
      <c r="H1592">
        <v>2</v>
      </c>
      <c r="I1592">
        <v>649</v>
      </c>
      <c r="J1592">
        <v>1962</v>
      </c>
      <c r="K1592" s="4">
        <v>44158</v>
      </c>
      <c r="L1592" t="s">
        <v>23</v>
      </c>
      <c r="M1592" t="s">
        <v>33</v>
      </c>
      <c r="N1592">
        <v>3.24</v>
      </c>
      <c r="O1592">
        <v>2342</v>
      </c>
      <c r="P1592">
        <v>4.8</v>
      </c>
      <c r="Q1592">
        <v>192</v>
      </c>
      <c r="R1592">
        <v>674</v>
      </c>
    </row>
    <row r="1593" spans="1:18" hidden="1" x14ac:dyDescent="0.2">
      <c r="A1593">
        <v>4</v>
      </c>
      <c r="B1593" t="s">
        <v>95</v>
      </c>
      <c r="E1593" t="s">
        <v>19</v>
      </c>
      <c r="F1593">
        <v>487869</v>
      </c>
      <c r="G1593">
        <v>3</v>
      </c>
      <c r="H1593">
        <v>2</v>
      </c>
      <c r="I1593">
        <v>834</v>
      </c>
      <c r="J1593">
        <v>1997</v>
      </c>
      <c r="K1593" s="4">
        <v>44910</v>
      </c>
      <c r="L1593" t="s">
        <v>26</v>
      </c>
      <c r="M1593" t="s">
        <v>56</v>
      </c>
      <c r="N1593">
        <v>2.16</v>
      </c>
      <c r="O1593">
        <v>1162</v>
      </c>
      <c r="P1593">
        <v>1.42</v>
      </c>
      <c r="Q1593">
        <v>83</v>
      </c>
      <c r="R1593">
        <v>639</v>
      </c>
    </row>
    <row r="1594" spans="1:18" hidden="1" x14ac:dyDescent="0.2">
      <c r="A1594">
        <v>3</v>
      </c>
      <c r="B1594" t="s">
        <v>95</v>
      </c>
      <c r="E1594" t="s">
        <v>19</v>
      </c>
      <c r="F1594">
        <v>2963982</v>
      </c>
      <c r="G1594">
        <v>3</v>
      </c>
      <c r="H1594">
        <v>1</v>
      </c>
      <c r="I1594">
        <v>227</v>
      </c>
      <c r="J1594">
        <v>2003</v>
      </c>
      <c r="K1594" s="4">
        <v>44406</v>
      </c>
      <c r="L1594" t="s">
        <v>23</v>
      </c>
      <c r="M1594" t="s">
        <v>66</v>
      </c>
      <c r="N1594">
        <v>1.9</v>
      </c>
      <c r="O1594">
        <v>1525</v>
      </c>
      <c r="P1594">
        <v>0.55000000000000004</v>
      </c>
      <c r="Q1594">
        <v>285</v>
      </c>
      <c r="R1594">
        <v>640</v>
      </c>
    </row>
    <row r="1595" spans="1:18" hidden="1" x14ac:dyDescent="0.2">
      <c r="A1595">
        <v>9</v>
      </c>
      <c r="B1595" t="s">
        <v>73</v>
      </c>
      <c r="E1595" t="s">
        <v>36</v>
      </c>
      <c r="F1595">
        <v>2679545</v>
      </c>
      <c r="G1595">
        <v>1</v>
      </c>
      <c r="H1595">
        <v>1</v>
      </c>
      <c r="I1595">
        <v>606</v>
      </c>
      <c r="J1595">
        <v>2017</v>
      </c>
      <c r="K1595" s="4">
        <v>45217</v>
      </c>
      <c r="L1595" t="s">
        <v>20</v>
      </c>
      <c r="M1595" t="s">
        <v>42</v>
      </c>
      <c r="N1595">
        <v>3.42</v>
      </c>
      <c r="O1595">
        <v>2316</v>
      </c>
      <c r="P1595">
        <v>2.56</v>
      </c>
      <c r="Q1595">
        <v>132</v>
      </c>
      <c r="R1595">
        <v>487</v>
      </c>
    </row>
    <row r="1596" spans="1:18" hidden="1" x14ac:dyDescent="0.2">
      <c r="A1596">
        <v>5</v>
      </c>
      <c r="B1596" t="s">
        <v>83</v>
      </c>
      <c r="E1596" t="s">
        <v>19</v>
      </c>
      <c r="F1596">
        <v>2006863</v>
      </c>
      <c r="G1596">
        <v>2</v>
      </c>
      <c r="H1596">
        <v>3</v>
      </c>
      <c r="I1596">
        <v>758</v>
      </c>
      <c r="J1596">
        <v>1960</v>
      </c>
      <c r="K1596" s="4">
        <v>44994</v>
      </c>
      <c r="L1596" t="s">
        <v>23</v>
      </c>
      <c r="M1596" t="s">
        <v>77</v>
      </c>
      <c r="N1596">
        <v>3.07</v>
      </c>
      <c r="O1596">
        <v>1344</v>
      </c>
      <c r="P1596">
        <v>1.8</v>
      </c>
      <c r="Q1596">
        <v>158</v>
      </c>
      <c r="R1596">
        <v>633</v>
      </c>
    </row>
    <row r="1597" spans="1:18" hidden="1" x14ac:dyDescent="0.2">
      <c r="A1597">
        <v>2</v>
      </c>
      <c r="B1597" t="s">
        <v>18</v>
      </c>
      <c r="E1597" t="s">
        <v>36</v>
      </c>
      <c r="F1597">
        <v>863047</v>
      </c>
      <c r="G1597">
        <v>2</v>
      </c>
      <c r="H1597">
        <v>1</v>
      </c>
      <c r="I1597">
        <v>712</v>
      </c>
      <c r="J1597">
        <v>1995</v>
      </c>
      <c r="K1597" s="4">
        <v>44221</v>
      </c>
      <c r="L1597" t="s">
        <v>26</v>
      </c>
      <c r="M1597" t="s">
        <v>69</v>
      </c>
      <c r="N1597">
        <v>3.42</v>
      </c>
      <c r="O1597">
        <v>1679</v>
      </c>
      <c r="P1597">
        <v>3.49</v>
      </c>
      <c r="Q1597">
        <v>77</v>
      </c>
      <c r="R1597">
        <v>310</v>
      </c>
    </row>
    <row r="1598" spans="1:18" hidden="1" x14ac:dyDescent="0.2">
      <c r="A1598">
        <v>3</v>
      </c>
      <c r="B1598" t="s">
        <v>81</v>
      </c>
      <c r="E1598" t="s">
        <v>36</v>
      </c>
      <c r="F1598">
        <v>2825104</v>
      </c>
      <c r="G1598">
        <v>5</v>
      </c>
      <c r="H1598">
        <v>2</v>
      </c>
      <c r="I1598">
        <v>355</v>
      </c>
      <c r="J1598">
        <v>2026</v>
      </c>
      <c r="K1598" s="4">
        <v>44617</v>
      </c>
      <c r="L1598" t="s">
        <v>20</v>
      </c>
      <c r="M1598" t="s">
        <v>82</v>
      </c>
      <c r="N1598">
        <v>2.63</v>
      </c>
      <c r="O1598">
        <v>993</v>
      </c>
      <c r="P1598">
        <v>2.79</v>
      </c>
      <c r="Q1598">
        <v>290</v>
      </c>
      <c r="R1598">
        <v>666</v>
      </c>
    </row>
    <row r="1599" spans="1:18" hidden="1" x14ac:dyDescent="0.2">
      <c r="A1599">
        <v>1</v>
      </c>
      <c r="B1599" t="s">
        <v>72</v>
      </c>
      <c r="E1599" t="s">
        <v>36</v>
      </c>
      <c r="F1599">
        <v>1465455</v>
      </c>
      <c r="G1599">
        <v>3</v>
      </c>
      <c r="H1599">
        <v>1</v>
      </c>
      <c r="I1599">
        <v>852</v>
      </c>
      <c r="J1599">
        <v>1986</v>
      </c>
      <c r="K1599" s="4">
        <v>45702</v>
      </c>
      <c r="L1599" t="s">
        <v>30</v>
      </c>
      <c r="M1599" t="s">
        <v>68</v>
      </c>
      <c r="N1599">
        <v>3.44</v>
      </c>
      <c r="O1599">
        <v>1433</v>
      </c>
      <c r="P1599">
        <v>1.4</v>
      </c>
      <c r="Q1599">
        <v>294</v>
      </c>
      <c r="R1599">
        <v>430</v>
      </c>
    </row>
    <row r="1600" spans="1:18" hidden="1" x14ac:dyDescent="0.2">
      <c r="A1600">
        <v>0</v>
      </c>
      <c r="B1600" t="s">
        <v>104</v>
      </c>
      <c r="E1600" t="s">
        <v>29</v>
      </c>
      <c r="F1600">
        <v>1748586</v>
      </c>
      <c r="G1600">
        <v>4</v>
      </c>
      <c r="H1600">
        <v>2</v>
      </c>
      <c r="I1600">
        <v>399</v>
      </c>
      <c r="J1600">
        <v>1965</v>
      </c>
      <c r="K1600" s="4">
        <v>44897</v>
      </c>
      <c r="L1600" t="s">
        <v>26</v>
      </c>
      <c r="M1600" t="s">
        <v>63</v>
      </c>
      <c r="N1600">
        <v>2.4500000000000002</v>
      </c>
      <c r="O1600">
        <v>1586</v>
      </c>
      <c r="P1600">
        <v>3.75</v>
      </c>
      <c r="Q1600">
        <v>285</v>
      </c>
      <c r="R1600">
        <v>346</v>
      </c>
    </row>
    <row r="1601" spans="1:18" hidden="1" x14ac:dyDescent="0.2">
      <c r="A1601">
        <v>4</v>
      </c>
      <c r="B1601" t="s">
        <v>67</v>
      </c>
      <c r="E1601" t="s">
        <v>19</v>
      </c>
      <c r="F1601">
        <v>1084381</v>
      </c>
      <c r="G1601">
        <v>3</v>
      </c>
      <c r="H1601">
        <v>2</v>
      </c>
      <c r="I1601">
        <v>274</v>
      </c>
      <c r="J1601">
        <v>2008</v>
      </c>
      <c r="K1601" s="4">
        <v>45771</v>
      </c>
      <c r="L1601" t="s">
        <v>20</v>
      </c>
      <c r="M1601" t="s">
        <v>33</v>
      </c>
      <c r="N1601">
        <v>3</v>
      </c>
      <c r="O1601">
        <v>2376</v>
      </c>
      <c r="P1601">
        <v>1.55</v>
      </c>
      <c r="Q1601">
        <v>131</v>
      </c>
      <c r="R1601">
        <v>499</v>
      </c>
    </row>
    <row r="1602" spans="1:18" hidden="1" x14ac:dyDescent="0.2">
      <c r="A1602">
        <v>0</v>
      </c>
      <c r="B1602" t="s">
        <v>49</v>
      </c>
      <c r="E1602" t="s">
        <v>51</v>
      </c>
      <c r="F1602">
        <v>1241706</v>
      </c>
      <c r="G1602">
        <v>4</v>
      </c>
      <c r="H1602">
        <v>3</v>
      </c>
      <c r="I1602">
        <v>914</v>
      </c>
      <c r="J1602">
        <v>1959</v>
      </c>
      <c r="K1602" s="4">
        <v>45557</v>
      </c>
      <c r="L1602" t="s">
        <v>26</v>
      </c>
      <c r="M1602" t="s">
        <v>37</v>
      </c>
      <c r="N1602">
        <v>2.27</v>
      </c>
      <c r="O1602">
        <v>2181</v>
      </c>
      <c r="P1602">
        <v>4.55</v>
      </c>
      <c r="Q1602">
        <v>193</v>
      </c>
      <c r="R1602">
        <v>676</v>
      </c>
    </row>
    <row r="1603" spans="1:18" hidden="1" x14ac:dyDescent="0.2">
      <c r="A1603">
        <v>6</v>
      </c>
      <c r="B1603" t="s">
        <v>81</v>
      </c>
      <c r="E1603" t="s">
        <v>36</v>
      </c>
      <c r="F1603">
        <v>464475</v>
      </c>
      <c r="G1603">
        <v>5</v>
      </c>
      <c r="H1603">
        <v>1</v>
      </c>
      <c r="I1603">
        <v>816</v>
      </c>
      <c r="J1603">
        <v>2003</v>
      </c>
      <c r="K1603" s="4">
        <v>44914</v>
      </c>
      <c r="L1603" t="s">
        <v>20</v>
      </c>
      <c r="M1603" t="s">
        <v>89</v>
      </c>
      <c r="N1603">
        <v>2.1</v>
      </c>
      <c r="O1603">
        <v>2132</v>
      </c>
      <c r="P1603">
        <v>4.24</v>
      </c>
      <c r="Q1603">
        <v>298</v>
      </c>
      <c r="R1603">
        <v>440</v>
      </c>
    </row>
    <row r="1604" spans="1:18" hidden="1" x14ac:dyDescent="0.2">
      <c r="A1604">
        <v>4</v>
      </c>
      <c r="B1604" t="s">
        <v>34</v>
      </c>
      <c r="E1604" t="s">
        <v>19</v>
      </c>
      <c r="F1604">
        <v>1080741</v>
      </c>
      <c r="G1604">
        <v>6</v>
      </c>
      <c r="H1604">
        <v>2</v>
      </c>
      <c r="I1604">
        <v>495</v>
      </c>
      <c r="J1604">
        <v>1996</v>
      </c>
      <c r="K1604" s="4">
        <v>45359</v>
      </c>
      <c r="L1604" t="s">
        <v>20</v>
      </c>
      <c r="M1604" t="s">
        <v>59</v>
      </c>
      <c r="N1604">
        <v>2.4</v>
      </c>
      <c r="O1604">
        <v>1653</v>
      </c>
      <c r="P1604">
        <v>2.63</v>
      </c>
      <c r="Q1604">
        <v>397</v>
      </c>
      <c r="R1604">
        <v>334</v>
      </c>
    </row>
    <row r="1605" spans="1:18" hidden="1" x14ac:dyDescent="0.2">
      <c r="A1605">
        <v>4</v>
      </c>
      <c r="B1605" t="s">
        <v>83</v>
      </c>
      <c r="E1605" t="s">
        <v>19</v>
      </c>
      <c r="F1605">
        <v>2604427</v>
      </c>
      <c r="G1605">
        <v>2</v>
      </c>
      <c r="H1605">
        <v>3</v>
      </c>
      <c r="I1605">
        <v>222</v>
      </c>
      <c r="J1605">
        <v>1991</v>
      </c>
      <c r="K1605" s="4">
        <v>44737</v>
      </c>
      <c r="L1605" t="s">
        <v>26</v>
      </c>
      <c r="M1605" t="s">
        <v>31</v>
      </c>
      <c r="N1605">
        <v>1.95</v>
      </c>
      <c r="O1605">
        <v>1906</v>
      </c>
      <c r="P1605">
        <v>4.04</v>
      </c>
      <c r="Q1605">
        <v>163</v>
      </c>
      <c r="R1605">
        <v>355</v>
      </c>
    </row>
    <row r="1606" spans="1:18" hidden="1" x14ac:dyDescent="0.2">
      <c r="A1606">
        <v>2</v>
      </c>
      <c r="B1606" t="s">
        <v>32</v>
      </c>
      <c r="E1606" t="s">
        <v>19</v>
      </c>
      <c r="F1606">
        <v>944519</v>
      </c>
      <c r="G1606">
        <v>4</v>
      </c>
      <c r="H1606">
        <v>3</v>
      </c>
      <c r="I1606">
        <v>741</v>
      </c>
      <c r="J1606">
        <v>2004</v>
      </c>
      <c r="K1606" s="4">
        <v>45337</v>
      </c>
      <c r="L1606" t="s">
        <v>20</v>
      </c>
      <c r="M1606" t="s">
        <v>40</v>
      </c>
      <c r="N1606">
        <v>2</v>
      </c>
      <c r="O1606">
        <v>1048</v>
      </c>
      <c r="P1606">
        <v>2.98</v>
      </c>
      <c r="Q1606">
        <v>395</v>
      </c>
      <c r="R1606">
        <v>330</v>
      </c>
    </row>
    <row r="1607" spans="1:18" x14ac:dyDescent="0.2">
      <c r="A1607">
        <v>8</v>
      </c>
      <c r="B1607" t="s">
        <v>79</v>
      </c>
      <c r="C1607" t="str">
        <f>VLOOKUP(B1607, 'Council Area'!$A$2:$B$51, 2)</f>
        <v>Parramatta City Council</v>
      </c>
      <c r="D1607" t="str">
        <f>_xlfn.XLOOKUP(B1607, 'Council Area'!$A$2:$A$51, 'Council Area'!$B$2:$B$51)</f>
        <v>Parramatta City Council</v>
      </c>
      <c r="E1607" t="s">
        <v>51</v>
      </c>
      <c r="F1607">
        <v>1466220</v>
      </c>
      <c r="G1607">
        <v>2</v>
      </c>
      <c r="H1607">
        <v>3</v>
      </c>
      <c r="I1607">
        <v>323</v>
      </c>
      <c r="J1607">
        <v>1993</v>
      </c>
      <c r="K1607" s="4">
        <v>44624</v>
      </c>
      <c r="L1607" t="s">
        <v>23</v>
      </c>
      <c r="M1607" t="s">
        <v>69</v>
      </c>
      <c r="N1607">
        <v>1.56</v>
      </c>
      <c r="O1607">
        <v>1826</v>
      </c>
      <c r="P1607">
        <v>4.46</v>
      </c>
      <c r="Q1607">
        <v>44</v>
      </c>
      <c r="R1607">
        <v>309</v>
      </c>
    </row>
    <row r="1608" spans="1:18" hidden="1" x14ac:dyDescent="0.2">
      <c r="A1608">
        <v>3</v>
      </c>
      <c r="B1608" t="s">
        <v>49</v>
      </c>
      <c r="E1608" t="s">
        <v>36</v>
      </c>
      <c r="F1608">
        <v>2144249</v>
      </c>
      <c r="G1608">
        <v>3</v>
      </c>
      <c r="H1608">
        <v>1</v>
      </c>
      <c r="I1608">
        <v>109</v>
      </c>
      <c r="J1608">
        <v>2012</v>
      </c>
      <c r="K1608" s="4">
        <v>44439</v>
      </c>
      <c r="L1608" t="s">
        <v>20</v>
      </c>
      <c r="M1608" t="s">
        <v>69</v>
      </c>
      <c r="N1608">
        <v>2.0099999999999998</v>
      </c>
      <c r="O1608">
        <v>2398</v>
      </c>
      <c r="P1608">
        <v>3.55</v>
      </c>
      <c r="Q1608">
        <v>117</v>
      </c>
      <c r="R1608">
        <v>402</v>
      </c>
    </row>
    <row r="1609" spans="1:18" hidden="1" x14ac:dyDescent="0.2">
      <c r="A1609">
        <v>5</v>
      </c>
      <c r="B1609" t="s">
        <v>83</v>
      </c>
      <c r="E1609" t="s">
        <v>29</v>
      </c>
      <c r="F1609">
        <v>2169645</v>
      </c>
      <c r="G1609">
        <v>4</v>
      </c>
      <c r="H1609">
        <v>3</v>
      </c>
      <c r="I1609">
        <v>902</v>
      </c>
      <c r="J1609">
        <v>1973</v>
      </c>
      <c r="K1609" s="4">
        <v>44094</v>
      </c>
      <c r="L1609" t="s">
        <v>23</v>
      </c>
      <c r="M1609" t="s">
        <v>66</v>
      </c>
      <c r="N1609">
        <v>3.39</v>
      </c>
      <c r="O1609">
        <v>2327</v>
      </c>
      <c r="P1609">
        <v>0.1</v>
      </c>
      <c r="Q1609">
        <v>327</v>
      </c>
      <c r="R1609">
        <v>617</v>
      </c>
    </row>
    <row r="1610" spans="1:18" hidden="1" x14ac:dyDescent="0.2">
      <c r="A1610">
        <v>7</v>
      </c>
      <c r="B1610" t="s">
        <v>90</v>
      </c>
      <c r="E1610" t="s">
        <v>51</v>
      </c>
      <c r="F1610">
        <v>1593933</v>
      </c>
      <c r="G1610">
        <v>5</v>
      </c>
      <c r="H1610">
        <v>2</v>
      </c>
      <c r="I1610">
        <v>179</v>
      </c>
      <c r="J1610">
        <v>1978</v>
      </c>
      <c r="K1610" s="4">
        <v>45045</v>
      </c>
      <c r="L1610" t="s">
        <v>30</v>
      </c>
      <c r="M1610" t="s">
        <v>78</v>
      </c>
      <c r="N1610">
        <v>2.0499999999999998</v>
      </c>
      <c r="O1610">
        <v>1000</v>
      </c>
      <c r="P1610">
        <v>0.65</v>
      </c>
      <c r="Q1610">
        <v>324</v>
      </c>
      <c r="R1610">
        <v>489</v>
      </c>
    </row>
    <row r="1611" spans="1:18" hidden="1" x14ac:dyDescent="0.2">
      <c r="A1611">
        <v>5</v>
      </c>
      <c r="B1611" t="s">
        <v>98</v>
      </c>
      <c r="E1611" t="s">
        <v>29</v>
      </c>
      <c r="F1611">
        <v>679392</v>
      </c>
      <c r="G1611">
        <v>3</v>
      </c>
      <c r="H1611">
        <v>3</v>
      </c>
      <c r="I1611">
        <v>657</v>
      </c>
      <c r="J1611">
        <v>2015</v>
      </c>
      <c r="K1611" s="4">
        <v>45526</v>
      </c>
      <c r="L1611" t="s">
        <v>30</v>
      </c>
      <c r="M1611" t="s">
        <v>77</v>
      </c>
      <c r="N1611">
        <v>1.85</v>
      </c>
      <c r="O1611">
        <v>1177</v>
      </c>
      <c r="P1611">
        <v>1.17</v>
      </c>
      <c r="Q1611">
        <v>165</v>
      </c>
      <c r="R1611">
        <v>668</v>
      </c>
    </row>
    <row r="1612" spans="1:18" hidden="1" x14ac:dyDescent="0.2">
      <c r="A1612">
        <v>9</v>
      </c>
      <c r="B1612" t="s">
        <v>49</v>
      </c>
      <c r="E1612" t="s">
        <v>19</v>
      </c>
      <c r="F1612">
        <v>1847400</v>
      </c>
      <c r="G1612">
        <v>6</v>
      </c>
      <c r="H1612">
        <v>1</v>
      </c>
      <c r="I1612">
        <v>84</v>
      </c>
      <c r="J1612">
        <v>1957</v>
      </c>
      <c r="K1612" s="4">
        <v>44589</v>
      </c>
      <c r="L1612" t="s">
        <v>26</v>
      </c>
      <c r="M1612" t="s">
        <v>59</v>
      </c>
      <c r="N1612">
        <v>2.5499999999999998</v>
      </c>
      <c r="O1612">
        <v>919</v>
      </c>
      <c r="P1612">
        <v>0.72</v>
      </c>
      <c r="Q1612">
        <v>367</v>
      </c>
      <c r="R1612">
        <v>354</v>
      </c>
    </row>
    <row r="1613" spans="1:18" hidden="1" x14ac:dyDescent="0.2">
      <c r="A1613">
        <v>7</v>
      </c>
      <c r="B1613" t="s">
        <v>99</v>
      </c>
      <c r="E1613" t="s">
        <v>36</v>
      </c>
      <c r="F1613">
        <v>2995602</v>
      </c>
      <c r="G1613">
        <v>6</v>
      </c>
      <c r="H1613">
        <v>1</v>
      </c>
      <c r="I1613">
        <v>589</v>
      </c>
      <c r="J1613">
        <v>2018</v>
      </c>
      <c r="K1613" s="4">
        <v>45085</v>
      </c>
      <c r="L1613" t="s">
        <v>23</v>
      </c>
      <c r="M1613" t="s">
        <v>59</v>
      </c>
      <c r="N1613">
        <v>3.07</v>
      </c>
      <c r="O1613">
        <v>1242</v>
      </c>
      <c r="P1613">
        <v>1.78</v>
      </c>
      <c r="Q1613">
        <v>330</v>
      </c>
      <c r="R1613">
        <v>620</v>
      </c>
    </row>
    <row r="1614" spans="1:18" hidden="1" x14ac:dyDescent="0.2">
      <c r="A1614">
        <v>6</v>
      </c>
      <c r="B1614" t="s">
        <v>93</v>
      </c>
      <c r="E1614" t="s">
        <v>29</v>
      </c>
      <c r="F1614">
        <v>787062</v>
      </c>
      <c r="G1614">
        <v>3</v>
      </c>
      <c r="H1614">
        <v>3</v>
      </c>
      <c r="I1614">
        <v>102</v>
      </c>
      <c r="J1614">
        <v>1977</v>
      </c>
      <c r="K1614" s="4">
        <v>45115</v>
      </c>
      <c r="L1614" t="s">
        <v>30</v>
      </c>
      <c r="M1614" t="s">
        <v>70</v>
      </c>
      <c r="N1614">
        <v>1.63</v>
      </c>
      <c r="O1614">
        <v>1265</v>
      </c>
      <c r="P1614">
        <v>0.28000000000000003</v>
      </c>
      <c r="Q1614">
        <v>260</v>
      </c>
      <c r="R1614">
        <v>613</v>
      </c>
    </row>
    <row r="1615" spans="1:18" hidden="1" x14ac:dyDescent="0.2">
      <c r="A1615">
        <v>1</v>
      </c>
      <c r="B1615" t="s">
        <v>43</v>
      </c>
      <c r="E1615" t="s">
        <v>29</v>
      </c>
      <c r="F1615">
        <v>2248872</v>
      </c>
      <c r="G1615">
        <v>5</v>
      </c>
      <c r="H1615">
        <v>2</v>
      </c>
      <c r="I1615">
        <v>886</v>
      </c>
      <c r="J1615">
        <v>2009</v>
      </c>
      <c r="K1615" s="4">
        <v>44166</v>
      </c>
      <c r="L1615" t="s">
        <v>26</v>
      </c>
      <c r="M1615" t="s">
        <v>21</v>
      </c>
      <c r="N1615">
        <v>1.56</v>
      </c>
      <c r="O1615">
        <v>2044</v>
      </c>
      <c r="P1615">
        <v>1.01</v>
      </c>
      <c r="Q1615">
        <v>376</v>
      </c>
      <c r="R1615">
        <v>316</v>
      </c>
    </row>
    <row r="1616" spans="1:18" hidden="1" x14ac:dyDescent="0.2">
      <c r="A1616">
        <v>2</v>
      </c>
      <c r="B1616" t="s">
        <v>62</v>
      </c>
      <c r="E1616" t="s">
        <v>19</v>
      </c>
      <c r="F1616">
        <v>1425448</v>
      </c>
      <c r="G1616">
        <v>2</v>
      </c>
      <c r="H1616">
        <v>1</v>
      </c>
      <c r="I1616">
        <v>781</v>
      </c>
      <c r="J1616">
        <v>1968</v>
      </c>
      <c r="K1616" s="4">
        <v>44572</v>
      </c>
      <c r="L1616" t="s">
        <v>20</v>
      </c>
      <c r="M1616" t="s">
        <v>89</v>
      </c>
      <c r="N1616">
        <v>1.73</v>
      </c>
      <c r="O1616">
        <v>2390</v>
      </c>
      <c r="P1616">
        <v>4.6100000000000003</v>
      </c>
      <c r="Q1616">
        <v>52</v>
      </c>
      <c r="R1616">
        <v>509</v>
      </c>
    </row>
    <row r="1617" spans="1:18" hidden="1" x14ac:dyDescent="0.2">
      <c r="A1617">
        <v>9</v>
      </c>
      <c r="B1617" t="s">
        <v>72</v>
      </c>
      <c r="E1617" t="s">
        <v>51</v>
      </c>
      <c r="F1617">
        <v>1303599</v>
      </c>
      <c r="G1617">
        <v>6</v>
      </c>
      <c r="H1617">
        <v>2</v>
      </c>
      <c r="I1617">
        <v>915</v>
      </c>
      <c r="J1617">
        <v>1999</v>
      </c>
      <c r="K1617" s="4">
        <v>45720</v>
      </c>
      <c r="L1617" t="s">
        <v>23</v>
      </c>
      <c r="M1617" t="s">
        <v>37</v>
      </c>
      <c r="N1617">
        <v>2.77</v>
      </c>
      <c r="O1617">
        <v>2492</v>
      </c>
      <c r="P1617">
        <v>3.99</v>
      </c>
      <c r="Q1617">
        <v>378</v>
      </c>
      <c r="R1617">
        <v>512</v>
      </c>
    </row>
    <row r="1618" spans="1:18" hidden="1" x14ac:dyDescent="0.2">
      <c r="A1618">
        <v>7</v>
      </c>
      <c r="B1618" t="s">
        <v>55</v>
      </c>
      <c r="E1618" t="s">
        <v>51</v>
      </c>
      <c r="F1618">
        <v>2421396</v>
      </c>
      <c r="G1618">
        <v>1</v>
      </c>
      <c r="H1618">
        <v>2</v>
      </c>
      <c r="I1618">
        <v>653</v>
      </c>
      <c r="J1618">
        <v>2001</v>
      </c>
      <c r="K1618" s="4">
        <v>44126</v>
      </c>
      <c r="L1618" t="s">
        <v>26</v>
      </c>
      <c r="M1618" t="s">
        <v>68</v>
      </c>
      <c r="N1618">
        <v>3.11</v>
      </c>
      <c r="O1618">
        <v>2452</v>
      </c>
      <c r="P1618">
        <v>2.54</v>
      </c>
      <c r="Q1618">
        <v>123</v>
      </c>
      <c r="R1618">
        <v>502</v>
      </c>
    </row>
    <row r="1619" spans="1:18" x14ac:dyDescent="0.2">
      <c r="A1619">
        <v>8</v>
      </c>
      <c r="B1619" t="s">
        <v>83</v>
      </c>
      <c r="C1619" t="str">
        <f>VLOOKUP(B1619, 'Council Area'!$A$2:$B$51, 2)</f>
        <v>Canterbury-Bankstown Council</v>
      </c>
      <c r="D1619" t="str">
        <f>_xlfn.XLOOKUP(B1619, 'Council Area'!$A$2:$A$51, 'Council Area'!$B$2:$B$51)</f>
        <v>Canterbury-Bankstown Council</v>
      </c>
      <c r="E1619" t="s">
        <v>51</v>
      </c>
      <c r="F1619">
        <v>1606604</v>
      </c>
      <c r="G1619">
        <v>4</v>
      </c>
      <c r="H1619">
        <v>1</v>
      </c>
      <c r="I1619">
        <v>676</v>
      </c>
      <c r="J1619">
        <v>1986</v>
      </c>
      <c r="K1619" s="4">
        <v>45349</v>
      </c>
      <c r="L1619" t="s">
        <v>26</v>
      </c>
      <c r="M1619" t="s">
        <v>63</v>
      </c>
      <c r="N1619">
        <v>2.23</v>
      </c>
      <c r="O1619">
        <v>2143</v>
      </c>
      <c r="P1619">
        <v>3.94</v>
      </c>
      <c r="Q1619">
        <v>244</v>
      </c>
      <c r="R1619">
        <v>544</v>
      </c>
    </row>
    <row r="1620" spans="1:18" hidden="1" x14ac:dyDescent="0.2">
      <c r="A1620">
        <v>5</v>
      </c>
      <c r="B1620" t="s">
        <v>105</v>
      </c>
      <c r="E1620" t="s">
        <v>51</v>
      </c>
      <c r="F1620">
        <v>2474686</v>
      </c>
      <c r="G1620">
        <v>4</v>
      </c>
      <c r="H1620">
        <v>3</v>
      </c>
      <c r="I1620">
        <v>936</v>
      </c>
      <c r="J1620">
        <v>2017</v>
      </c>
      <c r="K1620" s="4">
        <v>44544</v>
      </c>
      <c r="L1620" t="s">
        <v>20</v>
      </c>
      <c r="M1620" t="s">
        <v>45</v>
      </c>
      <c r="N1620">
        <v>2.48</v>
      </c>
      <c r="O1620">
        <v>1330</v>
      </c>
      <c r="P1620">
        <v>4.18</v>
      </c>
      <c r="Q1620">
        <v>291</v>
      </c>
      <c r="R1620">
        <v>562</v>
      </c>
    </row>
    <row r="1621" spans="1:18" hidden="1" x14ac:dyDescent="0.2">
      <c r="A1621">
        <v>7</v>
      </c>
      <c r="B1621" t="s">
        <v>86</v>
      </c>
      <c r="E1621" t="s">
        <v>19</v>
      </c>
      <c r="F1621">
        <v>2337372</v>
      </c>
      <c r="G1621">
        <v>2</v>
      </c>
      <c r="H1621">
        <v>3</v>
      </c>
      <c r="I1621">
        <v>335</v>
      </c>
      <c r="J1621">
        <v>1957</v>
      </c>
      <c r="K1621" s="4">
        <v>44997</v>
      </c>
      <c r="L1621" t="s">
        <v>20</v>
      </c>
      <c r="M1621" t="s">
        <v>56</v>
      </c>
      <c r="N1621">
        <v>3.19</v>
      </c>
      <c r="O1621">
        <v>968</v>
      </c>
      <c r="P1621">
        <v>4.93</v>
      </c>
      <c r="Q1621">
        <v>50</v>
      </c>
      <c r="R1621">
        <v>598</v>
      </c>
    </row>
    <row r="1622" spans="1:18" hidden="1" x14ac:dyDescent="0.2">
      <c r="A1622">
        <v>0</v>
      </c>
      <c r="B1622" t="s">
        <v>92</v>
      </c>
      <c r="E1622" t="s">
        <v>36</v>
      </c>
      <c r="F1622">
        <v>1284454</v>
      </c>
      <c r="G1622">
        <v>3</v>
      </c>
      <c r="H1622">
        <v>3</v>
      </c>
      <c r="I1622">
        <v>700</v>
      </c>
      <c r="J1622">
        <v>1966</v>
      </c>
      <c r="K1622" s="4">
        <v>45289</v>
      </c>
      <c r="L1622" t="s">
        <v>20</v>
      </c>
      <c r="M1622" t="s">
        <v>21</v>
      </c>
      <c r="N1622">
        <v>2.31</v>
      </c>
      <c r="O1622">
        <v>2182</v>
      </c>
      <c r="P1622">
        <v>1.94</v>
      </c>
      <c r="Q1622">
        <v>230</v>
      </c>
      <c r="R1622">
        <v>414</v>
      </c>
    </row>
    <row r="1623" spans="1:18" hidden="1" x14ac:dyDescent="0.2">
      <c r="A1623">
        <v>7</v>
      </c>
      <c r="B1623" t="s">
        <v>90</v>
      </c>
      <c r="E1623" t="s">
        <v>51</v>
      </c>
      <c r="F1623">
        <v>1590001</v>
      </c>
      <c r="G1623">
        <v>6</v>
      </c>
      <c r="H1623">
        <v>2</v>
      </c>
      <c r="I1623">
        <v>500</v>
      </c>
      <c r="J1623">
        <v>1966</v>
      </c>
      <c r="K1623" s="4">
        <v>45056</v>
      </c>
      <c r="L1623" t="s">
        <v>30</v>
      </c>
      <c r="M1623" t="s">
        <v>69</v>
      </c>
      <c r="N1623">
        <v>3.4</v>
      </c>
      <c r="O1623">
        <v>2459</v>
      </c>
      <c r="P1623">
        <v>1.49</v>
      </c>
      <c r="Q1623">
        <v>387</v>
      </c>
      <c r="R1623">
        <v>637</v>
      </c>
    </row>
    <row r="1624" spans="1:18" hidden="1" x14ac:dyDescent="0.2">
      <c r="A1624">
        <v>6</v>
      </c>
      <c r="B1624" t="s">
        <v>75</v>
      </c>
      <c r="E1624" t="s">
        <v>29</v>
      </c>
      <c r="F1624">
        <v>1915809</v>
      </c>
      <c r="G1624">
        <v>3</v>
      </c>
      <c r="H1624">
        <v>1</v>
      </c>
      <c r="I1624">
        <v>116</v>
      </c>
      <c r="J1624">
        <v>2008</v>
      </c>
      <c r="K1624" s="4">
        <v>45387</v>
      </c>
      <c r="L1624" t="s">
        <v>26</v>
      </c>
      <c r="M1624" t="s">
        <v>35</v>
      </c>
      <c r="N1624">
        <v>1.51</v>
      </c>
      <c r="O1624">
        <v>1215</v>
      </c>
      <c r="P1624">
        <v>4.4400000000000004</v>
      </c>
      <c r="Q1624">
        <v>246</v>
      </c>
      <c r="R1624">
        <v>400</v>
      </c>
    </row>
    <row r="1625" spans="1:18" hidden="1" x14ac:dyDescent="0.2">
      <c r="A1625">
        <v>3</v>
      </c>
      <c r="B1625" t="s">
        <v>94</v>
      </c>
      <c r="E1625" t="s">
        <v>36</v>
      </c>
      <c r="F1625">
        <v>675010</v>
      </c>
      <c r="G1625">
        <v>4</v>
      </c>
      <c r="H1625">
        <v>2</v>
      </c>
      <c r="I1625">
        <v>233</v>
      </c>
      <c r="J1625">
        <v>1987</v>
      </c>
      <c r="K1625" s="4">
        <v>45622</v>
      </c>
      <c r="L1625" t="s">
        <v>30</v>
      </c>
      <c r="M1625" t="s">
        <v>60</v>
      </c>
      <c r="N1625">
        <v>2.71</v>
      </c>
      <c r="O1625">
        <v>2258</v>
      </c>
      <c r="P1625">
        <v>2.27</v>
      </c>
      <c r="Q1625">
        <v>247</v>
      </c>
      <c r="R1625">
        <v>306</v>
      </c>
    </row>
    <row r="1626" spans="1:18" hidden="1" x14ac:dyDescent="0.2">
      <c r="A1626">
        <v>2</v>
      </c>
      <c r="B1626" t="s">
        <v>50</v>
      </c>
      <c r="E1626" t="s">
        <v>36</v>
      </c>
      <c r="F1626">
        <v>452545</v>
      </c>
      <c r="G1626">
        <v>4</v>
      </c>
      <c r="H1626">
        <v>1</v>
      </c>
      <c r="I1626">
        <v>861</v>
      </c>
      <c r="J1626">
        <v>1964</v>
      </c>
      <c r="K1626" s="4">
        <v>44100</v>
      </c>
      <c r="L1626" t="s">
        <v>20</v>
      </c>
      <c r="M1626" t="s">
        <v>78</v>
      </c>
      <c r="N1626">
        <v>1.83</v>
      </c>
      <c r="O1626">
        <v>1339</v>
      </c>
      <c r="P1626">
        <v>1.07</v>
      </c>
      <c r="Q1626">
        <v>286</v>
      </c>
      <c r="R1626">
        <v>643</v>
      </c>
    </row>
    <row r="1627" spans="1:18" hidden="1" x14ac:dyDescent="0.2">
      <c r="A1627">
        <v>5</v>
      </c>
      <c r="B1627" t="s">
        <v>25</v>
      </c>
      <c r="E1627" t="s">
        <v>29</v>
      </c>
      <c r="F1627">
        <v>2316919</v>
      </c>
      <c r="G1627">
        <v>3</v>
      </c>
      <c r="H1627">
        <v>3</v>
      </c>
      <c r="I1627">
        <v>461</v>
      </c>
      <c r="J1627">
        <v>1959</v>
      </c>
      <c r="K1627" s="4">
        <v>44292</v>
      </c>
      <c r="L1627" t="s">
        <v>23</v>
      </c>
      <c r="M1627" t="s">
        <v>24</v>
      </c>
      <c r="N1627">
        <v>1.55</v>
      </c>
      <c r="O1627">
        <v>1310</v>
      </c>
      <c r="P1627">
        <v>1.0900000000000001</v>
      </c>
      <c r="Q1627">
        <v>233</v>
      </c>
      <c r="R1627">
        <v>369</v>
      </c>
    </row>
    <row r="1628" spans="1:18" hidden="1" x14ac:dyDescent="0.2">
      <c r="A1628">
        <v>7</v>
      </c>
      <c r="B1628" t="s">
        <v>39</v>
      </c>
      <c r="E1628" t="s">
        <v>19</v>
      </c>
      <c r="F1628">
        <v>1524124</v>
      </c>
      <c r="G1628">
        <v>6</v>
      </c>
      <c r="H1628">
        <v>1</v>
      </c>
      <c r="I1628">
        <v>250</v>
      </c>
      <c r="J1628">
        <v>2012</v>
      </c>
      <c r="K1628" s="4">
        <v>45456</v>
      </c>
      <c r="L1628" t="s">
        <v>26</v>
      </c>
      <c r="M1628" t="s">
        <v>47</v>
      </c>
      <c r="N1628">
        <v>1.56</v>
      </c>
      <c r="O1628">
        <v>1967</v>
      </c>
      <c r="P1628">
        <v>3.23</v>
      </c>
      <c r="Q1628">
        <v>344</v>
      </c>
      <c r="R1628">
        <v>467</v>
      </c>
    </row>
    <row r="1629" spans="1:18" hidden="1" x14ac:dyDescent="0.2">
      <c r="A1629">
        <v>9</v>
      </c>
      <c r="B1629" t="s">
        <v>79</v>
      </c>
      <c r="E1629" t="s">
        <v>19</v>
      </c>
      <c r="F1629">
        <v>1851494</v>
      </c>
      <c r="G1629">
        <v>0</v>
      </c>
      <c r="H1629">
        <v>1</v>
      </c>
      <c r="I1629">
        <v>418</v>
      </c>
      <c r="J1629">
        <v>1997</v>
      </c>
      <c r="K1629" s="4">
        <v>44891</v>
      </c>
      <c r="L1629" t="s">
        <v>26</v>
      </c>
      <c r="M1629" t="s">
        <v>74</v>
      </c>
      <c r="N1629">
        <v>2.73</v>
      </c>
      <c r="O1629">
        <v>1746</v>
      </c>
      <c r="P1629">
        <v>3.7</v>
      </c>
      <c r="Q1629">
        <v>51</v>
      </c>
      <c r="R1629">
        <v>652</v>
      </c>
    </row>
    <row r="1630" spans="1:18" hidden="1" x14ac:dyDescent="0.2">
      <c r="A1630">
        <v>5</v>
      </c>
      <c r="B1630" t="s">
        <v>94</v>
      </c>
      <c r="E1630" t="s">
        <v>19</v>
      </c>
      <c r="F1630">
        <v>2147783</v>
      </c>
      <c r="G1630">
        <v>3</v>
      </c>
      <c r="H1630">
        <v>3</v>
      </c>
      <c r="I1630">
        <v>138</v>
      </c>
      <c r="J1630">
        <v>2016</v>
      </c>
      <c r="K1630" s="4">
        <v>45769</v>
      </c>
      <c r="L1630" t="s">
        <v>26</v>
      </c>
      <c r="M1630" t="s">
        <v>76</v>
      </c>
      <c r="N1630">
        <v>3.09</v>
      </c>
      <c r="O1630">
        <v>1836</v>
      </c>
      <c r="P1630">
        <v>3.1</v>
      </c>
      <c r="Q1630">
        <v>168</v>
      </c>
      <c r="R1630">
        <v>364</v>
      </c>
    </row>
    <row r="1631" spans="1:18" hidden="1" x14ac:dyDescent="0.2">
      <c r="A1631">
        <v>1</v>
      </c>
      <c r="B1631" t="s">
        <v>38</v>
      </c>
      <c r="E1631" t="s">
        <v>51</v>
      </c>
      <c r="F1631">
        <v>2524811</v>
      </c>
      <c r="G1631">
        <v>4</v>
      </c>
      <c r="H1631">
        <v>1</v>
      </c>
      <c r="I1631">
        <v>361</v>
      </c>
      <c r="J1631">
        <v>1996</v>
      </c>
      <c r="K1631" s="4">
        <v>45712</v>
      </c>
      <c r="L1631" t="s">
        <v>20</v>
      </c>
      <c r="M1631" t="s">
        <v>42</v>
      </c>
      <c r="N1631">
        <v>2.17</v>
      </c>
      <c r="O1631">
        <v>2074</v>
      </c>
      <c r="P1631">
        <v>0.32</v>
      </c>
      <c r="Q1631">
        <v>342</v>
      </c>
      <c r="R1631">
        <v>473</v>
      </c>
    </row>
    <row r="1632" spans="1:18" hidden="1" x14ac:dyDescent="0.2">
      <c r="A1632">
        <v>4</v>
      </c>
      <c r="B1632" t="s">
        <v>34</v>
      </c>
      <c r="E1632" t="s">
        <v>51</v>
      </c>
      <c r="F1632">
        <v>591230</v>
      </c>
      <c r="G1632">
        <v>3</v>
      </c>
      <c r="H1632">
        <v>3</v>
      </c>
      <c r="I1632">
        <v>385</v>
      </c>
      <c r="J1632">
        <v>2004</v>
      </c>
      <c r="K1632" s="4">
        <v>44474</v>
      </c>
      <c r="L1632" t="s">
        <v>26</v>
      </c>
      <c r="M1632" t="s">
        <v>89</v>
      </c>
      <c r="N1632">
        <v>1.96</v>
      </c>
      <c r="O1632">
        <v>1518</v>
      </c>
      <c r="P1632">
        <v>4.5999999999999996</v>
      </c>
      <c r="Q1632">
        <v>109</v>
      </c>
      <c r="R1632">
        <v>569</v>
      </c>
    </row>
    <row r="1633" spans="1:18" hidden="1" x14ac:dyDescent="0.2">
      <c r="A1633">
        <v>6</v>
      </c>
      <c r="B1633" t="s">
        <v>94</v>
      </c>
      <c r="E1633" t="s">
        <v>36</v>
      </c>
      <c r="F1633">
        <v>537605</v>
      </c>
      <c r="G1633">
        <v>2</v>
      </c>
      <c r="H1633">
        <v>1</v>
      </c>
      <c r="I1633">
        <v>384</v>
      </c>
      <c r="J1633">
        <v>1973</v>
      </c>
      <c r="K1633" s="4">
        <v>45209</v>
      </c>
      <c r="L1633" t="s">
        <v>20</v>
      </c>
      <c r="M1633" t="s">
        <v>33</v>
      </c>
      <c r="N1633">
        <v>2.81</v>
      </c>
      <c r="O1633">
        <v>1481</v>
      </c>
      <c r="P1633">
        <v>2.67</v>
      </c>
      <c r="Q1633">
        <v>40</v>
      </c>
      <c r="R1633">
        <v>439</v>
      </c>
    </row>
    <row r="1634" spans="1:18" hidden="1" x14ac:dyDescent="0.2">
      <c r="A1634">
        <v>3</v>
      </c>
      <c r="B1634" t="s">
        <v>25</v>
      </c>
      <c r="E1634" t="s">
        <v>19</v>
      </c>
      <c r="F1634">
        <v>2782300</v>
      </c>
      <c r="G1634">
        <v>6</v>
      </c>
      <c r="H1634">
        <v>3</v>
      </c>
      <c r="I1634">
        <v>553</v>
      </c>
      <c r="J1634">
        <v>1955</v>
      </c>
      <c r="K1634" s="4">
        <v>45153</v>
      </c>
      <c r="L1634" t="s">
        <v>30</v>
      </c>
      <c r="M1634" t="s">
        <v>52</v>
      </c>
      <c r="N1634">
        <v>3.06</v>
      </c>
      <c r="O1634">
        <v>1456</v>
      </c>
      <c r="P1634">
        <v>3.64</v>
      </c>
      <c r="Q1634">
        <v>339</v>
      </c>
      <c r="R1634">
        <v>654</v>
      </c>
    </row>
    <row r="1635" spans="1:18" hidden="1" x14ac:dyDescent="0.2">
      <c r="A1635">
        <v>9</v>
      </c>
      <c r="B1635" t="s">
        <v>43</v>
      </c>
      <c r="E1635" t="s">
        <v>29</v>
      </c>
      <c r="F1635">
        <v>414713</v>
      </c>
      <c r="G1635">
        <v>6</v>
      </c>
      <c r="H1635">
        <v>2</v>
      </c>
      <c r="I1635">
        <v>615</v>
      </c>
      <c r="J1635">
        <v>1969</v>
      </c>
      <c r="K1635" s="4">
        <v>45442</v>
      </c>
      <c r="L1635" t="s">
        <v>30</v>
      </c>
      <c r="M1635" t="s">
        <v>69</v>
      </c>
      <c r="N1635">
        <v>2.69</v>
      </c>
      <c r="O1635">
        <v>1058</v>
      </c>
      <c r="P1635">
        <v>4.74</v>
      </c>
      <c r="Q1635">
        <v>361</v>
      </c>
      <c r="R1635">
        <v>594</v>
      </c>
    </row>
    <row r="1636" spans="1:18" hidden="1" x14ac:dyDescent="0.2">
      <c r="A1636">
        <v>0</v>
      </c>
      <c r="B1636" t="s">
        <v>25</v>
      </c>
      <c r="E1636" t="s">
        <v>19</v>
      </c>
      <c r="F1636">
        <v>2244831</v>
      </c>
      <c r="G1636">
        <v>5</v>
      </c>
      <c r="H1636">
        <v>3</v>
      </c>
      <c r="I1636">
        <v>320</v>
      </c>
      <c r="J1636">
        <v>1993</v>
      </c>
      <c r="K1636" s="4">
        <v>44552</v>
      </c>
      <c r="L1636" t="s">
        <v>23</v>
      </c>
      <c r="M1636" t="s">
        <v>58</v>
      </c>
      <c r="N1636">
        <v>2.72</v>
      </c>
      <c r="O1636">
        <v>1019</v>
      </c>
      <c r="P1636">
        <v>2.2000000000000002</v>
      </c>
      <c r="Q1636">
        <v>358</v>
      </c>
      <c r="R1636">
        <v>659</v>
      </c>
    </row>
    <row r="1637" spans="1:18" hidden="1" x14ac:dyDescent="0.2">
      <c r="A1637">
        <v>5</v>
      </c>
      <c r="B1637" t="s">
        <v>71</v>
      </c>
      <c r="E1637" t="s">
        <v>51</v>
      </c>
      <c r="F1637">
        <v>2763860</v>
      </c>
      <c r="G1637">
        <v>3</v>
      </c>
      <c r="H1637">
        <v>2</v>
      </c>
      <c r="I1637">
        <v>474</v>
      </c>
      <c r="J1637">
        <v>1996</v>
      </c>
      <c r="K1637" s="4">
        <v>45624</v>
      </c>
      <c r="L1637" t="s">
        <v>23</v>
      </c>
      <c r="M1637" t="s">
        <v>77</v>
      </c>
      <c r="N1637">
        <v>3.16</v>
      </c>
      <c r="O1637">
        <v>2485</v>
      </c>
      <c r="P1637">
        <v>0.36</v>
      </c>
      <c r="Q1637">
        <v>212</v>
      </c>
      <c r="R1637">
        <v>467</v>
      </c>
    </row>
    <row r="1638" spans="1:18" hidden="1" x14ac:dyDescent="0.2">
      <c r="A1638">
        <v>3</v>
      </c>
      <c r="B1638" t="s">
        <v>96</v>
      </c>
      <c r="E1638" t="s">
        <v>51</v>
      </c>
      <c r="F1638">
        <v>1868032</v>
      </c>
      <c r="G1638">
        <v>1</v>
      </c>
      <c r="H1638">
        <v>2</v>
      </c>
      <c r="I1638">
        <v>155</v>
      </c>
      <c r="J1638">
        <v>2018</v>
      </c>
      <c r="K1638" s="4">
        <v>45816</v>
      </c>
      <c r="L1638" t="s">
        <v>26</v>
      </c>
      <c r="M1638" t="s">
        <v>40</v>
      </c>
      <c r="N1638">
        <v>1.69</v>
      </c>
      <c r="O1638">
        <v>1844</v>
      </c>
      <c r="P1638">
        <v>0.51</v>
      </c>
      <c r="Q1638">
        <v>148</v>
      </c>
      <c r="R1638">
        <v>400</v>
      </c>
    </row>
    <row r="1639" spans="1:18" x14ac:dyDescent="0.2">
      <c r="A1639">
        <v>8</v>
      </c>
      <c r="B1639" t="s">
        <v>93</v>
      </c>
      <c r="C1639" t="str">
        <f>VLOOKUP(B1639, 'Council Area'!$A$2:$B$51, 2)</f>
        <v>Blacktown City Council</v>
      </c>
      <c r="D1639" t="str">
        <f>_xlfn.XLOOKUP(B1639, 'Council Area'!$A$2:$A$51, 'Council Area'!$B$2:$B$51)</f>
        <v>Blacktown City Council</v>
      </c>
      <c r="E1639" t="s">
        <v>19</v>
      </c>
      <c r="F1639">
        <v>1697146</v>
      </c>
      <c r="G1639">
        <v>5</v>
      </c>
      <c r="H1639">
        <v>1</v>
      </c>
      <c r="I1639">
        <v>284</v>
      </c>
      <c r="J1639">
        <v>1983</v>
      </c>
      <c r="K1639" s="4">
        <v>44372</v>
      </c>
      <c r="L1639" t="s">
        <v>20</v>
      </c>
      <c r="M1639" t="s">
        <v>82</v>
      </c>
      <c r="N1639">
        <v>2.78</v>
      </c>
      <c r="O1639">
        <v>915</v>
      </c>
      <c r="P1639">
        <v>1.86</v>
      </c>
      <c r="Q1639">
        <v>259</v>
      </c>
      <c r="R1639">
        <v>352</v>
      </c>
    </row>
    <row r="1640" spans="1:18" hidden="1" x14ac:dyDescent="0.2">
      <c r="A1640">
        <v>6</v>
      </c>
      <c r="B1640" t="s">
        <v>53</v>
      </c>
      <c r="E1640" t="s">
        <v>36</v>
      </c>
      <c r="F1640">
        <v>2291309</v>
      </c>
      <c r="G1640">
        <v>5</v>
      </c>
      <c r="H1640">
        <v>2</v>
      </c>
      <c r="I1640">
        <v>826</v>
      </c>
      <c r="J1640">
        <v>2015</v>
      </c>
      <c r="K1640" s="4">
        <v>44492</v>
      </c>
      <c r="L1640" t="s">
        <v>23</v>
      </c>
      <c r="M1640" t="s">
        <v>69</v>
      </c>
      <c r="N1640">
        <v>2.4900000000000002</v>
      </c>
      <c r="O1640">
        <v>1449</v>
      </c>
      <c r="P1640">
        <v>4.7300000000000004</v>
      </c>
      <c r="Q1640">
        <v>270</v>
      </c>
      <c r="R1640">
        <v>430</v>
      </c>
    </row>
    <row r="1641" spans="1:18" hidden="1" x14ac:dyDescent="0.2">
      <c r="A1641">
        <v>5</v>
      </c>
      <c r="B1641" t="s">
        <v>86</v>
      </c>
      <c r="E1641" t="s">
        <v>29</v>
      </c>
      <c r="F1641">
        <v>2457076</v>
      </c>
      <c r="G1641">
        <v>3</v>
      </c>
      <c r="H1641">
        <v>1</v>
      </c>
      <c r="I1641">
        <v>629</v>
      </c>
      <c r="J1641">
        <v>1964</v>
      </c>
      <c r="K1641" s="4">
        <v>44682</v>
      </c>
      <c r="L1641" t="s">
        <v>20</v>
      </c>
      <c r="M1641" t="s">
        <v>70</v>
      </c>
      <c r="N1641">
        <v>2.97</v>
      </c>
      <c r="O1641">
        <v>1105</v>
      </c>
      <c r="P1641">
        <v>0.64</v>
      </c>
      <c r="Q1641">
        <v>257</v>
      </c>
      <c r="R1641">
        <v>504</v>
      </c>
    </row>
    <row r="1642" spans="1:18" hidden="1" x14ac:dyDescent="0.2">
      <c r="A1642">
        <v>9</v>
      </c>
      <c r="B1642" t="s">
        <v>28</v>
      </c>
      <c r="E1642" t="s">
        <v>19</v>
      </c>
      <c r="F1642">
        <v>2580758</v>
      </c>
      <c r="G1642">
        <v>5</v>
      </c>
      <c r="H1642">
        <v>2</v>
      </c>
      <c r="I1642">
        <v>895</v>
      </c>
      <c r="J1642">
        <v>1965</v>
      </c>
      <c r="K1642" s="4">
        <v>44464</v>
      </c>
      <c r="L1642" t="s">
        <v>23</v>
      </c>
      <c r="M1642" t="s">
        <v>78</v>
      </c>
      <c r="N1642">
        <v>1.58</v>
      </c>
      <c r="O1642">
        <v>1896</v>
      </c>
      <c r="P1642">
        <v>4.4400000000000004</v>
      </c>
      <c r="Q1642">
        <v>363</v>
      </c>
      <c r="R1642">
        <v>317</v>
      </c>
    </row>
    <row r="1643" spans="1:18" hidden="1" x14ac:dyDescent="0.2">
      <c r="A1643">
        <v>4</v>
      </c>
      <c r="B1643" t="s">
        <v>80</v>
      </c>
      <c r="E1643" t="s">
        <v>19</v>
      </c>
      <c r="F1643">
        <v>2508700</v>
      </c>
      <c r="G1643">
        <v>6</v>
      </c>
      <c r="H1643">
        <v>3</v>
      </c>
      <c r="I1643">
        <v>93</v>
      </c>
      <c r="J1643">
        <v>2007</v>
      </c>
      <c r="K1643" s="4">
        <v>45829</v>
      </c>
      <c r="L1643" t="s">
        <v>20</v>
      </c>
      <c r="M1643" t="s">
        <v>59</v>
      </c>
      <c r="N1643">
        <v>1.71</v>
      </c>
      <c r="O1643">
        <v>1611</v>
      </c>
      <c r="P1643">
        <v>2.37</v>
      </c>
      <c r="Q1643">
        <v>327</v>
      </c>
      <c r="R1643">
        <v>319</v>
      </c>
    </row>
    <row r="1644" spans="1:18" hidden="1" x14ac:dyDescent="0.2">
      <c r="A1644">
        <v>7</v>
      </c>
      <c r="B1644" t="s">
        <v>53</v>
      </c>
      <c r="E1644" t="s">
        <v>51</v>
      </c>
      <c r="F1644">
        <v>2821487</v>
      </c>
      <c r="G1644">
        <v>3</v>
      </c>
      <c r="H1644">
        <v>2</v>
      </c>
      <c r="I1644">
        <v>948</v>
      </c>
      <c r="J1644">
        <v>1967</v>
      </c>
      <c r="K1644" s="4">
        <v>44780</v>
      </c>
      <c r="L1644" t="s">
        <v>20</v>
      </c>
      <c r="M1644" t="s">
        <v>58</v>
      </c>
      <c r="N1644">
        <v>2.62</v>
      </c>
      <c r="O1644">
        <v>1673</v>
      </c>
      <c r="P1644">
        <v>1.3</v>
      </c>
      <c r="Q1644">
        <v>225</v>
      </c>
      <c r="R1644">
        <v>442</v>
      </c>
    </row>
    <row r="1645" spans="1:18" hidden="1" x14ac:dyDescent="0.2">
      <c r="A1645">
        <v>3</v>
      </c>
      <c r="B1645" t="s">
        <v>48</v>
      </c>
      <c r="E1645" t="s">
        <v>29</v>
      </c>
      <c r="F1645">
        <v>429132</v>
      </c>
      <c r="G1645">
        <v>2</v>
      </c>
      <c r="H1645">
        <v>2</v>
      </c>
      <c r="I1645">
        <v>503</v>
      </c>
      <c r="J1645">
        <v>2003</v>
      </c>
      <c r="K1645" s="4">
        <v>45063</v>
      </c>
      <c r="L1645" t="s">
        <v>26</v>
      </c>
      <c r="M1645" t="s">
        <v>24</v>
      </c>
      <c r="N1645">
        <v>2.2599999999999998</v>
      </c>
      <c r="O1645">
        <v>898</v>
      </c>
      <c r="P1645">
        <v>2.4900000000000002</v>
      </c>
      <c r="Q1645">
        <v>106</v>
      </c>
      <c r="R1645">
        <v>614</v>
      </c>
    </row>
    <row r="1646" spans="1:18" hidden="1" x14ac:dyDescent="0.2">
      <c r="A1646">
        <v>2</v>
      </c>
      <c r="B1646" t="s">
        <v>73</v>
      </c>
      <c r="E1646" t="s">
        <v>29</v>
      </c>
      <c r="F1646">
        <v>1405191</v>
      </c>
      <c r="G1646">
        <v>2</v>
      </c>
      <c r="H1646">
        <v>2</v>
      </c>
      <c r="I1646">
        <v>478</v>
      </c>
      <c r="J1646">
        <v>2010</v>
      </c>
      <c r="K1646" s="4">
        <v>45321</v>
      </c>
      <c r="L1646" t="s">
        <v>23</v>
      </c>
      <c r="M1646" t="s">
        <v>24</v>
      </c>
      <c r="N1646">
        <v>1.71</v>
      </c>
      <c r="O1646">
        <v>1275</v>
      </c>
      <c r="P1646">
        <v>3.18</v>
      </c>
      <c r="Q1646">
        <v>131</v>
      </c>
      <c r="R1646">
        <v>448</v>
      </c>
    </row>
    <row r="1647" spans="1:18" x14ac:dyDescent="0.2">
      <c r="A1647">
        <v>8</v>
      </c>
      <c r="B1647" t="s">
        <v>96</v>
      </c>
      <c r="C1647" t="str">
        <f>VLOOKUP(B1647, 'Council Area'!$A$2:$B$51, 2)</f>
        <v>Ku-ring-gai Council</v>
      </c>
      <c r="D1647" t="str">
        <f>_xlfn.XLOOKUP(B1647, 'Council Area'!$A$2:$A$51, 'Council Area'!$B$2:$B$51)</f>
        <v>Ku-ring-gai Council</v>
      </c>
      <c r="E1647" t="s">
        <v>29</v>
      </c>
      <c r="F1647">
        <v>2762094</v>
      </c>
      <c r="G1647">
        <v>3</v>
      </c>
      <c r="H1647">
        <v>3</v>
      </c>
      <c r="I1647">
        <v>973</v>
      </c>
      <c r="J1647">
        <v>1998</v>
      </c>
      <c r="K1647" s="4">
        <v>44657</v>
      </c>
      <c r="L1647" t="s">
        <v>26</v>
      </c>
      <c r="M1647" t="s">
        <v>47</v>
      </c>
      <c r="N1647">
        <v>2.94</v>
      </c>
      <c r="O1647">
        <v>1241</v>
      </c>
      <c r="P1647">
        <v>3.63</v>
      </c>
      <c r="Q1647">
        <v>146</v>
      </c>
      <c r="R1647">
        <v>460</v>
      </c>
    </row>
    <row r="1648" spans="1:18" hidden="1" x14ac:dyDescent="0.2">
      <c r="A1648">
        <v>6</v>
      </c>
      <c r="B1648" t="s">
        <v>61</v>
      </c>
      <c r="E1648" t="s">
        <v>19</v>
      </c>
      <c r="F1648">
        <v>2669384</v>
      </c>
      <c r="G1648">
        <v>6</v>
      </c>
      <c r="H1648">
        <v>3</v>
      </c>
      <c r="I1648">
        <v>664</v>
      </c>
      <c r="J1648">
        <v>1959</v>
      </c>
      <c r="K1648" s="4">
        <v>44348</v>
      </c>
      <c r="L1648" t="s">
        <v>23</v>
      </c>
      <c r="M1648" t="s">
        <v>69</v>
      </c>
      <c r="N1648">
        <v>2.38</v>
      </c>
      <c r="O1648">
        <v>2334</v>
      </c>
      <c r="P1648">
        <v>0.3</v>
      </c>
      <c r="Q1648">
        <v>352</v>
      </c>
      <c r="R1648">
        <v>376</v>
      </c>
    </row>
    <row r="1649" spans="1:18" x14ac:dyDescent="0.2">
      <c r="A1649">
        <v>8</v>
      </c>
      <c r="B1649" t="s">
        <v>80</v>
      </c>
      <c r="C1649" t="str">
        <f>VLOOKUP(B1649, 'Council Area'!$A$2:$B$51, 2)</f>
        <v>Parramatta City Council</v>
      </c>
      <c r="D1649" t="str">
        <f>_xlfn.XLOOKUP(B1649, 'Council Area'!$A$2:$A$51, 'Council Area'!$B$2:$B$51)</f>
        <v>Parramatta City Council</v>
      </c>
      <c r="E1649" t="s">
        <v>19</v>
      </c>
      <c r="F1649">
        <v>1126904</v>
      </c>
      <c r="G1649">
        <v>3</v>
      </c>
      <c r="H1649">
        <v>3</v>
      </c>
      <c r="I1649">
        <v>334</v>
      </c>
      <c r="J1649">
        <v>2017</v>
      </c>
      <c r="K1649" s="4">
        <v>45656</v>
      </c>
      <c r="L1649" t="s">
        <v>23</v>
      </c>
      <c r="M1649" t="s">
        <v>70</v>
      </c>
      <c r="N1649">
        <v>1.52</v>
      </c>
      <c r="O1649">
        <v>845</v>
      </c>
      <c r="P1649">
        <v>3.25</v>
      </c>
      <c r="Q1649">
        <v>249</v>
      </c>
      <c r="R1649">
        <v>652</v>
      </c>
    </row>
    <row r="1650" spans="1:18" hidden="1" x14ac:dyDescent="0.2">
      <c r="A1650">
        <v>3</v>
      </c>
      <c r="B1650" t="s">
        <v>32</v>
      </c>
      <c r="E1650" t="s">
        <v>51</v>
      </c>
      <c r="F1650">
        <v>459298</v>
      </c>
      <c r="G1650">
        <v>4</v>
      </c>
      <c r="H1650">
        <v>3</v>
      </c>
      <c r="I1650">
        <v>365</v>
      </c>
      <c r="J1650">
        <v>1953</v>
      </c>
      <c r="K1650" s="4">
        <v>44191</v>
      </c>
      <c r="L1650" t="s">
        <v>30</v>
      </c>
      <c r="M1650" t="s">
        <v>52</v>
      </c>
      <c r="N1650">
        <v>3.1</v>
      </c>
      <c r="O1650">
        <v>2057</v>
      </c>
      <c r="P1650">
        <v>4.88</v>
      </c>
      <c r="Q1650">
        <v>170</v>
      </c>
      <c r="R1650">
        <v>333</v>
      </c>
    </row>
    <row r="1651" spans="1:18" hidden="1" x14ac:dyDescent="0.2">
      <c r="A1651">
        <v>1</v>
      </c>
      <c r="B1651" t="s">
        <v>93</v>
      </c>
      <c r="E1651" t="s">
        <v>103</v>
      </c>
      <c r="F1651">
        <v>860488</v>
      </c>
      <c r="G1651">
        <v>4</v>
      </c>
      <c r="H1651">
        <v>3</v>
      </c>
      <c r="I1651">
        <v>148</v>
      </c>
      <c r="J1651">
        <v>1999</v>
      </c>
      <c r="K1651" s="4">
        <v>44509</v>
      </c>
      <c r="L1651" t="s">
        <v>26</v>
      </c>
      <c r="M1651" t="s">
        <v>60</v>
      </c>
      <c r="N1651">
        <v>3.06</v>
      </c>
      <c r="O1651">
        <v>1884</v>
      </c>
      <c r="P1651">
        <v>3.39</v>
      </c>
      <c r="Q1651">
        <v>271</v>
      </c>
      <c r="R1651">
        <v>448</v>
      </c>
    </row>
    <row r="1652" spans="1:18" x14ac:dyDescent="0.2">
      <c r="A1652">
        <v>8</v>
      </c>
      <c r="B1652" t="s">
        <v>18</v>
      </c>
      <c r="C1652" t="str">
        <f>VLOOKUP(B1652, 'Council Area'!$A$2:$B$51, 2)</f>
        <v>Blacktown City Council</v>
      </c>
      <c r="D1652" t="str">
        <f>_xlfn.XLOOKUP(B1652, 'Council Area'!$A$2:$A$51, 'Council Area'!$B$2:$B$51)</f>
        <v>Blacktown City Council</v>
      </c>
      <c r="E1652" t="s">
        <v>19</v>
      </c>
      <c r="F1652">
        <v>766730</v>
      </c>
      <c r="G1652">
        <v>4</v>
      </c>
      <c r="H1652">
        <v>3</v>
      </c>
      <c r="I1652">
        <v>357</v>
      </c>
      <c r="J1652">
        <v>1974</v>
      </c>
      <c r="K1652" s="4">
        <v>44551</v>
      </c>
      <c r="L1652" t="s">
        <v>20</v>
      </c>
      <c r="M1652" t="s">
        <v>69</v>
      </c>
      <c r="N1652">
        <v>2.09</v>
      </c>
      <c r="O1652">
        <v>858</v>
      </c>
      <c r="P1652">
        <v>4.87</v>
      </c>
      <c r="Q1652">
        <v>173</v>
      </c>
      <c r="R1652">
        <v>631</v>
      </c>
    </row>
    <row r="1653" spans="1:18" hidden="1" x14ac:dyDescent="0.2">
      <c r="A1653">
        <v>6</v>
      </c>
      <c r="B1653" t="s">
        <v>104</v>
      </c>
      <c r="E1653" t="s">
        <v>36</v>
      </c>
      <c r="F1653">
        <v>1924978</v>
      </c>
      <c r="G1653">
        <v>1</v>
      </c>
      <c r="H1653">
        <v>2</v>
      </c>
      <c r="I1653">
        <v>189</v>
      </c>
      <c r="J1653">
        <v>1995</v>
      </c>
      <c r="K1653" s="4">
        <v>44296</v>
      </c>
      <c r="L1653" t="s">
        <v>30</v>
      </c>
      <c r="M1653" t="s">
        <v>68</v>
      </c>
      <c r="N1653">
        <v>2.76</v>
      </c>
      <c r="O1653">
        <v>2188</v>
      </c>
      <c r="P1653">
        <v>0.12</v>
      </c>
      <c r="Q1653">
        <v>95</v>
      </c>
      <c r="R1653">
        <v>310</v>
      </c>
    </row>
    <row r="1654" spans="1:18" x14ac:dyDescent="0.2">
      <c r="A1654">
        <v>8</v>
      </c>
      <c r="B1654" t="s">
        <v>92</v>
      </c>
      <c r="C1654" t="str">
        <f>VLOOKUP(B1654, 'Council Area'!$A$2:$B$51, 2)</f>
        <v>Randwick City Council</v>
      </c>
      <c r="D1654" t="str">
        <f>_xlfn.XLOOKUP(B1654, 'Council Area'!$A$2:$A$51, 'Council Area'!$B$2:$B$51)</f>
        <v>Randwick City Council</v>
      </c>
      <c r="E1654" t="s">
        <v>29</v>
      </c>
      <c r="F1654">
        <v>2812581</v>
      </c>
      <c r="G1654">
        <v>3</v>
      </c>
      <c r="H1654">
        <v>1</v>
      </c>
      <c r="I1654">
        <v>635</v>
      </c>
      <c r="J1654">
        <v>2019</v>
      </c>
      <c r="K1654" s="4">
        <v>44277</v>
      </c>
      <c r="L1654" t="s">
        <v>23</v>
      </c>
      <c r="M1654" t="s">
        <v>54</v>
      </c>
      <c r="N1654">
        <v>2.44</v>
      </c>
      <c r="O1654">
        <v>1397</v>
      </c>
      <c r="P1654">
        <v>1.42</v>
      </c>
      <c r="Q1654">
        <v>278</v>
      </c>
      <c r="R1654">
        <v>563</v>
      </c>
    </row>
    <row r="1655" spans="1:18" hidden="1" x14ac:dyDescent="0.2">
      <c r="A1655">
        <v>2</v>
      </c>
      <c r="B1655" t="s">
        <v>50</v>
      </c>
      <c r="E1655" t="s">
        <v>51</v>
      </c>
      <c r="F1655">
        <v>2912671</v>
      </c>
      <c r="G1655">
        <v>4</v>
      </c>
      <c r="H1655">
        <v>1</v>
      </c>
      <c r="I1655">
        <v>794</v>
      </c>
      <c r="J1655">
        <v>2010</v>
      </c>
      <c r="K1655" s="4">
        <v>44213</v>
      </c>
      <c r="L1655" t="s">
        <v>23</v>
      </c>
      <c r="M1655" t="s">
        <v>85</v>
      </c>
      <c r="N1655">
        <v>3.37</v>
      </c>
      <c r="O1655">
        <v>1129</v>
      </c>
      <c r="P1655">
        <v>1.53</v>
      </c>
      <c r="Q1655">
        <v>245</v>
      </c>
      <c r="R1655">
        <v>532</v>
      </c>
    </row>
    <row r="1656" spans="1:18" hidden="1" x14ac:dyDescent="0.2">
      <c r="A1656">
        <v>2</v>
      </c>
      <c r="B1656" t="s">
        <v>95</v>
      </c>
      <c r="E1656" t="s">
        <v>29</v>
      </c>
      <c r="F1656">
        <v>2288272</v>
      </c>
      <c r="G1656">
        <v>4</v>
      </c>
      <c r="H1656">
        <v>1</v>
      </c>
      <c r="I1656">
        <v>193</v>
      </c>
      <c r="J1656">
        <v>2009</v>
      </c>
      <c r="K1656" s="4">
        <v>44091</v>
      </c>
      <c r="L1656" t="s">
        <v>20</v>
      </c>
      <c r="M1656" t="s">
        <v>68</v>
      </c>
      <c r="N1656">
        <v>2.0299999999999998</v>
      </c>
      <c r="O1656">
        <v>1739</v>
      </c>
      <c r="P1656">
        <v>4.12</v>
      </c>
      <c r="Q1656">
        <v>333</v>
      </c>
      <c r="R1656">
        <v>329</v>
      </c>
    </row>
    <row r="1657" spans="1:18" hidden="1" x14ac:dyDescent="0.2">
      <c r="A1657">
        <v>0</v>
      </c>
      <c r="B1657" t="s">
        <v>73</v>
      </c>
      <c r="E1657" t="s">
        <v>36</v>
      </c>
      <c r="F1657">
        <v>2776021</v>
      </c>
      <c r="G1657">
        <v>0</v>
      </c>
      <c r="H1657">
        <v>3</v>
      </c>
      <c r="I1657">
        <v>669</v>
      </c>
      <c r="J1657">
        <v>1987</v>
      </c>
      <c r="K1657" s="4">
        <v>45501</v>
      </c>
      <c r="L1657" t="s">
        <v>30</v>
      </c>
      <c r="M1657" t="s">
        <v>70</v>
      </c>
      <c r="N1657">
        <v>1.64</v>
      </c>
      <c r="O1657">
        <v>2140</v>
      </c>
      <c r="P1657">
        <v>3.49</v>
      </c>
      <c r="Q1657">
        <v>52</v>
      </c>
      <c r="R1657">
        <v>574</v>
      </c>
    </row>
    <row r="1658" spans="1:18" hidden="1" x14ac:dyDescent="0.2">
      <c r="A1658">
        <v>4</v>
      </c>
      <c r="B1658" t="s">
        <v>39</v>
      </c>
      <c r="E1658" t="s">
        <v>51</v>
      </c>
      <c r="F1658">
        <v>1130359</v>
      </c>
      <c r="G1658">
        <v>5</v>
      </c>
      <c r="H1658">
        <v>3</v>
      </c>
      <c r="I1658">
        <v>82</v>
      </c>
      <c r="J1658">
        <v>1985</v>
      </c>
      <c r="K1658" s="4">
        <v>44975</v>
      </c>
      <c r="L1658" t="s">
        <v>20</v>
      </c>
      <c r="M1658" t="s">
        <v>82</v>
      </c>
      <c r="N1658">
        <v>1.59</v>
      </c>
      <c r="O1658">
        <v>859</v>
      </c>
      <c r="P1658">
        <v>3.08</v>
      </c>
      <c r="Q1658">
        <v>281</v>
      </c>
      <c r="R1658">
        <v>330</v>
      </c>
    </row>
    <row r="1659" spans="1:18" x14ac:dyDescent="0.2">
      <c r="A1659">
        <v>8</v>
      </c>
      <c r="B1659" t="s">
        <v>73</v>
      </c>
      <c r="C1659" t="str">
        <f>VLOOKUP(B1659, 'Council Area'!$A$2:$B$51, 2)</f>
        <v>Ku-ring-gai Council</v>
      </c>
      <c r="D1659" t="str">
        <f>_xlfn.XLOOKUP(B1659, 'Council Area'!$A$2:$A$51, 'Council Area'!$B$2:$B$51)</f>
        <v>Ku-ring-gai Council</v>
      </c>
      <c r="E1659" t="s">
        <v>36</v>
      </c>
      <c r="F1659">
        <v>1968020</v>
      </c>
      <c r="G1659">
        <v>3</v>
      </c>
      <c r="H1659">
        <v>2</v>
      </c>
      <c r="I1659">
        <v>801</v>
      </c>
      <c r="J1659">
        <v>1989</v>
      </c>
      <c r="K1659" s="4">
        <v>44400</v>
      </c>
      <c r="L1659" t="s">
        <v>26</v>
      </c>
      <c r="M1659" t="s">
        <v>56</v>
      </c>
      <c r="N1659">
        <v>2.68</v>
      </c>
      <c r="O1659">
        <v>1391</v>
      </c>
      <c r="P1659">
        <v>3.47</v>
      </c>
      <c r="Q1659">
        <v>160</v>
      </c>
      <c r="R1659">
        <v>569</v>
      </c>
    </row>
    <row r="1660" spans="1:18" hidden="1" x14ac:dyDescent="0.2">
      <c r="A1660">
        <v>1</v>
      </c>
      <c r="B1660" t="s">
        <v>88</v>
      </c>
      <c r="E1660" t="s">
        <v>19</v>
      </c>
      <c r="F1660">
        <v>814611</v>
      </c>
      <c r="G1660">
        <v>4</v>
      </c>
      <c r="H1660">
        <v>1</v>
      </c>
      <c r="I1660">
        <v>183</v>
      </c>
      <c r="J1660">
        <v>1976</v>
      </c>
      <c r="K1660" s="4">
        <v>44557</v>
      </c>
      <c r="L1660" t="s">
        <v>23</v>
      </c>
      <c r="M1660" t="s">
        <v>45</v>
      </c>
      <c r="N1660">
        <v>3.39</v>
      </c>
      <c r="O1660">
        <v>2248</v>
      </c>
      <c r="P1660">
        <v>4.01</v>
      </c>
      <c r="Q1660">
        <v>247</v>
      </c>
      <c r="R1660">
        <v>325</v>
      </c>
    </row>
    <row r="1661" spans="1:18" hidden="1" x14ac:dyDescent="0.2">
      <c r="A1661">
        <v>2</v>
      </c>
      <c r="B1661" t="s">
        <v>90</v>
      </c>
      <c r="E1661" t="s">
        <v>29</v>
      </c>
      <c r="F1661">
        <v>1607475</v>
      </c>
      <c r="G1661">
        <v>1</v>
      </c>
      <c r="H1661">
        <v>1</v>
      </c>
      <c r="I1661">
        <v>377</v>
      </c>
      <c r="J1661">
        <v>1965</v>
      </c>
      <c r="K1661" s="4">
        <v>44347</v>
      </c>
      <c r="L1661" t="s">
        <v>30</v>
      </c>
      <c r="M1661" t="s">
        <v>97</v>
      </c>
      <c r="N1661">
        <v>2.16</v>
      </c>
      <c r="O1661">
        <v>1351</v>
      </c>
      <c r="P1661">
        <v>3.28</v>
      </c>
      <c r="Q1661">
        <v>160</v>
      </c>
      <c r="R1661">
        <v>345</v>
      </c>
    </row>
    <row r="1662" spans="1:18" hidden="1" x14ac:dyDescent="0.2">
      <c r="A1662">
        <v>9</v>
      </c>
      <c r="B1662" t="s">
        <v>92</v>
      </c>
      <c r="E1662" t="s">
        <v>36</v>
      </c>
      <c r="F1662">
        <v>2849130</v>
      </c>
      <c r="G1662">
        <v>3</v>
      </c>
      <c r="H1662">
        <v>3</v>
      </c>
      <c r="I1662">
        <v>244</v>
      </c>
      <c r="J1662">
        <v>2014</v>
      </c>
      <c r="K1662" s="4">
        <v>44418</v>
      </c>
      <c r="L1662" t="s">
        <v>23</v>
      </c>
      <c r="M1662" t="s">
        <v>40</v>
      </c>
      <c r="N1662">
        <v>2.7</v>
      </c>
      <c r="O1662">
        <v>1880</v>
      </c>
      <c r="P1662">
        <v>1.79</v>
      </c>
      <c r="Q1662">
        <v>262</v>
      </c>
      <c r="R1662">
        <v>644</v>
      </c>
    </row>
    <row r="1663" spans="1:18" hidden="1" x14ac:dyDescent="0.2">
      <c r="A1663">
        <v>7</v>
      </c>
      <c r="B1663" t="s">
        <v>67</v>
      </c>
      <c r="E1663" t="s">
        <v>36</v>
      </c>
      <c r="F1663">
        <v>1402505</v>
      </c>
      <c r="G1663">
        <v>4</v>
      </c>
      <c r="H1663">
        <v>3</v>
      </c>
      <c r="I1663">
        <v>785</v>
      </c>
      <c r="J1663">
        <v>1983</v>
      </c>
      <c r="K1663" s="4">
        <v>44095</v>
      </c>
      <c r="L1663" t="s">
        <v>26</v>
      </c>
      <c r="M1663" t="s">
        <v>27</v>
      </c>
      <c r="N1663">
        <v>2.4500000000000002</v>
      </c>
      <c r="O1663">
        <v>1501</v>
      </c>
      <c r="P1663">
        <v>0.39</v>
      </c>
      <c r="Q1663">
        <v>173</v>
      </c>
      <c r="R1663">
        <v>356</v>
      </c>
    </row>
    <row r="1664" spans="1:18" hidden="1" x14ac:dyDescent="0.2">
      <c r="A1664">
        <v>6</v>
      </c>
      <c r="B1664" t="s">
        <v>39</v>
      </c>
      <c r="E1664" t="s">
        <v>36</v>
      </c>
      <c r="F1664">
        <v>1785279</v>
      </c>
      <c r="G1664">
        <v>6</v>
      </c>
      <c r="H1664">
        <v>1</v>
      </c>
      <c r="I1664">
        <v>62</v>
      </c>
      <c r="J1664">
        <v>1989</v>
      </c>
      <c r="K1664" s="4">
        <v>44163</v>
      </c>
      <c r="L1664" t="s">
        <v>23</v>
      </c>
      <c r="M1664" t="s">
        <v>33</v>
      </c>
      <c r="N1664">
        <v>2.3199999999999998</v>
      </c>
      <c r="O1664">
        <v>2476</v>
      </c>
      <c r="P1664">
        <v>3.12</v>
      </c>
      <c r="Q1664">
        <v>374</v>
      </c>
      <c r="R1664">
        <v>514</v>
      </c>
    </row>
    <row r="1665" spans="1:18" hidden="1" x14ac:dyDescent="0.2">
      <c r="A1665">
        <v>1</v>
      </c>
      <c r="B1665" t="s">
        <v>32</v>
      </c>
      <c r="E1665" t="s">
        <v>29</v>
      </c>
      <c r="F1665">
        <v>977165</v>
      </c>
      <c r="G1665">
        <v>1</v>
      </c>
      <c r="H1665">
        <v>3</v>
      </c>
      <c r="I1665">
        <v>530</v>
      </c>
      <c r="J1665">
        <v>1960</v>
      </c>
      <c r="K1665" s="4">
        <v>45861</v>
      </c>
      <c r="L1665" t="s">
        <v>20</v>
      </c>
      <c r="M1665" t="s">
        <v>63</v>
      </c>
      <c r="N1665">
        <v>1.82</v>
      </c>
      <c r="O1665">
        <v>1613</v>
      </c>
      <c r="P1665">
        <v>4.9400000000000004</v>
      </c>
      <c r="Q1665">
        <v>61</v>
      </c>
      <c r="R1665">
        <v>665</v>
      </c>
    </row>
    <row r="1666" spans="1:18" hidden="1" x14ac:dyDescent="0.2">
      <c r="A1666">
        <v>9</v>
      </c>
      <c r="B1666" t="s">
        <v>28</v>
      </c>
      <c r="E1666" t="s">
        <v>29</v>
      </c>
      <c r="F1666">
        <v>1144201</v>
      </c>
      <c r="G1666">
        <v>3</v>
      </c>
      <c r="H1666">
        <v>1</v>
      </c>
      <c r="I1666">
        <v>134</v>
      </c>
      <c r="J1666">
        <v>1982</v>
      </c>
      <c r="K1666" s="4">
        <v>44638</v>
      </c>
      <c r="L1666" t="s">
        <v>20</v>
      </c>
      <c r="M1666" t="s">
        <v>45</v>
      </c>
      <c r="N1666">
        <v>2.69</v>
      </c>
      <c r="O1666">
        <v>1504</v>
      </c>
      <c r="P1666">
        <v>3.21</v>
      </c>
      <c r="Q1666">
        <v>199</v>
      </c>
      <c r="R1666">
        <v>602</v>
      </c>
    </row>
    <row r="1667" spans="1:18" hidden="1" x14ac:dyDescent="0.2">
      <c r="A1667">
        <v>3</v>
      </c>
      <c r="B1667" t="s">
        <v>87</v>
      </c>
      <c r="E1667" t="s">
        <v>19</v>
      </c>
      <c r="F1667">
        <v>568409</v>
      </c>
      <c r="G1667">
        <v>3</v>
      </c>
      <c r="H1667">
        <v>2</v>
      </c>
      <c r="I1667">
        <v>874</v>
      </c>
      <c r="J1667">
        <v>2015</v>
      </c>
      <c r="K1667" s="4">
        <v>44577</v>
      </c>
      <c r="L1667" t="s">
        <v>30</v>
      </c>
      <c r="M1667" t="s">
        <v>74</v>
      </c>
      <c r="N1667">
        <v>1.66</v>
      </c>
      <c r="O1667">
        <v>1576</v>
      </c>
      <c r="P1667">
        <v>2.98</v>
      </c>
      <c r="Q1667">
        <v>281</v>
      </c>
      <c r="R1667">
        <v>439</v>
      </c>
    </row>
    <row r="1668" spans="1:18" hidden="1" x14ac:dyDescent="0.2">
      <c r="A1668">
        <v>0</v>
      </c>
      <c r="B1668" t="s">
        <v>49</v>
      </c>
      <c r="E1668" t="s">
        <v>51</v>
      </c>
      <c r="F1668">
        <v>2284394</v>
      </c>
      <c r="G1668">
        <v>5</v>
      </c>
      <c r="H1668">
        <v>3</v>
      </c>
      <c r="I1668">
        <v>352</v>
      </c>
      <c r="J1668">
        <v>1981</v>
      </c>
      <c r="K1668" s="4">
        <v>45358</v>
      </c>
      <c r="L1668" t="s">
        <v>23</v>
      </c>
      <c r="M1668" t="s">
        <v>60</v>
      </c>
      <c r="N1668">
        <v>2.0699999999999998</v>
      </c>
      <c r="O1668">
        <v>1939</v>
      </c>
      <c r="P1668">
        <v>2.2799999999999998</v>
      </c>
      <c r="Q1668">
        <v>358</v>
      </c>
      <c r="R1668">
        <v>410</v>
      </c>
    </row>
    <row r="1669" spans="1:18" hidden="1" x14ac:dyDescent="0.2">
      <c r="A1669">
        <v>1</v>
      </c>
      <c r="B1669" t="s">
        <v>22</v>
      </c>
      <c r="E1669" t="s">
        <v>51</v>
      </c>
      <c r="F1669">
        <v>1875122</v>
      </c>
      <c r="G1669">
        <v>4</v>
      </c>
      <c r="H1669">
        <v>1</v>
      </c>
      <c r="I1669">
        <v>615</v>
      </c>
      <c r="J1669">
        <v>1971</v>
      </c>
      <c r="K1669" s="4">
        <v>45682</v>
      </c>
      <c r="L1669" t="s">
        <v>23</v>
      </c>
      <c r="M1669" t="s">
        <v>27</v>
      </c>
      <c r="N1669">
        <v>3.05</v>
      </c>
      <c r="O1669">
        <v>1648</v>
      </c>
      <c r="P1669">
        <v>4.2300000000000004</v>
      </c>
      <c r="Q1669">
        <v>209</v>
      </c>
      <c r="R1669">
        <v>497</v>
      </c>
    </row>
    <row r="1670" spans="1:18" hidden="1" x14ac:dyDescent="0.2">
      <c r="A1670">
        <v>3</v>
      </c>
      <c r="B1670" t="s">
        <v>34</v>
      </c>
      <c r="E1670" t="s">
        <v>19</v>
      </c>
      <c r="F1670">
        <v>2050341</v>
      </c>
      <c r="G1670">
        <v>3</v>
      </c>
      <c r="H1670">
        <v>2</v>
      </c>
      <c r="I1670">
        <v>729</v>
      </c>
      <c r="J1670">
        <v>1972</v>
      </c>
      <c r="K1670" s="4">
        <v>44733</v>
      </c>
      <c r="L1670" t="s">
        <v>26</v>
      </c>
      <c r="M1670" t="s">
        <v>77</v>
      </c>
      <c r="N1670">
        <v>1.6</v>
      </c>
      <c r="O1670">
        <v>1759</v>
      </c>
      <c r="P1670">
        <v>3.62</v>
      </c>
      <c r="Q1670">
        <v>188</v>
      </c>
      <c r="R1670">
        <v>508</v>
      </c>
    </row>
    <row r="1671" spans="1:18" hidden="1" x14ac:dyDescent="0.2">
      <c r="A1671">
        <v>4</v>
      </c>
      <c r="B1671" t="s">
        <v>71</v>
      </c>
      <c r="E1671" t="s">
        <v>19</v>
      </c>
      <c r="F1671">
        <v>2927580</v>
      </c>
      <c r="G1671">
        <v>2</v>
      </c>
      <c r="H1671">
        <v>3</v>
      </c>
      <c r="I1671">
        <v>241</v>
      </c>
      <c r="J1671">
        <v>2022</v>
      </c>
      <c r="K1671" s="4">
        <v>45428</v>
      </c>
      <c r="L1671" t="s">
        <v>30</v>
      </c>
      <c r="M1671" t="s">
        <v>85</v>
      </c>
      <c r="N1671">
        <v>2.02</v>
      </c>
      <c r="O1671">
        <v>2268</v>
      </c>
      <c r="P1671">
        <v>3.48</v>
      </c>
      <c r="Q1671">
        <v>93</v>
      </c>
      <c r="R1671">
        <v>692</v>
      </c>
    </row>
    <row r="1672" spans="1:18" hidden="1" x14ac:dyDescent="0.2">
      <c r="A1672">
        <v>3</v>
      </c>
      <c r="B1672" t="s">
        <v>44</v>
      </c>
      <c r="E1672" t="s">
        <v>29</v>
      </c>
      <c r="F1672">
        <v>458074</v>
      </c>
      <c r="G1672">
        <v>4</v>
      </c>
      <c r="H1672">
        <v>3</v>
      </c>
      <c r="I1672">
        <v>952</v>
      </c>
      <c r="J1672">
        <v>1987</v>
      </c>
      <c r="K1672" s="4">
        <v>44138</v>
      </c>
      <c r="L1672" t="s">
        <v>26</v>
      </c>
      <c r="M1672" t="s">
        <v>35</v>
      </c>
      <c r="N1672">
        <v>2.92</v>
      </c>
      <c r="O1672">
        <v>1637</v>
      </c>
      <c r="P1672">
        <v>4.16</v>
      </c>
      <c r="Q1672">
        <v>357</v>
      </c>
      <c r="R1672">
        <v>397</v>
      </c>
    </row>
    <row r="1673" spans="1:18" hidden="1" x14ac:dyDescent="0.2">
      <c r="A1673">
        <v>3</v>
      </c>
      <c r="B1673" t="s">
        <v>25</v>
      </c>
      <c r="E1673" t="s">
        <v>19</v>
      </c>
      <c r="F1673">
        <v>616046</v>
      </c>
      <c r="G1673">
        <v>2</v>
      </c>
      <c r="H1673">
        <v>2</v>
      </c>
      <c r="I1673">
        <v>145</v>
      </c>
      <c r="J1673">
        <v>1994</v>
      </c>
      <c r="K1673" s="4">
        <v>45732</v>
      </c>
      <c r="L1673" t="s">
        <v>26</v>
      </c>
      <c r="M1673" t="s">
        <v>56</v>
      </c>
      <c r="N1673">
        <v>2.29</v>
      </c>
      <c r="O1673">
        <v>847</v>
      </c>
      <c r="P1673">
        <v>3.74</v>
      </c>
      <c r="Q1673">
        <v>159</v>
      </c>
      <c r="R1673">
        <v>548</v>
      </c>
    </row>
    <row r="1674" spans="1:18" hidden="1" x14ac:dyDescent="0.2">
      <c r="A1674">
        <v>0</v>
      </c>
      <c r="B1674" t="s">
        <v>79</v>
      </c>
      <c r="E1674" t="s">
        <v>19</v>
      </c>
      <c r="F1674">
        <v>1948163</v>
      </c>
      <c r="G1674">
        <v>6</v>
      </c>
      <c r="H1674">
        <v>2</v>
      </c>
      <c r="I1674">
        <v>118</v>
      </c>
      <c r="J1674">
        <v>1975</v>
      </c>
      <c r="K1674" s="4">
        <v>45133</v>
      </c>
      <c r="L1674" t="s">
        <v>26</v>
      </c>
      <c r="M1674" t="s">
        <v>47</v>
      </c>
      <c r="N1674">
        <v>2.88</v>
      </c>
      <c r="O1674">
        <v>1482</v>
      </c>
      <c r="P1674">
        <v>1.07</v>
      </c>
      <c r="Q1674">
        <v>393</v>
      </c>
      <c r="R1674">
        <v>316</v>
      </c>
    </row>
    <row r="1675" spans="1:18" hidden="1" x14ac:dyDescent="0.2">
      <c r="A1675">
        <v>0</v>
      </c>
      <c r="B1675" t="s">
        <v>32</v>
      </c>
      <c r="E1675" t="s">
        <v>29</v>
      </c>
      <c r="F1675">
        <v>629862</v>
      </c>
      <c r="G1675">
        <v>1</v>
      </c>
      <c r="H1675">
        <v>3</v>
      </c>
      <c r="I1675">
        <v>842</v>
      </c>
      <c r="J1675">
        <v>1985</v>
      </c>
      <c r="K1675" s="4">
        <v>44853</v>
      </c>
      <c r="L1675" t="s">
        <v>30</v>
      </c>
      <c r="M1675" t="s">
        <v>78</v>
      </c>
      <c r="N1675">
        <v>1.99</v>
      </c>
      <c r="O1675">
        <v>1986</v>
      </c>
      <c r="P1675">
        <v>0.24</v>
      </c>
      <c r="Q1675">
        <v>41</v>
      </c>
      <c r="R1675">
        <v>666</v>
      </c>
    </row>
    <row r="1676" spans="1:18" x14ac:dyDescent="0.2">
      <c r="A1676">
        <v>8</v>
      </c>
      <c r="B1676" t="s">
        <v>55</v>
      </c>
      <c r="C1676" t="str">
        <f>VLOOKUP(B1676, 'Council Area'!$A$2:$B$51, 2)</f>
        <v>City of Sydney</v>
      </c>
      <c r="D1676" t="str">
        <f>_xlfn.XLOOKUP(B1676, 'Council Area'!$A$2:$A$51, 'Council Area'!$B$2:$B$51)</f>
        <v>City of Sydney</v>
      </c>
      <c r="E1676" t="s">
        <v>36</v>
      </c>
      <c r="F1676">
        <v>2978886</v>
      </c>
      <c r="G1676">
        <v>2</v>
      </c>
      <c r="H1676">
        <v>1</v>
      </c>
      <c r="I1676">
        <v>397</v>
      </c>
      <c r="J1676">
        <v>1992</v>
      </c>
      <c r="K1676" s="4">
        <v>44263</v>
      </c>
      <c r="L1676" t="s">
        <v>23</v>
      </c>
      <c r="M1676" t="s">
        <v>40</v>
      </c>
      <c r="N1676">
        <v>1.93</v>
      </c>
      <c r="O1676">
        <v>2353</v>
      </c>
      <c r="P1676">
        <v>1.25</v>
      </c>
      <c r="Q1676">
        <v>224</v>
      </c>
      <c r="R1676">
        <v>385</v>
      </c>
    </row>
    <row r="1677" spans="1:18" hidden="1" x14ac:dyDescent="0.2">
      <c r="A1677">
        <v>7</v>
      </c>
      <c r="B1677" t="s">
        <v>38</v>
      </c>
      <c r="E1677" t="s">
        <v>19</v>
      </c>
      <c r="F1677">
        <v>707693</v>
      </c>
      <c r="G1677">
        <v>4</v>
      </c>
      <c r="H1677">
        <v>1</v>
      </c>
      <c r="I1677">
        <v>612</v>
      </c>
      <c r="J1677">
        <v>1963</v>
      </c>
      <c r="K1677" s="4">
        <v>45513</v>
      </c>
      <c r="L1677" t="s">
        <v>20</v>
      </c>
      <c r="M1677" t="s">
        <v>60</v>
      </c>
      <c r="N1677">
        <v>3.22</v>
      </c>
      <c r="O1677">
        <v>1716</v>
      </c>
      <c r="P1677">
        <v>4.5199999999999996</v>
      </c>
      <c r="Q1677">
        <v>272</v>
      </c>
      <c r="R1677">
        <v>320</v>
      </c>
    </row>
    <row r="1678" spans="1:18" hidden="1" x14ac:dyDescent="0.2">
      <c r="A1678">
        <v>4</v>
      </c>
      <c r="B1678" t="s">
        <v>49</v>
      </c>
      <c r="E1678" t="s">
        <v>51</v>
      </c>
      <c r="F1678">
        <v>905096</v>
      </c>
      <c r="G1678">
        <v>4</v>
      </c>
      <c r="H1678">
        <v>3</v>
      </c>
      <c r="I1678">
        <v>407</v>
      </c>
      <c r="J1678">
        <v>2020</v>
      </c>
      <c r="K1678" s="4">
        <v>45038</v>
      </c>
      <c r="L1678" t="s">
        <v>30</v>
      </c>
      <c r="M1678" t="s">
        <v>74</v>
      </c>
      <c r="N1678">
        <v>2.85</v>
      </c>
      <c r="O1678">
        <v>2198</v>
      </c>
      <c r="P1678">
        <v>0.97</v>
      </c>
      <c r="Q1678">
        <v>333</v>
      </c>
      <c r="R1678">
        <v>556</v>
      </c>
    </row>
    <row r="1679" spans="1:18" hidden="1" x14ac:dyDescent="0.2">
      <c r="A1679">
        <v>0</v>
      </c>
      <c r="B1679" t="s">
        <v>55</v>
      </c>
      <c r="E1679" t="s">
        <v>51</v>
      </c>
      <c r="F1679">
        <v>1903306</v>
      </c>
      <c r="G1679">
        <v>1</v>
      </c>
      <c r="H1679">
        <v>1</v>
      </c>
      <c r="I1679">
        <v>423</v>
      </c>
      <c r="J1679">
        <v>2020</v>
      </c>
      <c r="K1679" s="4">
        <v>44286</v>
      </c>
      <c r="L1679" t="s">
        <v>26</v>
      </c>
      <c r="M1679" t="s">
        <v>85</v>
      </c>
      <c r="N1679">
        <v>2.73</v>
      </c>
      <c r="O1679">
        <v>1969</v>
      </c>
      <c r="P1679">
        <v>1.72</v>
      </c>
      <c r="Q1679">
        <v>46</v>
      </c>
      <c r="R1679">
        <v>406</v>
      </c>
    </row>
    <row r="1680" spans="1:18" hidden="1" x14ac:dyDescent="0.2">
      <c r="A1680">
        <v>6</v>
      </c>
      <c r="B1680" t="s">
        <v>101</v>
      </c>
      <c r="E1680" t="s">
        <v>19</v>
      </c>
      <c r="F1680">
        <v>2692995</v>
      </c>
      <c r="G1680">
        <v>3</v>
      </c>
      <c r="H1680">
        <v>1</v>
      </c>
      <c r="I1680">
        <v>555</v>
      </c>
      <c r="J1680">
        <v>1973</v>
      </c>
      <c r="K1680" s="4">
        <v>44347</v>
      </c>
      <c r="L1680" t="s">
        <v>23</v>
      </c>
      <c r="M1680" t="s">
        <v>74</v>
      </c>
      <c r="N1680">
        <v>1.98</v>
      </c>
      <c r="O1680">
        <v>1866</v>
      </c>
      <c r="P1680">
        <v>0.76</v>
      </c>
      <c r="Q1680">
        <v>251</v>
      </c>
      <c r="R1680">
        <v>590</v>
      </c>
    </row>
    <row r="1681" spans="1:18" hidden="1" x14ac:dyDescent="0.2">
      <c r="A1681">
        <v>4</v>
      </c>
      <c r="B1681" t="s">
        <v>72</v>
      </c>
      <c r="E1681" t="s">
        <v>36</v>
      </c>
      <c r="F1681">
        <v>2893168</v>
      </c>
      <c r="G1681">
        <v>2</v>
      </c>
      <c r="H1681">
        <v>3</v>
      </c>
      <c r="I1681">
        <v>997</v>
      </c>
      <c r="J1681">
        <v>1981</v>
      </c>
      <c r="K1681" s="4">
        <v>44171</v>
      </c>
      <c r="L1681" t="s">
        <v>26</v>
      </c>
      <c r="M1681" t="s">
        <v>60</v>
      </c>
      <c r="N1681">
        <v>2.3199999999999998</v>
      </c>
      <c r="O1681">
        <v>2012</v>
      </c>
      <c r="P1681">
        <v>3.17</v>
      </c>
      <c r="Q1681">
        <v>105</v>
      </c>
      <c r="R1681">
        <v>630</v>
      </c>
    </row>
    <row r="1682" spans="1:18" hidden="1" x14ac:dyDescent="0.2">
      <c r="A1682">
        <v>3</v>
      </c>
      <c r="B1682" t="s">
        <v>18</v>
      </c>
      <c r="E1682" t="s">
        <v>51</v>
      </c>
      <c r="F1682">
        <v>454910</v>
      </c>
      <c r="G1682">
        <v>1</v>
      </c>
      <c r="H1682">
        <v>3</v>
      </c>
      <c r="I1682">
        <v>809</v>
      </c>
      <c r="J1682">
        <v>1994</v>
      </c>
      <c r="K1682" s="4">
        <v>44923</v>
      </c>
      <c r="L1682" t="s">
        <v>20</v>
      </c>
      <c r="M1682" t="s">
        <v>66</v>
      </c>
      <c r="N1682">
        <v>2.99</v>
      </c>
      <c r="O1682">
        <v>904</v>
      </c>
      <c r="P1682">
        <v>0.48</v>
      </c>
      <c r="Q1682">
        <v>147</v>
      </c>
      <c r="R1682">
        <v>578</v>
      </c>
    </row>
    <row r="1683" spans="1:18" hidden="1" x14ac:dyDescent="0.2">
      <c r="A1683">
        <v>2</v>
      </c>
      <c r="B1683" t="s">
        <v>65</v>
      </c>
      <c r="E1683" t="s">
        <v>29</v>
      </c>
      <c r="F1683">
        <v>2394330</v>
      </c>
      <c r="G1683">
        <v>4</v>
      </c>
      <c r="H1683">
        <v>2</v>
      </c>
      <c r="I1683">
        <v>835</v>
      </c>
      <c r="J1683">
        <v>1976</v>
      </c>
      <c r="K1683" s="4">
        <v>44600</v>
      </c>
      <c r="L1683" t="s">
        <v>20</v>
      </c>
      <c r="M1683" t="s">
        <v>70</v>
      </c>
      <c r="N1683">
        <v>1.51</v>
      </c>
      <c r="O1683">
        <v>1691</v>
      </c>
      <c r="P1683">
        <v>0.71</v>
      </c>
      <c r="Q1683">
        <v>244</v>
      </c>
      <c r="R1683">
        <v>697</v>
      </c>
    </row>
    <row r="1684" spans="1:18" hidden="1" x14ac:dyDescent="0.2">
      <c r="A1684">
        <v>7</v>
      </c>
      <c r="B1684" t="s">
        <v>72</v>
      </c>
      <c r="E1684" t="s">
        <v>19</v>
      </c>
      <c r="F1684">
        <v>1419838</v>
      </c>
      <c r="G1684">
        <v>2</v>
      </c>
      <c r="H1684">
        <v>3</v>
      </c>
      <c r="I1684">
        <v>451</v>
      </c>
      <c r="J1684">
        <v>2022</v>
      </c>
      <c r="K1684" s="4">
        <v>44839</v>
      </c>
      <c r="L1684" t="s">
        <v>26</v>
      </c>
      <c r="M1684" t="s">
        <v>56</v>
      </c>
      <c r="N1684">
        <v>2.78</v>
      </c>
      <c r="O1684">
        <v>2082</v>
      </c>
      <c r="P1684">
        <v>2.21</v>
      </c>
      <c r="Q1684">
        <v>43</v>
      </c>
      <c r="R1684">
        <v>450</v>
      </c>
    </row>
    <row r="1685" spans="1:18" hidden="1" x14ac:dyDescent="0.2">
      <c r="A1685">
        <v>5</v>
      </c>
      <c r="B1685" t="s">
        <v>87</v>
      </c>
      <c r="E1685" t="s">
        <v>36</v>
      </c>
      <c r="F1685">
        <v>1663734</v>
      </c>
      <c r="G1685">
        <v>6</v>
      </c>
      <c r="H1685">
        <v>2</v>
      </c>
      <c r="I1685">
        <v>177</v>
      </c>
      <c r="J1685">
        <v>1977</v>
      </c>
      <c r="K1685" s="4">
        <v>44814</v>
      </c>
      <c r="L1685" t="s">
        <v>30</v>
      </c>
      <c r="M1685" t="s">
        <v>27</v>
      </c>
      <c r="N1685">
        <v>1.58</v>
      </c>
      <c r="O1685">
        <v>1901</v>
      </c>
      <c r="P1685">
        <v>2.38</v>
      </c>
      <c r="Q1685">
        <v>363</v>
      </c>
      <c r="R1685">
        <v>549</v>
      </c>
    </row>
    <row r="1686" spans="1:18" hidden="1" x14ac:dyDescent="0.2">
      <c r="A1686">
        <v>9</v>
      </c>
      <c r="B1686" t="s">
        <v>55</v>
      </c>
      <c r="E1686" t="s">
        <v>19</v>
      </c>
      <c r="F1686">
        <v>2664274</v>
      </c>
      <c r="G1686">
        <v>4</v>
      </c>
      <c r="H1686">
        <v>1</v>
      </c>
      <c r="I1686">
        <v>351</v>
      </c>
      <c r="J1686">
        <v>1975</v>
      </c>
      <c r="K1686" s="4">
        <v>45289</v>
      </c>
      <c r="L1686" t="s">
        <v>30</v>
      </c>
      <c r="M1686" t="s">
        <v>85</v>
      </c>
      <c r="N1686">
        <v>3.3</v>
      </c>
      <c r="O1686">
        <v>1353</v>
      </c>
      <c r="P1686">
        <v>2.04</v>
      </c>
      <c r="Q1686">
        <v>316</v>
      </c>
      <c r="R1686">
        <v>401</v>
      </c>
    </row>
    <row r="1687" spans="1:18" hidden="1" x14ac:dyDescent="0.2">
      <c r="A1687">
        <v>4</v>
      </c>
      <c r="B1687" t="s">
        <v>44</v>
      </c>
      <c r="E1687" t="s">
        <v>19</v>
      </c>
      <c r="F1687">
        <v>1101237</v>
      </c>
      <c r="G1687">
        <v>5</v>
      </c>
      <c r="H1687">
        <v>1</v>
      </c>
      <c r="I1687">
        <v>313</v>
      </c>
      <c r="J1687">
        <v>1992</v>
      </c>
      <c r="K1687" s="4">
        <v>44241</v>
      </c>
      <c r="L1687" t="s">
        <v>23</v>
      </c>
      <c r="M1687" t="s">
        <v>69</v>
      </c>
      <c r="N1687">
        <v>2.54</v>
      </c>
      <c r="O1687">
        <v>1542</v>
      </c>
      <c r="P1687">
        <v>1.76</v>
      </c>
      <c r="Q1687">
        <v>279</v>
      </c>
      <c r="R1687">
        <v>420</v>
      </c>
    </row>
    <row r="1688" spans="1:18" x14ac:dyDescent="0.2">
      <c r="A1688">
        <v>8</v>
      </c>
      <c r="B1688" t="s">
        <v>106</v>
      </c>
      <c r="C1688" t="str">
        <f>VLOOKUP(B1688, 'Council Area'!$A$2:$B$51, 2)</f>
        <v>Hornsby Shire Council</v>
      </c>
      <c r="D1688" t="str">
        <f>_xlfn.XLOOKUP(B1688, 'Council Area'!$A$2:$A$51, 'Council Area'!$B$2:$B$51)</f>
        <v>Hornsby Shire Council</v>
      </c>
      <c r="E1688" t="s">
        <v>19</v>
      </c>
      <c r="F1688">
        <v>462412</v>
      </c>
      <c r="G1688">
        <v>5</v>
      </c>
      <c r="H1688">
        <v>3</v>
      </c>
      <c r="I1688">
        <v>111</v>
      </c>
      <c r="J1688">
        <v>1994</v>
      </c>
      <c r="K1688" s="4">
        <v>45533</v>
      </c>
      <c r="L1688" t="s">
        <v>26</v>
      </c>
      <c r="M1688" t="s">
        <v>59</v>
      </c>
      <c r="N1688">
        <v>3.49</v>
      </c>
      <c r="O1688">
        <v>1482</v>
      </c>
      <c r="P1688">
        <v>0.79</v>
      </c>
      <c r="Q1688">
        <v>278</v>
      </c>
      <c r="R1688">
        <v>488</v>
      </c>
    </row>
    <row r="1689" spans="1:18" hidden="1" x14ac:dyDescent="0.2">
      <c r="A1689">
        <v>7</v>
      </c>
      <c r="B1689" t="s">
        <v>87</v>
      </c>
      <c r="E1689" t="s">
        <v>51</v>
      </c>
      <c r="F1689">
        <v>489337</v>
      </c>
      <c r="G1689">
        <v>2</v>
      </c>
      <c r="H1689">
        <v>1</v>
      </c>
      <c r="I1689">
        <v>116</v>
      </c>
      <c r="J1689">
        <v>1994</v>
      </c>
      <c r="K1689" s="4">
        <v>44524</v>
      </c>
      <c r="L1689" t="s">
        <v>23</v>
      </c>
      <c r="M1689" t="s">
        <v>40</v>
      </c>
      <c r="N1689">
        <v>2.56</v>
      </c>
      <c r="O1689">
        <v>1497</v>
      </c>
      <c r="P1689">
        <v>2.5099999999999998</v>
      </c>
      <c r="Q1689">
        <v>208</v>
      </c>
      <c r="R1689">
        <v>425</v>
      </c>
    </row>
    <row r="1690" spans="1:18" hidden="1" x14ac:dyDescent="0.2">
      <c r="A1690">
        <v>3</v>
      </c>
      <c r="B1690" t="s">
        <v>44</v>
      </c>
      <c r="E1690" t="s">
        <v>29</v>
      </c>
      <c r="F1690">
        <v>436819</v>
      </c>
      <c r="G1690">
        <v>5</v>
      </c>
      <c r="H1690">
        <v>3</v>
      </c>
      <c r="I1690">
        <v>503</v>
      </c>
      <c r="J1690">
        <v>2008</v>
      </c>
      <c r="K1690" s="4">
        <v>45133</v>
      </c>
      <c r="L1690" t="s">
        <v>30</v>
      </c>
      <c r="M1690" t="s">
        <v>58</v>
      </c>
      <c r="N1690">
        <v>3</v>
      </c>
      <c r="O1690">
        <v>1542</v>
      </c>
      <c r="P1690">
        <v>0.45</v>
      </c>
      <c r="Q1690">
        <v>351</v>
      </c>
      <c r="R1690">
        <v>307</v>
      </c>
    </row>
    <row r="1691" spans="1:18" hidden="1" x14ac:dyDescent="0.2">
      <c r="A1691">
        <v>2</v>
      </c>
      <c r="B1691" t="s">
        <v>39</v>
      </c>
      <c r="E1691" t="s">
        <v>51</v>
      </c>
      <c r="F1691">
        <v>2891482</v>
      </c>
      <c r="G1691">
        <v>4</v>
      </c>
      <c r="H1691">
        <v>1</v>
      </c>
      <c r="I1691">
        <v>55</v>
      </c>
      <c r="J1691">
        <v>2020</v>
      </c>
      <c r="K1691" s="4">
        <v>44242</v>
      </c>
      <c r="L1691" t="s">
        <v>20</v>
      </c>
      <c r="M1691" t="s">
        <v>77</v>
      </c>
      <c r="N1691">
        <v>3.02</v>
      </c>
      <c r="O1691">
        <v>1414</v>
      </c>
      <c r="P1691">
        <v>1.95</v>
      </c>
      <c r="Q1691">
        <v>296</v>
      </c>
      <c r="R1691">
        <v>335</v>
      </c>
    </row>
    <row r="1692" spans="1:18" hidden="1" x14ac:dyDescent="0.2">
      <c r="A1692">
        <v>9</v>
      </c>
      <c r="B1692" t="s">
        <v>39</v>
      </c>
      <c r="E1692" t="s">
        <v>36</v>
      </c>
      <c r="F1692">
        <v>2608664</v>
      </c>
      <c r="G1692">
        <v>2</v>
      </c>
      <c r="H1692">
        <v>3</v>
      </c>
      <c r="I1692">
        <v>344</v>
      </c>
      <c r="J1692">
        <v>1997</v>
      </c>
      <c r="K1692" s="4">
        <v>45350</v>
      </c>
      <c r="L1692" t="s">
        <v>30</v>
      </c>
      <c r="M1692" t="s">
        <v>45</v>
      </c>
      <c r="N1692">
        <v>2.4900000000000002</v>
      </c>
      <c r="O1692">
        <v>1882</v>
      </c>
      <c r="P1692">
        <v>1.65</v>
      </c>
      <c r="Q1692">
        <v>97</v>
      </c>
      <c r="R1692">
        <v>598</v>
      </c>
    </row>
    <row r="1693" spans="1:18" hidden="1" x14ac:dyDescent="0.2">
      <c r="A1693">
        <v>5</v>
      </c>
      <c r="B1693" t="s">
        <v>46</v>
      </c>
      <c r="E1693" t="s">
        <v>51</v>
      </c>
      <c r="F1693">
        <v>2881017</v>
      </c>
      <c r="G1693">
        <v>3</v>
      </c>
      <c r="H1693">
        <v>2</v>
      </c>
      <c r="I1693">
        <v>627</v>
      </c>
      <c r="J1693">
        <v>1956</v>
      </c>
      <c r="K1693" s="4">
        <v>44106</v>
      </c>
      <c r="L1693" t="s">
        <v>26</v>
      </c>
      <c r="M1693" t="s">
        <v>27</v>
      </c>
      <c r="N1693">
        <v>1.79</v>
      </c>
      <c r="O1693">
        <v>968</v>
      </c>
      <c r="P1693">
        <v>0.74</v>
      </c>
      <c r="Q1693">
        <v>83</v>
      </c>
      <c r="R1693">
        <v>682</v>
      </c>
    </row>
    <row r="1694" spans="1:18" hidden="1" x14ac:dyDescent="0.2">
      <c r="A1694">
        <v>1</v>
      </c>
      <c r="B1694" t="s">
        <v>95</v>
      </c>
      <c r="E1694" t="s">
        <v>19</v>
      </c>
      <c r="F1694">
        <v>1513953</v>
      </c>
      <c r="G1694">
        <v>5</v>
      </c>
      <c r="H1694">
        <v>1</v>
      </c>
      <c r="I1694">
        <v>832</v>
      </c>
      <c r="J1694">
        <v>1953</v>
      </c>
      <c r="K1694" s="4">
        <v>45426</v>
      </c>
      <c r="L1694" t="s">
        <v>26</v>
      </c>
      <c r="M1694" t="s">
        <v>59</v>
      </c>
      <c r="N1694">
        <v>1.78</v>
      </c>
      <c r="O1694">
        <v>1579</v>
      </c>
      <c r="P1694">
        <v>1.32</v>
      </c>
      <c r="Q1694">
        <v>272</v>
      </c>
      <c r="R1694">
        <v>631</v>
      </c>
    </row>
    <row r="1695" spans="1:18" hidden="1" x14ac:dyDescent="0.2">
      <c r="A1695">
        <v>4</v>
      </c>
      <c r="B1695" t="s">
        <v>86</v>
      </c>
      <c r="E1695" t="s">
        <v>29</v>
      </c>
      <c r="F1695">
        <v>576632</v>
      </c>
      <c r="G1695">
        <v>3</v>
      </c>
      <c r="H1695">
        <v>1</v>
      </c>
      <c r="I1695">
        <v>194</v>
      </c>
      <c r="J1695">
        <v>1977</v>
      </c>
      <c r="K1695" s="4">
        <v>44848</v>
      </c>
      <c r="L1695" t="s">
        <v>23</v>
      </c>
      <c r="M1695" t="s">
        <v>60</v>
      </c>
      <c r="N1695">
        <v>2.93</v>
      </c>
      <c r="O1695">
        <v>1146</v>
      </c>
      <c r="P1695">
        <v>1.4</v>
      </c>
      <c r="Q1695">
        <v>185</v>
      </c>
      <c r="R1695">
        <v>347</v>
      </c>
    </row>
    <row r="1696" spans="1:18" hidden="1" x14ac:dyDescent="0.2">
      <c r="A1696">
        <v>4</v>
      </c>
      <c r="B1696" t="s">
        <v>25</v>
      </c>
      <c r="E1696" t="s">
        <v>19</v>
      </c>
      <c r="F1696">
        <v>1158989</v>
      </c>
      <c r="G1696">
        <v>2</v>
      </c>
      <c r="H1696">
        <v>1</v>
      </c>
      <c r="I1696">
        <v>896</v>
      </c>
      <c r="J1696">
        <v>1994</v>
      </c>
      <c r="K1696" s="4">
        <v>44323</v>
      </c>
      <c r="L1696" t="s">
        <v>20</v>
      </c>
      <c r="M1696" t="s">
        <v>45</v>
      </c>
      <c r="N1696">
        <v>1.86</v>
      </c>
      <c r="O1696">
        <v>1548</v>
      </c>
      <c r="P1696">
        <v>3.44</v>
      </c>
      <c r="Q1696">
        <v>134</v>
      </c>
      <c r="R1696">
        <v>433</v>
      </c>
    </row>
    <row r="1697" spans="1:18" hidden="1" x14ac:dyDescent="0.2">
      <c r="A1697">
        <v>6</v>
      </c>
      <c r="B1697" t="s">
        <v>83</v>
      </c>
      <c r="E1697" t="s">
        <v>51</v>
      </c>
      <c r="F1697">
        <v>1884249</v>
      </c>
      <c r="G1697">
        <v>2</v>
      </c>
      <c r="H1697">
        <v>2</v>
      </c>
      <c r="I1697">
        <v>784</v>
      </c>
      <c r="J1697">
        <v>1974</v>
      </c>
      <c r="K1697" s="4">
        <v>45535</v>
      </c>
      <c r="L1697" t="s">
        <v>26</v>
      </c>
      <c r="M1697" t="s">
        <v>60</v>
      </c>
      <c r="N1697">
        <v>1.88</v>
      </c>
      <c r="O1697">
        <v>2281</v>
      </c>
      <c r="P1697">
        <v>2.19</v>
      </c>
      <c r="Q1697">
        <v>143</v>
      </c>
      <c r="R1697">
        <v>661</v>
      </c>
    </row>
    <row r="1698" spans="1:18" hidden="1" x14ac:dyDescent="0.2">
      <c r="A1698">
        <v>1</v>
      </c>
      <c r="B1698" t="s">
        <v>92</v>
      </c>
      <c r="E1698" t="s">
        <v>36</v>
      </c>
      <c r="F1698">
        <v>1871529</v>
      </c>
      <c r="G1698">
        <v>5</v>
      </c>
      <c r="H1698">
        <v>2</v>
      </c>
      <c r="I1698">
        <v>601</v>
      </c>
      <c r="J1698">
        <v>1955</v>
      </c>
      <c r="K1698" s="4">
        <v>44348</v>
      </c>
      <c r="L1698" t="s">
        <v>23</v>
      </c>
      <c r="M1698" t="s">
        <v>76</v>
      </c>
      <c r="N1698">
        <v>2.62</v>
      </c>
      <c r="O1698">
        <v>2278</v>
      </c>
      <c r="P1698">
        <v>3.34</v>
      </c>
      <c r="Q1698">
        <v>392</v>
      </c>
      <c r="R1698">
        <v>580</v>
      </c>
    </row>
    <row r="1699" spans="1:18" hidden="1" x14ac:dyDescent="0.2">
      <c r="A1699">
        <v>2</v>
      </c>
      <c r="B1699" t="s">
        <v>41</v>
      </c>
      <c r="E1699" t="s">
        <v>51</v>
      </c>
      <c r="F1699">
        <v>1531086</v>
      </c>
      <c r="G1699">
        <v>4</v>
      </c>
      <c r="H1699">
        <v>1</v>
      </c>
      <c r="I1699">
        <v>208</v>
      </c>
      <c r="J1699">
        <v>1989</v>
      </c>
      <c r="K1699" s="4">
        <v>44891</v>
      </c>
      <c r="L1699" t="s">
        <v>23</v>
      </c>
      <c r="M1699" t="s">
        <v>56</v>
      </c>
      <c r="N1699">
        <v>2.48</v>
      </c>
      <c r="O1699">
        <v>1583</v>
      </c>
      <c r="P1699">
        <v>4.3</v>
      </c>
      <c r="Q1699">
        <v>168</v>
      </c>
      <c r="R1699">
        <v>686</v>
      </c>
    </row>
    <row r="1700" spans="1:18" hidden="1" x14ac:dyDescent="0.2">
      <c r="A1700">
        <v>0</v>
      </c>
      <c r="B1700" t="s">
        <v>84</v>
      </c>
      <c r="E1700" t="s">
        <v>51</v>
      </c>
      <c r="F1700">
        <v>1044945</v>
      </c>
      <c r="G1700">
        <v>2</v>
      </c>
      <c r="H1700">
        <v>2</v>
      </c>
      <c r="I1700">
        <v>815</v>
      </c>
      <c r="J1700">
        <v>1964</v>
      </c>
      <c r="K1700" s="4">
        <v>45567</v>
      </c>
      <c r="L1700" t="s">
        <v>30</v>
      </c>
      <c r="M1700" t="s">
        <v>31</v>
      </c>
      <c r="N1700">
        <v>2.89</v>
      </c>
      <c r="O1700">
        <v>1203</v>
      </c>
      <c r="P1700">
        <v>4.25</v>
      </c>
      <c r="Q1700">
        <v>168</v>
      </c>
      <c r="R1700">
        <v>463</v>
      </c>
    </row>
    <row r="1701" spans="1:18" hidden="1" x14ac:dyDescent="0.2">
      <c r="A1701">
        <v>5</v>
      </c>
      <c r="B1701" t="s">
        <v>86</v>
      </c>
      <c r="E1701" t="s">
        <v>36</v>
      </c>
      <c r="F1701">
        <v>1840338</v>
      </c>
      <c r="G1701">
        <v>4</v>
      </c>
      <c r="H1701">
        <v>2</v>
      </c>
      <c r="I1701">
        <v>617</v>
      </c>
      <c r="J1701">
        <v>1988</v>
      </c>
      <c r="K1701" s="4">
        <v>44081</v>
      </c>
      <c r="L1701" t="s">
        <v>23</v>
      </c>
      <c r="M1701" t="s">
        <v>63</v>
      </c>
      <c r="N1701">
        <v>2.4</v>
      </c>
      <c r="O1701">
        <v>2457</v>
      </c>
      <c r="P1701">
        <v>2.23</v>
      </c>
      <c r="Q1701">
        <v>241</v>
      </c>
      <c r="R1701">
        <v>330</v>
      </c>
    </row>
    <row r="1702" spans="1:18" hidden="1" x14ac:dyDescent="0.2">
      <c r="A1702">
        <v>0</v>
      </c>
      <c r="B1702" t="s">
        <v>65</v>
      </c>
      <c r="E1702" t="s">
        <v>19</v>
      </c>
      <c r="F1702">
        <v>2210496</v>
      </c>
      <c r="G1702">
        <v>1</v>
      </c>
      <c r="H1702">
        <v>1</v>
      </c>
      <c r="I1702">
        <v>881</v>
      </c>
      <c r="J1702">
        <v>1979</v>
      </c>
      <c r="K1702" s="4">
        <v>45191</v>
      </c>
      <c r="L1702" t="s">
        <v>26</v>
      </c>
      <c r="M1702" t="s">
        <v>66</v>
      </c>
      <c r="N1702">
        <v>2.08</v>
      </c>
      <c r="O1702">
        <v>1925</v>
      </c>
      <c r="P1702">
        <v>3.2</v>
      </c>
      <c r="Q1702">
        <v>147</v>
      </c>
      <c r="R1702">
        <v>686</v>
      </c>
    </row>
    <row r="1703" spans="1:18" hidden="1" x14ac:dyDescent="0.2">
      <c r="A1703">
        <v>0</v>
      </c>
      <c r="B1703" t="s">
        <v>101</v>
      </c>
      <c r="E1703" t="s">
        <v>36</v>
      </c>
      <c r="F1703">
        <v>2315924</v>
      </c>
      <c r="G1703">
        <v>4</v>
      </c>
      <c r="H1703">
        <v>1</v>
      </c>
      <c r="I1703">
        <v>426</v>
      </c>
      <c r="J1703">
        <v>1955</v>
      </c>
      <c r="K1703" s="4">
        <v>45598</v>
      </c>
      <c r="L1703" t="s">
        <v>26</v>
      </c>
      <c r="M1703" t="s">
        <v>35</v>
      </c>
      <c r="N1703">
        <v>1.65</v>
      </c>
      <c r="O1703">
        <v>1872</v>
      </c>
      <c r="P1703">
        <v>1.33</v>
      </c>
      <c r="Q1703">
        <v>374</v>
      </c>
      <c r="R1703">
        <v>334</v>
      </c>
    </row>
    <row r="1704" spans="1:18" hidden="1" x14ac:dyDescent="0.2">
      <c r="A1704">
        <v>9</v>
      </c>
      <c r="B1704" t="s">
        <v>75</v>
      </c>
      <c r="E1704" t="s">
        <v>19</v>
      </c>
      <c r="F1704">
        <v>2067547</v>
      </c>
      <c r="G1704">
        <v>5</v>
      </c>
      <c r="H1704">
        <v>1</v>
      </c>
      <c r="I1704">
        <v>831</v>
      </c>
      <c r="J1704">
        <v>1969</v>
      </c>
      <c r="K1704" s="4">
        <v>44723</v>
      </c>
      <c r="L1704" t="s">
        <v>20</v>
      </c>
      <c r="M1704" t="s">
        <v>85</v>
      </c>
      <c r="N1704">
        <v>2.4700000000000002</v>
      </c>
      <c r="O1704">
        <v>1971</v>
      </c>
      <c r="P1704">
        <v>1.26</v>
      </c>
      <c r="Q1704">
        <v>364</v>
      </c>
      <c r="R1704">
        <v>312</v>
      </c>
    </row>
    <row r="1705" spans="1:18" hidden="1" x14ac:dyDescent="0.2">
      <c r="A1705">
        <v>0</v>
      </c>
      <c r="B1705" t="s">
        <v>94</v>
      </c>
      <c r="E1705" t="s">
        <v>29</v>
      </c>
      <c r="F1705">
        <v>1610254</v>
      </c>
      <c r="G1705">
        <v>5</v>
      </c>
      <c r="H1705">
        <v>2</v>
      </c>
      <c r="I1705">
        <v>350</v>
      </c>
      <c r="J1705">
        <v>1968</v>
      </c>
      <c r="K1705" s="4">
        <v>45633</v>
      </c>
      <c r="L1705" t="s">
        <v>23</v>
      </c>
      <c r="M1705" t="s">
        <v>33</v>
      </c>
      <c r="N1705">
        <v>2.3199999999999998</v>
      </c>
      <c r="O1705">
        <v>1813</v>
      </c>
      <c r="P1705">
        <v>2.25</v>
      </c>
      <c r="Q1705">
        <v>308</v>
      </c>
      <c r="R1705">
        <v>651</v>
      </c>
    </row>
    <row r="1706" spans="1:18" hidden="1" x14ac:dyDescent="0.2">
      <c r="A1706">
        <v>7</v>
      </c>
      <c r="B1706" t="s">
        <v>55</v>
      </c>
      <c r="E1706" t="s">
        <v>19</v>
      </c>
      <c r="F1706">
        <v>635125</v>
      </c>
      <c r="G1706">
        <v>3</v>
      </c>
      <c r="H1706">
        <v>3</v>
      </c>
      <c r="I1706">
        <v>896</v>
      </c>
      <c r="J1706">
        <v>1953</v>
      </c>
      <c r="K1706" s="4">
        <v>44493</v>
      </c>
      <c r="L1706" t="s">
        <v>23</v>
      </c>
      <c r="M1706" t="s">
        <v>42</v>
      </c>
      <c r="N1706">
        <v>2.38</v>
      </c>
      <c r="O1706">
        <v>1983</v>
      </c>
      <c r="P1706">
        <v>2.3199999999999998</v>
      </c>
      <c r="Q1706">
        <v>299</v>
      </c>
      <c r="R1706">
        <v>422</v>
      </c>
    </row>
    <row r="1707" spans="1:18" hidden="1" x14ac:dyDescent="0.2">
      <c r="A1707">
        <v>5</v>
      </c>
      <c r="B1707" t="s">
        <v>62</v>
      </c>
      <c r="E1707" t="s">
        <v>19</v>
      </c>
      <c r="F1707">
        <v>2312877</v>
      </c>
      <c r="G1707">
        <v>2</v>
      </c>
      <c r="H1707">
        <v>1</v>
      </c>
      <c r="I1707">
        <v>706</v>
      </c>
      <c r="J1707">
        <v>1983</v>
      </c>
      <c r="K1707" s="4">
        <v>45198</v>
      </c>
      <c r="L1707" t="s">
        <v>20</v>
      </c>
      <c r="M1707" t="s">
        <v>76</v>
      </c>
      <c r="N1707">
        <v>1.95</v>
      </c>
      <c r="O1707">
        <v>2374</v>
      </c>
      <c r="P1707">
        <v>4.7300000000000004</v>
      </c>
      <c r="Q1707">
        <v>137</v>
      </c>
      <c r="R1707">
        <v>615</v>
      </c>
    </row>
    <row r="1708" spans="1:18" hidden="1" x14ac:dyDescent="0.2">
      <c r="A1708">
        <v>1</v>
      </c>
      <c r="B1708" t="s">
        <v>25</v>
      </c>
      <c r="E1708" t="s">
        <v>29</v>
      </c>
      <c r="F1708">
        <v>2481371</v>
      </c>
      <c r="G1708">
        <v>6</v>
      </c>
      <c r="H1708">
        <v>1</v>
      </c>
      <c r="I1708">
        <v>222</v>
      </c>
      <c r="J1708">
        <v>1987</v>
      </c>
      <c r="K1708" s="4">
        <v>44438</v>
      </c>
      <c r="L1708" t="s">
        <v>26</v>
      </c>
      <c r="M1708" t="s">
        <v>52</v>
      </c>
      <c r="N1708">
        <v>2.86</v>
      </c>
      <c r="O1708">
        <v>1290</v>
      </c>
      <c r="P1708">
        <v>2.81</v>
      </c>
      <c r="Q1708">
        <v>337</v>
      </c>
      <c r="R1708">
        <v>516</v>
      </c>
    </row>
    <row r="1709" spans="1:18" hidden="1" x14ac:dyDescent="0.2">
      <c r="A1709">
        <v>0</v>
      </c>
      <c r="B1709" t="s">
        <v>50</v>
      </c>
      <c r="E1709" t="s">
        <v>19</v>
      </c>
      <c r="F1709">
        <v>456619</v>
      </c>
      <c r="G1709">
        <v>4</v>
      </c>
      <c r="H1709">
        <v>1</v>
      </c>
      <c r="I1709">
        <v>510</v>
      </c>
      <c r="J1709">
        <v>2006</v>
      </c>
      <c r="K1709" s="4">
        <v>45394</v>
      </c>
      <c r="L1709" t="s">
        <v>26</v>
      </c>
      <c r="M1709" t="s">
        <v>97</v>
      </c>
      <c r="N1709">
        <v>2.97</v>
      </c>
      <c r="O1709">
        <v>1772</v>
      </c>
      <c r="P1709">
        <v>3.05</v>
      </c>
      <c r="Q1709">
        <v>399</v>
      </c>
      <c r="R1709">
        <v>487</v>
      </c>
    </row>
    <row r="1710" spans="1:18" hidden="1" x14ac:dyDescent="0.2">
      <c r="A1710">
        <v>7</v>
      </c>
      <c r="B1710" t="s">
        <v>92</v>
      </c>
      <c r="E1710" t="s">
        <v>36</v>
      </c>
      <c r="F1710">
        <v>2864644</v>
      </c>
      <c r="G1710">
        <v>4</v>
      </c>
      <c r="H1710">
        <v>3</v>
      </c>
      <c r="I1710">
        <v>192</v>
      </c>
      <c r="J1710">
        <v>1979</v>
      </c>
      <c r="K1710" s="4">
        <v>45332</v>
      </c>
      <c r="L1710" t="s">
        <v>30</v>
      </c>
      <c r="M1710" t="s">
        <v>33</v>
      </c>
      <c r="N1710">
        <v>1.63</v>
      </c>
      <c r="O1710">
        <v>923</v>
      </c>
      <c r="P1710">
        <v>0.82</v>
      </c>
      <c r="Q1710">
        <v>223</v>
      </c>
      <c r="R1710">
        <v>504</v>
      </c>
    </row>
    <row r="1711" spans="1:18" hidden="1" x14ac:dyDescent="0.2">
      <c r="A1711">
        <v>2</v>
      </c>
      <c r="B1711" t="s">
        <v>43</v>
      </c>
      <c r="E1711" t="s">
        <v>51</v>
      </c>
      <c r="F1711">
        <v>432606</v>
      </c>
      <c r="G1711">
        <v>5</v>
      </c>
      <c r="H1711">
        <v>1</v>
      </c>
      <c r="I1711">
        <v>957</v>
      </c>
      <c r="J1711">
        <v>1964</v>
      </c>
      <c r="K1711" s="4">
        <v>45586</v>
      </c>
      <c r="L1711" t="s">
        <v>20</v>
      </c>
      <c r="M1711" t="s">
        <v>47</v>
      </c>
      <c r="N1711">
        <v>3.44</v>
      </c>
      <c r="O1711">
        <v>1156</v>
      </c>
      <c r="P1711">
        <v>3.14</v>
      </c>
      <c r="Q1711">
        <v>268</v>
      </c>
      <c r="R1711">
        <v>592</v>
      </c>
    </row>
    <row r="1712" spans="1:18" hidden="1" x14ac:dyDescent="0.2">
      <c r="A1712">
        <v>2</v>
      </c>
      <c r="B1712" t="s">
        <v>25</v>
      </c>
      <c r="E1712" t="s">
        <v>36</v>
      </c>
      <c r="F1712">
        <v>1295825</v>
      </c>
      <c r="G1712">
        <v>5</v>
      </c>
      <c r="H1712">
        <v>1</v>
      </c>
      <c r="I1712">
        <v>526</v>
      </c>
      <c r="J1712">
        <v>1968</v>
      </c>
      <c r="K1712" s="4">
        <v>45753</v>
      </c>
      <c r="L1712" t="s">
        <v>26</v>
      </c>
      <c r="M1712" t="s">
        <v>60</v>
      </c>
      <c r="N1712">
        <v>1.93</v>
      </c>
      <c r="O1712">
        <v>831</v>
      </c>
      <c r="P1712">
        <v>1.06</v>
      </c>
      <c r="Q1712">
        <v>343</v>
      </c>
      <c r="R1712">
        <v>480</v>
      </c>
    </row>
    <row r="1713" spans="1:18" hidden="1" x14ac:dyDescent="0.2">
      <c r="A1713">
        <v>7</v>
      </c>
      <c r="B1713" t="s">
        <v>93</v>
      </c>
      <c r="E1713" t="s">
        <v>19</v>
      </c>
      <c r="F1713">
        <v>1464266</v>
      </c>
      <c r="G1713">
        <v>3</v>
      </c>
      <c r="H1713">
        <v>2</v>
      </c>
      <c r="I1713">
        <v>819</v>
      </c>
      <c r="J1713">
        <v>1974</v>
      </c>
      <c r="K1713" s="4">
        <v>45102</v>
      </c>
      <c r="L1713" t="s">
        <v>26</v>
      </c>
      <c r="M1713" t="s">
        <v>56</v>
      </c>
      <c r="N1713">
        <v>1.59</v>
      </c>
      <c r="O1713">
        <v>1125</v>
      </c>
      <c r="P1713">
        <v>2.37</v>
      </c>
      <c r="Q1713">
        <v>95</v>
      </c>
      <c r="R1713">
        <v>674</v>
      </c>
    </row>
    <row r="1714" spans="1:18" hidden="1" x14ac:dyDescent="0.2">
      <c r="A1714">
        <v>5</v>
      </c>
      <c r="B1714" t="s">
        <v>61</v>
      </c>
      <c r="E1714" t="s">
        <v>19</v>
      </c>
      <c r="F1714">
        <v>889097</v>
      </c>
      <c r="G1714">
        <v>4</v>
      </c>
      <c r="H1714">
        <v>3</v>
      </c>
      <c r="I1714">
        <v>768</v>
      </c>
      <c r="J1714">
        <v>2014</v>
      </c>
      <c r="K1714" s="4">
        <v>45163</v>
      </c>
      <c r="L1714" t="s">
        <v>30</v>
      </c>
      <c r="M1714" t="s">
        <v>40</v>
      </c>
      <c r="N1714">
        <v>3.24</v>
      </c>
      <c r="O1714">
        <v>1650</v>
      </c>
      <c r="P1714">
        <v>0.65</v>
      </c>
      <c r="Q1714">
        <v>370</v>
      </c>
      <c r="R1714">
        <v>323</v>
      </c>
    </row>
    <row r="1715" spans="1:18" hidden="1" x14ac:dyDescent="0.2">
      <c r="A1715">
        <v>5</v>
      </c>
      <c r="B1715" t="s">
        <v>46</v>
      </c>
      <c r="E1715" t="s">
        <v>51</v>
      </c>
      <c r="F1715">
        <v>618662</v>
      </c>
      <c r="G1715">
        <v>2</v>
      </c>
      <c r="H1715">
        <v>2</v>
      </c>
      <c r="I1715">
        <v>699</v>
      </c>
      <c r="J1715">
        <v>1965</v>
      </c>
      <c r="K1715" s="4">
        <v>44133</v>
      </c>
      <c r="L1715" t="s">
        <v>23</v>
      </c>
      <c r="M1715" t="s">
        <v>40</v>
      </c>
      <c r="N1715">
        <v>3.37</v>
      </c>
      <c r="O1715">
        <v>1661</v>
      </c>
      <c r="P1715">
        <v>0.28000000000000003</v>
      </c>
      <c r="Q1715">
        <v>164</v>
      </c>
      <c r="R1715">
        <v>687</v>
      </c>
    </row>
    <row r="1716" spans="1:18" hidden="1" x14ac:dyDescent="0.2">
      <c r="A1716">
        <v>5</v>
      </c>
      <c r="B1716" t="s">
        <v>83</v>
      </c>
      <c r="E1716" t="s">
        <v>19</v>
      </c>
      <c r="F1716">
        <v>2773533</v>
      </c>
      <c r="G1716">
        <v>3</v>
      </c>
      <c r="H1716">
        <v>3</v>
      </c>
      <c r="I1716">
        <v>527</v>
      </c>
      <c r="J1716">
        <v>1996</v>
      </c>
      <c r="K1716" s="4">
        <v>45036</v>
      </c>
      <c r="L1716" t="s">
        <v>20</v>
      </c>
      <c r="M1716" t="s">
        <v>56</v>
      </c>
      <c r="N1716">
        <v>1.87</v>
      </c>
      <c r="O1716">
        <v>2008</v>
      </c>
      <c r="P1716">
        <v>4.54</v>
      </c>
      <c r="Q1716">
        <v>92</v>
      </c>
      <c r="R1716">
        <v>464</v>
      </c>
    </row>
    <row r="1717" spans="1:18" hidden="1" x14ac:dyDescent="0.2">
      <c r="A1717">
        <v>7</v>
      </c>
      <c r="B1717" t="s">
        <v>84</v>
      </c>
      <c r="E1717" t="s">
        <v>51</v>
      </c>
      <c r="F1717">
        <v>461847</v>
      </c>
      <c r="G1717">
        <v>4</v>
      </c>
      <c r="H1717">
        <v>3</v>
      </c>
      <c r="I1717">
        <v>275</v>
      </c>
      <c r="J1717">
        <v>2020</v>
      </c>
      <c r="K1717" s="4">
        <v>44774</v>
      </c>
      <c r="L1717" t="s">
        <v>30</v>
      </c>
      <c r="M1717" t="s">
        <v>24</v>
      </c>
      <c r="N1717">
        <v>3.38</v>
      </c>
      <c r="O1717">
        <v>1477</v>
      </c>
      <c r="P1717">
        <v>3.74</v>
      </c>
      <c r="Q1717">
        <v>249</v>
      </c>
      <c r="R1717">
        <v>467</v>
      </c>
    </row>
    <row r="1718" spans="1:18" hidden="1" x14ac:dyDescent="0.2">
      <c r="A1718">
        <v>4</v>
      </c>
      <c r="B1718" t="s">
        <v>100</v>
      </c>
      <c r="E1718" t="s">
        <v>29</v>
      </c>
      <c r="F1718">
        <v>2961924</v>
      </c>
      <c r="G1718">
        <v>4</v>
      </c>
      <c r="H1718">
        <v>2</v>
      </c>
      <c r="I1718">
        <v>854</v>
      </c>
      <c r="J1718">
        <v>1979</v>
      </c>
      <c r="K1718" s="4">
        <v>45672</v>
      </c>
      <c r="L1718" t="s">
        <v>23</v>
      </c>
      <c r="M1718" t="s">
        <v>21</v>
      </c>
      <c r="N1718">
        <v>2.0699999999999998</v>
      </c>
      <c r="O1718">
        <v>869</v>
      </c>
      <c r="P1718">
        <v>0.28000000000000003</v>
      </c>
      <c r="Q1718">
        <v>261</v>
      </c>
      <c r="R1718">
        <v>426</v>
      </c>
    </row>
    <row r="1719" spans="1:18" hidden="1" x14ac:dyDescent="0.2">
      <c r="A1719">
        <v>5</v>
      </c>
      <c r="B1719" t="s">
        <v>100</v>
      </c>
      <c r="E1719" t="s">
        <v>19</v>
      </c>
      <c r="F1719">
        <v>1711482</v>
      </c>
      <c r="G1719">
        <v>5</v>
      </c>
      <c r="H1719">
        <v>2</v>
      </c>
      <c r="I1719">
        <v>386</v>
      </c>
      <c r="J1719">
        <v>1996</v>
      </c>
      <c r="K1719" s="4">
        <v>45730</v>
      </c>
      <c r="L1719" t="s">
        <v>20</v>
      </c>
      <c r="M1719" t="s">
        <v>76</v>
      </c>
      <c r="N1719">
        <v>2.1</v>
      </c>
      <c r="O1719">
        <v>1964</v>
      </c>
      <c r="P1719">
        <v>0.59</v>
      </c>
      <c r="Q1719">
        <v>329</v>
      </c>
      <c r="R1719">
        <v>466</v>
      </c>
    </row>
    <row r="1720" spans="1:18" x14ac:dyDescent="0.2">
      <c r="A1720">
        <v>8</v>
      </c>
      <c r="B1720" t="s">
        <v>22</v>
      </c>
      <c r="C1720" t="str">
        <f>VLOOKUP(B1720, 'Council Area'!$A$2:$B$51, 2)</f>
        <v>Sutherland Shire Council</v>
      </c>
      <c r="D1720" t="str">
        <f>_xlfn.XLOOKUP(B1720, 'Council Area'!$A$2:$A$51, 'Council Area'!$B$2:$B$51)</f>
        <v>Sutherland Shire Council</v>
      </c>
      <c r="E1720" t="s">
        <v>29</v>
      </c>
      <c r="F1720">
        <v>2676755</v>
      </c>
      <c r="G1720">
        <v>5</v>
      </c>
      <c r="H1720">
        <v>3</v>
      </c>
      <c r="I1720">
        <v>194</v>
      </c>
      <c r="J1720">
        <v>1996</v>
      </c>
      <c r="K1720" s="4">
        <v>44553</v>
      </c>
      <c r="L1720" t="s">
        <v>26</v>
      </c>
      <c r="M1720" t="s">
        <v>85</v>
      </c>
      <c r="N1720">
        <v>2.5299999999999998</v>
      </c>
      <c r="O1720">
        <v>1506</v>
      </c>
      <c r="P1720">
        <v>0.66</v>
      </c>
      <c r="Q1720">
        <v>335</v>
      </c>
      <c r="R1720">
        <v>697</v>
      </c>
    </row>
    <row r="1721" spans="1:18" hidden="1" x14ac:dyDescent="0.2">
      <c r="A1721">
        <v>6</v>
      </c>
      <c r="B1721" t="s">
        <v>94</v>
      </c>
      <c r="E1721" t="s">
        <v>51</v>
      </c>
      <c r="F1721">
        <v>2353989</v>
      </c>
      <c r="G1721">
        <v>3</v>
      </c>
      <c r="H1721">
        <v>2</v>
      </c>
      <c r="I1721">
        <v>843</v>
      </c>
      <c r="J1721">
        <v>2003</v>
      </c>
      <c r="K1721" s="4">
        <v>45889</v>
      </c>
      <c r="L1721" t="s">
        <v>20</v>
      </c>
      <c r="M1721" t="s">
        <v>69</v>
      </c>
      <c r="N1721">
        <v>1.69</v>
      </c>
      <c r="O1721">
        <v>1070</v>
      </c>
      <c r="P1721">
        <v>1.08</v>
      </c>
      <c r="Q1721">
        <v>111</v>
      </c>
      <c r="R1721">
        <v>453</v>
      </c>
    </row>
    <row r="1722" spans="1:18" hidden="1" x14ac:dyDescent="0.2">
      <c r="A1722">
        <v>5</v>
      </c>
      <c r="B1722" t="s">
        <v>71</v>
      </c>
      <c r="E1722" t="s">
        <v>19</v>
      </c>
      <c r="F1722">
        <v>930390</v>
      </c>
      <c r="G1722">
        <v>4</v>
      </c>
      <c r="H1722">
        <v>1</v>
      </c>
      <c r="I1722">
        <v>707</v>
      </c>
      <c r="J1722">
        <v>1985</v>
      </c>
      <c r="K1722" s="4">
        <v>45548</v>
      </c>
      <c r="L1722" t="s">
        <v>30</v>
      </c>
      <c r="M1722" t="s">
        <v>31</v>
      </c>
      <c r="N1722">
        <v>2.71</v>
      </c>
      <c r="O1722">
        <v>1644</v>
      </c>
      <c r="P1722">
        <v>0.36</v>
      </c>
      <c r="Q1722">
        <v>380</v>
      </c>
      <c r="R1722">
        <v>363</v>
      </c>
    </row>
    <row r="1723" spans="1:18" hidden="1" x14ac:dyDescent="0.2">
      <c r="A1723">
        <v>0</v>
      </c>
      <c r="B1723" t="s">
        <v>65</v>
      </c>
      <c r="E1723" t="s">
        <v>51</v>
      </c>
      <c r="F1723">
        <v>920209</v>
      </c>
      <c r="G1723">
        <v>2</v>
      </c>
      <c r="H1723">
        <v>1</v>
      </c>
      <c r="I1723">
        <v>569</v>
      </c>
      <c r="J1723">
        <v>1987</v>
      </c>
      <c r="K1723" s="4">
        <v>44530</v>
      </c>
      <c r="L1723" t="s">
        <v>26</v>
      </c>
      <c r="M1723" t="s">
        <v>35</v>
      </c>
      <c r="N1723">
        <v>1.98</v>
      </c>
      <c r="O1723">
        <v>1958</v>
      </c>
      <c r="P1723">
        <v>1.93</v>
      </c>
      <c r="Q1723">
        <v>173</v>
      </c>
      <c r="R1723">
        <v>508</v>
      </c>
    </row>
    <row r="1724" spans="1:18" hidden="1" x14ac:dyDescent="0.2">
      <c r="A1724">
        <v>2</v>
      </c>
      <c r="B1724" t="s">
        <v>41</v>
      </c>
      <c r="E1724" t="s">
        <v>29</v>
      </c>
      <c r="F1724">
        <v>1795343</v>
      </c>
      <c r="G1724">
        <v>3</v>
      </c>
      <c r="H1724">
        <v>1</v>
      </c>
      <c r="I1724">
        <v>453</v>
      </c>
      <c r="J1724">
        <v>1994</v>
      </c>
      <c r="K1724" s="4">
        <v>45519</v>
      </c>
      <c r="L1724" t="s">
        <v>26</v>
      </c>
      <c r="M1724" t="s">
        <v>85</v>
      </c>
      <c r="N1724">
        <v>3.03</v>
      </c>
      <c r="O1724">
        <v>987</v>
      </c>
      <c r="P1724">
        <v>1.4</v>
      </c>
      <c r="Q1724">
        <v>209</v>
      </c>
      <c r="R1724">
        <v>438</v>
      </c>
    </row>
    <row r="1725" spans="1:18" hidden="1" x14ac:dyDescent="0.2">
      <c r="A1725">
        <v>0</v>
      </c>
      <c r="B1725" t="s">
        <v>53</v>
      </c>
      <c r="E1725" t="s">
        <v>29</v>
      </c>
      <c r="F1725">
        <v>1265290</v>
      </c>
      <c r="G1725">
        <v>2</v>
      </c>
      <c r="H1725">
        <v>2</v>
      </c>
      <c r="I1725">
        <v>928</v>
      </c>
      <c r="J1725">
        <v>1979</v>
      </c>
      <c r="K1725" s="4">
        <v>44066</v>
      </c>
      <c r="L1725" t="s">
        <v>26</v>
      </c>
      <c r="M1725" t="s">
        <v>54</v>
      </c>
      <c r="N1725">
        <v>3.28</v>
      </c>
      <c r="O1725">
        <v>1979</v>
      </c>
      <c r="P1725">
        <v>3.37</v>
      </c>
      <c r="Q1725">
        <v>228</v>
      </c>
      <c r="R1725">
        <v>610</v>
      </c>
    </row>
    <row r="1726" spans="1:18" hidden="1" x14ac:dyDescent="0.2">
      <c r="A1726">
        <v>3</v>
      </c>
      <c r="B1726" t="s">
        <v>64</v>
      </c>
      <c r="E1726" t="s">
        <v>29</v>
      </c>
      <c r="F1726">
        <v>1249679</v>
      </c>
      <c r="G1726">
        <v>4</v>
      </c>
      <c r="H1726">
        <v>1</v>
      </c>
      <c r="I1726">
        <v>264</v>
      </c>
      <c r="J1726">
        <v>1964</v>
      </c>
      <c r="K1726" s="4">
        <v>45594</v>
      </c>
      <c r="L1726" t="s">
        <v>30</v>
      </c>
      <c r="M1726" t="s">
        <v>45</v>
      </c>
      <c r="N1726">
        <v>2.4300000000000002</v>
      </c>
      <c r="O1726">
        <v>1169</v>
      </c>
      <c r="P1726">
        <v>3.23</v>
      </c>
      <c r="Q1726">
        <v>270</v>
      </c>
      <c r="R1726">
        <v>400</v>
      </c>
    </row>
    <row r="1727" spans="1:18" hidden="1" x14ac:dyDescent="0.2">
      <c r="A1727">
        <v>0</v>
      </c>
      <c r="B1727" t="s">
        <v>34</v>
      </c>
      <c r="E1727" t="s">
        <v>36</v>
      </c>
      <c r="F1727">
        <v>1894500</v>
      </c>
      <c r="G1727">
        <v>5</v>
      </c>
      <c r="H1727">
        <v>2</v>
      </c>
      <c r="I1727">
        <v>400</v>
      </c>
      <c r="J1727">
        <v>1969</v>
      </c>
      <c r="K1727" s="4">
        <v>44812</v>
      </c>
      <c r="L1727" t="s">
        <v>26</v>
      </c>
      <c r="M1727" t="s">
        <v>24</v>
      </c>
      <c r="N1727">
        <v>1.55</v>
      </c>
      <c r="O1727">
        <v>1204</v>
      </c>
      <c r="P1727">
        <v>2.25</v>
      </c>
      <c r="Q1727">
        <v>365</v>
      </c>
      <c r="R1727">
        <v>409</v>
      </c>
    </row>
    <row r="1728" spans="1:18" hidden="1" x14ac:dyDescent="0.2">
      <c r="A1728">
        <v>6</v>
      </c>
      <c r="B1728" t="s">
        <v>71</v>
      </c>
      <c r="E1728" t="s">
        <v>19</v>
      </c>
      <c r="F1728">
        <v>1560229</v>
      </c>
      <c r="G1728">
        <v>4</v>
      </c>
      <c r="H1728">
        <v>3</v>
      </c>
      <c r="I1728">
        <v>161</v>
      </c>
      <c r="J1728">
        <v>1986</v>
      </c>
      <c r="K1728" s="4">
        <v>45286</v>
      </c>
      <c r="L1728" t="s">
        <v>30</v>
      </c>
      <c r="M1728" t="s">
        <v>78</v>
      </c>
      <c r="N1728">
        <v>2.0699999999999998</v>
      </c>
      <c r="O1728">
        <v>1882</v>
      </c>
      <c r="P1728">
        <v>2.64</v>
      </c>
      <c r="Q1728">
        <v>286</v>
      </c>
      <c r="R1728">
        <v>600</v>
      </c>
    </row>
    <row r="1729" spans="1:18" x14ac:dyDescent="0.2">
      <c r="A1729">
        <v>8</v>
      </c>
      <c r="B1729" t="s">
        <v>25</v>
      </c>
      <c r="C1729" t="str">
        <f>VLOOKUP(B1729, 'Council Area'!$A$2:$B$51, 2)</f>
        <v>Inner West Council</v>
      </c>
      <c r="D1729" t="str">
        <f>_xlfn.XLOOKUP(B1729, 'Council Area'!$A$2:$A$51, 'Council Area'!$B$2:$B$51)</f>
        <v>Inner West Council</v>
      </c>
      <c r="E1729" t="s">
        <v>36</v>
      </c>
      <c r="F1729">
        <v>1499966</v>
      </c>
      <c r="G1729">
        <v>4</v>
      </c>
      <c r="H1729">
        <v>2</v>
      </c>
      <c r="I1729">
        <v>153</v>
      </c>
      <c r="J1729">
        <v>2018</v>
      </c>
      <c r="K1729" s="4">
        <v>44530</v>
      </c>
      <c r="L1729" t="s">
        <v>30</v>
      </c>
      <c r="M1729" t="s">
        <v>97</v>
      </c>
      <c r="N1729">
        <v>3.3</v>
      </c>
      <c r="O1729">
        <v>1812</v>
      </c>
      <c r="P1729">
        <v>1.62</v>
      </c>
      <c r="Q1729">
        <v>387</v>
      </c>
      <c r="R1729">
        <v>535</v>
      </c>
    </row>
    <row r="1730" spans="1:18" hidden="1" x14ac:dyDescent="0.2">
      <c r="A1730">
        <v>2</v>
      </c>
      <c r="B1730" t="s">
        <v>53</v>
      </c>
      <c r="E1730" t="s">
        <v>19</v>
      </c>
      <c r="F1730">
        <v>841428</v>
      </c>
      <c r="G1730">
        <v>4</v>
      </c>
      <c r="H1730">
        <v>2</v>
      </c>
      <c r="I1730">
        <v>887</v>
      </c>
      <c r="J1730">
        <v>1989</v>
      </c>
      <c r="K1730" s="4">
        <v>44472</v>
      </c>
      <c r="L1730" t="s">
        <v>20</v>
      </c>
      <c r="M1730" t="s">
        <v>60</v>
      </c>
      <c r="N1730">
        <v>3.06</v>
      </c>
      <c r="O1730">
        <v>1208</v>
      </c>
      <c r="P1730">
        <v>3.99</v>
      </c>
      <c r="Q1730">
        <v>268</v>
      </c>
      <c r="R1730">
        <v>436</v>
      </c>
    </row>
    <row r="1731" spans="1:18" hidden="1" x14ac:dyDescent="0.2">
      <c r="A1731">
        <v>5</v>
      </c>
      <c r="B1731" t="s">
        <v>99</v>
      </c>
      <c r="E1731" t="s">
        <v>29</v>
      </c>
      <c r="F1731">
        <v>1092174</v>
      </c>
      <c r="G1731">
        <v>4</v>
      </c>
      <c r="H1731">
        <v>2</v>
      </c>
      <c r="I1731">
        <v>212</v>
      </c>
      <c r="J1731">
        <v>1993</v>
      </c>
      <c r="K1731" s="4">
        <v>44526</v>
      </c>
      <c r="L1731" t="s">
        <v>26</v>
      </c>
      <c r="M1731" t="s">
        <v>47</v>
      </c>
      <c r="N1731">
        <v>2.92</v>
      </c>
      <c r="O1731">
        <v>2213</v>
      </c>
      <c r="P1731">
        <v>3.48</v>
      </c>
      <c r="Q1731">
        <v>190</v>
      </c>
      <c r="R1731">
        <v>526</v>
      </c>
    </row>
    <row r="1732" spans="1:18" x14ac:dyDescent="0.2">
      <c r="A1732">
        <v>8</v>
      </c>
      <c r="B1732" t="s">
        <v>92</v>
      </c>
      <c r="C1732" t="str">
        <f>VLOOKUP(B1732, 'Council Area'!$A$2:$B$51, 2)</f>
        <v>Randwick City Council</v>
      </c>
      <c r="D1732" t="str">
        <f>_xlfn.XLOOKUP(B1732, 'Council Area'!$A$2:$A$51, 'Council Area'!$B$2:$B$51)</f>
        <v>Randwick City Council</v>
      </c>
      <c r="E1732" t="s">
        <v>19</v>
      </c>
      <c r="F1732">
        <v>1526099</v>
      </c>
      <c r="G1732">
        <v>4</v>
      </c>
      <c r="H1732">
        <v>1</v>
      </c>
      <c r="I1732">
        <v>864</v>
      </c>
      <c r="J1732">
        <v>1962</v>
      </c>
      <c r="K1732" s="4">
        <v>45809</v>
      </c>
      <c r="L1732" t="s">
        <v>23</v>
      </c>
      <c r="M1732" t="s">
        <v>35</v>
      </c>
      <c r="N1732">
        <v>2.31</v>
      </c>
      <c r="O1732">
        <v>2491</v>
      </c>
      <c r="P1732">
        <v>0.9</v>
      </c>
      <c r="Q1732">
        <v>342</v>
      </c>
      <c r="R1732">
        <v>601</v>
      </c>
    </row>
    <row r="1733" spans="1:18" hidden="1" x14ac:dyDescent="0.2">
      <c r="A1733">
        <v>7</v>
      </c>
      <c r="B1733" t="s">
        <v>84</v>
      </c>
      <c r="E1733" t="s">
        <v>36</v>
      </c>
      <c r="F1733">
        <v>1272430</v>
      </c>
      <c r="G1733">
        <v>3</v>
      </c>
      <c r="H1733">
        <v>1</v>
      </c>
      <c r="I1733">
        <v>478</v>
      </c>
      <c r="J1733">
        <v>1992</v>
      </c>
      <c r="K1733" s="4">
        <v>44443</v>
      </c>
      <c r="L1733" t="s">
        <v>20</v>
      </c>
      <c r="M1733" t="s">
        <v>47</v>
      </c>
      <c r="N1733">
        <v>3.43</v>
      </c>
      <c r="O1733">
        <v>1476</v>
      </c>
      <c r="P1733">
        <v>1.25</v>
      </c>
      <c r="Q1733">
        <v>91</v>
      </c>
      <c r="R1733">
        <v>660</v>
      </c>
    </row>
    <row r="1734" spans="1:18" hidden="1" x14ac:dyDescent="0.2">
      <c r="A1734">
        <v>0</v>
      </c>
      <c r="B1734" t="s">
        <v>84</v>
      </c>
      <c r="E1734" t="s">
        <v>19</v>
      </c>
      <c r="F1734">
        <v>1776901</v>
      </c>
      <c r="G1734">
        <v>3</v>
      </c>
      <c r="H1734">
        <v>1</v>
      </c>
      <c r="I1734">
        <v>556</v>
      </c>
      <c r="J1734">
        <v>2015</v>
      </c>
      <c r="K1734" s="4">
        <v>44724</v>
      </c>
      <c r="L1734" t="s">
        <v>23</v>
      </c>
      <c r="M1734" t="s">
        <v>42</v>
      </c>
      <c r="N1734">
        <v>1.94</v>
      </c>
      <c r="O1734">
        <v>2286</v>
      </c>
      <c r="P1734">
        <v>3.16</v>
      </c>
      <c r="Q1734">
        <v>263</v>
      </c>
      <c r="R1734">
        <v>322</v>
      </c>
    </row>
    <row r="1735" spans="1:18" hidden="1" x14ac:dyDescent="0.2">
      <c r="A1735">
        <v>4</v>
      </c>
      <c r="B1735" t="s">
        <v>73</v>
      </c>
      <c r="E1735" t="s">
        <v>51</v>
      </c>
      <c r="F1735">
        <v>567088</v>
      </c>
      <c r="G1735">
        <v>5</v>
      </c>
      <c r="H1735">
        <v>1</v>
      </c>
      <c r="I1735">
        <v>773</v>
      </c>
      <c r="J1735">
        <v>2014</v>
      </c>
      <c r="K1735" s="4">
        <v>44373</v>
      </c>
      <c r="L1735" t="s">
        <v>26</v>
      </c>
      <c r="M1735" t="s">
        <v>59</v>
      </c>
      <c r="N1735">
        <v>3.2</v>
      </c>
      <c r="O1735">
        <v>1987</v>
      </c>
      <c r="P1735">
        <v>2.0299999999999998</v>
      </c>
      <c r="Q1735">
        <v>258</v>
      </c>
      <c r="R1735">
        <v>463</v>
      </c>
    </row>
    <row r="1736" spans="1:18" hidden="1" x14ac:dyDescent="0.2">
      <c r="A1736">
        <v>6</v>
      </c>
      <c r="B1736" t="s">
        <v>73</v>
      </c>
      <c r="E1736" t="s">
        <v>19</v>
      </c>
      <c r="F1736">
        <v>2646811</v>
      </c>
      <c r="G1736">
        <v>4</v>
      </c>
      <c r="H1736">
        <v>1</v>
      </c>
      <c r="I1736">
        <v>769</v>
      </c>
      <c r="J1736">
        <v>1979</v>
      </c>
      <c r="K1736" s="4">
        <v>44522</v>
      </c>
      <c r="L1736" t="s">
        <v>23</v>
      </c>
      <c r="M1736" t="s">
        <v>52</v>
      </c>
      <c r="N1736">
        <v>2.61</v>
      </c>
      <c r="O1736">
        <v>2325</v>
      </c>
      <c r="P1736">
        <v>3.71</v>
      </c>
      <c r="Q1736">
        <v>194</v>
      </c>
      <c r="R1736">
        <v>320</v>
      </c>
    </row>
    <row r="1737" spans="1:18" hidden="1" x14ac:dyDescent="0.2">
      <c r="A1737">
        <v>6</v>
      </c>
      <c r="B1737" t="s">
        <v>43</v>
      </c>
      <c r="E1737" t="s">
        <v>36</v>
      </c>
      <c r="F1737">
        <v>2796740</v>
      </c>
      <c r="G1737">
        <v>3</v>
      </c>
      <c r="H1737">
        <v>1</v>
      </c>
      <c r="I1737">
        <v>439</v>
      </c>
      <c r="J1737">
        <v>2013</v>
      </c>
      <c r="K1737" s="4">
        <v>44431</v>
      </c>
      <c r="L1737" t="s">
        <v>20</v>
      </c>
      <c r="M1737" t="s">
        <v>47</v>
      </c>
      <c r="N1737">
        <v>3.18</v>
      </c>
      <c r="O1737">
        <v>2307</v>
      </c>
      <c r="P1737">
        <v>3.47</v>
      </c>
      <c r="Q1737">
        <v>119</v>
      </c>
      <c r="R1737">
        <v>504</v>
      </c>
    </row>
    <row r="1738" spans="1:18" hidden="1" x14ac:dyDescent="0.2">
      <c r="A1738">
        <v>2</v>
      </c>
      <c r="B1738" t="s">
        <v>87</v>
      </c>
      <c r="E1738" t="s">
        <v>29</v>
      </c>
      <c r="F1738">
        <v>668772</v>
      </c>
      <c r="G1738">
        <v>3</v>
      </c>
      <c r="H1738">
        <v>2</v>
      </c>
      <c r="I1738">
        <v>802</v>
      </c>
      <c r="J1738">
        <v>1996</v>
      </c>
      <c r="K1738" s="4">
        <v>45580</v>
      </c>
      <c r="L1738" t="s">
        <v>20</v>
      </c>
      <c r="M1738" t="s">
        <v>82</v>
      </c>
      <c r="N1738">
        <v>2.0699999999999998</v>
      </c>
      <c r="O1738">
        <v>1350</v>
      </c>
      <c r="P1738">
        <v>1.99</v>
      </c>
      <c r="Q1738">
        <v>135</v>
      </c>
      <c r="R1738">
        <v>488</v>
      </c>
    </row>
    <row r="1739" spans="1:18" hidden="1" x14ac:dyDescent="0.2">
      <c r="A1739">
        <v>0</v>
      </c>
      <c r="B1739" t="s">
        <v>32</v>
      </c>
      <c r="E1739" t="s">
        <v>51</v>
      </c>
      <c r="F1739">
        <v>1106232</v>
      </c>
      <c r="G1739">
        <v>2</v>
      </c>
      <c r="H1739">
        <v>1</v>
      </c>
      <c r="I1739">
        <v>874</v>
      </c>
      <c r="J1739">
        <v>1956</v>
      </c>
      <c r="K1739" s="4">
        <v>45383</v>
      </c>
      <c r="L1739" t="s">
        <v>26</v>
      </c>
      <c r="M1739" t="s">
        <v>70</v>
      </c>
      <c r="N1739">
        <v>3.45</v>
      </c>
      <c r="O1739">
        <v>1416</v>
      </c>
      <c r="P1739">
        <v>3.46</v>
      </c>
      <c r="Q1739">
        <v>169</v>
      </c>
      <c r="R1739">
        <v>475</v>
      </c>
    </row>
    <row r="1740" spans="1:18" hidden="1" x14ac:dyDescent="0.2">
      <c r="A1740">
        <v>3</v>
      </c>
      <c r="B1740" t="s">
        <v>18</v>
      </c>
      <c r="E1740" t="s">
        <v>51</v>
      </c>
      <c r="F1740">
        <v>2236695</v>
      </c>
      <c r="G1740">
        <v>5</v>
      </c>
      <c r="H1740">
        <v>1</v>
      </c>
      <c r="I1740">
        <v>510</v>
      </c>
      <c r="J1740">
        <v>1979</v>
      </c>
      <c r="K1740" s="4">
        <v>44130</v>
      </c>
      <c r="L1740" t="s">
        <v>30</v>
      </c>
      <c r="M1740" t="s">
        <v>37</v>
      </c>
      <c r="N1740">
        <v>1.94</v>
      </c>
      <c r="O1740">
        <v>1877</v>
      </c>
      <c r="P1740">
        <v>3.11</v>
      </c>
      <c r="Q1740">
        <v>313</v>
      </c>
      <c r="R1740">
        <v>356</v>
      </c>
    </row>
    <row r="1741" spans="1:18" hidden="1" x14ac:dyDescent="0.2">
      <c r="A1741">
        <v>7</v>
      </c>
      <c r="B1741" t="s">
        <v>98</v>
      </c>
      <c r="E1741" t="s">
        <v>19</v>
      </c>
      <c r="F1741">
        <v>1103668</v>
      </c>
      <c r="G1741">
        <v>4</v>
      </c>
      <c r="H1741">
        <v>3</v>
      </c>
      <c r="I1741">
        <v>818</v>
      </c>
      <c r="J1741">
        <v>2003</v>
      </c>
      <c r="K1741" s="4">
        <v>45023</v>
      </c>
      <c r="L1741" t="s">
        <v>26</v>
      </c>
      <c r="M1741" t="s">
        <v>40</v>
      </c>
      <c r="N1741">
        <v>3.25</v>
      </c>
      <c r="O1741">
        <v>1910</v>
      </c>
      <c r="P1741">
        <v>3.37</v>
      </c>
      <c r="Q1741">
        <v>357</v>
      </c>
      <c r="R1741">
        <v>397</v>
      </c>
    </row>
    <row r="1742" spans="1:18" hidden="1" x14ac:dyDescent="0.2">
      <c r="A1742">
        <v>7</v>
      </c>
      <c r="B1742" t="s">
        <v>88</v>
      </c>
      <c r="E1742" t="s">
        <v>19</v>
      </c>
      <c r="F1742">
        <v>574267</v>
      </c>
      <c r="G1742">
        <v>5</v>
      </c>
      <c r="H1742">
        <v>2</v>
      </c>
      <c r="I1742">
        <v>719</v>
      </c>
      <c r="J1742">
        <v>2005</v>
      </c>
      <c r="K1742" s="4">
        <v>44564</v>
      </c>
      <c r="L1742" t="s">
        <v>26</v>
      </c>
      <c r="M1742" t="s">
        <v>24</v>
      </c>
      <c r="N1742">
        <v>1.61</v>
      </c>
      <c r="O1742">
        <v>990</v>
      </c>
      <c r="P1742">
        <v>3.72</v>
      </c>
      <c r="Q1742">
        <v>375</v>
      </c>
      <c r="R1742">
        <v>512</v>
      </c>
    </row>
    <row r="1743" spans="1:18" hidden="1" x14ac:dyDescent="0.2">
      <c r="A1743">
        <v>5</v>
      </c>
      <c r="B1743" t="s">
        <v>80</v>
      </c>
      <c r="E1743" t="s">
        <v>19</v>
      </c>
      <c r="F1743">
        <v>1501819</v>
      </c>
      <c r="G1743">
        <v>4</v>
      </c>
      <c r="H1743">
        <v>1</v>
      </c>
      <c r="I1743">
        <v>76</v>
      </c>
      <c r="J1743">
        <v>1956</v>
      </c>
      <c r="K1743" s="4">
        <v>44873</v>
      </c>
      <c r="L1743" t="s">
        <v>23</v>
      </c>
      <c r="M1743" t="s">
        <v>35</v>
      </c>
      <c r="N1743">
        <v>2.2000000000000002</v>
      </c>
      <c r="O1743">
        <v>1071</v>
      </c>
      <c r="P1743">
        <v>2.06</v>
      </c>
      <c r="Q1743">
        <v>344</v>
      </c>
      <c r="R1743">
        <v>520</v>
      </c>
    </row>
    <row r="1744" spans="1:18" hidden="1" x14ac:dyDescent="0.2">
      <c r="A1744">
        <v>0</v>
      </c>
      <c r="B1744" t="s">
        <v>88</v>
      </c>
      <c r="E1744" t="s">
        <v>51</v>
      </c>
      <c r="F1744">
        <v>1583659</v>
      </c>
      <c r="G1744">
        <v>4</v>
      </c>
      <c r="H1744">
        <v>2</v>
      </c>
      <c r="I1744">
        <v>497</v>
      </c>
      <c r="J1744">
        <v>1970</v>
      </c>
      <c r="K1744" s="4">
        <v>45617</v>
      </c>
      <c r="L1744" t="s">
        <v>30</v>
      </c>
      <c r="M1744" t="s">
        <v>70</v>
      </c>
      <c r="N1744">
        <v>1.67</v>
      </c>
      <c r="O1744">
        <v>1724</v>
      </c>
      <c r="P1744">
        <v>2.35</v>
      </c>
      <c r="Q1744">
        <v>388</v>
      </c>
      <c r="R1744">
        <v>436</v>
      </c>
    </row>
    <row r="1745" spans="1:18" hidden="1" x14ac:dyDescent="0.2">
      <c r="A1745">
        <v>4</v>
      </c>
      <c r="B1745" t="s">
        <v>93</v>
      </c>
      <c r="E1745" t="s">
        <v>19</v>
      </c>
      <c r="F1745">
        <v>1147681</v>
      </c>
      <c r="G1745">
        <v>1</v>
      </c>
      <c r="H1745">
        <v>1</v>
      </c>
      <c r="I1745">
        <v>242</v>
      </c>
      <c r="J1745">
        <v>1995</v>
      </c>
      <c r="K1745" s="4">
        <v>45207</v>
      </c>
      <c r="L1745" t="s">
        <v>20</v>
      </c>
      <c r="M1745" t="s">
        <v>97</v>
      </c>
      <c r="N1745">
        <v>2.62</v>
      </c>
      <c r="O1745">
        <v>1384</v>
      </c>
      <c r="P1745">
        <v>3.4</v>
      </c>
      <c r="Q1745">
        <v>110</v>
      </c>
      <c r="R1745">
        <v>469</v>
      </c>
    </row>
    <row r="1746" spans="1:18" hidden="1" x14ac:dyDescent="0.2">
      <c r="A1746">
        <v>5</v>
      </c>
      <c r="B1746" t="s">
        <v>84</v>
      </c>
      <c r="E1746" t="s">
        <v>51</v>
      </c>
      <c r="F1746">
        <v>1674287</v>
      </c>
      <c r="G1746">
        <v>3</v>
      </c>
      <c r="H1746">
        <v>1</v>
      </c>
      <c r="I1746">
        <v>716</v>
      </c>
      <c r="J1746">
        <v>1991</v>
      </c>
      <c r="K1746" s="4">
        <v>45115</v>
      </c>
      <c r="L1746" t="s">
        <v>26</v>
      </c>
      <c r="M1746" t="s">
        <v>82</v>
      </c>
      <c r="N1746">
        <v>2.48</v>
      </c>
      <c r="O1746">
        <v>2220</v>
      </c>
      <c r="P1746">
        <v>1.99</v>
      </c>
      <c r="Q1746">
        <v>160</v>
      </c>
      <c r="R1746">
        <v>402</v>
      </c>
    </row>
    <row r="1747" spans="1:18" x14ac:dyDescent="0.2">
      <c r="A1747">
        <v>8</v>
      </c>
      <c r="B1747" t="s">
        <v>46</v>
      </c>
      <c r="C1747" t="str">
        <f>VLOOKUP(B1747, 'Council Area'!$A$2:$B$51, 2)</f>
        <v>Ku-ring-gai Council</v>
      </c>
      <c r="D1747" t="str">
        <f>_xlfn.XLOOKUP(B1747, 'Council Area'!$A$2:$A$51, 'Council Area'!$B$2:$B$51)</f>
        <v>Ku-ring-gai Council</v>
      </c>
      <c r="E1747" t="s">
        <v>29</v>
      </c>
      <c r="F1747">
        <v>1982374</v>
      </c>
      <c r="G1747">
        <v>4</v>
      </c>
      <c r="H1747">
        <v>3</v>
      </c>
      <c r="I1747">
        <v>712</v>
      </c>
      <c r="J1747">
        <v>2017</v>
      </c>
      <c r="K1747" s="4">
        <v>45239</v>
      </c>
      <c r="L1747" t="s">
        <v>20</v>
      </c>
      <c r="M1747" t="s">
        <v>42</v>
      </c>
      <c r="N1747">
        <v>3</v>
      </c>
      <c r="O1747">
        <v>1014</v>
      </c>
      <c r="P1747">
        <v>4.5199999999999996</v>
      </c>
      <c r="Q1747">
        <v>400</v>
      </c>
      <c r="R1747">
        <v>390</v>
      </c>
    </row>
    <row r="1748" spans="1:18" hidden="1" x14ac:dyDescent="0.2">
      <c r="A1748">
        <v>7</v>
      </c>
      <c r="B1748" t="s">
        <v>48</v>
      </c>
      <c r="E1748" t="s">
        <v>19</v>
      </c>
      <c r="F1748">
        <v>2801370</v>
      </c>
      <c r="G1748">
        <v>2</v>
      </c>
      <c r="H1748">
        <v>1</v>
      </c>
      <c r="I1748">
        <v>645</v>
      </c>
      <c r="J1748">
        <v>1959</v>
      </c>
      <c r="K1748" s="4">
        <v>45832</v>
      </c>
      <c r="L1748" t="s">
        <v>26</v>
      </c>
      <c r="M1748" t="s">
        <v>21</v>
      </c>
      <c r="N1748">
        <v>2.99</v>
      </c>
      <c r="O1748">
        <v>2341</v>
      </c>
      <c r="P1748">
        <v>1.8</v>
      </c>
      <c r="Q1748">
        <v>160</v>
      </c>
      <c r="R1748">
        <v>440</v>
      </c>
    </row>
    <row r="1749" spans="1:18" hidden="1" x14ac:dyDescent="0.2">
      <c r="A1749">
        <v>4</v>
      </c>
      <c r="B1749" t="s">
        <v>73</v>
      </c>
      <c r="E1749" t="s">
        <v>29</v>
      </c>
      <c r="F1749">
        <v>421871</v>
      </c>
      <c r="G1749">
        <v>5</v>
      </c>
      <c r="H1749">
        <v>2</v>
      </c>
      <c r="I1749">
        <v>55</v>
      </c>
      <c r="J1749">
        <v>1973</v>
      </c>
      <c r="K1749" s="4">
        <v>45158</v>
      </c>
      <c r="L1749" t="s">
        <v>23</v>
      </c>
      <c r="M1749" t="s">
        <v>85</v>
      </c>
      <c r="N1749">
        <v>2.19</v>
      </c>
      <c r="O1749">
        <v>1806</v>
      </c>
      <c r="P1749">
        <v>2.97</v>
      </c>
      <c r="Q1749">
        <v>332</v>
      </c>
      <c r="R1749">
        <v>386</v>
      </c>
    </row>
    <row r="1750" spans="1:18" hidden="1" x14ac:dyDescent="0.2">
      <c r="A1750">
        <v>4</v>
      </c>
      <c r="B1750" t="s">
        <v>50</v>
      </c>
      <c r="E1750" t="s">
        <v>29</v>
      </c>
      <c r="F1750">
        <v>2377929</v>
      </c>
      <c r="G1750">
        <v>3</v>
      </c>
      <c r="H1750">
        <v>3</v>
      </c>
      <c r="I1750">
        <v>286</v>
      </c>
      <c r="J1750">
        <v>2012</v>
      </c>
      <c r="K1750" s="4">
        <v>45336</v>
      </c>
      <c r="L1750" t="s">
        <v>26</v>
      </c>
      <c r="M1750" t="s">
        <v>66</v>
      </c>
      <c r="N1750">
        <v>2.16</v>
      </c>
      <c r="O1750">
        <v>2390</v>
      </c>
      <c r="P1750">
        <v>2.5299999999999998</v>
      </c>
      <c r="Q1750">
        <v>269</v>
      </c>
      <c r="R1750">
        <v>618</v>
      </c>
    </row>
    <row r="1751" spans="1:18" hidden="1" x14ac:dyDescent="0.2">
      <c r="A1751">
        <v>2</v>
      </c>
      <c r="B1751" t="s">
        <v>94</v>
      </c>
      <c r="E1751" t="s">
        <v>51</v>
      </c>
      <c r="F1751">
        <v>934762</v>
      </c>
      <c r="G1751">
        <v>2</v>
      </c>
      <c r="H1751">
        <v>3</v>
      </c>
      <c r="I1751">
        <v>143</v>
      </c>
      <c r="J1751">
        <v>2001</v>
      </c>
      <c r="K1751" s="4">
        <v>44343</v>
      </c>
      <c r="L1751" t="s">
        <v>30</v>
      </c>
      <c r="M1751" t="s">
        <v>56</v>
      </c>
      <c r="N1751">
        <v>2.83</v>
      </c>
      <c r="O1751">
        <v>1549</v>
      </c>
      <c r="P1751">
        <v>1.41</v>
      </c>
      <c r="Q1751">
        <v>49</v>
      </c>
      <c r="R1751">
        <v>605</v>
      </c>
    </row>
    <row r="1752" spans="1:18" hidden="1" x14ac:dyDescent="0.2">
      <c r="A1752">
        <v>0</v>
      </c>
      <c r="B1752" t="s">
        <v>95</v>
      </c>
      <c r="E1752" t="s">
        <v>36</v>
      </c>
      <c r="F1752">
        <v>440706</v>
      </c>
      <c r="G1752">
        <v>3</v>
      </c>
      <c r="H1752">
        <v>2</v>
      </c>
      <c r="I1752">
        <v>425</v>
      </c>
      <c r="J1752">
        <v>1996</v>
      </c>
      <c r="K1752" s="4">
        <v>44082</v>
      </c>
      <c r="L1752" t="s">
        <v>30</v>
      </c>
      <c r="M1752" t="s">
        <v>56</v>
      </c>
      <c r="N1752">
        <v>2.2799999999999998</v>
      </c>
      <c r="O1752">
        <v>1413</v>
      </c>
      <c r="P1752">
        <v>2.16</v>
      </c>
      <c r="Q1752">
        <v>121</v>
      </c>
      <c r="R1752">
        <v>304</v>
      </c>
    </row>
    <row r="1753" spans="1:18" hidden="1" x14ac:dyDescent="0.2">
      <c r="A1753">
        <v>6</v>
      </c>
      <c r="B1753" t="s">
        <v>46</v>
      </c>
      <c r="E1753" t="s">
        <v>19</v>
      </c>
      <c r="F1753">
        <v>1217006</v>
      </c>
      <c r="G1753">
        <v>5</v>
      </c>
      <c r="H1753">
        <v>1</v>
      </c>
      <c r="I1753">
        <v>979</v>
      </c>
      <c r="J1753">
        <v>2006</v>
      </c>
      <c r="K1753" s="4">
        <v>44186</v>
      </c>
      <c r="L1753" t="s">
        <v>20</v>
      </c>
      <c r="M1753" t="s">
        <v>82</v>
      </c>
      <c r="N1753">
        <v>1.53</v>
      </c>
      <c r="O1753">
        <v>1957</v>
      </c>
      <c r="P1753">
        <v>1.65</v>
      </c>
      <c r="Q1753">
        <v>315</v>
      </c>
      <c r="R1753">
        <v>340</v>
      </c>
    </row>
    <row r="1754" spans="1:18" hidden="1" x14ac:dyDescent="0.2">
      <c r="A1754">
        <v>6</v>
      </c>
      <c r="B1754" t="s">
        <v>62</v>
      </c>
      <c r="E1754" t="s">
        <v>19</v>
      </c>
      <c r="F1754">
        <v>1718725</v>
      </c>
      <c r="G1754">
        <v>3</v>
      </c>
      <c r="H1754">
        <v>3</v>
      </c>
      <c r="I1754">
        <v>915</v>
      </c>
      <c r="J1754">
        <v>2016</v>
      </c>
      <c r="K1754" s="4">
        <v>44858</v>
      </c>
      <c r="L1754" t="s">
        <v>26</v>
      </c>
      <c r="M1754" t="s">
        <v>37</v>
      </c>
      <c r="N1754">
        <v>1.85</v>
      </c>
      <c r="O1754">
        <v>979</v>
      </c>
      <c r="P1754">
        <v>3.82</v>
      </c>
      <c r="Q1754">
        <v>146</v>
      </c>
      <c r="R1754">
        <v>446</v>
      </c>
    </row>
    <row r="1755" spans="1:18" hidden="1" x14ac:dyDescent="0.2">
      <c r="A1755">
        <v>2</v>
      </c>
      <c r="B1755" t="s">
        <v>92</v>
      </c>
      <c r="E1755" t="s">
        <v>29</v>
      </c>
      <c r="F1755">
        <v>1281103</v>
      </c>
      <c r="G1755">
        <v>5</v>
      </c>
      <c r="H1755">
        <v>2</v>
      </c>
      <c r="I1755">
        <v>349</v>
      </c>
      <c r="J1755">
        <v>1971</v>
      </c>
      <c r="K1755" s="4">
        <v>45401</v>
      </c>
      <c r="L1755" t="s">
        <v>30</v>
      </c>
      <c r="M1755" t="s">
        <v>45</v>
      </c>
      <c r="N1755">
        <v>2.94</v>
      </c>
      <c r="O1755">
        <v>1776</v>
      </c>
      <c r="P1755">
        <v>2.69</v>
      </c>
      <c r="Q1755">
        <v>357</v>
      </c>
      <c r="R1755">
        <v>576</v>
      </c>
    </row>
    <row r="1756" spans="1:18" hidden="1" x14ac:dyDescent="0.2">
      <c r="A1756">
        <v>3</v>
      </c>
      <c r="B1756" t="s">
        <v>80</v>
      </c>
      <c r="E1756" t="s">
        <v>29</v>
      </c>
      <c r="F1756">
        <v>931631</v>
      </c>
      <c r="G1756">
        <v>4</v>
      </c>
      <c r="H1756">
        <v>1</v>
      </c>
      <c r="I1756">
        <v>919</v>
      </c>
      <c r="J1756">
        <v>2020</v>
      </c>
      <c r="K1756" s="4">
        <v>45338</v>
      </c>
      <c r="L1756" t="s">
        <v>23</v>
      </c>
      <c r="M1756" t="s">
        <v>35</v>
      </c>
      <c r="N1756">
        <v>3.22</v>
      </c>
      <c r="O1756">
        <v>1780</v>
      </c>
      <c r="P1756">
        <v>2.5499999999999998</v>
      </c>
      <c r="Q1756">
        <v>368</v>
      </c>
      <c r="R1756">
        <v>582</v>
      </c>
    </row>
    <row r="1757" spans="1:18" hidden="1" x14ac:dyDescent="0.2">
      <c r="A1757">
        <v>3</v>
      </c>
      <c r="B1757" t="s">
        <v>83</v>
      </c>
      <c r="E1757" t="s">
        <v>51</v>
      </c>
      <c r="F1757">
        <v>2101216</v>
      </c>
      <c r="G1757">
        <v>0</v>
      </c>
      <c r="H1757">
        <v>3</v>
      </c>
      <c r="I1757">
        <v>322</v>
      </c>
      <c r="J1757">
        <v>2008</v>
      </c>
      <c r="K1757" s="4">
        <v>45460</v>
      </c>
      <c r="L1757" t="s">
        <v>30</v>
      </c>
      <c r="M1757" t="s">
        <v>70</v>
      </c>
      <c r="N1757">
        <v>3.47</v>
      </c>
      <c r="O1757">
        <v>817</v>
      </c>
      <c r="P1757">
        <v>3</v>
      </c>
      <c r="Q1757">
        <v>68</v>
      </c>
      <c r="R1757">
        <v>336</v>
      </c>
    </row>
    <row r="1758" spans="1:18" hidden="1" x14ac:dyDescent="0.2">
      <c r="A1758">
        <v>7</v>
      </c>
      <c r="B1758" t="s">
        <v>99</v>
      </c>
      <c r="E1758" t="s">
        <v>51</v>
      </c>
      <c r="F1758">
        <v>2807758</v>
      </c>
      <c r="G1758">
        <v>2</v>
      </c>
      <c r="H1758">
        <v>3</v>
      </c>
      <c r="I1758">
        <v>926</v>
      </c>
      <c r="J1758">
        <v>1962</v>
      </c>
      <c r="K1758" s="4">
        <v>44823</v>
      </c>
      <c r="L1758" t="s">
        <v>23</v>
      </c>
      <c r="M1758" t="s">
        <v>54</v>
      </c>
      <c r="N1758">
        <v>3.41</v>
      </c>
      <c r="O1758">
        <v>1066</v>
      </c>
      <c r="P1758">
        <v>4.42</v>
      </c>
      <c r="Q1758">
        <v>189</v>
      </c>
      <c r="R1758">
        <v>353</v>
      </c>
    </row>
    <row r="1759" spans="1:18" hidden="1" x14ac:dyDescent="0.2">
      <c r="A1759">
        <v>1</v>
      </c>
      <c r="B1759" t="s">
        <v>80</v>
      </c>
      <c r="E1759" t="s">
        <v>29</v>
      </c>
      <c r="F1759">
        <v>1389673</v>
      </c>
      <c r="G1759">
        <v>2</v>
      </c>
      <c r="H1759">
        <v>3</v>
      </c>
      <c r="I1759">
        <v>778</v>
      </c>
      <c r="J1759">
        <v>2000</v>
      </c>
      <c r="K1759" s="4">
        <v>44414</v>
      </c>
      <c r="L1759" t="s">
        <v>30</v>
      </c>
      <c r="M1759" t="s">
        <v>74</v>
      </c>
      <c r="N1759">
        <v>1.61</v>
      </c>
      <c r="O1759">
        <v>2060</v>
      </c>
      <c r="P1759">
        <v>1.62</v>
      </c>
      <c r="Q1759">
        <v>178</v>
      </c>
      <c r="R1759">
        <v>690</v>
      </c>
    </row>
    <row r="1760" spans="1:18" hidden="1" x14ac:dyDescent="0.2">
      <c r="A1760">
        <v>0</v>
      </c>
      <c r="B1760" t="s">
        <v>75</v>
      </c>
      <c r="E1760" t="s">
        <v>29</v>
      </c>
      <c r="F1760">
        <v>1716047</v>
      </c>
      <c r="G1760">
        <v>2</v>
      </c>
      <c r="H1760">
        <v>1</v>
      </c>
      <c r="I1760">
        <v>696</v>
      </c>
      <c r="J1760">
        <v>1987</v>
      </c>
      <c r="K1760" s="4">
        <v>45106</v>
      </c>
      <c r="L1760" t="s">
        <v>26</v>
      </c>
      <c r="M1760" t="s">
        <v>59</v>
      </c>
      <c r="N1760">
        <v>2.2000000000000002</v>
      </c>
      <c r="O1760">
        <v>1572</v>
      </c>
      <c r="P1760">
        <v>1.45</v>
      </c>
      <c r="Q1760">
        <v>68</v>
      </c>
      <c r="R1760">
        <v>436</v>
      </c>
    </row>
    <row r="1761" spans="1:18" hidden="1" x14ac:dyDescent="0.2">
      <c r="A1761">
        <v>3</v>
      </c>
      <c r="B1761" t="s">
        <v>81</v>
      </c>
      <c r="E1761" t="s">
        <v>19</v>
      </c>
      <c r="F1761">
        <v>1594153</v>
      </c>
      <c r="G1761">
        <v>6</v>
      </c>
      <c r="H1761">
        <v>1</v>
      </c>
      <c r="I1761">
        <v>960</v>
      </c>
      <c r="J1761">
        <v>2016</v>
      </c>
      <c r="K1761" s="4">
        <v>44223</v>
      </c>
      <c r="L1761" t="s">
        <v>23</v>
      </c>
      <c r="M1761" t="s">
        <v>33</v>
      </c>
      <c r="N1761">
        <v>2.2000000000000002</v>
      </c>
      <c r="O1761">
        <v>920</v>
      </c>
      <c r="P1761">
        <v>3.37</v>
      </c>
      <c r="Q1761">
        <v>338</v>
      </c>
      <c r="R1761">
        <v>675</v>
      </c>
    </row>
    <row r="1762" spans="1:18" hidden="1" x14ac:dyDescent="0.2">
      <c r="A1762">
        <v>0</v>
      </c>
      <c r="B1762" t="s">
        <v>67</v>
      </c>
      <c r="E1762" t="s">
        <v>51</v>
      </c>
      <c r="F1762">
        <v>1599430</v>
      </c>
      <c r="G1762">
        <v>6</v>
      </c>
      <c r="H1762">
        <v>2</v>
      </c>
      <c r="I1762">
        <v>183</v>
      </c>
      <c r="J1762">
        <v>2016</v>
      </c>
      <c r="K1762" s="4">
        <v>45334</v>
      </c>
      <c r="L1762" t="s">
        <v>20</v>
      </c>
      <c r="M1762" t="s">
        <v>59</v>
      </c>
      <c r="N1762">
        <v>1.58</v>
      </c>
      <c r="O1762">
        <v>1539</v>
      </c>
      <c r="P1762">
        <v>2.4500000000000002</v>
      </c>
      <c r="Q1762">
        <v>368</v>
      </c>
      <c r="R1762">
        <v>608</v>
      </c>
    </row>
    <row r="1763" spans="1:18" hidden="1" x14ac:dyDescent="0.2">
      <c r="A1763">
        <v>3</v>
      </c>
      <c r="B1763" t="s">
        <v>94</v>
      </c>
      <c r="E1763" t="s">
        <v>36</v>
      </c>
      <c r="F1763">
        <v>2858560</v>
      </c>
      <c r="G1763">
        <v>6</v>
      </c>
      <c r="H1763">
        <v>1</v>
      </c>
      <c r="I1763">
        <v>230</v>
      </c>
      <c r="J1763">
        <v>1981</v>
      </c>
      <c r="K1763" s="4">
        <v>45820</v>
      </c>
      <c r="L1763" t="s">
        <v>23</v>
      </c>
      <c r="M1763" t="s">
        <v>33</v>
      </c>
      <c r="N1763">
        <v>2.25</v>
      </c>
      <c r="O1763">
        <v>2325</v>
      </c>
      <c r="P1763">
        <v>4.67</v>
      </c>
      <c r="Q1763">
        <v>395</v>
      </c>
      <c r="R1763">
        <v>577</v>
      </c>
    </row>
    <row r="1764" spans="1:18" hidden="1" x14ac:dyDescent="0.2">
      <c r="A1764">
        <v>5</v>
      </c>
      <c r="B1764" t="s">
        <v>28</v>
      </c>
      <c r="E1764" t="s">
        <v>36</v>
      </c>
      <c r="F1764">
        <v>944152</v>
      </c>
      <c r="G1764">
        <v>4</v>
      </c>
      <c r="H1764">
        <v>3</v>
      </c>
      <c r="I1764">
        <v>115</v>
      </c>
      <c r="J1764">
        <v>1951</v>
      </c>
      <c r="K1764" s="4">
        <v>44360</v>
      </c>
      <c r="L1764" t="s">
        <v>20</v>
      </c>
      <c r="M1764" t="s">
        <v>42</v>
      </c>
      <c r="N1764">
        <v>3.2</v>
      </c>
      <c r="O1764">
        <v>2223</v>
      </c>
      <c r="P1764">
        <v>0.44</v>
      </c>
      <c r="Q1764">
        <v>332</v>
      </c>
      <c r="R1764">
        <v>389</v>
      </c>
    </row>
    <row r="1765" spans="1:18" hidden="1" x14ac:dyDescent="0.2">
      <c r="A1765">
        <v>2</v>
      </c>
      <c r="B1765" t="s">
        <v>38</v>
      </c>
      <c r="E1765" t="s">
        <v>29</v>
      </c>
      <c r="F1765">
        <v>2167315</v>
      </c>
      <c r="G1765">
        <v>2</v>
      </c>
      <c r="H1765">
        <v>2</v>
      </c>
      <c r="I1765">
        <v>166</v>
      </c>
      <c r="J1765">
        <v>1982</v>
      </c>
      <c r="K1765" s="4">
        <v>44993</v>
      </c>
      <c r="L1765" t="s">
        <v>23</v>
      </c>
      <c r="M1765" t="s">
        <v>63</v>
      </c>
      <c r="N1765">
        <v>3.11</v>
      </c>
      <c r="O1765">
        <v>898</v>
      </c>
      <c r="P1765">
        <v>1.72</v>
      </c>
      <c r="Q1765">
        <v>98</v>
      </c>
      <c r="R1765">
        <v>463</v>
      </c>
    </row>
    <row r="1766" spans="1:18" hidden="1" x14ac:dyDescent="0.2">
      <c r="A1766">
        <v>9</v>
      </c>
      <c r="B1766" t="s">
        <v>65</v>
      </c>
      <c r="E1766" t="s">
        <v>29</v>
      </c>
      <c r="F1766">
        <v>2241933</v>
      </c>
      <c r="G1766">
        <v>5</v>
      </c>
      <c r="H1766">
        <v>3</v>
      </c>
      <c r="I1766">
        <v>817</v>
      </c>
      <c r="J1766">
        <v>1982</v>
      </c>
      <c r="K1766" s="4">
        <v>45098</v>
      </c>
      <c r="L1766" t="s">
        <v>20</v>
      </c>
      <c r="M1766" t="s">
        <v>52</v>
      </c>
      <c r="N1766">
        <v>2.52</v>
      </c>
      <c r="O1766">
        <v>1781</v>
      </c>
      <c r="P1766">
        <v>3.37</v>
      </c>
      <c r="Q1766">
        <v>242</v>
      </c>
      <c r="R1766">
        <v>556</v>
      </c>
    </row>
    <row r="1767" spans="1:18" hidden="1" x14ac:dyDescent="0.2">
      <c r="A1767">
        <v>3</v>
      </c>
      <c r="B1767" t="s">
        <v>32</v>
      </c>
      <c r="E1767" t="s">
        <v>19</v>
      </c>
      <c r="F1767">
        <v>494597</v>
      </c>
      <c r="G1767">
        <v>1</v>
      </c>
      <c r="H1767">
        <v>1</v>
      </c>
      <c r="I1767">
        <v>318</v>
      </c>
      <c r="J1767">
        <v>1951</v>
      </c>
      <c r="K1767" s="4">
        <v>45045</v>
      </c>
      <c r="L1767" t="s">
        <v>30</v>
      </c>
      <c r="M1767" t="s">
        <v>66</v>
      </c>
      <c r="N1767">
        <v>2.91</v>
      </c>
      <c r="O1767">
        <v>953</v>
      </c>
      <c r="P1767">
        <v>0.89</v>
      </c>
      <c r="Q1767">
        <v>94</v>
      </c>
      <c r="R1767">
        <v>412</v>
      </c>
    </row>
    <row r="1768" spans="1:18" hidden="1" x14ac:dyDescent="0.2">
      <c r="A1768">
        <v>4</v>
      </c>
      <c r="B1768" t="s">
        <v>86</v>
      </c>
      <c r="E1768" t="s">
        <v>36</v>
      </c>
      <c r="F1768">
        <v>2851816</v>
      </c>
      <c r="G1768">
        <v>4</v>
      </c>
      <c r="H1768">
        <v>2</v>
      </c>
      <c r="I1768">
        <v>475</v>
      </c>
      <c r="J1768">
        <v>2002</v>
      </c>
      <c r="K1768" s="4">
        <v>44507</v>
      </c>
      <c r="L1768" t="s">
        <v>23</v>
      </c>
      <c r="M1768" t="s">
        <v>47</v>
      </c>
      <c r="N1768">
        <v>1.54</v>
      </c>
      <c r="O1768">
        <v>1486</v>
      </c>
      <c r="P1768">
        <v>1.02</v>
      </c>
      <c r="Q1768">
        <v>170</v>
      </c>
      <c r="R1768">
        <v>586</v>
      </c>
    </row>
    <row r="1769" spans="1:18" hidden="1" x14ac:dyDescent="0.2">
      <c r="A1769">
        <v>6</v>
      </c>
      <c r="B1769" t="s">
        <v>49</v>
      </c>
      <c r="E1769" t="s">
        <v>51</v>
      </c>
      <c r="F1769">
        <v>1680459</v>
      </c>
      <c r="G1769">
        <v>6</v>
      </c>
      <c r="H1769">
        <v>2</v>
      </c>
      <c r="I1769">
        <v>185</v>
      </c>
      <c r="J1769">
        <v>1980</v>
      </c>
      <c r="K1769" s="4">
        <v>45476</v>
      </c>
      <c r="L1769" t="s">
        <v>23</v>
      </c>
      <c r="M1769" t="s">
        <v>56</v>
      </c>
      <c r="N1769">
        <v>2.2400000000000002</v>
      </c>
      <c r="O1769">
        <v>1437</v>
      </c>
      <c r="P1769">
        <v>3.86</v>
      </c>
      <c r="Q1769">
        <v>355</v>
      </c>
      <c r="R1769">
        <v>673</v>
      </c>
    </row>
    <row r="1770" spans="1:18" x14ac:dyDescent="0.2">
      <c r="A1770">
        <v>8</v>
      </c>
      <c r="B1770" t="s">
        <v>84</v>
      </c>
      <c r="C1770" t="str">
        <f>VLOOKUP(B1770, 'Council Area'!$A$2:$B$51, 2)</f>
        <v>Northern Beaches Council</v>
      </c>
      <c r="D1770" t="str">
        <f>_xlfn.XLOOKUP(B1770, 'Council Area'!$A$2:$A$51, 'Council Area'!$B$2:$B$51)</f>
        <v>Northern Beaches Council</v>
      </c>
      <c r="E1770" t="s">
        <v>19</v>
      </c>
      <c r="F1770">
        <v>838292</v>
      </c>
      <c r="G1770">
        <v>6</v>
      </c>
      <c r="H1770">
        <v>3</v>
      </c>
      <c r="I1770">
        <v>752</v>
      </c>
      <c r="J1770">
        <v>1971</v>
      </c>
      <c r="K1770" s="4">
        <v>44537</v>
      </c>
      <c r="L1770" t="s">
        <v>20</v>
      </c>
      <c r="M1770" t="s">
        <v>27</v>
      </c>
      <c r="N1770">
        <v>2.39</v>
      </c>
      <c r="O1770">
        <v>1201</v>
      </c>
      <c r="P1770">
        <v>2.29</v>
      </c>
      <c r="Q1770">
        <v>356</v>
      </c>
      <c r="R1770">
        <v>406</v>
      </c>
    </row>
    <row r="1771" spans="1:18" hidden="1" x14ac:dyDescent="0.2">
      <c r="A1771">
        <v>6</v>
      </c>
      <c r="B1771" t="s">
        <v>53</v>
      </c>
      <c r="E1771" t="s">
        <v>29</v>
      </c>
      <c r="F1771">
        <v>2650283</v>
      </c>
      <c r="G1771">
        <v>5</v>
      </c>
      <c r="H1771">
        <v>3</v>
      </c>
      <c r="I1771">
        <v>139</v>
      </c>
      <c r="J1771">
        <v>1995</v>
      </c>
      <c r="K1771" s="4">
        <v>44716</v>
      </c>
      <c r="L1771" t="s">
        <v>23</v>
      </c>
      <c r="M1771" t="s">
        <v>76</v>
      </c>
      <c r="N1771">
        <v>3.19</v>
      </c>
      <c r="O1771">
        <v>1643</v>
      </c>
      <c r="P1771">
        <v>0.61</v>
      </c>
      <c r="Q1771">
        <v>325</v>
      </c>
      <c r="R1771">
        <v>535</v>
      </c>
    </row>
    <row r="1772" spans="1:18" hidden="1" x14ac:dyDescent="0.2">
      <c r="A1772">
        <v>7</v>
      </c>
      <c r="B1772" t="s">
        <v>41</v>
      </c>
      <c r="E1772" t="s">
        <v>51</v>
      </c>
      <c r="F1772">
        <v>862542</v>
      </c>
      <c r="G1772">
        <v>1</v>
      </c>
      <c r="H1772">
        <v>3</v>
      </c>
      <c r="I1772">
        <v>783</v>
      </c>
      <c r="J1772">
        <v>2013</v>
      </c>
      <c r="K1772" s="4">
        <v>45734</v>
      </c>
      <c r="L1772" t="s">
        <v>20</v>
      </c>
      <c r="M1772" t="s">
        <v>31</v>
      </c>
      <c r="N1772">
        <v>2.58</v>
      </c>
      <c r="O1772">
        <v>2060</v>
      </c>
      <c r="P1772">
        <v>4.8899999999999997</v>
      </c>
      <c r="Q1772">
        <v>117</v>
      </c>
      <c r="R1772">
        <v>661</v>
      </c>
    </row>
    <row r="1773" spans="1:18" hidden="1" x14ac:dyDescent="0.2">
      <c r="A1773">
        <v>0</v>
      </c>
      <c r="B1773" t="s">
        <v>44</v>
      </c>
      <c r="E1773" t="s">
        <v>19</v>
      </c>
      <c r="F1773">
        <v>402035</v>
      </c>
      <c r="G1773">
        <v>4</v>
      </c>
      <c r="H1773">
        <v>3</v>
      </c>
      <c r="I1773">
        <v>872</v>
      </c>
      <c r="J1773">
        <v>1952</v>
      </c>
      <c r="K1773" s="4">
        <v>45045</v>
      </c>
      <c r="L1773" t="s">
        <v>23</v>
      </c>
      <c r="M1773" t="s">
        <v>52</v>
      </c>
      <c r="N1773">
        <v>2.11</v>
      </c>
      <c r="O1773">
        <v>2113</v>
      </c>
      <c r="P1773">
        <v>1.33</v>
      </c>
      <c r="Q1773">
        <v>220</v>
      </c>
      <c r="R1773">
        <v>374</v>
      </c>
    </row>
    <row r="1774" spans="1:18" hidden="1" x14ac:dyDescent="0.2">
      <c r="A1774">
        <v>4</v>
      </c>
      <c r="B1774" t="s">
        <v>93</v>
      </c>
      <c r="E1774" t="s">
        <v>19</v>
      </c>
      <c r="F1774">
        <v>766917</v>
      </c>
      <c r="G1774">
        <v>3</v>
      </c>
      <c r="H1774">
        <v>1</v>
      </c>
      <c r="I1774">
        <v>388</v>
      </c>
      <c r="J1774">
        <v>1988</v>
      </c>
      <c r="K1774" s="4">
        <v>45684</v>
      </c>
      <c r="L1774" t="s">
        <v>20</v>
      </c>
      <c r="M1774" t="s">
        <v>78</v>
      </c>
      <c r="N1774">
        <v>3.09</v>
      </c>
      <c r="O1774">
        <v>1011</v>
      </c>
      <c r="P1774">
        <v>2.42</v>
      </c>
      <c r="Q1774">
        <v>187</v>
      </c>
      <c r="R1774">
        <v>366</v>
      </c>
    </row>
    <row r="1775" spans="1:18" hidden="1" x14ac:dyDescent="0.2">
      <c r="A1775">
        <v>0</v>
      </c>
      <c r="B1775" t="s">
        <v>91</v>
      </c>
      <c r="E1775" t="s">
        <v>19</v>
      </c>
      <c r="F1775">
        <v>2056119</v>
      </c>
      <c r="G1775">
        <v>6</v>
      </c>
      <c r="H1775">
        <v>2</v>
      </c>
      <c r="I1775">
        <v>740</v>
      </c>
      <c r="J1775">
        <v>2015</v>
      </c>
      <c r="K1775" s="4">
        <v>44303</v>
      </c>
      <c r="L1775" t="s">
        <v>20</v>
      </c>
      <c r="M1775" t="s">
        <v>89</v>
      </c>
      <c r="N1775">
        <v>3.1</v>
      </c>
      <c r="O1775">
        <v>1892</v>
      </c>
      <c r="P1775">
        <v>1.26</v>
      </c>
      <c r="Q1775">
        <v>322</v>
      </c>
      <c r="R1775">
        <v>595</v>
      </c>
    </row>
    <row r="1776" spans="1:18" hidden="1" x14ac:dyDescent="0.2">
      <c r="A1776">
        <v>3</v>
      </c>
      <c r="B1776" t="s">
        <v>18</v>
      </c>
      <c r="E1776" t="s">
        <v>29</v>
      </c>
      <c r="F1776">
        <v>1584315</v>
      </c>
      <c r="G1776">
        <v>5</v>
      </c>
      <c r="H1776">
        <v>2</v>
      </c>
      <c r="I1776">
        <v>678</v>
      </c>
      <c r="J1776">
        <v>1980</v>
      </c>
      <c r="K1776" s="4">
        <v>45047</v>
      </c>
      <c r="L1776" t="s">
        <v>23</v>
      </c>
      <c r="M1776" t="s">
        <v>37</v>
      </c>
      <c r="N1776">
        <v>2.12</v>
      </c>
      <c r="O1776">
        <v>1768</v>
      </c>
      <c r="P1776">
        <v>2.09</v>
      </c>
      <c r="Q1776">
        <v>305</v>
      </c>
      <c r="R1776">
        <v>625</v>
      </c>
    </row>
    <row r="1777" spans="1:18" hidden="1" x14ac:dyDescent="0.2">
      <c r="A1777">
        <v>0</v>
      </c>
      <c r="B1777" t="s">
        <v>92</v>
      </c>
      <c r="E1777" t="s">
        <v>19</v>
      </c>
      <c r="F1777">
        <v>642888</v>
      </c>
      <c r="G1777">
        <v>3</v>
      </c>
      <c r="H1777">
        <v>1</v>
      </c>
      <c r="I1777">
        <v>343</v>
      </c>
      <c r="J1777">
        <v>2004</v>
      </c>
      <c r="K1777" s="4">
        <v>45484</v>
      </c>
      <c r="L1777" t="s">
        <v>30</v>
      </c>
      <c r="M1777" t="s">
        <v>69</v>
      </c>
      <c r="N1777">
        <v>2.2799999999999998</v>
      </c>
      <c r="O1777">
        <v>1676</v>
      </c>
      <c r="P1777">
        <v>4.79</v>
      </c>
      <c r="Q1777">
        <v>138</v>
      </c>
      <c r="R1777">
        <v>613</v>
      </c>
    </row>
    <row r="1778" spans="1:18" hidden="1" x14ac:dyDescent="0.2">
      <c r="A1778">
        <v>9</v>
      </c>
      <c r="B1778" t="s">
        <v>22</v>
      </c>
      <c r="E1778" t="s">
        <v>29</v>
      </c>
      <c r="F1778">
        <v>1165226</v>
      </c>
      <c r="G1778">
        <v>3</v>
      </c>
      <c r="H1778">
        <v>3</v>
      </c>
      <c r="I1778">
        <v>920</v>
      </c>
      <c r="J1778">
        <v>2007</v>
      </c>
      <c r="K1778" s="4">
        <v>44507</v>
      </c>
      <c r="L1778" t="s">
        <v>20</v>
      </c>
      <c r="M1778" t="s">
        <v>35</v>
      </c>
      <c r="N1778">
        <v>1.93</v>
      </c>
      <c r="O1778">
        <v>1507</v>
      </c>
      <c r="P1778">
        <v>2.13</v>
      </c>
      <c r="Q1778">
        <v>305</v>
      </c>
      <c r="R1778">
        <v>458</v>
      </c>
    </row>
    <row r="1779" spans="1:18" hidden="1" x14ac:dyDescent="0.2">
      <c r="A1779">
        <v>4</v>
      </c>
      <c r="B1779" t="s">
        <v>83</v>
      </c>
      <c r="E1779" t="s">
        <v>19</v>
      </c>
      <c r="F1779">
        <v>1619870</v>
      </c>
      <c r="G1779">
        <v>2</v>
      </c>
      <c r="H1779">
        <v>3</v>
      </c>
      <c r="I1779">
        <v>911</v>
      </c>
      <c r="J1779">
        <v>2002</v>
      </c>
      <c r="K1779" s="4">
        <v>45548</v>
      </c>
      <c r="L1779" t="s">
        <v>26</v>
      </c>
      <c r="M1779" t="s">
        <v>68</v>
      </c>
      <c r="N1779">
        <v>2.0299999999999998</v>
      </c>
      <c r="O1779">
        <v>2227</v>
      </c>
      <c r="P1779">
        <v>0.11</v>
      </c>
      <c r="Q1779">
        <v>225</v>
      </c>
      <c r="R1779">
        <v>644</v>
      </c>
    </row>
    <row r="1780" spans="1:18" hidden="1" x14ac:dyDescent="0.2">
      <c r="A1780">
        <v>6</v>
      </c>
      <c r="B1780" t="s">
        <v>88</v>
      </c>
      <c r="E1780" t="s">
        <v>51</v>
      </c>
      <c r="F1780">
        <v>646798</v>
      </c>
      <c r="G1780">
        <v>3</v>
      </c>
      <c r="H1780">
        <v>1</v>
      </c>
      <c r="I1780">
        <v>651</v>
      </c>
      <c r="J1780">
        <v>1957</v>
      </c>
      <c r="K1780" s="4">
        <v>45255</v>
      </c>
      <c r="L1780" t="s">
        <v>26</v>
      </c>
      <c r="M1780" t="s">
        <v>40</v>
      </c>
      <c r="N1780">
        <v>3.22</v>
      </c>
      <c r="O1780">
        <v>1673</v>
      </c>
      <c r="P1780">
        <v>3.37</v>
      </c>
      <c r="Q1780">
        <v>315</v>
      </c>
      <c r="R1780">
        <v>525</v>
      </c>
    </row>
    <row r="1781" spans="1:18" hidden="1" x14ac:dyDescent="0.2">
      <c r="A1781">
        <v>3</v>
      </c>
      <c r="B1781" t="s">
        <v>50</v>
      </c>
      <c r="E1781" t="s">
        <v>36</v>
      </c>
      <c r="F1781">
        <v>1482429</v>
      </c>
      <c r="G1781">
        <v>1</v>
      </c>
      <c r="H1781">
        <v>1</v>
      </c>
      <c r="I1781">
        <v>580</v>
      </c>
      <c r="J1781">
        <v>1995</v>
      </c>
      <c r="K1781" s="4">
        <v>45078</v>
      </c>
      <c r="L1781" t="s">
        <v>23</v>
      </c>
      <c r="M1781" t="s">
        <v>97</v>
      </c>
      <c r="N1781">
        <v>3.13</v>
      </c>
      <c r="O1781">
        <v>946</v>
      </c>
      <c r="P1781">
        <v>3.62</v>
      </c>
      <c r="Q1781">
        <v>89</v>
      </c>
      <c r="R1781">
        <v>672</v>
      </c>
    </row>
    <row r="1782" spans="1:18" x14ac:dyDescent="0.2">
      <c r="A1782">
        <v>8</v>
      </c>
      <c r="B1782" t="s">
        <v>88</v>
      </c>
      <c r="C1782" t="str">
        <f>VLOOKUP(B1782, 'Council Area'!$A$2:$B$51, 2)</f>
        <v>Blacktown City Council</v>
      </c>
      <c r="D1782" t="str">
        <f>_xlfn.XLOOKUP(B1782, 'Council Area'!$A$2:$A$51, 'Council Area'!$B$2:$B$51)</f>
        <v>Blacktown City Council</v>
      </c>
      <c r="E1782" t="s">
        <v>36</v>
      </c>
      <c r="F1782">
        <v>827508</v>
      </c>
      <c r="G1782">
        <v>4</v>
      </c>
      <c r="H1782">
        <v>3</v>
      </c>
      <c r="I1782">
        <v>647</v>
      </c>
      <c r="J1782">
        <v>1976</v>
      </c>
      <c r="K1782" s="4">
        <v>45742</v>
      </c>
      <c r="L1782" t="s">
        <v>26</v>
      </c>
      <c r="M1782" t="s">
        <v>40</v>
      </c>
      <c r="N1782">
        <v>2.79</v>
      </c>
      <c r="O1782">
        <v>2398</v>
      </c>
      <c r="P1782">
        <v>1.1599999999999999</v>
      </c>
      <c r="Q1782">
        <v>352</v>
      </c>
      <c r="R1782">
        <v>330</v>
      </c>
    </row>
    <row r="1783" spans="1:18" hidden="1" x14ac:dyDescent="0.2">
      <c r="A1783">
        <v>2</v>
      </c>
      <c r="B1783" t="s">
        <v>104</v>
      </c>
      <c r="E1783" t="s">
        <v>51</v>
      </c>
      <c r="F1783">
        <v>2615436</v>
      </c>
      <c r="G1783">
        <v>3</v>
      </c>
      <c r="H1783">
        <v>1</v>
      </c>
      <c r="I1783">
        <v>145</v>
      </c>
      <c r="J1783">
        <v>1962</v>
      </c>
      <c r="K1783" s="4">
        <v>44519</v>
      </c>
      <c r="L1783" t="s">
        <v>30</v>
      </c>
      <c r="M1783" t="s">
        <v>24</v>
      </c>
      <c r="N1783">
        <v>1.77</v>
      </c>
      <c r="O1783">
        <v>1152</v>
      </c>
      <c r="P1783">
        <v>1.31</v>
      </c>
      <c r="Q1783">
        <v>169</v>
      </c>
      <c r="R1783">
        <v>517</v>
      </c>
    </row>
    <row r="1784" spans="1:18" x14ac:dyDescent="0.2">
      <c r="A1784">
        <v>8</v>
      </c>
      <c r="B1784" t="s">
        <v>102</v>
      </c>
      <c r="C1784" t="str">
        <f>VLOOKUP(B1784, 'Council Area'!$A$2:$B$51, 2)</f>
        <v>City of Sydney</v>
      </c>
      <c r="D1784" t="str">
        <f>_xlfn.XLOOKUP(B1784, 'Council Area'!$A$2:$A$51, 'Council Area'!$B$2:$B$51)</f>
        <v>City of Sydney</v>
      </c>
      <c r="E1784" t="s">
        <v>51</v>
      </c>
      <c r="F1784">
        <v>686700</v>
      </c>
      <c r="G1784">
        <v>4</v>
      </c>
      <c r="H1784">
        <v>2</v>
      </c>
      <c r="I1784">
        <v>858</v>
      </c>
      <c r="J1784">
        <v>1979</v>
      </c>
      <c r="K1784" s="4">
        <v>45321</v>
      </c>
      <c r="L1784" t="s">
        <v>30</v>
      </c>
      <c r="M1784" t="s">
        <v>27</v>
      </c>
      <c r="N1784">
        <v>2.42</v>
      </c>
      <c r="O1784">
        <v>1189</v>
      </c>
      <c r="P1784">
        <v>2.12</v>
      </c>
      <c r="Q1784">
        <v>161</v>
      </c>
      <c r="R1784">
        <v>469</v>
      </c>
    </row>
    <row r="1785" spans="1:18" hidden="1" x14ac:dyDescent="0.2">
      <c r="A1785">
        <v>2</v>
      </c>
      <c r="B1785" t="s">
        <v>106</v>
      </c>
      <c r="E1785" t="s">
        <v>36</v>
      </c>
      <c r="F1785">
        <v>2340341</v>
      </c>
      <c r="G1785">
        <v>4</v>
      </c>
      <c r="H1785">
        <v>1</v>
      </c>
      <c r="I1785">
        <v>932</v>
      </c>
      <c r="J1785">
        <v>1964</v>
      </c>
      <c r="K1785" s="4">
        <v>45725</v>
      </c>
      <c r="L1785" t="s">
        <v>23</v>
      </c>
      <c r="M1785" t="s">
        <v>85</v>
      </c>
      <c r="N1785">
        <v>3.22</v>
      </c>
      <c r="O1785">
        <v>1167</v>
      </c>
      <c r="P1785">
        <v>3.14</v>
      </c>
      <c r="Q1785">
        <v>278</v>
      </c>
      <c r="R1785">
        <v>460</v>
      </c>
    </row>
    <row r="1786" spans="1:18" hidden="1" x14ac:dyDescent="0.2">
      <c r="A1786">
        <v>9</v>
      </c>
      <c r="B1786" t="s">
        <v>104</v>
      </c>
      <c r="E1786" t="s">
        <v>19</v>
      </c>
      <c r="F1786">
        <v>1279435</v>
      </c>
      <c r="G1786">
        <v>5</v>
      </c>
      <c r="H1786">
        <v>2</v>
      </c>
      <c r="I1786">
        <v>856</v>
      </c>
      <c r="J1786">
        <v>1975</v>
      </c>
      <c r="K1786" s="4">
        <v>44081</v>
      </c>
      <c r="L1786" t="s">
        <v>20</v>
      </c>
      <c r="M1786" t="s">
        <v>47</v>
      </c>
      <c r="N1786">
        <v>2.93</v>
      </c>
      <c r="O1786">
        <v>1197</v>
      </c>
      <c r="P1786">
        <v>0.52</v>
      </c>
      <c r="Q1786">
        <v>300</v>
      </c>
      <c r="R1786">
        <v>314</v>
      </c>
    </row>
    <row r="1787" spans="1:18" hidden="1" x14ac:dyDescent="0.2">
      <c r="A1787">
        <v>4</v>
      </c>
      <c r="B1787" t="s">
        <v>71</v>
      </c>
      <c r="E1787" t="s">
        <v>19</v>
      </c>
      <c r="F1787">
        <v>1709830</v>
      </c>
      <c r="G1787">
        <v>3</v>
      </c>
      <c r="H1787">
        <v>1</v>
      </c>
      <c r="I1787">
        <v>172</v>
      </c>
      <c r="J1787">
        <v>1972</v>
      </c>
      <c r="K1787" s="4">
        <v>44591</v>
      </c>
      <c r="L1787" t="s">
        <v>20</v>
      </c>
      <c r="M1787" t="s">
        <v>85</v>
      </c>
      <c r="N1787">
        <v>2.35</v>
      </c>
      <c r="O1787">
        <v>1588</v>
      </c>
      <c r="P1787">
        <v>1.82</v>
      </c>
      <c r="Q1787">
        <v>168</v>
      </c>
      <c r="R1787">
        <v>613</v>
      </c>
    </row>
    <row r="1788" spans="1:18" hidden="1" x14ac:dyDescent="0.2">
      <c r="A1788">
        <v>1</v>
      </c>
      <c r="B1788" t="s">
        <v>102</v>
      </c>
      <c r="E1788" t="s">
        <v>51</v>
      </c>
      <c r="F1788">
        <v>2056111</v>
      </c>
      <c r="G1788">
        <v>3</v>
      </c>
      <c r="H1788">
        <v>3</v>
      </c>
      <c r="I1788">
        <v>942</v>
      </c>
      <c r="J1788">
        <v>1981</v>
      </c>
      <c r="K1788" s="4">
        <v>45818</v>
      </c>
      <c r="L1788" t="s">
        <v>23</v>
      </c>
      <c r="M1788" t="s">
        <v>82</v>
      </c>
      <c r="N1788">
        <v>2.78</v>
      </c>
      <c r="O1788">
        <v>1532</v>
      </c>
      <c r="P1788">
        <v>3.35</v>
      </c>
      <c r="Q1788">
        <v>113</v>
      </c>
      <c r="R1788">
        <v>681</v>
      </c>
    </row>
    <row r="1789" spans="1:18" hidden="1" x14ac:dyDescent="0.2">
      <c r="A1789">
        <v>0</v>
      </c>
      <c r="B1789" t="s">
        <v>101</v>
      </c>
      <c r="E1789" t="s">
        <v>51</v>
      </c>
      <c r="F1789">
        <v>747185</v>
      </c>
      <c r="G1789">
        <v>3</v>
      </c>
      <c r="H1789">
        <v>3</v>
      </c>
      <c r="I1789">
        <v>468</v>
      </c>
      <c r="J1789">
        <v>2001</v>
      </c>
      <c r="K1789" s="4">
        <v>45421</v>
      </c>
      <c r="L1789" t="s">
        <v>30</v>
      </c>
      <c r="M1789" t="s">
        <v>40</v>
      </c>
      <c r="N1789">
        <v>2.41</v>
      </c>
      <c r="O1789">
        <v>1373</v>
      </c>
      <c r="P1789">
        <v>2.17</v>
      </c>
      <c r="Q1789">
        <v>297</v>
      </c>
      <c r="R1789">
        <v>307</v>
      </c>
    </row>
    <row r="1790" spans="1:18" x14ac:dyDescent="0.2">
      <c r="A1790">
        <v>8</v>
      </c>
      <c r="B1790" t="s">
        <v>83</v>
      </c>
      <c r="C1790" t="str">
        <f>VLOOKUP(B1790, 'Council Area'!$A$2:$B$51, 2)</f>
        <v>Canterbury-Bankstown Council</v>
      </c>
      <c r="D1790" t="str">
        <f>_xlfn.XLOOKUP(B1790, 'Council Area'!$A$2:$A$51, 'Council Area'!$B$2:$B$51)</f>
        <v>Canterbury-Bankstown Council</v>
      </c>
      <c r="E1790" t="s">
        <v>19</v>
      </c>
      <c r="F1790">
        <v>1513624</v>
      </c>
      <c r="G1790">
        <v>2</v>
      </c>
      <c r="H1790">
        <v>2</v>
      </c>
      <c r="I1790">
        <v>727</v>
      </c>
      <c r="J1790">
        <v>1965</v>
      </c>
      <c r="K1790" s="4">
        <v>44283</v>
      </c>
      <c r="L1790" t="s">
        <v>30</v>
      </c>
      <c r="M1790" t="s">
        <v>59</v>
      </c>
      <c r="N1790">
        <v>2.02</v>
      </c>
      <c r="O1790">
        <v>1156</v>
      </c>
      <c r="P1790">
        <v>2.44</v>
      </c>
      <c r="Q1790">
        <v>57</v>
      </c>
      <c r="R1790">
        <v>394</v>
      </c>
    </row>
    <row r="1791" spans="1:18" hidden="1" x14ac:dyDescent="0.2">
      <c r="A1791">
        <v>9</v>
      </c>
      <c r="B1791" t="s">
        <v>91</v>
      </c>
      <c r="E1791" t="s">
        <v>19</v>
      </c>
      <c r="F1791">
        <v>2134237</v>
      </c>
      <c r="G1791">
        <v>2</v>
      </c>
      <c r="H1791">
        <v>1</v>
      </c>
      <c r="I1791">
        <v>894</v>
      </c>
      <c r="J1791">
        <v>1999</v>
      </c>
      <c r="K1791" s="4">
        <v>45783</v>
      </c>
      <c r="L1791" t="s">
        <v>30</v>
      </c>
      <c r="M1791" t="s">
        <v>40</v>
      </c>
      <c r="N1791">
        <v>3.24</v>
      </c>
      <c r="O1791">
        <v>1244</v>
      </c>
      <c r="P1791">
        <v>4.34</v>
      </c>
      <c r="Q1791">
        <v>180</v>
      </c>
      <c r="R1791">
        <v>674</v>
      </c>
    </row>
    <row r="1792" spans="1:18" hidden="1" x14ac:dyDescent="0.2">
      <c r="A1792">
        <v>3</v>
      </c>
      <c r="B1792" t="s">
        <v>86</v>
      </c>
      <c r="E1792" t="s">
        <v>36</v>
      </c>
      <c r="F1792">
        <v>741807</v>
      </c>
      <c r="G1792">
        <v>5</v>
      </c>
      <c r="H1792">
        <v>1</v>
      </c>
      <c r="I1792">
        <v>575</v>
      </c>
      <c r="J1792">
        <v>2012</v>
      </c>
      <c r="K1792" s="4">
        <v>45763</v>
      </c>
      <c r="L1792" t="s">
        <v>23</v>
      </c>
      <c r="M1792" t="s">
        <v>78</v>
      </c>
      <c r="N1792">
        <v>2.78</v>
      </c>
      <c r="O1792">
        <v>1841</v>
      </c>
      <c r="P1792">
        <v>2.68</v>
      </c>
      <c r="Q1792">
        <v>397</v>
      </c>
      <c r="R1792">
        <v>583</v>
      </c>
    </row>
    <row r="1793" spans="1:18" hidden="1" x14ac:dyDescent="0.2">
      <c r="A1793">
        <v>7</v>
      </c>
      <c r="B1793" t="s">
        <v>81</v>
      </c>
      <c r="E1793" t="s">
        <v>29</v>
      </c>
      <c r="F1793">
        <v>1820720</v>
      </c>
      <c r="G1793">
        <v>5</v>
      </c>
      <c r="H1793">
        <v>1</v>
      </c>
      <c r="I1793">
        <v>912</v>
      </c>
      <c r="J1793">
        <v>2009</v>
      </c>
      <c r="K1793" s="4">
        <v>44655</v>
      </c>
      <c r="L1793" t="s">
        <v>23</v>
      </c>
      <c r="M1793" t="s">
        <v>60</v>
      </c>
      <c r="N1793">
        <v>2.54</v>
      </c>
      <c r="O1793">
        <v>2005</v>
      </c>
      <c r="P1793">
        <v>2.6</v>
      </c>
      <c r="Q1793">
        <v>321</v>
      </c>
      <c r="R1793">
        <v>336</v>
      </c>
    </row>
    <row r="1794" spans="1:18" hidden="1" x14ac:dyDescent="0.2">
      <c r="A1794">
        <v>4</v>
      </c>
      <c r="B1794" t="s">
        <v>88</v>
      </c>
      <c r="E1794" t="s">
        <v>51</v>
      </c>
      <c r="F1794">
        <v>2018732</v>
      </c>
      <c r="G1794">
        <v>1</v>
      </c>
      <c r="H1794">
        <v>3</v>
      </c>
      <c r="I1794">
        <v>986</v>
      </c>
      <c r="J1794">
        <v>1991</v>
      </c>
      <c r="K1794" s="4">
        <v>44411</v>
      </c>
      <c r="L1794" t="s">
        <v>30</v>
      </c>
      <c r="M1794" t="s">
        <v>76</v>
      </c>
      <c r="N1794">
        <v>2.71</v>
      </c>
      <c r="O1794">
        <v>1821</v>
      </c>
      <c r="P1794">
        <v>4.42</v>
      </c>
      <c r="Q1794">
        <v>51</v>
      </c>
      <c r="R1794">
        <v>542</v>
      </c>
    </row>
    <row r="1795" spans="1:18" hidden="1" x14ac:dyDescent="0.2">
      <c r="A1795">
        <v>5</v>
      </c>
      <c r="B1795" t="s">
        <v>100</v>
      </c>
      <c r="E1795" t="s">
        <v>51</v>
      </c>
      <c r="F1795">
        <v>1179431</v>
      </c>
      <c r="G1795">
        <v>4</v>
      </c>
      <c r="H1795">
        <v>3</v>
      </c>
      <c r="I1795">
        <v>965</v>
      </c>
      <c r="J1795">
        <v>2021</v>
      </c>
      <c r="K1795" s="4">
        <v>44221</v>
      </c>
      <c r="L1795" t="s">
        <v>20</v>
      </c>
      <c r="M1795" t="s">
        <v>78</v>
      </c>
      <c r="N1795">
        <v>2.67</v>
      </c>
      <c r="O1795">
        <v>2317</v>
      </c>
      <c r="P1795">
        <v>3.85</v>
      </c>
      <c r="Q1795">
        <v>264</v>
      </c>
      <c r="R1795">
        <v>654</v>
      </c>
    </row>
    <row r="1796" spans="1:18" hidden="1" x14ac:dyDescent="0.2">
      <c r="A1796">
        <v>1</v>
      </c>
      <c r="B1796" t="s">
        <v>79</v>
      </c>
      <c r="E1796" t="s">
        <v>36</v>
      </c>
      <c r="F1796">
        <v>1160349</v>
      </c>
      <c r="G1796">
        <v>1</v>
      </c>
      <c r="H1796">
        <v>1</v>
      </c>
      <c r="I1796">
        <v>369</v>
      </c>
      <c r="J1796">
        <v>1997</v>
      </c>
      <c r="K1796" s="4">
        <v>45812</v>
      </c>
      <c r="L1796" t="s">
        <v>30</v>
      </c>
      <c r="M1796" t="s">
        <v>54</v>
      </c>
      <c r="N1796">
        <v>2.83</v>
      </c>
      <c r="O1796">
        <v>2150</v>
      </c>
      <c r="P1796">
        <v>2.4700000000000002</v>
      </c>
      <c r="Q1796">
        <v>106</v>
      </c>
      <c r="R1796">
        <v>373</v>
      </c>
    </row>
    <row r="1797" spans="1:18" hidden="1" x14ac:dyDescent="0.2">
      <c r="A1797">
        <v>3</v>
      </c>
      <c r="B1797" t="s">
        <v>75</v>
      </c>
      <c r="E1797" t="s">
        <v>29</v>
      </c>
      <c r="F1797">
        <v>740575</v>
      </c>
      <c r="G1797">
        <v>3</v>
      </c>
      <c r="H1797">
        <v>1</v>
      </c>
      <c r="I1797">
        <v>123</v>
      </c>
      <c r="J1797">
        <v>2014</v>
      </c>
      <c r="K1797" s="4">
        <v>45256</v>
      </c>
      <c r="L1797" t="s">
        <v>23</v>
      </c>
      <c r="M1797" t="s">
        <v>69</v>
      </c>
      <c r="N1797">
        <v>1.82</v>
      </c>
      <c r="O1797">
        <v>2469</v>
      </c>
      <c r="P1797">
        <v>4.9000000000000004</v>
      </c>
      <c r="Q1797">
        <v>104</v>
      </c>
      <c r="R1797">
        <v>685</v>
      </c>
    </row>
    <row r="1798" spans="1:18" x14ac:dyDescent="0.2">
      <c r="A1798">
        <v>8</v>
      </c>
      <c r="B1798" t="s">
        <v>105</v>
      </c>
      <c r="C1798" t="str">
        <f>VLOOKUP(B1798, 'Council Area'!$A$2:$B$51, 2)</f>
        <v>Northern Beaches Council</v>
      </c>
      <c r="D1798" t="str">
        <f>_xlfn.XLOOKUP(B1798, 'Council Area'!$A$2:$A$51, 'Council Area'!$B$2:$B$51)</f>
        <v>Northern Beaches Council</v>
      </c>
      <c r="E1798" t="s">
        <v>19</v>
      </c>
      <c r="F1798">
        <v>2504956</v>
      </c>
      <c r="G1798">
        <v>1</v>
      </c>
      <c r="H1798">
        <v>1</v>
      </c>
      <c r="I1798">
        <v>911</v>
      </c>
      <c r="J1798">
        <v>1953</v>
      </c>
      <c r="K1798" s="4">
        <v>45789</v>
      </c>
      <c r="L1798" t="s">
        <v>26</v>
      </c>
      <c r="M1798" t="s">
        <v>35</v>
      </c>
      <c r="N1798">
        <v>2.44</v>
      </c>
      <c r="O1798">
        <v>1759</v>
      </c>
      <c r="P1798">
        <v>2.09</v>
      </c>
      <c r="Q1798">
        <v>126</v>
      </c>
      <c r="R1798">
        <v>518</v>
      </c>
    </row>
    <row r="1799" spans="1:18" x14ac:dyDescent="0.2">
      <c r="A1799">
        <v>8</v>
      </c>
      <c r="B1799" t="s">
        <v>94</v>
      </c>
      <c r="C1799" t="str">
        <f>VLOOKUP(B1799, 'Council Area'!$A$2:$B$51, 2)</f>
        <v>Sutherland Shire Council</v>
      </c>
      <c r="D1799" t="str">
        <f>_xlfn.XLOOKUP(B1799, 'Council Area'!$A$2:$A$51, 'Council Area'!$B$2:$B$51)</f>
        <v>Sutherland Shire Council</v>
      </c>
      <c r="E1799" t="s">
        <v>19</v>
      </c>
      <c r="F1799">
        <v>944979</v>
      </c>
      <c r="G1799">
        <v>0</v>
      </c>
      <c r="H1799">
        <v>2</v>
      </c>
      <c r="I1799">
        <v>869</v>
      </c>
      <c r="J1799">
        <v>1984</v>
      </c>
      <c r="K1799" s="4">
        <v>44906</v>
      </c>
      <c r="L1799" t="s">
        <v>20</v>
      </c>
      <c r="M1799" t="s">
        <v>70</v>
      </c>
      <c r="N1799">
        <v>3.09</v>
      </c>
      <c r="O1799">
        <v>2026</v>
      </c>
      <c r="P1799">
        <v>0.92</v>
      </c>
      <c r="Q1799">
        <v>79</v>
      </c>
      <c r="R1799">
        <v>491</v>
      </c>
    </row>
    <row r="1800" spans="1:18" hidden="1" x14ac:dyDescent="0.2">
      <c r="A1800">
        <v>6</v>
      </c>
      <c r="B1800" t="s">
        <v>75</v>
      </c>
      <c r="E1800" t="s">
        <v>29</v>
      </c>
      <c r="F1800">
        <v>2024528</v>
      </c>
      <c r="G1800">
        <v>4</v>
      </c>
      <c r="H1800">
        <v>3</v>
      </c>
      <c r="I1800">
        <v>248</v>
      </c>
      <c r="J1800">
        <v>1960</v>
      </c>
      <c r="K1800" s="4">
        <v>45093</v>
      </c>
      <c r="L1800" t="s">
        <v>20</v>
      </c>
      <c r="M1800" t="s">
        <v>54</v>
      </c>
      <c r="N1800">
        <v>3.32</v>
      </c>
      <c r="O1800">
        <v>1867</v>
      </c>
      <c r="P1800">
        <v>4.45</v>
      </c>
      <c r="Q1800">
        <v>333</v>
      </c>
      <c r="R1800">
        <v>404</v>
      </c>
    </row>
    <row r="1801" spans="1:18" hidden="1" x14ac:dyDescent="0.2">
      <c r="A1801">
        <v>2</v>
      </c>
      <c r="B1801" t="s">
        <v>32</v>
      </c>
      <c r="E1801" t="s">
        <v>36</v>
      </c>
      <c r="F1801">
        <v>412991</v>
      </c>
      <c r="G1801">
        <v>4</v>
      </c>
      <c r="H1801">
        <v>3</v>
      </c>
      <c r="I1801">
        <v>637</v>
      </c>
      <c r="J1801">
        <v>1990</v>
      </c>
      <c r="K1801" s="4">
        <v>45193</v>
      </c>
      <c r="L1801" t="s">
        <v>30</v>
      </c>
      <c r="M1801" t="s">
        <v>45</v>
      </c>
      <c r="N1801">
        <v>1.72</v>
      </c>
      <c r="O1801">
        <v>2371</v>
      </c>
      <c r="P1801">
        <v>1.85</v>
      </c>
      <c r="Q1801">
        <v>298</v>
      </c>
      <c r="R1801">
        <v>577</v>
      </c>
    </row>
    <row r="1802" spans="1:18" hidden="1" x14ac:dyDescent="0.2">
      <c r="A1802">
        <v>4</v>
      </c>
      <c r="B1802" t="s">
        <v>28</v>
      </c>
      <c r="E1802" t="s">
        <v>29</v>
      </c>
      <c r="F1802">
        <v>2003631</v>
      </c>
      <c r="G1802">
        <v>5</v>
      </c>
      <c r="H1802">
        <v>2</v>
      </c>
      <c r="I1802">
        <v>422</v>
      </c>
      <c r="J1802">
        <v>1967</v>
      </c>
      <c r="K1802" s="4">
        <v>45214</v>
      </c>
      <c r="L1802" t="s">
        <v>23</v>
      </c>
      <c r="M1802" t="s">
        <v>56</v>
      </c>
      <c r="N1802">
        <v>3.25</v>
      </c>
      <c r="O1802">
        <v>1771</v>
      </c>
      <c r="P1802">
        <v>3.13</v>
      </c>
      <c r="Q1802">
        <v>250</v>
      </c>
      <c r="R1802">
        <v>379</v>
      </c>
    </row>
    <row r="1803" spans="1:18" hidden="1" x14ac:dyDescent="0.2">
      <c r="A1803">
        <v>3</v>
      </c>
      <c r="B1803" t="s">
        <v>46</v>
      </c>
      <c r="E1803" t="s">
        <v>36</v>
      </c>
      <c r="F1803">
        <v>486278</v>
      </c>
      <c r="G1803">
        <v>2</v>
      </c>
      <c r="H1803">
        <v>3</v>
      </c>
      <c r="I1803">
        <v>403</v>
      </c>
      <c r="J1803">
        <v>2006</v>
      </c>
      <c r="K1803" s="4">
        <v>44183</v>
      </c>
      <c r="L1803" t="s">
        <v>23</v>
      </c>
      <c r="M1803" t="s">
        <v>21</v>
      </c>
      <c r="N1803">
        <v>3.33</v>
      </c>
      <c r="O1803">
        <v>2447</v>
      </c>
      <c r="P1803">
        <v>3.85</v>
      </c>
      <c r="Q1803">
        <v>158</v>
      </c>
      <c r="R1803">
        <v>592</v>
      </c>
    </row>
    <row r="1804" spans="1:18" hidden="1" x14ac:dyDescent="0.2">
      <c r="A1804">
        <v>0</v>
      </c>
      <c r="B1804" t="s">
        <v>34</v>
      </c>
      <c r="E1804" t="s">
        <v>51</v>
      </c>
      <c r="F1804">
        <v>1784265</v>
      </c>
      <c r="G1804">
        <v>4</v>
      </c>
      <c r="H1804">
        <v>3</v>
      </c>
      <c r="I1804">
        <v>438</v>
      </c>
      <c r="J1804">
        <v>1964</v>
      </c>
      <c r="K1804" s="4">
        <v>44788</v>
      </c>
      <c r="L1804" t="s">
        <v>23</v>
      </c>
      <c r="M1804" t="s">
        <v>27</v>
      </c>
      <c r="N1804">
        <v>2.4</v>
      </c>
      <c r="O1804">
        <v>1827</v>
      </c>
      <c r="P1804">
        <v>2.1800000000000002</v>
      </c>
      <c r="Q1804">
        <v>236</v>
      </c>
      <c r="R1804">
        <v>633</v>
      </c>
    </row>
    <row r="1805" spans="1:18" x14ac:dyDescent="0.2">
      <c r="A1805">
        <v>8</v>
      </c>
      <c r="B1805" t="s">
        <v>28</v>
      </c>
      <c r="C1805" t="str">
        <f>VLOOKUP(B1805, 'Council Area'!$A$2:$B$51, 2)</f>
        <v>City of Sydney</v>
      </c>
      <c r="D1805" t="str">
        <f>_xlfn.XLOOKUP(B1805, 'Council Area'!$A$2:$A$51, 'Council Area'!$B$2:$B$51)</f>
        <v>City of Sydney</v>
      </c>
      <c r="E1805" t="s">
        <v>36</v>
      </c>
      <c r="F1805">
        <v>1394949</v>
      </c>
      <c r="G1805">
        <v>1</v>
      </c>
      <c r="H1805">
        <v>1</v>
      </c>
      <c r="I1805">
        <v>66</v>
      </c>
      <c r="J1805">
        <v>1956</v>
      </c>
      <c r="K1805" s="4">
        <v>45216</v>
      </c>
      <c r="L1805" t="s">
        <v>26</v>
      </c>
      <c r="M1805" t="s">
        <v>40</v>
      </c>
      <c r="N1805">
        <v>1.66</v>
      </c>
      <c r="O1805">
        <v>1129</v>
      </c>
      <c r="P1805">
        <v>4.49</v>
      </c>
      <c r="Q1805">
        <v>125</v>
      </c>
      <c r="R1805">
        <v>418</v>
      </c>
    </row>
    <row r="1806" spans="1:18" x14ac:dyDescent="0.2">
      <c r="A1806">
        <v>8</v>
      </c>
      <c r="B1806" t="s">
        <v>28</v>
      </c>
      <c r="C1806" t="str">
        <f>VLOOKUP(B1806, 'Council Area'!$A$2:$B$51, 2)</f>
        <v>City of Sydney</v>
      </c>
      <c r="D1806" t="str">
        <f>_xlfn.XLOOKUP(B1806, 'Council Area'!$A$2:$A$51, 'Council Area'!$B$2:$B$51)</f>
        <v>City of Sydney</v>
      </c>
      <c r="E1806" t="s">
        <v>29</v>
      </c>
      <c r="F1806">
        <v>2569606</v>
      </c>
      <c r="G1806">
        <v>4</v>
      </c>
      <c r="H1806">
        <v>2</v>
      </c>
      <c r="I1806">
        <v>228</v>
      </c>
      <c r="J1806">
        <v>1996</v>
      </c>
      <c r="K1806" s="4">
        <v>45567</v>
      </c>
      <c r="L1806" t="s">
        <v>23</v>
      </c>
      <c r="M1806" t="s">
        <v>74</v>
      </c>
      <c r="N1806">
        <v>2.42</v>
      </c>
      <c r="O1806">
        <v>1076</v>
      </c>
      <c r="P1806">
        <v>1.1299999999999999</v>
      </c>
      <c r="Q1806">
        <v>398</v>
      </c>
      <c r="R1806">
        <v>578</v>
      </c>
    </row>
    <row r="1807" spans="1:18" hidden="1" x14ac:dyDescent="0.2">
      <c r="A1807">
        <v>1</v>
      </c>
      <c r="B1807" t="s">
        <v>50</v>
      </c>
      <c r="E1807" t="s">
        <v>51</v>
      </c>
      <c r="F1807">
        <v>2202412</v>
      </c>
      <c r="G1807">
        <v>4</v>
      </c>
      <c r="H1807">
        <v>1</v>
      </c>
      <c r="I1807">
        <v>667</v>
      </c>
      <c r="J1807">
        <v>1962</v>
      </c>
      <c r="K1807" s="4">
        <v>45552</v>
      </c>
      <c r="L1807" t="s">
        <v>26</v>
      </c>
      <c r="M1807" t="s">
        <v>76</v>
      </c>
      <c r="N1807">
        <v>2.71</v>
      </c>
      <c r="O1807">
        <v>1314</v>
      </c>
      <c r="P1807">
        <v>2.73</v>
      </c>
      <c r="Q1807">
        <v>282</v>
      </c>
      <c r="R1807">
        <v>528</v>
      </c>
    </row>
    <row r="1808" spans="1:18" hidden="1" x14ac:dyDescent="0.2">
      <c r="A1808">
        <v>6</v>
      </c>
      <c r="B1808" t="s">
        <v>80</v>
      </c>
      <c r="E1808" t="s">
        <v>36</v>
      </c>
      <c r="F1808">
        <v>1650030</v>
      </c>
      <c r="G1808">
        <v>1</v>
      </c>
      <c r="H1808">
        <v>2</v>
      </c>
      <c r="I1808">
        <v>92</v>
      </c>
      <c r="J1808">
        <v>1994</v>
      </c>
      <c r="K1808" s="4">
        <v>44675</v>
      </c>
      <c r="L1808" t="s">
        <v>23</v>
      </c>
      <c r="M1808" t="s">
        <v>68</v>
      </c>
      <c r="N1808">
        <v>1.62</v>
      </c>
      <c r="O1808">
        <v>1578</v>
      </c>
      <c r="P1808">
        <v>0.42</v>
      </c>
      <c r="Q1808">
        <v>106</v>
      </c>
      <c r="R1808">
        <v>612</v>
      </c>
    </row>
    <row r="1809" spans="1:18" hidden="1" x14ac:dyDescent="0.2">
      <c r="A1809">
        <v>5</v>
      </c>
      <c r="B1809" t="s">
        <v>71</v>
      </c>
      <c r="E1809" t="s">
        <v>19</v>
      </c>
      <c r="F1809">
        <v>2537538</v>
      </c>
      <c r="G1809">
        <v>5</v>
      </c>
      <c r="H1809">
        <v>1</v>
      </c>
      <c r="I1809">
        <v>168</v>
      </c>
      <c r="J1809">
        <v>2000</v>
      </c>
      <c r="K1809" s="4">
        <v>45239</v>
      </c>
      <c r="L1809" t="s">
        <v>26</v>
      </c>
      <c r="M1809" t="s">
        <v>33</v>
      </c>
      <c r="N1809">
        <v>1.77</v>
      </c>
      <c r="O1809">
        <v>1021</v>
      </c>
      <c r="P1809">
        <v>2.75</v>
      </c>
      <c r="Q1809">
        <v>246</v>
      </c>
      <c r="R1809">
        <v>446</v>
      </c>
    </row>
    <row r="1810" spans="1:18" hidden="1" x14ac:dyDescent="0.2">
      <c r="A1810">
        <v>5</v>
      </c>
      <c r="B1810" t="s">
        <v>18</v>
      </c>
      <c r="E1810" t="s">
        <v>36</v>
      </c>
      <c r="F1810">
        <v>2782874</v>
      </c>
      <c r="G1810">
        <v>2</v>
      </c>
      <c r="H1810">
        <v>1</v>
      </c>
      <c r="I1810">
        <v>971</v>
      </c>
      <c r="J1810">
        <v>1956</v>
      </c>
      <c r="K1810" s="4">
        <v>44565</v>
      </c>
      <c r="L1810" t="s">
        <v>26</v>
      </c>
      <c r="M1810" t="s">
        <v>37</v>
      </c>
      <c r="N1810">
        <v>1.62</v>
      </c>
      <c r="O1810">
        <v>1553</v>
      </c>
      <c r="P1810">
        <v>2.2200000000000002</v>
      </c>
      <c r="Q1810">
        <v>69</v>
      </c>
      <c r="R1810">
        <v>459</v>
      </c>
    </row>
    <row r="1811" spans="1:18" hidden="1" x14ac:dyDescent="0.2">
      <c r="A1811">
        <v>9</v>
      </c>
      <c r="B1811" t="s">
        <v>86</v>
      </c>
      <c r="E1811" t="s">
        <v>19</v>
      </c>
      <c r="F1811">
        <v>2133059</v>
      </c>
      <c r="G1811">
        <v>1</v>
      </c>
      <c r="H1811">
        <v>1</v>
      </c>
      <c r="I1811">
        <v>502</v>
      </c>
      <c r="J1811">
        <v>1958</v>
      </c>
      <c r="K1811" s="4">
        <v>44486</v>
      </c>
      <c r="L1811" t="s">
        <v>26</v>
      </c>
      <c r="M1811" t="s">
        <v>31</v>
      </c>
      <c r="N1811">
        <v>2.42</v>
      </c>
      <c r="O1811">
        <v>2309</v>
      </c>
      <c r="P1811">
        <v>1.63</v>
      </c>
      <c r="Q1811">
        <v>85</v>
      </c>
      <c r="R1811">
        <v>348</v>
      </c>
    </row>
    <row r="1812" spans="1:18" x14ac:dyDescent="0.2">
      <c r="A1812">
        <v>8</v>
      </c>
      <c r="B1812" t="s">
        <v>75</v>
      </c>
      <c r="C1812" t="str">
        <f>VLOOKUP(B1812, 'Council Area'!$A$2:$B$51, 2)</f>
        <v>Inner West Council</v>
      </c>
      <c r="D1812" t="str">
        <f>_xlfn.XLOOKUP(B1812, 'Council Area'!$A$2:$A$51, 'Council Area'!$B$2:$B$51)</f>
        <v>Inner West Council</v>
      </c>
      <c r="E1812" t="s">
        <v>36</v>
      </c>
      <c r="F1812">
        <v>2573825</v>
      </c>
      <c r="G1812">
        <v>4</v>
      </c>
      <c r="H1812">
        <v>3</v>
      </c>
      <c r="I1812">
        <v>506</v>
      </c>
      <c r="J1812">
        <v>2010</v>
      </c>
      <c r="K1812" s="4">
        <v>45553</v>
      </c>
      <c r="L1812" t="s">
        <v>23</v>
      </c>
      <c r="M1812" t="s">
        <v>45</v>
      </c>
      <c r="N1812">
        <v>2.96</v>
      </c>
      <c r="O1812">
        <v>2205</v>
      </c>
      <c r="P1812">
        <v>1.96</v>
      </c>
      <c r="Q1812">
        <v>310</v>
      </c>
      <c r="R1812">
        <v>541</v>
      </c>
    </row>
    <row r="1813" spans="1:18" hidden="1" x14ac:dyDescent="0.2">
      <c r="A1813">
        <v>4</v>
      </c>
      <c r="B1813" t="s">
        <v>55</v>
      </c>
      <c r="E1813" t="s">
        <v>29</v>
      </c>
      <c r="F1813">
        <v>2760146</v>
      </c>
      <c r="G1813">
        <v>4</v>
      </c>
      <c r="H1813">
        <v>3</v>
      </c>
      <c r="I1813">
        <v>850</v>
      </c>
      <c r="J1813">
        <v>2002</v>
      </c>
      <c r="K1813" s="4">
        <v>44173</v>
      </c>
      <c r="L1813" t="s">
        <v>20</v>
      </c>
      <c r="M1813" t="s">
        <v>58</v>
      </c>
      <c r="N1813">
        <v>2.08</v>
      </c>
      <c r="O1813">
        <v>1818</v>
      </c>
      <c r="P1813">
        <v>3.25</v>
      </c>
      <c r="Q1813">
        <v>270</v>
      </c>
      <c r="R1813">
        <v>367</v>
      </c>
    </row>
    <row r="1814" spans="1:18" hidden="1" x14ac:dyDescent="0.2">
      <c r="A1814">
        <v>1</v>
      </c>
      <c r="B1814" t="s">
        <v>98</v>
      </c>
      <c r="E1814" t="s">
        <v>29</v>
      </c>
      <c r="F1814">
        <v>1391015</v>
      </c>
      <c r="G1814">
        <v>2</v>
      </c>
      <c r="H1814">
        <v>1</v>
      </c>
      <c r="I1814">
        <v>448</v>
      </c>
      <c r="J1814">
        <v>1964</v>
      </c>
      <c r="K1814" s="4">
        <v>45546</v>
      </c>
      <c r="L1814" t="s">
        <v>26</v>
      </c>
      <c r="M1814" t="s">
        <v>76</v>
      </c>
      <c r="N1814">
        <v>2.99</v>
      </c>
      <c r="O1814">
        <v>956</v>
      </c>
      <c r="P1814">
        <v>3.96</v>
      </c>
      <c r="Q1814">
        <v>160</v>
      </c>
      <c r="R1814">
        <v>434</v>
      </c>
    </row>
    <row r="1815" spans="1:18" hidden="1" x14ac:dyDescent="0.2">
      <c r="A1815">
        <v>6</v>
      </c>
      <c r="B1815" t="s">
        <v>87</v>
      </c>
      <c r="E1815" t="s">
        <v>29</v>
      </c>
      <c r="F1815">
        <v>2322760</v>
      </c>
      <c r="G1815">
        <v>4</v>
      </c>
      <c r="H1815">
        <v>1</v>
      </c>
      <c r="I1815">
        <v>670</v>
      </c>
      <c r="J1815">
        <v>1981</v>
      </c>
      <c r="K1815" s="4">
        <v>45785</v>
      </c>
      <c r="L1815" t="s">
        <v>23</v>
      </c>
      <c r="M1815" t="s">
        <v>45</v>
      </c>
      <c r="N1815">
        <v>1.89</v>
      </c>
      <c r="O1815">
        <v>2127</v>
      </c>
      <c r="P1815">
        <v>4.88</v>
      </c>
      <c r="Q1815">
        <v>246</v>
      </c>
      <c r="R1815">
        <v>414</v>
      </c>
    </row>
    <row r="1816" spans="1:18" hidden="1" x14ac:dyDescent="0.2">
      <c r="A1816">
        <v>9</v>
      </c>
      <c r="B1816" t="s">
        <v>53</v>
      </c>
      <c r="E1816" t="s">
        <v>36</v>
      </c>
      <c r="F1816">
        <v>1121014</v>
      </c>
      <c r="G1816">
        <v>5</v>
      </c>
      <c r="H1816">
        <v>2</v>
      </c>
      <c r="I1816">
        <v>208</v>
      </c>
      <c r="J1816">
        <v>1971</v>
      </c>
      <c r="K1816" s="4">
        <v>44279</v>
      </c>
      <c r="L1816" t="s">
        <v>20</v>
      </c>
      <c r="M1816" t="s">
        <v>70</v>
      </c>
      <c r="N1816">
        <v>1.85</v>
      </c>
      <c r="O1816">
        <v>1250</v>
      </c>
      <c r="P1816">
        <v>1.03</v>
      </c>
      <c r="Q1816">
        <v>351</v>
      </c>
      <c r="R1816">
        <v>518</v>
      </c>
    </row>
    <row r="1817" spans="1:18" hidden="1" x14ac:dyDescent="0.2">
      <c r="A1817">
        <v>7</v>
      </c>
      <c r="B1817" t="s">
        <v>100</v>
      </c>
      <c r="E1817" t="s">
        <v>36</v>
      </c>
      <c r="F1817">
        <v>692106</v>
      </c>
      <c r="G1817">
        <v>5</v>
      </c>
      <c r="H1817">
        <v>3</v>
      </c>
      <c r="I1817">
        <v>454</v>
      </c>
      <c r="J1817">
        <v>1962</v>
      </c>
      <c r="K1817" s="4">
        <v>45503</v>
      </c>
      <c r="L1817" t="s">
        <v>23</v>
      </c>
      <c r="M1817" t="s">
        <v>27</v>
      </c>
      <c r="N1817">
        <v>3.26</v>
      </c>
      <c r="O1817">
        <v>2080</v>
      </c>
      <c r="P1817">
        <v>2.2000000000000002</v>
      </c>
      <c r="Q1817">
        <v>300</v>
      </c>
      <c r="R1817">
        <v>544</v>
      </c>
    </row>
    <row r="1818" spans="1:18" hidden="1" x14ac:dyDescent="0.2">
      <c r="A1818">
        <v>9</v>
      </c>
      <c r="B1818" t="s">
        <v>91</v>
      </c>
      <c r="E1818" t="s">
        <v>19</v>
      </c>
      <c r="F1818">
        <v>2797204</v>
      </c>
      <c r="G1818">
        <v>5</v>
      </c>
      <c r="H1818">
        <v>2</v>
      </c>
      <c r="I1818">
        <v>91</v>
      </c>
      <c r="J1818">
        <v>2007</v>
      </c>
      <c r="K1818" s="4">
        <v>45710</v>
      </c>
      <c r="L1818" t="s">
        <v>26</v>
      </c>
      <c r="M1818" t="s">
        <v>21</v>
      </c>
      <c r="N1818">
        <v>3.25</v>
      </c>
      <c r="O1818">
        <v>1954</v>
      </c>
      <c r="P1818">
        <v>2.42</v>
      </c>
      <c r="Q1818">
        <v>361</v>
      </c>
      <c r="R1818">
        <v>553</v>
      </c>
    </row>
    <row r="1819" spans="1:18" hidden="1" x14ac:dyDescent="0.2">
      <c r="A1819">
        <v>5</v>
      </c>
      <c r="B1819" t="s">
        <v>99</v>
      </c>
      <c r="E1819" t="s">
        <v>19</v>
      </c>
      <c r="F1819">
        <v>2654916</v>
      </c>
      <c r="G1819">
        <v>2</v>
      </c>
      <c r="H1819">
        <v>1</v>
      </c>
      <c r="I1819">
        <v>992</v>
      </c>
      <c r="J1819">
        <v>1965</v>
      </c>
      <c r="K1819" s="4">
        <v>44422</v>
      </c>
      <c r="L1819" t="s">
        <v>20</v>
      </c>
      <c r="M1819" t="s">
        <v>77</v>
      </c>
      <c r="N1819">
        <v>1.88</v>
      </c>
      <c r="O1819">
        <v>1342</v>
      </c>
      <c r="P1819">
        <v>1.81</v>
      </c>
      <c r="Q1819">
        <v>131</v>
      </c>
      <c r="R1819">
        <v>590</v>
      </c>
    </row>
    <row r="1820" spans="1:18" hidden="1" x14ac:dyDescent="0.2">
      <c r="A1820">
        <v>3</v>
      </c>
      <c r="B1820" t="s">
        <v>32</v>
      </c>
      <c r="E1820" t="s">
        <v>19</v>
      </c>
      <c r="F1820">
        <v>1043720</v>
      </c>
      <c r="G1820">
        <v>4</v>
      </c>
      <c r="H1820">
        <v>3</v>
      </c>
      <c r="I1820">
        <v>660</v>
      </c>
      <c r="J1820">
        <v>1978</v>
      </c>
      <c r="K1820" s="4">
        <v>45541</v>
      </c>
      <c r="L1820" t="s">
        <v>20</v>
      </c>
      <c r="M1820" t="s">
        <v>60</v>
      </c>
      <c r="N1820">
        <v>1.74</v>
      </c>
      <c r="O1820">
        <v>893</v>
      </c>
      <c r="P1820">
        <v>1.94</v>
      </c>
      <c r="Q1820">
        <v>283</v>
      </c>
      <c r="R1820">
        <v>636</v>
      </c>
    </row>
    <row r="1821" spans="1:18" hidden="1" x14ac:dyDescent="0.2">
      <c r="A1821">
        <v>7</v>
      </c>
      <c r="B1821" t="s">
        <v>72</v>
      </c>
      <c r="E1821" t="s">
        <v>51</v>
      </c>
      <c r="F1821">
        <v>931362</v>
      </c>
      <c r="G1821">
        <v>4</v>
      </c>
      <c r="H1821">
        <v>2</v>
      </c>
      <c r="I1821">
        <v>774</v>
      </c>
      <c r="J1821">
        <v>1966</v>
      </c>
      <c r="K1821" s="4">
        <v>44174</v>
      </c>
      <c r="L1821" t="s">
        <v>20</v>
      </c>
      <c r="M1821" t="s">
        <v>42</v>
      </c>
      <c r="N1821">
        <v>2.37</v>
      </c>
      <c r="O1821">
        <v>915</v>
      </c>
      <c r="P1821">
        <v>0.59</v>
      </c>
      <c r="Q1821">
        <v>365</v>
      </c>
      <c r="R1821">
        <v>664</v>
      </c>
    </row>
    <row r="1822" spans="1:18" hidden="1" x14ac:dyDescent="0.2">
      <c r="A1822">
        <v>1</v>
      </c>
      <c r="B1822" t="s">
        <v>34</v>
      </c>
      <c r="E1822" t="s">
        <v>51</v>
      </c>
      <c r="F1822">
        <v>1089638</v>
      </c>
      <c r="G1822">
        <v>4</v>
      </c>
      <c r="H1822">
        <v>2</v>
      </c>
      <c r="I1822">
        <v>569</v>
      </c>
      <c r="J1822">
        <v>2007</v>
      </c>
      <c r="K1822" s="4">
        <v>45433</v>
      </c>
      <c r="L1822" t="s">
        <v>20</v>
      </c>
      <c r="M1822" t="s">
        <v>74</v>
      </c>
      <c r="N1822">
        <v>3.45</v>
      </c>
      <c r="O1822">
        <v>1147</v>
      </c>
      <c r="P1822">
        <v>2.1</v>
      </c>
      <c r="Q1822">
        <v>380</v>
      </c>
      <c r="R1822">
        <v>490</v>
      </c>
    </row>
    <row r="1823" spans="1:18" hidden="1" x14ac:dyDescent="0.2">
      <c r="A1823">
        <v>4</v>
      </c>
      <c r="B1823" t="s">
        <v>57</v>
      </c>
      <c r="E1823" t="s">
        <v>36</v>
      </c>
      <c r="F1823">
        <v>2326347</v>
      </c>
      <c r="G1823">
        <v>1</v>
      </c>
      <c r="H1823">
        <v>3</v>
      </c>
      <c r="I1823">
        <v>504</v>
      </c>
      <c r="J1823">
        <v>2008</v>
      </c>
      <c r="K1823" s="4">
        <v>45842</v>
      </c>
      <c r="L1823" t="s">
        <v>20</v>
      </c>
      <c r="M1823" t="s">
        <v>40</v>
      </c>
      <c r="N1823">
        <v>2.2999999999999998</v>
      </c>
      <c r="O1823">
        <v>2215</v>
      </c>
      <c r="P1823">
        <v>0.78</v>
      </c>
      <c r="Q1823">
        <v>120</v>
      </c>
      <c r="R1823">
        <v>698</v>
      </c>
    </row>
    <row r="1824" spans="1:18" hidden="1" x14ac:dyDescent="0.2">
      <c r="A1824">
        <v>1</v>
      </c>
      <c r="B1824" t="s">
        <v>67</v>
      </c>
      <c r="E1824" t="s">
        <v>36</v>
      </c>
      <c r="F1824">
        <v>941823</v>
      </c>
      <c r="G1824">
        <v>3</v>
      </c>
      <c r="H1824">
        <v>1</v>
      </c>
      <c r="I1824">
        <v>281</v>
      </c>
      <c r="J1824">
        <v>1991</v>
      </c>
      <c r="K1824" s="4">
        <v>44369</v>
      </c>
      <c r="L1824" t="s">
        <v>23</v>
      </c>
      <c r="M1824" t="s">
        <v>97</v>
      </c>
      <c r="N1824">
        <v>2.79</v>
      </c>
      <c r="O1824">
        <v>1944</v>
      </c>
      <c r="P1824">
        <v>1.39</v>
      </c>
      <c r="Q1824">
        <v>244</v>
      </c>
      <c r="R1824">
        <v>674</v>
      </c>
    </row>
    <row r="1825" spans="1:18" hidden="1" x14ac:dyDescent="0.2">
      <c r="A1825">
        <v>5</v>
      </c>
      <c r="B1825" t="s">
        <v>25</v>
      </c>
      <c r="E1825" t="s">
        <v>19</v>
      </c>
      <c r="F1825">
        <v>636047</v>
      </c>
      <c r="G1825">
        <v>4</v>
      </c>
      <c r="H1825">
        <v>1</v>
      </c>
      <c r="I1825">
        <v>714</v>
      </c>
      <c r="J1825">
        <v>2006</v>
      </c>
      <c r="K1825" s="4">
        <v>45157</v>
      </c>
      <c r="L1825" t="s">
        <v>30</v>
      </c>
      <c r="M1825" t="s">
        <v>35</v>
      </c>
      <c r="N1825">
        <v>2.36</v>
      </c>
      <c r="O1825">
        <v>1459</v>
      </c>
      <c r="P1825">
        <v>0.65</v>
      </c>
      <c r="Q1825">
        <v>378</v>
      </c>
      <c r="R1825">
        <v>619</v>
      </c>
    </row>
    <row r="1826" spans="1:18" hidden="1" x14ac:dyDescent="0.2">
      <c r="A1826">
        <v>9</v>
      </c>
      <c r="B1826" t="s">
        <v>71</v>
      </c>
      <c r="E1826" t="s">
        <v>29</v>
      </c>
      <c r="F1826">
        <v>1728101</v>
      </c>
      <c r="G1826">
        <v>4</v>
      </c>
      <c r="H1826">
        <v>3</v>
      </c>
      <c r="I1826">
        <v>897</v>
      </c>
      <c r="J1826">
        <v>2019</v>
      </c>
      <c r="K1826" s="4">
        <v>45537</v>
      </c>
      <c r="L1826" t="s">
        <v>26</v>
      </c>
      <c r="M1826" t="s">
        <v>47</v>
      </c>
      <c r="N1826">
        <v>3.11</v>
      </c>
      <c r="O1826">
        <v>1933</v>
      </c>
      <c r="P1826">
        <v>4.46</v>
      </c>
      <c r="Q1826">
        <v>192</v>
      </c>
      <c r="R1826">
        <v>575</v>
      </c>
    </row>
    <row r="1827" spans="1:18" hidden="1" x14ac:dyDescent="0.2">
      <c r="A1827">
        <v>1</v>
      </c>
      <c r="B1827" t="s">
        <v>90</v>
      </c>
      <c r="E1827" t="s">
        <v>51</v>
      </c>
      <c r="F1827">
        <v>2320115</v>
      </c>
      <c r="G1827">
        <v>2</v>
      </c>
      <c r="H1827">
        <v>2</v>
      </c>
      <c r="I1827">
        <v>697</v>
      </c>
      <c r="J1827">
        <v>1952</v>
      </c>
      <c r="K1827" s="4">
        <v>44324</v>
      </c>
      <c r="L1827" t="s">
        <v>30</v>
      </c>
      <c r="M1827" t="s">
        <v>85</v>
      </c>
      <c r="N1827">
        <v>1.87</v>
      </c>
      <c r="O1827">
        <v>1202</v>
      </c>
      <c r="P1827">
        <v>3.79</v>
      </c>
      <c r="Q1827">
        <v>139</v>
      </c>
      <c r="R1827">
        <v>428</v>
      </c>
    </row>
    <row r="1828" spans="1:18" hidden="1" x14ac:dyDescent="0.2">
      <c r="A1828">
        <v>1</v>
      </c>
      <c r="B1828" t="s">
        <v>105</v>
      </c>
      <c r="E1828" t="s">
        <v>29</v>
      </c>
      <c r="F1828">
        <v>1717421</v>
      </c>
      <c r="G1828">
        <v>2</v>
      </c>
      <c r="H1828">
        <v>2</v>
      </c>
      <c r="I1828">
        <v>194</v>
      </c>
      <c r="J1828">
        <v>2004</v>
      </c>
      <c r="K1828" s="4">
        <v>44966</v>
      </c>
      <c r="L1828" t="s">
        <v>20</v>
      </c>
      <c r="M1828" t="s">
        <v>70</v>
      </c>
      <c r="N1828">
        <v>2.14</v>
      </c>
      <c r="O1828">
        <v>1705</v>
      </c>
      <c r="P1828">
        <v>4.83</v>
      </c>
      <c r="Q1828">
        <v>217</v>
      </c>
      <c r="R1828">
        <v>580</v>
      </c>
    </row>
    <row r="1829" spans="1:18" hidden="1" x14ac:dyDescent="0.2">
      <c r="A1829">
        <v>0</v>
      </c>
      <c r="B1829" t="s">
        <v>72</v>
      </c>
      <c r="E1829" t="s">
        <v>29</v>
      </c>
      <c r="F1829">
        <v>580228</v>
      </c>
      <c r="G1829">
        <v>4</v>
      </c>
      <c r="H1829">
        <v>2</v>
      </c>
      <c r="I1829">
        <v>648</v>
      </c>
      <c r="J1829">
        <v>1952</v>
      </c>
      <c r="K1829" s="4">
        <v>44340</v>
      </c>
      <c r="L1829" t="s">
        <v>30</v>
      </c>
      <c r="M1829" t="s">
        <v>47</v>
      </c>
      <c r="N1829">
        <v>2.94</v>
      </c>
      <c r="O1829">
        <v>1517</v>
      </c>
      <c r="P1829">
        <v>2.0499999999999998</v>
      </c>
      <c r="Q1829">
        <v>197</v>
      </c>
      <c r="R1829">
        <v>325</v>
      </c>
    </row>
    <row r="1830" spans="1:18" hidden="1" x14ac:dyDescent="0.2">
      <c r="A1830">
        <v>3</v>
      </c>
      <c r="B1830" t="s">
        <v>75</v>
      </c>
      <c r="E1830" t="s">
        <v>19</v>
      </c>
      <c r="F1830">
        <v>1210592</v>
      </c>
      <c r="G1830">
        <v>5</v>
      </c>
      <c r="H1830">
        <v>3</v>
      </c>
      <c r="I1830">
        <v>403</v>
      </c>
      <c r="J1830">
        <v>1963</v>
      </c>
      <c r="K1830" s="4">
        <v>44402</v>
      </c>
      <c r="L1830" t="s">
        <v>30</v>
      </c>
      <c r="M1830" t="s">
        <v>63</v>
      </c>
      <c r="N1830">
        <v>2.99</v>
      </c>
      <c r="O1830">
        <v>900</v>
      </c>
      <c r="P1830">
        <v>0.38</v>
      </c>
      <c r="Q1830">
        <v>385</v>
      </c>
      <c r="R1830">
        <v>665</v>
      </c>
    </row>
    <row r="1831" spans="1:18" hidden="1" x14ac:dyDescent="0.2">
      <c r="A1831">
        <v>1</v>
      </c>
      <c r="B1831" t="s">
        <v>38</v>
      </c>
      <c r="E1831" t="s">
        <v>29</v>
      </c>
      <c r="F1831">
        <v>1143952</v>
      </c>
      <c r="G1831">
        <v>3</v>
      </c>
      <c r="H1831">
        <v>1</v>
      </c>
      <c r="I1831">
        <v>655</v>
      </c>
      <c r="J1831">
        <v>1962</v>
      </c>
      <c r="K1831" s="4">
        <v>45215</v>
      </c>
      <c r="L1831" t="s">
        <v>26</v>
      </c>
      <c r="M1831" t="s">
        <v>76</v>
      </c>
      <c r="N1831">
        <v>1.81</v>
      </c>
      <c r="O1831">
        <v>1347</v>
      </c>
      <c r="P1831">
        <v>0.16</v>
      </c>
      <c r="Q1831">
        <v>228</v>
      </c>
      <c r="R1831">
        <v>395</v>
      </c>
    </row>
    <row r="1832" spans="1:18" hidden="1" x14ac:dyDescent="0.2">
      <c r="A1832">
        <v>6</v>
      </c>
      <c r="B1832" t="s">
        <v>50</v>
      </c>
      <c r="E1832" t="s">
        <v>51</v>
      </c>
      <c r="F1832">
        <v>1161592</v>
      </c>
      <c r="G1832">
        <v>0</v>
      </c>
      <c r="H1832">
        <v>1</v>
      </c>
      <c r="I1832">
        <v>481</v>
      </c>
      <c r="J1832">
        <v>1998</v>
      </c>
      <c r="K1832" s="4">
        <v>44318</v>
      </c>
      <c r="L1832" t="s">
        <v>20</v>
      </c>
      <c r="M1832" t="s">
        <v>54</v>
      </c>
      <c r="N1832">
        <v>2.78</v>
      </c>
      <c r="O1832">
        <v>1006</v>
      </c>
      <c r="P1832">
        <v>1.52</v>
      </c>
      <c r="Q1832">
        <v>44</v>
      </c>
      <c r="R1832">
        <v>344</v>
      </c>
    </row>
    <row r="1833" spans="1:18" hidden="1" x14ac:dyDescent="0.2">
      <c r="A1833">
        <v>0</v>
      </c>
      <c r="B1833" t="s">
        <v>25</v>
      </c>
      <c r="E1833" t="s">
        <v>29</v>
      </c>
      <c r="F1833">
        <v>2482269</v>
      </c>
      <c r="G1833">
        <v>3</v>
      </c>
      <c r="H1833">
        <v>3</v>
      </c>
      <c r="I1833">
        <v>498</v>
      </c>
      <c r="J1833">
        <v>1986</v>
      </c>
      <c r="K1833" s="4">
        <v>44561</v>
      </c>
      <c r="L1833" t="s">
        <v>20</v>
      </c>
      <c r="M1833" t="s">
        <v>40</v>
      </c>
      <c r="N1833">
        <v>3.3</v>
      </c>
      <c r="O1833">
        <v>1654</v>
      </c>
      <c r="P1833">
        <v>2.61</v>
      </c>
      <c r="Q1833">
        <v>278</v>
      </c>
      <c r="R1833">
        <v>335</v>
      </c>
    </row>
    <row r="1834" spans="1:18" hidden="1" x14ac:dyDescent="0.2">
      <c r="A1834">
        <v>9</v>
      </c>
      <c r="B1834" t="s">
        <v>57</v>
      </c>
      <c r="E1834" t="s">
        <v>36</v>
      </c>
      <c r="F1834">
        <v>2968704</v>
      </c>
      <c r="G1834">
        <v>5</v>
      </c>
      <c r="H1834">
        <v>1</v>
      </c>
      <c r="I1834">
        <v>284</v>
      </c>
      <c r="J1834">
        <v>1978</v>
      </c>
      <c r="K1834" s="4">
        <v>45614</v>
      </c>
      <c r="L1834" t="s">
        <v>20</v>
      </c>
      <c r="M1834" t="s">
        <v>69</v>
      </c>
      <c r="N1834">
        <v>2.93</v>
      </c>
      <c r="O1834">
        <v>883</v>
      </c>
      <c r="P1834">
        <v>3.15</v>
      </c>
      <c r="Q1834">
        <v>268</v>
      </c>
      <c r="R1834">
        <v>316</v>
      </c>
    </row>
    <row r="1835" spans="1:18" hidden="1" x14ac:dyDescent="0.2">
      <c r="A1835">
        <v>7</v>
      </c>
      <c r="B1835" t="s">
        <v>32</v>
      </c>
      <c r="E1835" t="s">
        <v>19</v>
      </c>
      <c r="F1835">
        <v>2714010</v>
      </c>
      <c r="G1835">
        <v>5</v>
      </c>
      <c r="H1835">
        <v>2</v>
      </c>
      <c r="I1835">
        <v>478</v>
      </c>
      <c r="J1835">
        <v>2017</v>
      </c>
      <c r="K1835" s="4">
        <v>45033</v>
      </c>
      <c r="L1835" t="s">
        <v>30</v>
      </c>
      <c r="M1835" t="s">
        <v>45</v>
      </c>
      <c r="N1835">
        <v>2.66</v>
      </c>
      <c r="O1835">
        <v>1520</v>
      </c>
      <c r="P1835">
        <v>4.92</v>
      </c>
      <c r="Q1835">
        <v>344</v>
      </c>
      <c r="R1835">
        <v>469</v>
      </c>
    </row>
    <row r="1836" spans="1:18" hidden="1" x14ac:dyDescent="0.2">
      <c r="A1836">
        <v>3</v>
      </c>
      <c r="B1836" t="s">
        <v>90</v>
      </c>
      <c r="E1836" t="s">
        <v>19</v>
      </c>
      <c r="F1836">
        <v>1640668</v>
      </c>
      <c r="G1836">
        <v>5</v>
      </c>
      <c r="H1836">
        <v>1</v>
      </c>
      <c r="I1836">
        <v>115</v>
      </c>
      <c r="J1836">
        <v>1974</v>
      </c>
      <c r="K1836" s="4">
        <v>44079</v>
      </c>
      <c r="L1836" t="s">
        <v>20</v>
      </c>
      <c r="M1836" t="s">
        <v>63</v>
      </c>
      <c r="N1836">
        <v>2.09</v>
      </c>
      <c r="O1836">
        <v>1431</v>
      </c>
      <c r="P1836">
        <v>3.83</v>
      </c>
      <c r="Q1836">
        <v>325</v>
      </c>
      <c r="R1836">
        <v>446</v>
      </c>
    </row>
    <row r="1837" spans="1:18" hidden="1" x14ac:dyDescent="0.2">
      <c r="A1837">
        <v>4</v>
      </c>
      <c r="B1837" t="s">
        <v>55</v>
      </c>
      <c r="E1837" t="s">
        <v>51</v>
      </c>
      <c r="F1837">
        <v>2596307</v>
      </c>
      <c r="G1837">
        <v>4</v>
      </c>
      <c r="H1837">
        <v>2</v>
      </c>
      <c r="I1837">
        <v>256</v>
      </c>
      <c r="J1837">
        <v>2007</v>
      </c>
      <c r="K1837" s="4">
        <v>45273</v>
      </c>
      <c r="L1837" t="s">
        <v>20</v>
      </c>
      <c r="M1837" t="s">
        <v>85</v>
      </c>
      <c r="N1837">
        <v>3.15</v>
      </c>
      <c r="O1837">
        <v>804</v>
      </c>
      <c r="P1837">
        <v>3.18</v>
      </c>
      <c r="Q1837">
        <v>302</v>
      </c>
      <c r="R1837">
        <v>675</v>
      </c>
    </row>
    <row r="1838" spans="1:18" hidden="1" x14ac:dyDescent="0.2">
      <c r="A1838">
        <v>6</v>
      </c>
      <c r="B1838" t="s">
        <v>73</v>
      </c>
      <c r="E1838" t="s">
        <v>51</v>
      </c>
      <c r="F1838">
        <v>917181</v>
      </c>
      <c r="G1838">
        <v>4</v>
      </c>
      <c r="H1838">
        <v>2</v>
      </c>
      <c r="I1838">
        <v>681</v>
      </c>
      <c r="J1838">
        <v>1987</v>
      </c>
      <c r="K1838" s="4">
        <v>45291</v>
      </c>
      <c r="L1838" t="s">
        <v>23</v>
      </c>
      <c r="M1838" t="s">
        <v>24</v>
      </c>
      <c r="N1838">
        <v>3.21</v>
      </c>
      <c r="O1838">
        <v>1743</v>
      </c>
      <c r="P1838">
        <v>4.7699999999999996</v>
      </c>
      <c r="Q1838">
        <v>290</v>
      </c>
      <c r="R1838">
        <v>687</v>
      </c>
    </row>
    <row r="1839" spans="1:18" hidden="1" x14ac:dyDescent="0.2">
      <c r="A1839">
        <v>9</v>
      </c>
      <c r="B1839" t="s">
        <v>92</v>
      </c>
      <c r="E1839" t="s">
        <v>29</v>
      </c>
      <c r="F1839">
        <v>2289836</v>
      </c>
      <c r="G1839">
        <v>3</v>
      </c>
      <c r="H1839">
        <v>2</v>
      </c>
      <c r="I1839">
        <v>547</v>
      </c>
      <c r="J1839">
        <v>1962</v>
      </c>
      <c r="K1839" s="4">
        <v>45687</v>
      </c>
      <c r="L1839" t="s">
        <v>30</v>
      </c>
      <c r="M1839" t="s">
        <v>24</v>
      </c>
      <c r="N1839">
        <v>2.38</v>
      </c>
      <c r="O1839">
        <v>1897</v>
      </c>
      <c r="P1839">
        <v>4.6900000000000004</v>
      </c>
      <c r="Q1839">
        <v>233</v>
      </c>
      <c r="R1839">
        <v>623</v>
      </c>
    </row>
    <row r="1840" spans="1:18" hidden="1" x14ac:dyDescent="0.2">
      <c r="A1840">
        <v>5</v>
      </c>
      <c r="B1840" t="s">
        <v>99</v>
      </c>
      <c r="E1840" t="s">
        <v>19</v>
      </c>
      <c r="F1840">
        <v>2246431</v>
      </c>
      <c r="G1840">
        <v>0</v>
      </c>
      <c r="H1840">
        <v>2</v>
      </c>
      <c r="I1840">
        <v>0</v>
      </c>
      <c r="J1840">
        <v>1989</v>
      </c>
      <c r="K1840" s="4">
        <v>45033</v>
      </c>
      <c r="L1840" t="s">
        <v>23</v>
      </c>
      <c r="M1840" t="s">
        <v>35</v>
      </c>
      <c r="N1840">
        <v>2.06</v>
      </c>
      <c r="O1840">
        <v>2394</v>
      </c>
      <c r="P1840">
        <v>2.04</v>
      </c>
      <c r="Q1840">
        <v>78</v>
      </c>
      <c r="R1840">
        <v>446</v>
      </c>
    </row>
    <row r="1841" spans="1:18" hidden="1" x14ac:dyDescent="0.2">
      <c r="A1841">
        <v>9</v>
      </c>
      <c r="B1841" t="s">
        <v>18</v>
      </c>
      <c r="E1841" t="s">
        <v>29</v>
      </c>
      <c r="F1841">
        <v>533388</v>
      </c>
      <c r="G1841">
        <v>4</v>
      </c>
      <c r="H1841">
        <v>2</v>
      </c>
      <c r="I1841">
        <v>294</v>
      </c>
      <c r="J1841">
        <v>2000</v>
      </c>
      <c r="K1841" s="4">
        <v>44566</v>
      </c>
      <c r="L1841" t="s">
        <v>20</v>
      </c>
      <c r="M1841" t="s">
        <v>69</v>
      </c>
      <c r="N1841">
        <v>3.01</v>
      </c>
      <c r="O1841">
        <v>2035</v>
      </c>
      <c r="P1841">
        <v>2.92</v>
      </c>
      <c r="Q1841">
        <v>184</v>
      </c>
      <c r="R1841">
        <v>614</v>
      </c>
    </row>
    <row r="1842" spans="1:18" hidden="1" x14ac:dyDescent="0.2">
      <c r="A1842">
        <v>9</v>
      </c>
      <c r="B1842" t="s">
        <v>67</v>
      </c>
      <c r="E1842" t="s">
        <v>51</v>
      </c>
      <c r="F1842">
        <v>2877259</v>
      </c>
      <c r="G1842">
        <v>4</v>
      </c>
      <c r="H1842">
        <v>1</v>
      </c>
      <c r="I1842">
        <v>242</v>
      </c>
      <c r="J1842">
        <v>1999</v>
      </c>
      <c r="K1842" s="4">
        <v>44507</v>
      </c>
      <c r="L1842" t="s">
        <v>26</v>
      </c>
      <c r="M1842" t="s">
        <v>33</v>
      </c>
      <c r="N1842">
        <v>3.29</v>
      </c>
      <c r="O1842">
        <v>807</v>
      </c>
      <c r="P1842">
        <v>3.56</v>
      </c>
      <c r="Q1842">
        <v>217</v>
      </c>
      <c r="R1842">
        <v>425</v>
      </c>
    </row>
    <row r="1843" spans="1:18" hidden="1" x14ac:dyDescent="0.2">
      <c r="A1843">
        <v>7</v>
      </c>
      <c r="B1843" t="s">
        <v>41</v>
      </c>
      <c r="E1843" t="s">
        <v>36</v>
      </c>
      <c r="F1843">
        <v>2501548</v>
      </c>
      <c r="G1843">
        <v>2</v>
      </c>
      <c r="H1843">
        <v>3</v>
      </c>
      <c r="I1843">
        <v>934</v>
      </c>
      <c r="J1843">
        <v>1970</v>
      </c>
      <c r="K1843" s="4">
        <v>44623</v>
      </c>
      <c r="L1843" t="s">
        <v>20</v>
      </c>
      <c r="M1843" t="s">
        <v>74</v>
      </c>
      <c r="N1843">
        <v>1.55</v>
      </c>
      <c r="O1843">
        <v>1062</v>
      </c>
      <c r="P1843">
        <v>1.96</v>
      </c>
      <c r="Q1843">
        <v>181</v>
      </c>
      <c r="R1843">
        <v>359</v>
      </c>
    </row>
    <row r="1844" spans="1:18" hidden="1" x14ac:dyDescent="0.2">
      <c r="A1844">
        <v>2</v>
      </c>
      <c r="B1844" t="s">
        <v>43</v>
      </c>
      <c r="E1844" t="s">
        <v>19</v>
      </c>
      <c r="F1844">
        <v>1995984</v>
      </c>
      <c r="G1844">
        <v>4</v>
      </c>
      <c r="H1844">
        <v>3</v>
      </c>
      <c r="I1844">
        <v>940</v>
      </c>
      <c r="J1844">
        <v>1963</v>
      </c>
      <c r="K1844" s="4">
        <v>44934</v>
      </c>
      <c r="L1844" t="s">
        <v>26</v>
      </c>
      <c r="M1844" t="s">
        <v>56</v>
      </c>
      <c r="N1844">
        <v>3.49</v>
      </c>
      <c r="O1844">
        <v>1240</v>
      </c>
      <c r="P1844">
        <v>0.32</v>
      </c>
      <c r="Q1844">
        <v>205</v>
      </c>
      <c r="R1844">
        <v>359</v>
      </c>
    </row>
    <row r="1845" spans="1:18" hidden="1" x14ac:dyDescent="0.2">
      <c r="A1845">
        <v>6</v>
      </c>
      <c r="B1845" t="s">
        <v>38</v>
      </c>
      <c r="E1845" t="s">
        <v>29</v>
      </c>
      <c r="F1845">
        <v>2717612</v>
      </c>
      <c r="G1845">
        <v>3</v>
      </c>
      <c r="H1845">
        <v>1</v>
      </c>
      <c r="I1845">
        <v>109</v>
      </c>
      <c r="J1845">
        <v>2018</v>
      </c>
      <c r="K1845" s="4">
        <v>44924</v>
      </c>
      <c r="L1845" t="s">
        <v>26</v>
      </c>
      <c r="M1845" t="s">
        <v>59</v>
      </c>
      <c r="N1845">
        <v>2.95</v>
      </c>
      <c r="O1845">
        <v>1646</v>
      </c>
      <c r="P1845">
        <v>4.8099999999999996</v>
      </c>
      <c r="Q1845">
        <v>83</v>
      </c>
      <c r="R1845">
        <v>469</v>
      </c>
    </row>
    <row r="1846" spans="1:18" hidden="1" x14ac:dyDescent="0.2">
      <c r="A1846">
        <v>9</v>
      </c>
      <c r="B1846" t="s">
        <v>100</v>
      </c>
      <c r="E1846" t="s">
        <v>19</v>
      </c>
      <c r="F1846">
        <v>1249869</v>
      </c>
      <c r="G1846">
        <v>3</v>
      </c>
      <c r="H1846">
        <v>2</v>
      </c>
      <c r="I1846">
        <v>503</v>
      </c>
      <c r="J1846">
        <v>1966</v>
      </c>
      <c r="K1846" s="4">
        <v>45453</v>
      </c>
      <c r="L1846" t="s">
        <v>30</v>
      </c>
      <c r="M1846" t="s">
        <v>58</v>
      </c>
      <c r="N1846">
        <v>2.41</v>
      </c>
      <c r="O1846">
        <v>2378</v>
      </c>
      <c r="P1846">
        <v>1.1100000000000001</v>
      </c>
      <c r="Q1846">
        <v>210</v>
      </c>
      <c r="R1846">
        <v>598</v>
      </c>
    </row>
    <row r="1847" spans="1:18" x14ac:dyDescent="0.2">
      <c r="A1847">
        <v>8</v>
      </c>
      <c r="B1847" t="s">
        <v>100</v>
      </c>
      <c r="C1847" t="str">
        <f>VLOOKUP(B1847, 'Council Area'!$A$2:$B$51, 2)</f>
        <v>Northern Beaches Council</v>
      </c>
      <c r="D1847" t="str">
        <f>_xlfn.XLOOKUP(B1847, 'Council Area'!$A$2:$A$51, 'Council Area'!$B$2:$B$51)</f>
        <v>Northern Beaches Council</v>
      </c>
      <c r="E1847" t="s">
        <v>51</v>
      </c>
      <c r="F1847">
        <v>457197</v>
      </c>
      <c r="G1847">
        <v>2</v>
      </c>
      <c r="H1847">
        <v>3</v>
      </c>
      <c r="I1847">
        <v>191</v>
      </c>
      <c r="J1847">
        <v>1966</v>
      </c>
      <c r="K1847" s="4">
        <v>45307</v>
      </c>
      <c r="L1847" t="s">
        <v>23</v>
      </c>
      <c r="M1847" t="s">
        <v>74</v>
      </c>
      <c r="N1847">
        <v>3.21</v>
      </c>
      <c r="O1847">
        <v>1399</v>
      </c>
      <c r="P1847">
        <v>0.19</v>
      </c>
      <c r="Q1847">
        <v>196</v>
      </c>
      <c r="R1847">
        <v>695</v>
      </c>
    </row>
    <row r="1848" spans="1:18" x14ac:dyDescent="0.2">
      <c r="A1848">
        <v>8</v>
      </c>
      <c r="B1848" t="s">
        <v>55</v>
      </c>
      <c r="C1848" t="str">
        <f>VLOOKUP(B1848, 'Council Area'!$A$2:$B$51, 2)</f>
        <v>City of Sydney</v>
      </c>
      <c r="D1848" t="str">
        <f>_xlfn.XLOOKUP(B1848, 'Council Area'!$A$2:$A$51, 'Council Area'!$B$2:$B$51)</f>
        <v>City of Sydney</v>
      </c>
      <c r="E1848" t="s">
        <v>29</v>
      </c>
      <c r="F1848">
        <v>869046</v>
      </c>
      <c r="G1848">
        <v>1</v>
      </c>
      <c r="H1848">
        <v>1</v>
      </c>
      <c r="I1848">
        <v>403</v>
      </c>
      <c r="J1848">
        <v>2019</v>
      </c>
      <c r="K1848" s="4">
        <v>45340</v>
      </c>
      <c r="L1848" t="s">
        <v>26</v>
      </c>
      <c r="M1848" t="s">
        <v>78</v>
      </c>
      <c r="N1848">
        <v>2.14</v>
      </c>
      <c r="O1848">
        <v>1000</v>
      </c>
      <c r="P1848">
        <v>0.71</v>
      </c>
      <c r="Q1848">
        <v>55</v>
      </c>
      <c r="R1848">
        <v>635</v>
      </c>
    </row>
    <row r="1849" spans="1:18" hidden="1" x14ac:dyDescent="0.2">
      <c r="A1849">
        <v>5</v>
      </c>
      <c r="B1849" t="s">
        <v>48</v>
      </c>
      <c r="E1849" t="s">
        <v>19</v>
      </c>
      <c r="F1849">
        <v>950466</v>
      </c>
      <c r="G1849">
        <v>1</v>
      </c>
      <c r="H1849">
        <v>3</v>
      </c>
      <c r="I1849">
        <v>298</v>
      </c>
      <c r="J1849">
        <v>1960</v>
      </c>
      <c r="K1849" s="4">
        <v>45284</v>
      </c>
      <c r="L1849" t="s">
        <v>23</v>
      </c>
      <c r="M1849" t="s">
        <v>74</v>
      </c>
      <c r="N1849">
        <v>3.44</v>
      </c>
      <c r="O1849">
        <v>2314</v>
      </c>
      <c r="P1849">
        <v>2.06</v>
      </c>
      <c r="Q1849">
        <v>148</v>
      </c>
      <c r="R1849">
        <v>487</v>
      </c>
    </row>
    <row r="1850" spans="1:18" hidden="1" x14ac:dyDescent="0.2">
      <c r="A1850">
        <v>0</v>
      </c>
      <c r="B1850" t="s">
        <v>28</v>
      </c>
      <c r="E1850" t="s">
        <v>36</v>
      </c>
      <c r="F1850">
        <v>2254652</v>
      </c>
      <c r="G1850">
        <v>6</v>
      </c>
      <c r="H1850">
        <v>3</v>
      </c>
      <c r="I1850">
        <v>442</v>
      </c>
      <c r="J1850">
        <v>1957</v>
      </c>
      <c r="K1850" s="4">
        <v>44424</v>
      </c>
      <c r="L1850" t="s">
        <v>23</v>
      </c>
      <c r="M1850" t="s">
        <v>33</v>
      </c>
      <c r="N1850">
        <v>1.63</v>
      </c>
      <c r="O1850">
        <v>2287</v>
      </c>
      <c r="P1850">
        <v>3.25</v>
      </c>
      <c r="Q1850">
        <v>373</v>
      </c>
      <c r="R1850">
        <v>562</v>
      </c>
    </row>
    <row r="1851" spans="1:18" hidden="1" x14ac:dyDescent="0.2">
      <c r="A1851">
        <v>4</v>
      </c>
      <c r="B1851" t="s">
        <v>98</v>
      </c>
      <c r="E1851" t="s">
        <v>51</v>
      </c>
      <c r="F1851">
        <v>853801</v>
      </c>
      <c r="G1851">
        <v>4</v>
      </c>
      <c r="H1851">
        <v>3</v>
      </c>
      <c r="I1851">
        <v>511</v>
      </c>
      <c r="J1851">
        <v>1951</v>
      </c>
      <c r="K1851" s="4">
        <v>45781</v>
      </c>
      <c r="L1851" t="s">
        <v>30</v>
      </c>
      <c r="M1851" t="s">
        <v>74</v>
      </c>
      <c r="N1851">
        <v>2.64</v>
      </c>
      <c r="O1851">
        <v>911</v>
      </c>
      <c r="P1851">
        <v>1.46</v>
      </c>
      <c r="Q1851">
        <v>350</v>
      </c>
      <c r="R1851">
        <v>398</v>
      </c>
    </row>
    <row r="1852" spans="1:18" hidden="1" x14ac:dyDescent="0.2">
      <c r="A1852">
        <v>0</v>
      </c>
      <c r="B1852" t="s">
        <v>90</v>
      </c>
      <c r="E1852" t="s">
        <v>51</v>
      </c>
      <c r="F1852">
        <v>2239713</v>
      </c>
      <c r="G1852">
        <v>5</v>
      </c>
      <c r="H1852">
        <v>3</v>
      </c>
      <c r="I1852">
        <v>498</v>
      </c>
      <c r="J1852">
        <v>2014</v>
      </c>
      <c r="K1852" s="4">
        <v>45649</v>
      </c>
      <c r="L1852" t="s">
        <v>20</v>
      </c>
      <c r="M1852" t="s">
        <v>85</v>
      </c>
      <c r="N1852">
        <v>2.96</v>
      </c>
      <c r="O1852">
        <v>1861</v>
      </c>
      <c r="P1852">
        <v>4.1900000000000004</v>
      </c>
      <c r="Q1852">
        <v>394</v>
      </c>
      <c r="R1852">
        <v>377</v>
      </c>
    </row>
    <row r="1853" spans="1:18" hidden="1" x14ac:dyDescent="0.2">
      <c r="A1853">
        <v>0</v>
      </c>
      <c r="B1853" t="s">
        <v>87</v>
      </c>
      <c r="E1853" t="s">
        <v>51</v>
      </c>
      <c r="F1853">
        <v>677729</v>
      </c>
      <c r="G1853">
        <v>5</v>
      </c>
      <c r="H1853">
        <v>3</v>
      </c>
      <c r="I1853">
        <v>783</v>
      </c>
      <c r="J1853">
        <v>1995</v>
      </c>
      <c r="K1853" s="4">
        <v>45222</v>
      </c>
      <c r="L1853" t="s">
        <v>23</v>
      </c>
      <c r="M1853" t="s">
        <v>37</v>
      </c>
      <c r="N1853">
        <v>2.91</v>
      </c>
      <c r="O1853">
        <v>1468</v>
      </c>
      <c r="P1853">
        <v>3.27</v>
      </c>
      <c r="Q1853">
        <v>319</v>
      </c>
      <c r="R1853">
        <v>684</v>
      </c>
    </row>
    <row r="1854" spans="1:18" hidden="1" x14ac:dyDescent="0.2">
      <c r="A1854">
        <v>6</v>
      </c>
      <c r="B1854" t="s">
        <v>98</v>
      </c>
      <c r="E1854" t="s">
        <v>29</v>
      </c>
      <c r="F1854">
        <v>1934649</v>
      </c>
      <c r="G1854">
        <v>2</v>
      </c>
      <c r="H1854">
        <v>3</v>
      </c>
      <c r="I1854">
        <v>759</v>
      </c>
      <c r="J1854">
        <v>1952</v>
      </c>
      <c r="K1854" s="4">
        <v>44715</v>
      </c>
      <c r="L1854" t="s">
        <v>23</v>
      </c>
      <c r="M1854" t="s">
        <v>85</v>
      </c>
      <c r="N1854">
        <v>2.83</v>
      </c>
      <c r="O1854">
        <v>1019</v>
      </c>
      <c r="P1854">
        <v>0.26</v>
      </c>
      <c r="Q1854">
        <v>127</v>
      </c>
      <c r="R1854">
        <v>452</v>
      </c>
    </row>
    <row r="1855" spans="1:18" hidden="1" x14ac:dyDescent="0.2">
      <c r="A1855">
        <v>1</v>
      </c>
      <c r="B1855" t="s">
        <v>64</v>
      </c>
      <c r="E1855" t="s">
        <v>19</v>
      </c>
      <c r="F1855">
        <v>833027</v>
      </c>
      <c r="G1855">
        <v>3</v>
      </c>
      <c r="H1855">
        <v>3</v>
      </c>
      <c r="I1855">
        <v>162</v>
      </c>
      <c r="J1855">
        <v>1953</v>
      </c>
      <c r="K1855" s="4">
        <v>45248</v>
      </c>
      <c r="L1855" t="s">
        <v>26</v>
      </c>
      <c r="M1855" t="s">
        <v>82</v>
      </c>
      <c r="N1855">
        <v>2.91</v>
      </c>
      <c r="O1855">
        <v>2138</v>
      </c>
      <c r="P1855">
        <v>1.24</v>
      </c>
      <c r="Q1855">
        <v>97</v>
      </c>
      <c r="R1855">
        <v>536</v>
      </c>
    </row>
    <row r="1856" spans="1:18" hidden="1" x14ac:dyDescent="0.2">
      <c r="A1856">
        <v>9</v>
      </c>
      <c r="B1856" t="s">
        <v>53</v>
      </c>
      <c r="E1856" t="s">
        <v>51</v>
      </c>
      <c r="F1856">
        <v>2239878</v>
      </c>
      <c r="G1856">
        <v>5</v>
      </c>
      <c r="H1856">
        <v>3</v>
      </c>
      <c r="I1856">
        <v>312</v>
      </c>
      <c r="J1856">
        <v>1974</v>
      </c>
      <c r="K1856" s="4">
        <v>44559</v>
      </c>
      <c r="L1856" t="s">
        <v>26</v>
      </c>
      <c r="M1856" t="s">
        <v>33</v>
      </c>
      <c r="N1856">
        <v>1.61</v>
      </c>
      <c r="O1856">
        <v>1077</v>
      </c>
      <c r="P1856">
        <v>2.91</v>
      </c>
      <c r="Q1856">
        <v>244</v>
      </c>
      <c r="R1856">
        <v>422</v>
      </c>
    </row>
    <row r="1857" spans="1:18" hidden="1" x14ac:dyDescent="0.2">
      <c r="A1857">
        <v>5</v>
      </c>
      <c r="B1857" t="s">
        <v>57</v>
      </c>
      <c r="E1857" t="s">
        <v>51</v>
      </c>
      <c r="F1857">
        <v>2307785</v>
      </c>
      <c r="G1857">
        <v>2</v>
      </c>
      <c r="H1857">
        <v>2</v>
      </c>
      <c r="I1857">
        <v>916</v>
      </c>
      <c r="J1857">
        <v>2017</v>
      </c>
      <c r="K1857" s="4">
        <v>44526</v>
      </c>
      <c r="L1857" t="s">
        <v>26</v>
      </c>
      <c r="M1857" t="s">
        <v>45</v>
      </c>
      <c r="N1857">
        <v>3.24</v>
      </c>
      <c r="O1857">
        <v>1272</v>
      </c>
      <c r="P1857">
        <v>4.01</v>
      </c>
      <c r="Q1857">
        <v>87</v>
      </c>
      <c r="R1857">
        <v>589</v>
      </c>
    </row>
    <row r="1858" spans="1:18" x14ac:dyDescent="0.2">
      <c r="A1858">
        <v>8</v>
      </c>
      <c r="B1858" t="s">
        <v>87</v>
      </c>
      <c r="C1858" t="str">
        <f>VLOOKUP(B1858, 'Council Area'!$A$2:$B$51, 2)</f>
        <v>Randwick City Council</v>
      </c>
      <c r="D1858" t="str">
        <f>_xlfn.XLOOKUP(B1858, 'Council Area'!$A$2:$A$51, 'Council Area'!$B$2:$B$51)</f>
        <v>Randwick City Council</v>
      </c>
      <c r="E1858" t="s">
        <v>29</v>
      </c>
      <c r="F1858">
        <v>1368586</v>
      </c>
      <c r="G1858">
        <v>4</v>
      </c>
      <c r="H1858">
        <v>2</v>
      </c>
      <c r="I1858">
        <v>508</v>
      </c>
      <c r="J1858">
        <v>1962</v>
      </c>
      <c r="K1858" s="4">
        <v>45177</v>
      </c>
      <c r="L1858" t="s">
        <v>26</v>
      </c>
      <c r="M1858" t="s">
        <v>37</v>
      </c>
      <c r="N1858">
        <v>1.78</v>
      </c>
      <c r="O1858">
        <v>1975</v>
      </c>
      <c r="P1858">
        <v>0.48</v>
      </c>
      <c r="Q1858">
        <v>227</v>
      </c>
      <c r="R1858">
        <v>432</v>
      </c>
    </row>
    <row r="1859" spans="1:18" hidden="1" x14ac:dyDescent="0.2">
      <c r="A1859">
        <v>2</v>
      </c>
      <c r="B1859" t="s">
        <v>28</v>
      </c>
      <c r="E1859" t="s">
        <v>51</v>
      </c>
      <c r="F1859">
        <v>1623442</v>
      </c>
      <c r="G1859">
        <v>1</v>
      </c>
      <c r="H1859">
        <v>3</v>
      </c>
      <c r="I1859">
        <v>592</v>
      </c>
      <c r="J1859">
        <v>1964</v>
      </c>
      <c r="K1859" s="4">
        <v>45125</v>
      </c>
      <c r="L1859" t="s">
        <v>26</v>
      </c>
      <c r="M1859" t="s">
        <v>74</v>
      </c>
      <c r="N1859">
        <v>1.92</v>
      </c>
      <c r="O1859">
        <v>1452</v>
      </c>
      <c r="P1859">
        <v>1.1399999999999999</v>
      </c>
      <c r="Q1859">
        <v>93</v>
      </c>
      <c r="R1859">
        <v>615</v>
      </c>
    </row>
    <row r="1860" spans="1:18" hidden="1" x14ac:dyDescent="0.2">
      <c r="A1860">
        <v>5</v>
      </c>
      <c r="B1860" t="s">
        <v>88</v>
      </c>
      <c r="E1860" t="s">
        <v>36</v>
      </c>
      <c r="F1860">
        <v>2913168</v>
      </c>
      <c r="G1860">
        <v>4</v>
      </c>
      <c r="H1860">
        <v>1</v>
      </c>
      <c r="I1860">
        <v>673</v>
      </c>
      <c r="J1860">
        <v>1993</v>
      </c>
      <c r="K1860" s="4">
        <v>44226</v>
      </c>
      <c r="L1860" t="s">
        <v>20</v>
      </c>
      <c r="M1860" t="s">
        <v>56</v>
      </c>
      <c r="N1860">
        <v>1.58</v>
      </c>
      <c r="O1860">
        <v>1360</v>
      </c>
      <c r="P1860">
        <v>1.68</v>
      </c>
      <c r="Q1860">
        <v>198</v>
      </c>
      <c r="R1860">
        <v>572</v>
      </c>
    </row>
    <row r="1861" spans="1:18" hidden="1" x14ac:dyDescent="0.2">
      <c r="A1861">
        <v>1</v>
      </c>
      <c r="B1861" t="s">
        <v>84</v>
      </c>
      <c r="E1861" t="s">
        <v>19</v>
      </c>
      <c r="F1861">
        <v>794230</v>
      </c>
      <c r="G1861">
        <v>4</v>
      </c>
      <c r="H1861">
        <v>1</v>
      </c>
      <c r="I1861">
        <v>967</v>
      </c>
      <c r="J1861">
        <v>2003</v>
      </c>
      <c r="K1861" s="4">
        <v>44804</v>
      </c>
      <c r="L1861" t="s">
        <v>23</v>
      </c>
      <c r="M1861" t="s">
        <v>31</v>
      </c>
      <c r="N1861">
        <v>3.25</v>
      </c>
      <c r="O1861">
        <v>1339</v>
      </c>
      <c r="P1861">
        <v>2.96</v>
      </c>
      <c r="Q1861">
        <v>323</v>
      </c>
      <c r="R1861">
        <v>400</v>
      </c>
    </row>
    <row r="1862" spans="1:18" hidden="1" x14ac:dyDescent="0.2">
      <c r="A1862">
        <v>9</v>
      </c>
      <c r="B1862" t="s">
        <v>106</v>
      </c>
      <c r="E1862" t="s">
        <v>51</v>
      </c>
      <c r="F1862">
        <v>1883867</v>
      </c>
      <c r="G1862">
        <v>2</v>
      </c>
      <c r="H1862">
        <v>3</v>
      </c>
      <c r="I1862">
        <v>300</v>
      </c>
      <c r="J1862">
        <v>2012</v>
      </c>
      <c r="K1862" s="4">
        <v>44238</v>
      </c>
      <c r="L1862" t="s">
        <v>30</v>
      </c>
      <c r="M1862" t="s">
        <v>60</v>
      </c>
      <c r="N1862">
        <v>3.12</v>
      </c>
      <c r="O1862">
        <v>1150</v>
      </c>
      <c r="P1862">
        <v>2.12</v>
      </c>
      <c r="Q1862">
        <v>138</v>
      </c>
      <c r="R1862">
        <v>611</v>
      </c>
    </row>
    <row r="1863" spans="1:18" hidden="1" x14ac:dyDescent="0.2">
      <c r="A1863">
        <v>6</v>
      </c>
      <c r="B1863" t="s">
        <v>57</v>
      </c>
      <c r="E1863" t="s">
        <v>51</v>
      </c>
      <c r="F1863">
        <v>2868163</v>
      </c>
      <c r="G1863">
        <v>2</v>
      </c>
      <c r="H1863">
        <v>1</v>
      </c>
      <c r="I1863">
        <v>520</v>
      </c>
      <c r="J1863">
        <v>2020</v>
      </c>
      <c r="K1863" s="4">
        <v>45623</v>
      </c>
      <c r="L1863" t="s">
        <v>30</v>
      </c>
      <c r="M1863" t="s">
        <v>45</v>
      </c>
      <c r="N1863">
        <v>2.5</v>
      </c>
      <c r="O1863">
        <v>950</v>
      </c>
      <c r="P1863">
        <v>0.83</v>
      </c>
      <c r="Q1863">
        <v>130</v>
      </c>
      <c r="R1863">
        <v>390</v>
      </c>
    </row>
    <row r="1864" spans="1:18" hidden="1" x14ac:dyDescent="0.2">
      <c r="A1864">
        <v>5</v>
      </c>
      <c r="B1864" t="s">
        <v>75</v>
      </c>
      <c r="E1864" t="s">
        <v>29</v>
      </c>
      <c r="F1864">
        <v>1454205</v>
      </c>
      <c r="G1864">
        <v>5</v>
      </c>
      <c r="H1864">
        <v>3</v>
      </c>
      <c r="I1864">
        <v>592</v>
      </c>
      <c r="J1864">
        <v>1997</v>
      </c>
      <c r="K1864" s="4">
        <v>44845</v>
      </c>
      <c r="L1864" t="s">
        <v>20</v>
      </c>
      <c r="M1864" t="s">
        <v>33</v>
      </c>
      <c r="N1864">
        <v>2.97</v>
      </c>
      <c r="O1864">
        <v>2094</v>
      </c>
      <c r="P1864">
        <v>1.08</v>
      </c>
      <c r="Q1864">
        <v>294</v>
      </c>
      <c r="R1864">
        <v>676</v>
      </c>
    </row>
    <row r="1865" spans="1:18" hidden="1" x14ac:dyDescent="0.2">
      <c r="A1865">
        <v>2</v>
      </c>
      <c r="B1865" t="s">
        <v>38</v>
      </c>
      <c r="E1865" t="s">
        <v>51</v>
      </c>
      <c r="F1865">
        <v>517139</v>
      </c>
      <c r="G1865">
        <v>1</v>
      </c>
      <c r="H1865">
        <v>3</v>
      </c>
      <c r="I1865">
        <v>867</v>
      </c>
      <c r="J1865">
        <v>2015</v>
      </c>
      <c r="K1865" s="4">
        <v>45182</v>
      </c>
      <c r="L1865" t="s">
        <v>26</v>
      </c>
      <c r="M1865" t="s">
        <v>40</v>
      </c>
      <c r="N1865">
        <v>3.03</v>
      </c>
      <c r="O1865">
        <v>1629</v>
      </c>
      <c r="P1865">
        <v>4.91</v>
      </c>
      <c r="Q1865">
        <v>136</v>
      </c>
      <c r="R1865">
        <v>567</v>
      </c>
    </row>
    <row r="1866" spans="1:18" hidden="1" x14ac:dyDescent="0.2">
      <c r="A1866">
        <v>6</v>
      </c>
      <c r="B1866" t="s">
        <v>98</v>
      </c>
      <c r="E1866" t="s">
        <v>51</v>
      </c>
      <c r="F1866">
        <v>2875820</v>
      </c>
      <c r="G1866">
        <v>5</v>
      </c>
      <c r="H1866">
        <v>1</v>
      </c>
      <c r="I1866">
        <v>731</v>
      </c>
      <c r="J1866">
        <v>2014</v>
      </c>
      <c r="K1866" s="4">
        <v>44135</v>
      </c>
      <c r="L1866" t="s">
        <v>23</v>
      </c>
      <c r="M1866" t="s">
        <v>63</v>
      </c>
      <c r="N1866">
        <v>2.42</v>
      </c>
      <c r="O1866">
        <v>2094</v>
      </c>
      <c r="P1866">
        <v>1.41</v>
      </c>
      <c r="Q1866">
        <v>392</v>
      </c>
      <c r="R1866">
        <v>461</v>
      </c>
    </row>
    <row r="1867" spans="1:18" hidden="1" x14ac:dyDescent="0.2">
      <c r="A1867">
        <v>4</v>
      </c>
      <c r="B1867" t="s">
        <v>44</v>
      </c>
      <c r="E1867" t="s">
        <v>29</v>
      </c>
      <c r="F1867">
        <v>1567999</v>
      </c>
      <c r="G1867">
        <v>0</v>
      </c>
      <c r="H1867">
        <v>2</v>
      </c>
      <c r="I1867">
        <v>406</v>
      </c>
      <c r="J1867">
        <v>2016</v>
      </c>
      <c r="K1867" s="4">
        <v>45185</v>
      </c>
      <c r="L1867" t="s">
        <v>30</v>
      </c>
      <c r="M1867" t="s">
        <v>70</v>
      </c>
      <c r="N1867">
        <v>2.02</v>
      </c>
      <c r="O1867">
        <v>1148</v>
      </c>
      <c r="P1867">
        <v>2.35</v>
      </c>
      <c r="Q1867">
        <v>60</v>
      </c>
      <c r="R1867">
        <v>323</v>
      </c>
    </row>
    <row r="1868" spans="1:18" hidden="1" x14ac:dyDescent="0.2">
      <c r="A1868">
        <v>9</v>
      </c>
      <c r="B1868" t="s">
        <v>32</v>
      </c>
      <c r="E1868" t="s">
        <v>36</v>
      </c>
      <c r="F1868">
        <v>843113</v>
      </c>
      <c r="G1868">
        <v>4</v>
      </c>
      <c r="H1868">
        <v>3</v>
      </c>
      <c r="I1868">
        <v>311</v>
      </c>
      <c r="J1868">
        <v>2008</v>
      </c>
      <c r="K1868" s="4">
        <v>45672</v>
      </c>
      <c r="L1868" t="s">
        <v>20</v>
      </c>
      <c r="M1868" t="s">
        <v>40</v>
      </c>
      <c r="N1868">
        <v>1.58</v>
      </c>
      <c r="O1868">
        <v>1846</v>
      </c>
      <c r="P1868">
        <v>2.62</v>
      </c>
      <c r="Q1868">
        <v>332</v>
      </c>
      <c r="R1868">
        <v>357</v>
      </c>
    </row>
    <row r="1869" spans="1:18" hidden="1" x14ac:dyDescent="0.2">
      <c r="A1869">
        <v>7</v>
      </c>
      <c r="B1869" t="s">
        <v>93</v>
      </c>
      <c r="E1869" t="s">
        <v>36</v>
      </c>
      <c r="F1869">
        <v>1290813</v>
      </c>
      <c r="G1869">
        <v>3</v>
      </c>
      <c r="H1869">
        <v>2</v>
      </c>
      <c r="I1869">
        <v>507</v>
      </c>
      <c r="J1869">
        <v>1960</v>
      </c>
      <c r="K1869" s="4">
        <v>45034</v>
      </c>
      <c r="L1869" t="s">
        <v>30</v>
      </c>
      <c r="M1869" t="s">
        <v>33</v>
      </c>
      <c r="N1869">
        <v>3.28</v>
      </c>
      <c r="O1869">
        <v>2324</v>
      </c>
      <c r="P1869">
        <v>0.19</v>
      </c>
      <c r="Q1869">
        <v>101</v>
      </c>
      <c r="R1869">
        <v>599</v>
      </c>
    </row>
    <row r="1870" spans="1:18" hidden="1" x14ac:dyDescent="0.2">
      <c r="A1870">
        <v>7</v>
      </c>
      <c r="B1870" t="s">
        <v>61</v>
      </c>
      <c r="E1870" t="s">
        <v>36</v>
      </c>
      <c r="F1870">
        <v>1780564</v>
      </c>
      <c r="G1870">
        <v>6</v>
      </c>
      <c r="H1870">
        <v>3</v>
      </c>
      <c r="I1870">
        <v>73</v>
      </c>
      <c r="J1870">
        <v>1983</v>
      </c>
      <c r="K1870" s="4">
        <v>45826</v>
      </c>
      <c r="L1870" t="s">
        <v>30</v>
      </c>
      <c r="M1870" t="s">
        <v>37</v>
      </c>
      <c r="N1870">
        <v>3.08</v>
      </c>
      <c r="O1870">
        <v>1053</v>
      </c>
      <c r="P1870">
        <v>3.71</v>
      </c>
      <c r="Q1870">
        <v>329</v>
      </c>
      <c r="R1870">
        <v>388</v>
      </c>
    </row>
    <row r="1871" spans="1:18" hidden="1" x14ac:dyDescent="0.2">
      <c r="A1871">
        <v>1</v>
      </c>
      <c r="B1871" t="s">
        <v>57</v>
      </c>
      <c r="E1871" t="s">
        <v>51</v>
      </c>
      <c r="F1871">
        <v>2519590</v>
      </c>
      <c r="G1871">
        <v>3</v>
      </c>
      <c r="H1871">
        <v>2</v>
      </c>
      <c r="I1871">
        <v>563</v>
      </c>
      <c r="J1871">
        <v>1970</v>
      </c>
      <c r="K1871" s="4">
        <v>44308</v>
      </c>
      <c r="L1871" t="s">
        <v>23</v>
      </c>
      <c r="M1871" t="s">
        <v>21</v>
      </c>
      <c r="N1871">
        <v>2.08</v>
      </c>
      <c r="O1871">
        <v>2123</v>
      </c>
      <c r="P1871">
        <v>0.64</v>
      </c>
      <c r="Q1871">
        <v>207</v>
      </c>
      <c r="R1871">
        <v>481</v>
      </c>
    </row>
    <row r="1872" spans="1:18" hidden="1" x14ac:dyDescent="0.2">
      <c r="A1872">
        <v>4</v>
      </c>
      <c r="B1872" t="s">
        <v>34</v>
      </c>
      <c r="E1872" t="s">
        <v>29</v>
      </c>
      <c r="F1872">
        <v>2083578</v>
      </c>
      <c r="G1872">
        <v>3</v>
      </c>
      <c r="H1872">
        <v>2</v>
      </c>
      <c r="I1872">
        <v>858</v>
      </c>
      <c r="J1872">
        <v>2005</v>
      </c>
      <c r="K1872" s="4">
        <v>44810</v>
      </c>
      <c r="L1872" t="s">
        <v>20</v>
      </c>
      <c r="M1872" t="s">
        <v>63</v>
      </c>
      <c r="N1872">
        <v>1.53</v>
      </c>
      <c r="O1872">
        <v>830</v>
      </c>
      <c r="P1872">
        <v>1.71</v>
      </c>
      <c r="Q1872">
        <v>199</v>
      </c>
      <c r="R1872">
        <v>537</v>
      </c>
    </row>
    <row r="1873" spans="1:18" hidden="1" x14ac:dyDescent="0.2">
      <c r="A1873">
        <v>9</v>
      </c>
      <c r="B1873" t="s">
        <v>41</v>
      </c>
      <c r="E1873" t="s">
        <v>36</v>
      </c>
      <c r="F1873">
        <v>1083302</v>
      </c>
      <c r="G1873">
        <v>5</v>
      </c>
      <c r="H1873">
        <v>1</v>
      </c>
      <c r="I1873">
        <v>462</v>
      </c>
      <c r="J1873">
        <v>2003</v>
      </c>
      <c r="K1873" s="4">
        <v>45548</v>
      </c>
      <c r="L1873" t="s">
        <v>26</v>
      </c>
      <c r="M1873" t="s">
        <v>33</v>
      </c>
      <c r="N1873">
        <v>2.4500000000000002</v>
      </c>
      <c r="O1873">
        <v>2251</v>
      </c>
      <c r="P1873">
        <v>1.06</v>
      </c>
      <c r="Q1873">
        <v>249</v>
      </c>
      <c r="R1873">
        <v>358</v>
      </c>
    </row>
    <row r="1874" spans="1:18" hidden="1" x14ac:dyDescent="0.2">
      <c r="A1874">
        <v>3</v>
      </c>
      <c r="B1874" t="s">
        <v>64</v>
      </c>
      <c r="E1874" t="s">
        <v>36</v>
      </c>
      <c r="F1874">
        <v>1297191</v>
      </c>
      <c r="G1874">
        <v>3</v>
      </c>
      <c r="H1874">
        <v>2</v>
      </c>
      <c r="I1874">
        <v>536</v>
      </c>
      <c r="J1874">
        <v>1984</v>
      </c>
      <c r="K1874" s="4">
        <v>45731</v>
      </c>
      <c r="L1874" t="s">
        <v>26</v>
      </c>
      <c r="M1874" t="s">
        <v>70</v>
      </c>
      <c r="N1874">
        <v>2.58</v>
      </c>
      <c r="O1874">
        <v>1930</v>
      </c>
      <c r="P1874">
        <v>3.35</v>
      </c>
      <c r="Q1874">
        <v>292</v>
      </c>
      <c r="R1874">
        <v>631</v>
      </c>
    </row>
    <row r="1875" spans="1:18" hidden="1" x14ac:dyDescent="0.2">
      <c r="A1875">
        <v>4</v>
      </c>
      <c r="B1875" t="s">
        <v>86</v>
      </c>
      <c r="E1875" t="s">
        <v>29</v>
      </c>
      <c r="F1875">
        <v>488252</v>
      </c>
      <c r="G1875">
        <v>4</v>
      </c>
      <c r="H1875">
        <v>2</v>
      </c>
      <c r="I1875">
        <v>819</v>
      </c>
      <c r="J1875">
        <v>1997</v>
      </c>
      <c r="K1875" s="4">
        <v>44804</v>
      </c>
      <c r="L1875" t="s">
        <v>26</v>
      </c>
      <c r="M1875" t="s">
        <v>54</v>
      </c>
      <c r="N1875">
        <v>3.25</v>
      </c>
      <c r="O1875">
        <v>2478</v>
      </c>
      <c r="P1875">
        <v>2.73</v>
      </c>
      <c r="Q1875">
        <v>355</v>
      </c>
      <c r="R1875">
        <v>651</v>
      </c>
    </row>
    <row r="1876" spans="1:18" hidden="1" x14ac:dyDescent="0.2">
      <c r="A1876">
        <v>2</v>
      </c>
      <c r="B1876" t="s">
        <v>43</v>
      </c>
      <c r="E1876" t="s">
        <v>51</v>
      </c>
      <c r="F1876">
        <v>1810530</v>
      </c>
      <c r="G1876">
        <v>2</v>
      </c>
      <c r="H1876">
        <v>3</v>
      </c>
      <c r="I1876">
        <v>344</v>
      </c>
      <c r="J1876">
        <v>1960</v>
      </c>
      <c r="K1876" s="4">
        <v>45475</v>
      </c>
      <c r="L1876" t="s">
        <v>23</v>
      </c>
      <c r="M1876" t="s">
        <v>78</v>
      </c>
      <c r="N1876">
        <v>1.87</v>
      </c>
      <c r="O1876">
        <v>2226</v>
      </c>
      <c r="P1876">
        <v>2.95</v>
      </c>
      <c r="Q1876">
        <v>112</v>
      </c>
      <c r="R1876">
        <v>542</v>
      </c>
    </row>
    <row r="1877" spans="1:18" hidden="1" x14ac:dyDescent="0.2">
      <c r="A1877">
        <v>3</v>
      </c>
      <c r="B1877" t="s">
        <v>28</v>
      </c>
      <c r="E1877" t="s">
        <v>29</v>
      </c>
      <c r="F1877">
        <v>1487583</v>
      </c>
      <c r="G1877">
        <v>5</v>
      </c>
      <c r="H1877">
        <v>3</v>
      </c>
      <c r="I1877">
        <v>803</v>
      </c>
      <c r="J1877">
        <v>2005</v>
      </c>
      <c r="K1877" s="4">
        <v>44599</v>
      </c>
      <c r="L1877" t="s">
        <v>30</v>
      </c>
      <c r="M1877" t="s">
        <v>89</v>
      </c>
      <c r="N1877">
        <v>1.86</v>
      </c>
      <c r="O1877">
        <v>1349</v>
      </c>
      <c r="P1877">
        <v>1.08</v>
      </c>
      <c r="Q1877">
        <v>304</v>
      </c>
      <c r="R1877">
        <v>516</v>
      </c>
    </row>
    <row r="1878" spans="1:18" hidden="1" x14ac:dyDescent="0.2">
      <c r="A1878">
        <v>3</v>
      </c>
      <c r="B1878" t="s">
        <v>38</v>
      </c>
      <c r="E1878" t="s">
        <v>36</v>
      </c>
      <c r="F1878">
        <v>1140654</v>
      </c>
      <c r="G1878">
        <v>3</v>
      </c>
      <c r="H1878">
        <v>3</v>
      </c>
      <c r="I1878">
        <v>74</v>
      </c>
      <c r="J1878">
        <v>2015</v>
      </c>
      <c r="K1878" s="4">
        <v>44252</v>
      </c>
      <c r="L1878" t="s">
        <v>30</v>
      </c>
      <c r="M1878" t="s">
        <v>24</v>
      </c>
      <c r="N1878">
        <v>2.31</v>
      </c>
      <c r="O1878">
        <v>1676</v>
      </c>
      <c r="P1878">
        <v>0.28999999999999998</v>
      </c>
      <c r="Q1878">
        <v>226</v>
      </c>
      <c r="R1878">
        <v>347</v>
      </c>
    </row>
    <row r="1879" spans="1:18" hidden="1" x14ac:dyDescent="0.2">
      <c r="A1879">
        <v>4</v>
      </c>
      <c r="B1879" t="s">
        <v>62</v>
      </c>
      <c r="E1879" t="s">
        <v>29</v>
      </c>
      <c r="F1879">
        <v>455151</v>
      </c>
      <c r="G1879">
        <v>3</v>
      </c>
      <c r="H1879">
        <v>3</v>
      </c>
      <c r="I1879">
        <v>853</v>
      </c>
      <c r="J1879">
        <v>2013</v>
      </c>
      <c r="K1879" s="4">
        <v>45650</v>
      </c>
      <c r="L1879" t="s">
        <v>20</v>
      </c>
      <c r="M1879" t="s">
        <v>63</v>
      </c>
      <c r="N1879">
        <v>3.33</v>
      </c>
      <c r="O1879">
        <v>1860</v>
      </c>
      <c r="P1879">
        <v>2.4300000000000002</v>
      </c>
      <c r="Q1879">
        <v>231</v>
      </c>
      <c r="R1879">
        <v>505</v>
      </c>
    </row>
    <row r="1880" spans="1:18" hidden="1" x14ac:dyDescent="0.2">
      <c r="A1880">
        <v>3</v>
      </c>
      <c r="B1880" t="s">
        <v>99</v>
      </c>
      <c r="E1880" t="s">
        <v>36</v>
      </c>
      <c r="F1880">
        <v>2257095</v>
      </c>
      <c r="G1880">
        <v>1</v>
      </c>
      <c r="H1880">
        <v>2</v>
      </c>
      <c r="I1880">
        <v>182</v>
      </c>
      <c r="J1880">
        <v>1975</v>
      </c>
      <c r="K1880" s="4">
        <v>45438</v>
      </c>
      <c r="L1880" t="s">
        <v>20</v>
      </c>
      <c r="M1880" t="s">
        <v>76</v>
      </c>
      <c r="N1880">
        <v>3.38</v>
      </c>
      <c r="O1880">
        <v>871</v>
      </c>
      <c r="P1880">
        <v>2.65</v>
      </c>
      <c r="Q1880">
        <v>78</v>
      </c>
      <c r="R1880">
        <v>312</v>
      </c>
    </row>
    <row r="1881" spans="1:18" hidden="1" x14ac:dyDescent="0.2">
      <c r="A1881">
        <v>9</v>
      </c>
      <c r="B1881" t="s">
        <v>80</v>
      </c>
      <c r="E1881" t="s">
        <v>36</v>
      </c>
      <c r="F1881">
        <v>1108773</v>
      </c>
      <c r="G1881">
        <v>2</v>
      </c>
      <c r="H1881">
        <v>1</v>
      </c>
      <c r="I1881">
        <v>53</v>
      </c>
      <c r="J1881">
        <v>1973</v>
      </c>
      <c r="K1881" s="4">
        <v>44970</v>
      </c>
      <c r="L1881" t="s">
        <v>30</v>
      </c>
      <c r="M1881" t="s">
        <v>40</v>
      </c>
      <c r="N1881">
        <v>3.05</v>
      </c>
      <c r="O1881">
        <v>2493</v>
      </c>
      <c r="P1881">
        <v>0.32</v>
      </c>
      <c r="Q1881">
        <v>231</v>
      </c>
      <c r="R1881">
        <v>308</v>
      </c>
    </row>
    <row r="1882" spans="1:18" hidden="1" x14ac:dyDescent="0.2">
      <c r="A1882">
        <v>9</v>
      </c>
      <c r="B1882" t="s">
        <v>32</v>
      </c>
      <c r="E1882" t="s">
        <v>29</v>
      </c>
      <c r="F1882">
        <v>1514069</v>
      </c>
      <c r="G1882">
        <v>2</v>
      </c>
      <c r="H1882">
        <v>3</v>
      </c>
      <c r="I1882">
        <v>348</v>
      </c>
      <c r="J1882">
        <v>2013</v>
      </c>
      <c r="K1882" s="4">
        <v>44230</v>
      </c>
      <c r="L1882" t="s">
        <v>23</v>
      </c>
      <c r="M1882" t="s">
        <v>40</v>
      </c>
      <c r="N1882">
        <v>2.06</v>
      </c>
      <c r="O1882">
        <v>987</v>
      </c>
      <c r="P1882">
        <v>2.2400000000000002</v>
      </c>
      <c r="Q1882">
        <v>200</v>
      </c>
      <c r="R1882">
        <v>364</v>
      </c>
    </row>
    <row r="1883" spans="1:18" hidden="1" x14ac:dyDescent="0.2">
      <c r="A1883">
        <v>3</v>
      </c>
      <c r="B1883" t="s">
        <v>96</v>
      </c>
      <c r="E1883" t="s">
        <v>36</v>
      </c>
      <c r="F1883">
        <v>724292</v>
      </c>
      <c r="G1883">
        <v>5</v>
      </c>
      <c r="H1883">
        <v>2</v>
      </c>
      <c r="I1883">
        <v>888</v>
      </c>
      <c r="J1883">
        <v>1989</v>
      </c>
      <c r="K1883" s="4">
        <v>44958</v>
      </c>
      <c r="L1883" t="s">
        <v>30</v>
      </c>
      <c r="M1883" t="s">
        <v>27</v>
      </c>
      <c r="N1883">
        <v>2.2200000000000002</v>
      </c>
      <c r="O1883">
        <v>2440</v>
      </c>
      <c r="P1883">
        <v>1.86</v>
      </c>
      <c r="Q1883">
        <v>271</v>
      </c>
      <c r="R1883">
        <v>378</v>
      </c>
    </row>
    <row r="1884" spans="1:18" hidden="1" x14ac:dyDescent="0.2">
      <c r="A1884">
        <v>4</v>
      </c>
      <c r="B1884" t="s">
        <v>105</v>
      </c>
      <c r="E1884" t="s">
        <v>29</v>
      </c>
      <c r="F1884">
        <v>723158</v>
      </c>
      <c r="G1884">
        <v>-2</v>
      </c>
      <c r="H1884">
        <v>3</v>
      </c>
      <c r="I1884">
        <v>890</v>
      </c>
      <c r="J1884">
        <v>1991</v>
      </c>
      <c r="K1884" s="4">
        <v>44274</v>
      </c>
      <c r="L1884" t="s">
        <v>26</v>
      </c>
      <c r="M1884" t="s">
        <v>76</v>
      </c>
      <c r="N1884">
        <v>2.77</v>
      </c>
      <c r="O1884">
        <v>1740</v>
      </c>
      <c r="P1884">
        <v>3.5</v>
      </c>
      <c r="Q1884">
        <v>285</v>
      </c>
      <c r="R1884">
        <v>623</v>
      </c>
    </row>
    <row r="1885" spans="1:18" hidden="1" x14ac:dyDescent="0.2">
      <c r="A1885">
        <v>4</v>
      </c>
      <c r="B1885" t="s">
        <v>43</v>
      </c>
      <c r="E1885" t="s">
        <v>19</v>
      </c>
      <c r="F1885">
        <v>1010913</v>
      </c>
      <c r="G1885">
        <v>4</v>
      </c>
      <c r="H1885">
        <v>1</v>
      </c>
      <c r="I1885">
        <v>239</v>
      </c>
      <c r="J1885">
        <v>1961</v>
      </c>
      <c r="K1885" s="4">
        <v>44137</v>
      </c>
      <c r="L1885" t="s">
        <v>23</v>
      </c>
      <c r="M1885" t="s">
        <v>47</v>
      </c>
      <c r="N1885">
        <v>2.9</v>
      </c>
      <c r="O1885">
        <v>2165</v>
      </c>
      <c r="P1885">
        <v>1.78</v>
      </c>
      <c r="Q1885">
        <v>179</v>
      </c>
      <c r="R1885">
        <v>574</v>
      </c>
    </row>
    <row r="1886" spans="1:18" x14ac:dyDescent="0.2">
      <c r="A1886">
        <v>8</v>
      </c>
      <c r="B1886" t="s">
        <v>104</v>
      </c>
      <c r="C1886" t="str">
        <f>VLOOKUP(B1886, 'Council Area'!$A$2:$B$51, 2)</f>
        <v>Northern Beaches Council</v>
      </c>
      <c r="D1886" t="str">
        <f>_xlfn.XLOOKUP(B1886, 'Council Area'!$A$2:$A$51, 'Council Area'!$B$2:$B$51)</f>
        <v>Northern Beaches Council</v>
      </c>
      <c r="E1886" t="s">
        <v>29</v>
      </c>
      <c r="F1886">
        <v>2204819</v>
      </c>
      <c r="G1886">
        <v>5</v>
      </c>
      <c r="H1886">
        <v>2</v>
      </c>
      <c r="I1886">
        <v>598</v>
      </c>
      <c r="J1886">
        <v>1988</v>
      </c>
      <c r="K1886" s="4">
        <v>44670</v>
      </c>
      <c r="L1886" t="s">
        <v>26</v>
      </c>
      <c r="M1886" t="s">
        <v>85</v>
      </c>
      <c r="N1886">
        <v>3.43</v>
      </c>
      <c r="O1886">
        <v>2303</v>
      </c>
      <c r="P1886">
        <v>2.4900000000000002</v>
      </c>
      <c r="Q1886">
        <v>391</v>
      </c>
      <c r="R1886">
        <v>620</v>
      </c>
    </row>
    <row r="1887" spans="1:18" hidden="1" x14ac:dyDescent="0.2">
      <c r="A1887">
        <v>7</v>
      </c>
      <c r="B1887" t="s">
        <v>39</v>
      </c>
      <c r="E1887" t="s">
        <v>29</v>
      </c>
      <c r="F1887">
        <v>633360</v>
      </c>
      <c r="G1887">
        <v>2</v>
      </c>
      <c r="H1887">
        <v>1</v>
      </c>
      <c r="I1887">
        <v>362</v>
      </c>
      <c r="J1887">
        <v>1960</v>
      </c>
      <c r="K1887" s="4">
        <v>45168</v>
      </c>
      <c r="L1887" t="s">
        <v>26</v>
      </c>
      <c r="M1887" t="s">
        <v>70</v>
      </c>
      <c r="N1887">
        <v>1.84</v>
      </c>
      <c r="O1887">
        <v>1468</v>
      </c>
      <c r="P1887">
        <v>3.68</v>
      </c>
      <c r="Q1887">
        <v>190</v>
      </c>
      <c r="R1887">
        <v>423</v>
      </c>
    </row>
    <row r="1888" spans="1:18" x14ac:dyDescent="0.2">
      <c r="A1888">
        <v>8</v>
      </c>
      <c r="B1888" t="s">
        <v>48</v>
      </c>
      <c r="C1888" t="str">
        <f>VLOOKUP(B1888, 'Council Area'!$A$2:$B$51, 2)</f>
        <v>Inner West Council</v>
      </c>
      <c r="D1888" t="str">
        <f>_xlfn.XLOOKUP(B1888, 'Council Area'!$A$2:$A$51, 'Council Area'!$B$2:$B$51)</f>
        <v>Inner West Council</v>
      </c>
      <c r="E1888" t="s">
        <v>51</v>
      </c>
      <c r="F1888">
        <v>1006014</v>
      </c>
      <c r="G1888">
        <v>2</v>
      </c>
      <c r="H1888">
        <v>1</v>
      </c>
      <c r="I1888">
        <v>635</v>
      </c>
      <c r="J1888">
        <v>1964</v>
      </c>
      <c r="K1888" s="4">
        <v>44663</v>
      </c>
      <c r="L1888" t="s">
        <v>23</v>
      </c>
      <c r="M1888" t="s">
        <v>56</v>
      </c>
      <c r="N1888">
        <v>1.84</v>
      </c>
      <c r="O1888">
        <v>1125</v>
      </c>
      <c r="P1888">
        <v>1.7</v>
      </c>
      <c r="Q1888">
        <v>49</v>
      </c>
      <c r="R1888">
        <v>503</v>
      </c>
    </row>
    <row r="1889" spans="1:18" hidden="1" x14ac:dyDescent="0.2">
      <c r="A1889">
        <v>1</v>
      </c>
      <c r="B1889" t="s">
        <v>25</v>
      </c>
      <c r="E1889" t="s">
        <v>29</v>
      </c>
      <c r="F1889">
        <v>2590358</v>
      </c>
      <c r="G1889">
        <v>3</v>
      </c>
      <c r="H1889">
        <v>3</v>
      </c>
      <c r="I1889">
        <v>986</v>
      </c>
      <c r="J1889">
        <v>1958</v>
      </c>
      <c r="K1889" s="4">
        <v>44807</v>
      </c>
      <c r="L1889" t="s">
        <v>23</v>
      </c>
      <c r="M1889" t="s">
        <v>76</v>
      </c>
      <c r="N1889">
        <v>3.37</v>
      </c>
      <c r="O1889">
        <v>1794</v>
      </c>
      <c r="P1889">
        <v>1.53</v>
      </c>
      <c r="Q1889">
        <v>178</v>
      </c>
      <c r="R1889">
        <v>449</v>
      </c>
    </row>
    <row r="1890" spans="1:18" x14ac:dyDescent="0.2">
      <c r="A1890">
        <v>8</v>
      </c>
      <c r="B1890" t="s">
        <v>44</v>
      </c>
      <c r="C1890" t="str">
        <f>VLOOKUP(B1890, 'Council Area'!$A$2:$B$51, 2)</f>
        <v>Inner West Council</v>
      </c>
      <c r="D1890" t="str">
        <f>_xlfn.XLOOKUP(B1890, 'Council Area'!$A$2:$A$51, 'Council Area'!$B$2:$B$51)</f>
        <v>Inner West Council</v>
      </c>
      <c r="E1890" t="s">
        <v>19</v>
      </c>
      <c r="F1890">
        <v>1871325</v>
      </c>
      <c r="G1890">
        <v>3</v>
      </c>
      <c r="H1890">
        <v>3</v>
      </c>
      <c r="I1890">
        <v>593</v>
      </c>
      <c r="J1890">
        <v>1971</v>
      </c>
      <c r="K1890" s="4">
        <v>45031</v>
      </c>
      <c r="L1890" t="s">
        <v>23</v>
      </c>
      <c r="M1890" t="s">
        <v>69</v>
      </c>
      <c r="N1890">
        <v>1.62</v>
      </c>
      <c r="O1890">
        <v>1909</v>
      </c>
      <c r="P1890">
        <v>2.11</v>
      </c>
      <c r="Q1890">
        <v>130</v>
      </c>
      <c r="R1890">
        <v>614</v>
      </c>
    </row>
    <row r="1891" spans="1:18" hidden="1" x14ac:dyDescent="0.2">
      <c r="A1891">
        <v>9</v>
      </c>
      <c r="B1891" t="s">
        <v>48</v>
      </c>
      <c r="E1891" t="s">
        <v>36</v>
      </c>
      <c r="F1891">
        <v>1961630</v>
      </c>
      <c r="G1891">
        <v>3</v>
      </c>
      <c r="H1891">
        <v>1</v>
      </c>
      <c r="I1891">
        <v>331</v>
      </c>
      <c r="J1891">
        <v>1971</v>
      </c>
      <c r="K1891" s="4">
        <v>45516</v>
      </c>
      <c r="L1891" t="s">
        <v>26</v>
      </c>
      <c r="M1891" t="s">
        <v>58</v>
      </c>
      <c r="N1891">
        <v>3.28</v>
      </c>
      <c r="O1891">
        <v>1977</v>
      </c>
      <c r="P1891">
        <v>2.69</v>
      </c>
      <c r="Q1891">
        <v>183</v>
      </c>
      <c r="R1891">
        <v>622</v>
      </c>
    </row>
    <row r="1892" spans="1:18" hidden="1" x14ac:dyDescent="0.2">
      <c r="A1892">
        <v>9</v>
      </c>
      <c r="B1892" t="s">
        <v>106</v>
      </c>
      <c r="E1892" t="s">
        <v>36</v>
      </c>
      <c r="F1892">
        <v>1635361</v>
      </c>
      <c r="G1892">
        <v>2</v>
      </c>
      <c r="H1892">
        <v>1</v>
      </c>
      <c r="I1892">
        <v>120</v>
      </c>
      <c r="J1892">
        <v>2008</v>
      </c>
      <c r="K1892" s="4">
        <v>44647</v>
      </c>
      <c r="L1892" t="s">
        <v>23</v>
      </c>
      <c r="M1892" t="s">
        <v>21</v>
      </c>
      <c r="N1892">
        <v>2.11</v>
      </c>
      <c r="O1892">
        <v>910</v>
      </c>
      <c r="P1892">
        <v>1.28</v>
      </c>
      <c r="Q1892">
        <v>148</v>
      </c>
      <c r="R1892">
        <v>346</v>
      </c>
    </row>
    <row r="1893" spans="1:18" hidden="1" x14ac:dyDescent="0.2">
      <c r="A1893">
        <v>2</v>
      </c>
      <c r="B1893" t="s">
        <v>83</v>
      </c>
      <c r="E1893" t="s">
        <v>36</v>
      </c>
      <c r="F1893">
        <v>2631357</v>
      </c>
      <c r="G1893">
        <v>3</v>
      </c>
      <c r="H1893">
        <v>3</v>
      </c>
      <c r="I1893">
        <v>589</v>
      </c>
      <c r="J1893">
        <v>1972</v>
      </c>
      <c r="K1893" s="4">
        <v>45334</v>
      </c>
      <c r="L1893" t="s">
        <v>26</v>
      </c>
      <c r="M1893" t="s">
        <v>33</v>
      </c>
      <c r="N1893">
        <v>1.55</v>
      </c>
      <c r="O1893">
        <v>2231</v>
      </c>
      <c r="P1893">
        <v>2.41</v>
      </c>
      <c r="Q1893">
        <v>98</v>
      </c>
      <c r="R1893">
        <v>577</v>
      </c>
    </row>
    <row r="1894" spans="1:18" hidden="1" x14ac:dyDescent="0.2">
      <c r="A1894">
        <v>0</v>
      </c>
      <c r="B1894" t="s">
        <v>86</v>
      </c>
      <c r="E1894" t="s">
        <v>19</v>
      </c>
      <c r="F1894">
        <v>1727009</v>
      </c>
      <c r="G1894">
        <v>4</v>
      </c>
      <c r="H1894">
        <v>3</v>
      </c>
      <c r="I1894">
        <v>809</v>
      </c>
      <c r="J1894">
        <v>1989</v>
      </c>
      <c r="K1894" s="4">
        <v>44264</v>
      </c>
      <c r="L1894" t="s">
        <v>20</v>
      </c>
      <c r="M1894" t="s">
        <v>82</v>
      </c>
      <c r="N1894">
        <v>1.9</v>
      </c>
      <c r="O1894">
        <v>1769</v>
      </c>
      <c r="P1894">
        <v>1.27</v>
      </c>
      <c r="Q1894">
        <v>162</v>
      </c>
      <c r="R1894">
        <v>441</v>
      </c>
    </row>
    <row r="1895" spans="1:18" x14ac:dyDescent="0.2">
      <c r="A1895">
        <v>8</v>
      </c>
      <c r="B1895" t="s">
        <v>104</v>
      </c>
      <c r="C1895" t="str">
        <f>VLOOKUP(B1895, 'Council Area'!$A$2:$B$51, 2)</f>
        <v>Northern Beaches Council</v>
      </c>
      <c r="D1895" t="str">
        <f>_xlfn.XLOOKUP(B1895, 'Council Area'!$A$2:$A$51, 'Council Area'!$B$2:$B$51)</f>
        <v>Northern Beaches Council</v>
      </c>
      <c r="E1895" t="s">
        <v>29</v>
      </c>
      <c r="F1895">
        <v>1790483</v>
      </c>
      <c r="G1895">
        <v>4</v>
      </c>
      <c r="H1895">
        <v>2</v>
      </c>
      <c r="I1895">
        <v>682</v>
      </c>
      <c r="J1895">
        <v>2007</v>
      </c>
      <c r="K1895" s="4">
        <v>44789</v>
      </c>
      <c r="L1895" t="s">
        <v>26</v>
      </c>
      <c r="M1895" t="s">
        <v>60</v>
      </c>
      <c r="N1895">
        <v>2.54</v>
      </c>
      <c r="O1895">
        <v>2285</v>
      </c>
      <c r="P1895">
        <v>2.71</v>
      </c>
      <c r="Q1895">
        <v>280</v>
      </c>
      <c r="R1895">
        <v>358</v>
      </c>
    </row>
    <row r="1896" spans="1:18" hidden="1" x14ac:dyDescent="0.2">
      <c r="A1896">
        <v>7</v>
      </c>
      <c r="B1896" t="s">
        <v>39</v>
      </c>
      <c r="E1896" t="s">
        <v>29</v>
      </c>
      <c r="F1896">
        <v>1669957</v>
      </c>
      <c r="G1896">
        <v>4</v>
      </c>
      <c r="H1896">
        <v>1</v>
      </c>
      <c r="I1896">
        <v>337</v>
      </c>
      <c r="J1896">
        <v>2018</v>
      </c>
      <c r="K1896" s="4">
        <v>44906</v>
      </c>
      <c r="L1896" t="s">
        <v>20</v>
      </c>
      <c r="M1896" t="s">
        <v>76</v>
      </c>
      <c r="N1896">
        <v>3.39</v>
      </c>
      <c r="O1896">
        <v>1844</v>
      </c>
      <c r="P1896">
        <v>4</v>
      </c>
      <c r="Q1896">
        <v>316</v>
      </c>
      <c r="R1896">
        <v>549</v>
      </c>
    </row>
    <row r="1897" spans="1:18" hidden="1" x14ac:dyDescent="0.2">
      <c r="A1897">
        <v>0</v>
      </c>
      <c r="B1897" t="s">
        <v>53</v>
      </c>
      <c r="E1897" t="s">
        <v>36</v>
      </c>
      <c r="F1897">
        <v>1644263</v>
      </c>
      <c r="G1897">
        <v>6</v>
      </c>
      <c r="H1897">
        <v>3</v>
      </c>
      <c r="I1897">
        <v>303</v>
      </c>
      <c r="J1897">
        <v>2019</v>
      </c>
      <c r="K1897" s="4">
        <v>45821</v>
      </c>
      <c r="L1897" t="s">
        <v>26</v>
      </c>
      <c r="M1897" t="s">
        <v>27</v>
      </c>
      <c r="N1897">
        <v>1.71</v>
      </c>
      <c r="O1897">
        <v>946</v>
      </c>
      <c r="P1897">
        <v>1.1100000000000001</v>
      </c>
      <c r="Q1897">
        <v>390</v>
      </c>
      <c r="R1897">
        <v>682</v>
      </c>
    </row>
    <row r="1898" spans="1:18" x14ac:dyDescent="0.2">
      <c r="A1898">
        <v>8</v>
      </c>
      <c r="B1898" t="s">
        <v>41</v>
      </c>
      <c r="C1898" t="str">
        <f>VLOOKUP(B1898, 'Council Area'!$A$2:$B$51, 2)</f>
        <v>Parramatta City Council</v>
      </c>
      <c r="D1898" t="str">
        <f>_xlfn.XLOOKUP(B1898, 'Council Area'!$A$2:$A$51, 'Council Area'!$B$2:$B$51)</f>
        <v>Parramatta City Council</v>
      </c>
      <c r="E1898" t="s">
        <v>51</v>
      </c>
      <c r="F1898">
        <v>2036735</v>
      </c>
      <c r="G1898">
        <v>5</v>
      </c>
      <c r="H1898">
        <v>1</v>
      </c>
      <c r="I1898">
        <v>744</v>
      </c>
      <c r="J1898">
        <v>2021</v>
      </c>
      <c r="K1898" s="4">
        <v>44246</v>
      </c>
      <c r="L1898" t="s">
        <v>23</v>
      </c>
      <c r="M1898" t="s">
        <v>59</v>
      </c>
      <c r="N1898">
        <v>1.83</v>
      </c>
      <c r="O1898">
        <v>1719</v>
      </c>
      <c r="P1898">
        <v>3.83</v>
      </c>
      <c r="Q1898">
        <v>303</v>
      </c>
      <c r="R1898">
        <v>599</v>
      </c>
    </row>
    <row r="1899" spans="1:18" hidden="1" x14ac:dyDescent="0.2">
      <c r="A1899">
        <v>9</v>
      </c>
      <c r="B1899" t="s">
        <v>83</v>
      </c>
      <c r="E1899" t="s">
        <v>36</v>
      </c>
      <c r="F1899">
        <v>2967026</v>
      </c>
      <c r="G1899">
        <v>5</v>
      </c>
      <c r="H1899">
        <v>1</v>
      </c>
      <c r="I1899">
        <v>631</v>
      </c>
      <c r="J1899">
        <v>1973</v>
      </c>
      <c r="K1899" s="4">
        <v>45719</v>
      </c>
      <c r="L1899" t="s">
        <v>26</v>
      </c>
      <c r="M1899" t="s">
        <v>69</v>
      </c>
      <c r="N1899">
        <v>1.52</v>
      </c>
      <c r="O1899">
        <v>1100</v>
      </c>
      <c r="P1899">
        <v>0.23</v>
      </c>
      <c r="Q1899">
        <v>313</v>
      </c>
      <c r="R1899">
        <v>655</v>
      </c>
    </row>
    <row r="1900" spans="1:18" hidden="1" x14ac:dyDescent="0.2">
      <c r="A1900">
        <v>0</v>
      </c>
      <c r="B1900" t="s">
        <v>93</v>
      </c>
      <c r="E1900" t="s">
        <v>51</v>
      </c>
      <c r="F1900">
        <v>1202981</v>
      </c>
      <c r="G1900">
        <v>1</v>
      </c>
      <c r="H1900">
        <v>2</v>
      </c>
      <c r="I1900">
        <v>536</v>
      </c>
      <c r="J1900">
        <v>1977</v>
      </c>
      <c r="K1900" s="4">
        <v>45824</v>
      </c>
      <c r="L1900" t="s">
        <v>26</v>
      </c>
      <c r="M1900" t="s">
        <v>66</v>
      </c>
      <c r="N1900">
        <v>3.33</v>
      </c>
      <c r="O1900">
        <v>2441</v>
      </c>
      <c r="P1900">
        <v>3.89</v>
      </c>
      <c r="Q1900">
        <v>130</v>
      </c>
      <c r="R1900">
        <v>638</v>
      </c>
    </row>
    <row r="1901" spans="1:18" x14ac:dyDescent="0.2">
      <c r="A1901">
        <v>8</v>
      </c>
      <c r="B1901" t="s">
        <v>102</v>
      </c>
      <c r="C1901" t="str">
        <f>VLOOKUP(B1901, 'Council Area'!$A$2:$B$51, 2)</f>
        <v>City of Sydney</v>
      </c>
      <c r="D1901" t="str">
        <f>_xlfn.XLOOKUP(B1901, 'Council Area'!$A$2:$A$51, 'Council Area'!$B$2:$B$51)</f>
        <v>City of Sydney</v>
      </c>
      <c r="E1901" t="s">
        <v>19</v>
      </c>
      <c r="F1901">
        <v>676095</v>
      </c>
      <c r="G1901">
        <v>2</v>
      </c>
      <c r="H1901">
        <v>1</v>
      </c>
      <c r="I1901">
        <v>514</v>
      </c>
      <c r="J1901">
        <v>1952</v>
      </c>
      <c r="K1901" s="4">
        <v>45888</v>
      </c>
      <c r="L1901" t="s">
        <v>30</v>
      </c>
      <c r="M1901" t="s">
        <v>68</v>
      </c>
      <c r="N1901">
        <v>2.58</v>
      </c>
      <c r="O1901">
        <v>1055</v>
      </c>
      <c r="P1901">
        <v>1.02</v>
      </c>
      <c r="Q1901">
        <v>196</v>
      </c>
      <c r="R1901">
        <v>456</v>
      </c>
    </row>
    <row r="1902" spans="1:18" hidden="1" x14ac:dyDescent="0.2">
      <c r="A1902">
        <v>7</v>
      </c>
      <c r="B1902" t="s">
        <v>32</v>
      </c>
      <c r="E1902" t="s">
        <v>19</v>
      </c>
      <c r="F1902">
        <v>1979991</v>
      </c>
      <c r="G1902">
        <v>4</v>
      </c>
      <c r="H1902">
        <v>1</v>
      </c>
      <c r="I1902">
        <v>360</v>
      </c>
      <c r="J1902">
        <v>2013</v>
      </c>
      <c r="K1902" s="4">
        <v>45097</v>
      </c>
      <c r="L1902" t="s">
        <v>20</v>
      </c>
      <c r="M1902" t="s">
        <v>56</v>
      </c>
      <c r="N1902">
        <v>1.65</v>
      </c>
      <c r="O1902">
        <v>931</v>
      </c>
      <c r="P1902">
        <v>0.57999999999999996</v>
      </c>
      <c r="Q1902">
        <v>238</v>
      </c>
      <c r="R1902">
        <v>502</v>
      </c>
    </row>
    <row r="1903" spans="1:18" hidden="1" x14ac:dyDescent="0.2">
      <c r="A1903">
        <v>5</v>
      </c>
      <c r="B1903" t="s">
        <v>39</v>
      </c>
      <c r="E1903" t="s">
        <v>36</v>
      </c>
      <c r="F1903">
        <v>716841</v>
      </c>
      <c r="G1903">
        <v>5</v>
      </c>
      <c r="H1903">
        <v>2</v>
      </c>
      <c r="I1903">
        <v>538</v>
      </c>
      <c r="J1903">
        <v>2009</v>
      </c>
      <c r="K1903" s="4">
        <v>45459</v>
      </c>
      <c r="L1903" t="s">
        <v>30</v>
      </c>
      <c r="M1903" t="s">
        <v>77</v>
      </c>
      <c r="N1903">
        <v>1.6</v>
      </c>
      <c r="O1903">
        <v>1225</v>
      </c>
      <c r="P1903">
        <v>1.68</v>
      </c>
      <c r="Q1903">
        <v>336</v>
      </c>
      <c r="R1903">
        <v>357</v>
      </c>
    </row>
    <row r="1904" spans="1:18" hidden="1" x14ac:dyDescent="0.2">
      <c r="A1904">
        <v>4</v>
      </c>
      <c r="B1904" t="s">
        <v>41</v>
      </c>
      <c r="E1904" t="s">
        <v>51</v>
      </c>
      <c r="F1904">
        <v>1583224</v>
      </c>
      <c r="G1904">
        <v>1</v>
      </c>
      <c r="H1904">
        <v>3</v>
      </c>
      <c r="I1904">
        <v>298</v>
      </c>
      <c r="J1904">
        <v>1964</v>
      </c>
      <c r="K1904" s="4">
        <v>45353</v>
      </c>
      <c r="L1904" t="s">
        <v>23</v>
      </c>
      <c r="M1904" t="s">
        <v>35</v>
      </c>
      <c r="N1904">
        <v>2.0499999999999998</v>
      </c>
      <c r="O1904">
        <v>1138</v>
      </c>
      <c r="P1904">
        <v>3.35</v>
      </c>
      <c r="Q1904">
        <v>140</v>
      </c>
      <c r="R1904">
        <v>611</v>
      </c>
    </row>
    <row r="1905" spans="1:18" x14ac:dyDescent="0.2">
      <c r="A1905">
        <v>8</v>
      </c>
      <c r="B1905" t="s">
        <v>98</v>
      </c>
      <c r="C1905" t="str">
        <f>VLOOKUP(B1905, 'Council Area'!$A$2:$B$51, 2)</f>
        <v>Parramatta City Council</v>
      </c>
      <c r="D1905" t="str">
        <f>_xlfn.XLOOKUP(B1905, 'Council Area'!$A$2:$A$51, 'Council Area'!$B$2:$B$51)</f>
        <v>Parramatta City Council</v>
      </c>
      <c r="E1905" t="s">
        <v>29</v>
      </c>
      <c r="F1905">
        <v>2067542</v>
      </c>
      <c r="G1905">
        <v>3</v>
      </c>
      <c r="H1905">
        <v>1</v>
      </c>
      <c r="I1905">
        <v>720</v>
      </c>
      <c r="J1905">
        <v>1969</v>
      </c>
      <c r="K1905" s="4">
        <v>45143</v>
      </c>
      <c r="L1905" t="s">
        <v>20</v>
      </c>
      <c r="M1905" t="s">
        <v>27</v>
      </c>
      <c r="N1905">
        <v>2.54</v>
      </c>
      <c r="O1905">
        <v>1395</v>
      </c>
      <c r="P1905">
        <v>2.17</v>
      </c>
      <c r="Q1905">
        <v>99</v>
      </c>
      <c r="R1905">
        <v>601</v>
      </c>
    </row>
    <row r="1906" spans="1:18" hidden="1" x14ac:dyDescent="0.2">
      <c r="A1906">
        <v>9</v>
      </c>
      <c r="B1906" t="s">
        <v>83</v>
      </c>
      <c r="E1906" t="s">
        <v>19</v>
      </c>
      <c r="F1906">
        <v>1028868</v>
      </c>
      <c r="G1906">
        <v>6</v>
      </c>
      <c r="H1906">
        <v>3</v>
      </c>
      <c r="I1906">
        <v>652</v>
      </c>
      <c r="J1906">
        <v>1982</v>
      </c>
      <c r="K1906" s="4">
        <v>45687</v>
      </c>
      <c r="L1906" t="s">
        <v>26</v>
      </c>
      <c r="M1906" t="s">
        <v>33</v>
      </c>
      <c r="N1906">
        <v>2.94</v>
      </c>
      <c r="O1906">
        <v>2045</v>
      </c>
      <c r="P1906">
        <v>2.0499999999999998</v>
      </c>
      <c r="Q1906">
        <v>397</v>
      </c>
      <c r="R1906">
        <v>356</v>
      </c>
    </row>
    <row r="1907" spans="1:18" hidden="1" x14ac:dyDescent="0.2">
      <c r="A1907">
        <v>5</v>
      </c>
      <c r="B1907" t="s">
        <v>64</v>
      </c>
      <c r="E1907" t="s">
        <v>19</v>
      </c>
      <c r="F1907">
        <v>491108</v>
      </c>
      <c r="G1907">
        <v>5</v>
      </c>
      <c r="H1907">
        <v>1</v>
      </c>
      <c r="I1907">
        <v>604</v>
      </c>
      <c r="J1907">
        <v>2007</v>
      </c>
      <c r="K1907" s="4">
        <v>44735</v>
      </c>
      <c r="L1907" t="s">
        <v>30</v>
      </c>
      <c r="M1907" t="s">
        <v>24</v>
      </c>
      <c r="N1907">
        <v>2.4300000000000002</v>
      </c>
      <c r="O1907">
        <v>1561</v>
      </c>
      <c r="P1907">
        <v>2.17</v>
      </c>
      <c r="Q1907">
        <v>353</v>
      </c>
      <c r="R1907">
        <v>372</v>
      </c>
    </row>
    <row r="1908" spans="1:18" hidden="1" x14ac:dyDescent="0.2">
      <c r="A1908">
        <v>9</v>
      </c>
      <c r="B1908" t="s">
        <v>98</v>
      </c>
      <c r="E1908" t="s">
        <v>36</v>
      </c>
      <c r="F1908">
        <v>1457355</v>
      </c>
      <c r="G1908">
        <v>6</v>
      </c>
      <c r="H1908">
        <v>2</v>
      </c>
      <c r="I1908">
        <v>284</v>
      </c>
      <c r="J1908">
        <v>1962</v>
      </c>
      <c r="K1908" s="4">
        <v>44277</v>
      </c>
      <c r="L1908" t="s">
        <v>26</v>
      </c>
      <c r="M1908" t="s">
        <v>82</v>
      </c>
      <c r="N1908">
        <v>2.4500000000000002</v>
      </c>
      <c r="O1908">
        <v>2232</v>
      </c>
      <c r="P1908">
        <v>1.1100000000000001</v>
      </c>
      <c r="Q1908">
        <v>338</v>
      </c>
      <c r="R1908">
        <v>562</v>
      </c>
    </row>
    <row r="1909" spans="1:18" hidden="1" x14ac:dyDescent="0.2">
      <c r="A1909">
        <v>5</v>
      </c>
      <c r="B1909" t="s">
        <v>46</v>
      </c>
      <c r="E1909" t="s">
        <v>19</v>
      </c>
      <c r="F1909">
        <v>1968167</v>
      </c>
      <c r="G1909">
        <v>2</v>
      </c>
      <c r="H1909">
        <v>2</v>
      </c>
      <c r="I1909">
        <v>198</v>
      </c>
      <c r="J1909">
        <v>2018</v>
      </c>
      <c r="K1909" s="4">
        <v>45143</v>
      </c>
      <c r="L1909" t="s">
        <v>30</v>
      </c>
      <c r="M1909" t="s">
        <v>59</v>
      </c>
      <c r="N1909">
        <v>3.04</v>
      </c>
      <c r="O1909">
        <v>1038</v>
      </c>
      <c r="P1909">
        <v>0.99</v>
      </c>
      <c r="Q1909">
        <v>61</v>
      </c>
      <c r="R1909">
        <v>635</v>
      </c>
    </row>
    <row r="1910" spans="1:18" hidden="1" x14ac:dyDescent="0.2">
      <c r="A1910">
        <v>0</v>
      </c>
      <c r="B1910" t="s">
        <v>48</v>
      </c>
      <c r="E1910" t="s">
        <v>29</v>
      </c>
      <c r="F1910">
        <v>536891</v>
      </c>
      <c r="G1910">
        <v>4</v>
      </c>
      <c r="H1910">
        <v>3</v>
      </c>
      <c r="I1910">
        <v>62</v>
      </c>
      <c r="J1910">
        <v>1950</v>
      </c>
      <c r="K1910" s="4">
        <v>45014</v>
      </c>
      <c r="L1910" t="s">
        <v>26</v>
      </c>
      <c r="M1910" t="s">
        <v>37</v>
      </c>
      <c r="N1910">
        <v>2.88</v>
      </c>
      <c r="O1910">
        <v>2366</v>
      </c>
      <c r="P1910">
        <v>2.64</v>
      </c>
      <c r="Q1910">
        <v>192</v>
      </c>
      <c r="R1910">
        <v>368</v>
      </c>
    </row>
    <row r="1911" spans="1:18" hidden="1" x14ac:dyDescent="0.2">
      <c r="A1911">
        <v>5</v>
      </c>
      <c r="B1911" t="s">
        <v>72</v>
      </c>
      <c r="E1911" t="s">
        <v>36</v>
      </c>
      <c r="F1911">
        <v>2736800</v>
      </c>
      <c r="G1911">
        <v>5</v>
      </c>
      <c r="H1911">
        <v>3</v>
      </c>
      <c r="I1911">
        <v>714</v>
      </c>
      <c r="J1911">
        <v>2015</v>
      </c>
      <c r="K1911" s="4">
        <v>44172</v>
      </c>
      <c r="L1911" t="s">
        <v>20</v>
      </c>
      <c r="M1911" t="s">
        <v>82</v>
      </c>
      <c r="N1911">
        <v>1.72</v>
      </c>
      <c r="O1911">
        <v>2466</v>
      </c>
      <c r="P1911">
        <v>3.13</v>
      </c>
      <c r="Q1911">
        <v>297</v>
      </c>
      <c r="R1911">
        <v>561</v>
      </c>
    </row>
    <row r="1912" spans="1:18" hidden="1" x14ac:dyDescent="0.2">
      <c r="A1912">
        <v>3</v>
      </c>
      <c r="B1912" t="s">
        <v>83</v>
      </c>
      <c r="E1912" t="s">
        <v>36</v>
      </c>
      <c r="F1912">
        <v>2560151</v>
      </c>
      <c r="G1912">
        <v>4</v>
      </c>
      <c r="H1912">
        <v>3</v>
      </c>
      <c r="I1912">
        <v>492</v>
      </c>
      <c r="J1912">
        <v>1962</v>
      </c>
      <c r="K1912" s="4">
        <v>45231</v>
      </c>
      <c r="L1912" t="s">
        <v>20</v>
      </c>
      <c r="M1912" t="s">
        <v>47</v>
      </c>
      <c r="N1912">
        <v>3.02</v>
      </c>
      <c r="O1912">
        <v>1976</v>
      </c>
      <c r="P1912">
        <v>1.57</v>
      </c>
      <c r="Q1912">
        <v>204</v>
      </c>
      <c r="R1912">
        <v>659</v>
      </c>
    </row>
    <row r="1913" spans="1:18" hidden="1" x14ac:dyDescent="0.2">
      <c r="A1913">
        <v>0</v>
      </c>
      <c r="B1913" t="s">
        <v>18</v>
      </c>
      <c r="E1913" t="s">
        <v>36</v>
      </c>
      <c r="F1913">
        <v>762725</v>
      </c>
      <c r="G1913">
        <v>0</v>
      </c>
      <c r="H1913">
        <v>3</v>
      </c>
      <c r="I1913">
        <v>762</v>
      </c>
      <c r="J1913">
        <v>1974</v>
      </c>
      <c r="K1913" s="4">
        <v>45078</v>
      </c>
      <c r="L1913" t="s">
        <v>26</v>
      </c>
      <c r="M1913" t="s">
        <v>70</v>
      </c>
      <c r="N1913">
        <v>3.43</v>
      </c>
      <c r="O1913">
        <v>2057</v>
      </c>
      <c r="P1913">
        <v>2.8</v>
      </c>
      <c r="Q1913">
        <v>65</v>
      </c>
      <c r="R1913">
        <v>429</v>
      </c>
    </row>
    <row r="1914" spans="1:18" hidden="1" x14ac:dyDescent="0.2">
      <c r="A1914">
        <v>4</v>
      </c>
      <c r="B1914" t="s">
        <v>84</v>
      </c>
      <c r="E1914" t="s">
        <v>29</v>
      </c>
      <c r="F1914">
        <v>563061</v>
      </c>
      <c r="G1914">
        <v>4</v>
      </c>
      <c r="H1914">
        <v>1</v>
      </c>
      <c r="I1914">
        <v>79</v>
      </c>
      <c r="J1914">
        <v>2019</v>
      </c>
      <c r="K1914" s="4">
        <v>45045</v>
      </c>
      <c r="L1914" t="s">
        <v>20</v>
      </c>
      <c r="M1914" t="s">
        <v>60</v>
      </c>
      <c r="N1914">
        <v>3.49</v>
      </c>
      <c r="O1914">
        <v>2471</v>
      </c>
      <c r="P1914">
        <v>4.9400000000000004</v>
      </c>
      <c r="Q1914">
        <v>319</v>
      </c>
      <c r="R1914">
        <v>654</v>
      </c>
    </row>
    <row r="1915" spans="1:18" hidden="1" x14ac:dyDescent="0.2">
      <c r="A1915">
        <v>0</v>
      </c>
      <c r="B1915" t="s">
        <v>100</v>
      </c>
      <c r="E1915" t="s">
        <v>36</v>
      </c>
      <c r="F1915">
        <v>1201827</v>
      </c>
      <c r="G1915">
        <v>3</v>
      </c>
      <c r="H1915">
        <v>3</v>
      </c>
      <c r="I1915">
        <v>122</v>
      </c>
      <c r="J1915">
        <v>1999</v>
      </c>
      <c r="K1915" s="4">
        <v>44344</v>
      </c>
      <c r="L1915" t="s">
        <v>23</v>
      </c>
      <c r="M1915" t="s">
        <v>54</v>
      </c>
      <c r="N1915">
        <v>1.59</v>
      </c>
      <c r="O1915">
        <v>1853</v>
      </c>
      <c r="P1915">
        <v>3.59</v>
      </c>
      <c r="Q1915">
        <v>312</v>
      </c>
      <c r="R1915">
        <v>318</v>
      </c>
    </row>
    <row r="1916" spans="1:18" hidden="1" x14ac:dyDescent="0.2">
      <c r="A1916">
        <v>4</v>
      </c>
      <c r="B1916" t="s">
        <v>18</v>
      </c>
      <c r="E1916" t="s">
        <v>36</v>
      </c>
      <c r="F1916">
        <v>550502</v>
      </c>
      <c r="G1916">
        <v>3</v>
      </c>
      <c r="H1916">
        <v>1</v>
      </c>
      <c r="I1916">
        <v>644</v>
      </c>
      <c r="J1916">
        <v>1967</v>
      </c>
      <c r="K1916" s="4">
        <v>45043</v>
      </c>
      <c r="L1916" t="s">
        <v>26</v>
      </c>
      <c r="M1916" t="s">
        <v>70</v>
      </c>
      <c r="N1916">
        <v>3.45</v>
      </c>
      <c r="O1916">
        <v>1919</v>
      </c>
      <c r="P1916">
        <v>4.0999999999999996</v>
      </c>
      <c r="Q1916">
        <v>274</v>
      </c>
      <c r="R1916">
        <v>538</v>
      </c>
    </row>
    <row r="1917" spans="1:18" hidden="1" x14ac:dyDescent="0.2">
      <c r="A1917">
        <v>2</v>
      </c>
      <c r="B1917" t="s">
        <v>28</v>
      </c>
      <c r="E1917" t="s">
        <v>36</v>
      </c>
      <c r="F1917">
        <v>2971137</v>
      </c>
      <c r="G1917">
        <v>3</v>
      </c>
      <c r="H1917">
        <v>1</v>
      </c>
      <c r="I1917">
        <v>392</v>
      </c>
      <c r="J1917">
        <v>1962</v>
      </c>
      <c r="K1917" s="4">
        <v>44586</v>
      </c>
      <c r="L1917" t="s">
        <v>20</v>
      </c>
      <c r="M1917" t="s">
        <v>27</v>
      </c>
      <c r="N1917">
        <v>1.8</v>
      </c>
      <c r="O1917">
        <v>2019</v>
      </c>
      <c r="P1917">
        <v>0.49</v>
      </c>
      <c r="Q1917">
        <v>94</v>
      </c>
      <c r="R1917">
        <v>359</v>
      </c>
    </row>
    <row r="1918" spans="1:18" hidden="1" x14ac:dyDescent="0.2">
      <c r="A1918">
        <v>6</v>
      </c>
      <c r="B1918" t="s">
        <v>65</v>
      </c>
      <c r="E1918" t="s">
        <v>29</v>
      </c>
      <c r="F1918">
        <v>1651730</v>
      </c>
      <c r="G1918">
        <v>0</v>
      </c>
      <c r="H1918">
        <v>2</v>
      </c>
      <c r="I1918">
        <v>968</v>
      </c>
      <c r="J1918">
        <v>1994</v>
      </c>
      <c r="K1918" s="4">
        <v>45135</v>
      </c>
      <c r="L1918" t="s">
        <v>20</v>
      </c>
      <c r="M1918" t="s">
        <v>66</v>
      </c>
      <c r="N1918">
        <v>3.29</v>
      </c>
      <c r="O1918">
        <v>1560</v>
      </c>
      <c r="P1918">
        <v>2.29</v>
      </c>
      <c r="Q1918">
        <v>72</v>
      </c>
      <c r="R1918">
        <v>642</v>
      </c>
    </row>
    <row r="1919" spans="1:18" hidden="1" x14ac:dyDescent="0.2">
      <c r="A1919">
        <v>9</v>
      </c>
      <c r="B1919" t="s">
        <v>43</v>
      </c>
      <c r="E1919" t="s">
        <v>36</v>
      </c>
      <c r="F1919">
        <v>2600449</v>
      </c>
      <c r="G1919">
        <v>4</v>
      </c>
      <c r="H1919">
        <v>3</v>
      </c>
      <c r="I1919">
        <v>51</v>
      </c>
      <c r="J1919">
        <v>1974</v>
      </c>
      <c r="K1919" s="4">
        <v>45439</v>
      </c>
      <c r="L1919" t="s">
        <v>30</v>
      </c>
      <c r="M1919" t="s">
        <v>82</v>
      </c>
      <c r="N1919">
        <v>2.0099999999999998</v>
      </c>
      <c r="O1919">
        <v>1835</v>
      </c>
      <c r="P1919">
        <v>1.22</v>
      </c>
      <c r="Q1919">
        <v>195</v>
      </c>
      <c r="R1919">
        <v>416</v>
      </c>
    </row>
    <row r="1920" spans="1:18" hidden="1" x14ac:dyDescent="0.2">
      <c r="A1920">
        <v>1</v>
      </c>
      <c r="B1920" t="s">
        <v>57</v>
      </c>
      <c r="E1920" t="s">
        <v>29</v>
      </c>
      <c r="F1920">
        <v>765503</v>
      </c>
      <c r="G1920">
        <v>2</v>
      </c>
      <c r="H1920">
        <v>3</v>
      </c>
      <c r="I1920">
        <v>621</v>
      </c>
      <c r="J1920">
        <v>1965</v>
      </c>
      <c r="K1920" s="4">
        <v>44489</v>
      </c>
      <c r="L1920" t="s">
        <v>30</v>
      </c>
      <c r="M1920" t="s">
        <v>24</v>
      </c>
      <c r="N1920">
        <v>1.5</v>
      </c>
      <c r="O1920">
        <v>2351</v>
      </c>
      <c r="P1920">
        <v>4.49</v>
      </c>
      <c r="Q1920">
        <v>148</v>
      </c>
      <c r="R1920">
        <v>526</v>
      </c>
    </row>
    <row r="1921" spans="1:18" hidden="1" x14ac:dyDescent="0.2">
      <c r="A1921">
        <v>7</v>
      </c>
      <c r="B1921" t="s">
        <v>96</v>
      </c>
      <c r="E1921" t="s">
        <v>51</v>
      </c>
      <c r="F1921">
        <v>440751</v>
      </c>
      <c r="G1921">
        <v>5</v>
      </c>
      <c r="H1921">
        <v>1</v>
      </c>
      <c r="I1921">
        <v>859</v>
      </c>
      <c r="J1921">
        <v>1980</v>
      </c>
      <c r="K1921" s="4">
        <v>45883</v>
      </c>
      <c r="L1921" t="s">
        <v>20</v>
      </c>
      <c r="M1921" t="s">
        <v>77</v>
      </c>
      <c r="N1921">
        <v>3.37</v>
      </c>
      <c r="O1921">
        <v>1165</v>
      </c>
      <c r="P1921">
        <v>4.01</v>
      </c>
      <c r="Q1921">
        <v>331</v>
      </c>
      <c r="R1921">
        <v>320</v>
      </c>
    </row>
    <row r="1922" spans="1:18" x14ac:dyDescent="0.2">
      <c r="A1922">
        <v>8</v>
      </c>
      <c r="B1922" t="s">
        <v>102</v>
      </c>
      <c r="C1922" t="str">
        <f>VLOOKUP(B1922, 'Council Area'!$A$2:$B$51, 2)</f>
        <v>City of Sydney</v>
      </c>
      <c r="D1922" t="str">
        <f>_xlfn.XLOOKUP(B1922, 'Council Area'!$A$2:$A$51, 'Council Area'!$B$2:$B$51)</f>
        <v>City of Sydney</v>
      </c>
      <c r="E1922" t="s">
        <v>51</v>
      </c>
      <c r="F1922">
        <v>1077045</v>
      </c>
      <c r="G1922">
        <v>3</v>
      </c>
      <c r="H1922">
        <v>3</v>
      </c>
      <c r="I1922">
        <v>222</v>
      </c>
      <c r="J1922">
        <v>1993</v>
      </c>
      <c r="K1922" s="4">
        <v>44572</v>
      </c>
      <c r="L1922" t="s">
        <v>30</v>
      </c>
      <c r="M1922" t="s">
        <v>58</v>
      </c>
      <c r="N1922">
        <v>2.97</v>
      </c>
      <c r="O1922">
        <v>2270</v>
      </c>
      <c r="P1922">
        <v>4.75</v>
      </c>
      <c r="Q1922">
        <v>216</v>
      </c>
      <c r="R1922">
        <v>573</v>
      </c>
    </row>
    <row r="1923" spans="1:18" hidden="1" x14ac:dyDescent="0.2">
      <c r="A1923">
        <v>9</v>
      </c>
      <c r="B1923" t="s">
        <v>67</v>
      </c>
      <c r="E1923" t="s">
        <v>51</v>
      </c>
      <c r="F1923">
        <v>1573754</v>
      </c>
      <c r="G1923">
        <v>2</v>
      </c>
      <c r="H1923">
        <v>1</v>
      </c>
      <c r="I1923">
        <v>189</v>
      </c>
      <c r="J1923">
        <v>2002</v>
      </c>
      <c r="K1923" s="4">
        <v>44465</v>
      </c>
      <c r="L1923" t="s">
        <v>23</v>
      </c>
      <c r="M1923" t="s">
        <v>78</v>
      </c>
      <c r="N1923">
        <v>1.7</v>
      </c>
      <c r="O1923">
        <v>1099</v>
      </c>
      <c r="P1923">
        <v>3.87</v>
      </c>
      <c r="Q1923">
        <v>113</v>
      </c>
      <c r="R1923">
        <v>519</v>
      </c>
    </row>
    <row r="1924" spans="1:18" hidden="1" x14ac:dyDescent="0.2">
      <c r="A1924">
        <v>4</v>
      </c>
      <c r="B1924" t="s">
        <v>90</v>
      </c>
      <c r="E1924" t="s">
        <v>51</v>
      </c>
      <c r="F1924">
        <v>2820433</v>
      </c>
      <c r="G1924">
        <v>2</v>
      </c>
      <c r="H1924">
        <v>1</v>
      </c>
      <c r="I1924">
        <v>278</v>
      </c>
      <c r="J1924">
        <v>1964</v>
      </c>
      <c r="K1924" s="4">
        <v>45887</v>
      </c>
      <c r="L1924" t="s">
        <v>30</v>
      </c>
      <c r="M1924" t="s">
        <v>60</v>
      </c>
      <c r="N1924">
        <v>2.0699999999999998</v>
      </c>
      <c r="O1924">
        <v>1837</v>
      </c>
      <c r="P1924">
        <v>1.66</v>
      </c>
      <c r="Q1924">
        <v>110</v>
      </c>
      <c r="R1924">
        <v>348</v>
      </c>
    </row>
    <row r="1925" spans="1:18" hidden="1" x14ac:dyDescent="0.2">
      <c r="A1925">
        <v>9</v>
      </c>
      <c r="B1925" t="s">
        <v>94</v>
      </c>
      <c r="E1925" t="s">
        <v>51</v>
      </c>
      <c r="F1925">
        <v>913185</v>
      </c>
      <c r="G1925">
        <v>3</v>
      </c>
      <c r="H1925">
        <v>3</v>
      </c>
      <c r="I1925">
        <v>880</v>
      </c>
      <c r="J1925">
        <v>1962</v>
      </c>
      <c r="K1925" s="4">
        <v>45253</v>
      </c>
      <c r="L1925" t="s">
        <v>20</v>
      </c>
      <c r="M1925" t="s">
        <v>40</v>
      </c>
      <c r="N1925">
        <v>3.45</v>
      </c>
      <c r="O1925">
        <v>1430</v>
      </c>
      <c r="P1925">
        <v>4.66</v>
      </c>
      <c r="Q1925">
        <v>253</v>
      </c>
      <c r="R1925">
        <v>422</v>
      </c>
    </row>
    <row r="1926" spans="1:18" hidden="1" x14ac:dyDescent="0.2">
      <c r="A1926">
        <v>2</v>
      </c>
      <c r="B1926" t="s">
        <v>22</v>
      </c>
      <c r="E1926" t="s">
        <v>36</v>
      </c>
      <c r="F1926">
        <v>2072009</v>
      </c>
      <c r="G1926">
        <v>6</v>
      </c>
      <c r="H1926">
        <v>3</v>
      </c>
      <c r="I1926">
        <v>901</v>
      </c>
      <c r="J1926">
        <v>2022</v>
      </c>
      <c r="K1926" s="4">
        <v>44558</v>
      </c>
      <c r="L1926" t="s">
        <v>26</v>
      </c>
      <c r="M1926" t="s">
        <v>12</v>
      </c>
      <c r="N1926">
        <v>1.84</v>
      </c>
      <c r="O1926">
        <v>906</v>
      </c>
      <c r="P1926">
        <v>4.95</v>
      </c>
      <c r="Q1926">
        <v>369</v>
      </c>
      <c r="R1926">
        <v>305</v>
      </c>
    </row>
    <row r="1927" spans="1:18" hidden="1" x14ac:dyDescent="0.2">
      <c r="A1927">
        <v>6</v>
      </c>
      <c r="B1927" t="s">
        <v>73</v>
      </c>
      <c r="E1927" t="s">
        <v>51</v>
      </c>
      <c r="F1927">
        <v>2087382</v>
      </c>
      <c r="G1927">
        <v>4</v>
      </c>
      <c r="H1927">
        <v>2</v>
      </c>
      <c r="I1927">
        <v>465</v>
      </c>
      <c r="J1927">
        <v>1959</v>
      </c>
      <c r="K1927" s="4">
        <v>44912</v>
      </c>
      <c r="L1927" t="s">
        <v>26</v>
      </c>
      <c r="M1927" t="s">
        <v>54</v>
      </c>
      <c r="N1927">
        <v>2</v>
      </c>
      <c r="O1927">
        <v>1500</v>
      </c>
      <c r="P1927">
        <v>4.79</v>
      </c>
      <c r="Q1927">
        <v>352</v>
      </c>
      <c r="R1927">
        <v>622</v>
      </c>
    </row>
    <row r="1928" spans="1:18" hidden="1" x14ac:dyDescent="0.2">
      <c r="A1928">
        <v>2</v>
      </c>
      <c r="B1928" t="s">
        <v>22</v>
      </c>
      <c r="E1928" t="s">
        <v>36</v>
      </c>
      <c r="F1928">
        <v>641596</v>
      </c>
      <c r="G1928">
        <v>1</v>
      </c>
      <c r="H1928">
        <v>3</v>
      </c>
      <c r="I1928">
        <v>484</v>
      </c>
      <c r="J1928">
        <v>1969</v>
      </c>
      <c r="K1928" s="4">
        <v>44888</v>
      </c>
      <c r="L1928" t="s">
        <v>23</v>
      </c>
      <c r="M1928" t="s">
        <v>42</v>
      </c>
      <c r="N1928">
        <v>2.75</v>
      </c>
      <c r="O1928">
        <v>1256</v>
      </c>
      <c r="P1928">
        <v>2.25</v>
      </c>
      <c r="Q1928">
        <v>83</v>
      </c>
      <c r="R1928">
        <v>444</v>
      </c>
    </row>
    <row r="1929" spans="1:18" hidden="1" x14ac:dyDescent="0.2">
      <c r="A1929">
        <v>0</v>
      </c>
      <c r="B1929" t="s">
        <v>22</v>
      </c>
      <c r="E1929" t="s">
        <v>19</v>
      </c>
      <c r="F1929">
        <v>2351935</v>
      </c>
      <c r="G1929">
        <v>5</v>
      </c>
      <c r="H1929">
        <v>3</v>
      </c>
      <c r="I1929">
        <v>512</v>
      </c>
      <c r="J1929">
        <v>2004</v>
      </c>
      <c r="K1929" s="4">
        <v>44367</v>
      </c>
      <c r="L1929" t="s">
        <v>23</v>
      </c>
      <c r="M1929" t="s">
        <v>82</v>
      </c>
      <c r="N1929">
        <v>3.44</v>
      </c>
      <c r="O1929">
        <v>1027</v>
      </c>
      <c r="P1929">
        <v>3.26</v>
      </c>
      <c r="Q1929">
        <v>245</v>
      </c>
      <c r="R1929">
        <v>468</v>
      </c>
    </row>
    <row r="1930" spans="1:18" hidden="1" x14ac:dyDescent="0.2">
      <c r="A1930">
        <v>2</v>
      </c>
      <c r="B1930" t="s">
        <v>32</v>
      </c>
      <c r="E1930" t="s">
        <v>29</v>
      </c>
      <c r="F1930">
        <v>1584929</v>
      </c>
      <c r="G1930">
        <v>3</v>
      </c>
      <c r="H1930">
        <v>1</v>
      </c>
      <c r="I1930">
        <v>443</v>
      </c>
      <c r="J1930">
        <v>1996</v>
      </c>
      <c r="K1930" s="4">
        <v>45645</v>
      </c>
      <c r="L1930" t="s">
        <v>30</v>
      </c>
      <c r="M1930" t="s">
        <v>97</v>
      </c>
      <c r="N1930">
        <v>1.76</v>
      </c>
      <c r="O1930">
        <v>2299</v>
      </c>
      <c r="P1930">
        <v>4.1500000000000004</v>
      </c>
      <c r="Q1930">
        <v>256</v>
      </c>
      <c r="R1930">
        <v>523</v>
      </c>
    </row>
    <row r="1931" spans="1:18" hidden="1" x14ac:dyDescent="0.2">
      <c r="A1931">
        <v>9</v>
      </c>
      <c r="B1931" t="s">
        <v>25</v>
      </c>
      <c r="E1931" t="s">
        <v>19</v>
      </c>
      <c r="F1931">
        <v>742763</v>
      </c>
      <c r="G1931">
        <v>0</v>
      </c>
      <c r="H1931">
        <v>3</v>
      </c>
      <c r="I1931">
        <v>266</v>
      </c>
      <c r="J1931">
        <v>1984</v>
      </c>
      <c r="K1931" s="4">
        <v>44585</v>
      </c>
      <c r="L1931" t="s">
        <v>23</v>
      </c>
      <c r="M1931" t="s">
        <v>40</v>
      </c>
      <c r="N1931">
        <v>2.5299999999999998</v>
      </c>
      <c r="O1931">
        <v>1050</v>
      </c>
      <c r="P1931">
        <v>0.51</v>
      </c>
      <c r="Q1931">
        <v>70</v>
      </c>
      <c r="R1931">
        <v>635</v>
      </c>
    </row>
    <row r="1932" spans="1:18" hidden="1" x14ac:dyDescent="0.2">
      <c r="A1932">
        <v>2</v>
      </c>
      <c r="B1932" t="s">
        <v>95</v>
      </c>
      <c r="E1932" t="s">
        <v>19</v>
      </c>
      <c r="F1932">
        <v>2515174</v>
      </c>
      <c r="G1932">
        <v>4</v>
      </c>
      <c r="H1932">
        <v>1</v>
      </c>
      <c r="I1932">
        <v>896</v>
      </c>
      <c r="J1932">
        <v>1981</v>
      </c>
      <c r="K1932" s="4">
        <v>45822</v>
      </c>
      <c r="L1932" t="s">
        <v>26</v>
      </c>
      <c r="M1932" t="s">
        <v>59</v>
      </c>
      <c r="N1932">
        <v>3.41</v>
      </c>
      <c r="O1932">
        <v>1026</v>
      </c>
      <c r="P1932">
        <v>2.12</v>
      </c>
      <c r="Q1932">
        <v>174</v>
      </c>
      <c r="R1932">
        <v>544</v>
      </c>
    </row>
    <row r="1933" spans="1:18" hidden="1" x14ac:dyDescent="0.2">
      <c r="A1933">
        <v>1</v>
      </c>
      <c r="B1933" t="s">
        <v>102</v>
      </c>
      <c r="E1933" t="s">
        <v>36</v>
      </c>
      <c r="F1933">
        <v>1085324</v>
      </c>
      <c r="G1933">
        <v>5</v>
      </c>
      <c r="H1933">
        <v>2</v>
      </c>
      <c r="I1933">
        <v>119</v>
      </c>
      <c r="J1933">
        <v>1956</v>
      </c>
      <c r="K1933" s="4">
        <v>45450</v>
      </c>
      <c r="L1933" t="s">
        <v>26</v>
      </c>
      <c r="M1933" t="s">
        <v>33</v>
      </c>
      <c r="N1933">
        <v>2.12</v>
      </c>
      <c r="O1933">
        <v>2436</v>
      </c>
      <c r="P1933">
        <v>3.16</v>
      </c>
      <c r="Q1933">
        <v>262</v>
      </c>
      <c r="R1933">
        <v>649</v>
      </c>
    </row>
    <row r="1934" spans="1:18" hidden="1" x14ac:dyDescent="0.2">
      <c r="A1934">
        <v>4</v>
      </c>
      <c r="B1934" t="s">
        <v>34</v>
      </c>
      <c r="E1934" t="s">
        <v>36</v>
      </c>
      <c r="F1934">
        <v>2786894</v>
      </c>
      <c r="G1934">
        <v>4</v>
      </c>
      <c r="H1934">
        <v>2</v>
      </c>
      <c r="I1934">
        <v>850</v>
      </c>
      <c r="J1934">
        <v>1996</v>
      </c>
      <c r="K1934" s="4">
        <v>44948</v>
      </c>
      <c r="L1934" t="s">
        <v>20</v>
      </c>
      <c r="M1934" t="s">
        <v>82</v>
      </c>
      <c r="N1934">
        <v>1.63</v>
      </c>
      <c r="O1934">
        <v>911</v>
      </c>
      <c r="P1934">
        <v>0.47</v>
      </c>
      <c r="Q1934">
        <v>231</v>
      </c>
      <c r="R1934">
        <v>627</v>
      </c>
    </row>
    <row r="1935" spans="1:18" hidden="1" x14ac:dyDescent="0.2">
      <c r="A1935">
        <v>9</v>
      </c>
      <c r="B1935" t="s">
        <v>73</v>
      </c>
      <c r="E1935" t="s">
        <v>29</v>
      </c>
      <c r="F1935">
        <v>1312695</v>
      </c>
      <c r="G1935">
        <v>2</v>
      </c>
      <c r="H1935">
        <v>1</v>
      </c>
      <c r="I1935">
        <v>979</v>
      </c>
      <c r="J1935">
        <v>1989</v>
      </c>
      <c r="K1935" s="4">
        <v>45109</v>
      </c>
      <c r="L1935" t="s">
        <v>30</v>
      </c>
      <c r="M1935" t="s">
        <v>60</v>
      </c>
      <c r="N1935">
        <v>3.24</v>
      </c>
      <c r="O1935">
        <v>2068</v>
      </c>
      <c r="P1935">
        <v>3.53</v>
      </c>
      <c r="Q1935">
        <v>128</v>
      </c>
      <c r="R1935">
        <v>467</v>
      </c>
    </row>
    <row r="1936" spans="1:18" hidden="1" x14ac:dyDescent="0.2">
      <c r="A1936">
        <v>7</v>
      </c>
      <c r="B1936" t="s">
        <v>32</v>
      </c>
      <c r="E1936" t="s">
        <v>36</v>
      </c>
      <c r="F1936">
        <v>1704076</v>
      </c>
      <c r="G1936">
        <v>6</v>
      </c>
      <c r="H1936">
        <v>1</v>
      </c>
      <c r="I1936">
        <v>919</v>
      </c>
      <c r="J1936">
        <v>2010</v>
      </c>
      <c r="K1936" s="4">
        <v>45086</v>
      </c>
      <c r="L1936" t="s">
        <v>30</v>
      </c>
      <c r="M1936" t="s">
        <v>82</v>
      </c>
      <c r="N1936">
        <v>2.4500000000000002</v>
      </c>
      <c r="O1936">
        <v>2267</v>
      </c>
      <c r="P1936">
        <v>0.82</v>
      </c>
      <c r="Q1936">
        <v>371</v>
      </c>
      <c r="R1936">
        <v>689</v>
      </c>
    </row>
    <row r="1937" spans="1:18" hidden="1" x14ac:dyDescent="0.2">
      <c r="A1937">
        <v>6</v>
      </c>
      <c r="B1937" t="s">
        <v>64</v>
      </c>
      <c r="E1937" t="s">
        <v>19</v>
      </c>
      <c r="F1937">
        <v>2389598</v>
      </c>
      <c r="G1937">
        <v>3</v>
      </c>
      <c r="H1937">
        <v>1</v>
      </c>
      <c r="I1937">
        <v>831</v>
      </c>
      <c r="J1937">
        <v>1970</v>
      </c>
      <c r="K1937" s="4">
        <v>44448</v>
      </c>
      <c r="L1937" t="s">
        <v>23</v>
      </c>
      <c r="M1937" t="s">
        <v>42</v>
      </c>
      <c r="N1937">
        <v>2.13</v>
      </c>
      <c r="O1937">
        <v>1054</v>
      </c>
      <c r="P1937">
        <v>3.16</v>
      </c>
      <c r="Q1937">
        <v>285</v>
      </c>
      <c r="R1937">
        <v>331</v>
      </c>
    </row>
    <row r="1938" spans="1:18" hidden="1" x14ac:dyDescent="0.2">
      <c r="A1938">
        <v>6</v>
      </c>
      <c r="B1938" t="s">
        <v>84</v>
      </c>
      <c r="E1938" t="s">
        <v>51</v>
      </c>
      <c r="F1938">
        <v>1982282</v>
      </c>
      <c r="G1938">
        <v>4</v>
      </c>
      <c r="H1938">
        <v>3</v>
      </c>
      <c r="I1938">
        <v>883</v>
      </c>
      <c r="J1938">
        <v>1957</v>
      </c>
      <c r="K1938" s="4">
        <v>44314</v>
      </c>
      <c r="L1938" t="s">
        <v>30</v>
      </c>
      <c r="M1938" t="s">
        <v>60</v>
      </c>
      <c r="N1938">
        <v>2.86</v>
      </c>
      <c r="O1938">
        <v>1111</v>
      </c>
      <c r="P1938">
        <v>4.6900000000000004</v>
      </c>
      <c r="Q1938">
        <v>297</v>
      </c>
      <c r="R1938">
        <v>351</v>
      </c>
    </row>
    <row r="1939" spans="1:18" hidden="1" x14ac:dyDescent="0.2">
      <c r="A1939">
        <v>7</v>
      </c>
      <c r="B1939" t="s">
        <v>65</v>
      </c>
      <c r="E1939" t="s">
        <v>19</v>
      </c>
      <c r="F1939">
        <v>1998748</v>
      </c>
      <c r="G1939">
        <v>6</v>
      </c>
      <c r="H1939">
        <v>1</v>
      </c>
      <c r="I1939">
        <v>269</v>
      </c>
      <c r="J1939">
        <v>1962</v>
      </c>
      <c r="K1939" s="4">
        <v>44322</v>
      </c>
      <c r="L1939" t="s">
        <v>30</v>
      </c>
      <c r="M1939" t="s">
        <v>52</v>
      </c>
      <c r="N1939">
        <v>3.15</v>
      </c>
      <c r="O1939">
        <v>1972</v>
      </c>
      <c r="P1939">
        <v>2.61</v>
      </c>
      <c r="Q1939">
        <v>370</v>
      </c>
      <c r="R1939">
        <v>541</v>
      </c>
    </row>
    <row r="1940" spans="1:18" hidden="1" x14ac:dyDescent="0.2">
      <c r="A1940">
        <v>1</v>
      </c>
      <c r="B1940" t="s">
        <v>73</v>
      </c>
      <c r="E1940" t="s">
        <v>19</v>
      </c>
      <c r="F1940">
        <v>2058125</v>
      </c>
      <c r="G1940">
        <v>6</v>
      </c>
      <c r="H1940">
        <v>3</v>
      </c>
      <c r="I1940">
        <v>474</v>
      </c>
      <c r="J1940">
        <v>1998</v>
      </c>
      <c r="K1940" s="4">
        <v>44354</v>
      </c>
      <c r="L1940" t="s">
        <v>26</v>
      </c>
      <c r="M1940" t="s">
        <v>89</v>
      </c>
      <c r="N1940">
        <v>2.21</v>
      </c>
      <c r="O1940">
        <v>1439</v>
      </c>
      <c r="P1940">
        <v>0.56000000000000005</v>
      </c>
      <c r="Q1940">
        <v>386</v>
      </c>
      <c r="R1940">
        <v>571</v>
      </c>
    </row>
    <row r="1941" spans="1:18" hidden="1" x14ac:dyDescent="0.2">
      <c r="A1941">
        <v>7</v>
      </c>
      <c r="B1941" t="s">
        <v>91</v>
      </c>
      <c r="E1941" t="s">
        <v>51</v>
      </c>
      <c r="F1941">
        <v>1164175</v>
      </c>
      <c r="G1941">
        <v>4</v>
      </c>
      <c r="H1941">
        <v>2</v>
      </c>
      <c r="I1941">
        <v>615</v>
      </c>
      <c r="J1941">
        <v>1984</v>
      </c>
      <c r="K1941" s="4">
        <v>45086</v>
      </c>
      <c r="L1941" t="s">
        <v>20</v>
      </c>
      <c r="M1941" t="s">
        <v>89</v>
      </c>
      <c r="N1941">
        <v>3.32</v>
      </c>
      <c r="O1941">
        <v>2457</v>
      </c>
      <c r="P1941">
        <v>0.24</v>
      </c>
      <c r="Q1941">
        <v>220</v>
      </c>
      <c r="R1941">
        <v>410</v>
      </c>
    </row>
    <row r="1942" spans="1:18" hidden="1" x14ac:dyDescent="0.2">
      <c r="A1942">
        <v>0</v>
      </c>
      <c r="B1942" t="s">
        <v>92</v>
      </c>
      <c r="E1942" t="s">
        <v>51</v>
      </c>
      <c r="F1942">
        <v>2744725</v>
      </c>
      <c r="G1942">
        <v>4</v>
      </c>
      <c r="H1942">
        <v>2</v>
      </c>
      <c r="I1942">
        <v>399</v>
      </c>
      <c r="J1942">
        <v>1980</v>
      </c>
      <c r="K1942" s="4">
        <v>44297</v>
      </c>
      <c r="L1942" t="s">
        <v>23</v>
      </c>
      <c r="M1942" t="s">
        <v>69</v>
      </c>
      <c r="N1942">
        <v>3.49</v>
      </c>
      <c r="O1942">
        <v>802</v>
      </c>
      <c r="P1942">
        <v>1.19</v>
      </c>
      <c r="Q1942">
        <v>175</v>
      </c>
      <c r="R1942">
        <v>672</v>
      </c>
    </row>
    <row r="1943" spans="1:18" x14ac:dyDescent="0.2">
      <c r="A1943">
        <v>8</v>
      </c>
      <c r="B1943" t="s">
        <v>46</v>
      </c>
      <c r="C1943" t="str">
        <f>VLOOKUP(B1943, 'Council Area'!$A$2:$B$51, 2)</f>
        <v>Ku-ring-gai Council</v>
      </c>
      <c r="D1943" t="str">
        <f>_xlfn.XLOOKUP(B1943, 'Council Area'!$A$2:$A$51, 'Council Area'!$B$2:$B$51)</f>
        <v>Ku-ring-gai Council</v>
      </c>
      <c r="E1943" t="s">
        <v>29</v>
      </c>
      <c r="F1943">
        <v>1939693</v>
      </c>
      <c r="G1943">
        <v>4</v>
      </c>
      <c r="H1943">
        <v>1</v>
      </c>
      <c r="I1943">
        <v>223</v>
      </c>
      <c r="J1943">
        <v>1993</v>
      </c>
      <c r="K1943" s="4">
        <v>45421</v>
      </c>
      <c r="L1943" t="s">
        <v>30</v>
      </c>
      <c r="M1943" t="s">
        <v>40</v>
      </c>
      <c r="N1943">
        <v>3.19</v>
      </c>
      <c r="O1943">
        <v>1363</v>
      </c>
      <c r="P1943">
        <v>1.02</v>
      </c>
      <c r="Q1943">
        <v>396</v>
      </c>
      <c r="R1943">
        <v>448</v>
      </c>
    </row>
    <row r="1944" spans="1:18" hidden="1" x14ac:dyDescent="0.2">
      <c r="A1944">
        <v>1</v>
      </c>
      <c r="B1944" t="s">
        <v>61</v>
      </c>
      <c r="E1944" t="s">
        <v>29</v>
      </c>
      <c r="F1944">
        <v>1436985</v>
      </c>
      <c r="G1944">
        <v>5</v>
      </c>
      <c r="H1944">
        <v>1</v>
      </c>
      <c r="I1944">
        <v>265</v>
      </c>
      <c r="J1944">
        <v>2008</v>
      </c>
      <c r="K1944" s="4">
        <v>44127</v>
      </c>
      <c r="L1944" t="s">
        <v>30</v>
      </c>
      <c r="M1944" t="s">
        <v>85</v>
      </c>
      <c r="N1944">
        <v>3.04</v>
      </c>
      <c r="O1944">
        <v>2026</v>
      </c>
      <c r="P1944">
        <v>2.79</v>
      </c>
      <c r="Q1944">
        <v>353</v>
      </c>
      <c r="R1944">
        <v>640</v>
      </c>
    </row>
    <row r="1945" spans="1:18" hidden="1" x14ac:dyDescent="0.2">
      <c r="A1945">
        <v>4</v>
      </c>
      <c r="B1945" t="s">
        <v>65</v>
      </c>
      <c r="E1945" t="s">
        <v>36</v>
      </c>
      <c r="F1945">
        <v>2674534</v>
      </c>
      <c r="G1945">
        <v>2</v>
      </c>
      <c r="H1945">
        <v>2</v>
      </c>
      <c r="I1945">
        <v>444</v>
      </c>
      <c r="J1945">
        <v>2005</v>
      </c>
      <c r="K1945" s="4">
        <v>45311</v>
      </c>
      <c r="L1945" t="s">
        <v>23</v>
      </c>
      <c r="M1945" t="s">
        <v>35</v>
      </c>
      <c r="N1945">
        <v>3.34</v>
      </c>
      <c r="O1945">
        <v>1596</v>
      </c>
      <c r="P1945">
        <v>1.52</v>
      </c>
      <c r="Q1945">
        <v>236</v>
      </c>
      <c r="R1945">
        <v>524</v>
      </c>
    </row>
    <row r="1946" spans="1:18" hidden="1" x14ac:dyDescent="0.2">
      <c r="A1946">
        <v>0</v>
      </c>
      <c r="B1946" t="s">
        <v>86</v>
      </c>
      <c r="E1946" t="s">
        <v>36</v>
      </c>
      <c r="F1946">
        <v>2932419</v>
      </c>
      <c r="G1946">
        <v>1</v>
      </c>
      <c r="H1946">
        <v>2</v>
      </c>
      <c r="I1946">
        <v>77</v>
      </c>
      <c r="J1946">
        <v>1966</v>
      </c>
      <c r="K1946" s="4">
        <v>44859</v>
      </c>
      <c r="L1946" t="s">
        <v>30</v>
      </c>
      <c r="M1946" t="s">
        <v>60</v>
      </c>
      <c r="N1946">
        <v>2.97</v>
      </c>
      <c r="O1946">
        <v>832</v>
      </c>
      <c r="P1946">
        <v>0.77</v>
      </c>
      <c r="Q1946">
        <v>63</v>
      </c>
      <c r="R1946">
        <v>432</v>
      </c>
    </row>
    <row r="1947" spans="1:18" hidden="1" x14ac:dyDescent="0.2">
      <c r="A1947">
        <v>3</v>
      </c>
      <c r="B1947" t="s">
        <v>61</v>
      </c>
      <c r="E1947" t="s">
        <v>29</v>
      </c>
      <c r="F1947">
        <v>487343</v>
      </c>
      <c r="G1947">
        <v>4</v>
      </c>
      <c r="H1947">
        <v>2</v>
      </c>
      <c r="I1947">
        <v>522</v>
      </c>
      <c r="J1947">
        <v>1986</v>
      </c>
      <c r="K1947" s="4">
        <v>45581</v>
      </c>
      <c r="L1947" t="s">
        <v>20</v>
      </c>
      <c r="M1947" t="s">
        <v>33</v>
      </c>
      <c r="N1947">
        <v>1.7</v>
      </c>
      <c r="O1947">
        <v>2308</v>
      </c>
      <c r="P1947">
        <v>0.78</v>
      </c>
      <c r="Q1947">
        <v>180</v>
      </c>
      <c r="R1947">
        <v>560</v>
      </c>
    </row>
    <row r="1948" spans="1:18" hidden="1" x14ac:dyDescent="0.2">
      <c r="A1948">
        <v>4</v>
      </c>
      <c r="B1948" t="s">
        <v>73</v>
      </c>
      <c r="E1948" t="s">
        <v>19</v>
      </c>
      <c r="F1948">
        <v>2388740</v>
      </c>
      <c r="G1948">
        <v>2</v>
      </c>
      <c r="H1948">
        <v>1</v>
      </c>
      <c r="I1948">
        <v>934</v>
      </c>
      <c r="J1948">
        <v>2009</v>
      </c>
      <c r="K1948" s="4">
        <v>45054</v>
      </c>
      <c r="L1948" t="s">
        <v>20</v>
      </c>
      <c r="M1948" t="s">
        <v>35</v>
      </c>
      <c r="N1948">
        <v>1.77</v>
      </c>
      <c r="O1948">
        <v>2208</v>
      </c>
      <c r="P1948">
        <v>3.44</v>
      </c>
      <c r="Q1948">
        <v>198</v>
      </c>
      <c r="R1948">
        <v>447</v>
      </c>
    </row>
    <row r="1949" spans="1:18" hidden="1" x14ac:dyDescent="0.2">
      <c r="A1949">
        <v>7</v>
      </c>
      <c r="B1949" t="s">
        <v>64</v>
      </c>
      <c r="E1949" t="s">
        <v>51</v>
      </c>
      <c r="F1949">
        <v>578853</v>
      </c>
      <c r="G1949">
        <v>4</v>
      </c>
      <c r="H1949">
        <v>3</v>
      </c>
      <c r="I1949">
        <v>503</v>
      </c>
      <c r="J1949">
        <v>1982</v>
      </c>
      <c r="K1949" s="4">
        <v>45225</v>
      </c>
      <c r="L1949" t="s">
        <v>26</v>
      </c>
      <c r="M1949" t="s">
        <v>85</v>
      </c>
      <c r="N1949">
        <v>1.99</v>
      </c>
      <c r="O1949">
        <v>2125</v>
      </c>
      <c r="P1949">
        <v>1.08</v>
      </c>
      <c r="Q1949">
        <v>254</v>
      </c>
      <c r="R1949">
        <v>583</v>
      </c>
    </row>
    <row r="1950" spans="1:18" hidden="1" x14ac:dyDescent="0.2">
      <c r="A1950">
        <v>3</v>
      </c>
      <c r="B1950" t="s">
        <v>99</v>
      </c>
      <c r="E1950" t="s">
        <v>51</v>
      </c>
      <c r="F1950">
        <v>1706169</v>
      </c>
      <c r="G1950">
        <v>3</v>
      </c>
      <c r="H1950">
        <v>3</v>
      </c>
      <c r="I1950">
        <v>610</v>
      </c>
      <c r="J1950">
        <v>1972</v>
      </c>
      <c r="K1950" s="4">
        <v>44845</v>
      </c>
      <c r="L1950" t="s">
        <v>30</v>
      </c>
      <c r="M1950" t="s">
        <v>68</v>
      </c>
      <c r="N1950">
        <v>2.77</v>
      </c>
      <c r="O1950">
        <v>2248</v>
      </c>
      <c r="P1950">
        <v>4.26</v>
      </c>
      <c r="Q1950">
        <v>262</v>
      </c>
      <c r="R1950">
        <v>331</v>
      </c>
    </row>
    <row r="1951" spans="1:18" hidden="1" x14ac:dyDescent="0.2">
      <c r="A1951">
        <v>5</v>
      </c>
      <c r="B1951" t="s">
        <v>98</v>
      </c>
      <c r="E1951" t="s">
        <v>36</v>
      </c>
      <c r="F1951">
        <v>987034</v>
      </c>
      <c r="G1951">
        <v>4</v>
      </c>
      <c r="H1951">
        <v>1</v>
      </c>
      <c r="I1951">
        <v>732</v>
      </c>
      <c r="J1951">
        <v>1951</v>
      </c>
      <c r="K1951" s="4">
        <v>44142</v>
      </c>
      <c r="L1951" t="s">
        <v>20</v>
      </c>
      <c r="M1951" t="s">
        <v>89</v>
      </c>
      <c r="N1951">
        <v>2.82</v>
      </c>
      <c r="O1951">
        <v>2439</v>
      </c>
      <c r="P1951">
        <v>4.57</v>
      </c>
      <c r="Q1951">
        <v>239</v>
      </c>
      <c r="R1951">
        <v>420</v>
      </c>
    </row>
    <row r="1952" spans="1:18" hidden="1" x14ac:dyDescent="0.2">
      <c r="A1952">
        <v>9</v>
      </c>
      <c r="B1952" t="s">
        <v>86</v>
      </c>
      <c r="E1952" t="s">
        <v>51</v>
      </c>
      <c r="F1952">
        <v>1680291</v>
      </c>
      <c r="G1952">
        <v>3</v>
      </c>
      <c r="H1952">
        <v>1</v>
      </c>
      <c r="I1952">
        <v>768</v>
      </c>
      <c r="J1952">
        <v>2005</v>
      </c>
      <c r="K1952" s="4">
        <v>45323</v>
      </c>
      <c r="L1952" t="s">
        <v>30</v>
      </c>
      <c r="M1952" t="s">
        <v>42</v>
      </c>
      <c r="N1952">
        <v>2.1</v>
      </c>
      <c r="O1952">
        <v>1310</v>
      </c>
      <c r="P1952">
        <v>1.66</v>
      </c>
      <c r="Q1952">
        <v>314</v>
      </c>
      <c r="R1952">
        <v>593</v>
      </c>
    </row>
    <row r="1953" spans="1:18" hidden="1" x14ac:dyDescent="0.2">
      <c r="A1953">
        <v>1</v>
      </c>
      <c r="B1953" t="s">
        <v>64</v>
      </c>
      <c r="E1953" t="s">
        <v>36</v>
      </c>
      <c r="F1953">
        <v>1059064</v>
      </c>
      <c r="G1953">
        <v>5</v>
      </c>
      <c r="H1953">
        <v>3</v>
      </c>
      <c r="I1953">
        <v>157</v>
      </c>
      <c r="J1953">
        <v>1970</v>
      </c>
      <c r="K1953" s="4">
        <v>44915</v>
      </c>
      <c r="L1953" t="s">
        <v>23</v>
      </c>
      <c r="M1953" t="s">
        <v>21</v>
      </c>
      <c r="N1953">
        <v>2.13</v>
      </c>
      <c r="O1953">
        <v>1364</v>
      </c>
      <c r="P1953">
        <v>3.04</v>
      </c>
      <c r="Q1953">
        <v>330</v>
      </c>
      <c r="R1953">
        <v>673</v>
      </c>
    </row>
    <row r="1954" spans="1:18" hidden="1" x14ac:dyDescent="0.2">
      <c r="A1954">
        <v>9</v>
      </c>
      <c r="B1954" t="s">
        <v>83</v>
      </c>
      <c r="E1954" t="s">
        <v>19</v>
      </c>
      <c r="F1954">
        <v>954344</v>
      </c>
      <c r="G1954">
        <v>2</v>
      </c>
      <c r="H1954">
        <v>3</v>
      </c>
      <c r="I1954">
        <v>416</v>
      </c>
      <c r="J1954">
        <v>2019</v>
      </c>
      <c r="K1954" s="4">
        <v>45087</v>
      </c>
      <c r="L1954" t="s">
        <v>26</v>
      </c>
      <c r="M1954" t="s">
        <v>31</v>
      </c>
      <c r="N1954">
        <v>2.09</v>
      </c>
      <c r="O1954">
        <v>2029</v>
      </c>
      <c r="P1954">
        <v>1.82</v>
      </c>
      <c r="Q1954">
        <v>224</v>
      </c>
      <c r="R1954">
        <v>643</v>
      </c>
    </row>
    <row r="1955" spans="1:18" hidden="1" x14ac:dyDescent="0.2">
      <c r="A1955">
        <v>3</v>
      </c>
      <c r="B1955" t="s">
        <v>73</v>
      </c>
      <c r="E1955" t="s">
        <v>51</v>
      </c>
      <c r="F1955">
        <v>2853308</v>
      </c>
      <c r="G1955">
        <v>1</v>
      </c>
      <c r="H1955">
        <v>1</v>
      </c>
      <c r="I1955">
        <v>844</v>
      </c>
      <c r="J1955">
        <v>1956</v>
      </c>
      <c r="K1955" s="4">
        <v>44764</v>
      </c>
      <c r="L1955" t="s">
        <v>30</v>
      </c>
      <c r="M1955" t="s">
        <v>42</v>
      </c>
      <c r="N1955">
        <v>3.36</v>
      </c>
      <c r="O1955">
        <v>2122</v>
      </c>
      <c r="P1955">
        <v>2.34</v>
      </c>
      <c r="Q1955">
        <v>127</v>
      </c>
      <c r="R1955">
        <v>539</v>
      </c>
    </row>
    <row r="1956" spans="1:18" hidden="1" x14ac:dyDescent="0.2">
      <c r="A1956">
        <v>3</v>
      </c>
      <c r="B1956" t="s">
        <v>87</v>
      </c>
      <c r="E1956" t="s">
        <v>29</v>
      </c>
      <c r="F1956">
        <v>686406</v>
      </c>
      <c r="G1956">
        <v>4</v>
      </c>
      <c r="H1956">
        <v>2</v>
      </c>
      <c r="I1956">
        <v>514</v>
      </c>
      <c r="J1956">
        <v>2001</v>
      </c>
      <c r="K1956" s="4">
        <v>44214</v>
      </c>
      <c r="L1956" t="s">
        <v>20</v>
      </c>
      <c r="M1956" t="s">
        <v>42</v>
      </c>
      <c r="N1956">
        <v>1.82</v>
      </c>
      <c r="O1956">
        <v>1272</v>
      </c>
      <c r="P1956">
        <v>1.1299999999999999</v>
      </c>
      <c r="Q1956">
        <v>324</v>
      </c>
      <c r="R1956">
        <v>397</v>
      </c>
    </row>
    <row r="1957" spans="1:18" x14ac:dyDescent="0.2">
      <c r="A1957">
        <v>8</v>
      </c>
      <c r="B1957" t="s">
        <v>88</v>
      </c>
      <c r="C1957" t="str">
        <f>VLOOKUP(B1957, 'Council Area'!$A$2:$B$51, 2)</f>
        <v>Blacktown City Council</v>
      </c>
      <c r="D1957" t="str">
        <f>_xlfn.XLOOKUP(B1957, 'Council Area'!$A$2:$A$51, 'Council Area'!$B$2:$B$51)</f>
        <v>Blacktown City Council</v>
      </c>
      <c r="E1957" t="s">
        <v>29</v>
      </c>
      <c r="F1957">
        <v>1485470</v>
      </c>
      <c r="G1957">
        <v>1</v>
      </c>
      <c r="H1957">
        <v>3</v>
      </c>
      <c r="I1957">
        <v>562</v>
      </c>
      <c r="J1957">
        <v>1963</v>
      </c>
      <c r="K1957" s="4">
        <v>44101</v>
      </c>
      <c r="L1957" t="s">
        <v>26</v>
      </c>
      <c r="M1957" t="s">
        <v>35</v>
      </c>
      <c r="N1957">
        <v>3.48</v>
      </c>
      <c r="O1957">
        <v>2411</v>
      </c>
      <c r="P1957">
        <v>1.35</v>
      </c>
      <c r="Q1957">
        <v>93</v>
      </c>
      <c r="R1957">
        <v>469</v>
      </c>
    </row>
    <row r="1958" spans="1:18" hidden="1" x14ac:dyDescent="0.2">
      <c r="A1958">
        <v>5</v>
      </c>
      <c r="B1958" t="s">
        <v>102</v>
      </c>
      <c r="E1958" t="s">
        <v>36</v>
      </c>
      <c r="F1958">
        <v>2475651</v>
      </c>
      <c r="G1958">
        <v>4</v>
      </c>
      <c r="H1958">
        <v>3</v>
      </c>
      <c r="I1958">
        <v>893</v>
      </c>
      <c r="J1958">
        <v>2009</v>
      </c>
      <c r="K1958" s="4">
        <v>44697</v>
      </c>
      <c r="L1958" t="s">
        <v>26</v>
      </c>
      <c r="M1958" t="s">
        <v>52</v>
      </c>
      <c r="N1958">
        <v>2.66</v>
      </c>
      <c r="O1958">
        <v>1042</v>
      </c>
      <c r="P1958">
        <v>4.0199999999999996</v>
      </c>
      <c r="Q1958">
        <v>188</v>
      </c>
      <c r="R1958">
        <v>421</v>
      </c>
    </row>
    <row r="1959" spans="1:18" x14ac:dyDescent="0.2">
      <c r="A1959">
        <v>8</v>
      </c>
      <c r="B1959" t="s">
        <v>86</v>
      </c>
      <c r="C1959" t="str">
        <f>VLOOKUP(B1959, 'Council Area'!$A$2:$B$51, 2)</f>
        <v>Randwick City Council</v>
      </c>
      <c r="D1959" t="str">
        <f>_xlfn.XLOOKUP(B1959, 'Council Area'!$A$2:$A$51, 'Council Area'!$B$2:$B$51)</f>
        <v>Randwick City Council</v>
      </c>
      <c r="E1959" t="s">
        <v>19</v>
      </c>
      <c r="F1959">
        <v>1776235</v>
      </c>
      <c r="G1959">
        <v>2</v>
      </c>
      <c r="H1959">
        <v>2</v>
      </c>
      <c r="I1959">
        <v>592</v>
      </c>
      <c r="J1959">
        <v>1988</v>
      </c>
      <c r="K1959" s="4">
        <v>45692</v>
      </c>
      <c r="L1959" t="s">
        <v>23</v>
      </c>
      <c r="M1959" t="s">
        <v>60</v>
      </c>
      <c r="N1959">
        <v>2.41</v>
      </c>
      <c r="O1959">
        <v>2038</v>
      </c>
      <c r="P1959">
        <v>1.75</v>
      </c>
      <c r="Q1959">
        <v>105</v>
      </c>
      <c r="R1959">
        <v>573</v>
      </c>
    </row>
    <row r="1960" spans="1:18" hidden="1" x14ac:dyDescent="0.2">
      <c r="A1960">
        <v>3</v>
      </c>
      <c r="B1960" t="s">
        <v>32</v>
      </c>
      <c r="E1960" t="s">
        <v>29</v>
      </c>
      <c r="F1960">
        <v>2462450</v>
      </c>
      <c r="G1960">
        <v>6</v>
      </c>
      <c r="H1960">
        <v>1</v>
      </c>
      <c r="I1960">
        <v>702</v>
      </c>
      <c r="J1960">
        <v>1972</v>
      </c>
      <c r="K1960" s="4">
        <v>44405</v>
      </c>
      <c r="L1960" t="s">
        <v>26</v>
      </c>
      <c r="M1960" t="s">
        <v>27</v>
      </c>
      <c r="N1960">
        <v>2.67</v>
      </c>
      <c r="O1960">
        <v>1734</v>
      </c>
      <c r="P1960">
        <v>3.27</v>
      </c>
      <c r="Q1960">
        <v>330</v>
      </c>
      <c r="R1960">
        <v>603</v>
      </c>
    </row>
    <row r="1961" spans="1:18" hidden="1" x14ac:dyDescent="0.2">
      <c r="A1961">
        <v>6</v>
      </c>
      <c r="B1961" t="s">
        <v>67</v>
      </c>
      <c r="E1961" t="s">
        <v>51</v>
      </c>
      <c r="F1961">
        <v>2675937</v>
      </c>
      <c r="G1961">
        <v>2</v>
      </c>
      <c r="H1961">
        <v>2</v>
      </c>
      <c r="I1961">
        <v>899</v>
      </c>
      <c r="J1961">
        <v>1996</v>
      </c>
      <c r="K1961" s="4">
        <v>45657</v>
      </c>
      <c r="L1961" t="s">
        <v>20</v>
      </c>
      <c r="M1961" t="s">
        <v>21</v>
      </c>
      <c r="N1961">
        <v>2.48</v>
      </c>
      <c r="O1961">
        <v>1187</v>
      </c>
      <c r="P1961">
        <v>3.06</v>
      </c>
      <c r="Q1961">
        <v>138</v>
      </c>
      <c r="R1961">
        <v>512</v>
      </c>
    </row>
    <row r="1962" spans="1:18" hidden="1" x14ac:dyDescent="0.2">
      <c r="A1962">
        <v>9</v>
      </c>
      <c r="B1962" t="s">
        <v>95</v>
      </c>
      <c r="E1962" t="s">
        <v>19</v>
      </c>
      <c r="F1962">
        <v>1494916</v>
      </c>
      <c r="G1962">
        <v>3</v>
      </c>
      <c r="H1962">
        <v>1</v>
      </c>
      <c r="I1962">
        <v>802</v>
      </c>
      <c r="J1962">
        <v>2005</v>
      </c>
      <c r="K1962" s="4">
        <v>44217</v>
      </c>
      <c r="L1962" t="s">
        <v>30</v>
      </c>
      <c r="M1962" t="s">
        <v>77</v>
      </c>
      <c r="N1962">
        <v>3.46</v>
      </c>
      <c r="O1962">
        <v>1736</v>
      </c>
      <c r="P1962">
        <v>1.74</v>
      </c>
      <c r="Q1962">
        <v>204</v>
      </c>
      <c r="R1962">
        <v>448</v>
      </c>
    </row>
    <row r="1963" spans="1:18" hidden="1" x14ac:dyDescent="0.2">
      <c r="A1963">
        <v>3</v>
      </c>
      <c r="B1963" t="s">
        <v>25</v>
      </c>
      <c r="E1963" t="s">
        <v>36</v>
      </c>
      <c r="F1963">
        <v>2654346</v>
      </c>
      <c r="G1963">
        <v>3</v>
      </c>
      <c r="H1963">
        <v>1</v>
      </c>
      <c r="I1963">
        <v>981</v>
      </c>
      <c r="J1963">
        <v>1958</v>
      </c>
      <c r="K1963" s="4">
        <v>45363</v>
      </c>
      <c r="L1963" t="s">
        <v>30</v>
      </c>
      <c r="M1963" t="s">
        <v>21</v>
      </c>
      <c r="N1963">
        <v>2.02</v>
      </c>
      <c r="O1963">
        <v>1323</v>
      </c>
      <c r="P1963">
        <v>3.18</v>
      </c>
      <c r="Q1963">
        <v>163</v>
      </c>
      <c r="R1963">
        <v>548</v>
      </c>
    </row>
    <row r="1964" spans="1:18" hidden="1" x14ac:dyDescent="0.2">
      <c r="A1964">
        <v>6</v>
      </c>
      <c r="B1964" t="s">
        <v>38</v>
      </c>
      <c r="E1964" t="s">
        <v>51</v>
      </c>
      <c r="F1964">
        <v>2893479</v>
      </c>
      <c r="G1964">
        <v>6</v>
      </c>
      <c r="H1964">
        <v>1</v>
      </c>
      <c r="I1964">
        <v>489</v>
      </c>
      <c r="J1964">
        <v>1970</v>
      </c>
      <c r="K1964" s="4">
        <v>45144</v>
      </c>
      <c r="L1964" t="s">
        <v>20</v>
      </c>
      <c r="M1964" t="s">
        <v>89</v>
      </c>
      <c r="N1964">
        <v>2.23</v>
      </c>
      <c r="O1964">
        <v>1266</v>
      </c>
      <c r="P1964">
        <v>1.3</v>
      </c>
      <c r="Q1964">
        <v>393</v>
      </c>
      <c r="R1964">
        <v>590</v>
      </c>
    </row>
    <row r="1965" spans="1:18" hidden="1" x14ac:dyDescent="0.2">
      <c r="A1965">
        <v>4</v>
      </c>
      <c r="B1965" t="s">
        <v>62</v>
      </c>
      <c r="E1965" t="s">
        <v>29</v>
      </c>
      <c r="F1965">
        <v>1537522</v>
      </c>
      <c r="G1965">
        <v>3</v>
      </c>
      <c r="H1965">
        <v>3</v>
      </c>
      <c r="I1965">
        <v>576</v>
      </c>
      <c r="J1965">
        <v>2002</v>
      </c>
      <c r="K1965" s="4">
        <v>45839</v>
      </c>
      <c r="L1965" t="s">
        <v>26</v>
      </c>
      <c r="M1965" t="s">
        <v>58</v>
      </c>
      <c r="N1965">
        <v>2.4900000000000002</v>
      </c>
      <c r="O1965">
        <v>1502</v>
      </c>
      <c r="P1965">
        <v>4.22</v>
      </c>
      <c r="Q1965">
        <v>172</v>
      </c>
      <c r="R1965">
        <v>699</v>
      </c>
    </row>
    <row r="1966" spans="1:18" hidden="1" x14ac:dyDescent="0.2">
      <c r="A1966">
        <v>9</v>
      </c>
      <c r="B1966" t="s">
        <v>67</v>
      </c>
      <c r="E1966" t="s">
        <v>36</v>
      </c>
      <c r="F1966">
        <v>892322</v>
      </c>
      <c r="G1966">
        <v>0</v>
      </c>
      <c r="H1966">
        <v>2</v>
      </c>
      <c r="I1966">
        <v>585</v>
      </c>
      <c r="J1966">
        <v>2026</v>
      </c>
      <c r="K1966" s="4">
        <v>45210</v>
      </c>
      <c r="L1966" t="s">
        <v>30</v>
      </c>
      <c r="M1966" t="s">
        <v>54</v>
      </c>
      <c r="N1966">
        <v>1.69</v>
      </c>
      <c r="O1966">
        <v>1772</v>
      </c>
      <c r="P1966">
        <v>4.24</v>
      </c>
      <c r="Q1966">
        <v>53</v>
      </c>
      <c r="R1966">
        <v>575</v>
      </c>
    </row>
    <row r="1967" spans="1:18" hidden="1" x14ac:dyDescent="0.2">
      <c r="A1967">
        <v>0</v>
      </c>
      <c r="B1967" t="s">
        <v>94</v>
      </c>
      <c r="E1967" t="s">
        <v>29</v>
      </c>
      <c r="F1967">
        <v>2793084</v>
      </c>
      <c r="G1967">
        <v>3</v>
      </c>
      <c r="H1967">
        <v>1</v>
      </c>
      <c r="I1967">
        <v>196</v>
      </c>
      <c r="J1967">
        <v>1992</v>
      </c>
      <c r="K1967" s="4">
        <v>44373</v>
      </c>
      <c r="L1967" t="s">
        <v>20</v>
      </c>
      <c r="M1967" t="s">
        <v>77</v>
      </c>
      <c r="N1967">
        <v>3.44</v>
      </c>
      <c r="O1967">
        <v>1733</v>
      </c>
      <c r="P1967">
        <v>1.73</v>
      </c>
      <c r="Q1967">
        <v>233</v>
      </c>
      <c r="R1967">
        <v>325</v>
      </c>
    </row>
    <row r="1968" spans="1:18" hidden="1" x14ac:dyDescent="0.2">
      <c r="A1968">
        <v>2</v>
      </c>
      <c r="B1968" t="s">
        <v>61</v>
      </c>
      <c r="E1968" t="s">
        <v>36</v>
      </c>
      <c r="F1968">
        <v>1449009</v>
      </c>
      <c r="G1968">
        <v>4</v>
      </c>
      <c r="H1968">
        <v>3</v>
      </c>
      <c r="I1968">
        <v>207</v>
      </c>
      <c r="J1968">
        <v>2015</v>
      </c>
      <c r="K1968" s="4">
        <v>44330</v>
      </c>
      <c r="L1968" t="s">
        <v>20</v>
      </c>
      <c r="M1968" t="s">
        <v>40</v>
      </c>
      <c r="N1968">
        <v>2.02</v>
      </c>
      <c r="O1968">
        <v>1099</v>
      </c>
      <c r="P1968">
        <v>1.77</v>
      </c>
      <c r="Q1968">
        <v>397</v>
      </c>
      <c r="R1968">
        <v>549</v>
      </c>
    </row>
    <row r="1969" spans="1:18" hidden="1" x14ac:dyDescent="0.2">
      <c r="A1969">
        <v>3</v>
      </c>
      <c r="B1969" t="s">
        <v>50</v>
      </c>
      <c r="E1969" t="s">
        <v>29</v>
      </c>
      <c r="F1969">
        <v>2432392</v>
      </c>
      <c r="G1969">
        <v>4</v>
      </c>
      <c r="H1969">
        <v>3</v>
      </c>
      <c r="I1969">
        <v>183</v>
      </c>
      <c r="J1969">
        <v>1990</v>
      </c>
      <c r="K1969" s="4">
        <v>45063</v>
      </c>
      <c r="L1969" t="s">
        <v>20</v>
      </c>
      <c r="M1969" t="s">
        <v>97</v>
      </c>
      <c r="N1969">
        <v>2.65</v>
      </c>
      <c r="O1969">
        <v>877</v>
      </c>
      <c r="P1969">
        <v>2.0099999999999998</v>
      </c>
      <c r="Q1969">
        <v>359</v>
      </c>
      <c r="R1969">
        <v>676</v>
      </c>
    </row>
    <row r="1970" spans="1:18" hidden="1" x14ac:dyDescent="0.2">
      <c r="A1970">
        <v>5</v>
      </c>
      <c r="B1970" t="s">
        <v>38</v>
      </c>
      <c r="E1970" t="s">
        <v>51</v>
      </c>
      <c r="F1970">
        <v>901560</v>
      </c>
      <c r="G1970">
        <v>0</v>
      </c>
      <c r="H1970">
        <v>1</v>
      </c>
      <c r="I1970">
        <v>976</v>
      </c>
      <c r="J1970">
        <v>1998</v>
      </c>
      <c r="K1970" s="4">
        <v>45350</v>
      </c>
      <c r="L1970" t="s">
        <v>30</v>
      </c>
      <c r="M1970" t="s">
        <v>31</v>
      </c>
      <c r="N1970">
        <v>2.36</v>
      </c>
      <c r="O1970">
        <v>912</v>
      </c>
      <c r="P1970">
        <v>0.46</v>
      </c>
      <c r="Q1970">
        <v>57</v>
      </c>
      <c r="R1970">
        <v>405</v>
      </c>
    </row>
    <row r="1971" spans="1:18" hidden="1" x14ac:dyDescent="0.2">
      <c r="A1971">
        <v>7</v>
      </c>
      <c r="B1971" t="s">
        <v>90</v>
      </c>
      <c r="E1971" t="s">
        <v>36</v>
      </c>
      <c r="F1971">
        <v>535714</v>
      </c>
      <c r="G1971">
        <v>2</v>
      </c>
      <c r="H1971">
        <v>3</v>
      </c>
      <c r="I1971">
        <v>974</v>
      </c>
      <c r="J1971">
        <v>1956</v>
      </c>
      <c r="K1971" s="4">
        <v>45048</v>
      </c>
      <c r="L1971" t="s">
        <v>30</v>
      </c>
      <c r="M1971" t="s">
        <v>77</v>
      </c>
      <c r="N1971">
        <v>3.43</v>
      </c>
      <c r="O1971">
        <v>2386</v>
      </c>
      <c r="P1971">
        <v>0.14000000000000001</v>
      </c>
      <c r="Q1971">
        <v>81</v>
      </c>
      <c r="R1971">
        <v>430</v>
      </c>
    </row>
    <row r="1972" spans="1:18" hidden="1" x14ac:dyDescent="0.2">
      <c r="A1972">
        <v>2</v>
      </c>
      <c r="B1972" t="s">
        <v>18</v>
      </c>
      <c r="E1972" t="s">
        <v>51</v>
      </c>
      <c r="F1972">
        <v>1827374</v>
      </c>
      <c r="G1972">
        <v>3</v>
      </c>
      <c r="H1972">
        <v>3</v>
      </c>
      <c r="I1972">
        <v>697</v>
      </c>
      <c r="J1972">
        <v>2006</v>
      </c>
      <c r="K1972" s="4">
        <v>44729</v>
      </c>
      <c r="L1972" t="s">
        <v>26</v>
      </c>
      <c r="M1972" t="s">
        <v>78</v>
      </c>
      <c r="N1972">
        <v>1.56</v>
      </c>
      <c r="O1972">
        <v>1790</v>
      </c>
      <c r="P1972">
        <v>1.19</v>
      </c>
      <c r="Q1972">
        <v>182</v>
      </c>
      <c r="R1972">
        <v>598</v>
      </c>
    </row>
    <row r="1973" spans="1:18" hidden="1" x14ac:dyDescent="0.2">
      <c r="A1973">
        <v>4</v>
      </c>
      <c r="B1973" t="s">
        <v>87</v>
      </c>
      <c r="E1973" t="s">
        <v>19</v>
      </c>
      <c r="F1973">
        <v>1123153</v>
      </c>
      <c r="G1973">
        <v>5</v>
      </c>
      <c r="H1973">
        <v>2</v>
      </c>
      <c r="I1973">
        <v>442</v>
      </c>
      <c r="J1973">
        <v>1961</v>
      </c>
      <c r="K1973" s="4">
        <v>44968</v>
      </c>
      <c r="L1973" t="s">
        <v>26</v>
      </c>
      <c r="M1973" t="s">
        <v>85</v>
      </c>
      <c r="N1973">
        <v>1.5</v>
      </c>
      <c r="O1973">
        <v>837</v>
      </c>
      <c r="P1973">
        <v>3.62</v>
      </c>
      <c r="Q1973">
        <v>368</v>
      </c>
      <c r="R1973">
        <v>466</v>
      </c>
    </row>
    <row r="1974" spans="1:18" hidden="1" x14ac:dyDescent="0.2">
      <c r="A1974">
        <v>6</v>
      </c>
      <c r="B1974" t="s">
        <v>80</v>
      </c>
      <c r="E1974" t="s">
        <v>19</v>
      </c>
      <c r="F1974">
        <v>1663249</v>
      </c>
      <c r="G1974">
        <v>4</v>
      </c>
      <c r="H1974">
        <v>1</v>
      </c>
      <c r="I1974">
        <v>978</v>
      </c>
      <c r="J1974">
        <v>1977</v>
      </c>
      <c r="K1974" s="4">
        <v>45280</v>
      </c>
      <c r="L1974" t="s">
        <v>23</v>
      </c>
      <c r="M1974" t="s">
        <v>59</v>
      </c>
      <c r="N1974">
        <v>2.35</v>
      </c>
      <c r="O1974">
        <v>1983</v>
      </c>
      <c r="P1974">
        <v>3.24</v>
      </c>
      <c r="Q1974">
        <v>209</v>
      </c>
      <c r="R1974">
        <v>627</v>
      </c>
    </row>
    <row r="1975" spans="1:18" hidden="1" x14ac:dyDescent="0.2">
      <c r="A1975">
        <v>0</v>
      </c>
      <c r="B1975" t="s">
        <v>65</v>
      </c>
      <c r="E1975" t="s">
        <v>51</v>
      </c>
      <c r="F1975">
        <v>2480408</v>
      </c>
      <c r="G1975">
        <v>5</v>
      </c>
      <c r="H1975">
        <v>2</v>
      </c>
      <c r="I1975">
        <v>342</v>
      </c>
      <c r="J1975">
        <v>1989</v>
      </c>
      <c r="K1975" s="4">
        <v>45076</v>
      </c>
      <c r="L1975" t="s">
        <v>20</v>
      </c>
      <c r="M1975" t="s">
        <v>59</v>
      </c>
      <c r="N1975">
        <v>1.96</v>
      </c>
      <c r="O1975">
        <v>1110</v>
      </c>
      <c r="P1975">
        <v>1.99</v>
      </c>
      <c r="Q1975">
        <v>247</v>
      </c>
      <c r="R1975">
        <v>313</v>
      </c>
    </row>
    <row r="1976" spans="1:18" hidden="1" x14ac:dyDescent="0.2">
      <c r="A1976">
        <v>0</v>
      </c>
      <c r="B1976" t="s">
        <v>48</v>
      </c>
      <c r="E1976" t="s">
        <v>29</v>
      </c>
      <c r="F1976">
        <v>973630</v>
      </c>
      <c r="G1976">
        <v>3</v>
      </c>
      <c r="H1976">
        <v>1</v>
      </c>
      <c r="I1976">
        <v>585</v>
      </c>
      <c r="J1976">
        <v>1966</v>
      </c>
      <c r="K1976" s="4">
        <v>45841</v>
      </c>
      <c r="L1976" t="s">
        <v>26</v>
      </c>
      <c r="M1976" t="s">
        <v>52</v>
      </c>
      <c r="N1976">
        <v>2.4</v>
      </c>
      <c r="O1976">
        <v>2407</v>
      </c>
      <c r="P1976">
        <v>2.96</v>
      </c>
      <c r="Q1976">
        <v>121</v>
      </c>
      <c r="R1976">
        <v>527</v>
      </c>
    </row>
    <row r="1977" spans="1:18" hidden="1" x14ac:dyDescent="0.2">
      <c r="A1977">
        <v>4</v>
      </c>
      <c r="B1977" t="s">
        <v>44</v>
      </c>
      <c r="E1977" t="s">
        <v>36</v>
      </c>
      <c r="F1977">
        <v>2687426</v>
      </c>
      <c r="G1977">
        <v>1</v>
      </c>
      <c r="H1977">
        <v>3</v>
      </c>
      <c r="I1977">
        <v>299</v>
      </c>
      <c r="J1977">
        <v>2006</v>
      </c>
      <c r="K1977" s="4">
        <v>45682</v>
      </c>
      <c r="L1977" t="s">
        <v>23</v>
      </c>
      <c r="M1977" t="s">
        <v>42</v>
      </c>
      <c r="N1977">
        <v>2.09</v>
      </c>
      <c r="O1977">
        <v>829</v>
      </c>
      <c r="P1977">
        <v>0.97</v>
      </c>
      <c r="Q1977">
        <v>97</v>
      </c>
      <c r="R1977">
        <v>587</v>
      </c>
    </row>
    <row r="1978" spans="1:18" hidden="1" x14ac:dyDescent="0.2">
      <c r="A1978">
        <v>9</v>
      </c>
      <c r="B1978" t="s">
        <v>81</v>
      </c>
      <c r="E1978" t="s">
        <v>19</v>
      </c>
      <c r="F1978">
        <v>1118968</v>
      </c>
      <c r="G1978">
        <v>4</v>
      </c>
      <c r="H1978">
        <v>3</v>
      </c>
      <c r="I1978">
        <v>226</v>
      </c>
      <c r="J1978">
        <v>1975</v>
      </c>
      <c r="K1978" s="4">
        <v>45451</v>
      </c>
      <c r="L1978" t="s">
        <v>23</v>
      </c>
      <c r="M1978" t="s">
        <v>40</v>
      </c>
      <c r="N1978">
        <v>2.63</v>
      </c>
      <c r="O1978">
        <v>2084</v>
      </c>
      <c r="P1978">
        <v>2.4300000000000002</v>
      </c>
      <c r="Q1978">
        <v>344</v>
      </c>
      <c r="R1978">
        <v>588</v>
      </c>
    </row>
    <row r="1979" spans="1:18" x14ac:dyDescent="0.2">
      <c r="A1979">
        <v>8</v>
      </c>
      <c r="B1979" t="s">
        <v>55</v>
      </c>
      <c r="C1979" t="str">
        <f>VLOOKUP(B1979, 'Council Area'!$A$2:$B$51, 2)</f>
        <v>City of Sydney</v>
      </c>
      <c r="D1979" t="str">
        <f>_xlfn.XLOOKUP(B1979, 'Council Area'!$A$2:$A$51, 'Council Area'!$B$2:$B$51)</f>
        <v>City of Sydney</v>
      </c>
      <c r="E1979" t="s">
        <v>29</v>
      </c>
      <c r="F1979">
        <v>825605</v>
      </c>
      <c r="G1979">
        <v>3</v>
      </c>
      <c r="H1979">
        <v>2</v>
      </c>
      <c r="I1979">
        <v>93</v>
      </c>
      <c r="J1979">
        <v>1950</v>
      </c>
      <c r="K1979" s="4">
        <v>45457</v>
      </c>
      <c r="L1979" t="s">
        <v>20</v>
      </c>
      <c r="M1979" t="s">
        <v>89</v>
      </c>
      <c r="N1979">
        <v>2.12</v>
      </c>
      <c r="O1979">
        <v>1924</v>
      </c>
      <c r="P1979">
        <v>0.51</v>
      </c>
      <c r="Q1979">
        <v>116</v>
      </c>
      <c r="R1979">
        <v>381</v>
      </c>
    </row>
    <row r="1980" spans="1:18" hidden="1" x14ac:dyDescent="0.2">
      <c r="A1980">
        <v>9</v>
      </c>
      <c r="B1980" t="s">
        <v>61</v>
      </c>
      <c r="E1980" t="s">
        <v>29</v>
      </c>
      <c r="F1980">
        <v>1072864</v>
      </c>
      <c r="G1980">
        <v>1</v>
      </c>
      <c r="H1980">
        <v>1</v>
      </c>
      <c r="I1980">
        <v>175</v>
      </c>
      <c r="J1980">
        <v>1960</v>
      </c>
      <c r="K1980" s="4">
        <v>45512</v>
      </c>
      <c r="L1980" t="s">
        <v>30</v>
      </c>
      <c r="M1980" t="s">
        <v>66</v>
      </c>
      <c r="N1980">
        <v>2.56</v>
      </c>
      <c r="O1980">
        <v>2343</v>
      </c>
      <c r="P1980">
        <v>3.66</v>
      </c>
      <c r="Q1980">
        <v>130</v>
      </c>
      <c r="R1980">
        <v>461</v>
      </c>
    </row>
    <row r="1981" spans="1:18" hidden="1" x14ac:dyDescent="0.2">
      <c r="A1981">
        <v>5</v>
      </c>
      <c r="B1981" t="s">
        <v>32</v>
      </c>
      <c r="E1981" t="s">
        <v>36</v>
      </c>
      <c r="F1981">
        <v>1821814</v>
      </c>
      <c r="G1981">
        <v>5</v>
      </c>
      <c r="H1981">
        <v>1</v>
      </c>
      <c r="I1981">
        <v>812</v>
      </c>
      <c r="J1981">
        <v>1963</v>
      </c>
      <c r="K1981" s="4">
        <v>44215</v>
      </c>
      <c r="L1981" t="s">
        <v>26</v>
      </c>
      <c r="M1981" t="s">
        <v>85</v>
      </c>
      <c r="N1981">
        <v>3.17</v>
      </c>
      <c r="O1981">
        <v>2483</v>
      </c>
      <c r="P1981">
        <v>0.98</v>
      </c>
      <c r="Q1981">
        <v>377</v>
      </c>
      <c r="R1981">
        <v>577</v>
      </c>
    </row>
    <row r="1982" spans="1:18" hidden="1" x14ac:dyDescent="0.2">
      <c r="A1982">
        <v>1</v>
      </c>
      <c r="B1982" t="s">
        <v>43</v>
      </c>
      <c r="E1982" t="s">
        <v>19</v>
      </c>
      <c r="F1982">
        <v>2732261</v>
      </c>
      <c r="G1982">
        <v>3</v>
      </c>
      <c r="H1982">
        <v>1</v>
      </c>
      <c r="I1982">
        <v>172</v>
      </c>
      <c r="J1982">
        <v>1975</v>
      </c>
      <c r="K1982" s="4">
        <v>45544</v>
      </c>
      <c r="L1982" t="s">
        <v>26</v>
      </c>
      <c r="M1982" t="s">
        <v>76</v>
      </c>
      <c r="N1982">
        <v>1.73</v>
      </c>
      <c r="O1982">
        <v>2489</v>
      </c>
      <c r="P1982">
        <v>2.74</v>
      </c>
      <c r="Q1982">
        <v>177</v>
      </c>
      <c r="R1982">
        <v>692</v>
      </c>
    </row>
    <row r="1983" spans="1:18" hidden="1" x14ac:dyDescent="0.2">
      <c r="A1983">
        <v>6</v>
      </c>
      <c r="B1983" t="s">
        <v>57</v>
      </c>
      <c r="E1983" t="s">
        <v>29</v>
      </c>
      <c r="F1983">
        <v>524733</v>
      </c>
      <c r="G1983">
        <v>3</v>
      </c>
      <c r="H1983">
        <v>2</v>
      </c>
      <c r="I1983">
        <v>848</v>
      </c>
      <c r="J1983">
        <v>1953</v>
      </c>
      <c r="K1983" s="4">
        <v>44077</v>
      </c>
      <c r="L1983" t="s">
        <v>26</v>
      </c>
      <c r="M1983" t="s">
        <v>69</v>
      </c>
      <c r="N1983">
        <v>1.6</v>
      </c>
      <c r="O1983">
        <v>1400</v>
      </c>
      <c r="P1983">
        <v>3.31</v>
      </c>
      <c r="Q1983">
        <v>140</v>
      </c>
      <c r="R1983">
        <v>307</v>
      </c>
    </row>
    <row r="1984" spans="1:18" hidden="1" x14ac:dyDescent="0.2">
      <c r="A1984">
        <v>2</v>
      </c>
      <c r="B1984" t="s">
        <v>101</v>
      </c>
      <c r="E1984" t="s">
        <v>51</v>
      </c>
      <c r="F1984">
        <v>2001601</v>
      </c>
      <c r="G1984">
        <v>3</v>
      </c>
      <c r="H1984">
        <v>1</v>
      </c>
      <c r="I1984">
        <v>788</v>
      </c>
      <c r="J1984">
        <v>1969</v>
      </c>
      <c r="K1984" s="4">
        <v>45168</v>
      </c>
      <c r="L1984" t="s">
        <v>23</v>
      </c>
      <c r="M1984" t="s">
        <v>33</v>
      </c>
      <c r="N1984">
        <v>3.12</v>
      </c>
      <c r="O1984">
        <v>857</v>
      </c>
      <c r="P1984">
        <v>1.76</v>
      </c>
      <c r="Q1984">
        <v>117</v>
      </c>
      <c r="R1984">
        <v>447</v>
      </c>
    </row>
    <row r="1985" spans="1:18" hidden="1" x14ac:dyDescent="0.2">
      <c r="A1985">
        <v>3</v>
      </c>
      <c r="B1985" t="s">
        <v>101</v>
      </c>
      <c r="E1985" t="s">
        <v>29</v>
      </c>
      <c r="F1985">
        <v>2274525</v>
      </c>
      <c r="G1985">
        <v>3</v>
      </c>
      <c r="H1985">
        <v>2</v>
      </c>
      <c r="I1985">
        <v>965</v>
      </c>
      <c r="J1985">
        <v>1951</v>
      </c>
      <c r="K1985" s="4">
        <v>45589</v>
      </c>
      <c r="L1985" t="s">
        <v>30</v>
      </c>
      <c r="M1985" t="s">
        <v>37</v>
      </c>
      <c r="N1985">
        <v>3.33</v>
      </c>
      <c r="O1985">
        <v>2075</v>
      </c>
      <c r="P1985">
        <v>2.91</v>
      </c>
      <c r="Q1985">
        <v>119</v>
      </c>
      <c r="R1985">
        <v>517</v>
      </c>
    </row>
    <row r="1986" spans="1:18" hidden="1" x14ac:dyDescent="0.2">
      <c r="A1986">
        <v>1</v>
      </c>
      <c r="B1986" t="s">
        <v>100</v>
      </c>
      <c r="E1986" t="s">
        <v>19</v>
      </c>
      <c r="F1986">
        <v>2206590</v>
      </c>
      <c r="G1986">
        <v>3</v>
      </c>
      <c r="H1986">
        <v>2</v>
      </c>
      <c r="I1986">
        <v>945</v>
      </c>
      <c r="J1986">
        <v>2021</v>
      </c>
      <c r="K1986" s="4">
        <v>44843</v>
      </c>
      <c r="L1986" t="s">
        <v>30</v>
      </c>
      <c r="M1986" t="s">
        <v>52</v>
      </c>
      <c r="N1986">
        <v>2.14</v>
      </c>
      <c r="O1986">
        <v>1286</v>
      </c>
      <c r="P1986">
        <v>1.74</v>
      </c>
      <c r="Q1986">
        <v>94</v>
      </c>
      <c r="R1986">
        <v>491</v>
      </c>
    </row>
    <row r="1987" spans="1:18" hidden="1" x14ac:dyDescent="0.2">
      <c r="A1987">
        <v>3</v>
      </c>
      <c r="B1987" t="s">
        <v>67</v>
      </c>
      <c r="E1987" t="s">
        <v>19</v>
      </c>
      <c r="F1987">
        <v>794148</v>
      </c>
      <c r="G1987">
        <v>3</v>
      </c>
      <c r="H1987">
        <v>2</v>
      </c>
      <c r="I1987">
        <v>331</v>
      </c>
      <c r="J1987">
        <v>1951</v>
      </c>
      <c r="K1987" s="4">
        <v>45717</v>
      </c>
      <c r="L1987" t="s">
        <v>23</v>
      </c>
      <c r="M1987" t="s">
        <v>52</v>
      </c>
      <c r="N1987">
        <v>2.88</v>
      </c>
      <c r="O1987">
        <v>2181</v>
      </c>
      <c r="P1987">
        <v>3.72</v>
      </c>
      <c r="Q1987">
        <v>120</v>
      </c>
      <c r="R1987">
        <v>682</v>
      </c>
    </row>
    <row r="1988" spans="1:18" hidden="1" x14ac:dyDescent="0.2">
      <c r="A1988">
        <v>7</v>
      </c>
      <c r="B1988" t="s">
        <v>90</v>
      </c>
      <c r="E1988" t="s">
        <v>36</v>
      </c>
      <c r="F1988">
        <v>2279020</v>
      </c>
      <c r="G1988">
        <v>3</v>
      </c>
      <c r="H1988">
        <v>1</v>
      </c>
      <c r="I1988">
        <v>868</v>
      </c>
      <c r="J1988">
        <v>1964</v>
      </c>
      <c r="K1988" s="4">
        <v>44617</v>
      </c>
      <c r="L1988" t="s">
        <v>26</v>
      </c>
      <c r="M1988" t="s">
        <v>85</v>
      </c>
      <c r="N1988">
        <v>1.52</v>
      </c>
      <c r="O1988">
        <v>1945</v>
      </c>
      <c r="P1988">
        <v>4.3099999999999996</v>
      </c>
      <c r="Q1988">
        <v>161</v>
      </c>
      <c r="R1988">
        <v>415</v>
      </c>
    </row>
    <row r="1989" spans="1:18" hidden="1" x14ac:dyDescent="0.2">
      <c r="A1989">
        <v>6</v>
      </c>
      <c r="B1989" t="s">
        <v>87</v>
      </c>
      <c r="E1989" t="s">
        <v>51</v>
      </c>
      <c r="F1989">
        <v>2905573</v>
      </c>
      <c r="G1989">
        <v>1</v>
      </c>
      <c r="H1989">
        <v>1</v>
      </c>
      <c r="I1989">
        <v>418</v>
      </c>
      <c r="J1989">
        <v>2008</v>
      </c>
      <c r="K1989" s="4">
        <v>44546</v>
      </c>
      <c r="L1989" t="s">
        <v>30</v>
      </c>
      <c r="M1989" t="s">
        <v>35</v>
      </c>
      <c r="N1989">
        <v>2.33</v>
      </c>
      <c r="O1989">
        <v>1888</v>
      </c>
      <c r="P1989">
        <v>4.57</v>
      </c>
      <c r="Q1989">
        <v>128</v>
      </c>
      <c r="R1989">
        <v>399</v>
      </c>
    </row>
    <row r="1990" spans="1:18" hidden="1" x14ac:dyDescent="0.2">
      <c r="A1990">
        <v>4</v>
      </c>
      <c r="B1990" t="s">
        <v>46</v>
      </c>
      <c r="E1990" t="s">
        <v>36</v>
      </c>
      <c r="F1990">
        <v>2061029</v>
      </c>
      <c r="G1990">
        <v>1</v>
      </c>
      <c r="H1990">
        <v>3</v>
      </c>
      <c r="I1990">
        <v>90</v>
      </c>
      <c r="J1990">
        <v>1974</v>
      </c>
      <c r="K1990" s="4">
        <v>44531</v>
      </c>
      <c r="L1990" t="s">
        <v>20</v>
      </c>
      <c r="M1990" t="s">
        <v>76</v>
      </c>
      <c r="N1990">
        <v>1.93</v>
      </c>
      <c r="O1990">
        <v>1322</v>
      </c>
      <c r="P1990">
        <v>4.4000000000000004</v>
      </c>
      <c r="Q1990">
        <v>67</v>
      </c>
      <c r="R1990">
        <v>514</v>
      </c>
    </row>
    <row r="1991" spans="1:18" hidden="1" x14ac:dyDescent="0.2">
      <c r="A1991">
        <v>1</v>
      </c>
      <c r="B1991" t="s">
        <v>67</v>
      </c>
      <c r="E1991" t="s">
        <v>29</v>
      </c>
      <c r="F1991">
        <v>1029878</v>
      </c>
      <c r="G1991">
        <v>4</v>
      </c>
      <c r="H1991">
        <v>1</v>
      </c>
      <c r="I1991">
        <v>73</v>
      </c>
      <c r="J1991">
        <v>2018</v>
      </c>
      <c r="K1991" s="4">
        <v>44938</v>
      </c>
      <c r="L1991" t="s">
        <v>20</v>
      </c>
      <c r="M1991" t="s">
        <v>42</v>
      </c>
      <c r="N1991">
        <v>3.06</v>
      </c>
      <c r="O1991">
        <v>1894</v>
      </c>
      <c r="P1991">
        <v>2.2799999999999998</v>
      </c>
      <c r="Q1991">
        <v>337</v>
      </c>
      <c r="R1991">
        <v>592</v>
      </c>
    </row>
    <row r="1992" spans="1:18" hidden="1" x14ac:dyDescent="0.2">
      <c r="A1992">
        <v>6</v>
      </c>
      <c r="B1992" t="s">
        <v>49</v>
      </c>
      <c r="E1992" t="s">
        <v>51</v>
      </c>
      <c r="F1992">
        <v>2488853</v>
      </c>
      <c r="G1992">
        <v>1</v>
      </c>
      <c r="H1992">
        <v>3</v>
      </c>
      <c r="I1992">
        <v>387</v>
      </c>
      <c r="J1992">
        <v>2016</v>
      </c>
      <c r="K1992" s="4">
        <v>44860</v>
      </c>
      <c r="L1992" t="s">
        <v>23</v>
      </c>
      <c r="M1992" t="s">
        <v>21</v>
      </c>
      <c r="N1992">
        <v>2.46</v>
      </c>
      <c r="O1992">
        <v>1721</v>
      </c>
      <c r="P1992">
        <v>0.28999999999999998</v>
      </c>
      <c r="Q1992">
        <v>79</v>
      </c>
      <c r="R1992">
        <v>356</v>
      </c>
    </row>
    <row r="1993" spans="1:18" hidden="1" x14ac:dyDescent="0.2">
      <c r="A1993">
        <v>2</v>
      </c>
      <c r="B1993" t="s">
        <v>72</v>
      </c>
      <c r="E1993" t="s">
        <v>36</v>
      </c>
      <c r="F1993">
        <v>1249589</v>
      </c>
      <c r="G1993">
        <v>3</v>
      </c>
      <c r="H1993">
        <v>2</v>
      </c>
      <c r="I1993">
        <v>567</v>
      </c>
      <c r="J1993">
        <v>2003</v>
      </c>
      <c r="K1993" s="4">
        <v>45572</v>
      </c>
      <c r="L1993" t="s">
        <v>23</v>
      </c>
      <c r="M1993" t="s">
        <v>77</v>
      </c>
      <c r="N1993">
        <v>2.21</v>
      </c>
      <c r="O1993">
        <v>1917</v>
      </c>
      <c r="P1993">
        <v>4.34</v>
      </c>
      <c r="Q1993">
        <v>183</v>
      </c>
      <c r="R1993">
        <v>512</v>
      </c>
    </row>
    <row r="1994" spans="1:18" hidden="1" x14ac:dyDescent="0.2">
      <c r="A1994">
        <v>5</v>
      </c>
      <c r="B1994" t="s">
        <v>102</v>
      </c>
      <c r="E1994" t="s">
        <v>29</v>
      </c>
      <c r="F1994">
        <v>1656259</v>
      </c>
      <c r="G1994">
        <v>2</v>
      </c>
      <c r="H1994">
        <v>1</v>
      </c>
      <c r="I1994">
        <v>421</v>
      </c>
      <c r="J1994">
        <v>1978</v>
      </c>
      <c r="K1994" s="4">
        <v>44659</v>
      </c>
      <c r="L1994" t="s">
        <v>20</v>
      </c>
      <c r="M1994" t="s">
        <v>47</v>
      </c>
      <c r="N1994">
        <v>3.46</v>
      </c>
      <c r="O1994">
        <v>1558</v>
      </c>
      <c r="P1994">
        <v>0.71</v>
      </c>
      <c r="Q1994">
        <v>50</v>
      </c>
      <c r="R1994">
        <v>590</v>
      </c>
    </row>
    <row r="1995" spans="1:18" hidden="1" x14ac:dyDescent="0.2">
      <c r="A1995">
        <v>4</v>
      </c>
      <c r="B1995" t="s">
        <v>53</v>
      </c>
      <c r="E1995" t="s">
        <v>29</v>
      </c>
      <c r="F1995">
        <v>2876870</v>
      </c>
      <c r="G1995">
        <v>4</v>
      </c>
      <c r="H1995">
        <v>2</v>
      </c>
      <c r="I1995">
        <v>708</v>
      </c>
      <c r="J1995">
        <v>1979</v>
      </c>
      <c r="K1995" s="4">
        <v>45541</v>
      </c>
      <c r="L1995" t="s">
        <v>20</v>
      </c>
      <c r="M1995" t="s">
        <v>37</v>
      </c>
      <c r="N1995">
        <v>2.6</v>
      </c>
      <c r="O1995">
        <v>1363</v>
      </c>
      <c r="P1995">
        <v>4.78</v>
      </c>
      <c r="Q1995">
        <v>235</v>
      </c>
      <c r="R1995">
        <v>359</v>
      </c>
    </row>
    <row r="1996" spans="1:18" hidden="1" x14ac:dyDescent="0.2">
      <c r="A1996">
        <v>0</v>
      </c>
      <c r="B1996" t="s">
        <v>81</v>
      </c>
      <c r="E1996" t="s">
        <v>29</v>
      </c>
      <c r="F1996">
        <v>1910750</v>
      </c>
      <c r="G1996">
        <v>3</v>
      </c>
      <c r="H1996">
        <v>3</v>
      </c>
      <c r="I1996">
        <v>828</v>
      </c>
      <c r="J1996">
        <v>1963</v>
      </c>
      <c r="K1996" s="4">
        <v>44798</v>
      </c>
      <c r="L1996" t="s">
        <v>26</v>
      </c>
      <c r="M1996" t="s">
        <v>82</v>
      </c>
      <c r="N1996">
        <v>3.14</v>
      </c>
      <c r="O1996">
        <v>909</v>
      </c>
      <c r="P1996">
        <v>2.12</v>
      </c>
      <c r="Q1996">
        <v>128</v>
      </c>
      <c r="R1996">
        <v>469</v>
      </c>
    </row>
    <row r="1997" spans="1:18" x14ac:dyDescent="0.2">
      <c r="A1997">
        <v>8</v>
      </c>
      <c r="B1997" t="s">
        <v>88</v>
      </c>
      <c r="C1997" t="str">
        <f>VLOOKUP(B1997, 'Council Area'!$A$2:$B$51, 2)</f>
        <v>Blacktown City Council</v>
      </c>
      <c r="D1997" t="str">
        <f>_xlfn.XLOOKUP(B1997, 'Council Area'!$A$2:$A$51, 'Council Area'!$B$2:$B$51)</f>
        <v>Blacktown City Council</v>
      </c>
      <c r="E1997" t="s">
        <v>51</v>
      </c>
      <c r="F1997">
        <v>1404350</v>
      </c>
      <c r="G1997">
        <v>1</v>
      </c>
      <c r="H1997">
        <v>1</v>
      </c>
      <c r="I1997">
        <v>70</v>
      </c>
      <c r="J1997">
        <v>1968</v>
      </c>
      <c r="K1997" s="4">
        <v>44985</v>
      </c>
      <c r="L1997" t="s">
        <v>26</v>
      </c>
      <c r="M1997" t="s">
        <v>74</v>
      </c>
      <c r="N1997">
        <v>1.74</v>
      </c>
      <c r="O1997">
        <v>1827</v>
      </c>
      <c r="P1997">
        <v>2.58</v>
      </c>
      <c r="Q1997">
        <v>119</v>
      </c>
      <c r="R1997">
        <v>397</v>
      </c>
    </row>
    <row r="1998" spans="1:18" x14ac:dyDescent="0.2">
      <c r="A1998">
        <v>8</v>
      </c>
      <c r="B1998" t="s">
        <v>94</v>
      </c>
      <c r="C1998" t="str">
        <f>VLOOKUP(B1998, 'Council Area'!$A$2:$B$51, 2)</f>
        <v>Sutherland Shire Council</v>
      </c>
      <c r="D1998" t="str">
        <f>_xlfn.XLOOKUP(B1998, 'Council Area'!$A$2:$A$51, 'Council Area'!$B$2:$B$51)</f>
        <v>Sutherland Shire Council</v>
      </c>
      <c r="E1998" t="s">
        <v>51</v>
      </c>
      <c r="F1998">
        <v>1819559</v>
      </c>
      <c r="G1998">
        <v>4</v>
      </c>
      <c r="H1998">
        <v>3</v>
      </c>
      <c r="I1998">
        <v>362</v>
      </c>
      <c r="J1998">
        <v>2005</v>
      </c>
      <c r="K1998" s="4">
        <v>45250</v>
      </c>
      <c r="L1998" t="s">
        <v>30</v>
      </c>
      <c r="M1998" t="s">
        <v>76</v>
      </c>
      <c r="N1998">
        <v>3.46</v>
      </c>
      <c r="O1998">
        <v>1819</v>
      </c>
      <c r="P1998">
        <v>0.59</v>
      </c>
      <c r="Q1998">
        <v>257</v>
      </c>
      <c r="R1998">
        <v>375</v>
      </c>
    </row>
    <row r="1999" spans="1:18" hidden="1" x14ac:dyDescent="0.2">
      <c r="A1999">
        <v>1</v>
      </c>
      <c r="B1999" t="s">
        <v>41</v>
      </c>
      <c r="E1999" t="s">
        <v>29</v>
      </c>
      <c r="F1999">
        <v>2262602</v>
      </c>
      <c r="G1999">
        <v>2</v>
      </c>
      <c r="H1999">
        <v>3</v>
      </c>
      <c r="I1999">
        <v>639</v>
      </c>
      <c r="J1999">
        <v>1964</v>
      </c>
      <c r="K1999" s="4">
        <v>44322</v>
      </c>
      <c r="L1999" t="s">
        <v>26</v>
      </c>
      <c r="M1999" t="s">
        <v>89</v>
      </c>
      <c r="N1999">
        <v>2.67</v>
      </c>
      <c r="O1999">
        <v>1393</v>
      </c>
      <c r="P1999">
        <v>1.44</v>
      </c>
      <c r="Q1999">
        <v>42</v>
      </c>
      <c r="R1999">
        <v>446</v>
      </c>
    </row>
    <row r="2000" spans="1:18" hidden="1" x14ac:dyDescent="0.2">
      <c r="A2000">
        <v>0</v>
      </c>
      <c r="B2000" t="s">
        <v>92</v>
      </c>
      <c r="E2000" t="s">
        <v>51</v>
      </c>
      <c r="F2000">
        <v>2154086</v>
      </c>
      <c r="G2000">
        <v>3</v>
      </c>
      <c r="H2000">
        <v>2</v>
      </c>
      <c r="I2000">
        <v>64</v>
      </c>
      <c r="J2000">
        <v>2001</v>
      </c>
      <c r="K2000" s="4">
        <v>45269</v>
      </c>
      <c r="L2000" t="s">
        <v>20</v>
      </c>
      <c r="M2000" t="s">
        <v>63</v>
      </c>
      <c r="N2000">
        <v>3.03</v>
      </c>
      <c r="O2000">
        <v>1258</v>
      </c>
      <c r="P2000">
        <v>1.6</v>
      </c>
      <c r="Q2000">
        <v>172</v>
      </c>
      <c r="R2000">
        <v>504</v>
      </c>
    </row>
    <row r="2001" spans="1:18" hidden="1" x14ac:dyDescent="0.2">
      <c r="A2001">
        <v>7</v>
      </c>
      <c r="B2001" t="s">
        <v>46</v>
      </c>
      <c r="E2001" t="s">
        <v>19</v>
      </c>
      <c r="F2001">
        <v>2744672</v>
      </c>
      <c r="G2001">
        <v>1</v>
      </c>
      <c r="H2001">
        <v>2</v>
      </c>
      <c r="I2001">
        <v>250</v>
      </c>
      <c r="J2001">
        <v>1975</v>
      </c>
      <c r="K2001" s="4">
        <v>45653</v>
      </c>
      <c r="L2001" t="s">
        <v>30</v>
      </c>
      <c r="M2001" t="s">
        <v>68</v>
      </c>
      <c r="N2001">
        <v>2.21</v>
      </c>
      <c r="O2001">
        <v>1257</v>
      </c>
      <c r="P2001">
        <v>3.94</v>
      </c>
      <c r="Q2001">
        <v>139</v>
      </c>
      <c r="R2001">
        <v>358</v>
      </c>
    </row>
    <row r="2002" spans="1:18" hidden="1" x14ac:dyDescent="0.2">
      <c r="A2002">
        <v>1</v>
      </c>
      <c r="B2002" t="s">
        <v>34</v>
      </c>
      <c r="E2002" t="s">
        <v>29</v>
      </c>
      <c r="F2002">
        <v>850569</v>
      </c>
      <c r="G2002">
        <v>3</v>
      </c>
      <c r="H2002">
        <v>2</v>
      </c>
      <c r="I2002">
        <v>88</v>
      </c>
      <c r="J2002">
        <v>1955</v>
      </c>
      <c r="K2002" s="4">
        <v>45796</v>
      </c>
      <c r="L2002" t="s">
        <v>26</v>
      </c>
      <c r="M2002" t="s">
        <v>59</v>
      </c>
      <c r="N2002">
        <v>2.15</v>
      </c>
      <c r="O2002">
        <v>2391</v>
      </c>
      <c r="P2002">
        <v>3.19</v>
      </c>
      <c r="Q2002">
        <v>148</v>
      </c>
      <c r="R2002">
        <v>429</v>
      </c>
    </row>
    <row r="2003" spans="1:18" hidden="1" x14ac:dyDescent="0.2">
      <c r="A2003">
        <v>3</v>
      </c>
      <c r="B2003" t="s">
        <v>39</v>
      </c>
      <c r="E2003" t="s">
        <v>19</v>
      </c>
      <c r="F2003">
        <v>794288</v>
      </c>
      <c r="G2003">
        <v>3</v>
      </c>
      <c r="H2003">
        <v>2</v>
      </c>
      <c r="I2003">
        <v>401</v>
      </c>
      <c r="J2003">
        <v>1954</v>
      </c>
      <c r="K2003" s="4">
        <v>45789</v>
      </c>
      <c r="L2003" t="s">
        <v>23</v>
      </c>
      <c r="M2003" t="s">
        <v>58</v>
      </c>
      <c r="N2003">
        <v>2.62</v>
      </c>
      <c r="O2003">
        <v>1260</v>
      </c>
      <c r="P2003">
        <v>4.72</v>
      </c>
      <c r="Q2003">
        <v>214</v>
      </c>
      <c r="R2003">
        <v>602</v>
      </c>
    </row>
    <row r="2004" spans="1:18" hidden="1" x14ac:dyDescent="0.2">
      <c r="A2004">
        <v>4</v>
      </c>
      <c r="B2004" t="s">
        <v>96</v>
      </c>
      <c r="E2004" t="s">
        <v>51</v>
      </c>
      <c r="F2004">
        <v>2929713</v>
      </c>
      <c r="G2004">
        <v>2</v>
      </c>
      <c r="H2004">
        <v>1</v>
      </c>
      <c r="I2004">
        <v>621</v>
      </c>
      <c r="J2004">
        <v>2006</v>
      </c>
      <c r="K2004" s="4">
        <v>45102</v>
      </c>
      <c r="L2004" t="s">
        <v>20</v>
      </c>
      <c r="M2004" t="s">
        <v>70</v>
      </c>
      <c r="N2004">
        <v>3.38</v>
      </c>
      <c r="O2004">
        <v>1113</v>
      </c>
      <c r="P2004">
        <v>1.1399999999999999</v>
      </c>
      <c r="Q2004">
        <v>236</v>
      </c>
      <c r="R2004">
        <v>611</v>
      </c>
    </row>
    <row r="2005" spans="1:18" hidden="1" x14ac:dyDescent="0.2">
      <c r="A2005">
        <v>0</v>
      </c>
      <c r="B2005" t="s">
        <v>79</v>
      </c>
      <c r="E2005" t="s">
        <v>51</v>
      </c>
      <c r="F2005">
        <v>2756271</v>
      </c>
      <c r="G2005">
        <v>4</v>
      </c>
      <c r="H2005">
        <v>3</v>
      </c>
      <c r="I2005">
        <v>838</v>
      </c>
      <c r="J2005">
        <v>2002</v>
      </c>
      <c r="K2005" s="4">
        <v>44901</v>
      </c>
      <c r="L2005" t="s">
        <v>20</v>
      </c>
      <c r="M2005" t="s">
        <v>54</v>
      </c>
      <c r="N2005">
        <v>2.21</v>
      </c>
      <c r="O2005">
        <v>2337</v>
      </c>
      <c r="P2005">
        <v>4.8</v>
      </c>
      <c r="Q2005">
        <v>378</v>
      </c>
      <c r="R2005">
        <v>495</v>
      </c>
    </row>
    <row r="2006" spans="1:18" hidden="1" x14ac:dyDescent="0.2">
      <c r="A2006">
        <v>7</v>
      </c>
      <c r="B2006" t="s">
        <v>48</v>
      </c>
      <c r="E2006" t="s">
        <v>29</v>
      </c>
      <c r="F2006">
        <v>1347178</v>
      </c>
      <c r="G2006">
        <v>3</v>
      </c>
      <c r="H2006">
        <v>1</v>
      </c>
      <c r="I2006">
        <v>437</v>
      </c>
      <c r="J2006">
        <v>1951</v>
      </c>
      <c r="K2006" s="4">
        <v>45458</v>
      </c>
      <c r="L2006" t="s">
        <v>23</v>
      </c>
      <c r="M2006" t="s">
        <v>24</v>
      </c>
      <c r="N2006">
        <v>2.71</v>
      </c>
      <c r="O2006">
        <v>1322</v>
      </c>
      <c r="P2006">
        <v>2.5499999999999998</v>
      </c>
      <c r="Q2006">
        <v>210</v>
      </c>
      <c r="R2006">
        <v>663</v>
      </c>
    </row>
    <row r="2007" spans="1:18" hidden="1" x14ac:dyDescent="0.2">
      <c r="A2007">
        <v>4</v>
      </c>
      <c r="B2007" t="s">
        <v>96</v>
      </c>
      <c r="E2007" t="s">
        <v>29</v>
      </c>
      <c r="F2007">
        <v>2044840</v>
      </c>
      <c r="G2007">
        <v>3</v>
      </c>
      <c r="H2007">
        <v>3</v>
      </c>
      <c r="I2007">
        <v>122</v>
      </c>
      <c r="J2007">
        <v>2005</v>
      </c>
      <c r="K2007" s="4">
        <v>45827</v>
      </c>
      <c r="L2007" t="s">
        <v>30</v>
      </c>
      <c r="M2007" t="s">
        <v>76</v>
      </c>
      <c r="N2007">
        <v>2.71</v>
      </c>
      <c r="O2007">
        <v>1342</v>
      </c>
      <c r="P2007">
        <v>0.35</v>
      </c>
      <c r="Q2007">
        <v>161</v>
      </c>
      <c r="R2007">
        <v>672</v>
      </c>
    </row>
    <row r="2008" spans="1:18" hidden="1" x14ac:dyDescent="0.2">
      <c r="A2008">
        <v>1</v>
      </c>
      <c r="B2008" t="s">
        <v>87</v>
      </c>
      <c r="E2008" t="s">
        <v>36</v>
      </c>
      <c r="F2008">
        <v>2586329</v>
      </c>
      <c r="G2008">
        <v>5</v>
      </c>
      <c r="H2008">
        <v>1</v>
      </c>
      <c r="I2008">
        <v>73</v>
      </c>
      <c r="J2008">
        <v>2000</v>
      </c>
      <c r="K2008" s="4">
        <v>45630</v>
      </c>
      <c r="L2008" t="s">
        <v>26</v>
      </c>
      <c r="M2008" t="s">
        <v>63</v>
      </c>
      <c r="N2008">
        <v>2.94</v>
      </c>
      <c r="O2008">
        <v>1304</v>
      </c>
      <c r="P2008">
        <v>4.7300000000000004</v>
      </c>
      <c r="Q2008">
        <v>329</v>
      </c>
      <c r="R2008">
        <v>670</v>
      </c>
    </row>
    <row r="2009" spans="1:18" hidden="1" x14ac:dyDescent="0.2">
      <c r="A2009">
        <v>9</v>
      </c>
      <c r="B2009" t="s">
        <v>44</v>
      </c>
      <c r="E2009" t="s">
        <v>29</v>
      </c>
      <c r="F2009">
        <v>1515433</v>
      </c>
      <c r="G2009">
        <v>5</v>
      </c>
      <c r="H2009">
        <v>3</v>
      </c>
      <c r="I2009">
        <v>54</v>
      </c>
      <c r="J2009">
        <v>1961</v>
      </c>
      <c r="K2009" s="4">
        <v>45864</v>
      </c>
      <c r="L2009" t="s">
        <v>20</v>
      </c>
      <c r="M2009" t="s">
        <v>69</v>
      </c>
      <c r="N2009">
        <v>2.95</v>
      </c>
      <c r="O2009">
        <v>2110</v>
      </c>
      <c r="P2009">
        <v>2.2200000000000002</v>
      </c>
      <c r="Q2009">
        <v>248</v>
      </c>
      <c r="R2009">
        <v>328</v>
      </c>
    </row>
    <row r="2010" spans="1:18" hidden="1" x14ac:dyDescent="0.2">
      <c r="A2010">
        <v>7</v>
      </c>
      <c r="B2010" t="s">
        <v>99</v>
      </c>
      <c r="E2010" t="s">
        <v>19</v>
      </c>
      <c r="F2010">
        <v>1683904</v>
      </c>
      <c r="G2010">
        <v>1</v>
      </c>
      <c r="H2010">
        <v>3</v>
      </c>
      <c r="I2010">
        <v>685</v>
      </c>
      <c r="J2010">
        <v>1972</v>
      </c>
      <c r="K2010" s="4">
        <v>45299</v>
      </c>
      <c r="L2010" t="s">
        <v>26</v>
      </c>
      <c r="M2010" t="s">
        <v>31</v>
      </c>
      <c r="N2010">
        <v>3.03</v>
      </c>
      <c r="O2010">
        <v>1034</v>
      </c>
      <c r="P2010">
        <v>0.63</v>
      </c>
      <c r="Q2010">
        <v>102</v>
      </c>
      <c r="R2010">
        <v>595</v>
      </c>
    </row>
    <row r="2011" spans="1:18" hidden="1" x14ac:dyDescent="0.2">
      <c r="A2011">
        <v>6</v>
      </c>
      <c r="B2011" t="s">
        <v>92</v>
      </c>
      <c r="E2011" t="s">
        <v>51</v>
      </c>
      <c r="F2011">
        <v>957670</v>
      </c>
      <c r="G2011">
        <v>5</v>
      </c>
      <c r="H2011">
        <v>2</v>
      </c>
      <c r="I2011">
        <v>288</v>
      </c>
      <c r="J2011">
        <v>2013</v>
      </c>
      <c r="K2011" s="4">
        <v>45638</v>
      </c>
      <c r="L2011" t="s">
        <v>30</v>
      </c>
      <c r="M2011" t="s">
        <v>27</v>
      </c>
      <c r="N2011">
        <v>1.93</v>
      </c>
      <c r="O2011">
        <v>1327</v>
      </c>
      <c r="P2011">
        <v>2.69</v>
      </c>
      <c r="Q2011">
        <v>299</v>
      </c>
      <c r="R2011">
        <v>496</v>
      </c>
    </row>
    <row r="2012" spans="1:18" hidden="1" x14ac:dyDescent="0.2">
      <c r="A2012">
        <v>2</v>
      </c>
      <c r="B2012" t="s">
        <v>73</v>
      </c>
      <c r="E2012" t="s">
        <v>36</v>
      </c>
      <c r="F2012">
        <v>1693403</v>
      </c>
      <c r="G2012">
        <v>3</v>
      </c>
      <c r="H2012">
        <v>2</v>
      </c>
      <c r="I2012">
        <v>285</v>
      </c>
      <c r="J2012">
        <v>1993</v>
      </c>
      <c r="K2012" s="4">
        <v>44982</v>
      </c>
      <c r="L2012" t="s">
        <v>20</v>
      </c>
      <c r="M2012" t="s">
        <v>97</v>
      </c>
      <c r="N2012">
        <v>1.67</v>
      </c>
      <c r="O2012">
        <v>812</v>
      </c>
      <c r="P2012">
        <v>2.92</v>
      </c>
      <c r="Q2012">
        <v>303</v>
      </c>
      <c r="R2012">
        <v>549</v>
      </c>
    </row>
    <row r="2013" spans="1:18" hidden="1" x14ac:dyDescent="0.2">
      <c r="A2013">
        <v>4</v>
      </c>
      <c r="B2013" t="s">
        <v>62</v>
      </c>
      <c r="E2013" t="s">
        <v>29</v>
      </c>
      <c r="F2013">
        <v>2915502</v>
      </c>
      <c r="G2013">
        <v>4</v>
      </c>
      <c r="H2013">
        <v>1</v>
      </c>
      <c r="I2013">
        <v>741</v>
      </c>
      <c r="J2013">
        <v>1961</v>
      </c>
      <c r="K2013" s="4">
        <v>44665</v>
      </c>
      <c r="L2013" t="s">
        <v>30</v>
      </c>
      <c r="M2013" t="s">
        <v>27</v>
      </c>
      <c r="N2013">
        <v>2.66</v>
      </c>
      <c r="O2013">
        <v>1627</v>
      </c>
      <c r="P2013">
        <v>1.23</v>
      </c>
      <c r="Q2013">
        <v>207</v>
      </c>
      <c r="R2013">
        <v>439</v>
      </c>
    </row>
    <row r="2014" spans="1:18" x14ac:dyDescent="0.2">
      <c r="A2014">
        <v>8</v>
      </c>
      <c r="B2014" t="s">
        <v>57</v>
      </c>
      <c r="C2014" t="str">
        <f>VLOOKUP(B2014, 'Council Area'!$A$2:$B$51, 2)</f>
        <v>Blacktown City Council</v>
      </c>
      <c r="D2014" t="str">
        <f>_xlfn.XLOOKUP(B2014, 'Council Area'!$A$2:$A$51, 'Council Area'!$B$2:$B$51)</f>
        <v>Blacktown City Council</v>
      </c>
      <c r="E2014" t="s">
        <v>19</v>
      </c>
      <c r="F2014">
        <v>848715</v>
      </c>
      <c r="G2014">
        <v>0</v>
      </c>
      <c r="H2014">
        <v>1</v>
      </c>
      <c r="I2014">
        <v>644</v>
      </c>
      <c r="J2014">
        <v>1976</v>
      </c>
      <c r="K2014" s="4">
        <v>44771</v>
      </c>
      <c r="L2014" t="s">
        <v>23</v>
      </c>
      <c r="M2014" t="s">
        <v>31</v>
      </c>
      <c r="N2014">
        <v>2.17</v>
      </c>
      <c r="O2014">
        <v>1701</v>
      </c>
      <c r="P2014">
        <v>3.04</v>
      </c>
      <c r="Q2014">
        <v>48</v>
      </c>
      <c r="R2014">
        <v>545</v>
      </c>
    </row>
    <row r="2015" spans="1:18" hidden="1" x14ac:dyDescent="0.2">
      <c r="A2015">
        <v>6</v>
      </c>
      <c r="B2015" t="s">
        <v>43</v>
      </c>
      <c r="E2015" t="s">
        <v>29</v>
      </c>
      <c r="F2015">
        <v>996036</v>
      </c>
      <c r="G2015">
        <v>6</v>
      </c>
      <c r="H2015">
        <v>1</v>
      </c>
      <c r="I2015">
        <v>578</v>
      </c>
      <c r="J2015">
        <v>1960</v>
      </c>
      <c r="K2015" s="4">
        <v>45881</v>
      </c>
      <c r="L2015" t="s">
        <v>23</v>
      </c>
      <c r="M2015" t="s">
        <v>89</v>
      </c>
      <c r="N2015">
        <v>1.96</v>
      </c>
      <c r="O2015">
        <v>1264</v>
      </c>
      <c r="P2015">
        <v>2.14</v>
      </c>
      <c r="Q2015">
        <v>388</v>
      </c>
      <c r="R2015">
        <v>646</v>
      </c>
    </row>
    <row r="2016" spans="1:18" hidden="1" x14ac:dyDescent="0.2">
      <c r="A2016">
        <v>0</v>
      </c>
      <c r="B2016" t="s">
        <v>80</v>
      </c>
      <c r="E2016" t="s">
        <v>51</v>
      </c>
      <c r="F2016">
        <v>1394505</v>
      </c>
      <c r="G2016">
        <v>1</v>
      </c>
      <c r="H2016">
        <v>2</v>
      </c>
      <c r="I2016">
        <v>692</v>
      </c>
      <c r="J2016">
        <v>2019</v>
      </c>
      <c r="K2016" s="4">
        <v>44388</v>
      </c>
      <c r="L2016" t="s">
        <v>30</v>
      </c>
      <c r="M2016" t="s">
        <v>66</v>
      </c>
      <c r="N2016">
        <v>1.81</v>
      </c>
      <c r="O2016">
        <v>2401</v>
      </c>
      <c r="P2016">
        <v>1.73</v>
      </c>
      <c r="Q2016">
        <v>111</v>
      </c>
      <c r="R2016">
        <v>682</v>
      </c>
    </row>
    <row r="2017" spans="1:18" x14ac:dyDescent="0.2">
      <c r="A2017">
        <v>8</v>
      </c>
      <c r="B2017" t="s">
        <v>62</v>
      </c>
      <c r="C2017" t="str">
        <f>VLOOKUP(B2017, 'Council Area'!$A$2:$B$51, 2)</f>
        <v>Blacktown City Council</v>
      </c>
      <c r="D2017" t="str">
        <f>_xlfn.XLOOKUP(B2017, 'Council Area'!$A$2:$A$51, 'Council Area'!$B$2:$B$51)</f>
        <v>Blacktown City Council</v>
      </c>
      <c r="E2017" t="s">
        <v>36</v>
      </c>
      <c r="F2017">
        <v>2099007</v>
      </c>
      <c r="G2017">
        <v>4</v>
      </c>
      <c r="H2017">
        <v>2</v>
      </c>
      <c r="I2017">
        <v>336</v>
      </c>
      <c r="J2017">
        <v>2018</v>
      </c>
      <c r="K2017" s="4">
        <v>45324</v>
      </c>
      <c r="L2017" t="s">
        <v>26</v>
      </c>
      <c r="M2017" t="s">
        <v>45</v>
      </c>
      <c r="N2017">
        <v>2.59</v>
      </c>
      <c r="O2017">
        <v>1188</v>
      </c>
      <c r="P2017">
        <v>3.86</v>
      </c>
      <c r="Q2017">
        <v>297</v>
      </c>
      <c r="R2017">
        <v>312</v>
      </c>
    </row>
    <row r="2018" spans="1:18" hidden="1" x14ac:dyDescent="0.2">
      <c r="A2018">
        <v>4</v>
      </c>
      <c r="B2018" t="s">
        <v>94</v>
      </c>
      <c r="E2018" t="s">
        <v>19</v>
      </c>
      <c r="F2018">
        <v>2775113</v>
      </c>
      <c r="G2018">
        <v>3</v>
      </c>
      <c r="H2018">
        <v>1</v>
      </c>
      <c r="I2018">
        <v>650</v>
      </c>
      <c r="J2018">
        <v>1968</v>
      </c>
      <c r="K2018" s="4">
        <v>45266</v>
      </c>
      <c r="L2018" t="s">
        <v>20</v>
      </c>
      <c r="M2018" t="s">
        <v>78</v>
      </c>
      <c r="N2018">
        <v>1.68</v>
      </c>
      <c r="O2018">
        <v>1991</v>
      </c>
      <c r="P2018">
        <v>4.4800000000000004</v>
      </c>
      <c r="Q2018">
        <v>177</v>
      </c>
      <c r="R2018">
        <v>464</v>
      </c>
    </row>
    <row r="2019" spans="1:18" hidden="1" x14ac:dyDescent="0.2">
      <c r="A2019">
        <v>2</v>
      </c>
      <c r="B2019" t="s">
        <v>65</v>
      </c>
      <c r="E2019" t="s">
        <v>36</v>
      </c>
      <c r="F2019">
        <v>2316862</v>
      </c>
      <c r="G2019">
        <v>3</v>
      </c>
      <c r="H2019">
        <v>3</v>
      </c>
      <c r="I2019">
        <v>400</v>
      </c>
      <c r="J2019">
        <v>1975</v>
      </c>
      <c r="K2019" s="4">
        <v>45780</v>
      </c>
      <c r="L2019" t="s">
        <v>23</v>
      </c>
      <c r="M2019" t="s">
        <v>40</v>
      </c>
      <c r="N2019">
        <v>2.2000000000000002</v>
      </c>
      <c r="O2019">
        <v>1586</v>
      </c>
      <c r="P2019">
        <v>1.98</v>
      </c>
      <c r="Q2019">
        <v>249</v>
      </c>
      <c r="R2019">
        <v>559</v>
      </c>
    </row>
    <row r="2020" spans="1:18" hidden="1" x14ac:dyDescent="0.2">
      <c r="A2020">
        <v>6</v>
      </c>
      <c r="B2020" t="s">
        <v>93</v>
      </c>
      <c r="E2020" t="s">
        <v>51</v>
      </c>
      <c r="F2020">
        <v>800966</v>
      </c>
      <c r="G2020">
        <v>6</v>
      </c>
      <c r="H2020">
        <v>1</v>
      </c>
      <c r="I2020">
        <v>606</v>
      </c>
      <c r="J2020">
        <v>1999</v>
      </c>
      <c r="K2020" s="4">
        <v>44766</v>
      </c>
      <c r="L2020" t="s">
        <v>30</v>
      </c>
      <c r="M2020" t="s">
        <v>47</v>
      </c>
      <c r="N2020">
        <v>1.58</v>
      </c>
      <c r="O2020">
        <v>1646</v>
      </c>
      <c r="P2020">
        <v>4.9400000000000004</v>
      </c>
      <c r="Q2020">
        <v>360</v>
      </c>
      <c r="R2020">
        <v>438</v>
      </c>
    </row>
    <row r="2021" spans="1:18" hidden="1" x14ac:dyDescent="0.2">
      <c r="A2021">
        <v>4</v>
      </c>
      <c r="B2021" t="s">
        <v>102</v>
      </c>
      <c r="E2021" t="s">
        <v>29</v>
      </c>
      <c r="F2021">
        <v>2173917</v>
      </c>
      <c r="G2021">
        <v>4</v>
      </c>
      <c r="H2021">
        <v>1</v>
      </c>
      <c r="I2021">
        <v>812</v>
      </c>
      <c r="J2021">
        <v>2006</v>
      </c>
      <c r="K2021" s="4">
        <v>44070</v>
      </c>
      <c r="L2021" t="s">
        <v>20</v>
      </c>
      <c r="M2021" t="s">
        <v>68</v>
      </c>
      <c r="N2021">
        <v>2.16</v>
      </c>
      <c r="O2021">
        <v>1682</v>
      </c>
      <c r="P2021">
        <v>3.56</v>
      </c>
      <c r="Q2021">
        <v>395</v>
      </c>
      <c r="R2021">
        <v>410</v>
      </c>
    </row>
    <row r="2022" spans="1:18" hidden="1" x14ac:dyDescent="0.2">
      <c r="A2022">
        <v>1</v>
      </c>
      <c r="B2022" t="s">
        <v>75</v>
      </c>
      <c r="E2022" t="s">
        <v>36</v>
      </c>
      <c r="F2022">
        <v>2875169</v>
      </c>
      <c r="G2022">
        <v>4</v>
      </c>
      <c r="H2022">
        <v>3</v>
      </c>
      <c r="I2022">
        <v>835</v>
      </c>
      <c r="J2022">
        <v>1991</v>
      </c>
      <c r="K2022" s="4">
        <v>45181</v>
      </c>
      <c r="L2022" t="s">
        <v>26</v>
      </c>
      <c r="M2022" t="s">
        <v>24</v>
      </c>
      <c r="N2022">
        <v>2.86</v>
      </c>
      <c r="O2022">
        <v>1767</v>
      </c>
      <c r="P2022">
        <v>2.13</v>
      </c>
      <c r="Q2022">
        <v>283</v>
      </c>
      <c r="R2022">
        <v>419</v>
      </c>
    </row>
    <row r="2023" spans="1:18" hidden="1" x14ac:dyDescent="0.2">
      <c r="A2023">
        <v>5</v>
      </c>
      <c r="B2023" t="s">
        <v>18</v>
      </c>
      <c r="E2023" t="s">
        <v>51</v>
      </c>
      <c r="F2023">
        <v>2791971</v>
      </c>
      <c r="G2023">
        <v>3</v>
      </c>
      <c r="H2023">
        <v>2</v>
      </c>
      <c r="I2023">
        <v>163</v>
      </c>
      <c r="J2023">
        <v>2004</v>
      </c>
      <c r="K2023" s="4">
        <v>44856</v>
      </c>
      <c r="L2023" t="s">
        <v>20</v>
      </c>
      <c r="M2023" t="s">
        <v>76</v>
      </c>
      <c r="N2023">
        <v>1.6</v>
      </c>
      <c r="O2023">
        <v>1310</v>
      </c>
      <c r="P2023">
        <v>1.02</v>
      </c>
      <c r="Q2023">
        <v>210</v>
      </c>
      <c r="R2023">
        <v>322</v>
      </c>
    </row>
    <row r="2024" spans="1:18" hidden="1" x14ac:dyDescent="0.2">
      <c r="A2024">
        <v>5</v>
      </c>
      <c r="B2024" t="s">
        <v>50</v>
      </c>
      <c r="E2024" t="s">
        <v>36</v>
      </c>
      <c r="F2024">
        <v>442950</v>
      </c>
      <c r="G2024">
        <v>4</v>
      </c>
      <c r="H2024">
        <v>1</v>
      </c>
      <c r="I2024">
        <v>793</v>
      </c>
      <c r="J2024">
        <v>1959</v>
      </c>
      <c r="K2024" s="4">
        <v>45136</v>
      </c>
      <c r="L2024" t="s">
        <v>23</v>
      </c>
      <c r="M2024" t="s">
        <v>97</v>
      </c>
      <c r="N2024">
        <v>3.21</v>
      </c>
      <c r="O2024">
        <v>1680</v>
      </c>
      <c r="P2024">
        <v>2.19</v>
      </c>
      <c r="Q2024">
        <v>327</v>
      </c>
      <c r="R2024">
        <v>685</v>
      </c>
    </row>
    <row r="2025" spans="1:18" hidden="1" x14ac:dyDescent="0.2">
      <c r="A2025">
        <v>7</v>
      </c>
      <c r="B2025" t="s">
        <v>41</v>
      </c>
      <c r="E2025" t="s">
        <v>29</v>
      </c>
      <c r="F2025">
        <v>1696692</v>
      </c>
      <c r="G2025">
        <v>3</v>
      </c>
      <c r="H2025">
        <v>3</v>
      </c>
      <c r="I2025">
        <v>421</v>
      </c>
      <c r="J2025">
        <v>1987</v>
      </c>
      <c r="K2025" s="4">
        <v>45724</v>
      </c>
      <c r="L2025" t="s">
        <v>20</v>
      </c>
      <c r="M2025" t="s">
        <v>69</v>
      </c>
      <c r="N2025">
        <v>1.54</v>
      </c>
      <c r="O2025">
        <v>1478</v>
      </c>
      <c r="P2025">
        <v>1.35</v>
      </c>
      <c r="Q2025">
        <v>82</v>
      </c>
      <c r="R2025">
        <v>558</v>
      </c>
    </row>
    <row r="2026" spans="1:18" hidden="1" x14ac:dyDescent="0.2">
      <c r="A2026">
        <v>0</v>
      </c>
      <c r="B2026" t="s">
        <v>43</v>
      </c>
      <c r="E2026" t="s">
        <v>19</v>
      </c>
      <c r="F2026">
        <v>880643</v>
      </c>
      <c r="G2026">
        <v>4</v>
      </c>
      <c r="H2026">
        <v>1</v>
      </c>
      <c r="I2026">
        <v>722</v>
      </c>
      <c r="J2026">
        <v>1956</v>
      </c>
      <c r="K2026" s="4">
        <v>45163</v>
      </c>
      <c r="L2026" t="s">
        <v>23</v>
      </c>
      <c r="M2026" t="s">
        <v>21</v>
      </c>
      <c r="N2026">
        <v>3.19</v>
      </c>
      <c r="O2026">
        <v>1295</v>
      </c>
      <c r="P2026">
        <v>3.56</v>
      </c>
      <c r="Q2026">
        <v>283</v>
      </c>
      <c r="R2026">
        <v>604</v>
      </c>
    </row>
    <row r="2027" spans="1:18" hidden="1" x14ac:dyDescent="0.2">
      <c r="A2027">
        <v>4</v>
      </c>
      <c r="B2027" t="s">
        <v>86</v>
      </c>
      <c r="E2027" t="s">
        <v>29</v>
      </c>
      <c r="F2027">
        <v>2084457</v>
      </c>
      <c r="G2027">
        <v>1</v>
      </c>
      <c r="H2027">
        <v>1</v>
      </c>
      <c r="I2027">
        <v>497</v>
      </c>
      <c r="J2027">
        <v>1992</v>
      </c>
      <c r="K2027" s="4">
        <v>44315</v>
      </c>
      <c r="L2027" t="s">
        <v>26</v>
      </c>
      <c r="M2027" t="s">
        <v>42</v>
      </c>
      <c r="N2027">
        <v>3.45</v>
      </c>
      <c r="O2027">
        <v>1797</v>
      </c>
      <c r="P2027">
        <v>0.94</v>
      </c>
      <c r="Q2027">
        <v>82</v>
      </c>
      <c r="R2027">
        <v>453</v>
      </c>
    </row>
    <row r="2028" spans="1:18" hidden="1" x14ac:dyDescent="0.2">
      <c r="A2028">
        <v>5</v>
      </c>
      <c r="B2028" t="s">
        <v>104</v>
      </c>
      <c r="E2028" t="s">
        <v>36</v>
      </c>
      <c r="F2028">
        <v>2035000</v>
      </c>
      <c r="G2028">
        <v>5</v>
      </c>
      <c r="H2028">
        <v>2</v>
      </c>
      <c r="I2028">
        <v>109</v>
      </c>
      <c r="J2028">
        <v>1977</v>
      </c>
      <c r="K2028" s="4">
        <v>44751</v>
      </c>
      <c r="L2028" t="s">
        <v>30</v>
      </c>
      <c r="M2028" t="s">
        <v>52</v>
      </c>
      <c r="N2028">
        <v>1.95</v>
      </c>
      <c r="O2028">
        <v>1302</v>
      </c>
      <c r="P2028">
        <v>4.12</v>
      </c>
      <c r="Q2028">
        <v>317</v>
      </c>
      <c r="R2028">
        <v>346</v>
      </c>
    </row>
    <row r="2029" spans="1:18" hidden="1" x14ac:dyDescent="0.2">
      <c r="A2029">
        <v>2</v>
      </c>
      <c r="B2029" t="s">
        <v>22</v>
      </c>
      <c r="E2029" t="s">
        <v>51</v>
      </c>
      <c r="F2029">
        <v>961839</v>
      </c>
      <c r="G2029">
        <v>3</v>
      </c>
      <c r="H2029">
        <v>3</v>
      </c>
      <c r="I2029">
        <v>852</v>
      </c>
      <c r="J2029">
        <v>1986</v>
      </c>
      <c r="K2029" s="4">
        <v>45181</v>
      </c>
      <c r="L2029" t="s">
        <v>26</v>
      </c>
      <c r="M2029" t="s">
        <v>78</v>
      </c>
      <c r="N2029">
        <v>1.74</v>
      </c>
      <c r="O2029">
        <v>1759</v>
      </c>
      <c r="P2029">
        <v>0.67</v>
      </c>
      <c r="Q2029">
        <v>178</v>
      </c>
      <c r="R2029">
        <v>650</v>
      </c>
    </row>
    <row r="2030" spans="1:18" hidden="1" x14ac:dyDescent="0.2">
      <c r="A2030">
        <v>1</v>
      </c>
      <c r="B2030" t="s">
        <v>34</v>
      </c>
      <c r="E2030" t="s">
        <v>51</v>
      </c>
      <c r="F2030">
        <v>2300589</v>
      </c>
      <c r="G2030">
        <v>5</v>
      </c>
      <c r="H2030">
        <v>1</v>
      </c>
      <c r="I2030">
        <v>145</v>
      </c>
      <c r="J2030">
        <v>2001</v>
      </c>
      <c r="K2030" s="4">
        <v>45636</v>
      </c>
      <c r="L2030" t="s">
        <v>23</v>
      </c>
      <c r="M2030" t="s">
        <v>85</v>
      </c>
      <c r="N2030">
        <v>1.95</v>
      </c>
      <c r="O2030">
        <v>2437</v>
      </c>
      <c r="P2030">
        <v>2.2200000000000002</v>
      </c>
      <c r="Q2030">
        <v>397</v>
      </c>
      <c r="R2030">
        <v>563</v>
      </c>
    </row>
    <row r="2031" spans="1:18" hidden="1" x14ac:dyDescent="0.2">
      <c r="A2031">
        <v>5</v>
      </c>
      <c r="B2031" t="s">
        <v>83</v>
      </c>
      <c r="E2031" t="s">
        <v>19</v>
      </c>
      <c r="F2031">
        <v>2265448</v>
      </c>
      <c r="G2031">
        <v>2</v>
      </c>
      <c r="H2031">
        <v>2</v>
      </c>
      <c r="I2031">
        <v>891</v>
      </c>
      <c r="J2031">
        <v>1966</v>
      </c>
      <c r="K2031" s="4">
        <v>44135</v>
      </c>
      <c r="L2031" t="s">
        <v>20</v>
      </c>
      <c r="M2031" t="s">
        <v>60</v>
      </c>
      <c r="N2031">
        <v>2.0099999999999998</v>
      </c>
      <c r="O2031">
        <v>1408</v>
      </c>
      <c r="P2031">
        <v>1.36</v>
      </c>
      <c r="Q2031">
        <v>117</v>
      </c>
      <c r="R2031">
        <v>497</v>
      </c>
    </row>
    <row r="2032" spans="1:18" hidden="1" x14ac:dyDescent="0.2">
      <c r="A2032">
        <v>3</v>
      </c>
      <c r="B2032" t="s">
        <v>22</v>
      </c>
      <c r="E2032" t="s">
        <v>36</v>
      </c>
      <c r="F2032">
        <v>664473</v>
      </c>
      <c r="G2032">
        <v>3</v>
      </c>
      <c r="H2032">
        <v>3</v>
      </c>
      <c r="I2032">
        <v>112</v>
      </c>
      <c r="J2032">
        <v>1981</v>
      </c>
      <c r="K2032" s="4">
        <v>44118</v>
      </c>
      <c r="L2032" t="s">
        <v>26</v>
      </c>
      <c r="M2032" t="s">
        <v>76</v>
      </c>
      <c r="N2032">
        <v>3.48</v>
      </c>
      <c r="O2032">
        <v>2022</v>
      </c>
      <c r="P2032">
        <v>2.46</v>
      </c>
      <c r="Q2032">
        <v>234</v>
      </c>
      <c r="R2032">
        <v>429</v>
      </c>
    </row>
    <row r="2033" spans="1:18" hidden="1" x14ac:dyDescent="0.2">
      <c r="A2033">
        <v>7</v>
      </c>
      <c r="B2033" t="s">
        <v>53</v>
      </c>
      <c r="E2033" t="s">
        <v>19</v>
      </c>
      <c r="F2033">
        <v>1070984</v>
      </c>
      <c r="G2033">
        <v>2</v>
      </c>
      <c r="H2033">
        <v>3</v>
      </c>
      <c r="I2033">
        <v>829</v>
      </c>
      <c r="J2033">
        <v>2013</v>
      </c>
      <c r="K2033" s="4">
        <v>45195</v>
      </c>
      <c r="L2033" t="s">
        <v>30</v>
      </c>
      <c r="M2033" t="s">
        <v>42</v>
      </c>
      <c r="N2033">
        <v>2.13</v>
      </c>
      <c r="O2033">
        <v>1808</v>
      </c>
      <c r="P2033">
        <v>3.59</v>
      </c>
      <c r="Q2033">
        <v>173</v>
      </c>
      <c r="R2033">
        <v>585</v>
      </c>
    </row>
    <row r="2034" spans="1:18" hidden="1" x14ac:dyDescent="0.2">
      <c r="A2034">
        <v>2</v>
      </c>
      <c r="B2034" t="s">
        <v>38</v>
      </c>
      <c r="E2034" t="s">
        <v>36</v>
      </c>
      <c r="F2034">
        <v>1772108</v>
      </c>
      <c r="G2034">
        <v>3</v>
      </c>
      <c r="H2034">
        <v>3</v>
      </c>
      <c r="I2034">
        <v>941</v>
      </c>
      <c r="J2034">
        <v>2009</v>
      </c>
      <c r="K2034" s="4">
        <v>45347</v>
      </c>
      <c r="L2034" t="s">
        <v>23</v>
      </c>
      <c r="M2034" t="s">
        <v>37</v>
      </c>
      <c r="N2034">
        <v>3.28</v>
      </c>
      <c r="O2034">
        <v>2180</v>
      </c>
      <c r="P2034">
        <v>1.79</v>
      </c>
      <c r="Q2034">
        <v>138</v>
      </c>
      <c r="R2034">
        <v>508</v>
      </c>
    </row>
    <row r="2035" spans="1:18" hidden="1" x14ac:dyDescent="0.2">
      <c r="A2035">
        <v>0</v>
      </c>
      <c r="B2035" t="s">
        <v>53</v>
      </c>
      <c r="E2035" t="s">
        <v>51</v>
      </c>
      <c r="F2035">
        <v>1318580</v>
      </c>
      <c r="G2035">
        <v>3</v>
      </c>
      <c r="H2035">
        <v>2</v>
      </c>
      <c r="I2035">
        <v>534</v>
      </c>
      <c r="J2035">
        <v>1951</v>
      </c>
      <c r="K2035" s="4">
        <v>44299</v>
      </c>
      <c r="L2035" t="s">
        <v>30</v>
      </c>
      <c r="M2035" t="s">
        <v>21</v>
      </c>
      <c r="N2035">
        <v>2.64</v>
      </c>
      <c r="O2035">
        <v>2075</v>
      </c>
      <c r="P2035">
        <v>3.84</v>
      </c>
      <c r="Q2035">
        <v>169</v>
      </c>
      <c r="R2035">
        <v>307</v>
      </c>
    </row>
    <row r="2036" spans="1:18" hidden="1" x14ac:dyDescent="0.2">
      <c r="A2036">
        <v>9</v>
      </c>
      <c r="B2036" t="s">
        <v>94</v>
      </c>
      <c r="E2036" t="s">
        <v>19</v>
      </c>
      <c r="F2036">
        <v>2604571</v>
      </c>
      <c r="G2036">
        <v>1</v>
      </c>
      <c r="H2036">
        <v>3</v>
      </c>
      <c r="I2036">
        <v>167</v>
      </c>
      <c r="J2036">
        <v>2015</v>
      </c>
      <c r="K2036" s="4">
        <v>45638</v>
      </c>
      <c r="L2036" t="s">
        <v>20</v>
      </c>
      <c r="M2036" t="s">
        <v>76</v>
      </c>
      <c r="N2036">
        <v>3.3</v>
      </c>
      <c r="O2036">
        <v>1523</v>
      </c>
      <c r="P2036">
        <v>4.99</v>
      </c>
      <c r="Q2036">
        <v>73</v>
      </c>
      <c r="R2036">
        <v>396</v>
      </c>
    </row>
    <row r="2037" spans="1:18" hidden="1" x14ac:dyDescent="0.2">
      <c r="A2037">
        <v>5</v>
      </c>
      <c r="B2037" t="s">
        <v>39</v>
      </c>
      <c r="E2037" t="s">
        <v>36</v>
      </c>
      <c r="F2037">
        <v>882545</v>
      </c>
      <c r="G2037">
        <v>2</v>
      </c>
      <c r="H2037">
        <v>2</v>
      </c>
      <c r="I2037">
        <v>557</v>
      </c>
      <c r="J2037">
        <v>2013</v>
      </c>
      <c r="K2037" s="4">
        <v>45333</v>
      </c>
      <c r="L2037" t="s">
        <v>26</v>
      </c>
      <c r="M2037" t="s">
        <v>60</v>
      </c>
      <c r="N2037">
        <v>2.97</v>
      </c>
      <c r="O2037">
        <v>1204</v>
      </c>
      <c r="P2037">
        <v>0.35</v>
      </c>
      <c r="Q2037">
        <v>102</v>
      </c>
      <c r="R2037">
        <v>616</v>
      </c>
    </row>
    <row r="2038" spans="1:18" hidden="1" x14ac:dyDescent="0.2">
      <c r="A2038">
        <v>4</v>
      </c>
      <c r="B2038" t="s">
        <v>50</v>
      </c>
      <c r="E2038" t="s">
        <v>51</v>
      </c>
      <c r="F2038">
        <v>496756</v>
      </c>
      <c r="G2038">
        <v>3</v>
      </c>
      <c r="H2038">
        <v>1</v>
      </c>
      <c r="I2038">
        <v>399</v>
      </c>
      <c r="J2038">
        <v>2016</v>
      </c>
      <c r="K2038" s="4">
        <v>44436</v>
      </c>
      <c r="L2038" t="s">
        <v>23</v>
      </c>
      <c r="M2038" t="s">
        <v>37</v>
      </c>
      <c r="N2038">
        <v>1.64</v>
      </c>
      <c r="O2038">
        <v>1852</v>
      </c>
      <c r="P2038">
        <v>2.66</v>
      </c>
      <c r="Q2038">
        <v>93</v>
      </c>
      <c r="R2038">
        <v>321</v>
      </c>
    </row>
    <row r="2039" spans="1:18" hidden="1" x14ac:dyDescent="0.2">
      <c r="A2039">
        <v>0</v>
      </c>
      <c r="B2039" t="s">
        <v>64</v>
      </c>
      <c r="E2039" t="s">
        <v>36</v>
      </c>
      <c r="F2039">
        <v>2359666</v>
      </c>
      <c r="G2039">
        <v>3</v>
      </c>
      <c r="H2039">
        <v>2</v>
      </c>
      <c r="I2039">
        <v>148</v>
      </c>
      <c r="J2039">
        <v>2005</v>
      </c>
      <c r="K2039" s="4">
        <v>44412</v>
      </c>
      <c r="L2039" t="s">
        <v>30</v>
      </c>
      <c r="M2039" t="s">
        <v>85</v>
      </c>
      <c r="N2039">
        <v>2.11</v>
      </c>
      <c r="O2039">
        <v>2309</v>
      </c>
      <c r="P2039">
        <v>1.22</v>
      </c>
      <c r="Q2039">
        <v>188</v>
      </c>
      <c r="R2039">
        <v>637</v>
      </c>
    </row>
    <row r="2040" spans="1:18" hidden="1" x14ac:dyDescent="0.2">
      <c r="A2040">
        <v>6</v>
      </c>
      <c r="B2040" t="s">
        <v>100</v>
      </c>
      <c r="E2040" t="s">
        <v>36</v>
      </c>
      <c r="F2040">
        <v>1280743</v>
      </c>
      <c r="G2040">
        <v>6</v>
      </c>
      <c r="H2040">
        <v>1</v>
      </c>
      <c r="I2040">
        <v>994</v>
      </c>
      <c r="J2040">
        <v>1981</v>
      </c>
      <c r="K2040" s="4">
        <v>45480</v>
      </c>
      <c r="L2040" t="s">
        <v>23</v>
      </c>
      <c r="M2040" t="s">
        <v>47</v>
      </c>
      <c r="N2040">
        <v>2.5299999999999998</v>
      </c>
      <c r="O2040">
        <v>1443</v>
      </c>
      <c r="P2040">
        <v>2.0499999999999998</v>
      </c>
      <c r="Q2040">
        <v>345</v>
      </c>
      <c r="R2040">
        <v>488</v>
      </c>
    </row>
    <row r="2041" spans="1:18" hidden="1" x14ac:dyDescent="0.2">
      <c r="A2041">
        <v>0</v>
      </c>
      <c r="B2041" t="s">
        <v>100</v>
      </c>
      <c r="E2041" t="s">
        <v>51</v>
      </c>
      <c r="F2041">
        <v>854517</v>
      </c>
      <c r="G2041">
        <v>5</v>
      </c>
      <c r="H2041">
        <v>1</v>
      </c>
      <c r="I2041">
        <v>653</v>
      </c>
      <c r="J2041">
        <v>1953</v>
      </c>
      <c r="K2041" s="4">
        <v>44121</v>
      </c>
      <c r="L2041" t="s">
        <v>20</v>
      </c>
      <c r="M2041" t="s">
        <v>60</v>
      </c>
      <c r="N2041">
        <v>1.5</v>
      </c>
      <c r="O2041">
        <v>1346</v>
      </c>
      <c r="P2041">
        <v>2.93</v>
      </c>
      <c r="Q2041">
        <v>334</v>
      </c>
      <c r="R2041">
        <v>503</v>
      </c>
    </row>
    <row r="2042" spans="1:18" hidden="1" x14ac:dyDescent="0.2">
      <c r="A2042">
        <v>2</v>
      </c>
      <c r="B2042" t="s">
        <v>55</v>
      </c>
      <c r="E2042" t="s">
        <v>51</v>
      </c>
      <c r="F2042">
        <v>544229</v>
      </c>
      <c r="G2042">
        <v>3</v>
      </c>
      <c r="H2042">
        <v>2</v>
      </c>
      <c r="I2042">
        <v>154</v>
      </c>
      <c r="J2042">
        <v>2009</v>
      </c>
      <c r="K2042" s="4">
        <v>44623</v>
      </c>
      <c r="L2042" t="s">
        <v>26</v>
      </c>
      <c r="M2042" t="s">
        <v>21</v>
      </c>
      <c r="N2042">
        <v>2.2200000000000002</v>
      </c>
      <c r="O2042">
        <v>2027</v>
      </c>
      <c r="P2042">
        <v>0.63</v>
      </c>
      <c r="Q2042">
        <v>172</v>
      </c>
      <c r="R2042">
        <v>558</v>
      </c>
    </row>
    <row r="2043" spans="1:18" hidden="1" x14ac:dyDescent="0.2">
      <c r="A2043">
        <v>1</v>
      </c>
      <c r="B2043" t="s">
        <v>43</v>
      </c>
      <c r="E2043" t="s">
        <v>19</v>
      </c>
      <c r="F2043">
        <v>1879523</v>
      </c>
      <c r="G2043">
        <v>2</v>
      </c>
      <c r="H2043">
        <v>3</v>
      </c>
      <c r="I2043">
        <v>526</v>
      </c>
      <c r="J2043">
        <v>1970</v>
      </c>
      <c r="K2043" s="4">
        <v>45597</v>
      </c>
      <c r="L2043" t="s">
        <v>30</v>
      </c>
      <c r="M2043" t="s">
        <v>47</v>
      </c>
      <c r="N2043">
        <v>2.5499999999999998</v>
      </c>
      <c r="O2043">
        <v>2089</v>
      </c>
      <c r="P2043">
        <v>0.32</v>
      </c>
      <c r="Q2043">
        <v>59</v>
      </c>
      <c r="R2043">
        <v>659</v>
      </c>
    </row>
    <row r="2044" spans="1:18" hidden="1" x14ac:dyDescent="0.2">
      <c r="A2044">
        <v>5</v>
      </c>
      <c r="B2044" t="s">
        <v>84</v>
      </c>
      <c r="E2044" t="s">
        <v>51</v>
      </c>
      <c r="F2044">
        <v>1045826</v>
      </c>
      <c r="G2044">
        <v>2</v>
      </c>
      <c r="H2044">
        <v>1</v>
      </c>
      <c r="I2044">
        <v>978</v>
      </c>
      <c r="J2044">
        <v>1996</v>
      </c>
      <c r="K2044" s="4">
        <v>44400</v>
      </c>
      <c r="L2044" t="s">
        <v>20</v>
      </c>
      <c r="M2044" t="s">
        <v>27</v>
      </c>
      <c r="N2044">
        <v>2.5499999999999998</v>
      </c>
      <c r="O2044">
        <v>801</v>
      </c>
      <c r="P2044">
        <v>4.1399999999999997</v>
      </c>
      <c r="Q2044">
        <v>54</v>
      </c>
      <c r="R2044">
        <v>536</v>
      </c>
    </row>
    <row r="2045" spans="1:18" hidden="1" x14ac:dyDescent="0.2">
      <c r="A2045">
        <v>0</v>
      </c>
      <c r="B2045" t="s">
        <v>64</v>
      </c>
      <c r="E2045" t="s">
        <v>29</v>
      </c>
      <c r="F2045">
        <v>1524086</v>
      </c>
      <c r="G2045">
        <v>4</v>
      </c>
      <c r="H2045">
        <v>1</v>
      </c>
      <c r="I2045">
        <v>89</v>
      </c>
      <c r="J2045">
        <v>2007</v>
      </c>
      <c r="K2045" s="4">
        <v>45655</v>
      </c>
      <c r="L2045" t="s">
        <v>20</v>
      </c>
      <c r="M2045" t="s">
        <v>31</v>
      </c>
      <c r="N2045">
        <v>3.39</v>
      </c>
      <c r="O2045">
        <v>1003</v>
      </c>
      <c r="P2045">
        <v>3.68</v>
      </c>
      <c r="Q2045">
        <v>376</v>
      </c>
      <c r="R2045">
        <v>370</v>
      </c>
    </row>
    <row r="2046" spans="1:18" hidden="1" x14ac:dyDescent="0.2">
      <c r="A2046">
        <v>9</v>
      </c>
      <c r="B2046" t="s">
        <v>81</v>
      </c>
      <c r="E2046" t="s">
        <v>36</v>
      </c>
      <c r="F2046">
        <v>924593</v>
      </c>
      <c r="G2046">
        <v>3</v>
      </c>
      <c r="H2046">
        <v>2</v>
      </c>
      <c r="I2046">
        <v>678</v>
      </c>
      <c r="J2046">
        <v>2001</v>
      </c>
      <c r="K2046" s="4">
        <v>45420</v>
      </c>
      <c r="L2046" t="s">
        <v>20</v>
      </c>
      <c r="M2046" t="s">
        <v>74</v>
      </c>
      <c r="N2046">
        <v>2.42</v>
      </c>
      <c r="O2046">
        <v>1901</v>
      </c>
      <c r="P2046">
        <v>1.88</v>
      </c>
      <c r="Q2046">
        <v>254</v>
      </c>
      <c r="R2046">
        <v>307</v>
      </c>
    </row>
    <row r="2047" spans="1:18" hidden="1" x14ac:dyDescent="0.2">
      <c r="A2047">
        <v>3</v>
      </c>
      <c r="B2047" t="s">
        <v>96</v>
      </c>
      <c r="E2047" t="s">
        <v>36</v>
      </c>
      <c r="F2047">
        <v>2276325</v>
      </c>
      <c r="G2047">
        <v>2</v>
      </c>
      <c r="H2047">
        <v>1</v>
      </c>
      <c r="I2047">
        <v>523</v>
      </c>
      <c r="J2047">
        <v>1999</v>
      </c>
      <c r="K2047" s="4">
        <v>45213</v>
      </c>
      <c r="L2047" t="s">
        <v>23</v>
      </c>
      <c r="M2047" t="s">
        <v>74</v>
      </c>
      <c r="N2047">
        <v>2.2000000000000002</v>
      </c>
      <c r="O2047">
        <v>2016</v>
      </c>
      <c r="P2047">
        <v>4.5</v>
      </c>
      <c r="Q2047">
        <v>161</v>
      </c>
      <c r="R2047">
        <v>396</v>
      </c>
    </row>
    <row r="2048" spans="1:18" hidden="1" x14ac:dyDescent="0.2">
      <c r="A2048">
        <v>0</v>
      </c>
      <c r="B2048" t="s">
        <v>64</v>
      </c>
      <c r="E2048" t="s">
        <v>51</v>
      </c>
      <c r="F2048">
        <v>1540852</v>
      </c>
      <c r="G2048">
        <v>4</v>
      </c>
      <c r="H2048">
        <v>2</v>
      </c>
      <c r="I2048">
        <v>874</v>
      </c>
      <c r="J2048">
        <v>1993</v>
      </c>
      <c r="K2048" s="4">
        <v>45234</v>
      </c>
      <c r="L2048" t="s">
        <v>26</v>
      </c>
      <c r="M2048" t="s">
        <v>69</v>
      </c>
      <c r="N2048">
        <v>2.16</v>
      </c>
      <c r="O2048">
        <v>1404</v>
      </c>
      <c r="P2048">
        <v>0.84</v>
      </c>
      <c r="Q2048">
        <v>239</v>
      </c>
      <c r="R2048">
        <v>582</v>
      </c>
    </row>
    <row r="2049" spans="1:18" x14ac:dyDescent="0.2">
      <c r="A2049">
        <v>8</v>
      </c>
      <c r="B2049" t="s">
        <v>53</v>
      </c>
      <c r="C2049" t="str">
        <f>VLOOKUP(B2049, 'Council Area'!$A$2:$B$51, 2)</f>
        <v>Randwick City Council</v>
      </c>
      <c r="D2049" t="str">
        <f>_xlfn.XLOOKUP(B2049, 'Council Area'!$A$2:$A$51, 'Council Area'!$B$2:$B$51)</f>
        <v>Randwick City Council</v>
      </c>
      <c r="E2049" t="s">
        <v>29</v>
      </c>
      <c r="F2049">
        <v>2749464</v>
      </c>
      <c r="G2049">
        <v>2</v>
      </c>
      <c r="H2049">
        <v>2</v>
      </c>
      <c r="I2049">
        <v>175</v>
      </c>
      <c r="J2049">
        <v>2002</v>
      </c>
      <c r="K2049" s="4">
        <v>45747</v>
      </c>
      <c r="L2049" t="s">
        <v>30</v>
      </c>
      <c r="M2049" t="s">
        <v>21</v>
      </c>
      <c r="N2049">
        <v>2.0499999999999998</v>
      </c>
      <c r="O2049">
        <v>1342</v>
      </c>
      <c r="P2049">
        <v>3.84</v>
      </c>
      <c r="Q2049">
        <v>159</v>
      </c>
      <c r="R2049">
        <v>519</v>
      </c>
    </row>
    <row r="2050" spans="1:18" hidden="1" x14ac:dyDescent="0.2">
      <c r="A2050">
        <v>3</v>
      </c>
      <c r="B2050" t="s">
        <v>67</v>
      </c>
      <c r="E2050" t="s">
        <v>29</v>
      </c>
      <c r="F2050">
        <v>2455098</v>
      </c>
      <c r="G2050">
        <v>5</v>
      </c>
      <c r="H2050">
        <v>2</v>
      </c>
      <c r="I2050">
        <v>462</v>
      </c>
      <c r="J2050">
        <v>2019</v>
      </c>
      <c r="K2050" s="4">
        <v>45647</v>
      </c>
      <c r="L2050" t="s">
        <v>30</v>
      </c>
      <c r="M2050" t="s">
        <v>69</v>
      </c>
      <c r="N2050">
        <v>1.5</v>
      </c>
      <c r="O2050">
        <v>1960</v>
      </c>
      <c r="P2050">
        <v>0.23</v>
      </c>
      <c r="Q2050">
        <v>264</v>
      </c>
      <c r="R2050">
        <v>505</v>
      </c>
    </row>
    <row r="2051" spans="1:18" x14ac:dyDescent="0.2">
      <c r="A2051">
        <v>8</v>
      </c>
      <c r="B2051" t="s">
        <v>22</v>
      </c>
      <c r="C2051" t="str">
        <f>VLOOKUP(B2051, 'Council Area'!$A$2:$B$51, 2)</f>
        <v>Sutherland Shire Council</v>
      </c>
      <c r="D2051" t="str">
        <f>_xlfn.XLOOKUP(B2051, 'Council Area'!$A$2:$A$51, 'Council Area'!$B$2:$B$51)</f>
        <v>Sutherland Shire Council</v>
      </c>
      <c r="E2051" t="s">
        <v>19</v>
      </c>
      <c r="F2051">
        <v>1974320</v>
      </c>
      <c r="G2051">
        <v>3</v>
      </c>
      <c r="H2051">
        <v>1</v>
      </c>
      <c r="I2051">
        <v>853</v>
      </c>
      <c r="J2051">
        <v>1999</v>
      </c>
      <c r="K2051" s="4">
        <v>44092</v>
      </c>
      <c r="L2051" t="s">
        <v>23</v>
      </c>
      <c r="M2051" t="s">
        <v>47</v>
      </c>
      <c r="N2051">
        <v>1.7</v>
      </c>
      <c r="O2051">
        <v>1519</v>
      </c>
      <c r="P2051">
        <v>3.42</v>
      </c>
      <c r="Q2051">
        <v>132</v>
      </c>
      <c r="R2051">
        <v>627</v>
      </c>
    </row>
    <row r="2052" spans="1:18" hidden="1" x14ac:dyDescent="0.2">
      <c r="A2052">
        <v>2</v>
      </c>
      <c r="B2052" t="s">
        <v>46</v>
      </c>
      <c r="E2052" t="s">
        <v>51</v>
      </c>
      <c r="F2052">
        <v>664568</v>
      </c>
      <c r="G2052">
        <v>4</v>
      </c>
      <c r="H2052">
        <v>1</v>
      </c>
      <c r="I2052">
        <v>93</v>
      </c>
      <c r="J2052">
        <v>1983</v>
      </c>
      <c r="K2052" s="4">
        <v>45840</v>
      </c>
      <c r="L2052" t="s">
        <v>30</v>
      </c>
      <c r="M2052" t="s">
        <v>52</v>
      </c>
      <c r="N2052">
        <v>2.72</v>
      </c>
      <c r="O2052">
        <v>2377</v>
      </c>
      <c r="P2052">
        <v>1.1000000000000001</v>
      </c>
      <c r="Q2052">
        <v>162</v>
      </c>
      <c r="R2052">
        <v>411</v>
      </c>
    </row>
    <row r="2053" spans="1:18" hidden="1" x14ac:dyDescent="0.2">
      <c r="A2053">
        <v>7</v>
      </c>
      <c r="B2053" t="s">
        <v>48</v>
      </c>
      <c r="E2053" t="s">
        <v>19</v>
      </c>
      <c r="F2053">
        <v>510744</v>
      </c>
      <c r="G2053">
        <v>3</v>
      </c>
      <c r="H2053">
        <v>3</v>
      </c>
      <c r="I2053">
        <v>143</v>
      </c>
      <c r="J2053">
        <v>2016</v>
      </c>
      <c r="K2053" s="4">
        <v>45574</v>
      </c>
      <c r="L2053" t="s">
        <v>20</v>
      </c>
      <c r="M2053" t="s">
        <v>47</v>
      </c>
      <c r="N2053">
        <v>2.76</v>
      </c>
      <c r="O2053">
        <v>1434</v>
      </c>
      <c r="P2053">
        <v>4.59</v>
      </c>
      <c r="Q2053">
        <v>138</v>
      </c>
      <c r="R2053">
        <v>661</v>
      </c>
    </row>
    <row r="2054" spans="1:18" hidden="1" x14ac:dyDescent="0.2">
      <c r="A2054">
        <v>6</v>
      </c>
      <c r="B2054" t="s">
        <v>41</v>
      </c>
      <c r="E2054" t="s">
        <v>103</v>
      </c>
      <c r="F2054">
        <v>1528685</v>
      </c>
      <c r="G2054">
        <v>2</v>
      </c>
      <c r="H2054">
        <v>3</v>
      </c>
      <c r="I2054">
        <v>428</v>
      </c>
      <c r="J2054">
        <v>1953</v>
      </c>
      <c r="K2054" s="4">
        <v>45885</v>
      </c>
      <c r="L2054" t="s">
        <v>30</v>
      </c>
      <c r="M2054" t="s">
        <v>24</v>
      </c>
      <c r="N2054">
        <v>2.88</v>
      </c>
      <c r="O2054">
        <v>1163</v>
      </c>
      <c r="P2054">
        <v>3.39</v>
      </c>
      <c r="Q2054">
        <v>137</v>
      </c>
      <c r="R2054">
        <v>659</v>
      </c>
    </row>
    <row r="2055" spans="1:18" x14ac:dyDescent="0.2">
      <c r="A2055">
        <v>8</v>
      </c>
      <c r="B2055" t="s">
        <v>93</v>
      </c>
      <c r="C2055" t="str">
        <f>VLOOKUP(B2055, 'Council Area'!$A$2:$B$51, 2)</f>
        <v>Blacktown City Council</v>
      </c>
      <c r="D2055" t="str">
        <f>_xlfn.XLOOKUP(B2055, 'Council Area'!$A$2:$A$51, 'Council Area'!$B$2:$B$51)</f>
        <v>Blacktown City Council</v>
      </c>
      <c r="E2055" t="s">
        <v>19</v>
      </c>
      <c r="F2055">
        <v>857448</v>
      </c>
      <c r="G2055">
        <v>3</v>
      </c>
      <c r="H2055">
        <v>1</v>
      </c>
      <c r="I2055">
        <v>414</v>
      </c>
      <c r="J2055">
        <v>2005</v>
      </c>
      <c r="K2055" s="4">
        <v>45854</v>
      </c>
      <c r="L2055" t="s">
        <v>30</v>
      </c>
      <c r="M2055" t="s">
        <v>52</v>
      </c>
      <c r="N2055">
        <v>2.21</v>
      </c>
      <c r="O2055">
        <v>1400</v>
      </c>
      <c r="P2055">
        <v>4.93</v>
      </c>
      <c r="Q2055">
        <v>104</v>
      </c>
      <c r="R2055">
        <v>417</v>
      </c>
    </row>
    <row r="2056" spans="1:18" hidden="1" x14ac:dyDescent="0.2">
      <c r="A2056">
        <v>0</v>
      </c>
      <c r="B2056" t="s">
        <v>50</v>
      </c>
      <c r="E2056" t="s">
        <v>29</v>
      </c>
      <c r="F2056">
        <v>1409140</v>
      </c>
      <c r="G2056">
        <v>1</v>
      </c>
      <c r="H2056">
        <v>3</v>
      </c>
      <c r="I2056">
        <v>189</v>
      </c>
      <c r="J2056">
        <v>2013</v>
      </c>
      <c r="K2056" s="4">
        <v>44340</v>
      </c>
      <c r="L2056" t="s">
        <v>30</v>
      </c>
      <c r="M2056" t="s">
        <v>24</v>
      </c>
      <c r="N2056">
        <v>2.88</v>
      </c>
      <c r="O2056">
        <v>1079</v>
      </c>
      <c r="P2056">
        <v>2.2599999999999998</v>
      </c>
      <c r="Q2056">
        <v>61</v>
      </c>
      <c r="R2056">
        <v>398</v>
      </c>
    </row>
    <row r="2057" spans="1:18" hidden="1" x14ac:dyDescent="0.2">
      <c r="A2057">
        <v>3</v>
      </c>
      <c r="B2057" t="s">
        <v>79</v>
      </c>
      <c r="E2057" t="s">
        <v>29</v>
      </c>
      <c r="F2057">
        <v>432003</v>
      </c>
      <c r="G2057">
        <v>1</v>
      </c>
      <c r="H2057">
        <v>3</v>
      </c>
      <c r="I2057">
        <v>238</v>
      </c>
      <c r="J2057">
        <v>2021</v>
      </c>
      <c r="K2057" s="4">
        <v>44400</v>
      </c>
      <c r="L2057" t="s">
        <v>30</v>
      </c>
      <c r="M2057" t="s">
        <v>40</v>
      </c>
      <c r="N2057">
        <v>2.2799999999999998</v>
      </c>
      <c r="O2057">
        <v>2420</v>
      </c>
      <c r="P2057">
        <v>3.4</v>
      </c>
      <c r="Q2057">
        <v>112</v>
      </c>
      <c r="R2057">
        <v>562</v>
      </c>
    </row>
    <row r="2058" spans="1:18" hidden="1" x14ac:dyDescent="0.2">
      <c r="A2058">
        <v>9</v>
      </c>
      <c r="B2058" t="s">
        <v>67</v>
      </c>
      <c r="E2058" t="s">
        <v>19</v>
      </c>
      <c r="F2058">
        <v>1467708</v>
      </c>
      <c r="G2058">
        <v>1</v>
      </c>
      <c r="H2058">
        <v>1</v>
      </c>
      <c r="I2058">
        <v>312</v>
      </c>
      <c r="J2058">
        <v>1958</v>
      </c>
      <c r="K2058" s="4">
        <v>45595</v>
      </c>
      <c r="L2058" t="s">
        <v>20</v>
      </c>
      <c r="M2058" t="s">
        <v>70</v>
      </c>
      <c r="N2058">
        <v>1.59</v>
      </c>
      <c r="O2058">
        <v>1566</v>
      </c>
      <c r="P2058">
        <v>3.91</v>
      </c>
      <c r="Q2058">
        <v>100</v>
      </c>
      <c r="R2058">
        <v>328</v>
      </c>
    </row>
    <row r="2059" spans="1:18" hidden="1" x14ac:dyDescent="0.2">
      <c r="A2059">
        <v>3</v>
      </c>
      <c r="B2059" t="s">
        <v>72</v>
      </c>
      <c r="E2059" t="s">
        <v>29</v>
      </c>
      <c r="F2059">
        <v>1760072</v>
      </c>
      <c r="G2059">
        <v>1</v>
      </c>
      <c r="H2059">
        <v>2</v>
      </c>
      <c r="I2059">
        <v>401</v>
      </c>
      <c r="J2059">
        <v>2012</v>
      </c>
      <c r="K2059" s="4">
        <v>45091</v>
      </c>
      <c r="L2059" t="s">
        <v>23</v>
      </c>
      <c r="M2059" t="s">
        <v>68</v>
      </c>
      <c r="N2059">
        <v>2.25</v>
      </c>
      <c r="O2059">
        <v>1025</v>
      </c>
      <c r="P2059">
        <v>3.62</v>
      </c>
      <c r="Q2059">
        <v>138</v>
      </c>
      <c r="R2059">
        <v>335</v>
      </c>
    </row>
    <row r="2060" spans="1:18" x14ac:dyDescent="0.2">
      <c r="A2060">
        <v>8</v>
      </c>
      <c r="B2060" t="s">
        <v>87</v>
      </c>
      <c r="C2060" t="str">
        <f>VLOOKUP(B2060, 'Council Area'!$A$2:$B$51, 2)</f>
        <v>Randwick City Council</v>
      </c>
      <c r="D2060" t="str">
        <f>_xlfn.XLOOKUP(B2060, 'Council Area'!$A$2:$A$51, 'Council Area'!$B$2:$B$51)</f>
        <v>Randwick City Council</v>
      </c>
      <c r="E2060" t="s">
        <v>29</v>
      </c>
      <c r="F2060">
        <v>983398</v>
      </c>
      <c r="G2060">
        <v>1</v>
      </c>
      <c r="H2060">
        <v>1</v>
      </c>
      <c r="I2060">
        <v>845</v>
      </c>
      <c r="J2060">
        <v>2004</v>
      </c>
      <c r="K2060" s="4">
        <v>45756</v>
      </c>
      <c r="L2060" t="s">
        <v>23</v>
      </c>
      <c r="M2060" t="s">
        <v>54</v>
      </c>
      <c r="N2060">
        <v>2.81</v>
      </c>
      <c r="O2060">
        <v>1668</v>
      </c>
      <c r="P2060">
        <v>3.82</v>
      </c>
      <c r="Q2060">
        <v>149</v>
      </c>
      <c r="R2060">
        <v>563</v>
      </c>
    </row>
    <row r="2061" spans="1:18" hidden="1" x14ac:dyDescent="0.2">
      <c r="A2061">
        <v>9</v>
      </c>
      <c r="B2061" t="s">
        <v>80</v>
      </c>
      <c r="E2061" t="s">
        <v>51</v>
      </c>
      <c r="F2061">
        <v>1108356</v>
      </c>
      <c r="G2061">
        <v>2</v>
      </c>
      <c r="H2061">
        <v>2</v>
      </c>
      <c r="I2061">
        <v>407</v>
      </c>
      <c r="J2061">
        <v>2022</v>
      </c>
      <c r="K2061" s="4">
        <v>44962</v>
      </c>
      <c r="L2061" t="s">
        <v>20</v>
      </c>
      <c r="M2061" t="s">
        <v>74</v>
      </c>
      <c r="N2061">
        <v>2.76</v>
      </c>
      <c r="O2061">
        <v>2173</v>
      </c>
      <c r="P2061">
        <v>2.2400000000000002</v>
      </c>
      <c r="Q2061">
        <v>222</v>
      </c>
      <c r="R2061">
        <v>339</v>
      </c>
    </row>
    <row r="2062" spans="1:18" hidden="1" x14ac:dyDescent="0.2">
      <c r="A2062">
        <v>9</v>
      </c>
      <c r="B2062" t="s">
        <v>94</v>
      </c>
      <c r="E2062" t="s">
        <v>19</v>
      </c>
      <c r="F2062">
        <v>1321144</v>
      </c>
      <c r="G2062">
        <v>2</v>
      </c>
      <c r="H2062">
        <v>3</v>
      </c>
      <c r="I2062">
        <v>172</v>
      </c>
      <c r="J2062">
        <v>2020</v>
      </c>
      <c r="K2062" s="4">
        <v>44472</v>
      </c>
      <c r="L2062" t="s">
        <v>30</v>
      </c>
      <c r="M2062" t="s">
        <v>45</v>
      </c>
      <c r="N2062">
        <v>2.4500000000000002</v>
      </c>
      <c r="O2062">
        <v>1214</v>
      </c>
      <c r="P2062">
        <v>3.07</v>
      </c>
      <c r="Q2062">
        <v>142</v>
      </c>
      <c r="R2062">
        <v>653</v>
      </c>
    </row>
    <row r="2063" spans="1:18" hidden="1" x14ac:dyDescent="0.2">
      <c r="A2063">
        <v>4</v>
      </c>
      <c r="B2063" t="s">
        <v>44</v>
      </c>
      <c r="E2063" t="s">
        <v>29</v>
      </c>
      <c r="F2063">
        <v>491953</v>
      </c>
      <c r="G2063">
        <v>5</v>
      </c>
      <c r="H2063">
        <v>2</v>
      </c>
      <c r="I2063">
        <v>464</v>
      </c>
      <c r="J2063">
        <v>2009</v>
      </c>
      <c r="K2063" s="4">
        <v>44730</v>
      </c>
      <c r="L2063" t="s">
        <v>26</v>
      </c>
      <c r="M2063" t="s">
        <v>77</v>
      </c>
      <c r="N2063">
        <v>3.3</v>
      </c>
      <c r="O2063">
        <v>1299</v>
      </c>
      <c r="P2063">
        <v>1.67</v>
      </c>
      <c r="Q2063">
        <v>383</v>
      </c>
      <c r="R2063">
        <v>654</v>
      </c>
    </row>
    <row r="2064" spans="1:18" hidden="1" x14ac:dyDescent="0.2">
      <c r="A2064">
        <v>2</v>
      </c>
      <c r="B2064" t="s">
        <v>92</v>
      </c>
      <c r="E2064" t="s">
        <v>29</v>
      </c>
      <c r="F2064">
        <v>2287392</v>
      </c>
      <c r="G2064">
        <v>3</v>
      </c>
      <c r="H2064">
        <v>3</v>
      </c>
      <c r="I2064">
        <v>177</v>
      </c>
      <c r="J2064">
        <v>2013</v>
      </c>
      <c r="K2064" s="4">
        <v>45376</v>
      </c>
      <c r="L2064" t="s">
        <v>20</v>
      </c>
      <c r="M2064" t="s">
        <v>58</v>
      </c>
      <c r="N2064">
        <v>2.79</v>
      </c>
      <c r="O2064">
        <v>1815</v>
      </c>
      <c r="P2064">
        <v>2.71</v>
      </c>
      <c r="Q2064">
        <v>199</v>
      </c>
      <c r="R2064">
        <v>427</v>
      </c>
    </row>
    <row r="2065" spans="1:18" x14ac:dyDescent="0.2">
      <c r="A2065">
        <v>8</v>
      </c>
      <c r="B2065" t="s">
        <v>28</v>
      </c>
      <c r="C2065" t="str">
        <f>VLOOKUP(B2065, 'Council Area'!$A$2:$B$51, 2)</f>
        <v>City of Sydney</v>
      </c>
      <c r="D2065" t="str">
        <f>_xlfn.XLOOKUP(B2065, 'Council Area'!$A$2:$A$51, 'Council Area'!$B$2:$B$51)</f>
        <v>City of Sydney</v>
      </c>
      <c r="E2065" t="s">
        <v>36</v>
      </c>
      <c r="F2065">
        <v>2145433</v>
      </c>
      <c r="G2065">
        <v>4</v>
      </c>
      <c r="H2065">
        <v>3</v>
      </c>
      <c r="I2065">
        <v>737</v>
      </c>
      <c r="J2065">
        <v>1964</v>
      </c>
      <c r="K2065" s="4">
        <v>45716</v>
      </c>
      <c r="L2065" t="s">
        <v>20</v>
      </c>
      <c r="M2065" t="s">
        <v>45</v>
      </c>
      <c r="N2065">
        <v>3.05</v>
      </c>
      <c r="O2065">
        <v>2143</v>
      </c>
      <c r="P2065">
        <v>4.0199999999999996</v>
      </c>
      <c r="Q2065">
        <v>245</v>
      </c>
      <c r="R2065">
        <v>402</v>
      </c>
    </row>
    <row r="2066" spans="1:18" hidden="1" x14ac:dyDescent="0.2">
      <c r="A2066">
        <v>5</v>
      </c>
      <c r="B2066" t="s">
        <v>44</v>
      </c>
      <c r="E2066" t="s">
        <v>36</v>
      </c>
      <c r="F2066">
        <v>1205890</v>
      </c>
      <c r="G2066">
        <v>3</v>
      </c>
      <c r="H2066">
        <v>3</v>
      </c>
      <c r="I2066">
        <v>461</v>
      </c>
      <c r="J2066">
        <v>1991</v>
      </c>
      <c r="K2066" s="4">
        <v>44912</v>
      </c>
      <c r="L2066" t="s">
        <v>26</v>
      </c>
      <c r="M2066" t="s">
        <v>66</v>
      </c>
      <c r="N2066">
        <v>3.35</v>
      </c>
      <c r="O2066">
        <v>2420</v>
      </c>
      <c r="P2066">
        <v>3.25</v>
      </c>
      <c r="Q2066">
        <v>310</v>
      </c>
      <c r="R2066">
        <v>476</v>
      </c>
    </row>
    <row r="2067" spans="1:18" hidden="1" x14ac:dyDescent="0.2">
      <c r="A2067">
        <v>9</v>
      </c>
      <c r="B2067" t="s">
        <v>48</v>
      </c>
      <c r="E2067" t="s">
        <v>36</v>
      </c>
      <c r="F2067">
        <v>1036456</v>
      </c>
      <c r="G2067">
        <v>3</v>
      </c>
      <c r="H2067">
        <v>3</v>
      </c>
      <c r="I2067">
        <v>673</v>
      </c>
      <c r="J2067">
        <v>2002</v>
      </c>
      <c r="K2067" s="4">
        <v>45580</v>
      </c>
      <c r="L2067" t="s">
        <v>26</v>
      </c>
      <c r="M2067" t="s">
        <v>78</v>
      </c>
      <c r="N2067">
        <v>1.85</v>
      </c>
      <c r="O2067">
        <v>1903</v>
      </c>
      <c r="P2067">
        <v>3.94</v>
      </c>
      <c r="Q2067">
        <v>172</v>
      </c>
      <c r="R2067">
        <v>469</v>
      </c>
    </row>
    <row r="2068" spans="1:18" hidden="1" x14ac:dyDescent="0.2">
      <c r="A2068">
        <v>5</v>
      </c>
      <c r="B2068" t="s">
        <v>72</v>
      </c>
      <c r="E2068" t="s">
        <v>36</v>
      </c>
      <c r="F2068">
        <v>527683</v>
      </c>
      <c r="G2068">
        <v>3</v>
      </c>
      <c r="H2068">
        <v>2</v>
      </c>
      <c r="I2068">
        <v>389</v>
      </c>
      <c r="J2068">
        <v>2012</v>
      </c>
      <c r="K2068" s="4">
        <v>45616</v>
      </c>
      <c r="L2068" t="s">
        <v>23</v>
      </c>
      <c r="M2068" t="s">
        <v>70</v>
      </c>
      <c r="N2068">
        <v>1.6</v>
      </c>
      <c r="O2068">
        <v>1431</v>
      </c>
      <c r="P2068">
        <v>4.5</v>
      </c>
      <c r="Q2068">
        <v>277</v>
      </c>
      <c r="R2068">
        <v>685</v>
      </c>
    </row>
    <row r="2069" spans="1:18" hidden="1" x14ac:dyDescent="0.2">
      <c r="A2069">
        <v>9</v>
      </c>
      <c r="B2069" t="s">
        <v>92</v>
      </c>
      <c r="E2069" t="s">
        <v>36</v>
      </c>
      <c r="F2069">
        <v>1202626</v>
      </c>
      <c r="G2069">
        <v>6</v>
      </c>
      <c r="H2069">
        <v>3</v>
      </c>
      <c r="I2069">
        <v>430</v>
      </c>
      <c r="J2069">
        <v>1991</v>
      </c>
      <c r="K2069" s="4">
        <v>44281</v>
      </c>
      <c r="L2069" t="s">
        <v>23</v>
      </c>
      <c r="M2069" t="s">
        <v>47</v>
      </c>
      <c r="N2069">
        <v>2.25</v>
      </c>
      <c r="O2069">
        <v>877</v>
      </c>
      <c r="P2069">
        <v>0.43</v>
      </c>
      <c r="Q2069">
        <v>340</v>
      </c>
      <c r="R2069">
        <v>422</v>
      </c>
    </row>
    <row r="2070" spans="1:18" hidden="1" x14ac:dyDescent="0.2">
      <c r="A2070">
        <v>4</v>
      </c>
      <c r="B2070" t="s">
        <v>95</v>
      </c>
      <c r="E2070" t="s">
        <v>19</v>
      </c>
      <c r="F2070">
        <v>2389160</v>
      </c>
      <c r="G2070">
        <v>4</v>
      </c>
      <c r="H2070">
        <v>1</v>
      </c>
      <c r="I2070">
        <v>144</v>
      </c>
      <c r="J2070">
        <v>1952</v>
      </c>
      <c r="K2070" s="4">
        <v>45380</v>
      </c>
      <c r="L2070" t="s">
        <v>30</v>
      </c>
      <c r="M2070" t="s">
        <v>40</v>
      </c>
      <c r="N2070">
        <v>2.25</v>
      </c>
      <c r="O2070">
        <v>2383</v>
      </c>
      <c r="P2070">
        <v>3.02</v>
      </c>
      <c r="Q2070">
        <v>373</v>
      </c>
      <c r="R2070">
        <v>616</v>
      </c>
    </row>
    <row r="2071" spans="1:18" hidden="1" x14ac:dyDescent="0.2">
      <c r="A2071">
        <v>1</v>
      </c>
      <c r="B2071" t="s">
        <v>49</v>
      </c>
      <c r="E2071" t="s">
        <v>51</v>
      </c>
      <c r="F2071">
        <v>801785</v>
      </c>
      <c r="G2071">
        <v>4</v>
      </c>
      <c r="H2071">
        <v>2</v>
      </c>
      <c r="I2071">
        <v>578</v>
      </c>
      <c r="J2071">
        <v>1998</v>
      </c>
      <c r="K2071" s="4">
        <v>45539</v>
      </c>
      <c r="L2071" t="s">
        <v>20</v>
      </c>
      <c r="M2071" t="s">
        <v>82</v>
      </c>
      <c r="N2071">
        <v>3.37</v>
      </c>
      <c r="O2071">
        <v>1986</v>
      </c>
      <c r="P2071">
        <v>0.5</v>
      </c>
      <c r="Q2071">
        <v>227</v>
      </c>
      <c r="R2071">
        <v>499</v>
      </c>
    </row>
    <row r="2072" spans="1:18" x14ac:dyDescent="0.2">
      <c r="A2072">
        <v>8</v>
      </c>
      <c r="B2072" t="s">
        <v>18</v>
      </c>
      <c r="C2072" t="str">
        <f>VLOOKUP(B2072, 'Council Area'!$A$2:$B$51, 2)</f>
        <v>Blacktown City Council</v>
      </c>
      <c r="D2072" t="str">
        <f>_xlfn.XLOOKUP(B2072, 'Council Area'!$A$2:$A$51, 'Council Area'!$B$2:$B$51)</f>
        <v>Blacktown City Council</v>
      </c>
      <c r="E2072" t="s">
        <v>19</v>
      </c>
      <c r="F2072">
        <v>1541902</v>
      </c>
      <c r="G2072">
        <v>2</v>
      </c>
      <c r="H2072">
        <v>3</v>
      </c>
      <c r="I2072">
        <v>216</v>
      </c>
      <c r="J2072">
        <v>2004</v>
      </c>
      <c r="K2072" s="4">
        <v>45628</v>
      </c>
      <c r="L2072" t="s">
        <v>26</v>
      </c>
      <c r="M2072" t="s">
        <v>31</v>
      </c>
      <c r="N2072">
        <v>3.24</v>
      </c>
      <c r="O2072">
        <v>1005</v>
      </c>
      <c r="P2072">
        <v>1.85</v>
      </c>
      <c r="Q2072">
        <v>194</v>
      </c>
      <c r="R2072">
        <v>658</v>
      </c>
    </row>
    <row r="2073" spans="1:18" hidden="1" x14ac:dyDescent="0.2">
      <c r="A2073">
        <v>1</v>
      </c>
      <c r="B2073" t="s">
        <v>102</v>
      </c>
      <c r="E2073" t="s">
        <v>19</v>
      </c>
      <c r="F2073">
        <v>977611</v>
      </c>
      <c r="G2073">
        <v>4</v>
      </c>
      <c r="H2073">
        <v>1</v>
      </c>
      <c r="I2073">
        <v>689</v>
      </c>
      <c r="J2073">
        <v>2013</v>
      </c>
      <c r="K2073" s="4">
        <v>44090</v>
      </c>
      <c r="L2073" t="s">
        <v>20</v>
      </c>
      <c r="M2073" t="s">
        <v>35</v>
      </c>
      <c r="N2073">
        <v>2.29</v>
      </c>
      <c r="O2073">
        <v>1552</v>
      </c>
      <c r="P2073">
        <v>2.58</v>
      </c>
      <c r="Q2073">
        <v>322</v>
      </c>
      <c r="R2073">
        <v>303</v>
      </c>
    </row>
    <row r="2074" spans="1:18" x14ac:dyDescent="0.2">
      <c r="A2074">
        <v>8</v>
      </c>
      <c r="B2074" t="s">
        <v>86</v>
      </c>
      <c r="C2074" t="str">
        <f>VLOOKUP(B2074, 'Council Area'!$A$2:$B$51, 2)</f>
        <v>Randwick City Council</v>
      </c>
      <c r="D2074" t="str">
        <f>_xlfn.XLOOKUP(B2074, 'Council Area'!$A$2:$A$51, 'Council Area'!$B$2:$B$51)</f>
        <v>Randwick City Council</v>
      </c>
      <c r="E2074" t="s">
        <v>29</v>
      </c>
      <c r="F2074">
        <v>1751035</v>
      </c>
      <c r="G2074">
        <v>5</v>
      </c>
      <c r="H2074">
        <v>2</v>
      </c>
      <c r="I2074">
        <v>53</v>
      </c>
      <c r="J2074">
        <v>1970</v>
      </c>
      <c r="K2074" s="4">
        <v>45243</v>
      </c>
      <c r="L2074" t="s">
        <v>30</v>
      </c>
      <c r="M2074" t="s">
        <v>77</v>
      </c>
      <c r="N2074">
        <v>1.51</v>
      </c>
      <c r="O2074">
        <v>908</v>
      </c>
      <c r="P2074">
        <v>3.03</v>
      </c>
      <c r="Q2074">
        <v>329</v>
      </c>
      <c r="R2074">
        <v>475</v>
      </c>
    </row>
    <row r="2075" spans="1:18" hidden="1" x14ac:dyDescent="0.2">
      <c r="A2075">
        <v>5</v>
      </c>
      <c r="B2075" t="s">
        <v>99</v>
      </c>
      <c r="E2075" t="s">
        <v>36</v>
      </c>
      <c r="F2075">
        <v>540380</v>
      </c>
      <c r="G2075">
        <v>4</v>
      </c>
      <c r="H2075">
        <v>2</v>
      </c>
      <c r="I2075">
        <v>104</v>
      </c>
      <c r="J2075">
        <v>1993</v>
      </c>
      <c r="K2075" s="4">
        <v>45332</v>
      </c>
      <c r="L2075" t="s">
        <v>30</v>
      </c>
      <c r="M2075" t="s">
        <v>45</v>
      </c>
      <c r="N2075">
        <v>3.24</v>
      </c>
      <c r="O2075">
        <v>2126</v>
      </c>
      <c r="P2075">
        <v>2.64</v>
      </c>
      <c r="Q2075">
        <v>290</v>
      </c>
      <c r="R2075">
        <v>470</v>
      </c>
    </row>
    <row r="2076" spans="1:18" hidden="1" x14ac:dyDescent="0.2">
      <c r="A2076">
        <v>0</v>
      </c>
      <c r="B2076" t="s">
        <v>43</v>
      </c>
      <c r="E2076" t="s">
        <v>36</v>
      </c>
      <c r="F2076">
        <v>2992411</v>
      </c>
      <c r="G2076">
        <v>3</v>
      </c>
      <c r="H2076">
        <v>1</v>
      </c>
      <c r="I2076">
        <v>712</v>
      </c>
      <c r="J2076">
        <v>1988</v>
      </c>
      <c r="K2076" s="4">
        <v>45542</v>
      </c>
      <c r="L2076" t="s">
        <v>23</v>
      </c>
      <c r="M2076" t="s">
        <v>85</v>
      </c>
      <c r="N2076">
        <v>2.2799999999999998</v>
      </c>
      <c r="O2076">
        <v>1435</v>
      </c>
      <c r="P2076">
        <v>2.0499999999999998</v>
      </c>
      <c r="Q2076">
        <v>199</v>
      </c>
      <c r="R2076">
        <v>445</v>
      </c>
    </row>
    <row r="2077" spans="1:18" hidden="1" x14ac:dyDescent="0.2">
      <c r="A2077">
        <v>9</v>
      </c>
      <c r="B2077" t="s">
        <v>83</v>
      </c>
      <c r="E2077" t="s">
        <v>19</v>
      </c>
      <c r="F2077">
        <v>2780503</v>
      </c>
      <c r="G2077">
        <v>4</v>
      </c>
      <c r="H2077">
        <v>3</v>
      </c>
      <c r="I2077">
        <v>268</v>
      </c>
      <c r="J2077">
        <v>1974</v>
      </c>
      <c r="K2077" s="4">
        <v>45826</v>
      </c>
      <c r="L2077" t="s">
        <v>20</v>
      </c>
      <c r="M2077" t="s">
        <v>60</v>
      </c>
      <c r="N2077">
        <v>3.1</v>
      </c>
      <c r="O2077">
        <v>1053</v>
      </c>
      <c r="P2077">
        <v>3.57</v>
      </c>
      <c r="Q2077">
        <v>304</v>
      </c>
      <c r="R2077">
        <v>458</v>
      </c>
    </row>
    <row r="2078" spans="1:18" hidden="1" x14ac:dyDescent="0.2">
      <c r="A2078">
        <v>0</v>
      </c>
      <c r="B2078" t="s">
        <v>72</v>
      </c>
      <c r="E2078" t="s">
        <v>29</v>
      </c>
      <c r="F2078">
        <v>1256351</v>
      </c>
      <c r="G2078">
        <v>2</v>
      </c>
      <c r="H2078">
        <v>1</v>
      </c>
      <c r="I2078">
        <v>70</v>
      </c>
      <c r="J2078">
        <v>1956</v>
      </c>
      <c r="K2078" s="4">
        <v>44641</v>
      </c>
      <c r="L2078" t="s">
        <v>20</v>
      </c>
      <c r="M2078" t="s">
        <v>68</v>
      </c>
      <c r="N2078">
        <v>2.56</v>
      </c>
      <c r="O2078">
        <v>1918</v>
      </c>
      <c r="P2078">
        <v>0.52</v>
      </c>
      <c r="Q2078">
        <v>203</v>
      </c>
      <c r="R2078">
        <v>527</v>
      </c>
    </row>
    <row r="2079" spans="1:18" hidden="1" x14ac:dyDescent="0.2">
      <c r="A2079">
        <v>5</v>
      </c>
      <c r="B2079" t="s">
        <v>53</v>
      </c>
      <c r="E2079" t="s">
        <v>19</v>
      </c>
      <c r="F2079">
        <v>1062216</v>
      </c>
      <c r="G2079">
        <v>3</v>
      </c>
      <c r="H2079">
        <v>3</v>
      </c>
      <c r="I2079">
        <v>502</v>
      </c>
      <c r="J2079">
        <v>1951</v>
      </c>
      <c r="K2079" s="4">
        <v>44889</v>
      </c>
      <c r="L2079" t="s">
        <v>23</v>
      </c>
      <c r="M2079" t="s">
        <v>37</v>
      </c>
      <c r="N2079">
        <v>2.25</v>
      </c>
      <c r="O2079">
        <v>2017</v>
      </c>
      <c r="P2079">
        <v>3.42</v>
      </c>
      <c r="Q2079">
        <v>95</v>
      </c>
      <c r="R2079">
        <v>662</v>
      </c>
    </row>
    <row r="2080" spans="1:18" hidden="1" x14ac:dyDescent="0.2">
      <c r="A2080">
        <v>2</v>
      </c>
      <c r="B2080" t="s">
        <v>46</v>
      </c>
      <c r="E2080" t="s">
        <v>29</v>
      </c>
      <c r="F2080">
        <v>1585403</v>
      </c>
      <c r="G2080">
        <v>0</v>
      </c>
      <c r="H2080">
        <v>2</v>
      </c>
      <c r="I2080">
        <v>294</v>
      </c>
      <c r="J2080">
        <v>1991</v>
      </c>
      <c r="K2080" s="4">
        <v>45677</v>
      </c>
      <c r="L2080" t="s">
        <v>30</v>
      </c>
      <c r="M2080" t="s">
        <v>66</v>
      </c>
      <c r="N2080">
        <v>2.88</v>
      </c>
      <c r="O2080">
        <v>1211</v>
      </c>
      <c r="P2080">
        <v>1.39</v>
      </c>
      <c r="Q2080">
        <v>67</v>
      </c>
      <c r="R2080">
        <v>525</v>
      </c>
    </row>
    <row r="2081" spans="1:18" hidden="1" x14ac:dyDescent="0.2">
      <c r="A2081">
        <v>6</v>
      </c>
      <c r="B2081" t="s">
        <v>87</v>
      </c>
      <c r="E2081" t="s">
        <v>51</v>
      </c>
      <c r="F2081">
        <v>457978</v>
      </c>
      <c r="G2081">
        <v>5</v>
      </c>
      <c r="H2081">
        <v>1</v>
      </c>
      <c r="I2081">
        <v>171</v>
      </c>
      <c r="J2081">
        <v>1951</v>
      </c>
      <c r="K2081" s="4">
        <v>44220</v>
      </c>
      <c r="L2081" t="s">
        <v>20</v>
      </c>
      <c r="M2081" t="s">
        <v>21</v>
      </c>
      <c r="N2081">
        <v>1.51</v>
      </c>
      <c r="O2081">
        <v>1559</v>
      </c>
      <c r="P2081">
        <v>1.57</v>
      </c>
      <c r="Q2081">
        <v>349</v>
      </c>
      <c r="R2081">
        <v>556</v>
      </c>
    </row>
    <row r="2082" spans="1:18" hidden="1" x14ac:dyDescent="0.2">
      <c r="A2082">
        <v>0</v>
      </c>
      <c r="B2082" t="s">
        <v>61</v>
      </c>
      <c r="E2082" t="s">
        <v>51</v>
      </c>
      <c r="F2082">
        <v>647468</v>
      </c>
      <c r="G2082">
        <v>3</v>
      </c>
      <c r="H2082">
        <v>3</v>
      </c>
      <c r="I2082">
        <v>655</v>
      </c>
      <c r="J2082">
        <v>2011</v>
      </c>
      <c r="K2082" s="4">
        <v>44327</v>
      </c>
      <c r="L2082" t="s">
        <v>26</v>
      </c>
      <c r="M2082" t="s">
        <v>68</v>
      </c>
      <c r="N2082">
        <v>2.98</v>
      </c>
      <c r="O2082">
        <v>2177</v>
      </c>
      <c r="P2082">
        <v>1.6</v>
      </c>
      <c r="Q2082">
        <v>245</v>
      </c>
      <c r="R2082">
        <v>563</v>
      </c>
    </row>
    <row r="2083" spans="1:18" hidden="1" x14ac:dyDescent="0.2">
      <c r="A2083">
        <v>2</v>
      </c>
      <c r="B2083" t="s">
        <v>64</v>
      </c>
      <c r="E2083" t="s">
        <v>29</v>
      </c>
      <c r="F2083">
        <v>2446728</v>
      </c>
      <c r="G2083">
        <v>4</v>
      </c>
      <c r="H2083">
        <v>3</v>
      </c>
      <c r="I2083">
        <v>759</v>
      </c>
      <c r="J2083">
        <v>1997</v>
      </c>
      <c r="K2083" s="4">
        <v>45451</v>
      </c>
      <c r="L2083" t="s">
        <v>23</v>
      </c>
      <c r="M2083" t="s">
        <v>35</v>
      </c>
      <c r="N2083">
        <v>3.48</v>
      </c>
      <c r="O2083">
        <v>1705</v>
      </c>
      <c r="P2083">
        <v>0.13</v>
      </c>
      <c r="Q2083">
        <v>380</v>
      </c>
      <c r="R2083">
        <v>632</v>
      </c>
    </row>
    <row r="2084" spans="1:18" hidden="1" x14ac:dyDescent="0.2">
      <c r="A2084">
        <v>6</v>
      </c>
      <c r="B2084" t="s">
        <v>22</v>
      </c>
      <c r="E2084" t="s">
        <v>19</v>
      </c>
      <c r="F2084">
        <v>1059466</v>
      </c>
      <c r="G2084">
        <v>1</v>
      </c>
      <c r="H2084">
        <v>2</v>
      </c>
      <c r="I2084">
        <v>881</v>
      </c>
      <c r="J2084">
        <v>1996</v>
      </c>
      <c r="K2084" s="4">
        <v>44975</v>
      </c>
      <c r="L2084" t="s">
        <v>23</v>
      </c>
      <c r="M2084" t="s">
        <v>45</v>
      </c>
      <c r="N2084">
        <v>1.78</v>
      </c>
      <c r="O2084">
        <v>2104</v>
      </c>
      <c r="P2084">
        <v>3.16</v>
      </c>
      <c r="Q2084">
        <v>66</v>
      </c>
      <c r="R2084">
        <v>675</v>
      </c>
    </row>
    <row r="2085" spans="1:18" hidden="1" x14ac:dyDescent="0.2">
      <c r="A2085">
        <v>6</v>
      </c>
      <c r="B2085" t="s">
        <v>90</v>
      </c>
      <c r="E2085" t="s">
        <v>36</v>
      </c>
      <c r="F2085">
        <v>1505833</v>
      </c>
      <c r="G2085">
        <v>3</v>
      </c>
      <c r="H2085">
        <v>3</v>
      </c>
      <c r="I2085">
        <v>987</v>
      </c>
      <c r="J2085">
        <v>1953</v>
      </c>
      <c r="K2085" s="4">
        <v>44420</v>
      </c>
      <c r="L2085" t="s">
        <v>30</v>
      </c>
      <c r="M2085" t="s">
        <v>89</v>
      </c>
      <c r="N2085">
        <v>2.34</v>
      </c>
      <c r="O2085">
        <v>818</v>
      </c>
      <c r="P2085">
        <v>3.97</v>
      </c>
      <c r="Q2085">
        <v>110</v>
      </c>
      <c r="R2085">
        <v>379</v>
      </c>
    </row>
    <row r="2086" spans="1:18" hidden="1" x14ac:dyDescent="0.2">
      <c r="A2086">
        <v>5</v>
      </c>
      <c r="B2086" t="s">
        <v>86</v>
      </c>
      <c r="E2086" t="s">
        <v>36</v>
      </c>
      <c r="F2086">
        <v>2112362</v>
      </c>
      <c r="G2086">
        <v>3</v>
      </c>
      <c r="H2086">
        <v>2</v>
      </c>
      <c r="I2086">
        <v>295</v>
      </c>
      <c r="J2086">
        <v>2019</v>
      </c>
      <c r="K2086" s="4">
        <v>45873</v>
      </c>
      <c r="L2086" t="s">
        <v>23</v>
      </c>
      <c r="M2086" t="s">
        <v>63</v>
      </c>
      <c r="N2086">
        <v>1.6</v>
      </c>
      <c r="O2086">
        <v>2382</v>
      </c>
      <c r="P2086">
        <v>4.72</v>
      </c>
      <c r="Q2086">
        <v>180</v>
      </c>
      <c r="R2086">
        <v>369</v>
      </c>
    </row>
    <row r="2087" spans="1:18" hidden="1" x14ac:dyDescent="0.2">
      <c r="A2087">
        <v>9</v>
      </c>
      <c r="B2087" t="s">
        <v>93</v>
      </c>
      <c r="E2087" t="s">
        <v>19</v>
      </c>
      <c r="F2087">
        <v>524791</v>
      </c>
      <c r="G2087">
        <v>6</v>
      </c>
      <c r="H2087">
        <v>2</v>
      </c>
      <c r="I2087">
        <v>552</v>
      </c>
      <c r="J2087">
        <v>2007</v>
      </c>
      <c r="K2087" s="4">
        <v>44101</v>
      </c>
      <c r="L2087" t="s">
        <v>23</v>
      </c>
      <c r="M2087" t="s">
        <v>59</v>
      </c>
      <c r="N2087">
        <v>2.77</v>
      </c>
      <c r="O2087">
        <v>2314</v>
      </c>
      <c r="P2087">
        <v>4.5999999999999996</v>
      </c>
      <c r="Q2087">
        <v>367</v>
      </c>
      <c r="R2087">
        <v>645</v>
      </c>
    </row>
    <row r="2088" spans="1:18" hidden="1" x14ac:dyDescent="0.2">
      <c r="A2088">
        <v>3</v>
      </c>
      <c r="B2088" t="s">
        <v>101</v>
      </c>
      <c r="E2088" t="s">
        <v>29</v>
      </c>
      <c r="F2088">
        <v>756642</v>
      </c>
      <c r="G2088">
        <v>4</v>
      </c>
      <c r="H2088">
        <v>2</v>
      </c>
      <c r="I2088">
        <v>97</v>
      </c>
      <c r="J2088">
        <v>1950</v>
      </c>
      <c r="K2088" s="4">
        <v>44500</v>
      </c>
      <c r="L2088" t="s">
        <v>23</v>
      </c>
      <c r="M2088" t="s">
        <v>21</v>
      </c>
      <c r="N2088">
        <v>1.86</v>
      </c>
      <c r="O2088">
        <v>2474</v>
      </c>
      <c r="P2088">
        <v>2.98</v>
      </c>
      <c r="Q2088">
        <v>312</v>
      </c>
      <c r="R2088">
        <v>460</v>
      </c>
    </row>
    <row r="2089" spans="1:18" hidden="1" x14ac:dyDescent="0.2">
      <c r="A2089">
        <v>5</v>
      </c>
      <c r="B2089" t="s">
        <v>71</v>
      </c>
      <c r="E2089" t="s">
        <v>19</v>
      </c>
      <c r="F2089">
        <v>2233275</v>
      </c>
      <c r="G2089">
        <v>6</v>
      </c>
      <c r="H2089">
        <v>2</v>
      </c>
      <c r="I2089">
        <v>932</v>
      </c>
      <c r="J2089">
        <v>2008</v>
      </c>
      <c r="K2089" s="4">
        <v>45028</v>
      </c>
      <c r="L2089" t="s">
        <v>20</v>
      </c>
      <c r="M2089" t="s">
        <v>69</v>
      </c>
      <c r="N2089">
        <v>2.73</v>
      </c>
      <c r="O2089">
        <v>1875</v>
      </c>
      <c r="P2089">
        <v>2.75</v>
      </c>
      <c r="Q2089">
        <v>400</v>
      </c>
      <c r="R2089">
        <v>309</v>
      </c>
    </row>
    <row r="2090" spans="1:18" hidden="1" x14ac:dyDescent="0.2">
      <c r="A2090">
        <v>6</v>
      </c>
      <c r="B2090" t="s">
        <v>81</v>
      </c>
      <c r="E2090" t="s">
        <v>51</v>
      </c>
      <c r="F2090">
        <v>2238423</v>
      </c>
      <c r="G2090">
        <v>2</v>
      </c>
      <c r="H2090">
        <v>1</v>
      </c>
      <c r="I2090">
        <v>467</v>
      </c>
      <c r="J2090">
        <v>2022</v>
      </c>
      <c r="K2090" s="4">
        <v>45415</v>
      </c>
      <c r="L2090" t="s">
        <v>20</v>
      </c>
      <c r="M2090" t="s">
        <v>69</v>
      </c>
      <c r="N2090">
        <v>3.49</v>
      </c>
      <c r="O2090">
        <v>1511</v>
      </c>
      <c r="P2090">
        <v>1.04</v>
      </c>
      <c r="Q2090">
        <v>46</v>
      </c>
      <c r="R2090">
        <v>568</v>
      </c>
    </row>
    <row r="2091" spans="1:18" x14ac:dyDescent="0.2">
      <c r="A2091">
        <v>8</v>
      </c>
      <c r="B2091" t="s">
        <v>75</v>
      </c>
      <c r="C2091" t="str">
        <f>VLOOKUP(B2091, 'Council Area'!$A$2:$B$51, 2)</f>
        <v>Inner West Council</v>
      </c>
      <c r="D2091" t="str">
        <f>_xlfn.XLOOKUP(B2091, 'Council Area'!$A$2:$A$51, 'Council Area'!$B$2:$B$51)</f>
        <v>Inner West Council</v>
      </c>
      <c r="E2091" t="s">
        <v>51</v>
      </c>
      <c r="F2091">
        <v>882400</v>
      </c>
      <c r="G2091">
        <v>3</v>
      </c>
      <c r="H2091">
        <v>1</v>
      </c>
      <c r="I2091">
        <v>300</v>
      </c>
      <c r="J2091">
        <v>2006</v>
      </c>
      <c r="K2091" s="4">
        <v>44493</v>
      </c>
      <c r="L2091" t="s">
        <v>23</v>
      </c>
      <c r="M2091" t="s">
        <v>37</v>
      </c>
      <c r="N2091">
        <v>3.33</v>
      </c>
      <c r="O2091">
        <v>1143</v>
      </c>
      <c r="P2091">
        <v>4.96</v>
      </c>
      <c r="Q2091">
        <v>120</v>
      </c>
      <c r="R2091">
        <v>457</v>
      </c>
    </row>
    <row r="2092" spans="1:18" hidden="1" x14ac:dyDescent="0.2">
      <c r="A2092">
        <v>5</v>
      </c>
      <c r="B2092" t="s">
        <v>83</v>
      </c>
      <c r="E2092" t="s">
        <v>36</v>
      </c>
      <c r="F2092">
        <v>559378</v>
      </c>
      <c r="G2092">
        <v>3</v>
      </c>
      <c r="H2092">
        <v>1</v>
      </c>
      <c r="I2092">
        <v>369</v>
      </c>
      <c r="J2092">
        <v>2013</v>
      </c>
      <c r="K2092" s="4">
        <v>44441</v>
      </c>
      <c r="L2092" t="s">
        <v>23</v>
      </c>
      <c r="M2092" t="s">
        <v>31</v>
      </c>
      <c r="N2092">
        <v>3.32</v>
      </c>
      <c r="O2092">
        <v>1291</v>
      </c>
      <c r="P2092">
        <v>3.13</v>
      </c>
      <c r="Q2092">
        <v>310</v>
      </c>
      <c r="R2092">
        <v>635</v>
      </c>
    </row>
    <row r="2093" spans="1:18" hidden="1" x14ac:dyDescent="0.2">
      <c r="A2093">
        <v>0</v>
      </c>
      <c r="B2093" t="s">
        <v>43</v>
      </c>
      <c r="E2093" t="s">
        <v>36</v>
      </c>
      <c r="F2093">
        <v>977119</v>
      </c>
      <c r="G2093">
        <v>6</v>
      </c>
      <c r="H2093">
        <v>1</v>
      </c>
      <c r="I2093">
        <v>481</v>
      </c>
      <c r="J2093">
        <v>1974</v>
      </c>
      <c r="K2093" s="4">
        <v>45526</v>
      </c>
      <c r="L2093" t="s">
        <v>30</v>
      </c>
      <c r="M2093" t="s">
        <v>52</v>
      </c>
      <c r="N2093">
        <v>2.11</v>
      </c>
      <c r="O2093">
        <v>1838</v>
      </c>
      <c r="P2093">
        <v>2.33</v>
      </c>
      <c r="Q2093">
        <v>343</v>
      </c>
      <c r="R2093">
        <v>538</v>
      </c>
    </row>
    <row r="2094" spans="1:18" hidden="1" x14ac:dyDescent="0.2">
      <c r="A2094">
        <v>9</v>
      </c>
      <c r="B2094" t="s">
        <v>25</v>
      </c>
      <c r="E2094" t="s">
        <v>36</v>
      </c>
      <c r="F2094">
        <v>1549110</v>
      </c>
      <c r="G2094">
        <v>4</v>
      </c>
      <c r="H2094">
        <v>2</v>
      </c>
      <c r="I2094">
        <v>50</v>
      </c>
      <c r="J2094">
        <v>1960</v>
      </c>
      <c r="K2094" s="4">
        <v>44885</v>
      </c>
      <c r="L2094" t="s">
        <v>20</v>
      </c>
      <c r="M2094" t="s">
        <v>68</v>
      </c>
      <c r="N2094">
        <v>3.25</v>
      </c>
      <c r="O2094">
        <v>924</v>
      </c>
      <c r="P2094">
        <v>2.33</v>
      </c>
      <c r="Q2094">
        <v>350</v>
      </c>
      <c r="R2094">
        <v>627</v>
      </c>
    </row>
    <row r="2095" spans="1:18" hidden="1" x14ac:dyDescent="0.2">
      <c r="A2095">
        <v>6</v>
      </c>
      <c r="B2095" t="s">
        <v>61</v>
      </c>
      <c r="E2095" t="s">
        <v>36</v>
      </c>
      <c r="F2095">
        <v>802865</v>
      </c>
      <c r="G2095">
        <v>0</v>
      </c>
      <c r="H2095">
        <v>3</v>
      </c>
      <c r="I2095">
        <v>576</v>
      </c>
      <c r="J2095">
        <v>2015</v>
      </c>
      <c r="K2095" s="4">
        <v>45268</v>
      </c>
      <c r="L2095" t="s">
        <v>20</v>
      </c>
      <c r="M2095" t="s">
        <v>74</v>
      </c>
      <c r="N2095">
        <v>2.84</v>
      </c>
      <c r="O2095">
        <v>1643</v>
      </c>
      <c r="P2095">
        <v>0.41</v>
      </c>
      <c r="Q2095">
        <v>47</v>
      </c>
      <c r="R2095">
        <v>346</v>
      </c>
    </row>
    <row r="2096" spans="1:18" hidden="1" x14ac:dyDescent="0.2">
      <c r="A2096">
        <v>2</v>
      </c>
      <c r="B2096" t="s">
        <v>61</v>
      </c>
      <c r="E2096" t="s">
        <v>51</v>
      </c>
      <c r="F2096">
        <v>660853</v>
      </c>
      <c r="G2096">
        <v>2</v>
      </c>
      <c r="H2096">
        <v>1</v>
      </c>
      <c r="I2096">
        <v>540</v>
      </c>
      <c r="J2096">
        <v>2004</v>
      </c>
      <c r="K2096" s="4">
        <v>44683</v>
      </c>
      <c r="L2096" t="s">
        <v>26</v>
      </c>
      <c r="M2096" t="s">
        <v>77</v>
      </c>
      <c r="N2096">
        <v>3.1</v>
      </c>
      <c r="O2096">
        <v>1853</v>
      </c>
      <c r="P2096">
        <v>0.97</v>
      </c>
      <c r="Q2096">
        <v>144</v>
      </c>
      <c r="R2096">
        <v>458</v>
      </c>
    </row>
    <row r="2097" spans="1:18" hidden="1" x14ac:dyDescent="0.2">
      <c r="A2097">
        <v>3</v>
      </c>
      <c r="B2097" t="s">
        <v>100</v>
      </c>
      <c r="E2097" t="s">
        <v>51</v>
      </c>
      <c r="F2097">
        <v>1289761</v>
      </c>
      <c r="G2097">
        <v>2</v>
      </c>
      <c r="H2097">
        <v>2</v>
      </c>
      <c r="I2097">
        <v>365</v>
      </c>
      <c r="J2097">
        <v>1967</v>
      </c>
      <c r="K2097" s="4">
        <v>44290</v>
      </c>
      <c r="L2097" t="s">
        <v>20</v>
      </c>
      <c r="M2097" t="s">
        <v>27</v>
      </c>
      <c r="N2097">
        <v>2.37</v>
      </c>
      <c r="O2097">
        <v>2364</v>
      </c>
      <c r="P2097">
        <v>2.58</v>
      </c>
      <c r="Q2097">
        <v>64</v>
      </c>
      <c r="R2097">
        <v>592</v>
      </c>
    </row>
    <row r="2098" spans="1:18" hidden="1" x14ac:dyDescent="0.2">
      <c r="A2098">
        <v>6</v>
      </c>
      <c r="B2098" t="s">
        <v>81</v>
      </c>
      <c r="E2098" t="s">
        <v>36</v>
      </c>
      <c r="F2098">
        <v>1825457</v>
      </c>
      <c r="G2098">
        <v>2</v>
      </c>
      <c r="H2098">
        <v>1</v>
      </c>
      <c r="I2098">
        <v>340</v>
      </c>
      <c r="J2098">
        <v>2018</v>
      </c>
      <c r="K2098" s="4">
        <v>44941</v>
      </c>
      <c r="L2098" t="s">
        <v>23</v>
      </c>
      <c r="M2098" t="s">
        <v>33</v>
      </c>
      <c r="N2098">
        <v>2.5</v>
      </c>
      <c r="O2098">
        <v>947</v>
      </c>
      <c r="P2098">
        <v>3.19</v>
      </c>
      <c r="Q2098">
        <v>57</v>
      </c>
      <c r="R2098">
        <v>346</v>
      </c>
    </row>
    <row r="2099" spans="1:18" x14ac:dyDescent="0.2">
      <c r="A2099">
        <v>8</v>
      </c>
      <c r="B2099" t="s">
        <v>92</v>
      </c>
      <c r="C2099" t="str">
        <f>VLOOKUP(B2099, 'Council Area'!$A$2:$B$51, 2)</f>
        <v>Randwick City Council</v>
      </c>
      <c r="D2099" t="str">
        <f>_xlfn.XLOOKUP(B2099, 'Council Area'!$A$2:$A$51, 'Council Area'!$B$2:$B$51)</f>
        <v>Randwick City Council</v>
      </c>
      <c r="E2099" t="s">
        <v>51</v>
      </c>
      <c r="F2099">
        <v>855772</v>
      </c>
      <c r="G2099">
        <v>3</v>
      </c>
      <c r="H2099">
        <v>3</v>
      </c>
      <c r="I2099">
        <v>55</v>
      </c>
      <c r="J2099">
        <v>2021</v>
      </c>
      <c r="K2099" s="4">
        <v>45511</v>
      </c>
      <c r="L2099" t="s">
        <v>23</v>
      </c>
      <c r="M2099" t="s">
        <v>45</v>
      </c>
      <c r="N2099">
        <v>2.44</v>
      </c>
      <c r="O2099">
        <v>1097</v>
      </c>
      <c r="P2099">
        <v>0.86</v>
      </c>
      <c r="Q2099">
        <v>189</v>
      </c>
      <c r="R2099">
        <v>641</v>
      </c>
    </row>
    <row r="2100" spans="1:18" hidden="1" x14ac:dyDescent="0.2">
      <c r="A2100">
        <v>7</v>
      </c>
      <c r="B2100" t="s">
        <v>96</v>
      </c>
      <c r="E2100" t="s">
        <v>51</v>
      </c>
      <c r="F2100">
        <v>2037953</v>
      </c>
      <c r="G2100">
        <v>4</v>
      </c>
      <c r="H2100">
        <v>2</v>
      </c>
      <c r="I2100">
        <v>995</v>
      </c>
      <c r="J2100">
        <v>2010</v>
      </c>
      <c r="K2100" s="4">
        <v>44168</v>
      </c>
      <c r="L2100" t="s">
        <v>26</v>
      </c>
      <c r="M2100" t="s">
        <v>31</v>
      </c>
      <c r="N2100">
        <v>3.25</v>
      </c>
      <c r="O2100">
        <v>912</v>
      </c>
      <c r="P2100">
        <v>2.2000000000000002</v>
      </c>
      <c r="Q2100">
        <v>332</v>
      </c>
      <c r="R2100">
        <v>399</v>
      </c>
    </row>
    <row r="2101" spans="1:18" hidden="1" x14ac:dyDescent="0.2">
      <c r="A2101">
        <v>4</v>
      </c>
      <c r="B2101" t="s">
        <v>86</v>
      </c>
      <c r="E2101" t="s">
        <v>51</v>
      </c>
      <c r="F2101">
        <v>2526296</v>
      </c>
      <c r="G2101">
        <v>2</v>
      </c>
      <c r="H2101">
        <v>1</v>
      </c>
      <c r="I2101">
        <v>253</v>
      </c>
      <c r="J2101">
        <v>1991</v>
      </c>
      <c r="K2101" s="4">
        <v>45859</v>
      </c>
      <c r="L2101" t="s">
        <v>23</v>
      </c>
      <c r="M2101" t="s">
        <v>45</v>
      </c>
      <c r="N2101">
        <v>2.4500000000000002</v>
      </c>
      <c r="O2101">
        <v>1109</v>
      </c>
      <c r="P2101">
        <v>1.62</v>
      </c>
      <c r="Q2101">
        <v>153</v>
      </c>
      <c r="R2101">
        <v>545</v>
      </c>
    </row>
    <row r="2102" spans="1:18" hidden="1" x14ac:dyDescent="0.2">
      <c r="A2102">
        <v>7</v>
      </c>
      <c r="B2102" t="s">
        <v>49</v>
      </c>
      <c r="E2102" t="s">
        <v>36</v>
      </c>
      <c r="F2102">
        <v>481271</v>
      </c>
      <c r="G2102">
        <v>1</v>
      </c>
      <c r="H2102">
        <v>3</v>
      </c>
      <c r="I2102">
        <v>613</v>
      </c>
      <c r="J2102">
        <v>1952</v>
      </c>
      <c r="K2102" s="4">
        <v>44132</v>
      </c>
      <c r="L2102" t="s">
        <v>26</v>
      </c>
      <c r="M2102" t="s">
        <v>24</v>
      </c>
      <c r="N2102">
        <v>2.1800000000000002</v>
      </c>
      <c r="O2102">
        <v>1310</v>
      </c>
      <c r="P2102">
        <v>3.33</v>
      </c>
      <c r="Q2102">
        <v>75</v>
      </c>
      <c r="R2102">
        <v>633</v>
      </c>
    </row>
    <row r="2103" spans="1:18" hidden="1" x14ac:dyDescent="0.2">
      <c r="A2103">
        <v>6</v>
      </c>
      <c r="B2103" t="s">
        <v>99</v>
      </c>
      <c r="E2103" t="s">
        <v>19</v>
      </c>
      <c r="F2103">
        <v>511889</v>
      </c>
      <c r="G2103">
        <v>2</v>
      </c>
      <c r="H2103">
        <v>1</v>
      </c>
      <c r="I2103">
        <v>283</v>
      </c>
      <c r="J2103">
        <v>1967</v>
      </c>
      <c r="K2103" s="4">
        <v>44970</v>
      </c>
      <c r="L2103" t="s">
        <v>20</v>
      </c>
      <c r="M2103" t="s">
        <v>35</v>
      </c>
      <c r="N2103">
        <v>3.31</v>
      </c>
      <c r="O2103">
        <v>1369</v>
      </c>
      <c r="P2103">
        <v>4.0999999999999996</v>
      </c>
      <c r="Q2103">
        <v>223</v>
      </c>
      <c r="R2103">
        <v>468</v>
      </c>
    </row>
    <row r="2104" spans="1:18" hidden="1" x14ac:dyDescent="0.2">
      <c r="A2104">
        <v>0</v>
      </c>
      <c r="B2104" t="s">
        <v>93</v>
      </c>
      <c r="E2104" t="s">
        <v>36</v>
      </c>
      <c r="F2104">
        <v>1034848</v>
      </c>
      <c r="G2104">
        <v>5</v>
      </c>
      <c r="H2104">
        <v>1</v>
      </c>
      <c r="I2104">
        <v>220</v>
      </c>
      <c r="J2104">
        <v>1999</v>
      </c>
      <c r="K2104" s="4">
        <v>44789</v>
      </c>
      <c r="L2104" t="s">
        <v>26</v>
      </c>
      <c r="M2104" t="s">
        <v>89</v>
      </c>
      <c r="N2104">
        <v>2.8</v>
      </c>
      <c r="O2104">
        <v>1774</v>
      </c>
      <c r="P2104">
        <v>3.19</v>
      </c>
      <c r="Q2104">
        <v>265</v>
      </c>
      <c r="R2104">
        <v>666</v>
      </c>
    </row>
    <row r="2105" spans="1:18" hidden="1" x14ac:dyDescent="0.2">
      <c r="A2105">
        <v>0</v>
      </c>
      <c r="B2105" t="s">
        <v>92</v>
      </c>
      <c r="E2105" t="s">
        <v>29</v>
      </c>
      <c r="F2105">
        <v>1661993</v>
      </c>
      <c r="G2105">
        <v>3</v>
      </c>
      <c r="H2105">
        <v>1</v>
      </c>
      <c r="I2105">
        <v>159</v>
      </c>
      <c r="J2105">
        <v>1972</v>
      </c>
      <c r="K2105" s="4">
        <v>44107</v>
      </c>
      <c r="L2105" t="s">
        <v>30</v>
      </c>
      <c r="M2105" t="s">
        <v>59</v>
      </c>
      <c r="N2105">
        <v>3.21</v>
      </c>
      <c r="O2105">
        <v>951</v>
      </c>
      <c r="P2105">
        <v>3.12</v>
      </c>
      <c r="Q2105">
        <v>97</v>
      </c>
      <c r="R2105">
        <v>462</v>
      </c>
    </row>
    <row r="2106" spans="1:18" hidden="1" x14ac:dyDescent="0.2">
      <c r="A2106">
        <v>4</v>
      </c>
      <c r="B2106" t="s">
        <v>49</v>
      </c>
      <c r="E2106" t="s">
        <v>19</v>
      </c>
      <c r="F2106">
        <v>1973223</v>
      </c>
      <c r="G2106">
        <v>6</v>
      </c>
      <c r="H2106">
        <v>1</v>
      </c>
      <c r="I2106">
        <v>648</v>
      </c>
      <c r="J2106">
        <v>2005</v>
      </c>
      <c r="K2106" s="4">
        <v>44776</v>
      </c>
      <c r="L2106" t="s">
        <v>23</v>
      </c>
      <c r="M2106" t="s">
        <v>52</v>
      </c>
      <c r="N2106">
        <v>2.08</v>
      </c>
      <c r="O2106">
        <v>1956</v>
      </c>
      <c r="P2106">
        <v>3.53</v>
      </c>
      <c r="Q2106">
        <v>367</v>
      </c>
      <c r="R2106">
        <v>698</v>
      </c>
    </row>
    <row r="2107" spans="1:18" hidden="1" x14ac:dyDescent="0.2">
      <c r="A2107">
        <v>7</v>
      </c>
      <c r="B2107" t="s">
        <v>102</v>
      </c>
      <c r="E2107" t="s">
        <v>19</v>
      </c>
      <c r="F2107">
        <v>2868551</v>
      </c>
      <c r="G2107">
        <v>3</v>
      </c>
      <c r="H2107">
        <v>2</v>
      </c>
      <c r="I2107">
        <v>888</v>
      </c>
      <c r="J2107">
        <v>1986</v>
      </c>
      <c r="K2107" s="4">
        <v>44681</v>
      </c>
      <c r="L2107" t="s">
        <v>23</v>
      </c>
      <c r="M2107" t="s">
        <v>31</v>
      </c>
      <c r="N2107">
        <v>2.23</v>
      </c>
      <c r="O2107">
        <v>2030</v>
      </c>
      <c r="P2107">
        <v>4.55</v>
      </c>
      <c r="Q2107">
        <v>256</v>
      </c>
      <c r="R2107">
        <v>360</v>
      </c>
    </row>
    <row r="2108" spans="1:18" hidden="1" x14ac:dyDescent="0.2">
      <c r="A2108">
        <v>3</v>
      </c>
      <c r="B2108" t="s">
        <v>75</v>
      </c>
      <c r="E2108" t="s">
        <v>29</v>
      </c>
      <c r="F2108">
        <v>1045049</v>
      </c>
      <c r="G2108">
        <v>0</v>
      </c>
      <c r="H2108">
        <v>2</v>
      </c>
      <c r="I2108">
        <v>304</v>
      </c>
      <c r="J2108">
        <v>2019</v>
      </c>
      <c r="K2108" s="4">
        <v>45813</v>
      </c>
      <c r="L2108" t="s">
        <v>20</v>
      </c>
      <c r="M2108" t="s">
        <v>40</v>
      </c>
      <c r="N2108">
        <v>2.4700000000000002</v>
      </c>
      <c r="O2108">
        <v>1390</v>
      </c>
      <c r="P2108">
        <v>4.45</v>
      </c>
      <c r="Q2108">
        <v>49</v>
      </c>
      <c r="R2108">
        <v>449</v>
      </c>
    </row>
    <row r="2109" spans="1:18" hidden="1" x14ac:dyDescent="0.2">
      <c r="A2109">
        <v>7</v>
      </c>
      <c r="B2109" t="s">
        <v>83</v>
      </c>
      <c r="E2109" t="s">
        <v>29</v>
      </c>
      <c r="F2109">
        <v>1944283</v>
      </c>
      <c r="G2109">
        <v>0</v>
      </c>
      <c r="H2109">
        <v>2</v>
      </c>
      <c r="I2109">
        <v>950</v>
      </c>
      <c r="J2109">
        <v>2003</v>
      </c>
      <c r="K2109" s="4">
        <v>44316</v>
      </c>
      <c r="L2109" t="s">
        <v>23</v>
      </c>
      <c r="M2109" t="s">
        <v>66</v>
      </c>
      <c r="N2109">
        <v>1.73</v>
      </c>
      <c r="O2109">
        <v>1322</v>
      </c>
      <c r="P2109">
        <v>2.08</v>
      </c>
      <c r="Q2109">
        <v>45</v>
      </c>
      <c r="R2109">
        <v>447</v>
      </c>
    </row>
    <row r="2110" spans="1:18" hidden="1" x14ac:dyDescent="0.2">
      <c r="A2110">
        <v>7</v>
      </c>
      <c r="B2110" t="s">
        <v>93</v>
      </c>
      <c r="E2110" t="s">
        <v>51</v>
      </c>
      <c r="F2110">
        <v>1542153</v>
      </c>
      <c r="G2110">
        <v>3</v>
      </c>
      <c r="H2110">
        <v>1</v>
      </c>
      <c r="I2110">
        <v>909</v>
      </c>
      <c r="J2110">
        <v>1959</v>
      </c>
      <c r="K2110" s="4">
        <v>44948</v>
      </c>
      <c r="L2110" t="s">
        <v>26</v>
      </c>
      <c r="M2110" t="s">
        <v>60</v>
      </c>
      <c r="N2110">
        <v>1.5</v>
      </c>
      <c r="O2110">
        <v>1876</v>
      </c>
      <c r="P2110">
        <v>0.49</v>
      </c>
      <c r="Q2110">
        <v>187</v>
      </c>
      <c r="R2110">
        <v>435</v>
      </c>
    </row>
    <row r="2111" spans="1:18" hidden="1" x14ac:dyDescent="0.2">
      <c r="A2111">
        <v>6</v>
      </c>
      <c r="B2111" t="s">
        <v>90</v>
      </c>
      <c r="E2111" t="s">
        <v>19</v>
      </c>
      <c r="F2111">
        <v>2909845</v>
      </c>
      <c r="G2111">
        <v>3</v>
      </c>
      <c r="H2111">
        <v>3</v>
      </c>
      <c r="I2111">
        <v>909</v>
      </c>
      <c r="J2111">
        <v>1962</v>
      </c>
      <c r="K2111" s="4">
        <v>44244</v>
      </c>
      <c r="L2111" t="s">
        <v>26</v>
      </c>
      <c r="M2111" t="s">
        <v>12</v>
      </c>
      <c r="N2111">
        <v>2.54</v>
      </c>
      <c r="O2111">
        <v>1309</v>
      </c>
      <c r="P2111">
        <v>3.56</v>
      </c>
      <c r="Q2111">
        <v>212</v>
      </c>
      <c r="R2111">
        <v>485</v>
      </c>
    </row>
    <row r="2112" spans="1:18" hidden="1" x14ac:dyDescent="0.2">
      <c r="A2112">
        <v>9</v>
      </c>
      <c r="B2112" t="s">
        <v>81</v>
      </c>
      <c r="E2112" t="s">
        <v>36</v>
      </c>
      <c r="F2112">
        <v>622564</v>
      </c>
      <c r="G2112">
        <v>4</v>
      </c>
      <c r="H2112">
        <v>3</v>
      </c>
      <c r="I2112">
        <v>494</v>
      </c>
      <c r="J2112">
        <v>2019</v>
      </c>
      <c r="K2112" s="4">
        <v>44426</v>
      </c>
      <c r="L2112" t="s">
        <v>26</v>
      </c>
      <c r="M2112" t="s">
        <v>74</v>
      </c>
      <c r="N2112">
        <v>2.73</v>
      </c>
      <c r="O2112">
        <v>1044</v>
      </c>
      <c r="P2112">
        <v>1.01</v>
      </c>
      <c r="Q2112">
        <v>355</v>
      </c>
      <c r="R2112">
        <v>438</v>
      </c>
    </row>
    <row r="2113" spans="1:18" hidden="1" x14ac:dyDescent="0.2">
      <c r="A2113">
        <v>0</v>
      </c>
      <c r="B2113" t="s">
        <v>102</v>
      </c>
      <c r="E2113" t="s">
        <v>29</v>
      </c>
      <c r="F2113">
        <v>2279428</v>
      </c>
      <c r="G2113">
        <v>2</v>
      </c>
      <c r="H2113">
        <v>1</v>
      </c>
      <c r="I2113">
        <v>295</v>
      </c>
      <c r="J2113">
        <v>1991</v>
      </c>
      <c r="K2113" s="4">
        <v>44462</v>
      </c>
      <c r="L2113" t="s">
        <v>30</v>
      </c>
      <c r="M2113" t="s">
        <v>63</v>
      </c>
      <c r="N2113">
        <v>3.17</v>
      </c>
      <c r="O2113">
        <v>1855</v>
      </c>
      <c r="P2113">
        <v>0.37</v>
      </c>
      <c r="Q2113">
        <v>97</v>
      </c>
      <c r="R2113">
        <v>315</v>
      </c>
    </row>
    <row r="2114" spans="1:18" hidden="1" x14ac:dyDescent="0.2">
      <c r="A2114">
        <v>9</v>
      </c>
      <c r="B2114" t="s">
        <v>100</v>
      </c>
      <c r="E2114" t="s">
        <v>36</v>
      </c>
      <c r="F2114">
        <v>1931533</v>
      </c>
      <c r="G2114">
        <v>5</v>
      </c>
      <c r="H2114">
        <v>3</v>
      </c>
      <c r="I2114">
        <v>974</v>
      </c>
      <c r="J2114">
        <v>1990</v>
      </c>
      <c r="K2114" s="4">
        <v>44341</v>
      </c>
      <c r="L2114" t="s">
        <v>20</v>
      </c>
      <c r="M2114" t="s">
        <v>78</v>
      </c>
      <c r="N2114">
        <v>2.73</v>
      </c>
      <c r="O2114">
        <v>2115</v>
      </c>
      <c r="P2114">
        <v>4.7699999999999996</v>
      </c>
      <c r="Q2114">
        <v>387</v>
      </c>
      <c r="R2114">
        <v>361</v>
      </c>
    </row>
    <row r="2115" spans="1:18" hidden="1" x14ac:dyDescent="0.2">
      <c r="A2115">
        <v>7</v>
      </c>
      <c r="B2115" t="s">
        <v>79</v>
      </c>
      <c r="E2115" t="s">
        <v>19</v>
      </c>
      <c r="F2115">
        <v>2596157</v>
      </c>
      <c r="G2115">
        <v>4</v>
      </c>
      <c r="H2115">
        <v>1</v>
      </c>
      <c r="I2115">
        <v>957</v>
      </c>
      <c r="J2115">
        <v>1965</v>
      </c>
      <c r="K2115" s="4">
        <v>45842</v>
      </c>
      <c r="L2115" t="s">
        <v>30</v>
      </c>
      <c r="M2115" t="s">
        <v>24</v>
      </c>
      <c r="N2115">
        <v>1.69</v>
      </c>
      <c r="O2115">
        <v>1909</v>
      </c>
      <c r="P2115">
        <v>1.44</v>
      </c>
      <c r="Q2115">
        <v>279</v>
      </c>
      <c r="R2115">
        <v>337</v>
      </c>
    </row>
    <row r="2116" spans="1:18" hidden="1" x14ac:dyDescent="0.2">
      <c r="A2116">
        <v>6</v>
      </c>
      <c r="B2116" t="s">
        <v>102</v>
      </c>
      <c r="E2116" t="s">
        <v>51</v>
      </c>
      <c r="F2116">
        <v>1850363</v>
      </c>
      <c r="G2116">
        <v>4</v>
      </c>
      <c r="H2116">
        <v>2</v>
      </c>
      <c r="I2116">
        <v>630</v>
      </c>
      <c r="J2116">
        <v>2014</v>
      </c>
      <c r="K2116" s="4">
        <v>44817</v>
      </c>
      <c r="L2116" t="s">
        <v>20</v>
      </c>
      <c r="M2116" t="s">
        <v>77</v>
      </c>
      <c r="N2116">
        <v>1.84</v>
      </c>
      <c r="O2116">
        <v>2041</v>
      </c>
      <c r="P2116">
        <v>0.19</v>
      </c>
      <c r="Q2116">
        <v>255</v>
      </c>
      <c r="R2116">
        <v>305</v>
      </c>
    </row>
    <row r="2117" spans="1:18" hidden="1" x14ac:dyDescent="0.2">
      <c r="A2117">
        <v>1</v>
      </c>
      <c r="B2117" t="s">
        <v>106</v>
      </c>
      <c r="E2117" t="s">
        <v>36</v>
      </c>
      <c r="F2117">
        <v>1304423</v>
      </c>
      <c r="G2117">
        <v>2</v>
      </c>
      <c r="H2117">
        <v>2</v>
      </c>
      <c r="I2117">
        <v>654</v>
      </c>
      <c r="J2117">
        <v>1969</v>
      </c>
      <c r="K2117" s="4">
        <v>44741</v>
      </c>
      <c r="L2117" t="s">
        <v>23</v>
      </c>
      <c r="M2117" t="s">
        <v>31</v>
      </c>
      <c r="N2117">
        <v>3.38</v>
      </c>
      <c r="O2117">
        <v>2164</v>
      </c>
      <c r="P2117">
        <v>4.88</v>
      </c>
      <c r="Q2117">
        <v>203</v>
      </c>
      <c r="R2117">
        <v>406</v>
      </c>
    </row>
    <row r="2118" spans="1:18" hidden="1" x14ac:dyDescent="0.2">
      <c r="A2118">
        <v>7</v>
      </c>
      <c r="B2118" t="s">
        <v>101</v>
      </c>
      <c r="E2118" t="s">
        <v>36</v>
      </c>
      <c r="F2118">
        <v>463591</v>
      </c>
      <c r="G2118">
        <v>2</v>
      </c>
      <c r="H2118">
        <v>1</v>
      </c>
      <c r="I2118">
        <v>925</v>
      </c>
      <c r="J2118">
        <v>2020</v>
      </c>
      <c r="K2118" s="4">
        <v>44457</v>
      </c>
      <c r="L2118" t="s">
        <v>26</v>
      </c>
      <c r="M2118" t="s">
        <v>97</v>
      </c>
      <c r="N2118">
        <v>3.31</v>
      </c>
      <c r="O2118">
        <v>929</v>
      </c>
      <c r="P2118">
        <v>1.31</v>
      </c>
      <c r="Q2118">
        <v>211</v>
      </c>
      <c r="R2118">
        <v>640</v>
      </c>
    </row>
    <row r="2119" spans="1:18" hidden="1" x14ac:dyDescent="0.2">
      <c r="A2119">
        <v>0</v>
      </c>
      <c r="B2119" t="s">
        <v>92</v>
      </c>
      <c r="E2119" t="s">
        <v>51</v>
      </c>
      <c r="F2119">
        <v>2144195</v>
      </c>
      <c r="G2119">
        <v>3</v>
      </c>
      <c r="H2119">
        <v>3</v>
      </c>
      <c r="I2119">
        <v>312</v>
      </c>
      <c r="J2119">
        <v>1981</v>
      </c>
      <c r="K2119" s="4">
        <v>45424</v>
      </c>
      <c r="L2119" t="s">
        <v>30</v>
      </c>
      <c r="M2119" t="s">
        <v>59</v>
      </c>
      <c r="N2119">
        <v>2.33</v>
      </c>
      <c r="O2119">
        <v>1580</v>
      </c>
      <c r="P2119">
        <v>3.35</v>
      </c>
      <c r="Q2119">
        <v>158</v>
      </c>
      <c r="R2119">
        <v>447</v>
      </c>
    </row>
    <row r="2120" spans="1:18" hidden="1" x14ac:dyDescent="0.2">
      <c r="A2120">
        <v>2</v>
      </c>
      <c r="B2120" t="s">
        <v>95</v>
      </c>
      <c r="E2120" t="s">
        <v>19</v>
      </c>
      <c r="F2120">
        <v>1622054</v>
      </c>
      <c r="G2120">
        <v>1</v>
      </c>
      <c r="H2120">
        <v>2</v>
      </c>
      <c r="I2120">
        <v>643</v>
      </c>
      <c r="J2120">
        <v>1951</v>
      </c>
      <c r="K2120" s="4">
        <v>45590</v>
      </c>
      <c r="L2120" t="s">
        <v>30</v>
      </c>
      <c r="M2120" t="s">
        <v>68</v>
      </c>
      <c r="N2120">
        <v>1.84</v>
      </c>
      <c r="O2120">
        <v>1271</v>
      </c>
      <c r="P2120">
        <v>1.36</v>
      </c>
      <c r="Q2120">
        <v>146</v>
      </c>
      <c r="R2120">
        <v>384</v>
      </c>
    </row>
    <row r="2121" spans="1:18" x14ac:dyDescent="0.2">
      <c r="A2121">
        <v>8</v>
      </c>
      <c r="B2121" t="s">
        <v>104</v>
      </c>
      <c r="C2121" t="str">
        <f>VLOOKUP(B2121, 'Council Area'!$A$2:$B$51, 2)</f>
        <v>Northern Beaches Council</v>
      </c>
      <c r="D2121" t="str">
        <f>_xlfn.XLOOKUP(B2121, 'Council Area'!$A$2:$A$51, 'Council Area'!$B$2:$B$51)</f>
        <v>Northern Beaches Council</v>
      </c>
      <c r="E2121" t="s">
        <v>36</v>
      </c>
      <c r="F2121">
        <v>1639685</v>
      </c>
      <c r="G2121">
        <v>4</v>
      </c>
      <c r="H2121">
        <v>2</v>
      </c>
      <c r="I2121">
        <v>798</v>
      </c>
      <c r="J2121">
        <v>1966</v>
      </c>
      <c r="K2121" s="4">
        <v>44846</v>
      </c>
      <c r="L2121" t="s">
        <v>23</v>
      </c>
      <c r="M2121" t="s">
        <v>74</v>
      </c>
      <c r="N2121">
        <v>2.09</v>
      </c>
      <c r="O2121">
        <v>1563</v>
      </c>
      <c r="P2121">
        <v>0.46</v>
      </c>
      <c r="Q2121">
        <v>396</v>
      </c>
      <c r="R2121">
        <v>677</v>
      </c>
    </row>
    <row r="2122" spans="1:18" hidden="1" x14ac:dyDescent="0.2">
      <c r="A2122">
        <v>5</v>
      </c>
      <c r="B2122" t="s">
        <v>96</v>
      </c>
      <c r="E2122" t="s">
        <v>19</v>
      </c>
      <c r="F2122">
        <v>936921</v>
      </c>
      <c r="G2122">
        <v>4</v>
      </c>
      <c r="H2122">
        <v>3</v>
      </c>
      <c r="I2122">
        <v>933</v>
      </c>
      <c r="J2122">
        <v>1950</v>
      </c>
      <c r="K2122" s="4">
        <v>44371</v>
      </c>
      <c r="L2122" t="s">
        <v>23</v>
      </c>
      <c r="M2122" t="s">
        <v>40</v>
      </c>
      <c r="N2122">
        <v>3.18</v>
      </c>
      <c r="O2122">
        <v>1481</v>
      </c>
      <c r="P2122">
        <v>2.79</v>
      </c>
      <c r="Q2122">
        <v>333</v>
      </c>
      <c r="R2122">
        <v>571</v>
      </c>
    </row>
    <row r="2123" spans="1:18" hidden="1" x14ac:dyDescent="0.2">
      <c r="A2123">
        <v>7</v>
      </c>
      <c r="B2123" t="s">
        <v>101</v>
      </c>
      <c r="E2123" t="s">
        <v>51</v>
      </c>
      <c r="F2123">
        <v>2645905</v>
      </c>
      <c r="G2123">
        <v>4</v>
      </c>
      <c r="H2123">
        <v>3</v>
      </c>
      <c r="I2123">
        <v>843</v>
      </c>
      <c r="J2123">
        <v>2026</v>
      </c>
      <c r="K2123" s="4">
        <v>45235</v>
      </c>
      <c r="L2123" t="s">
        <v>26</v>
      </c>
      <c r="M2123" t="s">
        <v>77</v>
      </c>
      <c r="N2123">
        <v>2.73</v>
      </c>
      <c r="O2123">
        <v>1240</v>
      </c>
      <c r="P2123">
        <v>1.64</v>
      </c>
      <c r="Q2123">
        <v>308</v>
      </c>
      <c r="R2123">
        <v>336</v>
      </c>
    </row>
    <row r="2124" spans="1:18" hidden="1" x14ac:dyDescent="0.2">
      <c r="A2124">
        <v>0</v>
      </c>
      <c r="B2124" t="s">
        <v>99</v>
      </c>
      <c r="E2124" t="s">
        <v>36</v>
      </c>
      <c r="F2124">
        <v>1361206</v>
      </c>
      <c r="G2124">
        <v>0</v>
      </c>
      <c r="H2124">
        <v>3</v>
      </c>
      <c r="I2124">
        <v>492</v>
      </c>
      <c r="J2124">
        <v>1982</v>
      </c>
      <c r="K2124" s="4">
        <v>44167</v>
      </c>
      <c r="L2124" t="s">
        <v>23</v>
      </c>
      <c r="M2124" t="s">
        <v>35</v>
      </c>
      <c r="N2124">
        <v>2.0099999999999998</v>
      </c>
      <c r="O2124">
        <v>2362</v>
      </c>
      <c r="P2124">
        <v>4.3</v>
      </c>
      <c r="Q2124">
        <v>40</v>
      </c>
      <c r="R2124">
        <v>609</v>
      </c>
    </row>
    <row r="2125" spans="1:18" hidden="1" x14ac:dyDescent="0.2">
      <c r="A2125">
        <v>5</v>
      </c>
      <c r="B2125" t="s">
        <v>67</v>
      </c>
      <c r="E2125" t="s">
        <v>51</v>
      </c>
      <c r="F2125">
        <v>557191</v>
      </c>
      <c r="G2125">
        <v>5</v>
      </c>
      <c r="H2125">
        <v>1</v>
      </c>
      <c r="I2125">
        <v>77</v>
      </c>
      <c r="J2125">
        <v>1961</v>
      </c>
      <c r="K2125" s="4">
        <v>44830</v>
      </c>
      <c r="L2125" t="s">
        <v>20</v>
      </c>
      <c r="M2125" t="s">
        <v>37</v>
      </c>
      <c r="N2125">
        <v>3.4</v>
      </c>
      <c r="O2125">
        <v>1911</v>
      </c>
      <c r="P2125">
        <v>3.51</v>
      </c>
      <c r="Q2125">
        <v>300</v>
      </c>
      <c r="R2125">
        <v>580</v>
      </c>
    </row>
    <row r="2126" spans="1:18" hidden="1" x14ac:dyDescent="0.2">
      <c r="A2126">
        <v>9</v>
      </c>
      <c r="B2126" t="s">
        <v>22</v>
      </c>
      <c r="E2126" t="s">
        <v>51</v>
      </c>
      <c r="F2126">
        <v>2569379</v>
      </c>
      <c r="G2126">
        <v>4</v>
      </c>
      <c r="H2126">
        <v>2</v>
      </c>
      <c r="I2126">
        <v>263</v>
      </c>
      <c r="J2126">
        <v>2008</v>
      </c>
      <c r="K2126" s="4">
        <v>44830</v>
      </c>
      <c r="L2126" t="s">
        <v>23</v>
      </c>
      <c r="M2126" t="s">
        <v>37</v>
      </c>
      <c r="N2126">
        <v>1.57</v>
      </c>
      <c r="O2126">
        <v>1283</v>
      </c>
      <c r="P2126">
        <v>3.28</v>
      </c>
      <c r="Q2126">
        <v>217</v>
      </c>
      <c r="R2126">
        <v>531</v>
      </c>
    </row>
    <row r="2127" spans="1:18" hidden="1" x14ac:dyDescent="0.2">
      <c r="A2127">
        <v>3</v>
      </c>
      <c r="B2127" t="s">
        <v>71</v>
      </c>
      <c r="E2127" t="s">
        <v>29</v>
      </c>
      <c r="F2127">
        <v>2269501</v>
      </c>
      <c r="G2127">
        <v>1</v>
      </c>
      <c r="H2127">
        <v>1</v>
      </c>
      <c r="I2127">
        <v>821</v>
      </c>
      <c r="J2127">
        <v>2005</v>
      </c>
      <c r="K2127" s="4">
        <v>44707</v>
      </c>
      <c r="L2127" t="s">
        <v>26</v>
      </c>
      <c r="M2127" t="s">
        <v>70</v>
      </c>
      <c r="N2127">
        <v>2.57</v>
      </c>
      <c r="O2127">
        <v>2185</v>
      </c>
      <c r="P2127">
        <v>3.26</v>
      </c>
      <c r="Q2127">
        <v>149</v>
      </c>
      <c r="R2127">
        <v>548</v>
      </c>
    </row>
    <row r="2128" spans="1:18" hidden="1" x14ac:dyDescent="0.2">
      <c r="A2128">
        <v>2</v>
      </c>
      <c r="B2128" t="s">
        <v>25</v>
      </c>
      <c r="E2128" t="s">
        <v>19</v>
      </c>
      <c r="F2128">
        <v>1252154</v>
      </c>
      <c r="G2128">
        <v>4</v>
      </c>
      <c r="H2128">
        <v>1</v>
      </c>
      <c r="I2128">
        <v>972</v>
      </c>
      <c r="J2128">
        <v>1986</v>
      </c>
      <c r="K2128" s="4">
        <v>45592</v>
      </c>
      <c r="L2128" t="s">
        <v>30</v>
      </c>
      <c r="M2128" t="s">
        <v>40</v>
      </c>
      <c r="N2128">
        <v>2.77</v>
      </c>
      <c r="O2128">
        <v>2320</v>
      </c>
      <c r="P2128">
        <v>3.99</v>
      </c>
      <c r="Q2128">
        <v>340</v>
      </c>
      <c r="R2128">
        <v>325</v>
      </c>
    </row>
    <row r="2129" spans="1:18" hidden="1" x14ac:dyDescent="0.2">
      <c r="A2129">
        <v>5</v>
      </c>
      <c r="B2129" t="s">
        <v>22</v>
      </c>
      <c r="E2129" t="s">
        <v>19</v>
      </c>
      <c r="F2129">
        <v>891590</v>
      </c>
      <c r="G2129">
        <v>4</v>
      </c>
      <c r="H2129">
        <v>1</v>
      </c>
      <c r="I2129">
        <v>982</v>
      </c>
      <c r="J2129">
        <v>1999</v>
      </c>
      <c r="K2129" s="4">
        <v>44256</v>
      </c>
      <c r="L2129" t="s">
        <v>20</v>
      </c>
      <c r="M2129" t="s">
        <v>33</v>
      </c>
      <c r="N2129">
        <v>2.83</v>
      </c>
      <c r="O2129">
        <v>1122</v>
      </c>
      <c r="P2129">
        <v>4.17</v>
      </c>
      <c r="Q2129">
        <v>222</v>
      </c>
      <c r="R2129">
        <v>614</v>
      </c>
    </row>
    <row r="2130" spans="1:18" hidden="1" x14ac:dyDescent="0.2">
      <c r="A2130">
        <v>4</v>
      </c>
      <c r="B2130" t="s">
        <v>86</v>
      </c>
      <c r="E2130" t="s">
        <v>51</v>
      </c>
      <c r="F2130">
        <v>2046071</v>
      </c>
      <c r="G2130">
        <v>1</v>
      </c>
      <c r="H2130">
        <v>1</v>
      </c>
      <c r="I2130">
        <v>217</v>
      </c>
      <c r="J2130">
        <v>2013</v>
      </c>
      <c r="K2130" s="4">
        <v>45876</v>
      </c>
      <c r="L2130" t="s">
        <v>23</v>
      </c>
      <c r="M2130" t="s">
        <v>42</v>
      </c>
      <c r="N2130">
        <v>2.2200000000000002</v>
      </c>
      <c r="O2130">
        <v>1320</v>
      </c>
      <c r="P2130">
        <v>1.06</v>
      </c>
      <c r="Q2130">
        <v>134</v>
      </c>
      <c r="R2130">
        <v>496</v>
      </c>
    </row>
    <row r="2131" spans="1:18" hidden="1" x14ac:dyDescent="0.2">
      <c r="A2131">
        <v>0</v>
      </c>
      <c r="B2131" t="s">
        <v>93</v>
      </c>
      <c r="E2131" t="s">
        <v>36</v>
      </c>
      <c r="F2131">
        <v>1648759</v>
      </c>
      <c r="G2131">
        <v>1</v>
      </c>
      <c r="H2131">
        <v>2</v>
      </c>
      <c r="I2131">
        <v>435</v>
      </c>
      <c r="J2131">
        <v>1982</v>
      </c>
      <c r="K2131" s="4">
        <v>44218</v>
      </c>
      <c r="L2131" t="s">
        <v>20</v>
      </c>
      <c r="M2131" t="s">
        <v>63</v>
      </c>
      <c r="N2131">
        <v>3.23</v>
      </c>
      <c r="O2131">
        <v>1729</v>
      </c>
      <c r="P2131">
        <v>2.8</v>
      </c>
      <c r="Q2131">
        <v>51</v>
      </c>
      <c r="R2131">
        <v>577</v>
      </c>
    </row>
    <row r="2132" spans="1:18" x14ac:dyDescent="0.2">
      <c r="A2132">
        <v>8</v>
      </c>
      <c r="B2132" t="s">
        <v>67</v>
      </c>
      <c r="C2132" t="str">
        <f>VLOOKUP(B2132, 'Council Area'!$A$2:$B$51, 2)</f>
        <v>Ku-ring-gai Council</v>
      </c>
      <c r="D2132" t="str">
        <f>_xlfn.XLOOKUP(B2132, 'Council Area'!$A$2:$A$51, 'Council Area'!$B$2:$B$51)</f>
        <v>Ku-ring-gai Council</v>
      </c>
      <c r="E2132" t="s">
        <v>51</v>
      </c>
      <c r="F2132">
        <v>1278005</v>
      </c>
      <c r="G2132">
        <v>6</v>
      </c>
      <c r="H2132">
        <v>2</v>
      </c>
      <c r="I2132">
        <v>822</v>
      </c>
      <c r="J2132">
        <v>1999</v>
      </c>
      <c r="K2132" s="4">
        <v>44605</v>
      </c>
      <c r="L2132" t="s">
        <v>23</v>
      </c>
      <c r="M2132" t="s">
        <v>82</v>
      </c>
      <c r="N2132">
        <v>1.71</v>
      </c>
      <c r="O2132">
        <v>1159</v>
      </c>
      <c r="P2132">
        <v>1.37</v>
      </c>
      <c r="Q2132">
        <v>390</v>
      </c>
      <c r="R2132">
        <v>452</v>
      </c>
    </row>
    <row r="2133" spans="1:18" x14ac:dyDescent="0.2">
      <c r="A2133">
        <v>8</v>
      </c>
      <c r="B2133" t="s">
        <v>65</v>
      </c>
      <c r="C2133" t="str">
        <f>VLOOKUP(B2133, 'Council Area'!$A$2:$B$51, 2)</f>
        <v>Sutherland Shire Council</v>
      </c>
      <c r="D2133" t="str">
        <f>_xlfn.XLOOKUP(B2133, 'Council Area'!$A$2:$A$51, 'Council Area'!$B$2:$B$51)</f>
        <v>Sutherland Shire Council</v>
      </c>
      <c r="E2133" t="s">
        <v>36</v>
      </c>
      <c r="F2133">
        <v>2006391</v>
      </c>
      <c r="G2133">
        <v>3</v>
      </c>
      <c r="H2133">
        <v>2</v>
      </c>
      <c r="I2133">
        <v>455</v>
      </c>
      <c r="J2133">
        <v>1991</v>
      </c>
      <c r="K2133" s="4">
        <v>45824</v>
      </c>
      <c r="L2133" t="s">
        <v>30</v>
      </c>
      <c r="M2133" t="s">
        <v>85</v>
      </c>
      <c r="N2133">
        <v>1.99</v>
      </c>
      <c r="O2133">
        <v>2151</v>
      </c>
      <c r="P2133">
        <v>3.98</v>
      </c>
      <c r="Q2133">
        <v>169</v>
      </c>
      <c r="R2133">
        <v>411</v>
      </c>
    </row>
    <row r="2134" spans="1:18" hidden="1" x14ac:dyDescent="0.2">
      <c r="A2134">
        <v>0</v>
      </c>
      <c r="B2134" t="s">
        <v>61</v>
      </c>
      <c r="E2134" t="s">
        <v>29</v>
      </c>
      <c r="F2134">
        <v>1516326</v>
      </c>
      <c r="G2134">
        <v>5</v>
      </c>
      <c r="H2134">
        <v>3</v>
      </c>
      <c r="I2134">
        <v>322</v>
      </c>
      <c r="J2134">
        <v>1978</v>
      </c>
      <c r="K2134" s="4">
        <v>45699</v>
      </c>
      <c r="L2134" t="s">
        <v>26</v>
      </c>
      <c r="M2134" t="s">
        <v>45</v>
      </c>
      <c r="N2134">
        <v>3.04</v>
      </c>
      <c r="O2134">
        <v>2018</v>
      </c>
      <c r="P2134">
        <v>3.88</v>
      </c>
      <c r="Q2134">
        <v>342</v>
      </c>
      <c r="R2134">
        <v>682</v>
      </c>
    </row>
    <row r="2135" spans="1:18" hidden="1" x14ac:dyDescent="0.2">
      <c r="A2135">
        <v>3</v>
      </c>
      <c r="B2135" t="s">
        <v>53</v>
      </c>
      <c r="E2135" t="s">
        <v>29</v>
      </c>
      <c r="F2135">
        <v>695202</v>
      </c>
      <c r="G2135">
        <v>4</v>
      </c>
      <c r="H2135">
        <v>1</v>
      </c>
      <c r="I2135">
        <v>164</v>
      </c>
      <c r="J2135">
        <v>2014</v>
      </c>
      <c r="K2135" s="4">
        <v>45112</v>
      </c>
      <c r="L2135" t="s">
        <v>30</v>
      </c>
      <c r="M2135" t="s">
        <v>69</v>
      </c>
      <c r="N2135">
        <v>1.68</v>
      </c>
      <c r="O2135">
        <v>1589</v>
      </c>
      <c r="P2135">
        <v>1.81</v>
      </c>
      <c r="Q2135">
        <v>215</v>
      </c>
      <c r="R2135">
        <v>357</v>
      </c>
    </row>
    <row r="2136" spans="1:18" x14ac:dyDescent="0.2">
      <c r="A2136">
        <v>8</v>
      </c>
      <c r="B2136" t="s">
        <v>72</v>
      </c>
      <c r="C2136" t="str">
        <f>VLOOKUP(B2136, 'Council Area'!$A$2:$B$51, 2)</f>
        <v>Hornsby Shire Council</v>
      </c>
      <c r="D2136" t="str">
        <f>_xlfn.XLOOKUP(B2136, 'Council Area'!$A$2:$A$51, 'Council Area'!$B$2:$B$51)</f>
        <v>Hornsby Shire Council</v>
      </c>
      <c r="E2136" t="s">
        <v>36</v>
      </c>
      <c r="F2136">
        <v>1060185</v>
      </c>
      <c r="G2136">
        <v>6</v>
      </c>
      <c r="H2136">
        <v>2</v>
      </c>
      <c r="I2136">
        <v>315</v>
      </c>
      <c r="J2136">
        <v>2008</v>
      </c>
      <c r="K2136" s="4">
        <v>45097</v>
      </c>
      <c r="L2136" t="s">
        <v>26</v>
      </c>
      <c r="M2136" t="s">
        <v>59</v>
      </c>
      <c r="N2136">
        <v>3.3</v>
      </c>
      <c r="O2136">
        <v>2396</v>
      </c>
      <c r="P2136">
        <v>2.54</v>
      </c>
      <c r="Q2136">
        <v>369</v>
      </c>
      <c r="R2136">
        <v>468</v>
      </c>
    </row>
    <row r="2137" spans="1:18" hidden="1" x14ac:dyDescent="0.2">
      <c r="A2137">
        <v>3</v>
      </c>
      <c r="B2137" t="s">
        <v>93</v>
      </c>
      <c r="E2137" t="s">
        <v>29</v>
      </c>
      <c r="F2137">
        <v>1512263</v>
      </c>
      <c r="G2137">
        <v>2</v>
      </c>
      <c r="H2137">
        <v>3</v>
      </c>
      <c r="I2137">
        <v>720</v>
      </c>
      <c r="J2137">
        <v>1958</v>
      </c>
      <c r="K2137" s="4">
        <v>45766</v>
      </c>
      <c r="L2137" t="s">
        <v>30</v>
      </c>
      <c r="M2137" t="s">
        <v>97</v>
      </c>
      <c r="N2137">
        <v>2.7</v>
      </c>
      <c r="O2137">
        <v>1927</v>
      </c>
      <c r="P2137">
        <v>3.28</v>
      </c>
      <c r="Q2137">
        <v>184</v>
      </c>
      <c r="R2137">
        <v>619</v>
      </c>
    </row>
    <row r="2138" spans="1:18" hidden="1" x14ac:dyDescent="0.2">
      <c r="A2138">
        <v>0</v>
      </c>
      <c r="B2138" t="s">
        <v>98</v>
      </c>
      <c r="E2138" t="s">
        <v>29</v>
      </c>
      <c r="F2138">
        <v>856096</v>
      </c>
      <c r="G2138">
        <v>3</v>
      </c>
      <c r="H2138">
        <v>3</v>
      </c>
      <c r="I2138">
        <v>606</v>
      </c>
      <c r="J2138">
        <v>1960</v>
      </c>
      <c r="K2138" s="4">
        <v>45541</v>
      </c>
      <c r="L2138" t="s">
        <v>26</v>
      </c>
      <c r="M2138" t="s">
        <v>69</v>
      </c>
      <c r="N2138">
        <v>1.55</v>
      </c>
      <c r="O2138">
        <v>1199</v>
      </c>
      <c r="P2138">
        <v>2.08</v>
      </c>
      <c r="Q2138">
        <v>120</v>
      </c>
      <c r="R2138">
        <v>604</v>
      </c>
    </row>
    <row r="2139" spans="1:18" hidden="1" x14ac:dyDescent="0.2">
      <c r="A2139">
        <v>7</v>
      </c>
      <c r="B2139" t="s">
        <v>96</v>
      </c>
      <c r="E2139" t="s">
        <v>36</v>
      </c>
      <c r="F2139">
        <v>1694469</v>
      </c>
      <c r="G2139">
        <v>3</v>
      </c>
      <c r="H2139">
        <v>1</v>
      </c>
      <c r="I2139">
        <v>354</v>
      </c>
      <c r="J2139">
        <v>2015</v>
      </c>
      <c r="K2139" s="4">
        <v>44734</v>
      </c>
      <c r="L2139" t="s">
        <v>20</v>
      </c>
      <c r="M2139" t="s">
        <v>68</v>
      </c>
      <c r="N2139">
        <v>1.52</v>
      </c>
      <c r="O2139">
        <v>1599</v>
      </c>
      <c r="P2139">
        <v>0.55000000000000004</v>
      </c>
      <c r="Q2139">
        <v>320</v>
      </c>
      <c r="R2139">
        <v>642</v>
      </c>
    </row>
    <row r="2140" spans="1:18" hidden="1" x14ac:dyDescent="0.2">
      <c r="A2140">
        <v>9</v>
      </c>
      <c r="B2140" t="s">
        <v>64</v>
      </c>
      <c r="E2140" t="s">
        <v>51</v>
      </c>
      <c r="F2140">
        <v>1022113</v>
      </c>
      <c r="G2140">
        <v>4</v>
      </c>
      <c r="H2140">
        <v>2</v>
      </c>
      <c r="I2140">
        <v>294</v>
      </c>
      <c r="J2140">
        <v>2022</v>
      </c>
      <c r="K2140" s="4">
        <v>44366</v>
      </c>
      <c r="L2140" t="s">
        <v>30</v>
      </c>
      <c r="M2140" t="s">
        <v>69</v>
      </c>
      <c r="N2140">
        <v>1.85</v>
      </c>
      <c r="O2140">
        <v>2461</v>
      </c>
      <c r="P2140">
        <v>0.31</v>
      </c>
      <c r="Q2140">
        <v>238</v>
      </c>
      <c r="R2140">
        <v>505</v>
      </c>
    </row>
    <row r="2141" spans="1:18" hidden="1" x14ac:dyDescent="0.2">
      <c r="A2141">
        <v>6</v>
      </c>
      <c r="B2141" t="s">
        <v>100</v>
      </c>
      <c r="E2141" t="s">
        <v>19</v>
      </c>
      <c r="F2141">
        <v>1586155</v>
      </c>
      <c r="G2141">
        <v>3</v>
      </c>
      <c r="H2141">
        <v>1</v>
      </c>
      <c r="I2141">
        <v>736</v>
      </c>
      <c r="J2141">
        <v>1981</v>
      </c>
      <c r="K2141" s="4">
        <v>45175</v>
      </c>
      <c r="L2141" t="s">
        <v>23</v>
      </c>
      <c r="M2141" t="s">
        <v>54</v>
      </c>
      <c r="N2141">
        <v>2.89</v>
      </c>
      <c r="O2141">
        <v>1073</v>
      </c>
      <c r="P2141">
        <v>4.95</v>
      </c>
      <c r="Q2141">
        <v>309</v>
      </c>
      <c r="R2141">
        <v>643</v>
      </c>
    </row>
    <row r="2142" spans="1:18" hidden="1" x14ac:dyDescent="0.2">
      <c r="A2142">
        <v>2</v>
      </c>
      <c r="B2142" t="s">
        <v>32</v>
      </c>
      <c r="E2142" t="s">
        <v>36</v>
      </c>
      <c r="F2142">
        <v>2440628</v>
      </c>
      <c r="G2142">
        <v>4</v>
      </c>
      <c r="H2142">
        <v>3</v>
      </c>
      <c r="I2142">
        <v>184</v>
      </c>
      <c r="J2142">
        <v>1999</v>
      </c>
      <c r="K2142" s="4">
        <v>44227</v>
      </c>
      <c r="L2142" t="s">
        <v>20</v>
      </c>
      <c r="M2142" t="s">
        <v>42</v>
      </c>
      <c r="N2142">
        <v>2.15</v>
      </c>
      <c r="O2142">
        <v>2054</v>
      </c>
      <c r="P2142">
        <v>4.9400000000000004</v>
      </c>
      <c r="Q2142">
        <v>369</v>
      </c>
      <c r="R2142">
        <v>528</v>
      </c>
    </row>
    <row r="2143" spans="1:18" hidden="1" x14ac:dyDescent="0.2">
      <c r="A2143">
        <v>1</v>
      </c>
      <c r="B2143" t="s">
        <v>50</v>
      </c>
      <c r="E2143" t="s">
        <v>19</v>
      </c>
      <c r="F2143">
        <v>2771541</v>
      </c>
      <c r="G2143">
        <v>5</v>
      </c>
      <c r="H2143">
        <v>2</v>
      </c>
      <c r="I2143">
        <v>359</v>
      </c>
      <c r="J2143">
        <v>1965</v>
      </c>
      <c r="K2143" s="4">
        <v>45150</v>
      </c>
      <c r="L2143" t="s">
        <v>20</v>
      </c>
      <c r="M2143" t="s">
        <v>78</v>
      </c>
      <c r="N2143">
        <v>3.31</v>
      </c>
      <c r="O2143">
        <v>2029</v>
      </c>
      <c r="P2143">
        <v>3.95</v>
      </c>
      <c r="Q2143">
        <v>332</v>
      </c>
      <c r="R2143">
        <v>627</v>
      </c>
    </row>
    <row r="2144" spans="1:18" hidden="1" x14ac:dyDescent="0.2">
      <c r="A2144">
        <v>1</v>
      </c>
      <c r="B2144" t="s">
        <v>53</v>
      </c>
      <c r="E2144" t="s">
        <v>51</v>
      </c>
      <c r="F2144">
        <v>2600318</v>
      </c>
      <c r="G2144">
        <v>4</v>
      </c>
      <c r="H2144">
        <v>3</v>
      </c>
      <c r="I2144">
        <v>191</v>
      </c>
      <c r="J2144">
        <v>1965</v>
      </c>
      <c r="K2144" s="4">
        <v>45325</v>
      </c>
      <c r="L2144" t="s">
        <v>20</v>
      </c>
      <c r="M2144" t="s">
        <v>59</v>
      </c>
      <c r="N2144">
        <v>2.0299999999999998</v>
      </c>
      <c r="O2144">
        <v>2320</v>
      </c>
      <c r="P2144">
        <v>3.62</v>
      </c>
      <c r="Q2144">
        <v>228</v>
      </c>
      <c r="R2144">
        <v>329</v>
      </c>
    </row>
    <row r="2145" spans="1:18" hidden="1" x14ac:dyDescent="0.2">
      <c r="A2145">
        <v>9</v>
      </c>
      <c r="B2145" t="s">
        <v>95</v>
      </c>
      <c r="E2145" t="s">
        <v>51</v>
      </c>
      <c r="F2145">
        <v>534127</v>
      </c>
      <c r="G2145">
        <v>4</v>
      </c>
      <c r="H2145">
        <v>2</v>
      </c>
      <c r="I2145">
        <v>650</v>
      </c>
      <c r="J2145">
        <v>1977</v>
      </c>
      <c r="K2145" s="4">
        <v>44763</v>
      </c>
      <c r="L2145" t="s">
        <v>23</v>
      </c>
      <c r="M2145" t="s">
        <v>59</v>
      </c>
      <c r="N2145">
        <v>3.4</v>
      </c>
      <c r="O2145">
        <v>2215</v>
      </c>
      <c r="P2145">
        <v>0.28999999999999998</v>
      </c>
      <c r="Q2145">
        <v>188</v>
      </c>
      <c r="R2145">
        <v>451</v>
      </c>
    </row>
    <row r="2146" spans="1:18" hidden="1" x14ac:dyDescent="0.2">
      <c r="A2146">
        <v>2</v>
      </c>
      <c r="B2146" t="s">
        <v>86</v>
      </c>
      <c r="E2146" t="s">
        <v>36</v>
      </c>
      <c r="F2146">
        <v>828427</v>
      </c>
      <c r="G2146">
        <v>2</v>
      </c>
      <c r="H2146">
        <v>3</v>
      </c>
      <c r="I2146">
        <v>521</v>
      </c>
      <c r="J2146">
        <v>2015</v>
      </c>
      <c r="K2146" s="4">
        <v>45266</v>
      </c>
      <c r="L2146" t="s">
        <v>26</v>
      </c>
      <c r="M2146" t="s">
        <v>42</v>
      </c>
      <c r="N2146">
        <v>2.13</v>
      </c>
      <c r="O2146">
        <v>844</v>
      </c>
      <c r="P2146">
        <v>1.31</v>
      </c>
      <c r="Q2146">
        <v>239</v>
      </c>
      <c r="R2146">
        <v>625</v>
      </c>
    </row>
    <row r="2147" spans="1:18" hidden="1" x14ac:dyDescent="0.2">
      <c r="A2147">
        <v>0</v>
      </c>
      <c r="B2147" t="s">
        <v>39</v>
      </c>
      <c r="E2147" t="s">
        <v>19</v>
      </c>
      <c r="F2147">
        <v>582361</v>
      </c>
      <c r="G2147">
        <v>2</v>
      </c>
      <c r="H2147">
        <v>3</v>
      </c>
      <c r="I2147">
        <v>961</v>
      </c>
      <c r="J2147">
        <v>1962</v>
      </c>
      <c r="K2147" s="4">
        <v>45352</v>
      </c>
      <c r="L2147" t="s">
        <v>20</v>
      </c>
      <c r="M2147" t="s">
        <v>40</v>
      </c>
      <c r="N2147">
        <v>2.3199999999999998</v>
      </c>
      <c r="O2147">
        <v>2090</v>
      </c>
      <c r="P2147">
        <v>1.65</v>
      </c>
      <c r="Q2147">
        <v>175</v>
      </c>
      <c r="R2147">
        <v>319</v>
      </c>
    </row>
    <row r="2148" spans="1:18" hidden="1" x14ac:dyDescent="0.2">
      <c r="A2148">
        <v>9</v>
      </c>
      <c r="B2148" t="s">
        <v>92</v>
      </c>
      <c r="E2148" t="s">
        <v>51</v>
      </c>
      <c r="F2148">
        <v>2927047</v>
      </c>
      <c r="G2148">
        <v>3</v>
      </c>
      <c r="H2148">
        <v>2</v>
      </c>
      <c r="I2148">
        <v>582</v>
      </c>
      <c r="J2148">
        <v>1960</v>
      </c>
      <c r="K2148" s="4">
        <v>44286</v>
      </c>
      <c r="L2148" t="s">
        <v>23</v>
      </c>
      <c r="M2148" t="s">
        <v>59</v>
      </c>
      <c r="N2148">
        <v>3.14</v>
      </c>
      <c r="O2148">
        <v>837</v>
      </c>
      <c r="P2148">
        <v>3.72</v>
      </c>
      <c r="Q2148">
        <v>145</v>
      </c>
      <c r="R2148">
        <v>422</v>
      </c>
    </row>
    <row r="2149" spans="1:18" x14ac:dyDescent="0.2">
      <c r="A2149">
        <v>8</v>
      </c>
      <c r="B2149" t="s">
        <v>48</v>
      </c>
      <c r="C2149" t="str">
        <f>VLOOKUP(B2149, 'Council Area'!$A$2:$B$51, 2)</f>
        <v>Inner West Council</v>
      </c>
      <c r="D2149" t="str">
        <f>_xlfn.XLOOKUP(B2149, 'Council Area'!$A$2:$A$51, 'Council Area'!$B$2:$B$51)</f>
        <v>Inner West Council</v>
      </c>
      <c r="E2149" t="s">
        <v>51</v>
      </c>
      <c r="F2149">
        <v>2930608</v>
      </c>
      <c r="G2149">
        <v>4</v>
      </c>
      <c r="H2149">
        <v>3</v>
      </c>
      <c r="I2149">
        <v>426</v>
      </c>
      <c r="J2149">
        <v>2006</v>
      </c>
      <c r="K2149" s="4">
        <v>44592</v>
      </c>
      <c r="L2149" t="s">
        <v>26</v>
      </c>
      <c r="M2149" t="s">
        <v>52</v>
      </c>
      <c r="N2149">
        <v>1.81</v>
      </c>
      <c r="O2149">
        <v>1892</v>
      </c>
      <c r="P2149">
        <v>0.72</v>
      </c>
      <c r="Q2149">
        <v>214</v>
      </c>
      <c r="R2149">
        <v>672</v>
      </c>
    </row>
    <row r="2150" spans="1:18" hidden="1" x14ac:dyDescent="0.2">
      <c r="A2150">
        <v>4</v>
      </c>
      <c r="B2150" t="s">
        <v>64</v>
      </c>
      <c r="E2150" t="s">
        <v>29</v>
      </c>
      <c r="F2150">
        <v>1111435</v>
      </c>
      <c r="G2150">
        <v>2</v>
      </c>
      <c r="H2150">
        <v>2</v>
      </c>
      <c r="I2150">
        <v>100</v>
      </c>
      <c r="J2150">
        <v>1994</v>
      </c>
      <c r="K2150" s="4">
        <v>45815</v>
      </c>
      <c r="L2150" t="s">
        <v>30</v>
      </c>
      <c r="M2150" t="s">
        <v>58</v>
      </c>
      <c r="N2150">
        <v>1.9</v>
      </c>
      <c r="O2150">
        <v>1796</v>
      </c>
      <c r="P2150">
        <v>2.12</v>
      </c>
      <c r="Q2150">
        <v>114</v>
      </c>
      <c r="R2150">
        <v>357</v>
      </c>
    </row>
    <row r="2151" spans="1:18" hidden="1" x14ac:dyDescent="0.2">
      <c r="A2151">
        <v>5</v>
      </c>
      <c r="B2151" t="s">
        <v>46</v>
      </c>
      <c r="E2151" t="s">
        <v>51</v>
      </c>
      <c r="F2151">
        <v>2750432</v>
      </c>
      <c r="G2151">
        <v>5</v>
      </c>
      <c r="H2151">
        <v>2</v>
      </c>
      <c r="I2151">
        <v>57</v>
      </c>
      <c r="J2151">
        <v>1965</v>
      </c>
      <c r="K2151" s="4">
        <v>44684</v>
      </c>
      <c r="L2151" t="s">
        <v>20</v>
      </c>
      <c r="M2151" t="s">
        <v>76</v>
      </c>
      <c r="N2151">
        <v>3.45</v>
      </c>
      <c r="O2151">
        <v>1773</v>
      </c>
      <c r="P2151">
        <v>1.91</v>
      </c>
      <c r="Q2151">
        <v>335</v>
      </c>
      <c r="R2151">
        <v>462</v>
      </c>
    </row>
    <row r="2152" spans="1:18" hidden="1" x14ac:dyDescent="0.2">
      <c r="A2152">
        <v>5</v>
      </c>
      <c r="B2152" t="s">
        <v>91</v>
      </c>
      <c r="E2152" t="s">
        <v>29</v>
      </c>
      <c r="F2152">
        <v>2654381</v>
      </c>
      <c r="G2152">
        <v>3</v>
      </c>
      <c r="H2152">
        <v>3</v>
      </c>
      <c r="I2152">
        <v>887</v>
      </c>
      <c r="J2152">
        <v>1961</v>
      </c>
      <c r="K2152" s="4">
        <v>45007</v>
      </c>
      <c r="L2152" t="s">
        <v>30</v>
      </c>
      <c r="M2152" t="s">
        <v>40</v>
      </c>
      <c r="N2152">
        <v>1.56</v>
      </c>
      <c r="O2152">
        <v>1745</v>
      </c>
      <c r="P2152">
        <v>1.73</v>
      </c>
      <c r="Q2152">
        <v>277</v>
      </c>
      <c r="R2152">
        <v>345</v>
      </c>
    </row>
    <row r="2153" spans="1:18" hidden="1" x14ac:dyDescent="0.2">
      <c r="A2153">
        <v>3</v>
      </c>
      <c r="B2153" t="s">
        <v>55</v>
      </c>
      <c r="E2153" t="s">
        <v>51</v>
      </c>
      <c r="F2153">
        <v>1231393</v>
      </c>
      <c r="G2153">
        <v>4</v>
      </c>
      <c r="H2153">
        <v>1</v>
      </c>
      <c r="I2153">
        <v>714</v>
      </c>
      <c r="J2153">
        <v>1984</v>
      </c>
      <c r="K2153" s="4">
        <v>45665</v>
      </c>
      <c r="L2153" t="s">
        <v>20</v>
      </c>
      <c r="M2153" t="s">
        <v>69</v>
      </c>
      <c r="N2153">
        <v>3.04</v>
      </c>
      <c r="O2153">
        <v>2350</v>
      </c>
      <c r="P2153">
        <v>1.22</v>
      </c>
      <c r="Q2153">
        <v>229</v>
      </c>
      <c r="R2153">
        <v>556</v>
      </c>
    </row>
    <row r="2154" spans="1:18" hidden="1" x14ac:dyDescent="0.2">
      <c r="A2154">
        <v>4</v>
      </c>
      <c r="B2154" t="s">
        <v>86</v>
      </c>
      <c r="E2154" t="s">
        <v>19</v>
      </c>
      <c r="F2154">
        <v>2160932</v>
      </c>
      <c r="G2154">
        <v>6</v>
      </c>
      <c r="H2154">
        <v>2</v>
      </c>
      <c r="I2154">
        <v>929</v>
      </c>
      <c r="J2154">
        <v>2019</v>
      </c>
      <c r="K2154" s="4">
        <v>45889</v>
      </c>
      <c r="L2154" t="s">
        <v>23</v>
      </c>
      <c r="M2154" t="s">
        <v>59</v>
      </c>
      <c r="N2154">
        <v>2.91</v>
      </c>
      <c r="O2154">
        <v>1756</v>
      </c>
      <c r="P2154">
        <v>0.69</v>
      </c>
      <c r="Q2154">
        <v>389</v>
      </c>
      <c r="R2154">
        <v>555</v>
      </c>
    </row>
    <row r="2155" spans="1:18" hidden="1" x14ac:dyDescent="0.2">
      <c r="A2155">
        <v>1</v>
      </c>
      <c r="B2155" t="s">
        <v>49</v>
      </c>
      <c r="E2155" t="s">
        <v>19</v>
      </c>
      <c r="F2155">
        <v>2364870</v>
      </c>
      <c r="G2155">
        <v>3</v>
      </c>
      <c r="H2155">
        <v>2</v>
      </c>
      <c r="I2155">
        <v>801</v>
      </c>
      <c r="J2155">
        <v>2020</v>
      </c>
      <c r="K2155" s="4">
        <v>44143</v>
      </c>
      <c r="L2155" t="s">
        <v>30</v>
      </c>
      <c r="M2155" t="s">
        <v>82</v>
      </c>
      <c r="N2155">
        <v>2.56</v>
      </c>
      <c r="O2155">
        <v>806</v>
      </c>
      <c r="P2155">
        <v>3.32</v>
      </c>
      <c r="Q2155">
        <v>155</v>
      </c>
      <c r="R2155">
        <v>460</v>
      </c>
    </row>
    <row r="2156" spans="1:18" hidden="1" x14ac:dyDescent="0.2">
      <c r="A2156">
        <v>0</v>
      </c>
      <c r="B2156" t="s">
        <v>18</v>
      </c>
      <c r="E2156" t="s">
        <v>29</v>
      </c>
      <c r="F2156">
        <v>1543091</v>
      </c>
      <c r="G2156">
        <v>5</v>
      </c>
      <c r="H2156">
        <v>3</v>
      </c>
      <c r="I2156">
        <v>792</v>
      </c>
      <c r="J2156">
        <v>2018</v>
      </c>
      <c r="K2156" s="4">
        <v>45406</v>
      </c>
      <c r="L2156" t="s">
        <v>23</v>
      </c>
      <c r="M2156" t="s">
        <v>77</v>
      </c>
      <c r="N2156">
        <v>1.72</v>
      </c>
      <c r="O2156">
        <v>1020</v>
      </c>
      <c r="P2156">
        <v>4.3</v>
      </c>
      <c r="Q2156">
        <v>332</v>
      </c>
      <c r="R2156">
        <v>487</v>
      </c>
    </row>
    <row r="2157" spans="1:18" x14ac:dyDescent="0.2">
      <c r="A2157">
        <v>8</v>
      </c>
      <c r="B2157" t="s">
        <v>41</v>
      </c>
      <c r="C2157" t="str">
        <f>VLOOKUP(B2157, 'Council Area'!$A$2:$B$51, 2)</f>
        <v>Parramatta City Council</v>
      </c>
      <c r="D2157" t="str">
        <f>_xlfn.XLOOKUP(B2157, 'Council Area'!$A$2:$A$51, 'Council Area'!$B$2:$B$51)</f>
        <v>Parramatta City Council</v>
      </c>
      <c r="E2157" t="s">
        <v>36</v>
      </c>
      <c r="F2157">
        <v>1468091</v>
      </c>
      <c r="G2157">
        <v>6</v>
      </c>
      <c r="H2157">
        <v>3</v>
      </c>
      <c r="I2157">
        <v>130</v>
      </c>
      <c r="J2157">
        <v>1957</v>
      </c>
      <c r="K2157" s="4">
        <v>44434</v>
      </c>
      <c r="L2157" t="s">
        <v>30</v>
      </c>
      <c r="M2157" t="s">
        <v>47</v>
      </c>
      <c r="N2157">
        <v>2.98</v>
      </c>
      <c r="O2157">
        <v>1646</v>
      </c>
      <c r="P2157">
        <v>1.08</v>
      </c>
      <c r="Q2157">
        <v>321</v>
      </c>
      <c r="R2157">
        <v>376</v>
      </c>
    </row>
    <row r="2158" spans="1:18" hidden="1" x14ac:dyDescent="0.2">
      <c r="A2158">
        <v>7</v>
      </c>
      <c r="B2158" t="s">
        <v>84</v>
      </c>
      <c r="E2158" t="s">
        <v>36</v>
      </c>
      <c r="F2158">
        <v>696955</v>
      </c>
      <c r="G2158">
        <v>3</v>
      </c>
      <c r="H2158">
        <v>2</v>
      </c>
      <c r="I2158">
        <v>133</v>
      </c>
      <c r="J2158">
        <v>1996</v>
      </c>
      <c r="K2158" s="4">
        <v>45811</v>
      </c>
      <c r="L2158" t="s">
        <v>23</v>
      </c>
      <c r="M2158" t="s">
        <v>76</v>
      </c>
      <c r="N2158">
        <v>3.43</v>
      </c>
      <c r="O2158">
        <v>1353</v>
      </c>
      <c r="P2158">
        <v>0.98</v>
      </c>
      <c r="Q2158">
        <v>190</v>
      </c>
      <c r="R2158">
        <v>443</v>
      </c>
    </row>
    <row r="2159" spans="1:18" hidden="1" x14ac:dyDescent="0.2">
      <c r="A2159">
        <v>2</v>
      </c>
      <c r="B2159" t="s">
        <v>34</v>
      </c>
      <c r="E2159" t="s">
        <v>51</v>
      </c>
      <c r="F2159">
        <v>2859745</v>
      </c>
      <c r="G2159">
        <v>3</v>
      </c>
      <c r="H2159">
        <v>2</v>
      </c>
      <c r="I2159">
        <v>85</v>
      </c>
      <c r="J2159">
        <v>1988</v>
      </c>
      <c r="K2159" s="4">
        <v>45367</v>
      </c>
      <c r="L2159" t="s">
        <v>23</v>
      </c>
      <c r="M2159" t="s">
        <v>66</v>
      </c>
      <c r="N2159">
        <v>3.46</v>
      </c>
      <c r="O2159">
        <v>1170</v>
      </c>
      <c r="P2159">
        <v>2.21</v>
      </c>
      <c r="Q2159">
        <v>299</v>
      </c>
      <c r="R2159">
        <v>537</v>
      </c>
    </row>
    <row r="2160" spans="1:18" hidden="1" x14ac:dyDescent="0.2">
      <c r="A2160">
        <v>0</v>
      </c>
      <c r="B2160" t="s">
        <v>90</v>
      </c>
      <c r="E2160" t="s">
        <v>19</v>
      </c>
      <c r="F2160">
        <v>2139093</v>
      </c>
      <c r="G2160">
        <v>2</v>
      </c>
      <c r="H2160">
        <v>2</v>
      </c>
      <c r="I2160">
        <v>525</v>
      </c>
      <c r="J2160">
        <v>2003</v>
      </c>
      <c r="K2160" s="4">
        <v>45587</v>
      </c>
      <c r="L2160" t="s">
        <v>30</v>
      </c>
      <c r="M2160" t="s">
        <v>66</v>
      </c>
      <c r="N2160">
        <v>3.28</v>
      </c>
      <c r="O2160">
        <v>822</v>
      </c>
      <c r="P2160">
        <v>2.88</v>
      </c>
      <c r="Q2160">
        <v>174</v>
      </c>
      <c r="R2160">
        <v>575</v>
      </c>
    </row>
    <row r="2161" spans="1:18" hidden="1" x14ac:dyDescent="0.2">
      <c r="A2161">
        <v>3</v>
      </c>
      <c r="B2161" t="s">
        <v>106</v>
      </c>
      <c r="E2161" t="s">
        <v>36</v>
      </c>
      <c r="F2161">
        <v>2930933</v>
      </c>
      <c r="G2161">
        <v>2</v>
      </c>
      <c r="H2161">
        <v>2</v>
      </c>
      <c r="I2161">
        <v>724</v>
      </c>
      <c r="J2161">
        <v>2002</v>
      </c>
      <c r="K2161" s="4">
        <v>45733</v>
      </c>
      <c r="L2161" t="s">
        <v>26</v>
      </c>
      <c r="M2161" t="s">
        <v>56</v>
      </c>
      <c r="N2161">
        <v>1.94</v>
      </c>
      <c r="O2161">
        <v>2047</v>
      </c>
      <c r="P2161">
        <v>3</v>
      </c>
      <c r="Q2161">
        <v>120</v>
      </c>
      <c r="R2161">
        <v>652</v>
      </c>
    </row>
    <row r="2162" spans="1:18" hidden="1" x14ac:dyDescent="0.2">
      <c r="A2162">
        <v>2</v>
      </c>
      <c r="B2162" t="s">
        <v>102</v>
      </c>
      <c r="E2162" t="s">
        <v>36</v>
      </c>
      <c r="F2162">
        <v>1834621</v>
      </c>
      <c r="G2162">
        <v>1</v>
      </c>
      <c r="H2162">
        <v>1</v>
      </c>
      <c r="I2162">
        <v>248</v>
      </c>
      <c r="J2162">
        <v>1961</v>
      </c>
      <c r="K2162" s="4">
        <v>45843</v>
      </c>
      <c r="L2162" t="s">
        <v>30</v>
      </c>
      <c r="M2162" t="s">
        <v>85</v>
      </c>
      <c r="N2162">
        <v>1.94</v>
      </c>
      <c r="O2162">
        <v>2005</v>
      </c>
      <c r="P2162">
        <v>1.05</v>
      </c>
      <c r="Q2162">
        <v>70</v>
      </c>
      <c r="R2162">
        <v>492</v>
      </c>
    </row>
    <row r="2163" spans="1:18" hidden="1" x14ac:dyDescent="0.2">
      <c r="A2163">
        <v>1</v>
      </c>
      <c r="B2163" t="s">
        <v>38</v>
      </c>
      <c r="E2163" t="s">
        <v>19</v>
      </c>
      <c r="F2163">
        <v>2536205</v>
      </c>
      <c r="G2163">
        <v>6</v>
      </c>
      <c r="H2163">
        <v>2</v>
      </c>
      <c r="I2163">
        <v>205</v>
      </c>
      <c r="J2163">
        <v>2001</v>
      </c>
      <c r="K2163" s="4">
        <v>45407</v>
      </c>
      <c r="L2163" t="s">
        <v>26</v>
      </c>
      <c r="M2163" t="s">
        <v>82</v>
      </c>
      <c r="N2163">
        <v>1.6</v>
      </c>
      <c r="O2163">
        <v>1750</v>
      </c>
      <c r="P2163">
        <v>1.94</v>
      </c>
      <c r="Q2163">
        <v>371</v>
      </c>
      <c r="R2163">
        <v>335</v>
      </c>
    </row>
    <row r="2164" spans="1:18" x14ac:dyDescent="0.2">
      <c r="A2164">
        <v>8</v>
      </c>
      <c r="B2164" t="s">
        <v>67</v>
      </c>
      <c r="C2164" t="str">
        <f>VLOOKUP(B2164, 'Council Area'!$A$2:$B$51, 2)</f>
        <v>Ku-ring-gai Council</v>
      </c>
      <c r="D2164" t="str">
        <f>_xlfn.XLOOKUP(B2164, 'Council Area'!$A$2:$A$51, 'Council Area'!$B$2:$B$51)</f>
        <v>Ku-ring-gai Council</v>
      </c>
      <c r="E2164" t="s">
        <v>36</v>
      </c>
      <c r="F2164">
        <v>2406211</v>
      </c>
      <c r="G2164">
        <v>5</v>
      </c>
      <c r="H2164">
        <v>2</v>
      </c>
      <c r="I2164">
        <v>639</v>
      </c>
      <c r="J2164">
        <v>1965</v>
      </c>
      <c r="K2164" s="4">
        <v>45388</v>
      </c>
      <c r="L2164" t="s">
        <v>26</v>
      </c>
      <c r="M2164" t="s">
        <v>78</v>
      </c>
      <c r="N2164">
        <v>1.87</v>
      </c>
      <c r="O2164">
        <v>1890</v>
      </c>
      <c r="P2164">
        <v>1.31</v>
      </c>
      <c r="Q2164">
        <v>347</v>
      </c>
      <c r="R2164">
        <v>662</v>
      </c>
    </row>
    <row r="2165" spans="1:18" hidden="1" x14ac:dyDescent="0.2">
      <c r="A2165">
        <v>3</v>
      </c>
      <c r="B2165" t="s">
        <v>18</v>
      </c>
      <c r="E2165" t="s">
        <v>51</v>
      </c>
      <c r="F2165">
        <v>574984</v>
      </c>
      <c r="G2165">
        <v>2</v>
      </c>
      <c r="H2165">
        <v>2</v>
      </c>
      <c r="I2165">
        <v>634</v>
      </c>
      <c r="J2165">
        <v>2008</v>
      </c>
      <c r="K2165" s="4">
        <v>44310</v>
      </c>
      <c r="L2165" t="s">
        <v>23</v>
      </c>
      <c r="M2165" t="s">
        <v>35</v>
      </c>
      <c r="N2165">
        <v>2.27</v>
      </c>
      <c r="O2165">
        <v>2241</v>
      </c>
      <c r="P2165">
        <v>1.23</v>
      </c>
      <c r="Q2165">
        <v>167</v>
      </c>
      <c r="R2165">
        <v>330</v>
      </c>
    </row>
    <row r="2166" spans="1:18" hidden="1" x14ac:dyDescent="0.2">
      <c r="A2166">
        <v>6</v>
      </c>
      <c r="B2166" t="s">
        <v>84</v>
      </c>
      <c r="E2166" t="s">
        <v>29</v>
      </c>
      <c r="F2166">
        <v>899932</v>
      </c>
      <c r="G2166">
        <v>2</v>
      </c>
      <c r="H2166">
        <v>3</v>
      </c>
      <c r="I2166">
        <v>697</v>
      </c>
      <c r="J2166">
        <v>1996</v>
      </c>
      <c r="K2166" s="4">
        <v>45725</v>
      </c>
      <c r="L2166" t="s">
        <v>30</v>
      </c>
      <c r="M2166" t="s">
        <v>85</v>
      </c>
      <c r="N2166">
        <v>1.9</v>
      </c>
      <c r="O2166">
        <v>2010</v>
      </c>
      <c r="P2166">
        <v>0.37</v>
      </c>
      <c r="Q2166">
        <v>117</v>
      </c>
      <c r="R2166">
        <v>611</v>
      </c>
    </row>
    <row r="2167" spans="1:18" hidden="1" x14ac:dyDescent="0.2">
      <c r="A2167">
        <v>1</v>
      </c>
      <c r="B2167" t="s">
        <v>32</v>
      </c>
      <c r="E2167" t="s">
        <v>36</v>
      </c>
      <c r="F2167">
        <v>2031272</v>
      </c>
      <c r="G2167">
        <v>4</v>
      </c>
      <c r="H2167">
        <v>1</v>
      </c>
      <c r="I2167">
        <v>598</v>
      </c>
      <c r="J2167">
        <v>1988</v>
      </c>
      <c r="K2167" s="4">
        <v>45072</v>
      </c>
      <c r="L2167" t="s">
        <v>30</v>
      </c>
      <c r="M2167" t="s">
        <v>37</v>
      </c>
      <c r="N2167">
        <v>3.18</v>
      </c>
      <c r="O2167">
        <v>2079</v>
      </c>
      <c r="P2167">
        <v>4.1500000000000004</v>
      </c>
      <c r="Q2167">
        <v>221</v>
      </c>
      <c r="R2167">
        <v>669</v>
      </c>
    </row>
    <row r="2168" spans="1:18" hidden="1" x14ac:dyDescent="0.2">
      <c r="A2168">
        <v>7</v>
      </c>
      <c r="B2168" t="s">
        <v>81</v>
      </c>
      <c r="E2168" t="s">
        <v>51</v>
      </c>
      <c r="F2168">
        <v>1195534</v>
      </c>
      <c r="G2168">
        <v>6</v>
      </c>
      <c r="H2168">
        <v>2</v>
      </c>
      <c r="I2168">
        <v>342</v>
      </c>
      <c r="J2168">
        <v>1966</v>
      </c>
      <c r="K2168" s="4">
        <v>45882</v>
      </c>
      <c r="L2168" t="s">
        <v>20</v>
      </c>
      <c r="M2168" t="s">
        <v>52</v>
      </c>
      <c r="N2168">
        <v>1.86</v>
      </c>
      <c r="O2168">
        <v>1540</v>
      </c>
      <c r="P2168">
        <v>2.39</v>
      </c>
      <c r="Q2168">
        <v>342</v>
      </c>
      <c r="R2168">
        <v>547</v>
      </c>
    </row>
    <row r="2169" spans="1:18" hidden="1" x14ac:dyDescent="0.2">
      <c r="A2169">
        <v>4</v>
      </c>
      <c r="B2169" t="s">
        <v>18</v>
      </c>
      <c r="E2169" t="s">
        <v>36</v>
      </c>
      <c r="F2169">
        <v>2512486</v>
      </c>
      <c r="G2169">
        <v>4</v>
      </c>
      <c r="H2169">
        <v>1</v>
      </c>
      <c r="I2169">
        <v>286</v>
      </c>
      <c r="J2169">
        <v>2011</v>
      </c>
      <c r="K2169" s="4">
        <v>45169</v>
      </c>
      <c r="L2169" t="s">
        <v>26</v>
      </c>
      <c r="M2169" t="s">
        <v>78</v>
      </c>
      <c r="N2169">
        <v>2.89</v>
      </c>
      <c r="O2169">
        <v>862</v>
      </c>
      <c r="P2169">
        <v>3.7</v>
      </c>
      <c r="Q2169">
        <v>256</v>
      </c>
      <c r="R2169">
        <v>659</v>
      </c>
    </row>
    <row r="2170" spans="1:18" hidden="1" x14ac:dyDescent="0.2">
      <c r="A2170">
        <v>3</v>
      </c>
      <c r="B2170" t="s">
        <v>88</v>
      </c>
      <c r="E2170" t="s">
        <v>19</v>
      </c>
      <c r="F2170">
        <v>2963797</v>
      </c>
      <c r="G2170">
        <v>5</v>
      </c>
      <c r="H2170">
        <v>3</v>
      </c>
      <c r="I2170">
        <v>663</v>
      </c>
      <c r="J2170">
        <v>1985</v>
      </c>
      <c r="K2170" s="4">
        <v>45567</v>
      </c>
      <c r="L2170" t="s">
        <v>20</v>
      </c>
      <c r="M2170" t="s">
        <v>33</v>
      </c>
      <c r="N2170">
        <v>2.33</v>
      </c>
      <c r="O2170">
        <v>1629</v>
      </c>
      <c r="P2170">
        <v>3.35</v>
      </c>
      <c r="Q2170">
        <v>247</v>
      </c>
      <c r="R2170">
        <v>506</v>
      </c>
    </row>
    <row r="2171" spans="1:18" hidden="1" x14ac:dyDescent="0.2">
      <c r="A2171">
        <v>1</v>
      </c>
      <c r="B2171" t="s">
        <v>91</v>
      </c>
      <c r="E2171" t="s">
        <v>36</v>
      </c>
      <c r="F2171">
        <v>1728151</v>
      </c>
      <c r="G2171">
        <v>1</v>
      </c>
      <c r="H2171">
        <v>1</v>
      </c>
      <c r="I2171">
        <v>232</v>
      </c>
      <c r="J2171">
        <v>1976</v>
      </c>
      <c r="K2171" s="4">
        <v>45361</v>
      </c>
      <c r="L2171" t="s">
        <v>23</v>
      </c>
      <c r="M2171" t="s">
        <v>74</v>
      </c>
      <c r="N2171">
        <v>2.5</v>
      </c>
      <c r="O2171">
        <v>2262</v>
      </c>
      <c r="P2171">
        <v>3.4</v>
      </c>
      <c r="Q2171">
        <v>147</v>
      </c>
      <c r="R2171">
        <v>533</v>
      </c>
    </row>
    <row r="2172" spans="1:18" x14ac:dyDescent="0.2">
      <c r="A2172">
        <v>8</v>
      </c>
      <c r="B2172" t="s">
        <v>105</v>
      </c>
      <c r="C2172" t="str">
        <f>VLOOKUP(B2172, 'Council Area'!$A$2:$B$51, 2)</f>
        <v>Northern Beaches Council</v>
      </c>
      <c r="D2172" t="str">
        <f>_xlfn.XLOOKUP(B2172, 'Council Area'!$A$2:$A$51, 'Council Area'!$B$2:$B$51)</f>
        <v>Northern Beaches Council</v>
      </c>
      <c r="E2172" t="s">
        <v>51</v>
      </c>
      <c r="F2172">
        <v>908420</v>
      </c>
      <c r="G2172">
        <v>2</v>
      </c>
      <c r="H2172">
        <v>1</v>
      </c>
      <c r="I2172">
        <v>807</v>
      </c>
      <c r="J2172">
        <v>1990</v>
      </c>
      <c r="K2172" s="4">
        <v>45754</v>
      </c>
      <c r="L2172" t="s">
        <v>26</v>
      </c>
      <c r="M2172" t="s">
        <v>58</v>
      </c>
      <c r="N2172">
        <v>1.96</v>
      </c>
      <c r="O2172">
        <v>2318</v>
      </c>
      <c r="P2172">
        <v>0.62</v>
      </c>
      <c r="Q2172">
        <v>99</v>
      </c>
      <c r="R2172">
        <v>508</v>
      </c>
    </row>
    <row r="2173" spans="1:18" hidden="1" x14ac:dyDescent="0.2">
      <c r="A2173">
        <v>6</v>
      </c>
      <c r="B2173" t="s">
        <v>50</v>
      </c>
      <c r="E2173" t="s">
        <v>36</v>
      </c>
      <c r="F2173">
        <v>1601977</v>
      </c>
      <c r="G2173">
        <v>2</v>
      </c>
      <c r="H2173">
        <v>2</v>
      </c>
      <c r="I2173">
        <v>423</v>
      </c>
      <c r="J2173">
        <v>1963</v>
      </c>
      <c r="K2173" s="4">
        <v>45839</v>
      </c>
      <c r="L2173" t="s">
        <v>23</v>
      </c>
      <c r="M2173" t="s">
        <v>76</v>
      </c>
      <c r="N2173">
        <v>2.11</v>
      </c>
      <c r="O2173">
        <v>2060</v>
      </c>
      <c r="P2173">
        <v>1.99</v>
      </c>
      <c r="Q2173">
        <v>127</v>
      </c>
      <c r="R2173">
        <v>452</v>
      </c>
    </row>
    <row r="2174" spans="1:18" hidden="1" x14ac:dyDescent="0.2">
      <c r="A2174">
        <v>5</v>
      </c>
      <c r="B2174" t="s">
        <v>96</v>
      </c>
      <c r="E2174" t="s">
        <v>19</v>
      </c>
      <c r="F2174">
        <v>492473</v>
      </c>
      <c r="G2174">
        <v>3</v>
      </c>
      <c r="H2174">
        <v>2</v>
      </c>
      <c r="I2174">
        <v>516</v>
      </c>
      <c r="J2174">
        <v>1963</v>
      </c>
      <c r="K2174" s="4">
        <v>45396</v>
      </c>
      <c r="L2174" t="s">
        <v>20</v>
      </c>
      <c r="M2174" t="s">
        <v>27</v>
      </c>
      <c r="N2174">
        <v>2.59</v>
      </c>
      <c r="O2174">
        <v>1664</v>
      </c>
      <c r="P2174">
        <v>0.84</v>
      </c>
      <c r="Q2174">
        <v>155</v>
      </c>
      <c r="R2174">
        <v>632</v>
      </c>
    </row>
    <row r="2175" spans="1:18" hidden="1" x14ac:dyDescent="0.2">
      <c r="A2175">
        <v>6</v>
      </c>
      <c r="B2175" t="s">
        <v>83</v>
      </c>
      <c r="E2175" t="s">
        <v>51</v>
      </c>
      <c r="F2175">
        <v>798343</v>
      </c>
      <c r="G2175">
        <v>1</v>
      </c>
      <c r="H2175">
        <v>1</v>
      </c>
      <c r="I2175">
        <v>594</v>
      </c>
      <c r="J2175">
        <v>1973</v>
      </c>
      <c r="K2175" s="4">
        <v>44549</v>
      </c>
      <c r="L2175" t="s">
        <v>23</v>
      </c>
      <c r="M2175" t="s">
        <v>45</v>
      </c>
      <c r="N2175">
        <v>2.72</v>
      </c>
      <c r="O2175">
        <v>1888</v>
      </c>
      <c r="P2175">
        <v>2.75</v>
      </c>
      <c r="Q2175">
        <v>47</v>
      </c>
      <c r="R2175">
        <v>552</v>
      </c>
    </row>
    <row r="2176" spans="1:18" hidden="1" x14ac:dyDescent="0.2">
      <c r="A2176">
        <v>7</v>
      </c>
      <c r="B2176" t="s">
        <v>46</v>
      </c>
      <c r="E2176" t="s">
        <v>51</v>
      </c>
      <c r="F2176">
        <v>886890</v>
      </c>
      <c r="G2176">
        <v>5</v>
      </c>
      <c r="H2176">
        <v>2</v>
      </c>
      <c r="I2176">
        <v>985</v>
      </c>
      <c r="J2176">
        <v>1990</v>
      </c>
      <c r="K2176" s="4">
        <v>44291</v>
      </c>
      <c r="L2176" t="s">
        <v>23</v>
      </c>
      <c r="M2176" t="s">
        <v>24</v>
      </c>
      <c r="N2176">
        <v>2.4900000000000002</v>
      </c>
      <c r="O2176">
        <v>1488</v>
      </c>
      <c r="P2176">
        <v>0.48</v>
      </c>
      <c r="Q2176">
        <v>377</v>
      </c>
      <c r="R2176">
        <v>588</v>
      </c>
    </row>
    <row r="2177" spans="1:18" x14ac:dyDescent="0.2">
      <c r="A2177">
        <v>8</v>
      </c>
      <c r="B2177" t="s">
        <v>84</v>
      </c>
      <c r="C2177" t="str">
        <f>VLOOKUP(B2177, 'Council Area'!$A$2:$B$51, 2)</f>
        <v>Northern Beaches Council</v>
      </c>
      <c r="D2177" t="str">
        <f>_xlfn.XLOOKUP(B2177, 'Council Area'!$A$2:$A$51, 'Council Area'!$B$2:$B$51)</f>
        <v>Northern Beaches Council</v>
      </c>
      <c r="E2177" t="s">
        <v>29</v>
      </c>
      <c r="F2177">
        <v>1735513</v>
      </c>
      <c r="G2177">
        <v>3</v>
      </c>
      <c r="H2177">
        <v>3</v>
      </c>
      <c r="I2177">
        <v>772</v>
      </c>
      <c r="J2177">
        <v>2020</v>
      </c>
      <c r="K2177" s="4">
        <v>45355</v>
      </c>
      <c r="L2177" t="s">
        <v>30</v>
      </c>
      <c r="M2177" t="s">
        <v>97</v>
      </c>
      <c r="N2177">
        <v>1.87</v>
      </c>
      <c r="O2177">
        <v>1411</v>
      </c>
      <c r="P2177">
        <v>4.7</v>
      </c>
      <c r="Q2177">
        <v>288</v>
      </c>
      <c r="R2177">
        <v>338</v>
      </c>
    </row>
    <row r="2178" spans="1:18" hidden="1" x14ac:dyDescent="0.2">
      <c r="A2178">
        <v>7</v>
      </c>
      <c r="B2178" t="s">
        <v>98</v>
      </c>
      <c r="E2178" t="s">
        <v>51</v>
      </c>
      <c r="F2178">
        <v>988885</v>
      </c>
      <c r="G2178">
        <v>2</v>
      </c>
      <c r="H2178">
        <v>2</v>
      </c>
      <c r="I2178">
        <v>125</v>
      </c>
      <c r="J2178">
        <v>1965</v>
      </c>
      <c r="K2178" s="4">
        <v>44467</v>
      </c>
      <c r="L2178" t="s">
        <v>26</v>
      </c>
      <c r="M2178" t="s">
        <v>37</v>
      </c>
      <c r="N2178">
        <v>2.11</v>
      </c>
      <c r="O2178">
        <v>1375</v>
      </c>
      <c r="P2178">
        <v>4.05</v>
      </c>
      <c r="Q2178">
        <v>59</v>
      </c>
      <c r="R2178">
        <v>461</v>
      </c>
    </row>
    <row r="2179" spans="1:18" hidden="1" x14ac:dyDescent="0.2">
      <c r="A2179">
        <v>3</v>
      </c>
      <c r="B2179" t="s">
        <v>48</v>
      </c>
      <c r="E2179" t="s">
        <v>36</v>
      </c>
      <c r="F2179">
        <v>2817164</v>
      </c>
      <c r="G2179">
        <v>1</v>
      </c>
      <c r="H2179">
        <v>1</v>
      </c>
      <c r="I2179">
        <v>929</v>
      </c>
      <c r="J2179">
        <v>1982</v>
      </c>
      <c r="K2179" s="4">
        <v>45450</v>
      </c>
      <c r="L2179" t="s">
        <v>20</v>
      </c>
      <c r="M2179" t="s">
        <v>77</v>
      </c>
      <c r="N2179">
        <v>1.88</v>
      </c>
      <c r="O2179">
        <v>2126</v>
      </c>
      <c r="P2179">
        <v>3.25</v>
      </c>
      <c r="Q2179">
        <v>53</v>
      </c>
      <c r="R2179">
        <v>691</v>
      </c>
    </row>
    <row r="2180" spans="1:18" hidden="1" x14ac:dyDescent="0.2">
      <c r="A2180">
        <v>7</v>
      </c>
      <c r="B2180" t="s">
        <v>104</v>
      </c>
      <c r="E2180" t="s">
        <v>29</v>
      </c>
      <c r="F2180">
        <v>2696381</v>
      </c>
      <c r="G2180">
        <v>3</v>
      </c>
      <c r="H2180">
        <v>1</v>
      </c>
      <c r="I2180">
        <v>415</v>
      </c>
      <c r="J2180">
        <v>2019</v>
      </c>
      <c r="K2180" s="4">
        <v>45293</v>
      </c>
      <c r="L2180" t="s">
        <v>23</v>
      </c>
      <c r="M2180" t="s">
        <v>82</v>
      </c>
      <c r="N2180">
        <v>3.36</v>
      </c>
      <c r="O2180">
        <v>2120</v>
      </c>
      <c r="P2180">
        <v>2.48</v>
      </c>
      <c r="Q2180">
        <v>121</v>
      </c>
      <c r="R2180">
        <v>582</v>
      </c>
    </row>
    <row r="2181" spans="1:18" hidden="1" x14ac:dyDescent="0.2">
      <c r="A2181">
        <v>5</v>
      </c>
      <c r="B2181" t="s">
        <v>46</v>
      </c>
      <c r="E2181" t="s">
        <v>19</v>
      </c>
      <c r="F2181">
        <v>1075983</v>
      </c>
      <c r="G2181">
        <v>6</v>
      </c>
      <c r="H2181">
        <v>3</v>
      </c>
      <c r="I2181">
        <v>270</v>
      </c>
      <c r="J2181">
        <v>2005</v>
      </c>
      <c r="K2181" s="4">
        <v>45163</v>
      </c>
      <c r="L2181" t="s">
        <v>20</v>
      </c>
      <c r="M2181" t="s">
        <v>37</v>
      </c>
      <c r="N2181">
        <v>2.29</v>
      </c>
      <c r="O2181">
        <v>2168</v>
      </c>
      <c r="P2181">
        <v>2.9</v>
      </c>
      <c r="Q2181">
        <v>388</v>
      </c>
      <c r="R2181">
        <v>467</v>
      </c>
    </row>
    <row r="2182" spans="1:18" hidden="1" x14ac:dyDescent="0.2">
      <c r="A2182">
        <v>0</v>
      </c>
      <c r="B2182" t="s">
        <v>50</v>
      </c>
      <c r="E2182" t="s">
        <v>36</v>
      </c>
      <c r="F2182">
        <v>2667626</v>
      </c>
      <c r="G2182">
        <v>4</v>
      </c>
      <c r="H2182">
        <v>2</v>
      </c>
      <c r="I2182">
        <v>548</v>
      </c>
      <c r="J2182">
        <v>1961</v>
      </c>
      <c r="K2182" s="4">
        <v>44464</v>
      </c>
      <c r="L2182" t="s">
        <v>26</v>
      </c>
      <c r="M2182" t="s">
        <v>40</v>
      </c>
      <c r="N2182">
        <v>3.44</v>
      </c>
      <c r="O2182">
        <v>2312</v>
      </c>
      <c r="P2182">
        <v>4.8600000000000003</v>
      </c>
      <c r="Q2182">
        <v>327</v>
      </c>
      <c r="R2182">
        <v>648</v>
      </c>
    </row>
    <row r="2183" spans="1:18" hidden="1" x14ac:dyDescent="0.2">
      <c r="A2183">
        <v>6</v>
      </c>
      <c r="B2183" t="s">
        <v>43</v>
      </c>
      <c r="E2183" t="s">
        <v>19</v>
      </c>
      <c r="F2183">
        <v>2549816</v>
      </c>
      <c r="G2183">
        <v>3</v>
      </c>
      <c r="H2183">
        <v>1</v>
      </c>
      <c r="I2183">
        <v>184</v>
      </c>
      <c r="J2183">
        <v>2013</v>
      </c>
      <c r="K2183" s="4">
        <v>45559</v>
      </c>
      <c r="L2183" t="s">
        <v>26</v>
      </c>
      <c r="M2183" t="s">
        <v>85</v>
      </c>
      <c r="N2183">
        <v>2.0499999999999998</v>
      </c>
      <c r="O2183">
        <v>2150</v>
      </c>
      <c r="P2183">
        <v>0.46</v>
      </c>
      <c r="Q2183">
        <v>189</v>
      </c>
      <c r="R2183">
        <v>408</v>
      </c>
    </row>
    <row r="2184" spans="1:18" hidden="1" x14ac:dyDescent="0.2">
      <c r="A2184">
        <v>2</v>
      </c>
      <c r="B2184" t="s">
        <v>62</v>
      </c>
      <c r="E2184" t="s">
        <v>29</v>
      </c>
      <c r="F2184">
        <v>2492733</v>
      </c>
      <c r="G2184">
        <v>6</v>
      </c>
      <c r="H2184">
        <v>1</v>
      </c>
      <c r="I2184">
        <v>976</v>
      </c>
      <c r="J2184">
        <v>1997</v>
      </c>
      <c r="K2184" s="4">
        <v>44225</v>
      </c>
      <c r="L2184" t="s">
        <v>23</v>
      </c>
      <c r="M2184" t="s">
        <v>37</v>
      </c>
      <c r="N2184">
        <v>2.5299999999999998</v>
      </c>
      <c r="O2184">
        <v>1455</v>
      </c>
      <c r="P2184">
        <v>0.48</v>
      </c>
      <c r="Q2184">
        <v>372</v>
      </c>
      <c r="R2184">
        <v>308</v>
      </c>
    </row>
    <row r="2185" spans="1:18" hidden="1" x14ac:dyDescent="0.2">
      <c r="A2185">
        <v>5</v>
      </c>
      <c r="B2185" t="s">
        <v>49</v>
      </c>
      <c r="E2185" t="s">
        <v>29</v>
      </c>
      <c r="F2185">
        <v>2113080</v>
      </c>
      <c r="G2185">
        <v>5</v>
      </c>
      <c r="H2185">
        <v>2</v>
      </c>
      <c r="I2185">
        <v>388</v>
      </c>
      <c r="J2185">
        <v>1980</v>
      </c>
      <c r="K2185" s="4">
        <v>45754</v>
      </c>
      <c r="L2185" t="s">
        <v>20</v>
      </c>
      <c r="M2185" t="s">
        <v>45</v>
      </c>
      <c r="N2185">
        <v>3.16</v>
      </c>
      <c r="O2185">
        <v>2037</v>
      </c>
      <c r="P2185">
        <v>0.91</v>
      </c>
      <c r="Q2185">
        <v>327</v>
      </c>
      <c r="R2185">
        <v>527</v>
      </c>
    </row>
    <row r="2186" spans="1:18" hidden="1" x14ac:dyDescent="0.2">
      <c r="A2186">
        <v>7</v>
      </c>
      <c r="B2186" t="s">
        <v>101</v>
      </c>
      <c r="E2186" t="s">
        <v>29</v>
      </c>
      <c r="F2186">
        <v>1578043</v>
      </c>
      <c r="G2186">
        <v>2</v>
      </c>
      <c r="H2186">
        <v>2</v>
      </c>
      <c r="I2186">
        <v>978</v>
      </c>
      <c r="J2186">
        <v>2010</v>
      </c>
      <c r="K2186" s="4">
        <v>44615</v>
      </c>
      <c r="L2186" t="s">
        <v>30</v>
      </c>
      <c r="M2186" t="s">
        <v>24</v>
      </c>
      <c r="N2186">
        <v>3.31</v>
      </c>
      <c r="O2186">
        <v>1924</v>
      </c>
      <c r="P2186">
        <v>1</v>
      </c>
      <c r="Q2186">
        <v>98</v>
      </c>
      <c r="R2186">
        <v>564</v>
      </c>
    </row>
    <row r="2187" spans="1:18" x14ac:dyDescent="0.2">
      <c r="A2187">
        <v>8</v>
      </c>
      <c r="B2187" t="s">
        <v>46</v>
      </c>
      <c r="C2187" t="str">
        <f>VLOOKUP(B2187, 'Council Area'!$A$2:$B$51, 2)</f>
        <v>Ku-ring-gai Council</v>
      </c>
      <c r="D2187" t="str">
        <f>_xlfn.XLOOKUP(B2187, 'Council Area'!$A$2:$A$51, 'Council Area'!$B$2:$B$51)</f>
        <v>Ku-ring-gai Council</v>
      </c>
      <c r="E2187" t="s">
        <v>51</v>
      </c>
      <c r="F2187">
        <v>1178340</v>
      </c>
      <c r="G2187">
        <v>2</v>
      </c>
      <c r="H2187">
        <v>1</v>
      </c>
      <c r="I2187">
        <v>157</v>
      </c>
      <c r="J2187">
        <v>1950</v>
      </c>
      <c r="K2187" s="4">
        <v>45065</v>
      </c>
      <c r="L2187" t="s">
        <v>26</v>
      </c>
      <c r="M2187" t="s">
        <v>40</v>
      </c>
      <c r="N2187">
        <v>3.31</v>
      </c>
      <c r="O2187">
        <v>1838</v>
      </c>
      <c r="P2187">
        <v>1.69</v>
      </c>
      <c r="Q2187">
        <v>185</v>
      </c>
      <c r="R2187">
        <v>548</v>
      </c>
    </row>
    <row r="2188" spans="1:18" hidden="1" x14ac:dyDescent="0.2">
      <c r="A2188">
        <v>7</v>
      </c>
      <c r="B2188" t="s">
        <v>32</v>
      </c>
      <c r="E2188" t="s">
        <v>19</v>
      </c>
      <c r="F2188">
        <v>2760387</v>
      </c>
      <c r="G2188">
        <v>4</v>
      </c>
      <c r="H2188">
        <v>3</v>
      </c>
      <c r="I2188">
        <v>364</v>
      </c>
      <c r="J2188">
        <v>2014</v>
      </c>
      <c r="K2188" s="4">
        <v>44333</v>
      </c>
      <c r="L2188" t="s">
        <v>30</v>
      </c>
      <c r="M2188" t="s">
        <v>97</v>
      </c>
      <c r="N2188">
        <v>2.89</v>
      </c>
      <c r="O2188">
        <v>1530</v>
      </c>
      <c r="P2188">
        <v>4.37</v>
      </c>
      <c r="Q2188">
        <v>397</v>
      </c>
      <c r="R2188">
        <v>433</v>
      </c>
    </row>
    <row r="2189" spans="1:18" hidden="1" x14ac:dyDescent="0.2">
      <c r="A2189">
        <v>5</v>
      </c>
      <c r="B2189" t="s">
        <v>25</v>
      </c>
      <c r="E2189" t="s">
        <v>19</v>
      </c>
      <c r="F2189">
        <v>2773075</v>
      </c>
      <c r="G2189">
        <v>2</v>
      </c>
      <c r="H2189">
        <v>3</v>
      </c>
      <c r="I2189">
        <v>793</v>
      </c>
      <c r="J2189">
        <v>1987</v>
      </c>
      <c r="K2189" s="4">
        <v>45450</v>
      </c>
      <c r="L2189" t="s">
        <v>20</v>
      </c>
      <c r="M2189" t="s">
        <v>68</v>
      </c>
      <c r="N2189">
        <v>2.09</v>
      </c>
      <c r="O2189">
        <v>1878</v>
      </c>
      <c r="P2189">
        <v>4.91</v>
      </c>
      <c r="Q2189">
        <v>216</v>
      </c>
      <c r="R2189">
        <v>302</v>
      </c>
    </row>
    <row r="2190" spans="1:18" hidden="1" x14ac:dyDescent="0.2">
      <c r="A2190">
        <v>1</v>
      </c>
      <c r="B2190" t="s">
        <v>80</v>
      </c>
      <c r="E2190" t="s">
        <v>36</v>
      </c>
      <c r="F2190">
        <v>427504</v>
      </c>
      <c r="G2190">
        <v>0</v>
      </c>
      <c r="H2190">
        <v>3</v>
      </c>
      <c r="I2190">
        <v>376</v>
      </c>
      <c r="J2190">
        <v>2003</v>
      </c>
      <c r="K2190" s="4">
        <v>44815</v>
      </c>
      <c r="L2190" t="s">
        <v>20</v>
      </c>
      <c r="M2190" t="s">
        <v>68</v>
      </c>
      <c r="N2190">
        <v>2.42</v>
      </c>
      <c r="O2190">
        <v>1785</v>
      </c>
      <c r="P2190">
        <v>4.8499999999999996</v>
      </c>
      <c r="Q2190">
        <v>43</v>
      </c>
      <c r="R2190">
        <v>478</v>
      </c>
    </row>
    <row r="2191" spans="1:18" hidden="1" x14ac:dyDescent="0.2">
      <c r="A2191">
        <v>7</v>
      </c>
      <c r="B2191" t="s">
        <v>84</v>
      </c>
      <c r="E2191" t="s">
        <v>51</v>
      </c>
      <c r="F2191">
        <v>553903</v>
      </c>
      <c r="G2191">
        <v>5</v>
      </c>
      <c r="H2191">
        <v>1</v>
      </c>
      <c r="I2191">
        <v>591</v>
      </c>
      <c r="J2191">
        <v>1975</v>
      </c>
      <c r="K2191" s="4">
        <v>45579</v>
      </c>
      <c r="L2191" t="s">
        <v>20</v>
      </c>
      <c r="M2191" t="s">
        <v>24</v>
      </c>
      <c r="N2191">
        <v>3.28</v>
      </c>
      <c r="O2191">
        <v>1786</v>
      </c>
      <c r="P2191">
        <v>1.63</v>
      </c>
      <c r="Q2191">
        <v>357</v>
      </c>
      <c r="R2191">
        <v>496</v>
      </c>
    </row>
    <row r="2192" spans="1:18" hidden="1" x14ac:dyDescent="0.2">
      <c r="A2192">
        <v>7</v>
      </c>
      <c r="B2192" t="s">
        <v>32</v>
      </c>
      <c r="E2192" t="s">
        <v>29</v>
      </c>
      <c r="F2192">
        <v>2003312</v>
      </c>
      <c r="G2192">
        <v>2</v>
      </c>
      <c r="H2192">
        <v>3</v>
      </c>
      <c r="I2192">
        <v>604</v>
      </c>
      <c r="J2192">
        <v>1987</v>
      </c>
      <c r="K2192" s="4">
        <v>44863</v>
      </c>
      <c r="L2192" t="s">
        <v>26</v>
      </c>
      <c r="M2192" t="s">
        <v>45</v>
      </c>
      <c r="N2192">
        <v>2.97</v>
      </c>
      <c r="O2192">
        <v>1550</v>
      </c>
      <c r="P2192">
        <v>3.5</v>
      </c>
      <c r="Q2192">
        <v>84</v>
      </c>
      <c r="R2192">
        <v>599</v>
      </c>
    </row>
    <row r="2193" spans="1:18" hidden="1" x14ac:dyDescent="0.2">
      <c r="A2193">
        <v>6</v>
      </c>
      <c r="B2193" t="s">
        <v>62</v>
      </c>
      <c r="E2193" t="s">
        <v>36</v>
      </c>
      <c r="F2193">
        <v>2316580</v>
      </c>
      <c r="G2193">
        <v>3</v>
      </c>
      <c r="H2193">
        <v>3</v>
      </c>
      <c r="I2193">
        <v>189</v>
      </c>
      <c r="J2193">
        <v>1961</v>
      </c>
      <c r="K2193" s="4">
        <v>45111</v>
      </c>
      <c r="L2193" t="s">
        <v>20</v>
      </c>
      <c r="M2193" t="s">
        <v>45</v>
      </c>
      <c r="N2193">
        <v>1.93</v>
      </c>
      <c r="O2193">
        <v>1645</v>
      </c>
      <c r="P2193">
        <v>4.24</v>
      </c>
      <c r="Q2193">
        <v>204</v>
      </c>
      <c r="R2193">
        <v>469</v>
      </c>
    </row>
    <row r="2194" spans="1:18" hidden="1" x14ac:dyDescent="0.2">
      <c r="A2194">
        <v>6</v>
      </c>
      <c r="B2194" t="s">
        <v>41</v>
      </c>
      <c r="E2194" t="s">
        <v>51</v>
      </c>
      <c r="F2194">
        <v>1236031</v>
      </c>
      <c r="G2194">
        <v>4</v>
      </c>
      <c r="H2194">
        <v>2</v>
      </c>
      <c r="I2194">
        <v>384</v>
      </c>
      <c r="J2194">
        <v>1971</v>
      </c>
      <c r="K2194" s="4">
        <v>45619</v>
      </c>
      <c r="L2194" t="s">
        <v>23</v>
      </c>
      <c r="M2194" t="s">
        <v>42</v>
      </c>
      <c r="N2194">
        <v>3.1</v>
      </c>
      <c r="O2194">
        <v>1196</v>
      </c>
      <c r="P2194">
        <v>2.27</v>
      </c>
      <c r="Q2194">
        <v>340</v>
      </c>
      <c r="R2194">
        <v>385</v>
      </c>
    </row>
    <row r="2195" spans="1:18" hidden="1" x14ac:dyDescent="0.2">
      <c r="A2195">
        <v>2</v>
      </c>
      <c r="B2195" t="s">
        <v>50</v>
      </c>
      <c r="E2195" t="s">
        <v>29</v>
      </c>
      <c r="F2195">
        <v>488102</v>
      </c>
      <c r="G2195">
        <v>3</v>
      </c>
      <c r="H2195">
        <v>3</v>
      </c>
      <c r="I2195">
        <v>872</v>
      </c>
      <c r="J2195">
        <v>1968</v>
      </c>
      <c r="K2195" s="4">
        <v>44152</v>
      </c>
      <c r="L2195" t="s">
        <v>23</v>
      </c>
      <c r="M2195" t="s">
        <v>60</v>
      </c>
      <c r="N2195">
        <v>2.67</v>
      </c>
      <c r="O2195">
        <v>1607</v>
      </c>
      <c r="P2195">
        <v>2.64</v>
      </c>
      <c r="Q2195">
        <v>184</v>
      </c>
      <c r="R2195">
        <v>653</v>
      </c>
    </row>
    <row r="2196" spans="1:18" hidden="1" x14ac:dyDescent="0.2">
      <c r="A2196">
        <v>9</v>
      </c>
      <c r="B2196" t="s">
        <v>96</v>
      </c>
      <c r="E2196" t="s">
        <v>51</v>
      </c>
      <c r="F2196">
        <v>574474</v>
      </c>
      <c r="G2196">
        <v>2</v>
      </c>
      <c r="H2196">
        <v>3</v>
      </c>
      <c r="I2196">
        <v>380</v>
      </c>
      <c r="J2196">
        <v>1999</v>
      </c>
      <c r="K2196" s="4">
        <v>44941</v>
      </c>
      <c r="L2196" t="s">
        <v>30</v>
      </c>
      <c r="M2196" t="s">
        <v>27</v>
      </c>
      <c r="N2196">
        <v>2.68</v>
      </c>
      <c r="O2196">
        <v>2375</v>
      </c>
      <c r="P2196">
        <v>4.63</v>
      </c>
      <c r="Q2196">
        <v>55</v>
      </c>
      <c r="R2196">
        <v>467</v>
      </c>
    </row>
    <row r="2197" spans="1:18" hidden="1" x14ac:dyDescent="0.2">
      <c r="A2197">
        <v>7</v>
      </c>
      <c r="B2197" t="s">
        <v>28</v>
      </c>
      <c r="E2197" t="s">
        <v>19</v>
      </c>
      <c r="F2197">
        <v>1238559</v>
      </c>
      <c r="G2197">
        <v>3</v>
      </c>
      <c r="H2197">
        <v>3</v>
      </c>
      <c r="I2197">
        <v>827</v>
      </c>
      <c r="J2197">
        <v>1968</v>
      </c>
      <c r="K2197" s="4">
        <v>45394</v>
      </c>
      <c r="L2197" t="s">
        <v>26</v>
      </c>
      <c r="M2197" t="s">
        <v>40</v>
      </c>
      <c r="N2197">
        <v>1.92</v>
      </c>
      <c r="O2197">
        <v>1481</v>
      </c>
      <c r="P2197">
        <v>3.38</v>
      </c>
      <c r="Q2197">
        <v>267</v>
      </c>
      <c r="R2197">
        <v>557</v>
      </c>
    </row>
    <row r="2198" spans="1:18" hidden="1" x14ac:dyDescent="0.2">
      <c r="A2198">
        <v>5</v>
      </c>
      <c r="B2198" t="s">
        <v>100</v>
      </c>
      <c r="E2198" t="s">
        <v>51</v>
      </c>
      <c r="F2198">
        <v>1564428</v>
      </c>
      <c r="G2198">
        <v>5</v>
      </c>
      <c r="H2198">
        <v>2</v>
      </c>
      <c r="I2198">
        <v>596</v>
      </c>
      <c r="J2198">
        <v>1971</v>
      </c>
      <c r="K2198" s="4">
        <v>45106</v>
      </c>
      <c r="L2198" t="s">
        <v>26</v>
      </c>
      <c r="M2198" t="s">
        <v>77</v>
      </c>
      <c r="N2198">
        <v>2.77</v>
      </c>
      <c r="O2198">
        <v>2425</v>
      </c>
      <c r="P2198">
        <v>3.13</v>
      </c>
      <c r="Q2198">
        <v>344</v>
      </c>
      <c r="R2198">
        <v>422</v>
      </c>
    </row>
    <row r="2199" spans="1:18" hidden="1" x14ac:dyDescent="0.2">
      <c r="A2199">
        <v>4</v>
      </c>
      <c r="B2199" t="s">
        <v>94</v>
      </c>
      <c r="E2199" t="s">
        <v>51</v>
      </c>
      <c r="F2199">
        <v>415553</v>
      </c>
      <c r="G2199">
        <v>4</v>
      </c>
      <c r="H2199">
        <v>3</v>
      </c>
      <c r="I2199">
        <v>194</v>
      </c>
      <c r="J2199">
        <v>1963</v>
      </c>
      <c r="K2199" s="4">
        <v>45376</v>
      </c>
      <c r="L2199" t="s">
        <v>23</v>
      </c>
      <c r="M2199" t="s">
        <v>68</v>
      </c>
      <c r="N2199">
        <v>1.54</v>
      </c>
      <c r="O2199">
        <v>2098</v>
      </c>
      <c r="P2199">
        <v>2.74</v>
      </c>
      <c r="Q2199">
        <v>328</v>
      </c>
      <c r="R2199">
        <v>484</v>
      </c>
    </row>
    <row r="2200" spans="1:18" hidden="1" x14ac:dyDescent="0.2">
      <c r="A2200">
        <v>1</v>
      </c>
      <c r="B2200" t="s">
        <v>73</v>
      </c>
      <c r="E2200" t="s">
        <v>36</v>
      </c>
      <c r="F2200">
        <v>2088091</v>
      </c>
      <c r="G2200">
        <v>1</v>
      </c>
      <c r="H2200">
        <v>1</v>
      </c>
      <c r="I2200">
        <v>316</v>
      </c>
      <c r="J2200">
        <v>1998</v>
      </c>
      <c r="K2200" s="4">
        <v>44364</v>
      </c>
      <c r="L2200" t="s">
        <v>26</v>
      </c>
      <c r="M2200" t="s">
        <v>97</v>
      </c>
      <c r="N2200">
        <v>2.0299999999999998</v>
      </c>
      <c r="O2200">
        <v>1575</v>
      </c>
      <c r="P2200">
        <v>1.37</v>
      </c>
      <c r="Q2200">
        <v>94</v>
      </c>
      <c r="R2200">
        <v>611</v>
      </c>
    </row>
    <row r="2201" spans="1:18" hidden="1" x14ac:dyDescent="0.2">
      <c r="A2201">
        <v>2</v>
      </c>
      <c r="B2201" t="s">
        <v>43</v>
      </c>
      <c r="E2201" t="s">
        <v>36</v>
      </c>
      <c r="F2201">
        <v>857526</v>
      </c>
      <c r="G2201">
        <v>4</v>
      </c>
      <c r="H2201">
        <v>1</v>
      </c>
      <c r="I2201">
        <v>541</v>
      </c>
      <c r="J2201">
        <v>1968</v>
      </c>
      <c r="K2201" s="4">
        <v>45303</v>
      </c>
      <c r="L2201" t="s">
        <v>26</v>
      </c>
      <c r="M2201" t="s">
        <v>42</v>
      </c>
      <c r="N2201">
        <v>3.49</v>
      </c>
      <c r="O2201">
        <v>1306</v>
      </c>
      <c r="P2201">
        <v>2.5499999999999998</v>
      </c>
      <c r="Q2201">
        <v>326</v>
      </c>
      <c r="R2201">
        <v>511</v>
      </c>
    </row>
    <row r="2202" spans="1:18" hidden="1" x14ac:dyDescent="0.2">
      <c r="A2202">
        <v>1</v>
      </c>
      <c r="B2202" t="s">
        <v>73</v>
      </c>
      <c r="E2202" t="s">
        <v>29</v>
      </c>
      <c r="F2202">
        <v>2441843</v>
      </c>
      <c r="G2202">
        <v>1</v>
      </c>
      <c r="H2202">
        <v>1</v>
      </c>
      <c r="I2202">
        <v>614</v>
      </c>
      <c r="J2202">
        <v>1954</v>
      </c>
      <c r="K2202" s="4">
        <v>45433</v>
      </c>
      <c r="L2202" t="s">
        <v>20</v>
      </c>
      <c r="M2202" t="s">
        <v>21</v>
      </c>
      <c r="N2202">
        <v>2.66</v>
      </c>
      <c r="O2202">
        <v>2064</v>
      </c>
      <c r="P2202">
        <v>1.58</v>
      </c>
      <c r="Q2202">
        <v>47</v>
      </c>
      <c r="R2202">
        <v>547</v>
      </c>
    </row>
    <row r="2203" spans="1:18" hidden="1" x14ac:dyDescent="0.2">
      <c r="A2203">
        <v>5</v>
      </c>
      <c r="B2203" t="s">
        <v>75</v>
      </c>
      <c r="E2203" t="s">
        <v>51</v>
      </c>
      <c r="F2203">
        <v>1360057</v>
      </c>
      <c r="G2203">
        <v>2</v>
      </c>
      <c r="H2203">
        <v>3</v>
      </c>
      <c r="I2203">
        <v>370</v>
      </c>
      <c r="J2203">
        <v>1981</v>
      </c>
      <c r="K2203" s="4">
        <v>45333</v>
      </c>
      <c r="L2203" t="s">
        <v>23</v>
      </c>
      <c r="M2203" t="s">
        <v>97</v>
      </c>
      <c r="N2203">
        <v>2.4</v>
      </c>
      <c r="O2203">
        <v>1981</v>
      </c>
      <c r="P2203">
        <v>0.33</v>
      </c>
      <c r="Q2203">
        <v>237</v>
      </c>
      <c r="R2203">
        <v>519</v>
      </c>
    </row>
    <row r="2204" spans="1:18" hidden="1" x14ac:dyDescent="0.2">
      <c r="A2204">
        <v>0</v>
      </c>
      <c r="B2204" t="s">
        <v>71</v>
      </c>
      <c r="E2204" t="s">
        <v>36</v>
      </c>
      <c r="F2204">
        <v>2467594</v>
      </c>
      <c r="G2204">
        <v>4</v>
      </c>
      <c r="H2204">
        <v>3</v>
      </c>
      <c r="I2204">
        <v>267</v>
      </c>
      <c r="J2204">
        <v>1982</v>
      </c>
      <c r="K2204" s="4">
        <v>44845</v>
      </c>
      <c r="L2204" t="s">
        <v>30</v>
      </c>
      <c r="M2204" t="s">
        <v>56</v>
      </c>
      <c r="N2204">
        <v>3.37</v>
      </c>
      <c r="O2204">
        <v>2051</v>
      </c>
      <c r="P2204">
        <v>3.57</v>
      </c>
      <c r="Q2204">
        <v>173</v>
      </c>
      <c r="R2204">
        <v>490</v>
      </c>
    </row>
    <row r="2205" spans="1:18" hidden="1" x14ac:dyDescent="0.2">
      <c r="A2205">
        <v>7</v>
      </c>
      <c r="B2205" t="s">
        <v>55</v>
      </c>
      <c r="E2205" t="s">
        <v>51</v>
      </c>
      <c r="F2205">
        <v>2549137</v>
      </c>
      <c r="G2205">
        <v>4</v>
      </c>
      <c r="H2205">
        <v>3</v>
      </c>
      <c r="I2205">
        <v>544</v>
      </c>
      <c r="J2205">
        <v>1954</v>
      </c>
      <c r="K2205" s="4">
        <v>45011</v>
      </c>
      <c r="L2205" t="s">
        <v>20</v>
      </c>
      <c r="M2205" t="s">
        <v>31</v>
      </c>
      <c r="N2205">
        <v>2.64</v>
      </c>
      <c r="O2205">
        <v>2075</v>
      </c>
      <c r="P2205">
        <v>2.89</v>
      </c>
      <c r="Q2205">
        <v>336</v>
      </c>
      <c r="R2205">
        <v>628</v>
      </c>
    </row>
    <row r="2206" spans="1:18" hidden="1" x14ac:dyDescent="0.2">
      <c r="A2206">
        <v>2</v>
      </c>
      <c r="B2206" t="s">
        <v>84</v>
      </c>
      <c r="E2206" t="s">
        <v>51</v>
      </c>
      <c r="F2206">
        <v>1448637</v>
      </c>
      <c r="G2206">
        <v>4</v>
      </c>
      <c r="H2206">
        <v>2</v>
      </c>
      <c r="I2206">
        <v>902</v>
      </c>
      <c r="J2206">
        <v>2003</v>
      </c>
      <c r="K2206" s="4">
        <v>44967</v>
      </c>
      <c r="L2206" t="s">
        <v>26</v>
      </c>
      <c r="M2206" t="s">
        <v>52</v>
      </c>
      <c r="N2206">
        <v>2.8</v>
      </c>
      <c r="O2206">
        <v>1618</v>
      </c>
      <c r="P2206">
        <v>3.86</v>
      </c>
      <c r="Q2206">
        <v>207</v>
      </c>
      <c r="R2206">
        <v>407</v>
      </c>
    </row>
    <row r="2207" spans="1:18" hidden="1" x14ac:dyDescent="0.2">
      <c r="A2207">
        <v>9</v>
      </c>
      <c r="B2207" t="s">
        <v>43</v>
      </c>
      <c r="E2207" t="s">
        <v>29</v>
      </c>
      <c r="F2207">
        <v>443249</v>
      </c>
      <c r="G2207">
        <v>4</v>
      </c>
      <c r="H2207">
        <v>3</v>
      </c>
      <c r="I2207">
        <v>843</v>
      </c>
      <c r="J2207">
        <v>1999</v>
      </c>
      <c r="K2207" s="4">
        <v>44812</v>
      </c>
      <c r="L2207" t="s">
        <v>20</v>
      </c>
      <c r="M2207" t="s">
        <v>33</v>
      </c>
      <c r="N2207">
        <v>2.08</v>
      </c>
      <c r="O2207">
        <v>1388</v>
      </c>
      <c r="P2207">
        <v>0.34</v>
      </c>
      <c r="Q2207">
        <v>232</v>
      </c>
      <c r="R2207">
        <v>600</v>
      </c>
    </row>
    <row r="2208" spans="1:18" hidden="1" x14ac:dyDescent="0.2">
      <c r="A2208">
        <v>6</v>
      </c>
      <c r="B2208" t="s">
        <v>101</v>
      </c>
      <c r="E2208" t="s">
        <v>51</v>
      </c>
      <c r="F2208">
        <v>1850310</v>
      </c>
      <c r="G2208">
        <v>3</v>
      </c>
      <c r="H2208">
        <v>2</v>
      </c>
      <c r="I2208">
        <v>289</v>
      </c>
      <c r="J2208">
        <v>1980</v>
      </c>
      <c r="K2208" s="4">
        <v>45578</v>
      </c>
      <c r="L2208" t="s">
        <v>20</v>
      </c>
      <c r="M2208" t="s">
        <v>31</v>
      </c>
      <c r="N2208">
        <v>2.74</v>
      </c>
      <c r="O2208">
        <v>1347</v>
      </c>
      <c r="P2208">
        <v>2.14</v>
      </c>
      <c r="Q2208">
        <v>318</v>
      </c>
      <c r="R2208">
        <v>607</v>
      </c>
    </row>
    <row r="2209" spans="1:18" x14ac:dyDescent="0.2">
      <c r="A2209">
        <v>8</v>
      </c>
      <c r="B2209" t="s">
        <v>79</v>
      </c>
      <c r="C2209" t="str">
        <f>VLOOKUP(B2209, 'Council Area'!$A$2:$B$51, 2)</f>
        <v>Parramatta City Council</v>
      </c>
      <c r="D2209" t="str">
        <f>_xlfn.XLOOKUP(B2209, 'Council Area'!$A$2:$A$51, 'Council Area'!$B$2:$B$51)</f>
        <v>Parramatta City Council</v>
      </c>
      <c r="E2209" t="s">
        <v>29</v>
      </c>
      <c r="F2209">
        <v>890418</v>
      </c>
      <c r="G2209">
        <v>2</v>
      </c>
      <c r="H2209">
        <v>3</v>
      </c>
      <c r="I2209">
        <v>656</v>
      </c>
      <c r="J2209">
        <v>2004</v>
      </c>
      <c r="K2209" s="4">
        <v>44606</v>
      </c>
      <c r="L2209" t="s">
        <v>23</v>
      </c>
      <c r="M2209" t="s">
        <v>54</v>
      </c>
      <c r="N2209">
        <v>2.5</v>
      </c>
      <c r="O2209">
        <v>1636</v>
      </c>
      <c r="P2209">
        <v>1.59</v>
      </c>
      <c r="Q2209">
        <v>197</v>
      </c>
      <c r="R2209">
        <v>644</v>
      </c>
    </row>
    <row r="2210" spans="1:18" hidden="1" x14ac:dyDescent="0.2">
      <c r="A2210">
        <v>1</v>
      </c>
      <c r="B2210" t="s">
        <v>62</v>
      </c>
      <c r="E2210" t="s">
        <v>19</v>
      </c>
      <c r="F2210">
        <v>1911799</v>
      </c>
      <c r="G2210">
        <v>2</v>
      </c>
      <c r="H2210">
        <v>2</v>
      </c>
      <c r="I2210">
        <v>507</v>
      </c>
      <c r="J2210">
        <v>1973</v>
      </c>
      <c r="K2210" s="4">
        <v>44504</v>
      </c>
      <c r="L2210" t="s">
        <v>26</v>
      </c>
      <c r="M2210" t="s">
        <v>58</v>
      </c>
      <c r="N2210">
        <v>2.62</v>
      </c>
      <c r="O2210">
        <v>2096</v>
      </c>
      <c r="P2210">
        <v>1.49</v>
      </c>
      <c r="Q2210">
        <v>154</v>
      </c>
      <c r="R2210">
        <v>384</v>
      </c>
    </row>
    <row r="2211" spans="1:18" hidden="1" x14ac:dyDescent="0.2">
      <c r="A2211">
        <v>4</v>
      </c>
      <c r="B2211" t="s">
        <v>55</v>
      </c>
      <c r="E2211" t="s">
        <v>51</v>
      </c>
      <c r="F2211">
        <v>2246848</v>
      </c>
      <c r="G2211">
        <v>3</v>
      </c>
      <c r="H2211">
        <v>3</v>
      </c>
      <c r="I2211">
        <v>182</v>
      </c>
      <c r="J2211">
        <v>1982</v>
      </c>
      <c r="K2211" s="4">
        <v>45596</v>
      </c>
      <c r="L2211" t="s">
        <v>30</v>
      </c>
      <c r="M2211" t="s">
        <v>76</v>
      </c>
      <c r="N2211">
        <v>3.28</v>
      </c>
      <c r="O2211">
        <v>852</v>
      </c>
      <c r="P2211">
        <v>1.4</v>
      </c>
      <c r="Q2211">
        <v>199</v>
      </c>
      <c r="R2211">
        <v>519</v>
      </c>
    </row>
    <row r="2212" spans="1:18" hidden="1" x14ac:dyDescent="0.2">
      <c r="A2212">
        <v>2</v>
      </c>
      <c r="B2212" t="s">
        <v>96</v>
      </c>
      <c r="E2212" t="s">
        <v>51</v>
      </c>
      <c r="F2212">
        <v>2261944</v>
      </c>
      <c r="G2212">
        <v>5</v>
      </c>
      <c r="H2212">
        <v>3</v>
      </c>
      <c r="I2212">
        <v>936</v>
      </c>
      <c r="J2212">
        <v>2020</v>
      </c>
      <c r="K2212" s="4">
        <v>44355</v>
      </c>
      <c r="L2212" t="s">
        <v>20</v>
      </c>
      <c r="M2212" t="s">
        <v>37</v>
      </c>
      <c r="N2212">
        <v>1.56</v>
      </c>
      <c r="O2212">
        <v>1092</v>
      </c>
      <c r="P2212">
        <v>3.49</v>
      </c>
      <c r="Q2212">
        <v>306</v>
      </c>
      <c r="R2212">
        <v>630</v>
      </c>
    </row>
    <row r="2213" spans="1:18" hidden="1" x14ac:dyDescent="0.2">
      <c r="A2213">
        <v>9</v>
      </c>
      <c r="B2213" t="s">
        <v>32</v>
      </c>
      <c r="E2213" t="s">
        <v>29</v>
      </c>
      <c r="F2213">
        <v>2560214</v>
      </c>
      <c r="G2213">
        <v>0</v>
      </c>
      <c r="H2213">
        <v>2</v>
      </c>
      <c r="I2213">
        <v>211</v>
      </c>
      <c r="J2213">
        <v>1960</v>
      </c>
      <c r="K2213" s="4">
        <v>44720</v>
      </c>
      <c r="L2213" t="s">
        <v>23</v>
      </c>
      <c r="M2213" t="s">
        <v>97</v>
      </c>
      <c r="N2213">
        <v>1.52</v>
      </c>
      <c r="O2213">
        <v>1572</v>
      </c>
      <c r="P2213">
        <v>1.73</v>
      </c>
      <c r="Q2213">
        <v>41</v>
      </c>
      <c r="R2213">
        <v>474</v>
      </c>
    </row>
    <row r="2214" spans="1:18" hidden="1" x14ac:dyDescent="0.2">
      <c r="A2214">
        <v>7</v>
      </c>
      <c r="B2214" t="s">
        <v>32</v>
      </c>
      <c r="E2214" t="s">
        <v>36</v>
      </c>
      <c r="F2214">
        <v>2761248</v>
      </c>
      <c r="G2214">
        <v>2</v>
      </c>
      <c r="H2214">
        <v>2</v>
      </c>
      <c r="I2214">
        <v>230</v>
      </c>
      <c r="J2214">
        <v>1978</v>
      </c>
      <c r="K2214" s="4">
        <v>44402</v>
      </c>
      <c r="L2214" t="s">
        <v>23</v>
      </c>
      <c r="M2214" t="s">
        <v>31</v>
      </c>
      <c r="N2214">
        <v>2.85</v>
      </c>
      <c r="O2214">
        <v>1985</v>
      </c>
      <c r="P2214">
        <v>3.48</v>
      </c>
      <c r="Q2214">
        <v>164</v>
      </c>
      <c r="R2214">
        <v>416</v>
      </c>
    </row>
    <row r="2215" spans="1:18" hidden="1" x14ac:dyDescent="0.2">
      <c r="A2215">
        <v>5</v>
      </c>
      <c r="B2215" t="s">
        <v>25</v>
      </c>
      <c r="E2215" t="s">
        <v>29</v>
      </c>
      <c r="F2215">
        <v>1012102</v>
      </c>
      <c r="G2215">
        <v>5</v>
      </c>
      <c r="H2215">
        <v>1</v>
      </c>
      <c r="I2215">
        <v>441</v>
      </c>
      <c r="J2215">
        <v>1987</v>
      </c>
      <c r="K2215" s="4">
        <v>44543</v>
      </c>
      <c r="L2215" t="s">
        <v>20</v>
      </c>
      <c r="M2215" t="s">
        <v>76</v>
      </c>
      <c r="N2215">
        <v>3.29</v>
      </c>
      <c r="O2215">
        <v>2333</v>
      </c>
      <c r="P2215">
        <v>2.2999999999999998</v>
      </c>
      <c r="Q2215">
        <v>349</v>
      </c>
      <c r="R2215">
        <v>630</v>
      </c>
    </row>
    <row r="2216" spans="1:18" hidden="1" x14ac:dyDescent="0.2">
      <c r="A2216">
        <v>2</v>
      </c>
      <c r="B2216" t="s">
        <v>99</v>
      </c>
      <c r="E2216" t="s">
        <v>29</v>
      </c>
      <c r="F2216">
        <v>2376103</v>
      </c>
      <c r="G2216">
        <v>5</v>
      </c>
      <c r="H2216">
        <v>3</v>
      </c>
      <c r="I2216">
        <v>448</v>
      </c>
      <c r="J2216">
        <v>1957</v>
      </c>
      <c r="K2216" s="4">
        <v>44563</v>
      </c>
      <c r="L2216" t="s">
        <v>30</v>
      </c>
      <c r="M2216" t="s">
        <v>77</v>
      </c>
      <c r="N2216">
        <v>2.02</v>
      </c>
      <c r="O2216">
        <v>1127</v>
      </c>
      <c r="P2216">
        <v>0.49</v>
      </c>
      <c r="Q2216">
        <v>332</v>
      </c>
      <c r="R2216">
        <v>529</v>
      </c>
    </row>
    <row r="2217" spans="1:18" hidden="1" x14ac:dyDescent="0.2">
      <c r="A2217">
        <v>5</v>
      </c>
      <c r="B2217" t="s">
        <v>93</v>
      </c>
      <c r="E2217" t="s">
        <v>29</v>
      </c>
      <c r="F2217">
        <v>2314812</v>
      </c>
      <c r="G2217">
        <v>3</v>
      </c>
      <c r="H2217">
        <v>1</v>
      </c>
      <c r="I2217">
        <v>689</v>
      </c>
      <c r="J2217">
        <v>1995</v>
      </c>
      <c r="K2217" s="4">
        <v>44943</v>
      </c>
      <c r="L2217" t="s">
        <v>23</v>
      </c>
      <c r="M2217" t="s">
        <v>33</v>
      </c>
      <c r="N2217">
        <v>1.9</v>
      </c>
      <c r="O2217">
        <v>1144</v>
      </c>
      <c r="P2217">
        <v>1.03</v>
      </c>
      <c r="Q2217">
        <v>100</v>
      </c>
      <c r="R2217">
        <v>481</v>
      </c>
    </row>
    <row r="2218" spans="1:18" hidden="1" x14ac:dyDescent="0.2">
      <c r="A2218">
        <v>0</v>
      </c>
      <c r="B2218" t="s">
        <v>62</v>
      </c>
      <c r="E2218" t="s">
        <v>19</v>
      </c>
      <c r="F2218">
        <v>2903120</v>
      </c>
      <c r="G2218">
        <v>2</v>
      </c>
      <c r="H2218">
        <v>2</v>
      </c>
      <c r="I2218">
        <v>425</v>
      </c>
      <c r="J2218">
        <v>1969</v>
      </c>
      <c r="K2218" s="4">
        <v>45622</v>
      </c>
      <c r="L2218" t="s">
        <v>30</v>
      </c>
      <c r="M2218" t="s">
        <v>70</v>
      </c>
      <c r="N2218">
        <v>2.36</v>
      </c>
      <c r="O2218">
        <v>1540</v>
      </c>
      <c r="P2218">
        <v>1.6</v>
      </c>
      <c r="Q2218">
        <v>235</v>
      </c>
      <c r="R2218">
        <v>560</v>
      </c>
    </row>
    <row r="2219" spans="1:18" hidden="1" x14ac:dyDescent="0.2">
      <c r="A2219">
        <v>9</v>
      </c>
      <c r="B2219" t="s">
        <v>81</v>
      </c>
      <c r="E2219" t="s">
        <v>29</v>
      </c>
      <c r="F2219">
        <v>1816476</v>
      </c>
      <c r="G2219">
        <v>0</v>
      </c>
      <c r="H2219">
        <v>3</v>
      </c>
      <c r="I2219">
        <v>951</v>
      </c>
      <c r="J2219">
        <v>2010</v>
      </c>
      <c r="K2219" s="4">
        <v>45578</v>
      </c>
      <c r="L2219" t="s">
        <v>20</v>
      </c>
      <c r="M2219" t="s">
        <v>54</v>
      </c>
      <c r="N2219">
        <v>1.57</v>
      </c>
      <c r="O2219">
        <v>824</v>
      </c>
      <c r="P2219">
        <v>4.8499999999999996</v>
      </c>
      <c r="Q2219">
        <v>62</v>
      </c>
      <c r="R2219">
        <v>501</v>
      </c>
    </row>
    <row r="2220" spans="1:18" hidden="1" x14ac:dyDescent="0.2">
      <c r="A2220">
        <v>3</v>
      </c>
      <c r="B2220" t="s">
        <v>75</v>
      </c>
      <c r="E2220" t="s">
        <v>29</v>
      </c>
      <c r="F2220">
        <v>816795</v>
      </c>
      <c r="G2220">
        <v>4</v>
      </c>
      <c r="H2220">
        <v>3</v>
      </c>
      <c r="I2220">
        <v>331</v>
      </c>
      <c r="J2220">
        <v>1961</v>
      </c>
      <c r="K2220" s="4">
        <v>44363</v>
      </c>
      <c r="L2220" t="s">
        <v>30</v>
      </c>
      <c r="M2220" t="s">
        <v>35</v>
      </c>
      <c r="N2220">
        <v>1.7</v>
      </c>
      <c r="O2220">
        <v>934</v>
      </c>
      <c r="P2220">
        <v>2.84</v>
      </c>
      <c r="Q2220">
        <v>392</v>
      </c>
      <c r="R2220">
        <v>577</v>
      </c>
    </row>
    <row r="2221" spans="1:18" hidden="1" x14ac:dyDescent="0.2">
      <c r="A2221">
        <v>4</v>
      </c>
      <c r="B2221" t="s">
        <v>75</v>
      </c>
      <c r="E2221" t="s">
        <v>19</v>
      </c>
      <c r="F2221">
        <v>2235013</v>
      </c>
      <c r="G2221">
        <v>3</v>
      </c>
      <c r="H2221">
        <v>3</v>
      </c>
      <c r="I2221">
        <v>793</v>
      </c>
      <c r="J2221">
        <v>2019</v>
      </c>
      <c r="K2221" s="4">
        <v>44828</v>
      </c>
      <c r="L2221" t="s">
        <v>30</v>
      </c>
      <c r="M2221" t="s">
        <v>27</v>
      </c>
      <c r="N2221">
        <v>2.0699999999999998</v>
      </c>
      <c r="O2221">
        <v>2190</v>
      </c>
      <c r="P2221">
        <v>2.95</v>
      </c>
      <c r="Q2221">
        <v>154</v>
      </c>
      <c r="R2221">
        <v>426</v>
      </c>
    </row>
    <row r="2222" spans="1:18" hidden="1" x14ac:dyDescent="0.2">
      <c r="A2222">
        <v>1</v>
      </c>
      <c r="B2222" t="s">
        <v>80</v>
      </c>
      <c r="E2222" t="s">
        <v>29</v>
      </c>
      <c r="F2222">
        <v>673360</v>
      </c>
      <c r="G2222">
        <v>2</v>
      </c>
      <c r="H2222">
        <v>3</v>
      </c>
      <c r="I2222">
        <v>396</v>
      </c>
      <c r="J2222">
        <v>1982</v>
      </c>
      <c r="K2222" s="4">
        <v>44671</v>
      </c>
      <c r="L2222" t="s">
        <v>26</v>
      </c>
      <c r="M2222" t="s">
        <v>35</v>
      </c>
      <c r="N2222">
        <v>3.44</v>
      </c>
      <c r="O2222">
        <v>1601</v>
      </c>
      <c r="P2222">
        <v>2.59</v>
      </c>
      <c r="Q2222">
        <v>179</v>
      </c>
      <c r="R2222">
        <v>551</v>
      </c>
    </row>
    <row r="2223" spans="1:18" hidden="1" x14ac:dyDescent="0.2">
      <c r="A2223">
        <v>5</v>
      </c>
      <c r="B2223" t="s">
        <v>104</v>
      </c>
      <c r="E2223" t="s">
        <v>19</v>
      </c>
      <c r="F2223">
        <v>1668520</v>
      </c>
      <c r="G2223">
        <v>3</v>
      </c>
      <c r="H2223">
        <v>2</v>
      </c>
      <c r="I2223">
        <v>195</v>
      </c>
      <c r="J2223">
        <v>2019</v>
      </c>
      <c r="K2223" s="4">
        <v>45448</v>
      </c>
      <c r="L2223" t="s">
        <v>30</v>
      </c>
      <c r="M2223" t="s">
        <v>78</v>
      </c>
      <c r="N2223">
        <v>2.99</v>
      </c>
      <c r="O2223">
        <v>1190</v>
      </c>
      <c r="P2223">
        <v>2.82</v>
      </c>
      <c r="Q2223">
        <v>234</v>
      </c>
      <c r="R2223">
        <v>477</v>
      </c>
    </row>
    <row r="2224" spans="1:18" x14ac:dyDescent="0.2">
      <c r="A2224">
        <v>8</v>
      </c>
      <c r="B2224" t="s">
        <v>75</v>
      </c>
      <c r="C2224" t="str">
        <f>VLOOKUP(B2224, 'Council Area'!$A$2:$B$51, 2)</f>
        <v>Inner West Council</v>
      </c>
      <c r="D2224" t="str">
        <f>_xlfn.XLOOKUP(B2224, 'Council Area'!$A$2:$A$51, 'Council Area'!$B$2:$B$51)</f>
        <v>Inner West Council</v>
      </c>
      <c r="E2224" t="s">
        <v>36</v>
      </c>
      <c r="F2224">
        <v>577622</v>
      </c>
      <c r="G2224">
        <v>3</v>
      </c>
      <c r="H2224">
        <v>3</v>
      </c>
      <c r="I2224">
        <v>371</v>
      </c>
      <c r="J2224">
        <v>1954</v>
      </c>
      <c r="K2224" s="4">
        <v>44574</v>
      </c>
      <c r="L2224" t="s">
        <v>20</v>
      </c>
      <c r="M2224" t="s">
        <v>56</v>
      </c>
      <c r="N2224">
        <v>1.75</v>
      </c>
      <c r="O2224">
        <v>1292</v>
      </c>
      <c r="P2224">
        <v>3.65</v>
      </c>
      <c r="Q2224">
        <v>96</v>
      </c>
      <c r="R2224">
        <v>658</v>
      </c>
    </row>
    <row r="2225" spans="1:18" hidden="1" x14ac:dyDescent="0.2">
      <c r="A2225">
        <v>3</v>
      </c>
      <c r="B2225" t="s">
        <v>101</v>
      </c>
      <c r="E2225" t="s">
        <v>36</v>
      </c>
      <c r="F2225">
        <v>699915</v>
      </c>
      <c r="G2225">
        <v>4</v>
      </c>
      <c r="H2225">
        <v>1</v>
      </c>
      <c r="I2225">
        <v>468</v>
      </c>
      <c r="J2225">
        <v>1975</v>
      </c>
      <c r="K2225" s="4">
        <v>44906</v>
      </c>
      <c r="L2225" t="s">
        <v>26</v>
      </c>
      <c r="M2225" t="s">
        <v>37</v>
      </c>
      <c r="N2225">
        <v>3.11</v>
      </c>
      <c r="O2225">
        <v>2137</v>
      </c>
      <c r="P2225">
        <v>1.89</v>
      </c>
      <c r="Q2225">
        <v>223</v>
      </c>
      <c r="R2225">
        <v>508</v>
      </c>
    </row>
    <row r="2226" spans="1:18" hidden="1" x14ac:dyDescent="0.2">
      <c r="A2226">
        <v>7</v>
      </c>
      <c r="B2226" t="s">
        <v>38</v>
      </c>
      <c r="E2226" t="s">
        <v>19</v>
      </c>
      <c r="F2226">
        <v>2396775</v>
      </c>
      <c r="G2226">
        <v>4</v>
      </c>
      <c r="H2226">
        <v>2</v>
      </c>
      <c r="I2226">
        <v>262</v>
      </c>
      <c r="J2226">
        <v>2007</v>
      </c>
      <c r="K2226" s="4">
        <v>45573</v>
      </c>
      <c r="L2226" t="s">
        <v>26</v>
      </c>
      <c r="M2226" t="s">
        <v>70</v>
      </c>
      <c r="N2226">
        <v>2.39</v>
      </c>
      <c r="O2226">
        <v>1110</v>
      </c>
      <c r="P2226">
        <v>0.14000000000000001</v>
      </c>
      <c r="Q2226">
        <v>368</v>
      </c>
      <c r="R2226">
        <v>527</v>
      </c>
    </row>
    <row r="2227" spans="1:18" hidden="1" x14ac:dyDescent="0.2">
      <c r="A2227">
        <v>1</v>
      </c>
      <c r="B2227" t="s">
        <v>100</v>
      </c>
      <c r="E2227" t="s">
        <v>19</v>
      </c>
      <c r="F2227">
        <v>1679491</v>
      </c>
      <c r="G2227">
        <v>5</v>
      </c>
      <c r="H2227">
        <v>2</v>
      </c>
      <c r="I2227">
        <v>419</v>
      </c>
      <c r="J2227">
        <v>1963</v>
      </c>
      <c r="K2227" s="4">
        <v>44768</v>
      </c>
      <c r="L2227" t="s">
        <v>30</v>
      </c>
      <c r="M2227" t="s">
        <v>27</v>
      </c>
      <c r="N2227">
        <v>1.6</v>
      </c>
      <c r="O2227">
        <v>2260</v>
      </c>
      <c r="P2227">
        <v>4.59</v>
      </c>
      <c r="Q2227">
        <v>251</v>
      </c>
      <c r="R2227">
        <v>584</v>
      </c>
    </row>
    <row r="2228" spans="1:18" hidden="1" x14ac:dyDescent="0.2">
      <c r="A2228">
        <v>4</v>
      </c>
      <c r="B2228" t="s">
        <v>73</v>
      </c>
      <c r="E2228" t="s">
        <v>51</v>
      </c>
      <c r="F2228">
        <v>2976040</v>
      </c>
      <c r="G2228">
        <v>3</v>
      </c>
      <c r="H2228">
        <v>2</v>
      </c>
      <c r="I2228">
        <v>239</v>
      </c>
      <c r="J2228">
        <v>1972</v>
      </c>
      <c r="K2228" s="4">
        <v>45456</v>
      </c>
      <c r="L2228" t="s">
        <v>23</v>
      </c>
      <c r="M2228" t="s">
        <v>47</v>
      </c>
      <c r="N2228">
        <v>2.94</v>
      </c>
      <c r="O2228">
        <v>1426</v>
      </c>
      <c r="P2228">
        <v>2.37</v>
      </c>
      <c r="Q2228">
        <v>140</v>
      </c>
      <c r="R2228">
        <v>517</v>
      </c>
    </row>
    <row r="2229" spans="1:18" hidden="1" x14ac:dyDescent="0.2">
      <c r="A2229">
        <v>4</v>
      </c>
      <c r="B2229" t="s">
        <v>96</v>
      </c>
      <c r="E2229" t="s">
        <v>19</v>
      </c>
      <c r="F2229">
        <v>2664558</v>
      </c>
      <c r="G2229">
        <v>1</v>
      </c>
      <c r="H2229">
        <v>3</v>
      </c>
      <c r="I2229">
        <v>364</v>
      </c>
      <c r="J2229">
        <v>1992</v>
      </c>
      <c r="K2229" s="4">
        <v>45364</v>
      </c>
      <c r="L2229" t="s">
        <v>30</v>
      </c>
      <c r="M2229" t="s">
        <v>35</v>
      </c>
      <c r="N2229">
        <v>1.64</v>
      </c>
      <c r="O2229">
        <v>1706</v>
      </c>
      <c r="P2229">
        <v>4.4800000000000004</v>
      </c>
      <c r="Q2229">
        <v>118</v>
      </c>
      <c r="R2229">
        <v>396</v>
      </c>
    </row>
    <row r="2230" spans="1:18" hidden="1" x14ac:dyDescent="0.2">
      <c r="A2230">
        <v>0</v>
      </c>
      <c r="B2230" t="s">
        <v>99</v>
      </c>
      <c r="E2230" t="s">
        <v>29</v>
      </c>
      <c r="F2230">
        <v>1691175</v>
      </c>
      <c r="G2230">
        <v>3</v>
      </c>
      <c r="H2230">
        <v>2</v>
      </c>
      <c r="I2230">
        <v>671</v>
      </c>
      <c r="J2230">
        <v>1993</v>
      </c>
      <c r="K2230" s="4">
        <v>44341</v>
      </c>
      <c r="L2230" t="s">
        <v>30</v>
      </c>
      <c r="M2230" t="s">
        <v>97</v>
      </c>
      <c r="N2230">
        <v>3.26</v>
      </c>
      <c r="O2230">
        <v>1902</v>
      </c>
      <c r="P2230">
        <v>3.39</v>
      </c>
      <c r="Q2230">
        <v>256</v>
      </c>
      <c r="R2230">
        <v>319</v>
      </c>
    </row>
    <row r="2231" spans="1:18" hidden="1" x14ac:dyDescent="0.2">
      <c r="A2231">
        <v>4</v>
      </c>
      <c r="B2231" t="s">
        <v>98</v>
      </c>
      <c r="E2231" t="s">
        <v>19</v>
      </c>
      <c r="F2231">
        <v>484242</v>
      </c>
      <c r="G2231">
        <v>3</v>
      </c>
      <c r="H2231">
        <v>3</v>
      </c>
      <c r="I2231">
        <v>564</v>
      </c>
      <c r="J2231">
        <v>2009</v>
      </c>
      <c r="K2231" s="4">
        <v>44922</v>
      </c>
      <c r="L2231" t="s">
        <v>20</v>
      </c>
      <c r="M2231" t="s">
        <v>85</v>
      </c>
      <c r="N2231">
        <v>1.68</v>
      </c>
      <c r="O2231">
        <v>1688</v>
      </c>
      <c r="P2231">
        <v>4.12</v>
      </c>
      <c r="Q2231">
        <v>225</v>
      </c>
      <c r="R2231">
        <v>658</v>
      </c>
    </row>
    <row r="2232" spans="1:18" hidden="1" x14ac:dyDescent="0.2">
      <c r="A2232">
        <v>3</v>
      </c>
      <c r="B2232" t="s">
        <v>28</v>
      </c>
      <c r="E2232" t="s">
        <v>51</v>
      </c>
      <c r="F2232">
        <v>1011300</v>
      </c>
      <c r="G2232">
        <v>3</v>
      </c>
      <c r="H2232">
        <v>3</v>
      </c>
      <c r="I2232">
        <v>629</v>
      </c>
      <c r="J2232">
        <v>1987</v>
      </c>
      <c r="K2232" s="4">
        <v>44303</v>
      </c>
      <c r="L2232" t="s">
        <v>30</v>
      </c>
      <c r="M2232" t="s">
        <v>76</v>
      </c>
      <c r="N2232">
        <v>1.57</v>
      </c>
      <c r="O2232">
        <v>2131</v>
      </c>
      <c r="P2232">
        <v>1.38</v>
      </c>
      <c r="Q2232">
        <v>179</v>
      </c>
      <c r="R2232">
        <v>306</v>
      </c>
    </row>
    <row r="2233" spans="1:18" hidden="1" x14ac:dyDescent="0.2">
      <c r="A2233">
        <v>2</v>
      </c>
      <c r="B2233" t="s">
        <v>94</v>
      </c>
      <c r="E2233" t="s">
        <v>36</v>
      </c>
      <c r="F2233">
        <v>2591192</v>
      </c>
      <c r="G2233">
        <v>4</v>
      </c>
      <c r="H2233">
        <v>1</v>
      </c>
      <c r="I2233">
        <v>483</v>
      </c>
      <c r="J2233">
        <v>1955</v>
      </c>
      <c r="K2233" s="4">
        <v>45115</v>
      </c>
      <c r="L2233" t="s">
        <v>23</v>
      </c>
      <c r="M2233" t="s">
        <v>52</v>
      </c>
      <c r="N2233">
        <v>3.14</v>
      </c>
      <c r="O2233">
        <v>2226</v>
      </c>
      <c r="P2233">
        <v>3.62</v>
      </c>
      <c r="Q2233">
        <v>193</v>
      </c>
      <c r="R2233">
        <v>419</v>
      </c>
    </row>
    <row r="2234" spans="1:18" hidden="1" x14ac:dyDescent="0.2">
      <c r="A2234">
        <v>1</v>
      </c>
      <c r="B2234" t="s">
        <v>106</v>
      </c>
      <c r="E2234" t="s">
        <v>19</v>
      </c>
      <c r="F2234">
        <v>2278858</v>
      </c>
      <c r="G2234">
        <v>1</v>
      </c>
      <c r="H2234">
        <v>3</v>
      </c>
      <c r="I2234">
        <v>881</v>
      </c>
      <c r="J2234">
        <v>1994</v>
      </c>
      <c r="K2234" s="4">
        <v>44946</v>
      </c>
      <c r="L2234" t="s">
        <v>23</v>
      </c>
      <c r="M2234" t="s">
        <v>42</v>
      </c>
      <c r="N2234">
        <v>2.1</v>
      </c>
      <c r="O2234">
        <v>1827</v>
      </c>
      <c r="P2234">
        <v>0.37</v>
      </c>
      <c r="Q2234">
        <v>112</v>
      </c>
      <c r="R2234">
        <v>697</v>
      </c>
    </row>
    <row r="2235" spans="1:18" hidden="1" x14ac:dyDescent="0.2">
      <c r="A2235">
        <v>0</v>
      </c>
      <c r="B2235" t="s">
        <v>88</v>
      </c>
      <c r="E2235" t="s">
        <v>36</v>
      </c>
      <c r="F2235">
        <v>2290622</v>
      </c>
      <c r="G2235">
        <v>1</v>
      </c>
      <c r="H2235">
        <v>2</v>
      </c>
      <c r="I2235">
        <v>141</v>
      </c>
      <c r="J2235">
        <v>1959</v>
      </c>
      <c r="K2235" s="4">
        <v>45865</v>
      </c>
      <c r="L2235" t="s">
        <v>26</v>
      </c>
      <c r="M2235" t="s">
        <v>68</v>
      </c>
      <c r="N2235">
        <v>3.14</v>
      </c>
      <c r="O2235">
        <v>2321</v>
      </c>
      <c r="P2235">
        <v>2.99</v>
      </c>
      <c r="Q2235">
        <v>127</v>
      </c>
      <c r="R2235">
        <v>368</v>
      </c>
    </row>
    <row r="2236" spans="1:18" hidden="1" x14ac:dyDescent="0.2">
      <c r="A2236">
        <v>4</v>
      </c>
      <c r="B2236" t="s">
        <v>34</v>
      </c>
      <c r="E2236" t="s">
        <v>19</v>
      </c>
      <c r="F2236">
        <v>2532597</v>
      </c>
      <c r="G2236">
        <v>1</v>
      </c>
      <c r="H2236">
        <v>1</v>
      </c>
      <c r="I2236">
        <v>570</v>
      </c>
      <c r="J2236">
        <v>1973</v>
      </c>
      <c r="K2236" s="4">
        <v>44454</v>
      </c>
      <c r="L2236" t="s">
        <v>30</v>
      </c>
      <c r="M2236" t="s">
        <v>58</v>
      </c>
      <c r="N2236">
        <v>2.9</v>
      </c>
      <c r="O2236">
        <v>2103</v>
      </c>
      <c r="P2236">
        <v>2.1800000000000002</v>
      </c>
      <c r="Q2236">
        <v>50</v>
      </c>
      <c r="R2236">
        <v>309</v>
      </c>
    </row>
    <row r="2237" spans="1:18" hidden="1" x14ac:dyDescent="0.2">
      <c r="A2237">
        <v>5</v>
      </c>
      <c r="B2237" t="s">
        <v>50</v>
      </c>
      <c r="E2237" t="s">
        <v>29</v>
      </c>
      <c r="F2237">
        <v>1853626</v>
      </c>
      <c r="G2237">
        <v>3</v>
      </c>
      <c r="H2237">
        <v>2</v>
      </c>
      <c r="I2237">
        <v>80</v>
      </c>
      <c r="J2237">
        <v>1962</v>
      </c>
      <c r="K2237" s="4">
        <v>45544</v>
      </c>
      <c r="L2237" t="s">
        <v>30</v>
      </c>
      <c r="M2237" t="s">
        <v>66</v>
      </c>
      <c r="N2237">
        <v>2.21</v>
      </c>
      <c r="O2237">
        <v>988</v>
      </c>
      <c r="P2237">
        <v>2.63</v>
      </c>
      <c r="Q2237">
        <v>275</v>
      </c>
      <c r="R2237">
        <v>597</v>
      </c>
    </row>
    <row r="2238" spans="1:18" hidden="1" x14ac:dyDescent="0.2">
      <c r="A2238">
        <v>3</v>
      </c>
      <c r="B2238" t="s">
        <v>99</v>
      </c>
      <c r="E2238" t="s">
        <v>19</v>
      </c>
      <c r="F2238">
        <v>2776850</v>
      </c>
      <c r="G2238">
        <v>5</v>
      </c>
      <c r="H2238">
        <v>1</v>
      </c>
      <c r="I2238">
        <v>780</v>
      </c>
      <c r="J2238">
        <v>1974</v>
      </c>
      <c r="K2238" s="4">
        <v>45537</v>
      </c>
      <c r="L2238" t="s">
        <v>23</v>
      </c>
      <c r="M2238" t="s">
        <v>60</v>
      </c>
      <c r="N2238">
        <v>2.92</v>
      </c>
      <c r="O2238">
        <v>1218</v>
      </c>
      <c r="P2238">
        <v>3.69</v>
      </c>
      <c r="Q2238">
        <v>389</v>
      </c>
      <c r="R2238">
        <v>344</v>
      </c>
    </row>
    <row r="2239" spans="1:18" hidden="1" x14ac:dyDescent="0.2">
      <c r="A2239">
        <v>9</v>
      </c>
      <c r="B2239" t="s">
        <v>43</v>
      </c>
      <c r="E2239" t="s">
        <v>29</v>
      </c>
      <c r="F2239">
        <v>2323664</v>
      </c>
      <c r="G2239">
        <v>3</v>
      </c>
      <c r="H2239">
        <v>2</v>
      </c>
      <c r="I2239">
        <v>777</v>
      </c>
      <c r="J2239">
        <v>1950</v>
      </c>
      <c r="K2239" s="4">
        <v>45885</v>
      </c>
      <c r="L2239" t="s">
        <v>23</v>
      </c>
      <c r="M2239" t="s">
        <v>82</v>
      </c>
      <c r="N2239">
        <v>3.48</v>
      </c>
      <c r="O2239">
        <v>883</v>
      </c>
      <c r="P2239">
        <v>4.2300000000000004</v>
      </c>
      <c r="Q2239">
        <v>143</v>
      </c>
      <c r="R2239">
        <v>477</v>
      </c>
    </row>
    <row r="2240" spans="1:18" hidden="1" x14ac:dyDescent="0.2">
      <c r="A2240">
        <v>4</v>
      </c>
      <c r="B2240" t="s">
        <v>98</v>
      </c>
      <c r="E2240" t="s">
        <v>19</v>
      </c>
      <c r="F2240">
        <v>2834177</v>
      </c>
      <c r="G2240">
        <v>4</v>
      </c>
      <c r="H2240">
        <v>3</v>
      </c>
      <c r="I2240">
        <v>943</v>
      </c>
      <c r="J2240">
        <v>1955</v>
      </c>
      <c r="K2240" s="4">
        <v>45480</v>
      </c>
      <c r="L2240" t="s">
        <v>23</v>
      </c>
      <c r="M2240" t="s">
        <v>70</v>
      </c>
      <c r="N2240">
        <v>2.84</v>
      </c>
      <c r="O2240">
        <v>2416</v>
      </c>
      <c r="P2240">
        <v>2.31</v>
      </c>
      <c r="Q2240">
        <v>369</v>
      </c>
      <c r="R2240">
        <v>368</v>
      </c>
    </row>
    <row r="2241" spans="1:18" hidden="1" x14ac:dyDescent="0.2">
      <c r="A2241">
        <v>7</v>
      </c>
      <c r="B2241" t="s">
        <v>94</v>
      </c>
      <c r="E2241" t="s">
        <v>36</v>
      </c>
      <c r="F2241">
        <v>2829399</v>
      </c>
      <c r="G2241">
        <v>1</v>
      </c>
      <c r="H2241">
        <v>3</v>
      </c>
      <c r="I2241">
        <v>891</v>
      </c>
      <c r="J2241">
        <v>2001</v>
      </c>
      <c r="K2241" s="4">
        <v>45713</v>
      </c>
      <c r="L2241" t="s">
        <v>30</v>
      </c>
      <c r="M2241" t="s">
        <v>31</v>
      </c>
      <c r="N2241">
        <v>2.57</v>
      </c>
      <c r="O2241">
        <v>1182</v>
      </c>
      <c r="P2241">
        <v>0.39</v>
      </c>
      <c r="Q2241">
        <v>94</v>
      </c>
      <c r="R2241">
        <v>356</v>
      </c>
    </row>
    <row r="2242" spans="1:18" hidden="1" x14ac:dyDescent="0.2">
      <c r="A2242">
        <v>2</v>
      </c>
      <c r="B2242" t="s">
        <v>48</v>
      </c>
      <c r="E2242" t="s">
        <v>51</v>
      </c>
      <c r="F2242">
        <v>1008120</v>
      </c>
      <c r="G2242">
        <v>3</v>
      </c>
      <c r="H2242">
        <v>1</v>
      </c>
      <c r="I2242">
        <v>692</v>
      </c>
      <c r="J2242">
        <v>1979</v>
      </c>
      <c r="K2242" s="4">
        <v>44072</v>
      </c>
      <c r="L2242" t="s">
        <v>20</v>
      </c>
      <c r="M2242" t="s">
        <v>40</v>
      </c>
      <c r="N2242">
        <v>2.41</v>
      </c>
      <c r="O2242">
        <v>2127</v>
      </c>
      <c r="P2242">
        <v>4.58</v>
      </c>
      <c r="Q2242">
        <v>249</v>
      </c>
      <c r="R2242">
        <v>398</v>
      </c>
    </row>
    <row r="2243" spans="1:18" hidden="1" x14ac:dyDescent="0.2">
      <c r="A2243">
        <v>3</v>
      </c>
      <c r="B2243" t="s">
        <v>55</v>
      </c>
      <c r="E2243" t="s">
        <v>36</v>
      </c>
      <c r="F2243">
        <v>2212705</v>
      </c>
      <c r="G2243">
        <v>3</v>
      </c>
      <c r="H2243">
        <v>2</v>
      </c>
      <c r="I2243">
        <v>667</v>
      </c>
      <c r="J2243">
        <v>2012</v>
      </c>
      <c r="K2243" s="4">
        <v>44440</v>
      </c>
      <c r="L2243" t="s">
        <v>23</v>
      </c>
      <c r="M2243" t="s">
        <v>52</v>
      </c>
      <c r="N2243">
        <v>2.13</v>
      </c>
      <c r="O2243">
        <v>1730</v>
      </c>
      <c r="P2243">
        <v>1.76</v>
      </c>
      <c r="Q2243">
        <v>141</v>
      </c>
      <c r="R2243">
        <v>370</v>
      </c>
    </row>
    <row r="2244" spans="1:18" hidden="1" x14ac:dyDescent="0.2">
      <c r="A2244">
        <v>0</v>
      </c>
      <c r="B2244" t="s">
        <v>50</v>
      </c>
      <c r="E2244" t="s">
        <v>51</v>
      </c>
      <c r="F2244">
        <v>1858147</v>
      </c>
      <c r="G2244">
        <v>5</v>
      </c>
      <c r="H2244">
        <v>2</v>
      </c>
      <c r="I2244">
        <v>917</v>
      </c>
      <c r="J2244">
        <v>1954</v>
      </c>
      <c r="K2244" s="4">
        <v>44971</v>
      </c>
      <c r="L2244" t="s">
        <v>26</v>
      </c>
      <c r="M2244" t="s">
        <v>56</v>
      </c>
      <c r="N2244">
        <v>2.7</v>
      </c>
      <c r="O2244">
        <v>1308</v>
      </c>
      <c r="P2244">
        <v>3.36</v>
      </c>
      <c r="Q2244">
        <v>296</v>
      </c>
      <c r="R2244">
        <v>492</v>
      </c>
    </row>
    <row r="2245" spans="1:18" hidden="1" x14ac:dyDescent="0.2">
      <c r="A2245">
        <v>3</v>
      </c>
      <c r="B2245" t="s">
        <v>75</v>
      </c>
      <c r="E2245" t="s">
        <v>19</v>
      </c>
      <c r="F2245">
        <v>2854122</v>
      </c>
      <c r="G2245">
        <v>1</v>
      </c>
      <c r="H2245">
        <v>3</v>
      </c>
      <c r="I2245">
        <v>957</v>
      </c>
      <c r="J2245">
        <v>1955</v>
      </c>
      <c r="K2245" s="4">
        <v>45840</v>
      </c>
      <c r="L2245" t="s">
        <v>26</v>
      </c>
      <c r="M2245" t="s">
        <v>35</v>
      </c>
      <c r="N2245">
        <v>2.67</v>
      </c>
      <c r="O2245">
        <v>1307</v>
      </c>
      <c r="P2245">
        <v>3.78</v>
      </c>
      <c r="Q2245">
        <v>152</v>
      </c>
      <c r="R2245">
        <v>392</v>
      </c>
    </row>
    <row r="2246" spans="1:18" hidden="1" x14ac:dyDescent="0.2">
      <c r="A2246">
        <v>3</v>
      </c>
      <c r="B2246" t="s">
        <v>93</v>
      </c>
      <c r="E2246" t="s">
        <v>29</v>
      </c>
      <c r="F2246">
        <v>2169406</v>
      </c>
      <c r="G2246">
        <v>4</v>
      </c>
      <c r="H2246">
        <v>1</v>
      </c>
      <c r="I2246">
        <v>802</v>
      </c>
      <c r="J2246">
        <v>1956</v>
      </c>
      <c r="K2246" s="4">
        <v>44533</v>
      </c>
      <c r="L2246" t="s">
        <v>26</v>
      </c>
      <c r="M2246" t="s">
        <v>68</v>
      </c>
      <c r="N2246">
        <v>1.64</v>
      </c>
      <c r="O2246">
        <v>2084</v>
      </c>
      <c r="P2246">
        <v>0.42</v>
      </c>
      <c r="Q2246">
        <v>342</v>
      </c>
      <c r="R2246">
        <v>656</v>
      </c>
    </row>
    <row r="2247" spans="1:18" hidden="1" x14ac:dyDescent="0.2">
      <c r="A2247">
        <v>4</v>
      </c>
      <c r="B2247" t="s">
        <v>90</v>
      </c>
      <c r="E2247" t="s">
        <v>51</v>
      </c>
      <c r="F2247">
        <v>2626823</v>
      </c>
      <c r="G2247">
        <v>1</v>
      </c>
      <c r="H2247">
        <v>2</v>
      </c>
      <c r="I2247">
        <v>279</v>
      </c>
      <c r="J2247">
        <v>1976</v>
      </c>
      <c r="K2247" s="4">
        <v>44301</v>
      </c>
      <c r="L2247" t="s">
        <v>20</v>
      </c>
      <c r="M2247" t="s">
        <v>97</v>
      </c>
      <c r="N2247">
        <v>2.4300000000000002</v>
      </c>
      <c r="O2247">
        <v>2059</v>
      </c>
      <c r="P2247">
        <v>3.11</v>
      </c>
      <c r="Q2247">
        <v>137</v>
      </c>
      <c r="R2247">
        <v>557</v>
      </c>
    </row>
    <row r="2248" spans="1:18" hidden="1" x14ac:dyDescent="0.2">
      <c r="A2248">
        <v>9</v>
      </c>
      <c r="B2248" t="s">
        <v>34</v>
      </c>
      <c r="E2248" t="s">
        <v>29</v>
      </c>
      <c r="F2248">
        <v>1897479</v>
      </c>
      <c r="G2248">
        <v>5</v>
      </c>
      <c r="H2248">
        <v>3</v>
      </c>
      <c r="I2248">
        <v>539</v>
      </c>
      <c r="J2248">
        <v>1987</v>
      </c>
      <c r="K2248" s="4">
        <v>45308</v>
      </c>
      <c r="L2248" t="s">
        <v>26</v>
      </c>
      <c r="M2248" t="s">
        <v>76</v>
      </c>
      <c r="N2248">
        <v>3.36</v>
      </c>
      <c r="O2248">
        <v>1608</v>
      </c>
      <c r="P2248">
        <v>3.57</v>
      </c>
      <c r="Q2248">
        <v>362</v>
      </c>
      <c r="R2248">
        <v>625</v>
      </c>
    </row>
    <row r="2249" spans="1:18" hidden="1" x14ac:dyDescent="0.2">
      <c r="A2249">
        <v>0</v>
      </c>
      <c r="B2249" t="s">
        <v>46</v>
      </c>
      <c r="E2249" t="s">
        <v>36</v>
      </c>
      <c r="F2249">
        <v>480084</v>
      </c>
      <c r="G2249">
        <v>2</v>
      </c>
      <c r="H2249">
        <v>3</v>
      </c>
      <c r="I2249">
        <v>940</v>
      </c>
      <c r="J2249">
        <v>1958</v>
      </c>
      <c r="K2249" s="4">
        <v>45269</v>
      </c>
      <c r="L2249" t="s">
        <v>20</v>
      </c>
      <c r="M2249" t="s">
        <v>24</v>
      </c>
      <c r="N2249">
        <v>2.06</v>
      </c>
      <c r="O2249">
        <v>2127</v>
      </c>
      <c r="P2249">
        <v>1.85</v>
      </c>
      <c r="Q2249">
        <v>154</v>
      </c>
      <c r="R2249">
        <v>664</v>
      </c>
    </row>
    <row r="2250" spans="1:18" hidden="1" x14ac:dyDescent="0.2">
      <c r="A2250">
        <v>5</v>
      </c>
      <c r="B2250" t="s">
        <v>67</v>
      </c>
      <c r="E2250" t="s">
        <v>51</v>
      </c>
      <c r="F2250">
        <v>2624270</v>
      </c>
      <c r="G2250">
        <v>1</v>
      </c>
      <c r="H2250">
        <v>1</v>
      </c>
      <c r="I2250">
        <v>562</v>
      </c>
      <c r="J2250">
        <v>1965</v>
      </c>
      <c r="K2250" s="4">
        <v>45498</v>
      </c>
      <c r="L2250" t="s">
        <v>23</v>
      </c>
      <c r="M2250" t="s">
        <v>35</v>
      </c>
      <c r="N2250">
        <v>1.95</v>
      </c>
      <c r="O2250">
        <v>1505</v>
      </c>
      <c r="P2250">
        <v>2.5499999999999998</v>
      </c>
      <c r="Q2250">
        <v>134</v>
      </c>
      <c r="R2250">
        <v>670</v>
      </c>
    </row>
    <row r="2251" spans="1:18" hidden="1" x14ac:dyDescent="0.2">
      <c r="A2251">
        <v>2</v>
      </c>
      <c r="B2251" t="s">
        <v>92</v>
      </c>
      <c r="E2251" t="s">
        <v>36</v>
      </c>
      <c r="F2251">
        <v>1035834</v>
      </c>
      <c r="G2251">
        <v>2</v>
      </c>
      <c r="H2251">
        <v>1</v>
      </c>
      <c r="I2251">
        <v>786</v>
      </c>
      <c r="J2251">
        <v>1991</v>
      </c>
      <c r="K2251" s="4">
        <v>44601</v>
      </c>
      <c r="L2251" t="s">
        <v>23</v>
      </c>
      <c r="M2251" t="s">
        <v>68</v>
      </c>
      <c r="N2251">
        <v>2.4300000000000002</v>
      </c>
      <c r="O2251">
        <v>809</v>
      </c>
      <c r="P2251">
        <v>4.8600000000000003</v>
      </c>
      <c r="Q2251">
        <v>169</v>
      </c>
      <c r="R2251">
        <v>645</v>
      </c>
    </row>
    <row r="2252" spans="1:18" x14ac:dyDescent="0.2">
      <c r="A2252">
        <v>8</v>
      </c>
      <c r="B2252" t="s">
        <v>46</v>
      </c>
      <c r="C2252" t="str">
        <f>VLOOKUP(B2252, 'Council Area'!$A$2:$B$51, 2)</f>
        <v>Ku-ring-gai Council</v>
      </c>
      <c r="D2252" t="str">
        <f>_xlfn.XLOOKUP(B2252, 'Council Area'!$A$2:$A$51, 'Council Area'!$B$2:$B$51)</f>
        <v>Ku-ring-gai Council</v>
      </c>
      <c r="E2252" t="s">
        <v>19</v>
      </c>
      <c r="F2252">
        <v>1839764</v>
      </c>
      <c r="G2252">
        <v>2</v>
      </c>
      <c r="H2252">
        <v>2</v>
      </c>
      <c r="I2252">
        <v>689</v>
      </c>
      <c r="J2252">
        <v>1987</v>
      </c>
      <c r="K2252" s="4">
        <v>44204</v>
      </c>
      <c r="L2252" t="s">
        <v>23</v>
      </c>
      <c r="M2252" t="s">
        <v>45</v>
      </c>
      <c r="N2252">
        <v>2.81</v>
      </c>
      <c r="O2252">
        <v>1041</v>
      </c>
      <c r="P2252">
        <v>2.0099999999999998</v>
      </c>
      <c r="Q2252">
        <v>121</v>
      </c>
      <c r="R2252">
        <v>515</v>
      </c>
    </row>
    <row r="2253" spans="1:18" hidden="1" x14ac:dyDescent="0.2">
      <c r="A2253">
        <v>3</v>
      </c>
      <c r="B2253" t="s">
        <v>104</v>
      </c>
      <c r="E2253" t="s">
        <v>19</v>
      </c>
      <c r="F2253">
        <v>618910</v>
      </c>
      <c r="G2253">
        <v>5</v>
      </c>
      <c r="H2253">
        <v>1</v>
      </c>
      <c r="I2253">
        <v>350</v>
      </c>
      <c r="J2253">
        <v>1958</v>
      </c>
      <c r="K2253" s="4">
        <v>44741</v>
      </c>
      <c r="L2253" t="s">
        <v>20</v>
      </c>
      <c r="M2253" t="s">
        <v>58</v>
      </c>
      <c r="N2253">
        <v>1.68</v>
      </c>
      <c r="O2253">
        <v>1003</v>
      </c>
      <c r="P2253">
        <v>2.77</v>
      </c>
      <c r="Q2253">
        <v>330</v>
      </c>
      <c r="R2253">
        <v>581</v>
      </c>
    </row>
    <row r="2254" spans="1:18" hidden="1" x14ac:dyDescent="0.2">
      <c r="A2254">
        <v>2</v>
      </c>
      <c r="B2254" t="s">
        <v>62</v>
      </c>
      <c r="E2254" t="s">
        <v>36</v>
      </c>
      <c r="F2254">
        <v>939804</v>
      </c>
      <c r="G2254">
        <v>4</v>
      </c>
      <c r="H2254">
        <v>3</v>
      </c>
      <c r="I2254">
        <v>69</v>
      </c>
      <c r="J2254">
        <v>2017</v>
      </c>
      <c r="K2254" s="4">
        <v>44508</v>
      </c>
      <c r="L2254" t="s">
        <v>20</v>
      </c>
      <c r="M2254" t="s">
        <v>69</v>
      </c>
      <c r="N2254">
        <v>3.33</v>
      </c>
      <c r="O2254">
        <v>1824</v>
      </c>
      <c r="P2254">
        <v>3.74</v>
      </c>
      <c r="Q2254">
        <v>236</v>
      </c>
      <c r="R2254">
        <v>603</v>
      </c>
    </row>
    <row r="2255" spans="1:18" hidden="1" x14ac:dyDescent="0.2">
      <c r="A2255">
        <v>7</v>
      </c>
      <c r="B2255" t="s">
        <v>18</v>
      </c>
      <c r="E2255" t="s">
        <v>19</v>
      </c>
      <c r="F2255">
        <v>2236992</v>
      </c>
      <c r="G2255">
        <v>5</v>
      </c>
      <c r="H2255">
        <v>2</v>
      </c>
      <c r="I2255">
        <v>770</v>
      </c>
      <c r="J2255">
        <v>1997</v>
      </c>
      <c r="K2255" s="4">
        <v>44278</v>
      </c>
      <c r="L2255" t="s">
        <v>23</v>
      </c>
      <c r="M2255" t="s">
        <v>77</v>
      </c>
      <c r="N2255">
        <v>1.95</v>
      </c>
      <c r="O2255">
        <v>1788</v>
      </c>
      <c r="P2255">
        <v>2.85</v>
      </c>
      <c r="Q2255">
        <v>369</v>
      </c>
      <c r="R2255">
        <v>662</v>
      </c>
    </row>
    <row r="2256" spans="1:18" hidden="1" x14ac:dyDescent="0.2">
      <c r="A2256">
        <v>1</v>
      </c>
      <c r="B2256" t="s">
        <v>92</v>
      </c>
      <c r="E2256" t="s">
        <v>29</v>
      </c>
      <c r="F2256">
        <v>512244</v>
      </c>
      <c r="G2256">
        <v>4</v>
      </c>
      <c r="H2256">
        <v>1</v>
      </c>
      <c r="I2256">
        <v>338</v>
      </c>
      <c r="J2256">
        <v>1968</v>
      </c>
      <c r="K2256" s="4">
        <v>45548</v>
      </c>
      <c r="L2256" t="s">
        <v>23</v>
      </c>
      <c r="M2256" t="s">
        <v>68</v>
      </c>
      <c r="N2256">
        <v>1.86</v>
      </c>
      <c r="O2256">
        <v>1229</v>
      </c>
      <c r="P2256">
        <v>3.14</v>
      </c>
      <c r="Q2256">
        <v>377</v>
      </c>
      <c r="R2256">
        <v>545</v>
      </c>
    </row>
    <row r="2257" spans="1:18" hidden="1" x14ac:dyDescent="0.2">
      <c r="A2257">
        <v>2</v>
      </c>
      <c r="B2257" t="s">
        <v>25</v>
      </c>
      <c r="E2257" t="s">
        <v>51</v>
      </c>
      <c r="F2257">
        <v>2518426</v>
      </c>
      <c r="G2257">
        <v>3</v>
      </c>
      <c r="H2257">
        <v>1</v>
      </c>
      <c r="I2257">
        <v>932</v>
      </c>
      <c r="J2257">
        <v>1986</v>
      </c>
      <c r="K2257" s="4">
        <v>44625</v>
      </c>
      <c r="L2257" t="s">
        <v>26</v>
      </c>
      <c r="M2257" t="s">
        <v>27</v>
      </c>
      <c r="N2257">
        <v>3.25</v>
      </c>
      <c r="O2257">
        <v>1580</v>
      </c>
      <c r="P2257">
        <v>3.04</v>
      </c>
      <c r="Q2257">
        <v>112</v>
      </c>
      <c r="R2257">
        <v>344</v>
      </c>
    </row>
    <row r="2258" spans="1:18" x14ac:dyDescent="0.2">
      <c r="A2258">
        <v>8</v>
      </c>
      <c r="B2258" t="s">
        <v>64</v>
      </c>
      <c r="C2258" t="str">
        <f>VLOOKUP(B2258, 'Council Area'!$A$2:$B$51, 2)</f>
        <v>Canterbury-Bankstown Council</v>
      </c>
      <c r="D2258" t="str">
        <f>_xlfn.XLOOKUP(B2258, 'Council Area'!$A$2:$A$51, 'Council Area'!$B$2:$B$51)</f>
        <v>Canterbury-Bankstown Council</v>
      </c>
      <c r="E2258" t="s">
        <v>36</v>
      </c>
      <c r="F2258">
        <v>1779935</v>
      </c>
      <c r="G2258">
        <v>3</v>
      </c>
      <c r="H2258">
        <v>3</v>
      </c>
      <c r="I2258">
        <v>399</v>
      </c>
      <c r="J2258">
        <v>1967</v>
      </c>
      <c r="K2258" s="4">
        <v>44253</v>
      </c>
      <c r="L2258" t="s">
        <v>20</v>
      </c>
      <c r="M2258" t="s">
        <v>56</v>
      </c>
      <c r="N2258">
        <v>3.25</v>
      </c>
      <c r="O2258">
        <v>1274</v>
      </c>
      <c r="P2258">
        <v>1.19</v>
      </c>
      <c r="Q2258">
        <v>131</v>
      </c>
      <c r="R2258">
        <v>687</v>
      </c>
    </row>
    <row r="2259" spans="1:18" hidden="1" x14ac:dyDescent="0.2">
      <c r="A2259">
        <v>7</v>
      </c>
      <c r="B2259" t="s">
        <v>25</v>
      </c>
      <c r="E2259" t="s">
        <v>51</v>
      </c>
      <c r="F2259">
        <v>1474876</v>
      </c>
      <c r="G2259">
        <v>6</v>
      </c>
      <c r="H2259">
        <v>3</v>
      </c>
      <c r="I2259">
        <v>193</v>
      </c>
      <c r="J2259">
        <v>1969</v>
      </c>
      <c r="K2259" s="4">
        <v>44450</v>
      </c>
      <c r="L2259" t="s">
        <v>30</v>
      </c>
      <c r="M2259" t="s">
        <v>47</v>
      </c>
      <c r="N2259">
        <v>3.44</v>
      </c>
      <c r="O2259">
        <v>2084</v>
      </c>
      <c r="P2259">
        <v>3.7</v>
      </c>
      <c r="Q2259">
        <v>339</v>
      </c>
      <c r="R2259">
        <v>367</v>
      </c>
    </row>
    <row r="2260" spans="1:18" hidden="1" x14ac:dyDescent="0.2">
      <c r="A2260">
        <v>3</v>
      </c>
      <c r="B2260" t="s">
        <v>98</v>
      </c>
      <c r="E2260" t="s">
        <v>19</v>
      </c>
      <c r="F2260">
        <v>2079637</v>
      </c>
      <c r="G2260">
        <v>2</v>
      </c>
      <c r="H2260">
        <v>3</v>
      </c>
      <c r="I2260">
        <v>871</v>
      </c>
      <c r="J2260">
        <v>1961</v>
      </c>
      <c r="K2260" s="4">
        <v>45306</v>
      </c>
      <c r="L2260" t="s">
        <v>26</v>
      </c>
      <c r="M2260" t="s">
        <v>21</v>
      </c>
      <c r="N2260">
        <v>2.35</v>
      </c>
      <c r="O2260">
        <v>1326</v>
      </c>
      <c r="P2260">
        <v>1.25</v>
      </c>
      <c r="Q2260">
        <v>151</v>
      </c>
      <c r="R2260">
        <v>522</v>
      </c>
    </row>
    <row r="2261" spans="1:18" hidden="1" x14ac:dyDescent="0.2">
      <c r="A2261">
        <v>6</v>
      </c>
      <c r="B2261" t="s">
        <v>81</v>
      </c>
      <c r="E2261" t="s">
        <v>51</v>
      </c>
      <c r="F2261">
        <v>2115389</v>
      </c>
      <c r="G2261">
        <v>3</v>
      </c>
      <c r="H2261">
        <v>2</v>
      </c>
      <c r="I2261">
        <v>747</v>
      </c>
      <c r="J2261">
        <v>1998</v>
      </c>
      <c r="K2261" s="4">
        <v>45491</v>
      </c>
      <c r="L2261" t="s">
        <v>20</v>
      </c>
      <c r="M2261" t="s">
        <v>70</v>
      </c>
      <c r="N2261">
        <v>1.57</v>
      </c>
      <c r="O2261">
        <v>2266</v>
      </c>
      <c r="P2261">
        <v>3.29</v>
      </c>
      <c r="Q2261">
        <v>312</v>
      </c>
      <c r="R2261">
        <v>620</v>
      </c>
    </row>
    <row r="2262" spans="1:18" hidden="1" x14ac:dyDescent="0.2">
      <c r="A2262">
        <v>2</v>
      </c>
      <c r="B2262" t="s">
        <v>75</v>
      </c>
      <c r="E2262" t="s">
        <v>19</v>
      </c>
      <c r="F2262">
        <v>1982889</v>
      </c>
      <c r="G2262">
        <v>3</v>
      </c>
      <c r="H2262">
        <v>3</v>
      </c>
      <c r="I2262">
        <v>698</v>
      </c>
      <c r="J2262">
        <v>2021</v>
      </c>
      <c r="K2262" s="4">
        <v>45840</v>
      </c>
      <c r="L2262" t="s">
        <v>26</v>
      </c>
      <c r="M2262" t="s">
        <v>24</v>
      </c>
      <c r="N2262">
        <v>2.04</v>
      </c>
      <c r="O2262">
        <v>2179</v>
      </c>
      <c r="P2262">
        <v>2.1800000000000002</v>
      </c>
      <c r="Q2262">
        <v>190</v>
      </c>
      <c r="R2262">
        <v>565</v>
      </c>
    </row>
    <row r="2263" spans="1:18" hidden="1" x14ac:dyDescent="0.2">
      <c r="A2263">
        <v>9</v>
      </c>
      <c r="B2263" t="s">
        <v>32</v>
      </c>
      <c r="E2263" t="s">
        <v>51</v>
      </c>
      <c r="F2263">
        <v>2622329</v>
      </c>
      <c r="G2263">
        <v>3</v>
      </c>
      <c r="H2263">
        <v>1</v>
      </c>
      <c r="I2263">
        <v>995</v>
      </c>
      <c r="J2263">
        <v>1961</v>
      </c>
      <c r="K2263" s="4">
        <v>45566</v>
      </c>
      <c r="L2263" t="s">
        <v>23</v>
      </c>
      <c r="M2263" t="s">
        <v>63</v>
      </c>
      <c r="N2263">
        <v>3.32</v>
      </c>
      <c r="O2263">
        <v>1199</v>
      </c>
      <c r="P2263">
        <v>4.1100000000000003</v>
      </c>
      <c r="Q2263">
        <v>194</v>
      </c>
      <c r="R2263">
        <v>586</v>
      </c>
    </row>
    <row r="2264" spans="1:18" hidden="1" x14ac:dyDescent="0.2">
      <c r="A2264">
        <v>2</v>
      </c>
      <c r="B2264" t="s">
        <v>88</v>
      </c>
      <c r="E2264" t="s">
        <v>36</v>
      </c>
      <c r="F2264">
        <v>1413948</v>
      </c>
      <c r="G2264">
        <v>4</v>
      </c>
      <c r="H2264">
        <v>1</v>
      </c>
      <c r="I2264">
        <v>156</v>
      </c>
      <c r="J2264">
        <v>1976</v>
      </c>
      <c r="K2264" s="4">
        <v>44161</v>
      </c>
      <c r="L2264" t="s">
        <v>30</v>
      </c>
      <c r="M2264" t="s">
        <v>66</v>
      </c>
      <c r="N2264">
        <v>1.89</v>
      </c>
      <c r="O2264">
        <v>1669</v>
      </c>
      <c r="P2264">
        <v>1.07</v>
      </c>
      <c r="Q2264">
        <v>370</v>
      </c>
      <c r="R2264">
        <v>377</v>
      </c>
    </row>
    <row r="2265" spans="1:18" hidden="1" x14ac:dyDescent="0.2">
      <c r="A2265">
        <v>2</v>
      </c>
      <c r="B2265" t="s">
        <v>101</v>
      </c>
      <c r="E2265" t="s">
        <v>29</v>
      </c>
      <c r="F2265">
        <v>1348741</v>
      </c>
      <c r="G2265">
        <v>1</v>
      </c>
      <c r="H2265">
        <v>1</v>
      </c>
      <c r="I2265">
        <v>471</v>
      </c>
      <c r="J2265">
        <v>1976</v>
      </c>
      <c r="K2265" s="4">
        <v>45125</v>
      </c>
      <c r="L2265" t="s">
        <v>26</v>
      </c>
      <c r="M2265" t="s">
        <v>70</v>
      </c>
      <c r="N2265">
        <v>2.29</v>
      </c>
      <c r="O2265">
        <v>1471</v>
      </c>
      <c r="P2265">
        <v>4.2</v>
      </c>
      <c r="Q2265">
        <v>104</v>
      </c>
      <c r="R2265">
        <v>670</v>
      </c>
    </row>
    <row r="2266" spans="1:18" hidden="1" x14ac:dyDescent="0.2">
      <c r="A2266">
        <v>0</v>
      </c>
      <c r="B2266" t="s">
        <v>99</v>
      </c>
      <c r="E2266" t="s">
        <v>29</v>
      </c>
      <c r="F2266">
        <v>2395636</v>
      </c>
      <c r="G2266">
        <v>5</v>
      </c>
      <c r="H2266">
        <v>3</v>
      </c>
      <c r="I2266">
        <v>615</v>
      </c>
      <c r="J2266">
        <v>2022</v>
      </c>
      <c r="K2266" s="4">
        <v>45410</v>
      </c>
      <c r="L2266" t="s">
        <v>26</v>
      </c>
      <c r="M2266" t="s">
        <v>69</v>
      </c>
      <c r="N2266">
        <v>1.59</v>
      </c>
      <c r="O2266">
        <v>1658</v>
      </c>
      <c r="P2266">
        <v>3.15</v>
      </c>
      <c r="Q2266">
        <v>250</v>
      </c>
      <c r="R2266">
        <v>689</v>
      </c>
    </row>
    <row r="2267" spans="1:18" hidden="1" x14ac:dyDescent="0.2">
      <c r="A2267">
        <v>5</v>
      </c>
      <c r="B2267" t="s">
        <v>93</v>
      </c>
      <c r="E2267" t="s">
        <v>19</v>
      </c>
      <c r="F2267">
        <v>651942</v>
      </c>
      <c r="G2267">
        <v>5</v>
      </c>
      <c r="H2267">
        <v>3</v>
      </c>
      <c r="I2267">
        <v>615</v>
      </c>
      <c r="J2267">
        <v>1975</v>
      </c>
      <c r="K2267" s="4">
        <v>44177</v>
      </c>
      <c r="L2267" t="s">
        <v>30</v>
      </c>
      <c r="M2267" t="s">
        <v>59</v>
      </c>
      <c r="N2267">
        <v>2.92</v>
      </c>
      <c r="O2267">
        <v>2266</v>
      </c>
      <c r="P2267">
        <v>3.98</v>
      </c>
      <c r="Q2267">
        <v>270</v>
      </c>
      <c r="R2267">
        <v>310</v>
      </c>
    </row>
    <row r="2268" spans="1:18" hidden="1" x14ac:dyDescent="0.2">
      <c r="A2268">
        <v>7</v>
      </c>
      <c r="B2268" t="s">
        <v>55</v>
      </c>
      <c r="E2268" t="s">
        <v>36</v>
      </c>
      <c r="F2268">
        <v>1160664</v>
      </c>
      <c r="G2268">
        <v>4</v>
      </c>
      <c r="H2268">
        <v>1</v>
      </c>
      <c r="I2268">
        <v>213</v>
      </c>
      <c r="J2268">
        <v>1960</v>
      </c>
      <c r="K2268" s="4">
        <v>44449</v>
      </c>
      <c r="L2268" t="s">
        <v>26</v>
      </c>
      <c r="M2268" t="s">
        <v>45</v>
      </c>
      <c r="N2268">
        <v>2.41</v>
      </c>
      <c r="O2268">
        <v>1596</v>
      </c>
      <c r="P2268">
        <v>3.53</v>
      </c>
      <c r="Q2268">
        <v>278</v>
      </c>
      <c r="R2268">
        <v>417</v>
      </c>
    </row>
    <row r="2269" spans="1:18" hidden="1" x14ac:dyDescent="0.2">
      <c r="A2269">
        <v>2</v>
      </c>
      <c r="B2269" t="s">
        <v>100</v>
      </c>
      <c r="E2269" t="s">
        <v>19</v>
      </c>
      <c r="F2269">
        <v>1263308</v>
      </c>
      <c r="G2269">
        <v>5</v>
      </c>
      <c r="H2269">
        <v>2</v>
      </c>
      <c r="I2269">
        <v>170</v>
      </c>
      <c r="J2269">
        <v>1992</v>
      </c>
      <c r="K2269" s="4">
        <v>45806</v>
      </c>
      <c r="L2269" t="s">
        <v>30</v>
      </c>
      <c r="M2269" t="s">
        <v>56</v>
      </c>
      <c r="N2269">
        <v>3.07</v>
      </c>
      <c r="O2269">
        <v>2468</v>
      </c>
      <c r="P2269">
        <v>1.84</v>
      </c>
      <c r="Q2269">
        <v>322</v>
      </c>
      <c r="R2269">
        <v>457</v>
      </c>
    </row>
    <row r="2270" spans="1:18" hidden="1" x14ac:dyDescent="0.2">
      <c r="A2270">
        <v>2</v>
      </c>
      <c r="B2270" t="s">
        <v>79</v>
      </c>
      <c r="E2270" t="s">
        <v>19</v>
      </c>
      <c r="F2270">
        <v>714609</v>
      </c>
      <c r="G2270">
        <v>2</v>
      </c>
      <c r="H2270">
        <v>1</v>
      </c>
      <c r="I2270">
        <v>298</v>
      </c>
      <c r="J2270">
        <v>2015</v>
      </c>
      <c r="K2270" s="4">
        <v>45155</v>
      </c>
      <c r="L2270" t="s">
        <v>30</v>
      </c>
      <c r="M2270" t="s">
        <v>70</v>
      </c>
      <c r="N2270">
        <v>1.53</v>
      </c>
      <c r="O2270">
        <v>1970</v>
      </c>
      <c r="P2270">
        <v>4.24</v>
      </c>
      <c r="Q2270">
        <v>221</v>
      </c>
      <c r="R2270">
        <v>668</v>
      </c>
    </row>
    <row r="2271" spans="1:18" hidden="1" x14ac:dyDescent="0.2">
      <c r="A2271">
        <v>9</v>
      </c>
      <c r="B2271" t="s">
        <v>84</v>
      </c>
      <c r="E2271" t="s">
        <v>51</v>
      </c>
      <c r="F2271">
        <v>1910032</v>
      </c>
      <c r="G2271">
        <v>3</v>
      </c>
      <c r="H2271">
        <v>2</v>
      </c>
      <c r="I2271">
        <v>103</v>
      </c>
      <c r="J2271">
        <v>1971</v>
      </c>
      <c r="K2271" s="4">
        <v>44463</v>
      </c>
      <c r="L2271" t="s">
        <v>20</v>
      </c>
      <c r="M2271" t="s">
        <v>58</v>
      </c>
      <c r="N2271">
        <v>1.69</v>
      </c>
      <c r="O2271">
        <v>2183</v>
      </c>
      <c r="P2271">
        <v>4.7300000000000004</v>
      </c>
      <c r="Q2271">
        <v>212</v>
      </c>
      <c r="R2271">
        <v>366</v>
      </c>
    </row>
    <row r="2272" spans="1:18" hidden="1" x14ac:dyDescent="0.2">
      <c r="A2272">
        <v>6</v>
      </c>
      <c r="B2272" t="s">
        <v>99</v>
      </c>
      <c r="E2272" t="s">
        <v>29</v>
      </c>
      <c r="F2272">
        <v>794503</v>
      </c>
      <c r="G2272">
        <v>4</v>
      </c>
      <c r="H2272">
        <v>1</v>
      </c>
      <c r="I2272">
        <v>105</v>
      </c>
      <c r="J2272">
        <v>1989</v>
      </c>
      <c r="K2272" s="4">
        <v>44596</v>
      </c>
      <c r="L2272" t="s">
        <v>20</v>
      </c>
      <c r="M2272" t="s">
        <v>59</v>
      </c>
      <c r="N2272">
        <v>1.7</v>
      </c>
      <c r="O2272">
        <v>1102</v>
      </c>
      <c r="P2272">
        <v>0.86</v>
      </c>
      <c r="Q2272">
        <v>215</v>
      </c>
      <c r="R2272">
        <v>628</v>
      </c>
    </row>
    <row r="2273" spans="1:18" hidden="1" x14ac:dyDescent="0.2">
      <c r="A2273">
        <v>5</v>
      </c>
      <c r="B2273" t="s">
        <v>41</v>
      </c>
      <c r="E2273" t="s">
        <v>36</v>
      </c>
      <c r="F2273">
        <v>877257</v>
      </c>
      <c r="G2273">
        <v>3</v>
      </c>
      <c r="H2273">
        <v>3</v>
      </c>
      <c r="I2273">
        <v>556</v>
      </c>
      <c r="J2273">
        <v>1977</v>
      </c>
      <c r="K2273" s="4">
        <v>44474</v>
      </c>
      <c r="L2273" t="s">
        <v>30</v>
      </c>
      <c r="M2273" t="s">
        <v>24</v>
      </c>
      <c r="N2273">
        <v>2.35</v>
      </c>
      <c r="O2273">
        <v>1835</v>
      </c>
      <c r="P2273">
        <v>3.37</v>
      </c>
      <c r="Q2273">
        <v>208</v>
      </c>
      <c r="R2273">
        <v>684</v>
      </c>
    </row>
    <row r="2274" spans="1:18" x14ac:dyDescent="0.2">
      <c r="A2274">
        <v>8</v>
      </c>
      <c r="B2274" t="s">
        <v>72</v>
      </c>
      <c r="C2274" t="str">
        <f>VLOOKUP(B2274, 'Council Area'!$A$2:$B$51, 2)</f>
        <v>Hornsby Shire Council</v>
      </c>
      <c r="D2274" t="str">
        <f>_xlfn.XLOOKUP(B2274, 'Council Area'!$A$2:$A$51, 'Council Area'!$B$2:$B$51)</f>
        <v>Hornsby Shire Council</v>
      </c>
      <c r="E2274" t="s">
        <v>51</v>
      </c>
      <c r="F2274">
        <v>1569949</v>
      </c>
      <c r="G2274">
        <v>4</v>
      </c>
      <c r="H2274">
        <v>2</v>
      </c>
      <c r="I2274">
        <v>215</v>
      </c>
      <c r="J2274">
        <v>2022</v>
      </c>
      <c r="K2274" s="4">
        <v>44303</v>
      </c>
      <c r="L2274" t="s">
        <v>20</v>
      </c>
      <c r="M2274" t="s">
        <v>74</v>
      </c>
      <c r="N2274">
        <v>2.78</v>
      </c>
      <c r="O2274">
        <v>1173</v>
      </c>
      <c r="P2274">
        <v>4.72</v>
      </c>
      <c r="Q2274">
        <v>377</v>
      </c>
      <c r="R2274">
        <v>329</v>
      </c>
    </row>
    <row r="2275" spans="1:18" x14ac:dyDescent="0.2">
      <c r="A2275">
        <v>8</v>
      </c>
      <c r="B2275" t="s">
        <v>79</v>
      </c>
      <c r="C2275" t="str">
        <f>VLOOKUP(B2275, 'Council Area'!$A$2:$B$51, 2)</f>
        <v>Parramatta City Council</v>
      </c>
      <c r="D2275" t="str">
        <f>_xlfn.XLOOKUP(B2275, 'Council Area'!$A$2:$A$51, 'Council Area'!$B$2:$B$51)</f>
        <v>Parramatta City Council</v>
      </c>
      <c r="E2275" t="s">
        <v>29</v>
      </c>
      <c r="F2275">
        <v>1833772</v>
      </c>
      <c r="G2275">
        <v>1</v>
      </c>
      <c r="H2275">
        <v>3</v>
      </c>
      <c r="I2275">
        <v>766</v>
      </c>
      <c r="J2275">
        <v>1989</v>
      </c>
      <c r="K2275" s="4">
        <v>45104</v>
      </c>
      <c r="L2275" t="s">
        <v>26</v>
      </c>
      <c r="M2275" t="s">
        <v>74</v>
      </c>
      <c r="N2275">
        <v>2.4300000000000002</v>
      </c>
      <c r="O2275">
        <v>2006</v>
      </c>
      <c r="P2275">
        <v>2.11</v>
      </c>
      <c r="Q2275">
        <v>93</v>
      </c>
      <c r="R2275">
        <v>692</v>
      </c>
    </row>
    <row r="2276" spans="1:18" hidden="1" x14ac:dyDescent="0.2">
      <c r="A2276">
        <v>9</v>
      </c>
      <c r="B2276" t="s">
        <v>43</v>
      </c>
      <c r="E2276" t="s">
        <v>36</v>
      </c>
      <c r="F2276">
        <v>469854</v>
      </c>
      <c r="G2276">
        <v>4</v>
      </c>
      <c r="H2276">
        <v>1</v>
      </c>
      <c r="I2276">
        <v>624</v>
      </c>
      <c r="J2276">
        <v>1950</v>
      </c>
      <c r="K2276" s="4">
        <v>45295</v>
      </c>
      <c r="L2276" t="s">
        <v>30</v>
      </c>
      <c r="M2276" t="s">
        <v>69</v>
      </c>
      <c r="N2276">
        <v>1.7</v>
      </c>
      <c r="O2276">
        <v>2456</v>
      </c>
      <c r="P2276">
        <v>1.98</v>
      </c>
      <c r="Q2276">
        <v>212</v>
      </c>
      <c r="R2276">
        <v>443</v>
      </c>
    </row>
    <row r="2277" spans="1:18" hidden="1" x14ac:dyDescent="0.2">
      <c r="A2277">
        <v>1</v>
      </c>
      <c r="B2277" t="s">
        <v>57</v>
      </c>
      <c r="E2277" t="s">
        <v>19</v>
      </c>
      <c r="F2277">
        <v>1531002</v>
      </c>
      <c r="G2277">
        <v>5</v>
      </c>
      <c r="H2277">
        <v>3</v>
      </c>
      <c r="I2277">
        <v>159</v>
      </c>
      <c r="J2277">
        <v>2007</v>
      </c>
      <c r="K2277" s="4">
        <v>44808</v>
      </c>
      <c r="L2277" t="s">
        <v>30</v>
      </c>
      <c r="M2277" t="s">
        <v>21</v>
      </c>
      <c r="N2277">
        <v>3.35</v>
      </c>
      <c r="O2277">
        <v>1362</v>
      </c>
      <c r="P2277">
        <v>4.62</v>
      </c>
      <c r="Q2277">
        <v>377</v>
      </c>
      <c r="R2277">
        <v>383</v>
      </c>
    </row>
    <row r="2278" spans="1:18" hidden="1" x14ac:dyDescent="0.2">
      <c r="A2278">
        <v>0</v>
      </c>
      <c r="B2278" t="s">
        <v>67</v>
      </c>
      <c r="E2278" t="s">
        <v>51</v>
      </c>
      <c r="F2278">
        <v>2002058</v>
      </c>
      <c r="G2278">
        <v>0</v>
      </c>
      <c r="H2278">
        <v>3</v>
      </c>
      <c r="I2278">
        <v>441</v>
      </c>
      <c r="J2278">
        <v>2009</v>
      </c>
      <c r="K2278" s="4">
        <v>45702</v>
      </c>
      <c r="L2278" t="s">
        <v>20</v>
      </c>
      <c r="M2278" t="s">
        <v>35</v>
      </c>
      <c r="N2278">
        <v>1.68</v>
      </c>
      <c r="O2278">
        <v>2067</v>
      </c>
      <c r="P2278">
        <v>0.8</v>
      </c>
      <c r="Q2278">
        <v>71</v>
      </c>
      <c r="R2278">
        <v>376</v>
      </c>
    </row>
    <row r="2279" spans="1:18" hidden="1" x14ac:dyDescent="0.2">
      <c r="A2279">
        <v>6</v>
      </c>
      <c r="B2279" t="s">
        <v>83</v>
      </c>
      <c r="E2279" t="s">
        <v>19</v>
      </c>
      <c r="F2279">
        <v>2825190</v>
      </c>
      <c r="G2279">
        <v>4</v>
      </c>
      <c r="H2279">
        <v>1</v>
      </c>
      <c r="I2279">
        <v>532</v>
      </c>
      <c r="J2279">
        <v>2016</v>
      </c>
      <c r="K2279" s="4">
        <v>44834</v>
      </c>
      <c r="L2279" t="s">
        <v>30</v>
      </c>
      <c r="M2279" t="s">
        <v>70</v>
      </c>
      <c r="N2279">
        <v>1.8</v>
      </c>
      <c r="O2279">
        <v>1608</v>
      </c>
      <c r="P2279">
        <v>2.35</v>
      </c>
      <c r="Q2279">
        <v>361</v>
      </c>
      <c r="R2279">
        <v>550</v>
      </c>
    </row>
    <row r="2280" spans="1:18" hidden="1" x14ac:dyDescent="0.2">
      <c r="A2280">
        <v>2</v>
      </c>
      <c r="B2280" t="s">
        <v>99</v>
      </c>
      <c r="E2280" t="s">
        <v>19</v>
      </c>
      <c r="F2280">
        <v>2099159</v>
      </c>
      <c r="G2280">
        <v>4</v>
      </c>
      <c r="H2280">
        <v>1</v>
      </c>
      <c r="I2280">
        <v>239</v>
      </c>
      <c r="J2280">
        <v>1987</v>
      </c>
      <c r="K2280" s="4">
        <v>44849</v>
      </c>
      <c r="L2280" t="s">
        <v>26</v>
      </c>
      <c r="M2280" t="s">
        <v>56</v>
      </c>
      <c r="N2280">
        <v>1.61</v>
      </c>
      <c r="O2280">
        <v>1109</v>
      </c>
      <c r="P2280">
        <v>4.16</v>
      </c>
      <c r="Q2280">
        <v>229</v>
      </c>
      <c r="R2280">
        <v>379</v>
      </c>
    </row>
    <row r="2281" spans="1:18" hidden="1" x14ac:dyDescent="0.2">
      <c r="A2281">
        <v>1</v>
      </c>
      <c r="B2281" t="s">
        <v>46</v>
      </c>
      <c r="E2281" t="s">
        <v>51</v>
      </c>
      <c r="F2281">
        <v>440268</v>
      </c>
      <c r="G2281">
        <v>5</v>
      </c>
      <c r="H2281">
        <v>3</v>
      </c>
      <c r="I2281">
        <v>424</v>
      </c>
      <c r="J2281">
        <v>1996</v>
      </c>
      <c r="K2281" s="4">
        <v>45833</v>
      </c>
      <c r="L2281" t="s">
        <v>26</v>
      </c>
      <c r="M2281" t="s">
        <v>89</v>
      </c>
      <c r="N2281">
        <v>2.02</v>
      </c>
      <c r="O2281">
        <v>1439</v>
      </c>
      <c r="P2281">
        <v>0.47</v>
      </c>
      <c r="Q2281">
        <v>298</v>
      </c>
      <c r="R2281">
        <v>530</v>
      </c>
    </row>
    <row r="2282" spans="1:18" hidden="1" x14ac:dyDescent="0.2">
      <c r="A2282">
        <v>9</v>
      </c>
      <c r="B2282" t="s">
        <v>25</v>
      </c>
      <c r="E2282" t="s">
        <v>51</v>
      </c>
      <c r="F2282">
        <v>700460</v>
      </c>
      <c r="G2282">
        <v>5</v>
      </c>
      <c r="H2282">
        <v>2</v>
      </c>
      <c r="I2282">
        <v>543</v>
      </c>
      <c r="J2282">
        <v>1966</v>
      </c>
      <c r="K2282" s="4">
        <v>44184</v>
      </c>
      <c r="L2282" t="s">
        <v>26</v>
      </c>
      <c r="M2282" t="s">
        <v>69</v>
      </c>
      <c r="N2282">
        <v>2.5</v>
      </c>
      <c r="O2282">
        <v>1483</v>
      </c>
      <c r="P2282">
        <v>3.33</v>
      </c>
      <c r="Q2282">
        <v>279</v>
      </c>
      <c r="R2282">
        <v>639</v>
      </c>
    </row>
    <row r="2283" spans="1:18" hidden="1" x14ac:dyDescent="0.2">
      <c r="A2283">
        <v>2</v>
      </c>
      <c r="B2283" t="s">
        <v>102</v>
      </c>
      <c r="E2283" t="s">
        <v>51</v>
      </c>
      <c r="F2283">
        <v>1083859</v>
      </c>
      <c r="G2283">
        <v>3</v>
      </c>
      <c r="H2283">
        <v>2</v>
      </c>
      <c r="I2283">
        <v>566</v>
      </c>
      <c r="J2283">
        <v>1983</v>
      </c>
      <c r="K2283" s="4">
        <v>44458</v>
      </c>
      <c r="L2283" t="s">
        <v>20</v>
      </c>
      <c r="M2283" t="s">
        <v>76</v>
      </c>
      <c r="N2283">
        <v>2.44</v>
      </c>
      <c r="O2283">
        <v>1431</v>
      </c>
      <c r="P2283">
        <v>4.5599999999999996</v>
      </c>
      <c r="Q2283">
        <v>199</v>
      </c>
      <c r="R2283">
        <v>595</v>
      </c>
    </row>
    <row r="2284" spans="1:18" hidden="1" x14ac:dyDescent="0.2">
      <c r="A2284">
        <v>5</v>
      </c>
      <c r="B2284" t="s">
        <v>79</v>
      </c>
      <c r="E2284" t="s">
        <v>29</v>
      </c>
      <c r="F2284">
        <v>2309622</v>
      </c>
      <c r="G2284">
        <v>0</v>
      </c>
      <c r="H2284">
        <v>2</v>
      </c>
      <c r="I2284">
        <v>165</v>
      </c>
      <c r="J2284">
        <v>1978</v>
      </c>
      <c r="K2284" s="4">
        <v>45841</v>
      </c>
      <c r="L2284" t="s">
        <v>30</v>
      </c>
      <c r="M2284" t="s">
        <v>31</v>
      </c>
      <c r="N2284">
        <v>1.76</v>
      </c>
      <c r="O2284">
        <v>1865</v>
      </c>
      <c r="P2284">
        <v>3.91</v>
      </c>
      <c r="Q2284">
        <v>61</v>
      </c>
      <c r="R2284">
        <v>640</v>
      </c>
    </row>
    <row r="2285" spans="1:18" hidden="1" x14ac:dyDescent="0.2">
      <c r="A2285">
        <v>0</v>
      </c>
      <c r="B2285" t="s">
        <v>39</v>
      </c>
      <c r="E2285" t="s">
        <v>19</v>
      </c>
      <c r="F2285">
        <v>1163826</v>
      </c>
      <c r="G2285">
        <v>3</v>
      </c>
      <c r="H2285">
        <v>3</v>
      </c>
      <c r="I2285">
        <v>103</v>
      </c>
      <c r="J2285">
        <v>2013</v>
      </c>
      <c r="K2285" s="4">
        <v>44124</v>
      </c>
      <c r="L2285" t="s">
        <v>23</v>
      </c>
      <c r="M2285" t="s">
        <v>77</v>
      </c>
      <c r="N2285">
        <v>2.15</v>
      </c>
      <c r="O2285">
        <v>2137</v>
      </c>
      <c r="P2285">
        <v>0.62</v>
      </c>
      <c r="Q2285">
        <v>199</v>
      </c>
      <c r="R2285">
        <v>623</v>
      </c>
    </row>
    <row r="2286" spans="1:18" hidden="1" x14ac:dyDescent="0.2">
      <c r="A2286">
        <v>9</v>
      </c>
      <c r="B2286" t="s">
        <v>65</v>
      </c>
      <c r="E2286" t="s">
        <v>29</v>
      </c>
      <c r="F2286">
        <v>1455510</v>
      </c>
      <c r="G2286">
        <v>3</v>
      </c>
      <c r="H2286">
        <v>2</v>
      </c>
      <c r="I2286">
        <v>769</v>
      </c>
      <c r="J2286">
        <v>1997</v>
      </c>
      <c r="K2286" s="4">
        <v>45734</v>
      </c>
      <c r="L2286" t="s">
        <v>30</v>
      </c>
      <c r="M2286" t="s">
        <v>33</v>
      </c>
      <c r="N2286">
        <v>2.81</v>
      </c>
      <c r="O2286">
        <v>1914</v>
      </c>
      <c r="P2286">
        <v>0.56999999999999995</v>
      </c>
      <c r="Q2286">
        <v>136</v>
      </c>
      <c r="R2286">
        <v>497</v>
      </c>
    </row>
    <row r="2287" spans="1:18" x14ac:dyDescent="0.2">
      <c r="A2287">
        <v>8</v>
      </c>
      <c r="B2287" t="s">
        <v>99</v>
      </c>
      <c r="C2287" t="str">
        <f>VLOOKUP(B2287, 'Council Area'!$A$2:$B$51, 2)</f>
        <v>Canterbury-Bankstown Council</v>
      </c>
      <c r="D2287" t="str">
        <f>_xlfn.XLOOKUP(B2287, 'Council Area'!$A$2:$A$51, 'Council Area'!$B$2:$B$51)</f>
        <v>Canterbury-Bankstown Council</v>
      </c>
      <c r="E2287" t="s">
        <v>19</v>
      </c>
      <c r="F2287">
        <v>1514593</v>
      </c>
      <c r="G2287">
        <v>3</v>
      </c>
      <c r="H2287">
        <v>1</v>
      </c>
      <c r="I2287">
        <v>108</v>
      </c>
      <c r="J2287">
        <v>1967</v>
      </c>
      <c r="K2287" s="4">
        <v>44131</v>
      </c>
      <c r="L2287" t="s">
        <v>23</v>
      </c>
      <c r="M2287" t="s">
        <v>24</v>
      </c>
      <c r="N2287">
        <v>1.86</v>
      </c>
      <c r="O2287">
        <v>1705</v>
      </c>
      <c r="P2287">
        <v>2.23</v>
      </c>
      <c r="Q2287">
        <v>188</v>
      </c>
      <c r="R2287">
        <v>545</v>
      </c>
    </row>
    <row r="2288" spans="1:18" hidden="1" x14ac:dyDescent="0.2">
      <c r="A2288">
        <v>5</v>
      </c>
      <c r="B2288" t="s">
        <v>80</v>
      </c>
      <c r="E2288" t="s">
        <v>19</v>
      </c>
      <c r="F2288">
        <v>1630213</v>
      </c>
      <c r="G2288">
        <v>1</v>
      </c>
      <c r="H2288">
        <v>1</v>
      </c>
      <c r="I2288">
        <v>960</v>
      </c>
      <c r="J2288">
        <v>1966</v>
      </c>
      <c r="K2288" s="4">
        <v>45051</v>
      </c>
      <c r="L2288" t="s">
        <v>20</v>
      </c>
      <c r="M2288" t="s">
        <v>66</v>
      </c>
      <c r="N2288">
        <v>2.09</v>
      </c>
      <c r="O2288">
        <v>852</v>
      </c>
      <c r="P2288">
        <v>2.39</v>
      </c>
      <c r="Q2288">
        <v>110</v>
      </c>
      <c r="R2288">
        <v>371</v>
      </c>
    </row>
    <row r="2289" spans="1:18" hidden="1" x14ac:dyDescent="0.2">
      <c r="A2289">
        <v>3</v>
      </c>
      <c r="B2289" t="s">
        <v>53</v>
      </c>
      <c r="E2289" t="s">
        <v>29</v>
      </c>
      <c r="F2289">
        <v>480779</v>
      </c>
      <c r="G2289">
        <v>4</v>
      </c>
      <c r="H2289">
        <v>2</v>
      </c>
      <c r="I2289">
        <v>377</v>
      </c>
      <c r="J2289">
        <v>1962</v>
      </c>
      <c r="K2289" s="4">
        <v>44069</v>
      </c>
      <c r="L2289" t="s">
        <v>26</v>
      </c>
      <c r="M2289" t="s">
        <v>33</v>
      </c>
      <c r="N2289">
        <v>2.82</v>
      </c>
      <c r="O2289">
        <v>1093</v>
      </c>
      <c r="P2289">
        <v>1.67</v>
      </c>
      <c r="Q2289">
        <v>186</v>
      </c>
      <c r="R2289">
        <v>599</v>
      </c>
    </row>
    <row r="2290" spans="1:18" hidden="1" x14ac:dyDescent="0.2">
      <c r="A2290">
        <v>3</v>
      </c>
      <c r="B2290" t="s">
        <v>101</v>
      </c>
      <c r="E2290" t="s">
        <v>36</v>
      </c>
      <c r="F2290">
        <v>1479721</v>
      </c>
      <c r="G2290">
        <v>-2</v>
      </c>
      <c r="H2290">
        <v>3</v>
      </c>
      <c r="I2290">
        <v>942</v>
      </c>
      <c r="J2290">
        <v>1976</v>
      </c>
      <c r="K2290" s="4">
        <v>45371</v>
      </c>
      <c r="L2290" t="s">
        <v>30</v>
      </c>
      <c r="M2290" t="s">
        <v>74</v>
      </c>
      <c r="N2290">
        <v>2.0699999999999998</v>
      </c>
      <c r="O2290">
        <v>1615</v>
      </c>
      <c r="P2290">
        <v>3.27</v>
      </c>
      <c r="Q2290">
        <v>250</v>
      </c>
      <c r="R2290">
        <v>537</v>
      </c>
    </row>
    <row r="2291" spans="1:18" hidden="1" x14ac:dyDescent="0.2">
      <c r="A2291">
        <v>2</v>
      </c>
      <c r="B2291" t="s">
        <v>98</v>
      </c>
      <c r="E2291" t="s">
        <v>19</v>
      </c>
      <c r="F2291">
        <v>2945275</v>
      </c>
      <c r="G2291">
        <v>2</v>
      </c>
      <c r="H2291">
        <v>1</v>
      </c>
      <c r="I2291">
        <v>769</v>
      </c>
      <c r="J2291">
        <v>1969</v>
      </c>
      <c r="K2291" s="4">
        <v>45573</v>
      </c>
      <c r="L2291" t="s">
        <v>20</v>
      </c>
      <c r="M2291" t="s">
        <v>63</v>
      </c>
      <c r="N2291">
        <v>1.52</v>
      </c>
      <c r="O2291">
        <v>1117</v>
      </c>
      <c r="P2291">
        <v>1.03</v>
      </c>
      <c r="Q2291">
        <v>125</v>
      </c>
      <c r="R2291">
        <v>506</v>
      </c>
    </row>
    <row r="2292" spans="1:18" hidden="1" x14ac:dyDescent="0.2">
      <c r="A2292">
        <v>6</v>
      </c>
      <c r="B2292" t="s">
        <v>18</v>
      </c>
      <c r="E2292" t="s">
        <v>19</v>
      </c>
      <c r="F2292">
        <v>642386</v>
      </c>
      <c r="G2292">
        <v>3</v>
      </c>
      <c r="H2292">
        <v>3</v>
      </c>
      <c r="I2292">
        <v>970</v>
      </c>
      <c r="J2292">
        <v>1976</v>
      </c>
      <c r="K2292" s="4">
        <v>45317</v>
      </c>
      <c r="L2292" t="s">
        <v>26</v>
      </c>
      <c r="M2292" t="s">
        <v>58</v>
      </c>
      <c r="N2292">
        <v>2.06</v>
      </c>
      <c r="O2292">
        <v>865</v>
      </c>
      <c r="P2292">
        <v>3.18</v>
      </c>
      <c r="Q2292">
        <v>161</v>
      </c>
      <c r="R2292">
        <v>330</v>
      </c>
    </row>
    <row r="2293" spans="1:18" hidden="1" x14ac:dyDescent="0.2">
      <c r="A2293">
        <v>2</v>
      </c>
      <c r="B2293" t="s">
        <v>75</v>
      </c>
      <c r="E2293" t="s">
        <v>36</v>
      </c>
      <c r="F2293">
        <v>1607829</v>
      </c>
      <c r="G2293">
        <v>4</v>
      </c>
      <c r="H2293">
        <v>1</v>
      </c>
      <c r="I2293">
        <v>58</v>
      </c>
      <c r="J2293">
        <v>1997</v>
      </c>
      <c r="K2293" s="4">
        <v>44291</v>
      </c>
      <c r="L2293" t="s">
        <v>26</v>
      </c>
      <c r="M2293" t="s">
        <v>59</v>
      </c>
      <c r="N2293">
        <v>2.39</v>
      </c>
      <c r="O2293">
        <v>1966</v>
      </c>
      <c r="P2293">
        <v>3.66</v>
      </c>
      <c r="Q2293">
        <v>206</v>
      </c>
      <c r="R2293">
        <v>458</v>
      </c>
    </row>
    <row r="2294" spans="1:18" hidden="1" x14ac:dyDescent="0.2">
      <c r="A2294">
        <v>1</v>
      </c>
      <c r="B2294" t="s">
        <v>75</v>
      </c>
      <c r="E2294" t="s">
        <v>51</v>
      </c>
      <c r="F2294">
        <v>2349919</v>
      </c>
      <c r="G2294">
        <v>4</v>
      </c>
      <c r="H2294">
        <v>3</v>
      </c>
      <c r="I2294">
        <v>927</v>
      </c>
      <c r="J2294">
        <v>1955</v>
      </c>
      <c r="K2294" s="4">
        <v>45212</v>
      </c>
      <c r="L2294" t="s">
        <v>26</v>
      </c>
      <c r="M2294" t="s">
        <v>27</v>
      </c>
      <c r="N2294">
        <v>2.73</v>
      </c>
      <c r="O2294">
        <v>1298</v>
      </c>
      <c r="P2294">
        <v>2.86</v>
      </c>
      <c r="Q2294">
        <v>197</v>
      </c>
      <c r="R2294">
        <v>410</v>
      </c>
    </row>
    <row r="2295" spans="1:18" hidden="1" x14ac:dyDescent="0.2">
      <c r="A2295">
        <v>3</v>
      </c>
      <c r="B2295" t="s">
        <v>94</v>
      </c>
      <c r="E2295" t="s">
        <v>36</v>
      </c>
      <c r="F2295">
        <v>1923446</v>
      </c>
      <c r="G2295">
        <v>3</v>
      </c>
      <c r="H2295">
        <v>2</v>
      </c>
      <c r="I2295">
        <v>80</v>
      </c>
      <c r="J2295">
        <v>2017</v>
      </c>
      <c r="K2295" s="4">
        <v>45273</v>
      </c>
      <c r="L2295" t="s">
        <v>20</v>
      </c>
      <c r="M2295" t="s">
        <v>82</v>
      </c>
      <c r="N2295">
        <v>2.2000000000000002</v>
      </c>
      <c r="O2295">
        <v>1437</v>
      </c>
      <c r="P2295">
        <v>2.74</v>
      </c>
      <c r="Q2295">
        <v>160</v>
      </c>
      <c r="R2295">
        <v>577</v>
      </c>
    </row>
    <row r="2296" spans="1:18" hidden="1" x14ac:dyDescent="0.2">
      <c r="A2296">
        <v>5</v>
      </c>
      <c r="B2296" t="s">
        <v>18</v>
      </c>
      <c r="E2296" t="s">
        <v>29</v>
      </c>
      <c r="F2296">
        <v>758839</v>
      </c>
      <c r="G2296">
        <v>4</v>
      </c>
      <c r="H2296">
        <v>3</v>
      </c>
      <c r="I2296">
        <v>234</v>
      </c>
      <c r="J2296">
        <v>2002</v>
      </c>
      <c r="K2296" s="4">
        <v>45106</v>
      </c>
      <c r="L2296" t="s">
        <v>23</v>
      </c>
      <c r="M2296" t="s">
        <v>69</v>
      </c>
      <c r="N2296">
        <v>3.41</v>
      </c>
      <c r="O2296">
        <v>2171</v>
      </c>
      <c r="P2296">
        <v>1.1200000000000001</v>
      </c>
      <c r="Q2296">
        <v>233</v>
      </c>
      <c r="R2296">
        <v>473</v>
      </c>
    </row>
    <row r="2297" spans="1:18" hidden="1" x14ac:dyDescent="0.2">
      <c r="A2297">
        <v>4</v>
      </c>
      <c r="B2297" t="s">
        <v>98</v>
      </c>
      <c r="E2297" t="s">
        <v>19</v>
      </c>
      <c r="F2297">
        <v>2445098</v>
      </c>
      <c r="G2297">
        <v>4</v>
      </c>
      <c r="H2297">
        <v>2</v>
      </c>
      <c r="I2297">
        <v>518</v>
      </c>
      <c r="J2297">
        <v>2018</v>
      </c>
      <c r="K2297" s="4">
        <v>45605</v>
      </c>
      <c r="L2297" t="s">
        <v>30</v>
      </c>
      <c r="M2297" t="s">
        <v>52</v>
      </c>
      <c r="N2297">
        <v>2.4300000000000002</v>
      </c>
      <c r="O2297">
        <v>1926</v>
      </c>
      <c r="P2297">
        <v>2.19</v>
      </c>
      <c r="Q2297">
        <v>228</v>
      </c>
      <c r="R2297">
        <v>634</v>
      </c>
    </row>
    <row r="2298" spans="1:18" hidden="1" x14ac:dyDescent="0.2">
      <c r="A2298">
        <v>3</v>
      </c>
      <c r="B2298" t="s">
        <v>57</v>
      </c>
      <c r="E2298" t="s">
        <v>29</v>
      </c>
      <c r="F2298">
        <v>797085</v>
      </c>
      <c r="G2298">
        <v>6</v>
      </c>
      <c r="H2298">
        <v>1</v>
      </c>
      <c r="I2298">
        <v>441</v>
      </c>
      <c r="J2298">
        <v>2006</v>
      </c>
      <c r="K2298" s="4">
        <v>45541</v>
      </c>
      <c r="L2298" t="s">
        <v>26</v>
      </c>
      <c r="M2298" t="s">
        <v>27</v>
      </c>
      <c r="N2298">
        <v>2.0299999999999998</v>
      </c>
      <c r="O2298">
        <v>2009</v>
      </c>
      <c r="P2298">
        <v>2.2400000000000002</v>
      </c>
      <c r="Q2298">
        <v>366</v>
      </c>
      <c r="R2298">
        <v>313</v>
      </c>
    </row>
    <row r="2299" spans="1:18" hidden="1" x14ac:dyDescent="0.2">
      <c r="A2299">
        <v>0</v>
      </c>
      <c r="B2299" t="s">
        <v>38</v>
      </c>
      <c r="E2299" t="s">
        <v>51</v>
      </c>
      <c r="F2299">
        <v>2287702</v>
      </c>
      <c r="G2299">
        <v>3</v>
      </c>
      <c r="H2299">
        <v>3</v>
      </c>
      <c r="I2299">
        <v>491</v>
      </c>
      <c r="J2299">
        <v>1951</v>
      </c>
      <c r="K2299" s="4">
        <v>44790</v>
      </c>
      <c r="L2299" t="s">
        <v>26</v>
      </c>
      <c r="M2299" t="s">
        <v>70</v>
      </c>
      <c r="N2299">
        <v>3.09</v>
      </c>
      <c r="O2299">
        <v>1469</v>
      </c>
      <c r="P2299">
        <v>4.6900000000000004</v>
      </c>
      <c r="Q2299">
        <v>296</v>
      </c>
      <c r="R2299">
        <v>377</v>
      </c>
    </row>
    <row r="2300" spans="1:18" hidden="1" x14ac:dyDescent="0.2">
      <c r="A2300">
        <v>7</v>
      </c>
      <c r="B2300" t="s">
        <v>86</v>
      </c>
      <c r="E2300" t="s">
        <v>51</v>
      </c>
      <c r="F2300">
        <v>817836</v>
      </c>
      <c r="G2300">
        <v>4</v>
      </c>
      <c r="H2300">
        <v>1</v>
      </c>
      <c r="I2300">
        <v>564</v>
      </c>
      <c r="J2300">
        <v>1994</v>
      </c>
      <c r="K2300" s="4">
        <v>44150</v>
      </c>
      <c r="L2300" t="s">
        <v>20</v>
      </c>
      <c r="M2300" t="s">
        <v>31</v>
      </c>
      <c r="N2300">
        <v>2.86</v>
      </c>
      <c r="O2300">
        <v>1347</v>
      </c>
      <c r="P2300">
        <v>2.46</v>
      </c>
      <c r="Q2300">
        <v>382</v>
      </c>
      <c r="R2300">
        <v>341</v>
      </c>
    </row>
    <row r="2301" spans="1:18" hidden="1" x14ac:dyDescent="0.2">
      <c r="A2301">
        <v>4</v>
      </c>
      <c r="B2301" t="s">
        <v>79</v>
      </c>
      <c r="E2301" t="s">
        <v>19</v>
      </c>
      <c r="F2301">
        <v>562482</v>
      </c>
      <c r="G2301">
        <v>3</v>
      </c>
      <c r="H2301">
        <v>1</v>
      </c>
      <c r="I2301">
        <v>882</v>
      </c>
      <c r="J2301">
        <v>1998</v>
      </c>
      <c r="K2301" s="4">
        <v>44914</v>
      </c>
      <c r="L2301" t="s">
        <v>26</v>
      </c>
      <c r="M2301" t="s">
        <v>59</v>
      </c>
      <c r="N2301">
        <v>2.11</v>
      </c>
      <c r="O2301">
        <v>1374</v>
      </c>
      <c r="P2301">
        <v>3.8</v>
      </c>
      <c r="Q2301">
        <v>130</v>
      </c>
      <c r="R2301">
        <v>660</v>
      </c>
    </row>
    <row r="2302" spans="1:18" hidden="1" x14ac:dyDescent="0.2">
      <c r="A2302">
        <v>4</v>
      </c>
      <c r="B2302" t="s">
        <v>92</v>
      </c>
      <c r="E2302" t="s">
        <v>29</v>
      </c>
      <c r="F2302">
        <v>1181806</v>
      </c>
      <c r="G2302">
        <v>1</v>
      </c>
      <c r="H2302">
        <v>2</v>
      </c>
      <c r="I2302">
        <v>63</v>
      </c>
      <c r="J2302">
        <v>2014</v>
      </c>
      <c r="K2302" s="4">
        <v>45700</v>
      </c>
      <c r="L2302" t="s">
        <v>23</v>
      </c>
      <c r="M2302" t="s">
        <v>68</v>
      </c>
      <c r="N2302">
        <v>2.06</v>
      </c>
      <c r="O2302">
        <v>1348</v>
      </c>
      <c r="P2302">
        <v>2.4500000000000002</v>
      </c>
      <c r="Q2302">
        <v>117</v>
      </c>
      <c r="R2302">
        <v>461</v>
      </c>
    </row>
    <row r="2303" spans="1:18" hidden="1" x14ac:dyDescent="0.2">
      <c r="A2303">
        <v>0</v>
      </c>
      <c r="B2303" t="s">
        <v>43</v>
      </c>
      <c r="E2303" t="s">
        <v>19</v>
      </c>
      <c r="F2303">
        <v>2925570</v>
      </c>
      <c r="G2303">
        <v>1</v>
      </c>
      <c r="H2303">
        <v>2</v>
      </c>
      <c r="I2303">
        <v>352</v>
      </c>
      <c r="J2303">
        <v>2020</v>
      </c>
      <c r="K2303" s="4">
        <v>44584</v>
      </c>
      <c r="L2303" t="s">
        <v>26</v>
      </c>
      <c r="M2303" t="s">
        <v>58</v>
      </c>
      <c r="N2303">
        <v>1.85</v>
      </c>
      <c r="O2303">
        <v>1013</v>
      </c>
      <c r="P2303">
        <v>2.71</v>
      </c>
      <c r="Q2303">
        <v>66</v>
      </c>
      <c r="R2303">
        <v>659</v>
      </c>
    </row>
    <row r="2304" spans="1:18" hidden="1" x14ac:dyDescent="0.2">
      <c r="A2304">
        <v>2</v>
      </c>
      <c r="B2304" t="s">
        <v>90</v>
      </c>
      <c r="E2304" t="s">
        <v>19</v>
      </c>
      <c r="F2304">
        <v>750666</v>
      </c>
      <c r="G2304">
        <v>5</v>
      </c>
      <c r="H2304">
        <v>1</v>
      </c>
      <c r="I2304">
        <v>681</v>
      </c>
      <c r="J2304">
        <v>1954</v>
      </c>
      <c r="K2304" s="4">
        <v>44835</v>
      </c>
      <c r="L2304" t="s">
        <v>30</v>
      </c>
      <c r="M2304" t="s">
        <v>60</v>
      </c>
      <c r="N2304">
        <v>3</v>
      </c>
      <c r="O2304">
        <v>1745</v>
      </c>
      <c r="P2304">
        <v>3.47</v>
      </c>
      <c r="Q2304">
        <v>328</v>
      </c>
      <c r="R2304">
        <v>666</v>
      </c>
    </row>
    <row r="2305" spans="1:18" hidden="1" x14ac:dyDescent="0.2">
      <c r="A2305">
        <v>7</v>
      </c>
      <c r="B2305" t="s">
        <v>32</v>
      </c>
      <c r="E2305" t="s">
        <v>19</v>
      </c>
      <c r="F2305">
        <v>2880405</v>
      </c>
      <c r="G2305">
        <v>4</v>
      </c>
      <c r="H2305">
        <v>2</v>
      </c>
      <c r="I2305">
        <v>812</v>
      </c>
      <c r="J2305">
        <v>1951</v>
      </c>
      <c r="K2305" s="4">
        <v>44693</v>
      </c>
      <c r="L2305" t="s">
        <v>30</v>
      </c>
      <c r="M2305" t="s">
        <v>27</v>
      </c>
      <c r="N2305">
        <v>2.75</v>
      </c>
      <c r="O2305">
        <v>2109</v>
      </c>
      <c r="P2305">
        <v>3.36</v>
      </c>
      <c r="Q2305">
        <v>226</v>
      </c>
      <c r="R2305">
        <v>472</v>
      </c>
    </row>
    <row r="2306" spans="1:18" hidden="1" x14ac:dyDescent="0.2">
      <c r="A2306">
        <v>7</v>
      </c>
      <c r="B2306" t="s">
        <v>98</v>
      </c>
      <c r="E2306" t="s">
        <v>19</v>
      </c>
      <c r="F2306">
        <v>624983</v>
      </c>
      <c r="G2306">
        <v>5</v>
      </c>
      <c r="H2306">
        <v>3</v>
      </c>
      <c r="I2306">
        <v>982</v>
      </c>
      <c r="J2306">
        <v>2004</v>
      </c>
      <c r="K2306" s="4">
        <v>45304</v>
      </c>
      <c r="L2306" t="s">
        <v>30</v>
      </c>
      <c r="M2306" t="s">
        <v>78</v>
      </c>
      <c r="N2306">
        <v>1.8</v>
      </c>
      <c r="O2306">
        <v>1464</v>
      </c>
      <c r="P2306">
        <v>4.7699999999999996</v>
      </c>
      <c r="Q2306">
        <v>340</v>
      </c>
      <c r="R2306">
        <v>644</v>
      </c>
    </row>
    <row r="2307" spans="1:18" hidden="1" x14ac:dyDescent="0.2">
      <c r="A2307">
        <v>2</v>
      </c>
      <c r="B2307" t="s">
        <v>28</v>
      </c>
      <c r="E2307" t="s">
        <v>29</v>
      </c>
      <c r="F2307">
        <v>781995</v>
      </c>
      <c r="G2307">
        <v>3</v>
      </c>
      <c r="H2307">
        <v>3</v>
      </c>
      <c r="I2307">
        <v>880</v>
      </c>
      <c r="J2307">
        <v>1992</v>
      </c>
      <c r="K2307" s="4">
        <v>45506</v>
      </c>
      <c r="L2307" t="s">
        <v>20</v>
      </c>
      <c r="M2307" t="s">
        <v>47</v>
      </c>
      <c r="N2307">
        <v>2.2000000000000002</v>
      </c>
      <c r="O2307">
        <v>1536</v>
      </c>
      <c r="P2307">
        <v>4.1500000000000004</v>
      </c>
      <c r="Q2307">
        <v>98</v>
      </c>
      <c r="R2307">
        <v>484</v>
      </c>
    </row>
    <row r="2308" spans="1:18" hidden="1" x14ac:dyDescent="0.2">
      <c r="A2308">
        <v>7</v>
      </c>
      <c r="B2308" t="s">
        <v>101</v>
      </c>
      <c r="E2308" t="s">
        <v>19</v>
      </c>
      <c r="F2308">
        <v>2246977</v>
      </c>
      <c r="G2308">
        <v>1</v>
      </c>
      <c r="H2308">
        <v>2</v>
      </c>
      <c r="I2308">
        <v>70</v>
      </c>
      <c r="J2308">
        <v>1996</v>
      </c>
      <c r="K2308" s="4">
        <v>45763</v>
      </c>
      <c r="L2308" t="s">
        <v>20</v>
      </c>
      <c r="M2308" t="s">
        <v>60</v>
      </c>
      <c r="N2308">
        <v>3.41</v>
      </c>
      <c r="O2308">
        <v>2402</v>
      </c>
      <c r="P2308">
        <v>3.28</v>
      </c>
      <c r="Q2308">
        <v>65</v>
      </c>
      <c r="R2308">
        <v>330</v>
      </c>
    </row>
    <row r="2309" spans="1:18" hidden="1" x14ac:dyDescent="0.2">
      <c r="A2309">
        <v>5</v>
      </c>
      <c r="B2309" t="s">
        <v>55</v>
      </c>
      <c r="E2309" t="s">
        <v>29</v>
      </c>
      <c r="F2309">
        <v>892055</v>
      </c>
      <c r="G2309">
        <v>4</v>
      </c>
      <c r="H2309">
        <v>3</v>
      </c>
      <c r="I2309">
        <v>419</v>
      </c>
      <c r="J2309">
        <v>1990</v>
      </c>
      <c r="K2309" s="4">
        <v>44597</v>
      </c>
      <c r="L2309" t="s">
        <v>23</v>
      </c>
      <c r="M2309" t="s">
        <v>74</v>
      </c>
      <c r="N2309">
        <v>2.06</v>
      </c>
      <c r="O2309">
        <v>896</v>
      </c>
      <c r="P2309">
        <v>4.7699999999999996</v>
      </c>
      <c r="Q2309">
        <v>377</v>
      </c>
      <c r="R2309">
        <v>442</v>
      </c>
    </row>
    <row r="2310" spans="1:18" hidden="1" x14ac:dyDescent="0.2">
      <c r="A2310">
        <v>0</v>
      </c>
      <c r="B2310" t="s">
        <v>100</v>
      </c>
      <c r="E2310" t="s">
        <v>51</v>
      </c>
      <c r="F2310">
        <v>947390</v>
      </c>
      <c r="G2310">
        <v>5</v>
      </c>
      <c r="H2310">
        <v>3</v>
      </c>
      <c r="I2310">
        <v>66</v>
      </c>
      <c r="J2310">
        <v>2008</v>
      </c>
      <c r="K2310" s="4">
        <v>44969</v>
      </c>
      <c r="L2310" t="s">
        <v>23</v>
      </c>
      <c r="M2310" t="s">
        <v>37</v>
      </c>
      <c r="N2310">
        <v>3.24</v>
      </c>
      <c r="O2310">
        <v>1131</v>
      </c>
      <c r="P2310">
        <v>1.78</v>
      </c>
      <c r="Q2310">
        <v>295</v>
      </c>
      <c r="R2310">
        <v>636</v>
      </c>
    </row>
    <row r="2311" spans="1:18" hidden="1" x14ac:dyDescent="0.2">
      <c r="A2311">
        <v>4</v>
      </c>
      <c r="B2311" t="s">
        <v>67</v>
      </c>
      <c r="E2311" t="s">
        <v>51</v>
      </c>
      <c r="F2311">
        <v>2368582</v>
      </c>
      <c r="G2311">
        <v>2</v>
      </c>
      <c r="H2311">
        <v>1</v>
      </c>
      <c r="I2311">
        <v>233</v>
      </c>
      <c r="J2311">
        <v>2017</v>
      </c>
      <c r="K2311" s="4">
        <v>44080</v>
      </c>
      <c r="L2311" t="s">
        <v>20</v>
      </c>
      <c r="M2311" t="s">
        <v>31</v>
      </c>
      <c r="N2311">
        <v>2.3199999999999998</v>
      </c>
      <c r="O2311">
        <v>1992</v>
      </c>
      <c r="P2311">
        <v>3.65</v>
      </c>
      <c r="Q2311">
        <v>206</v>
      </c>
      <c r="R2311">
        <v>386</v>
      </c>
    </row>
    <row r="2312" spans="1:18" hidden="1" x14ac:dyDescent="0.2">
      <c r="A2312">
        <v>6</v>
      </c>
      <c r="B2312" t="s">
        <v>90</v>
      </c>
      <c r="E2312" t="s">
        <v>29</v>
      </c>
      <c r="F2312">
        <v>2504559</v>
      </c>
      <c r="G2312">
        <v>3</v>
      </c>
      <c r="H2312">
        <v>3</v>
      </c>
      <c r="I2312">
        <v>393</v>
      </c>
      <c r="J2312">
        <v>2005</v>
      </c>
      <c r="K2312" s="4">
        <v>44663</v>
      </c>
      <c r="L2312" t="s">
        <v>26</v>
      </c>
      <c r="M2312" t="s">
        <v>21</v>
      </c>
      <c r="N2312">
        <v>3.47</v>
      </c>
      <c r="O2312">
        <v>2301</v>
      </c>
      <c r="P2312">
        <v>4.87</v>
      </c>
      <c r="Q2312">
        <v>180</v>
      </c>
      <c r="R2312">
        <v>671</v>
      </c>
    </row>
    <row r="2313" spans="1:18" hidden="1" x14ac:dyDescent="0.2">
      <c r="A2313">
        <v>6</v>
      </c>
      <c r="B2313" t="s">
        <v>83</v>
      </c>
      <c r="E2313" t="s">
        <v>36</v>
      </c>
      <c r="F2313">
        <v>1241119</v>
      </c>
      <c r="G2313">
        <v>1</v>
      </c>
      <c r="H2313">
        <v>2</v>
      </c>
      <c r="I2313">
        <v>800</v>
      </c>
      <c r="J2313">
        <v>1961</v>
      </c>
      <c r="K2313" s="4">
        <v>45188</v>
      </c>
      <c r="L2313" t="s">
        <v>20</v>
      </c>
      <c r="M2313" t="s">
        <v>97</v>
      </c>
      <c r="N2313">
        <v>3.37</v>
      </c>
      <c r="O2313">
        <v>953</v>
      </c>
      <c r="P2313">
        <v>3.3</v>
      </c>
      <c r="Q2313">
        <v>123</v>
      </c>
      <c r="R2313">
        <v>598</v>
      </c>
    </row>
    <row r="2314" spans="1:18" hidden="1" x14ac:dyDescent="0.2">
      <c r="A2314">
        <v>9</v>
      </c>
      <c r="B2314" t="s">
        <v>48</v>
      </c>
      <c r="E2314" t="s">
        <v>51</v>
      </c>
      <c r="F2314">
        <v>2714287</v>
      </c>
      <c r="G2314">
        <v>2</v>
      </c>
      <c r="H2314">
        <v>2</v>
      </c>
      <c r="I2314">
        <v>222</v>
      </c>
      <c r="J2314">
        <v>2008</v>
      </c>
      <c r="K2314" s="4">
        <v>45518</v>
      </c>
      <c r="L2314" t="s">
        <v>26</v>
      </c>
      <c r="M2314" t="s">
        <v>24</v>
      </c>
      <c r="N2314">
        <v>2.48</v>
      </c>
      <c r="O2314">
        <v>1231</v>
      </c>
      <c r="P2314">
        <v>0.18</v>
      </c>
      <c r="Q2314">
        <v>119</v>
      </c>
      <c r="R2314">
        <v>666</v>
      </c>
    </row>
    <row r="2315" spans="1:18" x14ac:dyDescent="0.2">
      <c r="A2315">
        <v>8</v>
      </c>
      <c r="B2315" t="s">
        <v>98</v>
      </c>
      <c r="C2315" t="str">
        <f>VLOOKUP(B2315, 'Council Area'!$A$2:$B$51, 2)</f>
        <v>Parramatta City Council</v>
      </c>
      <c r="D2315" t="str">
        <f>_xlfn.XLOOKUP(B2315, 'Council Area'!$A$2:$A$51, 'Council Area'!$B$2:$B$51)</f>
        <v>Parramatta City Council</v>
      </c>
      <c r="E2315" t="s">
        <v>29</v>
      </c>
      <c r="F2315">
        <v>1514992</v>
      </c>
      <c r="G2315">
        <v>3</v>
      </c>
      <c r="H2315">
        <v>3</v>
      </c>
      <c r="I2315">
        <v>890</v>
      </c>
      <c r="J2315">
        <v>1975</v>
      </c>
      <c r="K2315" s="4">
        <v>45320</v>
      </c>
      <c r="L2315" t="s">
        <v>20</v>
      </c>
      <c r="M2315" t="s">
        <v>74</v>
      </c>
      <c r="N2315">
        <v>2.2200000000000002</v>
      </c>
      <c r="O2315">
        <v>2395</v>
      </c>
      <c r="P2315">
        <v>3.21</v>
      </c>
      <c r="Q2315">
        <v>295</v>
      </c>
      <c r="R2315">
        <v>541</v>
      </c>
    </row>
    <row r="2316" spans="1:18" hidden="1" x14ac:dyDescent="0.2">
      <c r="A2316">
        <v>6</v>
      </c>
      <c r="B2316" t="s">
        <v>57</v>
      </c>
      <c r="E2316" t="s">
        <v>29</v>
      </c>
      <c r="F2316">
        <v>1993087</v>
      </c>
      <c r="G2316">
        <v>4</v>
      </c>
      <c r="H2316">
        <v>2</v>
      </c>
      <c r="I2316">
        <v>751</v>
      </c>
      <c r="J2316">
        <v>1973</v>
      </c>
      <c r="K2316" s="4">
        <v>45165</v>
      </c>
      <c r="L2316" t="s">
        <v>20</v>
      </c>
      <c r="M2316" t="s">
        <v>70</v>
      </c>
      <c r="N2316">
        <v>1.94</v>
      </c>
      <c r="O2316">
        <v>1061</v>
      </c>
      <c r="P2316">
        <v>1.78</v>
      </c>
      <c r="Q2316">
        <v>396</v>
      </c>
      <c r="R2316">
        <v>446</v>
      </c>
    </row>
    <row r="2317" spans="1:18" hidden="1" x14ac:dyDescent="0.2">
      <c r="A2317">
        <v>3</v>
      </c>
      <c r="B2317" t="s">
        <v>87</v>
      </c>
      <c r="E2317" t="s">
        <v>19</v>
      </c>
      <c r="F2317">
        <v>1393304</v>
      </c>
      <c r="G2317">
        <v>4</v>
      </c>
      <c r="H2317">
        <v>2</v>
      </c>
      <c r="I2317">
        <v>483</v>
      </c>
      <c r="J2317">
        <v>1994</v>
      </c>
      <c r="K2317" s="4">
        <v>44229</v>
      </c>
      <c r="L2317" t="s">
        <v>20</v>
      </c>
      <c r="M2317" t="s">
        <v>89</v>
      </c>
      <c r="N2317">
        <v>3.23</v>
      </c>
      <c r="O2317">
        <v>824</v>
      </c>
      <c r="P2317">
        <v>1.26</v>
      </c>
      <c r="Q2317">
        <v>177</v>
      </c>
      <c r="R2317">
        <v>527</v>
      </c>
    </row>
    <row r="2318" spans="1:18" hidden="1" x14ac:dyDescent="0.2">
      <c r="A2318">
        <v>3</v>
      </c>
      <c r="B2318" t="s">
        <v>95</v>
      </c>
      <c r="E2318" t="s">
        <v>19</v>
      </c>
      <c r="F2318">
        <v>2116361</v>
      </c>
      <c r="G2318">
        <v>2</v>
      </c>
      <c r="H2318">
        <v>3</v>
      </c>
      <c r="I2318">
        <v>91</v>
      </c>
      <c r="J2318">
        <v>1969</v>
      </c>
      <c r="K2318" s="4">
        <v>45807</v>
      </c>
      <c r="L2318" t="s">
        <v>23</v>
      </c>
      <c r="M2318" t="s">
        <v>35</v>
      </c>
      <c r="N2318">
        <v>3.47</v>
      </c>
      <c r="O2318">
        <v>2395</v>
      </c>
      <c r="P2318">
        <v>4.8899999999999997</v>
      </c>
      <c r="Q2318">
        <v>220</v>
      </c>
      <c r="R2318">
        <v>659</v>
      </c>
    </row>
    <row r="2319" spans="1:18" hidden="1" x14ac:dyDescent="0.2">
      <c r="A2319">
        <v>7</v>
      </c>
      <c r="B2319" t="s">
        <v>79</v>
      </c>
      <c r="E2319" t="s">
        <v>36</v>
      </c>
      <c r="F2319">
        <v>950724</v>
      </c>
      <c r="G2319">
        <v>2</v>
      </c>
      <c r="H2319">
        <v>2</v>
      </c>
      <c r="I2319">
        <v>695</v>
      </c>
      <c r="J2319">
        <v>1984</v>
      </c>
      <c r="K2319" s="4">
        <v>45493</v>
      </c>
      <c r="L2319" t="s">
        <v>30</v>
      </c>
      <c r="M2319" t="s">
        <v>60</v>
      </c>
      <c r="N2319">
        <v>2.0499999999999998</v>
      </c>
      <c r="O2319">
        <v>2418</v>
      </c>
      <c r="P2319">
        <v>3.65</v>
      </c>
      <c r="Q2319">
        <v>146</v>
      </c>
      <c r="R2319">
        <v>466</v>
      </c>
    </row>
    <row r="2320" spans="1:18" x14ac:dyDescent="0.2">
      <c r="A2320">
        <v>8</v>
      </c>
      <c r="B2320" t="s">
        <v>38</v>
      </c>
      <c r="C2320" t="str">
        <f>VLOOKUP(B2320, 'Council Area'!$A$2:$B$51, 2)</f>
        <v>Sutherland Shire Council</v>
      </c>
      <c r="D2320" t="str">
        <f>_xlfn.XLOOKUP(B2320, 'Council Area'!$A$2:$A$51, 'Council Area'!$B$2:$B$51)</f>
        <v>Sutherland Shire Council</v>
      </c>
      <c r="E2320" t="s">
        <v>36</v>
      </c>
      <c r="F2320">
        <v>1382296</v>
      </c>
      <c r="G2320">
        <v>2</v>
      </c>
      <c r="H2320">
        <v>2</v>
      </c>
      <c r="I2320">
        <v>102</v>
      </c>
      <c r="J2320">
        <v>1954</v>
      </c>
      <c r="K2320" s="4">
        <v>45110</v>
      </c>
      <c r="L2320" t="s">
        <v>30</v>
      </c>
      <c r="M2320" t="s">
        <v>21</v>
      </c>
      <c r="N2320">
        <v>2.2400000000000002</v>
      </c>
      <c r="O2320">
        <v>1613</v>
      </c>
      <c r="P2320">
        <v>1.48</v>
      </c>
      <c r="Q2320">
        <v>103</v>
      </c>
      <c r="R2320">
        <v>678</v>
      </c>
    </row>
    <row r="2321" spans="1:18" hidden="1" x14ac:dyDescent="0.2">
      <c r="A2321">
        <v>6</v>
      </c>
      <c r="B2321" t="s">
        <v>34</v>
      </c>
      <c r="E2321" t="s">
        <v>36</v>
      </c>
      <c r="F2321">
        <v>1212545</v>
      </c>
      <c r="G2321">
        <v>4</v>
      </c>
      <c r="H2321">
        <v>2</v>
      </c>
      <c r="I2321">
        <v>150</v>
      </c>
      <c r="J2321">
        <v>1993</v>
      </c>
      <c r="K2321" s="4">
        <v>44289</v>
      </c>
      <c r="L2321" t="s">
        <v>20</v>
      </c>
      <c r="M2321" t="s">
        <v>82</v>
      </c>
      <c r="N2321">
        <v>2.92</v>
      </c>
      <c r="O2321">
        <v>803</v>
      </c>
      <c r="P2321">
        <v>4.04</v>
      </c>
      <c r="Q2321">
        <v>171</v>
      </c>
      <c r="R2321">
        <v>612</v>
      </c>
    </row>
    <row r="2322" spans="1:18" hidden="1" x14ac:dyDescent="0.2">
      <c r="A2322">
        <v>5</v>
      </c>
      <c r="B2322" t="s">
        <v>64</v>
      </c>
      <c r="E2322" t="s">
        <v>29</v>
      </c>
      <c r="F2322">
        <v>2041839</v>
      </c>
      <c r="G2322">
        <v>4</v>
      </c>
      <c r="H2322">
        <v>1</v>
      </c>
      <c r="I2322">
        <v>818</v>
      </c>
      <c r="J2322">
        <v>1950</v>
      </c>
      <c r="K2322" s="4">
        <v>44697</v>
      </c>
      <c r="L2322" t="s">
        <v>30</v>
      </c>
      <c r="M2322" t="s">
        <v>31</v>
      </c>
      <c r="N2322">
        <v>3.07</v>
      </c>
      <c r="O2322">
        <v>1001</v>
      </c>
      <c r="P2322">
        <v>2.84</v>
      </c>
      <c r="Q2322">
        <v>393</v>
      </c>
      <c r="R2322">
        <v>443</v>
      </c>
    </row>
    <row r="2323" spans="1:18" hidden="1" x14ac:dyDescent="0.2">
      <c r="A2323">
        <v>6</v>
      </c>
      <c r="B2323" t="s">
        <v>101</v>
      </c>
      <c r="E2323" t="s">
        <v>29</v>
      </c>
      <c r="F2323">
        <v>802429</v>
      </c>
      <c r="G2323">
        <v>0</v>
      </c>
      <c r="H2323">
        <v>2</v>
      </c>
      <c r="I2323">
        <v>951</v>
      </c>
      <c r="J2323">
        <v>1977</v>
      </c>
      <c r="K2323" s="4">
        <v>45839</v>
      </c>
      <c r="L2323" t="s">
        <v>20</v>
      </c>
      <c r="M2323" t="s">
        <v>97</v>
      </c>
      <c r="N2323">
        <v>1.91</v>
      </c>
      <c r="O2323">
        <v>1749</v>
      </c>
      <c r="P2323">
        <v>4.88</v>
      </c>
      <c r="Q2323">
        <v>66</v>
      </c>
      <c r="R2323">
        <v>341</v>
      </c>
    </row>
    <row r="2324" spans="1:18" hidden="1" x14ac:dyDescent="0.2">
      <c r="A2324">
        <v>9</v>
      </c>
      <c r="B2324" t="s">
        <v>100</v>
      </c>
      <c r="E2324" t="s">
        <v>29</v>
      </c>
      <c r="F2324">
        <v>1724581</v>
      </c>
      <c r="G2324">
        <v>0</v>
      </c>
      <c r="H2324">
        <v>3</v>
      </c>
      <c r="I2324">
        <v>517</v>
      </c>
      <c r="J2324">
        <v>1985</v>
      </c>
      <c r="K2324" s="4">
        <v>45194</v>
      </c>
      <c r="L2324" t="s">
        <v>30</v>
      </c>
      <c r="M2324" t="s">
        <v>35</v>
      </c>
      <c r="N2324">
        <v>1.89</v>
      </c>
      <c r="O2324">
        <v>1771</v>
      </c>
      <c r="P2324">
        <v>0.13</v>
      </c>
      <c r="Q2324">
        <v>47</v>
      </c>
      <c r="R2324">
        <v>436</v>
      </c>
    </row>
    <row r="2325" spans="1:18" hidden="1" x14ac:dyDescent="0.2">
      <c r="A2325">
        <v>2</v>
      </c>
      <c r="B2325" t="s">
        <v>48</v>
      </c>
      <c r="E2325" t="s">
        <v>36</v>
      </c>
      <c r="F2325">
        <v>2593546</v>
      </c>
      <c r="G2325">
        <v>3</v>
      </c>
      <c r="H2325">
        <v>3</v>
      </c>
      <c r="I2325">
        <v>801</v>
      </c>
      <c r="J2325">
        <v>2003</v>
      </c>
      <c r="K2325" s="4">
        <v>45806</v>
      </c>
      <c r="L2325" t="s">
        <v>30</v>
      </c>
      <c r="M2325" t="s">
        <v>74</v>
      </c>
      <c r="N2325">
        <v>3.19</v>
      </c>
      <c r="O2325">
        <v>989</v>
      </c>
      <c r="P2325">
        <v>4.3899999999999997</v>
      </c>
      <c r="Q2325">
        <v>305</v>
      </c>
      <c r="R2325">
        <v>307</v>
      </c>
    </row>
    <row r="2326" spans="1:18" hidden="1" x14ac:dyDescent="0.2">
      <c r="A2326">
        <v>2</v>
      </c>
      <c r="B2326" t="s">
        <v>100</v>
      </c>
      <c r="E2326" t="s">
        <v>19</v>
      </c>
      <c r="F2326">
        <v>2862613</v>
      </c>
      <c r="G2326">
        <v>2</v>
      </c>
      <c r="H2326">
        <v>3</v>
      </c>
      <c r="I2326">
        <v>129</v>
      </c>
      <c r="J2326">
        <v>1978</v>
      </c>
      <c r="K2326" s="4">
        <v>45807</v>
      </c>
      <c r="L2326" t="s">
        <v>20</v>
      </c>
      <c r="M2326" t="s">
        <v>63</v>
      </c>
      <c r="N2326">
        <v>2.17</v>
      </c>
      <c r="O2326">
        <v>1879</v>
      </c>
      <c r="P2326">
        <v>1.0900000000000001</v>
      </c>
      <c r="Q2326">
        <v>102</v>
      </c>
      <c r="R2326">
        <v>665</v>
      </c>
    </row>
    <row r="2327" spans="1:18" x14ac:dyDescent="0.2">
      <c r="A2327">
        <v>8</v>
      </c>
      <c r="B2327" t="s">
        <v>32</v>
      </c>
      <c r="C2327" t="str">
        <f>VLOOKUP(B2327, 'Council Area'!$A$2:$B$51, 2)</f>
        <v>Randwick City Council</v>
      </c>
      <c r="D2327" t="str">
        <f>_xlfn.XLOOKUP(B2327, 'Council Area'!$A$2:$A$51, 'Council Area'!$B$2:$B$51)</f>
        <v>Randwick City Council</v>
      </c>
      <c r="E2327" t="s">
        <v>29</v>
      </c>
      <c r="F2327">
        <v>712589</v>
      </c>
      <c r="G2327">
        <v>1</v>
      </c>
      <c r="H2327">
        <v>3</v>
      </c>
      <c r="I2327">
        <v>452</v>
      </c>
      <c r="J2327">
        <v>1958</v>
      </c>
      <c r="K2327" s="4">
        <v>44437</v>
      </c>
      <c r="L2327" t="s">
        <v>30</v>
      </c>
      <c r="M2327" t="s">
        <v>24</v>
      </c>
      <c r="N2327">
        <v>2.79</v>
      </c>
      <c r="O2327">
        <v>1834</v>
      </c>
      <c r="P2327">
        <v>2.76</v>
      </c>
      <c r="Q2327">
        <v>60</v>
      </c>
      <c r="R2327">
        <v>349</v>
      </c>
    </row>
    <row r="2328" spans="1:18" hidden="1" x14ac:dyDescent="0.2">
      <c r="A2328">
        <v>7</v>
      </c>
      <c r="B2328" t="s">
        <v>48</v>
      </c>
      <c r="E2328" t="s">
        <v>51</v>
      </c>
      <c r="F2328">
        <v>627238</v>
      </c>
      <c r="G2328">
        <v>6</v>
      </c>
      <c r="H2328">
        <v>3</v>
      </c>
      <c r="I2328">
        <v>903</v>
      </c>
      <c r="J2328">
        <v>2007</v>
      </c>
      <c r="K2328" s="4">
        <v>45582</v>
      </c>
      <c r="L2328" t="s">
        <v>20</v>
      </c>
      <c r="M2328" t="s">
        <v>69</v>
      </c>
      <c r="N2328">
        <v>1.8</v>
      </c>
      <c r="O2328">
        <v>1440</v>
      </c>
      <c r="P2328">
        <v>0.55000000000000004</v>
      </c>
      <c r="Q2328">
        <v>329</v>
      </c>
      <c r="R2328">
        <v>397</v>
      </c>
    </row>
    <row r="2329" spans="1:18" hidden="1" x14ac:dyDescent="0.2">
      <c r="A2329">
        <v>5</v>
      </c>
      <c r="B2329" t="s">
        <v>88</v>
      </c>
      <c r="E2329" t="s">
        <v>51</v>
      </c>
      <c r="F2329">
        <v>2007181</v>
      </c>
      <c r="G2329">
        <v>6</v>
      </c>
      <c r="H2329">
        <v>2</v>
      </c>
      <c r="I2329">
        <v>361</v>
      </c>
      <c r="J2329">
        <v>1958</v>
      </c>
      <c r="K2329" s="4">
        <v>44409</v>
      </c>
      <c r="L2329" t="s">
        <v>30</v>
      </c>
      <c r="M2329" t="s">
        <v>52</v>
      </c>
      <c r="N2329">
        <v>2.2999999999999998</v>
      </c>
      <c r="O2329">
        <v>2320</v>
      </c>
      <c r="P2329">
        <v>0.1</v>
      </c>
      <c r="Q2329">
        <v>339</v>
      </c>
      <c r="R2329">
        <v>335</v>
      </c>
    </row>
    <row r="2330" spans="1:18" hidden="1" x14ac:dyDescent="0.2">
      <c r="A2330">
        <v>3</v>
      </c>
      <c r="B2330" t="s">
        <v>57</v>
      </c>
      <c r="E2330" t="s">
        <v>29</v>
      </c>
      <c r="F2330">
        <v>1560707</v>
      </c>
      <c r="G2330">
        <v>5</v>
      </c>
      <c r="H2330">
        <v>1</v>
      </c>
      <c r="I2330">
        <v>775</v>
      </c>
      <c r="J2330">
        <v>1985</v>
      </c>
      <c r="K2330" s="4">
        <v>44535</v>
      </c>
      <c r="L2330" t="s">
        <v>23</v>
      </c>
      <c r="M2330" t="s">
        <v>76</v>
      </c>
      <c r="N2330">
        <v>3</v>
      </c>
      <c r="O2330">
        <v>2294</v>
      </c>
      <c r="P2330">
        <v>0.56999999999999995</v>
      </c>
      <c r="Q2330">
        <v>321</v>
      </c>
      <c r="R2330">
        <v>580</v>
      </c>
    </row>
    <row r="2331" spans="1:18" x14ac:dyDescent="0.2">
      <c r="A2331">
        <v>8</v>
      </c>
      <c r="B2331" t="s">
        <v>32</v>
      </c>
      <c r="C2331" t="str">
        <f>VLOOKUP(B2331, 'Council Area'!$A$2:$B$51, 2)</f>
        <v>Randwick City Council</v>
      </c>
      <c r="D2331" t="str">
        <f>_xlfn.XLOOKUP(B2331, 'Council Area'!$A$2:$A$51, 'Council Area'!$B$2:$B$51)</f>
        <v>Randwick City Council</v>
      </c>
      <c r="E2331" t="s">
        <v>36</v>
      </c>
      <c r="F2331">
        <v>2473004</v>
      </c>
      <c r="G2331">
        <v>3</v>
      </c>
      <c r="H2331">
        <v>2</v>
      </c>
      <c r="I2331">
        <v>203</v>
      </c>
      <c r="J2331">
        <v>1969</v>
      </c>
      <c r="K2331" s="4">
        <v>44476</v>
      </c>
      <c r="L2331" t="s">
        <v>26</v>
      </c>
      <c r="M2331" t="s">
        <v>63</v>
      </c>
      <c r="N2331">
        <v>2.83</v>
      </c>
      <c r="O2331">
        <v>2461</v>
      </c>
      <c r="P2331">
        <v>3.03</v>
      </c>
      <c r="Q2331">
        <v>216</v>
      </c>
      <c r="R2331">
        <v>547</v>
      </c>
    </row>
    <row r="2332" spans="1:18" hidden="1" x14ac:dyDescent="0.2">
      <c r="A2332">
        <v>4</v>
      </c>
      <c r="B2332" t="s">
        <v>41</v>
      </c>
      <c r="E2332" t="s">
        <v>29</v>
      </c>
      <c r="F2332">
        <v>2907146</v>
      </c>
      <c r="G2332">
        <v>1</v>
      </c>
      <c r="H2332">
        <v>3</v>
      </c>
      <c r="I2332">
        <v>688</v>
      </c>
      <c r="J2332">
        <v>1959</v>
      </c>
      <c r="K2332" s="4">
        <v>45071</v>
      </c>
      <c r="L2332" t="s">
        <v>30</v>
      </c>
      <c r="M2332" t="s">
        <v>63</v>
      </c>
      <c r="N2332">
        <v>1.8</v>
      </c>
      <c r="O2332">
        <v>2085</v>
      </c>
      <c r="P2332">
        <v>1.55</v>
      </c>
      <c r="Q2332">
        <v>50</v>
      </c>
      <c r="R2332">
        <v>443</v>
      </c>
    </row>
    <row r="2333" spans="1:18" hidden="1" x14ac:dyDescent="0.2">
      <c r="A2333">
        <v>1</v>
      </c>
      <c r="B2333" t="s">
        <v>39</v>
      </c>
      <c r="E2333" t="s">
        <v>36</v>
      </c>
      <c r="F2333">
        <v>2287737</v>
      </c>
      <c r="G2333">
        <v>1</v>
      </c>
      <c r="H2333">
        <v>3</v>
      </c>
      <c r="I2333">
        <v>445</v>
      </c>
      <c r="J2333">
        <v>1974</v>
      </c>
      <c r="K2333" s="4">
        <v>44785</v>
      </c>
      <c r="L2333" t="s">
        <v>20</v>
      </c>
      <c r="M2333" t="s">
        <v>42</v>
      </c>
      <c r="N2333">
        <v>1.54</v>
      </c>
      <c r="O2333">
        <v>1795</v>
      </c>
      <c r="P2333">
        <v>1.98</v>
      </c>
      <c r="Q2333">
        <v>89</v>
      </c>
      <c r="R2333">
        <v>638</v>
      </c>
    </row>
    <row r="2334" spans="1:18" x14ac:dyDescent="0.2">
      <c r="A2334">
        <v>8</v>
      </c>
      <c r="B2334" t="s">
        <v>25</v>
      </c>
      <c r="C2334" t="str">
        <f>VLOOKUP(B2334, 'Council Area'!$A$2:$B$51, 2)</f>
        <v>Inner West Council</v>
      </c>
      <c r="D2334" t="str">
        <f>_xlfn.XLOOKUP(B2334, 'Council Area'!$A$2:$A$51, 'Council Area'!$B$2:$B$51)</f>
        <v>Inner West Council</v>
      </c>
      <c r="E2334" t="s">
        <v>19</v>
      </c>
      <c r="F2334">
        <v>436359</v>
      </c>
      <c r="G2334">
        <v>1</v>
      </c>
      <c r="H2334">
        <v>3</v>
      </c>
      <c r="I2334">
        <v>655</v>
      </c>
      <c r="J2334">
        <v>2007</v>
      </c>
      <c r="K2334" s="4">
        <v>45110</v>
      </c>
      <c r="L2334" t="s">
        <v>23</v>
      </c>
      <c r="M2334" t="s">
        <v>58</v>
      </c>
      <c r="N2334">
        <v>1.83</v>
      </c>
      <c r="O2334">
        <v>2233</v>
      </c>
      <c r="P2334">
        <v>2.27</v>
      </c>
      <c r="Q2334">
        <v>65</v>
      </c>
      <c r="R2334">
        <v>393</v>
      </c>
    </row>
    <row r="2335" spans="1:18" hidden="1" x14ac:dyDescent="0.2">
      <c r="A2335">
        <v>4</v>
      </c>
      <c r="B2335" t="s">
        <v>93</v>
      </c>
      <c r="E2335" t="s">
        <v>19</v>
      </c>
      <c r="F2335">
        <v>842964</v>
      </c>
      <c r="G2335">
        <v>3</v>
      </c>
      <c r="H2335">
        <v>1</v>
      </c>
      <c r="I2335">
        <v>593</v>
      </c>
      <c r="J2335">
        <v>1962</v>
      </c>
      <c r="K2335" s="4">
        <v>44813</v>
      </c>
      <c r="L2335" t="s">
        <v>30</v>
      </c>
      <c r="M2335" t="s">
        <v>78</v>
      </c>
      <c r="N2335">
        <v>2.0699999999999998</v>
      </c>
      <c r="O2335">
        <v>1466</v>
      </c>
      <c r="P2335">
        <v>0.95</v>
      </c>
      <c r="Q2335">
        <v>193</v>
      </c>
      <c r="R2335">
        <v>507</v>
      </c>
    </row>
    <row r="2336" spans="1:18" hidden="1" x14ac:dyDescent="0.2">
      <c r="A2336">
        <v>9</v>
      </c>
      <c r="B2336" t="s">
        <v>80</v>
      </c>
      <c r="E2336" t="s">
        <v>36</v>
      </c>
      <c r="F2336">
        <v>536688</v>
      </c>
      <c r="G2336">
        <v>4</v>
      </c>
      <c r="H2336">
        <v>1</v>
      </c>
      <c r="I2336">
        <v>700</v>
      </c>
      <c r="J2336">
        <v>1951</v>
      </c>
      <c r="K2336" s="4">
        <v>45833</v>
      </c>
      <c r="L2336" t="s">
        <v>20</v>
      </c>
      <c r="M2336" t="s">
        <v>45</v>
      </c>
      <c r="N2336">
        <v>3.38</v>
      </c>
      <c r="O2336">
        <v>1170</v>
      </c>
      <c r="P2336">
        <v>1.57</v>
      </c>
      <c r="Q2336">
        <v>272</v>
      </c>
      <c r="R2336">
        <v>300</v>
      </c>
    </row>
    <row r="2337" spans="1:18" hidden="1" x14ac:dyDescent="0.2">
      <c r="A2337">
        <v>9</v>
      </c>
      <c r="B2337" t="s">
        <v>72</v>
      </c>
      <c r="E2337" t="s">
        <v>29</v>
      </c>
      <c r="F2337">
        <v>1706092</v>
      </c>
      <c r="G2337">
        <v>4</v>
      </c>
      <c r="H2337">
        <v>1</v>
      </c>
      <c r="I2337">
        <v>412</v>
      </c>
      <c r="J2337">
        <v>1976</v>
      </c>
      <c r="K2337" s="4">
        <v>44700</v>
      </c>
      <c r="L2337" t="s">
        <v>23</v>
      </c>
      <c r="M2337" t="s">
        <v>77</v>
      </c>
      <c r="N2337">
        <v>1.87</v>
      </c>
      <c r="O2337">
        <v>1575</v>
      </c>
      <c r="P2337">
        <v>4.13</v>
      </c>
      <c r="Q2337">
        <v>285</v>
      </c>
      <c r="R2337">
        <v>387</v>
      </c>
    </row>
    <row r="2338" spans="1:18" hidden="1" x14ac:dyDescent="0.2">
      <c r="A2338">
        <v>0</v>
      </c>
      <c r="B2338" t="s">
        <v>98</v>
      </c>
      <c r="E2338" t="s">
        <v>51</v>
      </c>
      <c r="F2338">
        <v>2840792</v>
      </c>
      <c r="G2338">
        <v>3</v>
      </c>
      <c r="H2338">
        <v>1</v>
      </c>
      <c r="I2338">
        <v>592</v>
      </c>
      <c r="J2338">
        <v>1964</v>
      </c>
      <c r="K2338" s="4">
        <v>44769</v>
      </c>
      <c r="L2338" t="s">
        <v>30</v>
      </c>
      <c r="M2338" t="s">
        <v>35</v>
      </c>
      <c r="N2338">
        <v>2.52</v>
      </c>
      <c r="O2338">
        <v>889</v>
      </c>
      <c r="P2338">
        <v>2.99</v>
      </c>
      <c r="Q2338">
        <v>264</v>
      </c>
      <c r="R2338">
        <v>472</v>
      </c>
    </row>
    <row r="2339" spans="1:18" hidden="1" x14ac:dyDescent="0.2">
      <c r="A2339">
        <v>3</v>
      </c>
      <c r="B2339" t="s">
        <v>28</v>
      </c>
      <c r="E2339" t="s">
        <v>19</v>
      </c>
      <c r="F2339">
        <v>2137543</v>
      </c>
      <c r="G2339">
        <v>2</v>
      </c>
      <c r="H2339">
        <v>3</v>
      </c>
      <c r="I2339">
        <v>905</v>
      </c>
      <c r="J2339">
        <v>1950</v>
      </c>
      <c r="K2339" s="4">
        <v>45825</v>
      </c>
      <c r="L2339" t="s">
        <v>30</v>
      </c>
      <c r="M2339" t="s">
        <v>40</v>
      </c>
      <c r="N2339">
        <v>1.93</v>
      </c>
      <c r="O2339">
        <v>1400</v>
      </c>
      <c r="P2339">
        <v>1.1100000000000001</v>
      </c>
      <c r="Q2339">
        <v>179</v>
      </c>
      <c r="R2339">
        <v>651</v>
      </c>
    </row>
    <row r="2340" spans="1:18" hidden="1" x14ac:dyDescent="0.2">
      <c r="A2340">
        <v>9</v>
      </c>
      <c r="B2340" t="s">
        <v>88</v>
      </c>
      <c r="E2340" t="s">
        <v>29</v>
      </c>
      <c r="F2340">
        <v>1956199</v>
      </c>
      <c r="G2340">
        <v>5</v>
      </c>
      <c r="H2340">
        <v>1</v>
      </c>
      <c r="I2340">
        <v>401</v>
      </c>
      <c r="J2340">
        <v>1981</v>
      </c>
      <c r="K2340" s="4">
        <v>45595</v>
      </c>
      <c r="L2340" t="s">
        <v>26</v>
      </c>
      <c r="M2340" t="s">
        <v>27</v>
      </c>
      <c r="N2340">
        <v>3.42</v>
      </c>
      <c r="O2340">
        <v>2292</v>
      </c>
      <c r="P2340">
        <v>2.15</v>
      </c>
      <c r="Q2340">
        <v>311</v>
      </c>
      <c r="R2340">
        <v>446</v>
      </c>
    </row>
    <row r="2341" spans="1:18" hidden="1" x14ac:dyDescent="0.2">
      <c r="A2341">
        <v>1</v>
      </c>
      <c r="B2341" t="s">
        <v>28</v>
      </c>
      <c r="E2341" t="s">
        <v>36</v>
      </c>
      <c r="F2341">
        <v>1372914</v>
      </c>
      <c r="G2341">
        <v>4</v>
      </c>
      <c r="H2341">
        <v>1</v>
      </c>
      <c r="I2341">
        <v>808</v>
      </c>
      <c r="J2341">
        <v>1996</v>
      </c>
      <c r="K2341" s="4">
        <v>44481</v>
      </c>
      <c r="L2341" t="s">
        <v>30</v>
      </c>
      <c r="M2341" t="s">
        <v>35</v>
      </c>
      <c r="N2341">
        <v>2.0499999999999998</v>
      </c>
      <c r="O2341">
        <v>1973</v>
      </c>
      <c r="P2341">
        <v>1.81</v>
      </c>
      <c r="Q2341">
        <v>375</v>
      </c>
      <c r="R2341">
        <v>625</v>
      </c>
    </row>
    <row r="2342" spans="1:18" hidden="1" x14ac:dyDescent="0.2">
      <c r="A2342">
        <v>7</v>
      </c>
      <c r="B2342" t="s">
        <v>84</v>
      </c>
      <c r="E2342" t="s">
        <v>51</v>
      </c>
      <c r="F2342">
        <v>2841956</v>
      </c>
      <c r="G2342">
        <v>2</v>
      </c>
      <c r="H2342">
        <v>1</v>
      </c>
      <c r="I2342">
        <v>182</v>
      </c>
      <c r="J2342">
        <v>1973</v>
      </c>
      <c r="K2342" s="4">
        <v>45844</v>
      </c>
      <c r="L2342" t="s">
        <v>26</v>
      </c>
      <c r="M2342" t="s">
        <v>70</v>
      </c>
      <c r="N2342">
        <v>3.09</v>
      </c>
      <c r="O2342">
        <v>1539</v>
      </c>
      <c r="P2342">
        <v>1.58</v>
      </c>
      <c r="Q2342">
        <v>166</v>
      </c>
      <c r="R2342">
        <v>362</v>
      </c>
    </row>
    <row r="2343" spans="1:18" hidden="1" x14ac:dyDescent="0.2">
      <c r="A2343">
        <v>3</v>
      </c>
      <c r="B2343" t="s">
        <v>75</v>
      </c>
      <c r="E2343" t="s">
        <v>29</v>
      </c>
      <c r="F2343">
        <v>1026814</v>
      </c>
      <c r="G2343">
        <v>1</v>
      </c>
      <c r="H2343">
        <v>3</v>
      </c>
      <c r="I2343">
        <v>133</v>
      </c>
      <c r="J2343">
        <v>2013</v>
      </c>
      <c r="K2343" s="4">
        <v>45592</v>
      </c>
      <c r="L2343" t="s">
        <v>23</v>
      </c>
      <c r="M2343" t="s">
        <v>54</v>
      </c>
      <c r="N2343">
        <v>3.14</v>
      </c>
      <c r="O2343">
        <v>1448</v>
      </c>
      <c r="P2343">
        <v>2.89</v>
      </c>
      <c r="Q2343">
        <v>83</v>
      </c>
      <c r="R2343">
        <v>374</v>
      </c>
    </row>
    <row r="2344" spans="1:18" hidden="1" x14ac:dyDescent="0.2">
      <c r="A2344">
        <v>6</v>
      </c>
      <c r="B2344" t="s">
        <v>101</v>
      </c>
      <c r="E2344" t="s">
        <v>19</v>
      </c>
      <c r="F2344">
        <v>1914946</v>
      </c>
      <c r="G2344">
        <v>4</v>
      </c>
      <c r="H2344">
        <v>3</v>
      </c>
      <c r="I2344">
        <v>940</v>
      </c>
      <c r="J2344">
        <v>1953</v>
      </c>
      <c r="K2344" s="4">
        <v>45867</v>
      </c>
      <c r="L2344" t="s">
        <v>23</v>
      </c>
      <c r="M2344" t="s">
        <v>85</v>
      </c>
      <c r="N2344">
        <v>1.56</v>
      </c>
      <c r="O2344">
        <v>2278</v>
      </c>
      <c r="P2344">
        <v>1.08</v>
      </c>
      <c r="Q2344">
        <v>246</v>
      </c>
      <c r="R2344">
        <v>551</v>
      </c>
    </row>
    <row r="2345" spans="1:18" hidden="1" x14ac:dyDescent="0.2">
      <c r="A2345">
        <v>7</v>
      </c>
      <c r="B2345" t="s">
        <v>49</v>
      </c>
      <c r="E2345" t="s">
        <v>29</v>
      </c>
      <c r="F2345">
        <v>2030996</v>
      </c>
      <c r="G2345">
        <v>2</v>
      </c>
      <c r="H2345">
        <v>2</v>
      </c>
      <c r="I2345">
        <v>416</v>
      </c>
      <c r="J2345">
        <v>1950</v>
      </c>
      <c r="K2345" s="4">
        <v>45227</v>
      </c>
      <c r="L2345" t="s">
        <v>23</v>
      </c>
      <c r="M2345" t="s">
        <v>70</v>
      </c>
      <c r="N2345">
        <v>1.79</v>
      </c>
      <c r="O2345">
        <v>2465</v>
      </c>
      <c r="P2345">
        <v>2.42</v>
      </c>
      <c r="Q2345">
        <v>162</v>
      </c>
      <c r="R2345">
        <v>460</v>
      </c>
    </row>
    <row r="2346" spans="1:18" hidden="1" x14ac:dyDescent="0.2">
      <c r="A2346">
        <v>3</v>
      </c>
      <c r="B2346" t="s">
        <v>93</v>
      </c>
      <c r="E2346" t="s">
        <v>19</v>
      </c>
      <c r="F2346">
        <v>1779770</v>
      </c>
      <c r="G2346">
        <v>5</v>
      </c>
      <c r="H2346">
        <v>2</v>
      </c>
      <c r="I2346">
        <v>343</v>
      </c>
      <c r="J2346">
        <v>2007</v>
      </c>
      <c r="K2346" s="4">
        <v>44180</v>
      </c>
      <c r="L2346" t="s">
        <v>26</v>
      </c>
      <c r="M2346" t="s">
        <v>85</v>
      </c>
      <c r="N2346">
        <v>3.03</v>
      </c>
      <c r="O2346">
        <v>2104</v>
      </c>
      <c r="P2346">
        <v>1.18</v>
      </c>
      <c r="Q2346">
        <v>343</v>
      </c>
      <c r="R2346">
        <v>388</v>
      </c>
    </row>
    <row r="2347" spans="1:18" hidden="1" x14ac:dyDescent="0.2">
      <c r="A2347">
        <v>3</v>
      </c>
      <c r="B2347" t="s">
        <v>28</v>
      </c>
      <c r="E2347" t="s">
        <v>51</v>
      </c>
      <c r="F2347">
        <v>920879</v>
      </c>
      <c r="G2347">
        <v>2</v>
      </c>
      <c r="H2347">
        <v>3</v>
      </c>
      <c r="I2347">
        <v>905</v>
      </c>
      <c r="J2347">
        <v>1957</v>
      </c>
      <c r="K2347" s="4">
        <v>45369</v>
      </c>
      <c r="L2347" t="s">
        <v>26</v>
      </c>
      <c r="M2347" t="s">
        <v>70</v>
      </c>
      <c r="N2347">
        <v>3.34</v>
      </c>
      <c r="O2347">
        <v>2435</v>
      </c>
      <c r="P2347">
        <v>4.59</v>
      </c>
      <c r="Q2347">
        <v>235</v>
      </c>
      <c r="R2347">
        <v>642</v>
      </c>
    </row>
    <row r="2348" spans="1:18" hidden="1" x14ac:dyDescent="0.2">
      <c r="A2348">
        <v>0</v>
      </c>
      <c r="B2348" t="s">
        <v>96</v>
      </c>
      <c r="E2348" t="s">
        <v>36</v>
      </c>
      <c r="F2348">
        <v>1780566</v>
      </c>
      <c r="G2348">
        <v>3</v>
      </c>
      <c r="H2348">
        <v>1</v>
      </c>
      <c r="I2348">
        <v>446</v>
      </c>
      <c r="J2348">
        <v>1976</v>
      </c>
      <c r="K2348" s="4">
        <v>44383</v>
      </c>
      <c r="L2348" t="s">
        <v>20</v>
      </c>
      <c r="M2348" t="s">
        <v>31</v>
      </c>
      <c r="N2348">
        <v>2.9</v>
      </c>
      <c r="O2348">
        <v>2346</v>
      </c>
      <c r="P2348">
        <v>1.01</v>
      </c>
      <c r="Q2348">
        <v>288</v>
      </c>
      <c r="R2348">
        <v>568</v>
      </c>
    </row>
    <row r="2349" spans="1:18" hidden="1" x14ac:dyDescent="0.2">
      <c r="A2349">
        <v>9</v>
      </c>
      <c r="B2349" t="s">
        <v>43</v>
      </c>
      <c r="E2349" t="s">
        <v>29</v>
      </c>
      <c r="F2349">
        <v>783819</v>
      </c>
      <c r="G2349">
        <v>4</v>
      </c>
      <c r="H2349">
        <v>2</v>
      </c>
      <c r="I2349">
        <v>521</v>
      </c>
      <c r="J2349">
        <v>2014</v>
      </c>
      <c r="K2349" s="4">
        <v>45436</v>
      </c>
      <c r="L2349" t="s">
        <v>30</v>
      </c>
      <c r="M2349" t="s">
        <v>97</v>
      </c>
      <c r="N2349">
        <v>3.08</v>
      </c>
      <c r="O2349">
        <v>2250</v>
      </c>
      <c r="P2349">
        <v>0.88</v>
      </c>
      <c r="Q2349">
        <v>355</v>
      </c>
      <c r="R2349">
        <v>524</v>
      </c>
    </row>
    <row r="2350" spans="1:18" hidden="1" x14ac:dyDescent="0.2">
      <c r="A2350">
        <v>1</v>
      </c>
      <c r="B2350" t="s">
        <v>104</v>
      </c>
      <c r="E2350" t="s">
        <v>29</v>
      </c>
      <c r="F2350">
        <v>724793</v>
      </c>
      <c r="G2350">
        <v>1</v>
      </c>
      <c r="H2350">
        <v>1</v>
      </c>
      <c r="I2350">
        <v>540</v>
      </c>
      <c r="J2350">
        <v>1983</v>
      </c>
      <c r="K2350" s="4">
        <v>45189</v>
      </c>
      <c r="L2350" t="s">
        <v>23</v>
      </c>
      <c r="M2350" t="s">
        <v>97</v>
      </c>
      <c r="N2350">
        <v>1.52</v>
      </c>
      <c r="O2350">
        <v>1134</v>
      </c>
      <c r="P2350">
        <v>3.7</v>
      </c>
      <c r="Q2350">
        <v>149</v>
      </c>
      <c r="R2350">
        <v>638</v>
      </c>
    </row>
    <row r="2351" spans="1:18" x14ac:dyDescent="0.2">
      <c r="A2351">
        <v>8</v>
      </c>
      <c r="B2351" t="s">
        <v>101</v>
      </c>
      <c r="C2351" t="str">
        <f>VLOOKUP(B2351, 'Council Area'!$A$2:$B$51, 2)</f>
        <v>City of Sydney</v>
      </c>
      <c r="D2351" t="str">
        <f>_xlfn.XLOOKUP(B2351, 'Council Area'!$A$2:$A$51, 'Council Area'!$B$2:$B$51)</f>
        <v>City of Sydney</v>
      </c>
      <c r="E2351" t="s">
        <v>19</v>
      </c>
      <c r="F2351">
        <v>2939794</v>
      </c>
      <c r="G2351">
        <v>2</v>
      </c>
      <c r="H2351">
        <v>1</v>
      </c>
      <c r="I2351">
        <v>510</v>
      </c>
      <c r="J2351">
        <v>1967</v>
      </c>
      <c r="K2351" s="4">
        <v>44751</v>
      </c>
      <c r="L2351" t="s">
        <v>23</v>
      </c>
      <c r="M2351" t="s">
        <v>70</v>
      </c>
      <c r="N2351">
        <v>2.11</v>
      </c>
      <c r="O2351">
        <v>1717</v>
      </c>
      <c r="P2351">
        <v>4.1100000000000003</v>
      </c>
      <c r="Q2351">
        <v>210</v>
      </c>
      <c r="R2351">
        <v>558</v>
      </c>
    </row>
    <row r="2352" spans="1:18" hidden="1" x14ac:dyDescent="0.2">
      <c r="A2352">
        <v>7</v>
      </c>
      <c r="B2352" t="s">
        <v>39</v>
      </c>
      <c r="E2352" t="s">
        <v>51</v>
      </c>
      <c r="F2352">
        <v>2377253</v>
      </c>
      <c r="G2352">
        <v>4</v>
      </c>
      <c r="H2352">
        <v>1</v>
      </c>
      <c r="I2352">
        <v>487</v>
      </c>
      <c r="J2352">
        <v>2015</v>
      </c>
      <c r="K2352" s="4">
        <v>45319</v>
      </c>
      <c r="L2352" t="s">
        <v>26</v>
      </c>
      <c r="M2352" t="s">
        <v>70</v>
      </c>
      <c r="N2352">
        <v>2.4500000000000002</v>
      </c>
      <c r="O2352">
        <v>1825</v>
      </c>
      <c r="P2352">
        <v>4.1500000000000004</v>
      </c>
      <c r="Q2352">
        <v>360</v>
      </c>
      <c r="R2352">
        <v>586</v>
      </c>
    </row>
    <row r="2353" spans="1:18" hidden="1" x14ac:dyDescent="0.2">
      <c r="A2353">
        <v>6</v>
      </c>
      <c r="B2353" t="s">
        <v>65</v>
      </c>
      <c r="E2353" t="s">
        <v>51</v>
      </c>
      <c r="F2353">
        <v>905298</v>
      </c>
      <c r="G2353">
        <v>5</v>
      </c>
      <c r="H2353">
        <v>1</v>
      </c>
      <c r="I2353">
        <v>826</v>
      </c>
      <c r="J2353">
        <v>1986</v>
      </c>
      <c r="K2353" s="4">
        <v>44102</v>
      </c>
      <c r="L2353" t="s">
        <v>30</v>
      </c>
      <c r="M2353" t="s">
        <v>58</v>
      </c>
      <c r="N2353">
        <v>2.44</v>
      </c>
      <c r="O2353">
        <v>1810</v>
      </c>
      <c r="P2353">
        <v>4.25</v>
      </c>
      <c r="Q2353">
        <v>374</v>
      </c>
      <c r="R2353">
        <v>537</v>
      </c>
    </row>
    <row r="2354" spans="1:18" hidden="1" x14ac:dyDescent="0.2">
      <c r="A2354">
        <v>0</v>
      </c>
      <c r="B2354" t="s">
        <v>28</v>
      </c>
      <c r="E2354" t="s">
        <v>29</v>
      </c>
      <c r="F2354">
        <v>2684950</v>
      </c>
      <c r="G2354">
        <v>2</v>
      </c>
      <c r="H2354">
        <v>1</v>
      </c>
      <c r="I2354">
        <v>719</v>
      </c>
      <c r="J2354">
        <v>1957</v>
      </c>
      <c r="K2354" s="4">
        <v>45837</v>
      </c>
      <c r="L2354" t="s">
        <v>20</v>
      </c>
      <c r="M2354" t="s">
        <v>69</v>
      </c>
      <c r="N2354">
        <v>2.1</v>
      </c>
      <c r="O2354">
        <v>2362</v>
      </c>
      <c r="P2354">
        <v>2.96</v>
      </c>
      <c r="Q2354">
        <v>74</v>
      </c>
      <c r="R2354">
        <v>317</v>
      </c>
    </row>
    <row r="2355" spans="1:18" hidden="1" x14ac:dyDescent="0.2">
      <c r="A2355">
        <v>4</v>
      </c>
      <c r="B2355" t="s">
        <v>104</v>
      </c>
      <c r="E2355" t="s">
        <v>51</v>
      </c>
      <c r="F2355">
        <v>2212877</v>
      </c>
      <c r="G2355">
        <v>4</v>
      </c>
      <c r="H2355">
        <v>2</v>
      </c>
      <c r="I2355">
        <v>909</v>
      </c>
      <c r="J2355">
        <v>2013</v>
      </c>
      <c r="K2355" s="4">
        <v>44984</v>
      </c>
      <c r="L2355" t="s">
        <v>20</v>
      </c>
      <c r="M2355" t="s">
        <v>31</v>
      </c>
      <c r="N2355">
        <v>1.89</v>
      </c>
      <c r="O2355">
        <v>1413</v>
      </c>
      <c r="P2355">
        <v>0.56999999999999995</v>
      </c>
      <c r="Q2355">
        <v>384</v>
      </c>
      <c r="R2355">
        <v>503</v>
      </c>
    </row>
    <row r="2356" spans="1:18" hidden="1" x14ac:dyDescent="0.2">
      <c r="A2356">
        <v>6</v>
      </c>
      <c r="B2356" t="s">
        <v>72</v>
      </c>
      <c r="E2356" t="s">
        <v>36</v>
      </c>
      <c r="F2356">
        <v>1341822</v>
      </c>
      <c r="G2356">
        <v>1</v>
      </c>
      <c r="H2356">
        <v>3</v>
      </c>
      <c r="I2356">
        <v>866</v>
      </c>
      <c r="J2356">
        <v>1952</v>
      </c>
      <c r="K2356" s="4">
        <v>45581</v>
      </c>
      <c r="L2356" t="s">
        <v>20</v>
      </c>
      <c r="M2356" t="s">
        <v>54</v>
      </c>
      <c r="N2356">
        <v>2.73</v>
      </c>
      <c r="O2356">
        <v>2291</v>
      </c>
      <c r="P2356">
        <v>1.43</v>
      </c>
      <c r="Q2356">
        <v>86</v>
      </c>
      <c r="R2356">
        <v>418</v>
      </c>
    </row>
    <row r="2357" spans="1:18" hidden="1" x14ac:dyDescent="0.2">
      <c r="A2357">
        <v>9</v>
      </c>
      <c r="B2357" t="s">
        <v>32</v>
      </c>
      <c r="E2357" t="s">
        <v>19</v>
      </c>
      <c r="F2357">
        <v>936158</v>
      </c>
      <c r="G2357">
        <v>2</v>
      </c>
      <c r="H2357">
        <v>3</v>
      </c>
      <c r="I2357">
        <v>748</v>
      </c>
      <c r="J2357">
        <v>1958</v>
      </c>
      <c r="K2357" s="4">
        <v>45738</v>
      </c>
      <c r="L2357" t="s">
        <v>20</v>
      </c>
      <c r="M2357" t="s">
        <v>45</v>
      </c>
      <c r="N2357">
        <v>2.2599999999999998</v>
      </c>
      <c r="O2357">
        <v>1051</v>
      </c>
      <c r="P2357">
        <v>0.5</v>
      </c>
      <c r="Q2357">
        <v>93</v>
      </c>
      <c r="R2357">
        <v>578</v>
      </c>
    </row>
    <row r="2358" spans="1:18" hidden="1" x14ac:dyDescent="0.2">
      <c r="A2358">
        <v>5</v>
      </c>
      <c r="B2358" t="s">
        <v>95</v>
      </c>
      <c r="E2358" t="s">
        <v>51</v>
      </c>
      <c r="F2358">
        <v>2582439</v>
      </c>
      <c r="G2358">
        <v>3</v>
      </c>
      <c r="H2358">
        <v>1</v>
      </c>
      <c r="I2358">
        <v>908</v>
      </c>
      <c r="J2358">
        <v>1954</v>
      </c>
      <c r="K2358" s="4">
        <v>45789</v>
      </c>
      <c r="L2358" t="s">
        <v>30</v>
      </c>
      <c r="M2358" t="s">
        <v>82</v>
      </c>
      <c r="N2358">
        <v>2.36</v>
      </c>
      <c r="O2358">
        <v>1869</v>
      </c>
      <c r="P2358">
        <v>2.41</v>
      </c>
      <c r="Q2358">
        <v>85</v>
      </c>
      <c r="R2358">
        <v>369</v>
      </c>
    </row>
    <row r="2359" spans="1:18" hidden="1" x14ac:dyDescent="0.2">
      <c r="A2359">
        <v>5</v>
      </c>
      <c r="B2359" t="s">
        <v>50</v>
      </c>
      <c r="E2359" t="s">
        <v>29</v>
      </c>
      <c r="F2359">
        <v>1934802</v>
      </c>
      <c r="G2359">
        <v>4</v>
      </c>
      <c r="H2359">
        <v>1</v>
      </c>
      <c r="I2359">
        <v>796</v>
      </c>
      <c r="J2359">
        <v>1958</v>
      </c>
      <c r="K2359" s="4">
        <v>45537</v>
      </c>
      <c r="L2359" t="s">
        <v>23</v>
      </c>
      <c r="M2359" t="s">
        <v>63</v>
      </c>
      <c r="N2359">
        <v>2.2400000000000002</v>
      </c>
      <c r="O2359">
        <v>2016</v>
      </c>
      <c r="P2359">
        <v>3.89</v>
      </c>
      <c r="Q2359">
        <v>265</v>
      </c>
      <c r="R2359">
        <v>406</v>
      </c>
    </row>
    <row r="2360" spans="1:18" hidden="1" x14ac:dyDescent="0.2">
      <c r="A2360">
        <v>4</v>
      </c>
      <c r="B2360" t="s">
        <v>105</v>
      </c>
      <c r="E2360" t="s">
        <v>36</v>
      </c>
      <c r="F2360">
        <v>2049160</v>
      </c>
      <c r="G2360">
        <v>6</v>
      </c>
      <c r="H2360">
        <v>2</v>
      </c>
      <c r="I2360">
        <v>655</v>
      </c>
      <c r="J2360">
        <v>1976</v>
      </c>
      <c r="K2360" s="4">
        <v>44160</v>
      </c>
      <c r="L2360" t="s">
        <v>20</v>
      </c>
      <c r="M2360" t="s">
        <v>33</v>
      </c>
      <c r="N2360">
        <v>1.97</v>
      </c>
      <c r="O2360">
        <v>1246</v>
      </c>
      <c r="P2360">
        <v>1.6</v>
      </c>
      <c r="Q2360">
        <v>386</v>
      </c>
      <c r="R2360">
        <v>532</v>
      </c>
    </row>
    <row r="2361" spans="1:18" hidden="1" x14ac:dyDescent="0.2">
      <c r="A2361">
        <v>3</v>
      </c>
      <c r="B2361" t="s">
        <v>53</v>
      </c>
      <c r="E2361" t="s">
        <v>51</v>
      </c>
      <c r="F2361">
        <v>1430677</v>
      </c>
      <c r="G2361">
        <v>2</v>
      </c>
      <c r="H2361">
        <v>2</v>
      </c>
      <c r="I2361">
        <v>143</v>
      </c>
      <c r="J2361">
        <v>1952</v>
      </c>
      <c r="K2361" s="4">
        <v>44387</v>
      </c>
      <c r="L2361" t="s">
        <v>20</v>
      </c>
      <c r="M2361" t="s">
        <v>33</v>
      </c>
      <c r="N2361">
        <v>2.61</v>
      </c>
      <c r="O2361">
        <v>830</v>
      </c>
      <c r="P2361">
        <v>0.96</v>
      </c>
      <c r="Q2361">
        <v>53</v>
      </c>
      <c r="R2361">
        <v>678</v>
      </c>
    </row>
    <row r="2362" spans="1:18" hidden="1" x14ac:dyDescent="0.2">
      <c r="A2362">
        <v>0</v>
      </c>
      <c r="B2362" t="s">
        <v>46</v>
      </c>
      <c r="E2362" t="s">
        <v>29</v>
      </c>
      <c r="F2362">
        <v>2745172</v>
      </c>
      <c r="G2362">
        <v>2</v>
      </c>
      <c r="H2362">
        <v>2</v>
      </c>
      <c r="I2362">
        <v>811</v>
      </c>
      <c r="J2362">
        <v>2019</v>
      </c>
      <c r="K2362" s="4">
        <v>44186</v>
      </c>
      <c r="L2362" t="s">
        <v>20</v>
      </c>
      <c r="M2362" t="s">
        <v>85</v>
      </c>
      <c r="N2362">
        <v>3</v>
      </c>
      <c r="O2362">
        <v>1101</v>
      </c>
      <c r="P2362">
        <v>0.63</v>
      </c>
      <c r="Q2362">
        <v>105</v>
      </c>
      <c r="R2362">
        <v>353</v>
      </c>
    </row>
    <row r="2363" spans="1:18" hidden="1" x14ac:dyDescent="0.2">
      <c r="A2363">
        <v>9</v>
      </c>
      <c r="B2363" t="s">
        <v>22</v>
      </c>
      <c r="E2363" t="s">
        <v>36</v>
      </c>
      <c r="F2363">
        <v>2883745</v>
      </c>
      <c r="G2363">
        <v>5</v>
      </c>
      <c r="H2363">
        <v>2</v>
      </c>
      <c r="I2363">
        <v>592</v>
      </c>
      <c r="J2363">
        <v>1988</v>
      </c>
      <c r="K2363" s="4">
        <v>44730</v>
      </c>
      <c r="L2363" t="s">
        <v>23</v>
      </c>
      <c r="M2363" t="s">
        <v>24</v>
      </c>
      <c r="N2363">
        <v>1.93</v>
      </c>
      <c r="O2363">
        <v>2493</v>
      </c>
      <c r="P2363">
        <v>3.08</v>
      </c>
      <c r="Q2363">
        <v>374</v>
      </c>
      <c r="R2363">
        <v>416</v>
      </c>
    </row>
    <row r="2364" spans="1:18" hidden="1" x14ac:dyDescent="0.2">
      <c r="A2364">
        <v>0</v>
      </c>
      <c r="B2364" t="s">
        <v>75</v>
      </c>
      <c r="E2364" t="s">
        <v>19</v>
      </c>
      <c r="F2364">
        <v>2792061</v>
      </c>
      <c r="G2364">
        <v>4</v>
      </c>
      <c r="H2364">
        <v>1</v>
      </c>
      <c r="I2364">
        <v>119</v>
      </c>
      <c r="J2364">
        <v>1965</v>
      </c>
      <c r="K2364" s="4">
        <v>44846</v>
      </c>
      <c r="L2364" t="s">
        <v>30</v>
      </c>
      <c r="M2364" t="s">
        <v>21</v>
      </c>
      <c r="N2364">
        <v>3.2</v>
      </c>
      <c r="O2364">
        <v>935</v>
      </c>
      <c r="P2364">
        <v>2.1</v>
      </c>
      <c r="Q2364">
        <v>283</v>
      </c>
      <c r="R2364">
        <v>607</v>
      </c>
    </row>
    <row r="2365" spans="1:18" hidden="1" x14ac:dyDescent="0.2">
      <c r="A2365">
        <v>1</v>
      </c>
      <c r="B2365" t="s">
        <v>53</v>
      </c>
      <c r="E2365" t="s">
        <v>29</v>
      </c>
      <c r="F2365">
        <v>2266316</v>
      </c>
      <c r="G2365">
        <v>6</v>
      </c>
      <c r="H2365">
        <v>1</v>
      </c>
      <c r="I2365">
        <v>611</v>
      </c>
      <c r="J2365">
        <v>1961</v>
      </c>
      <c r="K2365" s="4">
        <v>44223</v>
      </c>
      <c r="L2365" t="s">
        <v>23</v>
      </c>
      <c r="M2365" t="s">
        <v>27</v>
      </c>
      <c r="N2365">
        <v>3.05</v>
      </c>
      <c r="O2365">
        <v>1521</v>
      </c>
      <c r="P2365">
        <v>4.92</v>
      </c>
      <c r="Q2365">
        <v>331</v>
      </c>
      <c r="R2365">
        <v>371</v>
      </c>
    </row>
    <row r="2366" spans="1:18" hidden="1" x14ac:dyDescent="0.2">
      <c r="A2366">
        <v>9</v>
      </c>
      <c r="B2366" t="s">
        <v>83</v>
      </c>
      <c r="E2366" t="s">
        <v>29</v>
      </c>
      <c r="F2366">
        <v>1290348</v>
      </c>
      <c r="G2366">
        <v>2</v>
      </c>
      <c r="H2366">
        <v>1</v>
      </c>
      <c r="I2366">
        <v>221</v>
      </c>
      <c r="J2366">
        <v>2011</v>
      </c>
      <c r="K2366" s="4">
        <v>44214</v>
      </c>
      <c r="L2366" t="s">
        <v>26</v>
      </c>
      <c r="M2366" t="s">
        <v>58</v>
      </c>
      <c r="N2366">
        <v>2.84</v>
      </c>
      <c r="O2366">
        <v>1318</v>
      </c>
      <c r="P2366">
        <v>4.5</v>
      </c>
      <c r="Q2366">
        <v>107</v>
      </c>
      <c r="R2366">
        <v>599</v>
      </c>
    </row>
    <row r="2367" spans="1:18" hidden="1" x14ac:dyDescent="0.2">
      <c r="A2367">
        <v>4</v>
      </c>
      <c r="B2367" t="s">
        <v>57</v>
      </c>
      <c r="E2367" t="s">
        <v>36</v>
      </c>
      <c r="F2367">
        <v>1377757</v>
      </c>
      <c r="G2367">
        <v>5</v>
      </c>
      <c r="H2367">
        <v>3</v>
      </c>
      <c r="I2367">
        <v>769</v>
      </c>
      <c r="J2367">
        <v>1971</v>
      </c>
      <c r="K2367" s="4">
        <v>44496</v>
      </c>
      <c r="L2367" t="s">
        <v>30</v>
      </c>
      <c r="M2367" t="s">
        <v>60</v>
      </c>
      <c r="N2367">
        <v>3.09</v>
      </c>
      <c r="O2367">
        <v>1923</v>
      </c>
      <c r="P2367">
        <v>2.08</v>
      </c>
      <c r="Q2367">
        <v>354</v>
      </c>
      <c r="R2367">
        <v>483</v>
      </c>
    </row>
    <row r="2368" spans="1:18" hidden="1" x14ac:dyDescent="0.2">
      <c r="A2368">
        <v>4</v>
      </c>
      <c r="B2368" t="s">
        <v>98</v>
      </c>
      <c r="E2368" t="s">
        <v>51</v>
      </c>
      <c r="F2368">
        <v>1819638</v>
      </c>
      <c r="G2368">
        <v>0</v>
      </c>
      <c r="H2368">
        <v>3</v>
      </c>
      <c r="I2368">
        <v>116</v>
      </c>
      <c r="J2368">
        <v>1950</v>
      </c>
      <c r="K2368" s="4">
        <v>45057</v>
      </c>
      <c r="L2368" t="s">
        <v>26</v>
      </c>
      <c r="M2368" t="s">
        <v>74</v>
      </c>
      <c r="N2368">
        <v>3.49</v>
      </c>
      <c r="O2368">
        <v>1732</v>
      </c>
      <c r="P2368">
        <v>2.17</v>
      </c>
      <c r="Q2368">
        <v>48</v>
      </c>
      <c r="R2368">
        <v>438</v>
      </c>
    </row>
    <row r="2369" spans="1:18" hidden="1" x14ac:dyDescent="0.2">
      <c r="A2369">
        <v>0</v>
      </c>
      <c r="B2369" t="s">
        <v>96</v>
      </c>
      <c r="E2369" t="s">
        <v>36</v>
      </c>
      <c r="F2369">
        <v>848905</v>
      </c>
      <c r="G2369">
        <v>4</v>
      </c>
      <c r="H2369">
        <v>3</v>
      </c>
      <c r="I2369">
        <v>635</v>
      </c>
      <c r="J2369">
        <v>2007</v>
      </c>
      <c r="K2369" s="4">
        <v>44122</v>
      </c>
      <c r="L2369" t="s">
        <v>30</v>
      </c>
      <c r="M2369" t="s">
        <v>66</v>
      </c>
      <c r="N2369">
        <v>2.9</v>
      </c>
      <c r="O2369">
        <v>1761</v>
      </c>
      <c r="P2369">
        <v>2.96</v>
      </c>
      <c r="Q2369">
        <v>360</v>
      </c>
      <c r="R2369">
        <v>314</v>
      </c>
    </row>
    <row r="2370" spans="1:18" hidden="1" x14ac:dyDescent="0.2">
      <c r="A2370">
        <v>7</v>
      </c>
      <c r="B2370" t="s">
        <v>64</v>
      </c>
      <c r="E2370" t="s">
        <v>36</v>
      </c>
      <c r="F2370">
        <v>2669140</v>
      </c>
      <c r="G2370">
        <v>3</v>
      </c>
      <c r="H2370">
        <v>3</v>
      </c>
      <c r="I2370">
        <v>702</v>
      </c>
      <c r="J2370">
        <v>2012</v>
      </c>
      <c r="K2370" s="4">
        <v>45301</v>
      </c>
      <c r="L2370" t="s">
        <v>26</v>
      </c>
      <c r="M2370" t="s">
        <v>40</v>
      </c>
      <c r="N2370">
        <v>1.9</v>
      </c>
      <c r="O2370">
        <v>972</v>
      </c>
      <c r="P2370">
        <v>2.69</v>
      </c>
      <c r="Q2370">
        <v>244</v>
      </c>
      <c r="R2370">
        <v>484</v>
      </c>
    </row>
    <row r="2371" spans="1:18" hidden="1" x14ac:dyDescent="0.2">
      <c r="A2371">
        <v>7</v>
      </c>
      <c r="B2371" t="s">
        <v>104</v>
      </c>
      <c r="E2371" t="s">
        <v>36</v>
      </c>
      <c r="F2371">
        <v>1911649</v>
      </c>
      <c r="G2371">
        <v>5</v>
      </c>
      <c r="H2371">
        <v>2</v>
      </c>
      <c r="I2371">
        <v>438</v>
      </c>
      <c r="J2371">
        <v>1976</v>
      </c>
      <c r="K2371" s="4">
        <v>45028</v>
      </c>
      <c r="L2371" t="s">
        <v>26</v>
      </c>
      <c r="M2371" t="s">
        <v>77</v>
      </c>
      <c r="N2371">
        <v>2.68</v>
      </c>
      <c r="O2371">
        <v>2368</v>
      </c>
      <c r="P2371">
        <v>3.51</v>
      </c>
      <c r="Q2371">
        <v>358</v>
      </c>
      <c r="R2371">
        <v>597</v>
      </c>
    </row>
    <row r="2372" spans="1:18" hidden="1" x14ac:dyDescent="0.2">
      <c r="A2372">
        <v>3</v>
      </c>
      <c r="B2372" t="s">
        <v>73</v>
      </c>
      <c r="E2372" t="s">
        <v>51</v>
      </c>
      <c r="F2372">
        <v>1618501</v>
      </c>
      <c r="G2372">
        <v>2</v>
      </c>
      <c r="H2372">
        <v>1</v>
      </c>
      <c r="I2372">
        <v>852</v>
      </c>
      <c r="J2372">
        <v>1952</v>
      </c>
      <c r="K2372" s="4">
        <v>45183</v>
      </c>
      <c r="L2372" t="s">
        <v>23</v>
      </c>
      <c r="M2372" t="s">
        <v>63</v>
      </c>
      <c r="N2372">
        <v>2.99</v>
      </c>
      <c r="O2372">
        <v>826</v>
      </c>
      <c r="P2372">
        <v>1.48</v>
      </c>
      <c r="Q2372">
        <v>91</v>
      </c>
      <c r="R2372">
        <v>361</v>
      </c>
    </row>
    <row r="2373" spans="1:18" hidden="1" x14ac:dyDescent="0.2">
      <c r="A2373">
        <v>9</v>
      </c>
      <c r="B2373" t="s">
        <v>62</v>
      </c>
      <c r="E2373" t="s">
        <v>19</v>
      </c>
      <c r="F2373">
        <v>960679</v>
      </c>
      <c r="G2373">
        <v>3</v>
      </c>
      <c r="H2373">
        <v>2</v>
      </c>
      <c r="I2373">
        <v>895</v>
      </c>
      <c r="J2373">
        <v>2018</v>
      </c>
      <c r="K2373" s="4">
        <v>44379</v>
      </c>
      <c r="L2373" t="s">
        <v>20</v>
      </c>
      <c r="M2373" t="s">
        <v>42</v>
      </c>
      <c r="N2373">
        <v>1.98</v>
      </c>
      <c r="O2373">
        <v>1581</v>
      </c>
      <c r="P2373">
        <v>0.13</v>
      </c>
      <c r="Q2373">
        <v>298</v>
      </c>
      <c r="R2373">
        <v>429</v>
      </c>
    </row>
    <row r="2374" spans="1:18" hidden="1" x14ac:dyDescent="0.2">
      <c r="A2374">
        <v>1</v>
      </c>
      <c r="B2374" t="s">
        <v>34</v>
      </c>
      <c r="E2374" t="s">
        <v>36</v>
      </c>
      <c r="F2374">
        <v>2913044</v>
      </c>
      <c r="G2374">
        <v>5</v>
      </c>
      <c r="H2374">
        <v>1</v>
      </c>
      <c r="I2374">
        <v>529</v>
      </c>
      <c r="J2374">
        <v>2012</v>
      </c>
      <c r="K2374" s="4">
        <v>44127</v>
      </c>
      <c r="L2374" t="s">
        <v>30</v>
      </c>
      <c r="M2374" t="s">
        <v>69</v>
      </c>
      <c r="N2374">
        <v>2.02</v>
      </c>
      <c r="O2374">
        <v>1438</v>
      </c>
      <c r="P2374">
        <v>4.33</v>
      </c>
      <c r="Q2374">
        <v>266</v>
      </c>
      <c r="R2374">
        <v>393</v>
      </c>
    </row>
    <row r="2375" spans="1:18" x14ac:dyDescent="0.2">
      <c r="A2375">
        <v>8</v>
      </c>
      <c r="B2375" t="s">
        <v>67</v>
      </c>
      <c r="C2375" t="str">
        <f>VLOOKUP(B2375, 'Council Area'!$A$2:$B$51, 2)</f>
        <v>Ku-ring-gai Council</v>
      </c>
      <c r="D2375" t="str">
        <f>_xlfn.XLOOKUP(B2375, 'Council Area'!$A$2:$A$51, 'Council Area'!$B$2:$B$51)</f>
        <v>Ku-ring-gai Council</v>
      </c>
      <c r="E2375" t="s">
        <v>19</v>
      </c>
      <c r="F2375">
        <v>2873122</v>
      </c>
      <c r="G2375">
        <v>2</v>
      </c>
      <c r="H2375">
        <v>2</v>
      </c>
      <c r="I2375">
        <v>612</v>
      </c>
      <c r="J2375">
        <v>1954</v>
      </c>
      <c r="K2375" s="4">
        <v>44523</v>
      </c>
      <c r="L2375" t="s">
        <v>23</v>
      </c>
      <c r="M2375" t="s">
        <v>68</v>
      </c>
      <c r="N2375">
        <v>3.13</v>
      </c>
      <c r="O2375">
        <v>1985</v>
      </c>
      <c r="P2375">
        <v>3.33</v>
      </c>
      <c r="Q2375">
        <v>176</v>
      </c>
      <c r="R2375">
        <v>313</v>
      </c>
    </row>
    <row r="2376" spans="1:18" hidden="1" x14ac:dyDescent="0.2">
      <c r="A2376">
        <v>1</v>
      </c>
      <c r="B2376" t="s">
        <v>101</v>
      </c>
      <c r="E2376" t="s">
        <v>19</v>
      </c>
      <c r="F2376">
        <v>688843</v>
      </c>
      <c r="G2376">
        <v>4</v>
      </c>
      <c r="H2376">
        <v>3</v>
      </c>
      <c r="I2376">
        <v>543</v>
      </c>
      <c r="J2376">
        <v>1985</v>
      </c>
      <c r="K2376" s="4">
        <v>44541</v>
      </c>
      <c r="L2376" t="s">
        <v>26</v>
      </c>
      <c r="M2376" t="s">
        <v>56</v>
      </c>
      <c r="N2376">
        <v>3.08</v>
      </c>
      <c r="O2376">
        <v>1908</v>
      </c>
      <c r="P2376">
        <v>4.3099999999999996</v>
      </c>
      <c r="Q2376">
        <v>188</v>
      </c>
      <c r="R2376">
        <v>306</v>
      </c>
    </row>
    <row r="2377" spans="1:18" hidden="1" x14ac:dyDescent="0.2">
      <c r="A2377">
        <v>4</v>
      </c>
      <c r="B2377" t="s">
        <v>32</v>
      </c>
      <c r="E2377" t="s">
        <v>29</v>
      </c>
      <c r="F2377">
        <v>1442359</v>
      </c>
      <c r="G2377">
        <v>3</v>
      </c>
      <c r="H2377">
        <v>1</v>
      </c>
      <c r="I2377">
        <v>444</v>
      </c>
      <c r="J2377">
        <v>1973</v>
      </c>
      <c r="K2377" s="4">
        <v>44682</v>
      </c>
      <c r="L2377" t="s">
        <v>20</v>
      </c>
      <c r="M2377" t="s">
        <v>33</v>
      </c>
      <c r="N2377">
        <v>3.43</v>
      </c>
      <c r="O2377">
        <v>1705</v>
      </c>
      <c r="P2377">
        <v>3.18</v>
      </c>
      <c r="Q2377">
        <v>155</v>
      </c>
      <c r="R2377">
        <v>634</v>
      </c>
    </row>
    <row r="2378" spans="1:18" x14ac:dyDescent="0.2">
      <c r="A2378">
        <v>8</v>
      </c>
      <c r="B2378" t="s">
        <v>22</v>
      </c>
      <c r="C2378" t="str">
        <f>VLOOKUP(B2378, 'Council Area'!$A$2:$B$51, 2)</f>
        <v>Sutherland Shire Council</v>
      </c>
      <c r="D2378" t="str">
        <f>_xlfn.XLOOKUP(B2378, 'Council Area'!$A$2:$A$51, 'Council Area'!$B$2:$B$51)</f>
        <v>Sutherland Shire Council</v>
      </c>
      <c r="E2378" t="s">
        <v>29</v>
      </c>
      <c r="F2378">
        <v>1195927</v>
      </c>
      <c r="G2378">
        <v>0</v>
      </c>
      <c r="H2378">
        <v>3</v>
      </c>
      <c r="I2378">
        <v>274</v>
      </c>
      <c r="J2378">
        <v>1988</v>
      </c>
      <c r="K2378" s="4">
        <v>45743</v>
      </c>
      <c r="L2378" t="s">
        <v>20</v>
      </c>
      <c r="M2378" t="s">
        <v>74</v>
      </c>
      <c r="N2378">
        <v>3.16</v>
      </c>
      <c r="O2378">
        <v>1055</v>
      </c>
      <c r="P2378">
        <v>1.83</v>
      </c>
      <c r="Q2378">
        <v>54</v>
      </c>
      <c r="R2378">
        <v>400</v>
      </c>
    </row>
    <row r="2379" spans="1:18" hidden="1" x14ac:dyDescent="0.2">
      <c r="A2379">
        <v>7</v>
      </c>
      <c r="B2379" t="s">
        <v>102</v>
      </c>
      <c r="E2379" t="s">
        <v>29</v>
      </c>
      <c r="F2379">
        <v>2434744</v>
      </c>
      <c r="G2379">
        <v>3</v>
      </c>
      <c r="H2379">
        <v>3</v>
      </c>
      <c r="I2379">
        <v>877</v>
      </c>
      <c r="J2379">
        <v>1959</v>
      </c>
      <c r="K2379" s="4">
        <v>45277</v>
      </c>
      <c r="L2379" t="s">
        <v>30</v>
      </c>
      <c r="M2379" t="s">
        <v>42</v>
      </c>
      <c r="N2379">
        <v>3.34</v>
      </c>
      <c r="O2379">
        <v>2012</v>
      </c>
      <c r="P2379">
        <v>2.61</v>
      </c>
      <c r="Q2379">
        <v>274</v>
      </c>
      <c r="R2379">
        <v>636</v>
      </c>
    </row>
    <row r="2380" spans="1:18" hidden="1" x14ac:dyDescent="0.2">
      <c r="A2380">
        <v>1</v>
      </c>
      <c r="B2380" t="s">
        <v>62</v>
      </c>
      <c r="E2380" t="s">
        <v>51</v>
      </c>
      <c r="F2380">
        <v>2580345</v>
      </c>
      <c r="G2380">
        <v>4</v>
      </c>
      <c r="H2380">
        <v>3</v>
      </c>
      <c r="I2380">
        <v>619</v>
      </c>
      <c r="J2380">
        <v>1972</v>
      </c>
      <c r="K2380" s="4">
        <v>44841</v>
      </c>
      <c r="L2380" t="s">
        <v>26</v>
      </c>
      <c r="M2380" t="s">
        <v>60</v>
      </c>
      <c r="N2380">
        <v>1.62</v>
      </c>
      <c r="O2380">
        <v>1898</v>
      </c>
      <c r="P2380">
        <v>2.48</v>
      </c>
      <c r="Q2380">
        <v>301</v>
      </c>
      <c r="R2380">
        <v>301</v>
      </c>
    </row>
    <row r="2381" spans="1:18" hidden="1" x14ac:dyDescent="0.2">
      <c r="A2381">
        <v>6</v>
      </c>
      <c r="B2381" t="s">
        <v>55</v>
      </c>
      <c r="E2381" t="s">
        <v>19</v>
      </c>
      <c r="F2381">
        <v>955660</v>
      </c>
      <c r="G2381">
        <v>5</v>
      </c>
      <c r="H2381">
        <v>1</v>
      </c>
      <c r="I2381">
        <v>447</v>
      </c>
      <c r="J2381">
        <v>1991</v>
      </c>
      <c r="K2381" s="4">
        <v>45849</v>
      </c>
      <c r="L2381" t="s">
        <v>23</v>
      </c>
      <c r="M2381" t="s">
        <v>89</v>
      </c>
      <c r="N2381">
        <v>2.06</v>
      </c>
      <c r="O2381">
        <v>2198</v>
      </c>
      <c r="P2381">
        <v>2.96</v>
      </c>
      <c r="Q2381">
        <v>303</v>
      </c>
      <c r="R2381">
        <v>660</v>
      </c>
    </row>
    <row r="2382" spans="1:18" hidden="1" x14ac:dyDescent="0.2">
      <c r="A2382">
        <v>5</v>
      </c>
      <c r="B2382" t="s">
        <v>43</v>
      </c>
      <c r="E2382" t="s">
        <v>51</v>
      </c>
      <c r="F2382">
        <v>2704653</v>
      </c>
      <c r="G2382">
        <v>4</v>
      </c>
      <c r="H2382">
        <v>1</v>
      </c>
      <c r="I2382">
        <v>785</v>
      </c>
      <c r="J2382">
        <v>2015</v>
      </c>
      <c r="K2382" s="4">
        <v>44558</v>
      </c>
      <c r="L2382" t="s">
        <v>20</v>
      </c>
      <c r="M2382" t="s">
        <v>47</v>
      </c>
      <c r="N2382">
        <v>2.16</v>
      </c>
      <c r="O2382">
        <v>860</v>
      </c>
      <c r="P2382">
        <v>3.59</v>
      </c>
      <c r="Q2382">
        <v>196</v>
      </c>
      <c r="R2382">
        <v>612</v>
      </c>
    </row>
    <row r="2383" spans="1:18" hidden="1" x14ac:dyDescent="0.2">
      <c r="A2383">
        <v>1</v>
      </c>
      <c r="B2383" t="s">
        <v>67</v>
      </c>
      <c r="E2383" t="s">
        <v>29</v>
      </c>
      <c r="F2383">
        <v>2618044</v>
      </c>
      <c r="G2383">
        <v>3</v>
      </c>
      <c r="H2383">
        <v>1</v>
      </c>
      <c r="I2383">
        <v>280</v>
      </c>
      <c r="J2383">
        <v>1975</v>
      </c>
      <c r="K2383" s="4">
        <v>44510</v>
      </c>
      <c r="L2383" t="s">
        <v>30</v>
      </c>
      <c r="M2383" t="s">
        <v>33</v>
      </c>
      <c r="N2383">
        <v>2.2200000000000002</v>
      </c>
      <c r="O2383">
        <v>2303</v>
      </c>
      <c r="P2383">
        <v>0.33</v>
      </c>
      <c r="Q2383">
        <v>150</v>
      </c>
      <c r="R2383">
        <v>346</v>
      </c>
    </row>
    <row r="2384" spans="1:18" hidden="1" x14ac:dyDescent="0.2">
      <c r="A2384">
        <v>9</v>
      </c>
      <c r="B2384" t="s">
        <v>98</v>
      </c>
      <c r="E2384" t="s">
        <v>19</v>
      </c>
      <c r="F2384">
        <v>1999865</v>
      </c>
      <c r="G2384">
        <v>3</v>
      </c>
      <c r="H2384">
        <v>3</v>
      </c>
      <c r="I2384">
        <v>259</v>
      </c>
      <c r="J2384">
        <v>2000</v>
      </c>
      <c r="K2384" s="4">
        <v>45603</v>
      </c>
      <c r="L2384" t="s">
        <v>23</v>
      </c>
      <c r="M2384" t="s">
        <v>82</v>
      </c>
      <c r="N2384">
        <v>2.5299999999999998</v>
      </c>
      <c r="O2384">
        <v>2063</v>
      </c>
      <c r="P2384">
        <v>1.86</v>
      </c>
      <c r="Q2384">
        <v>111</v>
      </c>
      <c r="R2384">
        <v>457</v>
      </c>
    </row>
    <row r="2385" spans="1:18" hidden="1" x14ac:dyDescent="0.2">
      <c r="A2385">
        <v>6</v>
      </c>
      <c r="B2385" t="s">
        <v>75</v>
      </c>
      <c r="E2385" t="s">
        <v>51</v>
      </c>
      <c r="F2385">
        <v>585731</v>
      </c>
      <c r="G2385">
        <v>5</v>
      </c>
      <c r="H2385">
        <v>3</v>
      </c>
      <c r="I2385">
        <v>790</v>
      </c>
      <c r="J2385">
        <v>2020</v>
      </c>
      <c r="K2385" s="4">
        <v>45787</v>
      </c>
      <c r="L2385" t="s">
        <v>30</v>
      </c>
      <c r="M2385" t="s">
        <v>59</v>
      </c>
      <c r="N2385">
        <v>2.81</v>
      </c>
      <c r="O2385">
        <v>2149</v>
      </c>
      <c r="P2385">
        <v>3.5</v>
      </c>
      <c r="Q2385">
        <v>320</v>
      </c>
      <c r="R2385">
        <v>556</v>
      </c>
    </row>
    <row r="2386" spans="1:18" hidden="1" x14ac:dyDescent="0.2">
      <c r="A2386">
        <v>6</v>
      </c>
      <c r="B2386" t="s">
        <v>84</v>
      </c>
      <c r="E2386" t="s">
        <v>19</v>
      </c>
      <c r="F2386">
        <v>429081</v>
      </c>
      <c r="G2386">
        <v>3</v>
      </c>
      <c r="H2386">
        <v>3</v>
      </c>
      <c r="I2386">
        <v>98</v>
      </c>
      <c r="J2386">
        <v>1992</v>
      </c>
      <c r="K2386" s="4">
        <v>45207</v>
      </c>
      <c r="L2386" t="s">
        <v>23</v>
      </c>
      <c r="M2386" t="s">
        <v>78</v>
      </c>
      <c r="N2386">
        <v>2.37</v>
      </c>
      <c r="O2386">
        <v>1754</v>
      </c>
      <c r="P2386">
        <v>0.41</v>
      </c>
      <c r="Q2386">
        <v>189</v>
      </c>
      <c r="R2386">
        <v>560</v>
      </c>
    </row>
    <row r="2387" spans="1:18" hidden="1" x14ac:dyDescent="0.2">
      <c r="A2387">
        <v>9</v>
      </c>
      <c r="B2387" t="s">
        <v>73</v>
      </c>
      <c r="E2387" t="s">
        <v>29</v>
      </c>
      <c r="F2387">
        <v>2181667</v>
      </c>
      <c r="G2387">
        <v>4</v>
      </c>
      <c r="H2387">
        <v>3</v>
      </c>
      <c r="I2387">
        <v>467</v>
      </c>
      <c r="J2387">
        <v>1983</v>
      </c>
      <c r="K2387" s="4">
        <v>45273</v>
      </c>
      <c r="L2387" t="s">
        <v>30</v>
      </c>
      <c r="M2387" t="s">
        <v>63</v>
      </c>
      <c r="N2387">
        <v>3.18</v>
      </c>
      <c r="O2387">
        <v>1033</v>
      </c>
      <c r="P2387">
        <v>0.32</v>
      </c>
      <c r="Q2387">
        <v>318</v>
      </c>
      <c r="R2387">
        <v>450</v>
      </c>
    </row>
    <row r="2388" spans="1:18" hidden="1" x14ac:dyDescent="0.2">
      <c r="A2388">
        <v>7</v>
      </c>
      <c r="B2388" t="s">
        <v>81</v>
      </c>
      <c r="E2388" t="s">
        <v>36</v>
      </c>
      <c r="F2388">
        <v>2248560</v>
      </c>
      <c r="G2388">
        <v>6</v>
      </c>
      <c r="H2388">
        <v>1</v>
      </c>
      <c r="I2388">
        <v>863</v>
      </c>
      <c r="J2388">
        <v>1950</v>
      </c>
      <c r="K2388" s="4">
        <v>44918</v>
      </c>
      <c r="L2388" t="s">
        <v>20</v>
      </c>
      <c r="M2388" t="s">
        <v>82</v>
      </c>
      <c r="N2388">
        <v>1.91</v>
      </c>
      <c r="O2388">
        <v>1250</v>
      </c>
      <c r="P2388">
        <v>2.96</v>
      </c>
      <c r="Q2388">
        <v>390</v>
      </c>
      <c r="R2388">
        <v>301</v>
      </c>
    </row>
    <row r="2389" spans="1:18" hidden="1" x14ac:dyDescent="0.2">
      <c r="A2389">
        <v>6</v>
      </c>
      <c r="B2389" t="s">
        <v>71</v>
      </c>
      <c r="E2389" t="s">
        <v>51</v>
      </c>
      <c r="F2389">
        <v>2096273</v>
      </c>
      <c r="G2389">
        <v>1</v>
      </c>
      <c r="H2389">
        <v>1</v>
      </c>
      <c r="I2389">
        <v>874</v>
      </c>
      <c r="J2389">
        <v>1997</v>
      </c>
      <c r="K2389" s="4">
        <v>44555</v>
      </c>
      <c r="L2389" t="s">
        <v>30</v>
      </c>
      <c r="M2389" t="s">
        <v>63</v>
      </c>
      <c r="N2389">
        <v>1.67</v>
      </c>
      <c r="O2389">
        <v>1570</v>
      </c>
      <c r="P2389">
        <v>0.78</v>
      </c>
      <c r="Q2389">
        <v>79</v>
      </c>
      <c r="R2389">
        <v>340</v>
      </c>
    </row>
    <row r="2390" spans="1:18" hidden="1" x14ac:dyDescent="0.2">
      <c r="A2390">
        <v>7</v>
      </c>
      <c r="B2390" t="s">
        <v>83</v>
      </c>
      <c r="E2390" t="s">
        <v>36</v>
      </c>
      <c r="F2390">
        <v>1400348</v>
      </c>
      <c r="G2390">
        <v>3</v>
      </c>
      <c r="H2390">
        <v>1</v>
      </c>
      <c r="I2390">
        <v>383</v>
      </c>
      <c r="J2390">
        <v>1956</v>
      </c>
      <c r="K2390" s="4">
        <v>44842</v>
      </c>
      <c r="L2390" t="s">
        <v>26</v>
      </c>
      <c r="M2390" t="s">
        <v>89</v>
      </c>
      <c r="N2390">
        <v>3.15</v>
      </c>
      <c r="O2390">
        <v>2124</v>
      </c>
      <c r="P2390">
        <v>0.89</v>
      </c>
      <c r="Q2390">
        <v>155</v>
      </c>
      <c r="R2390">
        <v>551</v>
      </c>
    </row>
    <row r="2391" spans="1:18" x14ac:dyDescent="0.2">
      <c r="A2391">
        <v>8</v>
      </c>
      <c r="B2391" t="s">
        <v>25</v>
      </c>
      <c r="C2391" t="str">
        <f>VLOOKUP(B2391, 'Council Area'!$A$2:$B$51, 2)</f>
        <v>Inner West Council</v>
      </c>
      <c r="D2391" t="str">
        <f>_xlfn.XLOOKUP(B2391, 'Council Area'!$A$2:$A$51, 'Council Area'!$B$2:$B$51)</f>
        <v>Inner West Council</v>
      </c>
      <c r="E2391" t="s">
        <v>29</v>
      </c>
      <c r="F2391">
        <v>2789766</v>
      </c>
      <c r="G2391">
        <v>3</v>
      </c>
      <c r="H2391">
        <v>1</v>
      </c>
      <c r="I2391">
        <v>386</v>
      </c>
      <c r="J2391">
        <v>1968</v>
      </c>
      <c r="K2391" s="4">
        <v>45425</v>
      </c>
      <c r="L2391" t="s">
        <v>23</v>
      </c>
      <c r="M2391" t="s">
        <v>66</v>
      </c>
      <c r="N2391">
        <v>2.6</v>
      </c>
      <c r="O2391">
        <v>2054</v>
      </c>
      <c r="P2391">
        <v>1.33</v>
      </c>
      <c r="Q2391">
        <v>302</v>
      </c>
      <c r="R2391">
        <v>486</v>
      </c>
    </row>
    <row r="2392" spans="1:18" hidden="1" x14ac:dyDescent="0.2">
      <c r="A2392">
        <v>2</v>
      </c>
      <c r="B2392" t="s">
        <v>46</v>
      </c>
      <c r="E2392" t="s">
        <v>29</v>
      </c>
      <c r="F2392">
        <v>2175210</v>
      </c>
      <c r="G2392">
        <v>3</v>
      </c>
      <c r="H2392">
        <v>2</v>
      </c>
      <c r="I2392">
        <v>579</v>
      </c>
      <c r="J2392">
        <v>1992</v>
      </c>
      <c r="K2392" s="4">
        <v>44486</v>
      </c>
      <c r="L2392" t="s">
        <v>23</v>
      </c>
      <c r="M2392" t="s">
        <v>68</v>
      </c>
      <c r="N2392">
        <v>2.98</v>
      </c>
      <c r="O2392">
        <v>1340</v>
      </c>
      <c r="P2392">
        <v>3.24</v>
      </c>
      <c r="Q2392">
        <v>279</v>
      </c>
      <c r="R2392">
        <v>416</v>
      </c>
    </row>
    <row r="2393" spans="1:18" hidden="1" x14ac:dyDescent="0.2">
      <c r="A2393">
        <v>2</v>
      </c>
      <c r="B2393" t="s">
        <v>83</v>
      </c>
      <c r="E2393" t="s">
        <v>36</v>
      </c>
      <c r="F2393">
        <v>1876437</v>
      </c>
      <c r="G2393">
        <v>3</v>
      </c>
      <c r="H2393">
        <v>1</v>
      </c>
      <c r="I2393">
        <v>261</v>
      </c>
      <c r="J2393">
        <v>2010</v>
      </c>
      <c r="K2393" s="4">
        <v>44647</v>
      </c>
      <c r="L2393" t="s">
        <v>26</v>
      </c>
      <c r="M2393" t="s">
        <v>74</v>
      </c>
      <c r="N2393">
        <v>1.98</v>
      </c>
      <c r="O2393">
        <v>1172</v>
      </c>
      <c r="P2393">
        <v>3.61</v>
      </c>
      <c r="Q2393">
        <v>299</v>
      </c>
      <c r="R2393">
        <v>622</v>
      </c>
    </row>
    <row r="2394" spans="1:18" hidden="1" x14ac:dyDescent="0.2">
      <c r="A2394">
        <v>6</v>
      </c>
      <c r="B2394" t="s">
        <v>80</v>
      </c>
      <c r="E2394" t="s">
        <v>29</v>
      </c>
      <c r="F2394">
        <v>2343439</v>
      </c>
      <c r="G2394">
        <v>3</v>
      </c>
      <c r="H2394">
        <v>1</v>
      </c>
      <c r="I2394">
        <v>998</v>
      </c>
      <c r="J2394">
        <v>1954</v>
      </c>
      <c r="K2394" s="4">
        <v>45482</v>
      </c>
      <c r="L2394" t="s">
        <v>23</v>
      </c>
      <c r="M2394" t="s">
        <v>21</v>
      </c>
      <c r="N2394">
        <v>2.15</v>
      </c>
      <c r="O2394">
        <v>1369</v>
      </c>
      <c r="P2394">
        <v>1.1399999999999999</v>
      </c>
      <c r="Q2394">
        <v>206</v>
      </c>
      <c r="R2394">
        <v>604</v>
      </c>
    </row>
    <row r="2395" spans="1:18" hidden="1" x14ac:dyDescent="0.2">
      <c r="A2395">
        <v>4</v>
      </c>
      <c r="B2395" t="s">
        <v>91</v>
      </c>
      <c r="E2395" t="s">
        <v>19</v>
      </c>
      <c r="F2395">
        <v>1884993</v>
      </c>
      <c r="G2395">
        <v>3</v>
      </c>
      <c r="H2395">
        <v>2</v>
      </c>
      <c r="I2395">
        <v>921</v>
      </c>
      <c r="J2395">
        <v>1971</v>
      </c>
      <c r="K2395" s="4">
        <v>45733</v>
      </c>
      <c r="L2395" t="s">
        <v>30</v>
      </c>
      <c r="M2395" t="s">
        <v>35</v>
      </c>
      <c r="N2395">
        <v>3.15</v>
      </c>
      <c r="O2395">
        <v>1713</v>
      </c>
      <c r="P2395">
        <v>2.17</v>
      </c>
      <c r="Q2395">
        <v>268</v>
      </c>
      <c r="R2395">
        <v>414</v>
      </c>
    </row>
    <row r="2396" spans="1:18" hidden="1" x14ac:dyDescent="0.2">
      <c r="A2396">
        <v>1</v>
      </c>
      <c r="B2396" t="s">
        <v>95</v>
      </c>
      <c r="E2396" t="s">
        <v>29</v>
      </c>
      <c r="F2396">
        <v>1760952</v>
      </c>
      <c r="G2396">
        <v>4</v>
      </c>
      <c r="H2396">
        <v>1</v>
      </c>
      <c r="I2396">
        <v>463</v>
      </c>
      <c r="J2396">
        <v>1970</v>
      </c>
      <c r="K2396" s="4">
        <v>45414</v>
      </c>
      <c r="L2396" t="s">
        <v>26</v>
      </c>
      <c r="M2396" t="s">
        <v>35</v>
      </c>
      <c r="N2396">
        <v>1.57</v>
      </c>
      <c r="O2396">
        <v>1957</v>
      </c>
      <c r="P2396">
        <v>2.69</v>
      </c>
      <c r="Q2396">
        <v>374</v>
      </c>
      <c r="R2396">
        <v>580</v>
      </c>
    </row>
    <row r="2397" spans="1:18" hidden="1" x14ac:dyDescent="0.2">
      <c r="A2397">
        <v>0</v>
      </c>
      <c r="B2397" t="s">
        <v>65</v>
      </c>
      <c r="E2397" t="s">
        <v>19</v>
      </c>
      <c r="F2397">
        <v>1572132</v>
      </c>
      <c r="G2397">
        <v>2</v>
      </c>
      <c r="H2397">
        <v>3</v>
      </c>
      <c r="I2397">
        <v>707</v>
      </c>
      <c r="J2397">
        <v>2018</v>
      </c>
      <c r="K2397" s="4">
        <v>44092</v>
      </c>
      <c r="L2397" t="s">
        <v>30</v>
      </c>
      <c r="M2397" t="s">
        <v>56</v>
      </c>
      <c r="N2397">
        <v>2.11</v>
      </c>
      <c r="O2397">
        <v>2296</v>
      </c>
      <c r="P2397">
        <v>0.26</v>
      </c>
      <c r="Q2397">
        <v>53</v>
      </c>
      <c r="R2397">
        <v>660</v>
      </c>
    </row>
    <row r="2398" spans="1:18" hidden="1" x14ac:dyDescent="0.2">
      <c r="A2398">
        <v>1</v>
      </c>
      <c r="B2398" t="s">
        <v>48</v>
      </c>
      <c r="E2398" t="s">
        <v>51</v>
      </c>
      <c r="F2398">
        <v>2398219</v>
      </c>
      <c r="G2398">
        <v>4</v>
      </c>
      <c r="H2398">
        <v>1</v>
      </c>
      <c r="I2398">
        <v>855</v>
      </c>
      <c r="J2398">
        <v>2003</v>
      </c>
      <c r="K2398" s="4">
        <v>44312</v>
      </c>
      <c r="L2398" t="s">
        <v>26</v>
      </c>
      <c r="M2398" t="s">
        <v>24</v>
      </c>
      <c r="N2398">
        <v>2.68</v>
      </c>
      <c r="O2398">
        <v>1470</v>
      </c>
      <c r="P2398">
        <v>4.2</v>
      </c>
      <c r="Q2398">
        <v>317</v>
      </c>
      <c r="R2398">
        <v>603</v>
      </c>
    </row>
    <row r="2399" spans="1:18" hidden="1" x14ac:dyDescent="0.2">
      <c r="A2399">
        <v>9</v>
      </c>
      <c r="B2399" t="s">
        <v>72</v>
      </c>
      <c r="E2399" t="s">
        <v>36</v>
      </c>
      <c r="F2399">
        <v>1849483</v>
      </c>
      <c r="G2399">
        <v>2</v>
      </c>
      <c r="H2399">
        <v>1</v>
      </c>
      <c r="I2399">
        <v>401</v>
      </c>
      <c r="J2399">
        <v>2006</v>
      </c>
      <c r="K2399" s="4">
        <v>44960</v>
      </c>
      <c r="L2399" t="s">
        <v>30</v>
      </c>
      <c r="M2399" t="s">
        <v>78</v>
      </c>
      <c r="N2399">
        <v>3</v>
      </c>
      <c r="O2399">
        <v>910</v>
      </c>
      <c r="P2399">
        <v>4.2699999999999996</v>
      </c>
      <c r="Q2399">
        <v>157</v>
      </c>
      <c r="R2399">
        <v>394</v>
      </c>
    </row>
    <row r="2400" spans="1:18" hidden="1" x14ac:dyDescent="0.2">
      <c r="A2400">
        <v>0</v>
      </c>
      <c r="B2400" t="s">
        <v>86</v>
      </c>
      <c r="E2400" t="s">
        <v>36</v>
      </c>
      <c r="F2400">
        <v>598469</v>
      </c>
      <c r="G2400">
        <v>4</v>
      </c>
      <c r="H2400">
        <v>3</v>
      </c>
      <c r="I2400">
        <v>198</v>
      </c>
      <c r="J2400">
        <v>1964</v>
      </c>
      <c r="K2400" s="4">
        <v>45837</v>
      </c>
      <c r="L2400" t="s">
        <v>20</v>
      </c>
      <c r="M2400" t="s">
        <v>45</v>
      </c>
      <c r="N2400">
        <v>2.0699999999999998</v>
      </c>
      <c r="O2400">
        <v>2144</v>
      </c>
      <c r="P2400">
        <v>0.73</v>
      </c>
      <c r="Q2400">
        <v>305</v>
      </c>
      <c r="R2400">
        <v>582</v>
      </c>
    </row>
    <row r="2401" spans="1:18" hidden="1" x14ac:dyDescent="0.2">
      <c r="A2401">
        <v>5</v>
      </c>
      <c r="B2401" t="s">
        <v>32</v>
      </c>
      <c r="E2401" t="s">
        <v>29</v>
      </c>
      <c r="F2401">
        <v>1054682</v>
      </c>
      <c r="G2401">
        <v>3</v>
      </c>
      <c r="H2401">
        <v>2</v>
      </c>
      <c r="I2401">
        <v>53</v>
      </c>
      <c r="J2401">
        <v>2001</v>
      </c>
      <c r="K2401" s="4">
        <v>44661</v>
      </c>
      <c r="L2401" t="s">
        <v>23</v>
      </c>
      <c r="M2401" t="s">
        <v>21</v>
      </c>
      <c r="N2401">
        <v>1.89</v>
      </c>
      <c r="O2401">
        <v>1503</v>
      </c>
      <c r="P2401">
        <v>1.92</v>
      </c>
      <c r="Q2401">
        <v>238</v>
      </c>
      <c r="R2401">
        <v>541</v>
      </c>
    </row>
    <row r="2402" spans="1:18" hidden="1" x14ac:dyDescent="0.2">
      <c r="A2402">
        <v>2</v>
      </c>
      <c r="B2402" t="s">
        <v>38</v>
      </c>
      <c r="E2402" t="s">
        <v>19</v>
      </c>
      <c r="F2402">
        <v>956258</v>
      </c>
      <c r="G2402">
        <v>4</v>
      </c>
      <c r="H2402">
        <v>2</v>
      </c>
      <c r="I2402">
        <v>759</v>
      </c>
      <c r="J2402">
        <v>1953</v>
      </c>
      <c r="K2402" s="4">
        <v>44713</v>
      </c>
      <c r="L2402" t="s">
        <v>20</v>
      </c>
      <c r="M2402" t="s">
        <v>47</v>
      </c>
      <c r="N2402">
        <v>3.48</v>
      </c>
      <c r="O2402">
        <v>1033</v>
      </c>
      <c r="P2402">
        <v>2.21</v>
      </c>
      <c r="Q2402">
        <v>199</v>
      </c>
      <c r="R2402">
        <v>633</v>
      </c>
    </row>
    <row r="2403" spans="1:18" hidden="1" x14ac:dyDescent="0.2">
      <c r="A2403">
        <v>4</v>
      </c>
      <c r="B2403" t="s">
        <v>50</v>
      </c>
      <c r="E2403" t="s">
        <v>51</v>
      </c>
      <c r="F2403">
        <v>2875015</v>
      </c>
      <c r="G2403">
        <v>3</v>
      </c>
      <c r="H2403">
        <v>2</v>
      </c>
      <c r="I2403">
        <v>840</v>
      </c>
      <c r="J2403">
        <v>1983</v>
      </c>
      <c r="K2403" s="4">
        <v>45608</v>
      </c>
      <c r="L2403" t="s">
        <v>26</v>
      </c>
      <c r="M2403" t="s">
        <v>69</v>
      </c>
      <c r="N2403">
        <v>3.39</v>
      </c>
      <c r="O2403">
        <v>1084</v>
      </c>
      <c r="P2403">
        <v>3.04</v>
      </c>
      <c r="Q2403">
        <v>123</v>
      </c>
      <c r="R2403">
        <v>605</v>
      </c>
    </row>
    <row r="2404" spans="1:18" hidden="1" x14ac:dyDescent="0.2">
      <c r="A2404">
        <v>6</v>
      </c>
      <c r="B2404" t="s">
        <v>106</v>
      </c>
      <c r="E2404" t="s">
        <v>51</v>
      </c>
      <c r="F2404">
        <v>1631285</v>
      </c>
      <c r="G2404">
        <v>1</v>
      </c>
      <c r="H2404">
        <v>3</v>
      </c>
      <c r="I2404">
        <v>952</v>
      </c>
      <c r="J2404">
        <v>2004</v>
      </c>
      <c r="K2404" s="4">
        <v>44930</v>
      </c>
      <c r="L2404" t="s">
        <v>26</v>
      </c>
      <c r="M2404" t="s">
        <v>76</v>
      </c>
      <c r="N2404">
        <v>2.29</v>
      </c>
      <c r="O2404">
        <v>2283</v>
      </c>
      <c r="P2404">
        <v>1.1299999999999999</v>
      </c>
      <c r="Q2404">
        <v>40</v>
      </c>
      <c r="R2404">
        <v>414</v>
      </c>
    </row>
    <row r="2405" spans="1:18" hidden="1" x14ac:dyDescent="0.2">
      <c r="A2405">
        <v>2</v>
      </c>
      <c r="B2405" t="s">
        <v>100</v>
      </c>
      <c r="E2405" t="s">
        <v>51</v>
      </c>
      <c r="F2405">
        <v>2723198</v>
      </c>
      <c r="G2405">
        <v>1</v>
      </c>
      <c r="H2405">
        <v>2</v>
      </c>
      <c r="I2405">
        <v>135</v>
      </c>
      <c r="J2405">
        <v>2002</v>
      </c>
      <c r="K2405" s="4">
        <v>45030</v>
      </c>
      <c r="L2405" t="s">
        <v>26</v>
      </c>
      <c r="M2405" t="s">
        <v>54</v>
      </c>
      <c r="N2405">
        <v>1.77</v>
      </c>
      <c r="O2405">
        <v>1792</v>
      </c>
      <c r="P2405">
        <v>4.6900000000000004</v>
      </c>
      <c r="Q2405">
        <v>138</v>
      </c>
      <c r="R2405">
        <v>585</v>
      </c>
    </row>
    <row r="2406" spans="1:18" hidden="1" x14ac:dyDescent="0.2">
      <c r="A2406">
        <v>2</v>
      </c>
      <c r="B2406" t="s">
        <v>102</v>
      </c>
      <c r="E2406" t="s">
        <v>29</v>
      </c>
      <c r="F2406">
        <v>1952318</v>
      </c>
      <c r="G2406">
        <v>1</v>
      </c>
      <c r="H2406">
        <v>3</v>
      </c>
      <c r="I2406">
        <v>131</v>
      </c>
      <c r="J2406">
        <v>1982</v>
      </c>
      <c r="K2406" s="4">
        <v>45350</v>
      </c>
      <c r="L2406" t="s">
        <v>20</v>
      </c>
      <c r="M2406" t="s">
        <v>24</v>
      </c>
      <c r="N2406">
        <v>2.56</v>
      </c>
      <c r="O2406">
        <v>1356</v>
      </c>
      <c r="P2406">
        <v>0.69</v>
      </c>
      <c r="Q2406">
        <v>63</v>
      </c>
      <c r="R2406">
        <v>471</v>
      </c>
    </row>
    <row r="2407" spans="1:18" hidden="1" x14ac:dyDescent="0.2">
      <c r="A2407">
        <v>1</v>
      </c>
      <c r="B2407" t="s">
        <v>83</v>
      </c>
      <c r="E2407" t="s">
        <v>29</v>
      </c>
      <c r="F2407">
        <v>2299425</v>
      </c>
      <c r="G2407">
        <v>4</v>
      </c>
      <c r="H2407">
        <v>2</v>
      </c>
      <c r="I2407">
        <v>272</v>
      </c>
      <c r="J2407">
        <v>1976</v>
      </c>
      <c r="K2407" s="4">
        <v>45777</v>
      </c>
      <c r="L2407" t="s">
        <v>30</v>
      </c>
      <c r="M2407" t="s">
        <v>82</v>
      </c>
      <c r="N2407">
        <v>3.23</v>
      </c>
      <c r="O2407">
        <v>1759</v>
      </c>
      <c r="P2407">
        <v>4.59</v>
      </c>
      <c r="Q2407">
        <v>217</v>
      </c>
      <c r="R2407">
        <v>497</v>
      </c>
    </row>
    <row r="2408" spans="1:18" hidden="1" x14ac:dyDescent="0.2">
      <c r="A2408">
        <v>9</v>
      </c>
      <c r="B2408" t="s">
        <v>44</v>
      </c>
      <c r="E2408" t="s">
        <v>29</v>
      </c>
      <c r="F2408">
        <v>2974000</v>
      </c>
      <c r="G2408">
        <v>3</v>
      </c>
      <c r="H2408">
        <v>1</v>
      </c>
      <c r="I2408">
        <v>832</v>
      </c>
      <c r="J2408">
        <v>1984</v>
      </c>
      <c r="K2408" s="4">
        <v>44161</v>
      </c>
      <c r="L2408" t="s">
        <v>26</v>
      </c>
      <c r="M2408" t="s">
        <v>56</v>
      </c>
      <c r="N2408">
        <v>2.7</v>
      </c>
      <c r="O2408">
        <v>1495</v>
      </c>
      <c r="P2408">
        <v>1.06</v>
      </c>
      <c r="Q2408">
        <v>91</v>
      </c>
      <c r="R2408">
        <v>622</v>
      </c>
    </row>
    <row r="2409" spans="1:18" x14ac:dyDescent="0.2">
      <c r="A2409">
        <v>8</v>
      </c>
      <c r="B2409" t="s">
        <v>55</v>
      </c>
      <c r="C2409" t="str">
        <f>VLOOKUP(B2409, 'Council Area'!$A$2:$B$51, 2)</f>
        <v>City of Sydney</v>
      </c>
      <c r="D2409" t="str">
        <f>_xlfn.XLOOKUP(B2409, 'Council Area'!$A$2:$A$51, 'Council Area'!$B$2:$B$51)</f>
        <v>City of Sydney</v>
      </c>
      <c r="E2409" t="s">
        <v>19</v>
      </c>
      <c r="F2409">
        <v>2928592</v>
      </c>
      <c r="G2409">
        <v>4</v>
      </c>
      <c r="H2409">
        <v>2</v>
      </c>
      <c r="I2409">
        <v>173</v>
      </c>
      <c r="J2409">
        <v>1998</v>
      </c>
      <c r="K2409" s="4">
        <v>45305</v>
      </c>
      <c r="L2409" t="s">
        <v>23</v>
      </c>
      <c r="M2409" t="s">
        <v>21</v>
      </c>
      <c r="N2409">
        <v>1.73</v>
      </c>
      <c r="O2409">
        <v>887</v>
      </c>
      <c r="P2409">
        <v>3.55</v>
      </c>
      <c r="Q2409">
        <v>318</v>
      </c>
      <c r="R2409">
        <v>417</v>
      </c>
    </row>
    <row r="2410" spans="1:18" hidden="1" x14ac:dyDescent="0.2">
      <c r="A2410">
        <v>9</v>
      </c>
      <c r="B2410" t="s">
        <v>39</v>
      </c>
      <c r="E2410" t="s">
        <v>29</v>
      </c>
      <c r="F2410">
        <v>1717705</v>
      </c>
      <c r="G2410">
        <v>4</v>
      </c>
      <c r="H2410">
        <v>3</v>
      </c>
      <c r="I2410">
        <v>837</v>
      </c>
      <c r="J2410">
        <v>1969</v>
      </c>
      <c r="K2410" s="4">
        <v>44685</v>
      </c>
      <c r="L2410" t="s">
        <v>26</v>
      </c>
      <c r="M2410" t="s">
        <v>97</v>
      </c>
      <c r="N2410">
        <v>3.47</v>
      </c>
      <c r="O2410">
        <v>806</v>
      </c>
      <c r="P2410">
        <v>2.1</v>
      </c>
      <c r="Q2410">
        <v>373</v>
      </c>
      <c r="R2410">
        <v>536</v>
      </c>
    </row>
    <row r="2411" spans="1:18" hidden="1" x14ac:dyDescent="0.2">
      <c r="A2411">
        <v>5</v>
      </c>
      <c r="B2411" t="s">
        <v>71</v>
      </c>
      <c r="E2411" t="s">
        <v>36</v>
      </c>
      <c r="F2411">
        <v>2175514</v>
      </c>
      <c r="G2411">
        <v>6</v>
      </c>
      <c r="H2411">
        <v>3</v>
      </c>
      <c r="I2411">
        <v>211</v>
      </c>
      <c r="J2411">
        <v>1969</v>
      </c>
      <c r="K2411" s="4">
        <v>45067</v>
      </c>
      <c r="L2411" t="s">
        <v>20</v>
      </c>
      <c r="M2411" t="s">
        <v>27</v>
      </c>
      <c r="N2411">
        <v>2.92</v>
      </c>
      <c r="O2411">
        <v>1367</v>
      </c>
      <c r="P2411">
        <v>2.76</v>
      </c>
      <c r="Q2411">
        <v>389</v>
      </c>
      <c r="R2411">
        <v>389</v>
      </c>
    </row>
    <row r="2412" spans="1:18" hidden="1" x14ac:dyDescent="0.2">
      <c r="A2412">
        <v>4</v>
      </c>
      <c r="B2412" t="s">
        <v>101</v>
      </c>
      <c r="E2412" t="s">
        <v>29</v>
      </c>
      <c r="F2412">
        <v>768361</v>
      </c>
      <c r="G2412">
        <v>2</v>
      </c>
      <c r="H2412">
        <v>3</v>
      </c>
      <c r="I2412">
        <v>210</v>
      </c>
      <c r="J2412">
        <v>1975</v>
      </c>
      <c r="K2412" s="4">
        <v>45642</v>
      </c>
      <c r="L2412" t="s">
        <v>20</v>
      </c>
      <c r="M2412" t="s">
        <v>31</v>
      </c>
      <c r="N2412">
        <v>1.93</v>
      </c>
      <c r="O2412">
        <v>1669</v>
      </c>
      <c r="P2412">
        <v>0.7</v>
      </c>
      <c r="Q2412">
        <v>224</v>
      </c>
      <c r="R2412">
        <v>678</v>
      </c>
    </row>
    <row r="2413" spans="1:18" hidden="1" x14ac:dyDescent="0.2">
      <c r="A2413">
        <v>1</v>
      </c>
      <c r="B2413" t="s">
        <v>61</v>
      </c>
      <c r="E2413" t="s">
        <v>29</v>
      </c>
      <c r="F2413">
        <v>731624</v>
      </c>
      <c r="G2413">
        <v>5</v>
      </c>
      <c r="H2413">
        <v>3</v>
      </c>
      <c r="I2413">
        <v>233</v>
      </c>
      <c r="J2413">
        <v>2003</v>
      </c>
      <c r="K2413" s="4">
        <v>45369</v>
      </c>
      <c r="L2413" t="s">
        <v>20</v>
      </c>
      <c r="M2413" t="s">
        <v>82</v>
      </c>
      <c r="N2413">
        <v>2.33</v>
      </c>
      <c r="O2413">
        <v>1703</v>
      </c>
      <c r="P2413">
        <v>1.78</v>
      </c>
      <c r="Q2413">
        <v>318</v>
      </c>
      <c r="R2413">
        <v>329</v>
      </c>
    </row>
    <row r="2414" spans="1:18" hidden="1" x14ac:dyDescent="0.2">
      <c r="A2414">
        <v>1</v>
      </c>
      <c r="B2414" t="s">
        <v>96</v>
      </c>
      <c r="E2414" t="s">
        <v>51</v>
      </c>
      <c r="F2414">
        <v>2967062</v>
      </c>
      <c r="G2414">
        <v>3</v>
      </c>
      <c r="H2414">
        <v>3</v>
      </c>
      <c r="I2414">
        <v>229</v>
      </c>
      <c r="J2414">
        <v>1989</v>
      </c>
      <c r="K2414" s="4">
        <v>44552</v>
      </c>
      <c r="L2414" t="s">
        <v>26</v>
      </c>
      <c r="M2414" t="s">
        <v>68</v>
      </c>
      <c r="N2414">
        <v>1.63</v>
      </c>
      <c r="O2414">
        <v>1041</v>
      </c>
      <c r="P2414">
        <v>4.8600000000000003</v>
      </c>
      <c r="Q2414">
        <v>288</v>
      </c>
      <c r="R2414">
        <v>615</v>
      </c>
    </row>
    <row r="2415" spans="1:18" hidden="1" x14ac:dyDescent="0.2">
      <c r="A2415">
        <v>9</v>
      </c>
      <c r="B2415" t="s">
        <v>92</v>
      </c>
      <c r="E2415" t="s">
        <v>36</v>
      </c>
      <c r="F2415">
        <v>2176624</v>
      </c>
      <c r="G2415">
        <v>4</v>
      </c>
      <c r="H2415">
        <v>1</v>
      </c>
      <c r="I2415">
        <v>917</v>
      </c>
      <c r="J2415">
        <v>1959</v>
      </c>
      <c r="K2415" s="4">
        <v>45294</v>
      </c>
      <c r="L2415" t="s">
        <v>20</v>
      </c>
      <c r="M2415" t="s">
        <v>47</v>
      </c>
      <c r="N2415">
        <v>2.11</v>
      </c>
      <c r="O2415">
        <v>2087</v>
      </c>
      <c r="P2415">
        <v>3.95</v>
      </c>
      <c r="Q2415">
        <v>184</v>
      </c>
      <c r="R2415">
        <v>334</v>
      </c>
    </row>
    <row r="2416" spans="1:18" hidden="1" x14ac:dyDescent="0.2">
      <c r="A2416">
        <v>3</v>
      </c>
      <c r="B2416" t="s">
        <v>65</v>
      </c>
      <c r="E2416" t="s">
        <v>19</v>
      </c>
      <c r="F2416">
        <v>545134</v>
      </c>
      <c r="G2416">
        <v>3</v>
      </c>
      <c r="H2416">
        <v>1</v>
      </c>
      <c r="I2416">
        <v>628</v>
      </c>
      <c r="J2416">
        <v>2000</v>
      </c>
      <c r="K2416" s="4">
        <v>44616</v>
      </c>
      <c r="L2416" t="s">
        <v>26</v>
      </c>
      <c r="M2416" t="s">
        <v>52</v>
      </c>
      <c r="N2416">
        <v>2.79</v>
      </c>
      <c r="O2416">
        <v>1167</v>
      </c>
      <c r="P2416">
        <v>0.91</v>
      </c>
      <c r="Q2416">
        <v>104</v>
      </c>
      <c r="R2416">
        <v>451</v>
      </c>
    </row>
    <row r="2417" spans="1:18" hidden="1" x14ac:dyDescent="0.2">
      <c r="A2417">
        <v>1</v>
      </c>
      <c r="B2417" t="s">
        <v>106</v>
      </c>
      <c r="E2417" t="s">
        <v>29</v>
      </c>
      <c r="F2417">
        <v>673623</v>
      </c>
      <c r="G2417">
        <v>2</v>
      </c>
      <c r="H2417">
        <v>1</v>
      </c>
      <c r="I2417">
        <v>317</v>
      </c>
      <c r="J2417">
        <v>1958</v>
      </c>
      <c r="K2417" s="4">
        <v>45686</v>
      </c>
      <c r="L2417" t="s">
        <v>30</v>
      </c>
      <c r="M2417" t="s">
        <v>70</v>
      </c>
      <c r="N2417">
        <v>3.18</v>
      </c>
      <c r="O2417">
        <v>986</v>
      </c>
      <c r="P2417">
        <v>0.33</v>
      </c>
      <c r="Q2417">
        <v>205</v>
      </c>
      <c r="R2417">
        <v>417</v>
      </c>
    </row>
    <row r="2418" spans="1:18" hidden="1" x14ac:dyDescent="0.2">
      <c r="A2418">
        <v>3</v>
      </c>
      <c r="B2418" t="s">
        <v>18</v>
      </c>
      <c r="E2418" t="s">
        <v>36</v>
      </c>
      <c r="F2418">
        <v>2629769</v>
      </c>
      <c r="G2418">
        <v>3</v>
      </c>
      <c r="H2418">
        <v>1</v>
      </c>
      <c r="I2418">
        <v>885</v>
      </c>
      <c r="J2418">
        <v>1973</v>
      </c>
      <c r="K2418" s="4">
        <v>45128</v>
      </c>
      <c r="L2418" t="s">
        <v>20</v>
      </c>
      <c r="M2418" t="s">
        <v>52</v>
      </c>
      <c r="N2418">
        <v>1.78</v>
      </c>
      <c r="O2418">
        <v>1935</v>
      </c>
      <c r="P2418">
        <v>3.33</v>
      </c>
      <c r="Q2418">
        <v>85</v>
      </c>
      <c r="R2418">
        <v>684</v>
      </c>
    </row>
    <row r="2419" spans="1:18" hidden="1" x14ac:dyDescent="0.2">
      <c r="A2419">
        <v>3</v>
      </c>
      <c r="B2419" t="s">
        <v>62</v>
      </c>
      <c r="E2419" t="s">
        <v>19</v>
      </c>
      <c r="F2419">
        <v>819051</v>
      </c>
      <c r="G2419">
        <v>3</v>
      </c>
      <c r="H2419">
        <v>3</v>
      </c>
      <c r="I2419">
        <v>601</v>
      </c>
      <c r="J2419">
        <v>1996</v>
      </c>
      <c r="K2419" s="4">
        <v>45517</v>
      </c>
      <c r="L2419" t="s">
        <v>20</v>
      </c>
      <c r="M2419" t="s">
        <v>85</v>
      </c>
      <c r="N2419">
        <v>3.06</v>
      </c>
      <c r="O2419">
        <v>1858</v>
      </c>
      <c r="P2419">
        <v>3.95</v>
      </c>
      <c r="Q2419">
        <v>180</v>
      </c>
      <c r="R2419">
        <v>384</v>
      </c>
    </row>
    <row r="2420" spans="1:18" hidden="1" x14ac:dyDescent="0.2">
      <c r="A2420">
        <v>3</v>
      </c>
      <c r="B2420" t="s">
        <v>75</v>
      </c>
      <c r="E2420" t="s">
        <v>29</v>
      </c>
      <c r="F2420">
        <v>2361679</v>
      </c>
      <c r="G2420">
        <v>0</v>
      </c>
      <c r="H2420">
        <v>2</v>
      </c>
      <c r="I2420">
        <v>0</v>
      </c>
      <c r="J2420">
        <v>1976</v>
      </c>
      <c r="K2420" s="4">
        <v>45086</v>
      </c>
      <c r="L2420" t="s">
        <v>20</v>
      </c>
      <c r="M2420" t="s">
        <v>66</v>
      </c>
      <c r="N2420">
        <v>1.61</v>
      </c>
      <c r="O2420">
        <v>1054</v>
      </c>
      <c r="P2420">
        <v>3.48</v>
      </c>
      <c r="Q2420">
        <v>225</v>
      </c>
      <c r="R2420">
        <v>677</v>
      </c>
    </row>
    <row r="2421" spans="1:18" hidden="1" x14ac:dyDescent="0.2">
      <c r="A2421">
        <v>6</v>
      </c>
      <c r="B2421" t="s">
        <v>91</v>
      </c>
      <c r="E2421" t="s">
        <v>19</v>
      </c>
      <c r="F2421">
        <v>2176130</v>
      </c>
      <c r="G2421">
        <v>4</v>
      </c>
      <c r="H2421">
        <v>2</v>
      </c>
      <c r="I2421">
        <v>864</v>
      </c>
      <c r="J2421">
        <v>1963</v>
      </c>
      <c r="K2421" s="4">
        <v>45129</v>
      </c>
      <c r="L2421" t="s">
        <v>30</v>
      </c>
      <c r="M2421" t="s">
        <v>69</v>
      </c>
      <c r="N2421">
        <v>3.46</v>
      </c>
      <c r="O2421">
        <v>1623</v>
      </c>
      <c r="P2421">
        <v>2.16</v>
      </c>
      <c r="Q2421">
        <v>171</v>
      </c>
      <c r="R2421">
        <v>542</v>
      </c>
    </row>
    <row r="2422" spans="1:18" hidden="1" x14ac:dyDescent="0.2">
      <c r="A2422">
        <v>9</v>
      </c>
      <c r="B2422" t="s">
        <v>100</v>
      </c>
      <c r="E2422" t="s">
        <v>36</v>
      </c>
      <c r="F2422">
        <v>473579</v>
      </c>
      <c r="G2422">
        <v>4</v>
      </c>
      <c r="H2422">
        <v>1</v>
      </c>
      <c r="I2422">
        <v>264</v>
      </c>
      <c r="J2422">
        <v>2011</v>
      </c>
      <c r="K2422" s="4">
        <v>45383</v>
      </c>
      <c r="L2422" t="s">
        <v>30</v>
      </c>
      <c r="M2422" t="s">
        <v>37</v>
      </c>
      <c r="N2422">
        <v>3.33</v>
      </c>
      <c r="O2422">
        <v>1716</v>
      </c>
      <c r="P2422">
        <v>4.68</v>
      </c>
      <c r="Q2422">
        <v>169</v>
      </c>
      <c r="R2422">
        <v>468</v>
      </c>
    </row>
    <row r="2423" spans="1:18" hidden="1" x14ac:dyDescent="0.2">
      <c r="A2423">
        <v>6</v>
      </c>
      <c r="B2423" t="s">
        <v>50</v>
      </c>
      <c r="E2423" t="s">
        <v>29</v>
      </c>
      <c r="F2423">
        <v>971032</v>
      </c>
      <c r="G2423">
        <v>2</v>
      </c>
      <c r="H2423">
        <v>1</v>
      </c>
      <c r="I2423">
        <v>338</v>
      </c>
      <c r="J2423">
        <v>1970</v>
      </c>
      <c r="K2423" s="4">
        <v>45326</v>
      </c>
      <c r="L2423" t="s">
        <v>30</v>
      </c>
      <c r="M2423" t="s">
        <v>31</v>
      </c>
      <c r="N2423">
        <v>3.26</v>
      </c>
      <c r="O2423">
        <v>2154</v>
      </c>
      <c r="P2423">
        <v>1.74</v>
      </c>
      <c r="Q2423">
        <v>229</v>
      </c>
      <c r="R2423">
        <v>525</v>
      </c>
    </row>
    <row r="2424" spans="1:18" x14ac:dyDescent="0.2">
      <c r="A2424">
        <v>8</v>
      </c>
      <c r="B2424" t="s">
        <v>98</v>
      </c>
      <c r="C2424" t="str">
        <f>VLOOKUP(B2424, 'Council Area'!$A$2:$B$51, 2)</f>
        <v>Parramatta City Council</v>
      </c>
      <c r="D2424" t="str">
        <f>_xlfn.XLOOKUP(B2424, 'Council Area'!$A$2:$A$51, 'Council Area'!$B$2:$B$51)</f>
        <v>Parramatta City Council</v>
      </c>
      <c r="E2424" t="s">
        <v>19</v>
      </c>
      <c r="F2424">
        <v>2941339</v>
      </c>
      <c r="G2424">
        <v>5</v>
      </c>
      <c r="H2424">
        <v>3</v>
      </c>
      <c r="I2424">
        <v>427</v>
      </c>
      <c r="J2424">
        <v>2010</v>
      </c>
      <c r="K2424" s="4">
        <v>44490</v>
      </c>
      <c r="L2424" t="s">
        <v>23</v>
      </c>
      <c r="M2424" t="s">
        <v>24</v>
      </c>
      <c r="N2424">
        <v>3.33</v>
      </c>
      <c r="O2424">
        <v>1771</v>
      </c>
      <c r="P2424">
        <v>2.25</v>
      </c>
      <c r="Q2424">
        <v>338</v>
      </c>
      <c r="R2424">
        <v>314</v>
      </c>
    </row>
    <row r="2425" spans="1:18" hidden="1" x14ac:dyDescent="0.2">
      <c r="A2425">
        <v>6</v>
      </c>
      <c r="B2425" t="s">
        <v>80</v>
      </c>
      <c r="E2425" t="s">
        <v>29</v>
      </c>
      <c r="F2425">
        <v>2215587</v>
      </c>
      <c r="G2425">
        <v>4</v>
      </c>
      <c r="H2425">
        <v>3</v>
      </c>
      <c r="I2425">
        <v>297</v>
      </c>
      <c r="J2425">
        <v>1994</v>
      </c>
      <c r="K2425" s="4">
        <v>44266</v>
      </c>
      <c r="L2425" t="s">
        <v>26</v>
      </c>
      <c r="M2425" t="s">
        <v>47</v>
      </c>
      <c r="N2425">
        <v>2.2400000000000002</v>
      </c>
      <c r="O2425">
        <v>1263</v>
      </c>
      <c r="P2425">
        <v>0.77</v>
      </c>
      <c r="Q2425">
        <v>190</v>
      </c>
      <c r="R2425">
        <v>310</v>
      </c>
    </row>
    <row r="2426" spans="1:18" hidden="1" x14ac:dyDescent="0.2">
      <c r="A2426">
        <v>2</v>
      </c>
      <c r="B2426" t="s">
        <v>98</v>
      </c>
      <c r="E2426" t="s">
        <v>36</v>
      </c>
      <c r="F2426">
        <v>878025</v>
      </c>
      <c r="G2426">
        <v>2</v>
      </c>
      <c r="H2426">
        <v>3</v>
      </c>
      <c r="I2426">
        <v>708</v>
      </c>
      <c r="J2426">
        <v>1957</v>
      </c>
      <c r="K2426" s="4">
        <v>44152</v>
      </c>
      <c r="L2426" t="s">
        <v>30</v>
      </c>
      <c r="M2426" t="s">
        <v>74</v>
      </c>
      <c r="N2426">
        <v>1.56</v>
      </c>
      <c r="O2426">
        <v>1560</v>
      </c>
      <c r="P2426">
        <v>4.42</v>
      </c>
      <c r="Q2426">
        <v>219</v>
      </c>
      <c r="R2426">
        <v>566</v>
      </c>
    </row>
    <row r="2427" spans="1:18" x14ac:dyDescent="0.2">
      <c r="A2427">
        <v>8</v>
      </c>
      <c r="B2427" t="s">
        <v>72</v>
      </c>
      <c r="C2427" t="str">
        <f>VLOOKUP(B2427, 'Council Area'!$A$2:$B$51, 2)</f>
        <v>Hornsby Shire Council</v>
      </c>
      <c r="D2427" t="str">
        <f>_xlfn.XLOOKUP(B2427, 'Council Area'!$A$2:$A$51, 'Council Area'!$B$2:$B$51)</f>
        <v>Hornsby Shire Council</v>
      </c>
      <c r="E2427" t="s">
        <v>19</v>
      </c>
      <c r="F2427">
        <v>1502429</v>
      </c>
      <c r="G2427">
        <v>1</v>
      </c>
      <c r="H2427">
        <v>1</v>
      </c>
      <c r="I2427">
        <v>654</v>
      </c>
      <c r="J2427">
        <v>2012</v>
      </c>
      <c r="K2427" s="4">
        <v>44606</v>
      </c>
      <c r="L2427" t="s">
        <v>20</v>
      </c>
      <c r="M2427" t="s">
        <v>42</v>
      </c>
      <c r="N2427">
        <v>3.31</v>
      </c>
      <c r="O2427">
        <v>1785</v>
      </c>
      <c r="P2427">
        <v>4.43</v>
      </c>
      <c r="Q2427">
        <v>108</v>
      </c>
      <c r="R2427">
        <v>362</v>
      </c>
    </row>
    <row r="2428" spans="1:18" x14ac:dyDescent="0.2">
      <c r="A2428">
        <v>8</v>
      </c>
      <c r="B2428" t="s">
        <v>81</v>
      </c>
      <c r="C2428" t="str">
        <f>VLOOKUP(B2428, 'Council Area'!$A$2:$B$51, 2)</f>
        <v>Canterbury-Bankstown Council</v>
      </c>
      <c r="D2428" t="str">
        <f>_xlfn.XLOOKUP(B2428, 'Council Area'!$A$2:$A$51, 'Council Area'!$B$2:$B$51)</f>
        <v>Canterbury-Bankstown Council</v>
      </c>
      <c r="E2428" t="s">
        <v>51</v>
      </c>
      <c r="F2428">
        <v>1000995</v>
      </c>
      <c r="G2428">
        <v>4</v>
      </c>
      <c r="H2428">
        <v>2</v>
      </c>
      <c r="I2428">
        <v>610</v>
      </c>
      <c r="J2428">
        <v>1982</v>
      </c>
      <c r="K2428" s="4">
        <v>44089</v>
      </c>
      <c r="L2428" t="s">
        <v>30</v>
      </c>
      <c r="M2428" t="s">
        <v>58</v>
      </c>
      <c r="N2428">
        <v>2.75</v>
      </c>
      <c r="O2428">
        <v>2070</v>
      </c>
      <c r="P2428">
        <v>2.5299999999999998</v>
      </c>
      <c r="Q2428">
        <v>280</v>
      </c>
      <c r="R2428">
        <v>471</v>
      </c>
    </row>
    <row r="2429" spans="1:18" hidden="1" x14ac:dyDescent="0.2">
      <c r="A2429">
        <v>1</v>
      </c>
      <c r="B2429" t="s">
        <v>106</v>
      </c>
      <c r="E2429" t="s">
        <v>36</v>
      </c>
      <c r="F2429">
        <v>1753806</v>
      </c>
      <c r="G2429">
        <v>2</v>
      </c>
      <c r="H2429">
        <v>1</v>
      </c>
      <c r="I2429">
        <v>93</v>
      </c>
      <c r="J2429">
        <v>2021</v>
      </c>
      <c r="K2429" s="4">
        <v>45680</v>
      </c>
      <c r="L2429" t="s">
        <v>26</v>
      </c>
      <c r="M2429" t="s">
        <v>40</v>
      </c>
      <c r="N2429">
        <v>3.04</v>
      </c>
      <c r="O2429">
        <v>1987</v>
      </c>
      <c r="P2429">
        <v>3.28</v>
      </c>
      <c r="Q2429">
        <v>197</v>
      </c>
      <c r="R2429">
        <v>431</v>
      </c>
    </row>
    <row r="2430" spans="1:18" hidden="1" x14ac:dyDescent="0.2">
      <c r="A2430">
        <v>1</v>
      </c>
      <c r="B2430" t="s">
        <v>104</v>
      </c>
      <c r="E2430" t="s">
        <v>29</v>
      </c>
      <c r="F2430">
        <v>2034961</v>
      </c>
      <c r="G2430">
        <v>5</v>
      </c>
      <c r="H2430">
        <v>3</v>
      </c>
      <c r="I2430">
        <v>1000</v>
      </c>
      <c r="J2430">
        <v>1953</v>
      </c>
      <c r="K2430" s="4">
        <v>44100</v>
      </c>
      <c r="L2430" t="s">
        <v>30</v>
      </c>
      <c r="M2430" t="s">
        <v>27</v>
      </c>
      <c r="N2430">
        <v>3.31</v>
      </c>
      <c r="O2430">
        <v>1605</v>
      </c>
      <c r="P2430">
        <v>2.75</v>
      </c>
      <c r="Q2430">
        <v>279</v>
      </c>
      <c r="R2430">
        <v>327</v>
      </c>
    </row>
    <row r="2431" spans="1:18" hidden="1" x14ac:dyDescent="0.2">
      <c r="A2431">
        <v>0</v>
      </c>
      <c r="B2431" t="s">
        <v>61</v>
      </c>
      <c r="E2431" t="s">
        <v>29</v>
      </c>
      <c r="F2431">
        <v>689840</v>
      </c>
      <c r="G2431">
        <v>6</v>
      </c>
      <c r="H2431">
        <v>3</v>
      </c>
      <c r="I2431">
        <v>460</v>
      </c>
      <c r="J2431">
        <v>2004</v>
      </c>
      <c r="K2431" s="4">
        <v>45276</v>
      </c>
      <c r="L2431" t="s">
        <v>26</v>
      </c>
      <c r="M2431" t="s">
        <v>52</v>
      </c>
      <c r="N2431">
        <v>2.84</v>
      </c>
      <c r="O2431">
        <v>851</v>
      </c>
      <c r="P2431">
        <v>4.2300000000000004</v>
      </c>
      <c r="Q2431">
        <v>347</v>
      </c>
      <c r="R2431">
        <v>534</v>
      </c>
    </row>
    <row r="2432" spans="1:18" hidden="1" x14ac:dyDescent="0.2">
      <c r="A2432">
        <v>7</v>
      </c>
      <c r="B2432" t="s">
        <v>44</v>
      </c>
      <c r="E2432" t="s">
        <v>51</v>
      </c>
      <c r="F2432">
        <v>893150</v>
      </c>
      <c r="G2432">
        <v>3</v>
      </c>
      <c r="H2432">
        <v>3</v>
      </c>
      <c r="I2432">
        <v>592</v>
      </c>
      <c r="J2432">
        <v>1966</v>
      </c>
      <c r="K2432" s="4">
        <v>45811</v>
      </c>
      <c r="L2432" t="s">
        <v>30</v>
      </c>
      <c r="M2432" t="s">
        <v>77</v>
      </c>
      <c r="N2432">
        <v>2.8</v>
      </c>
      <c r="O2432">
        <v>1323</v>
      </c>
      <c r="P2432">
        <v>2.76</v>
      </c>
      <c r="Q2432">
        <v>225</v>
      </c>
      <c r="R2432">
        <v>391</v>
      </c>
    </row>
    <row r="2433" spans="1:18" x14ac:dyDescent="0.2">
      <c r="A2433">
        <v>8</v>
      </c>
      <c r="B2433" t="s">
        <v>99</v>
      </c>
      <c r="C2433" t="str">
        <f>VLOOKUP(B2433, 'Council Area'!$A$2:$B$51, 2)</f>
        <v>Canterbury-Bankstown Council</v>
      </c>
      <c r="D2433" t="str">
        <f>_xlfn.XLOOKUP(B2433, 'Council Area'!$A$2:$A$51, 'Council Area'!$B$2:$B$51)</f>
        <v>Canterbury-Bankstown Council</v>
      </c>
      <c r="E2433" t="s">
        <v>51</v>
      </c>
      <c r="F2433">
        <v>2762218</v>
      </c>
      <c r="G2433">
        <v>5</v>
      </c>
      <c r="H2433">
        <v>3</v>
      </c>
      <c r="I2433">
        <v>134</v>
      </c>
      <c r="J2433">
        <v>1970</v>
      </c>
      <c r="K2433" s="4">
        <v>45131</v>
      </c>
      <c r="L2433" t="s">
        <v>23</v>
      </c>
      <c r="M2433" t="s">
        <v>82</v>
      </c>
      <c r="N2433">
        <v>2</v>
      </c>
      <c r="O2433">
        <v>1883</v>
      </c>
      <c r="P2433">
        <v>4.84</v>
      </c>
      <c r="Q2433">
        <v>245</v>
      </c>
      <c r="R2433">
        <v>668</v>
      </c>
    </row>
    <row r="2434" spans="1:18" hidden="1" x14ac:dyDescent="0.2">
      <c r="A2434">
        <v>2</v>
      </c>
      <c r="B2434" t="s">
        <v>87</v>
      </c>
      <c r="E2434" t="s">
        <v>36</v>
      </c>
      <c r="F2434">
        <v>853587</v>
      </c>
      <c r="G2434">
        <v>1</v>
      </c>
      <c r="H2434">
        <v>2</v>
      </c>
      <c r="I2434">
        <v>664</v>
      </c>
      <c r="J2434">
        <v>1998</v>
      </c>
      <c r="K2434" s="4">
        <v>45430</v>
      </c>
      <c r="L2434" t="s">
        <v>20</v>
      </c>
      <c r="M2434" t="s">
        <v>85</v>
      </c>
      <c r="N2434">
        <v>3.17</v>
      </c>
      <c r="O2434">
        <v>2483</v>
      </c>
      <c r="P2434">
        <v>3.42</v>
      </c>
      <c r="Q2434">
        <v>63</v>
      </c>
      <c r="R2434">
        <v>501</v>
      </c>
    </row>
    <row r="2435" spans="1:18" hidden="1" x14ac:dyDescent="0.2">
      <c r="A2435">
        <v>1</v>
      </c>
      <c r="B2435" t="s">
        <v>101</v>
      </c>
      <c r="E2435" t="s">
        <v>29</v>
      </c>
      <c r="F2435">
        <v>1152467</v>
      </c>
      <c r="G2435">
        <v>4</v>
      </c>
      <c r="H2435">
        <v>3</v>
      </c>
      <c r="I2435">
        <v>118</v>
      </c>
      <c r="J2435">
        <v>1962</v>
      </c>
      <c r="K2435" s="4">
        <v>45791</v>
      </c>
      <c r="L2435" t="s">
        <v>26</v>
      </c>
      <c r="M2435" t="s">
        <v>74</v>
      </c>
      <c r="N2435">
        <v>2.3199999999999998</v>
      </c>
      <c r="O2435">
        <v>1374</v>
      </c>
      <c r="P2435">
        <v>4.05</v>
      </c>
      <c r="Q2435">
        <v>379</v>
      </c>
      <c r="R2435">
        <v>524</v>
      </c>
    </row>
    <row r="2436" spans="1:18" hidden="1" x14ac:dyDescent="0.2">
      <c r="A2436">
        <v>5</v>
      </c>
      <c r="B2436" t="s">
        <v>79</v>
      </c>
      <c r="E2436" t="s">
        <v>29</v>
      </c>
      <c r="F2436">
        <v>843779</v>
      </c>
      <c r="G2436">
        <v>3</v>
      </c>
      <c r="H2436">
        <v>3</v>
      </c>
      <c r="I2436">
        <v>278</v>
      </c>
      <c r="J2436">
        <v>1996</v>
      </c>
      <c r="K2436" s="4">
        <v>44933</v>
      </c>
      <c r="L2436" t="s">
        <v>23</v>
      </c>
      <c r="M2436" t="s">
        <v>60</v>
      </c>
      <c r="N2436">
        <v>2.63</v>
      </c>
      <c r="O2436">
        <v>1155</v>
      </c>
      <c r="P2436">
        <v>2.0299999999999998</v>
      </c>
      <c r="Q2436">
        <v>176</v>
      </c>
      <c r="R2436">
        <v>615</v>
      </c>
    </row>
    <row r="2437" spans="1:18" hidden="1" x14ac:dyDescent="0.2">
      <c r="A2437">
        <v>7</v>
      </c>
      <c r="B2437" t="s">
        <v>57</v>
      </c>
      <c r="E2437" t="s">
        <v>29</v>
      </c>
      <c r="F2437">
        <v>2495879</v>
      </c>
      <c r="G2437">
        <v>1</v>
      </c>
      <c r="H2437">
        <v>1</v>
      </c>
      <c r="I2437">
        <v>219</v>
      </c>
      <c r="J2437">
        <v>1952</v>
      </c>
      <c r="K2437" s="4">
        <v>45314</v>
      </c>
      <c r="L2437" t="s">
        <v>26</v>
      </c>
      <c r="M2437" t="s">
        <v>21</v>
      </c>
      <c r="N2437">
        <v>1.57</v>
      </c>
      <c r="O2437">
        <v>1874</v>
      </c>
      <c r="P2437">
        <v>4.03</v>
      </c>
      <c r="Q2437">
        <v>40</v>
      </c>
      <c r="R2437">
        <v>609</v>
      </c>
    </row>
    <row r="2438" spans="1:18" hidden="1" x14ac:dyDescent="0.2">
      <c r="A2438">
        <v>1</v>
      </c>
      <c r="B2438" t="s">
        <v>44</v>
      </c>
      <c r="E2438" t="s">
        <v>51</v>
      </c>
      <c r="F2438">
        <v>2711576</v>
      </c>
      <c r="G2438">
        <v>4</v>
      </c>
      <c r="H2438">
        <v>3</v>
      </c>
      <c r="I2438">
        <v>79</v>
      </c>
      <c r="J2438">
        <v>1995</v>
      </c>
      <c r="K2438" s="4">
        <v>45187</v>
      </c>
      <c r="L2438" t="s">
        <v>20</v>
      </c>
      <c r="M2438" t="s">
        <v>33</v>
      </c>
      <c r="N2438">
        <v>1.96</v>
      </c>
      <c r="O2438">
        <v>900</v>
      </c>
      <c r="P2438">
        <v>2.61</v>
      </c>
      <c r="Q2438">
        <v>219</v>
      </c>
      <c r="R2438">
        <v>625</v>
      </c>
    </row>
    <row r="2439" spans="1:18" hidden="1" x14ac:dyDescent="0.2">
      <c r="A2439">
        <v>9</v>
      </c>
      <c r="B2439" t="s">
        <v>96</v>
      </c>
      <c r="E2439" t="s">
        <v>36</v>
      </c>
      <c r="F2439">
        <v>1392798</v>
      </c>
      <c r="G2439">
        <v>2</v>
      </c>
      <c r="H2439">
        <v>3</v>
      </c>
      <c r="I2439">
        <v>281</v>
      </c>
      <c r="J2439">
        <v>1975</v>
      </c>
      <c r="K2439" s="4">
        <v>45553</v>
      </c>
      <c r="L2439" t="s">
        <v>26</v>
      </c>
      <c r="M2439" t="s">
        <v>60</v>
      </c>
      <c r="N2439">
        <v>2.38</v>
      </c>
      <c r="O2439">
        <v>1738</v>
      </c>
      <c r="P2439">
        <v>2.31</v>
      </c>
      <c r="Q2439">
        <v>104</v>
      </c>
      <c r="R2439">
        <v>398</v>
      </c>
    </row>
    <row r="2440" spans="1:18" hidden="1" x14ac:dyDescent="0.2">
      <c r="A2440">
        <v>5</v>
      </c>
      <c r="B2440" t="s">
        <v>102</v>
      </c>
      <c r="E2440" t="s">
        <v>29</v>
      </c>
      <c r="F2440">
        <v>2800021</v>
      </c>
      <c r="G2440">
        <v>4</v>
      </c>
      <c r="H2440">
        <v>3</v>
      </c>
      <c r="I2440">
        <v>258</v>
      </c>
      <c r="J2440">
        <v>2006</v>
      </c>
      <c r="K2440" s="4">
        <v>44160</v>
      </c>
      <c r="L2440" t="s">
        <v>20</v>
      </c>
      <c r="M2440" t="s">
        <v>59</v>
      </c>
      <c r="N2440">
        <v>2.2999999999999998</v>
      </c>
      <c r="O2440">
        <v>1383</v>
      </c>
      <c r="P2440">
        <v>1.86</v>
      </c>
      <c r="Q2440">
        <v>226</v>
      </c>
      <c r="R2440">
        <v>629</v>
      </c>
    </row>
    <row r="2441" spans="1:18" hidden="1" x14ac:dyDescent="0.2">
      <c r="A2441">
        <v>2</v>
      </c>
      <c r="B2441" t="s">
        <v>72</v>
      </c>
      <c r="E2441" t="s">
        <v>29</v>
      </c>
      <c r="F2441">
        <v>2614373</v>
      </c>
      <c r="G2441">
        <v>4</v>
      </c>
      <c r="H2441">
        <v>2</v>
      </c>
      <c r="I2441">
        <v>571</v>
      </c>
      <c r="J2441">
        <v>1987</v>
      </c>
      <c r="K2441" s="4">
        <v>44858</v>
      </c>
      <c r="L2441" t="s">
        <v>20</v>
      </c>
      <c r="M2441" t="s">
        <v>59</v>
      </c>
      <c r="N2441">
        <v>2.61</v>
      </c>
      <c r="O2441">
        <v>2015</v>
      </c>
      <c r="P2441">
        <v>2.02</v>
      </c>
      <c r="Q2441">
        <v>209</v>
      </c>
      <c r="R2441">
        <v>520</v>
      </c>
    </row>
    <row r="2442" spans="1:18" x14ac:dyDescent="0.2">
      <c r="A2442">
        <v>8</v>
      </c>
      <c r="B2442" t="s">
        <v>72</v>
      </c>
      <c r="C2442" t="str">
        <f>VLOOKUP(B2442, 'Council Area'!$A$2:$B$51, 2)</f>
        <v>Hornsby Shire Council</v>
      </c>
      <c r="D2442" t="str">
        <f>_xlfn.XLOOKUP(B2442, 'Council Area'!$A$2:$A$51, 'Council Area'!$B$2:$B$51)</f>
        <v>Hornsby Shire Council</v>
      </c>
      <c r="E2442" t="s">
        <v>29</v>
      </c>
      <c r="F2442">
        <v>1737745</v>
      </c>
      <c r="G2442">
        <v>6</v>
      </c>
      <c r="H2442">
        <v>3</v>
      </c>
      <c r="I2442">
        <v>751</v>
      </c>
      <c r="J2442">
        <v>1955</v>
      </c>
      <c r="K2442" s="4">
        <v>45226</v>
      </c>
      <c r="L2442" t="s">
        <v>20</v>
      </c>
      <c r="M2442" t="s">
        <v>82</v>
      </c>
      <c r="N2442">
        <v>2</v>
      </c>
      <c r="O2442">
        <v>2414</v>
      </c>
      <c r="P2442">
        <v>0.68</v>
      </c>
      <c r="Q2442">
        <v>334</v>
      </c>
      <c r="R2442">
        <v>543</v>
      </c>
    </row>
    <row r="2443" spans="1:18" hidden="1" x14ac:dyDescent="0.2">
      <c r="A2443">
        <v>7</v>
      </c>
      <c r="B2443" t="s">
        <v>79</v>
      </c>
      <c r="E2443" t="s">
        <v>29</v>
      </c>
      <c r="F2443">
        <v>943104</v>
      </c>
      <c r="G2443">
        <v>3</v>
      </c>
      <c r="H2443">
        <v>1</v>
      </c>
      <c r="I2443">
        <v>81</v>
      </c>
      <c r="J2443">
        <v>1960</v>
      </c>
      <c r="K2443" s="4">
        <v>45577</v>
      </c>
      <c r="L2443" t="s">
        <v>26</v>
      </c>
      <c r="M2443" t="s">
        <v>69</v>
      </c>
      <c r="N2443">
        <v>2.17</v>
      </c>
      <c r="O2443">
        <v>1071</v>
      </c>
      <c r="P2443">
        <v>0.41</v>
      </c>
      <c r="Q2443">
        <v>143</v>
      </c>
      <c r="R2443">
        <v>562</v>
      </c>
    </row>
    <row r="2444" spans="1:18" hidden="1" x14ac:dyDescent="0.2">
      <c r="A2444">
        <v>4</v>
      </c>
      <c r="B2444" t="s">
        <v>67</v>
      </c>
      <c r="E2444" t="s">
        <v>36</v>
      </c>
      <c r="F2444">
        <v>1890390</v>
      </c>
      <c r="G2444">
        <v>3</v>
      </c>
      <c r="H2444">
        <v>1</v>
      </c>
      <c r="I2444">
        <v>921</v>
      </c>
      <c r="J2444">
        <v>1976</v>
      </c>
      <c r="K2444" s="4">
        <v>45380</v>
      </c>
      <c r="L2444" t="s">
        <v>30</v>
      </c>
      <c r="M2444" t="s">
        <v>33</v>
      </c>
      <c r="N2444">
        <v>3.01</v>
      </c>
      <c r="O2444">
        <v>1168</v>
      </c>
      <c r="P2444">
        <v>1.35</v>
      </c>
      <c r="Q2444">
        <v>107</v>
      </c>
      <c r="R2444">
        <v>586</v>
      </c>
    </row>
    <row r="2445" spans="1:18" hidden="1" x14ac:dyDescent="0.2">
      <c r="A2445">
        <v>1</v>
      </c>
      <c r="B2445" t="s">
        <v>73</v>
      </c>
      <c r="E2445" t="s">
        <v>29</v>
      </c>
      <c r="F2445">
        <v>1896889</v>
      </c>
      <c r="G2445">
        <v>1</v>
      </c>
      <c r="H2445">
        <v>3</v>
      </c>
      <c r="I2445">
        <v>573</v>
      </c>
      <c r="J2445">
        <v>1986</v>
      </c>
      <c r="K2445" s="4">
        <v>44835</v>
      </c>
      <c r="L2445" t="s">
        <v>20</v>
      </c>
      <c r="M2445" t="s">
        <v>31</v>
      </c>
      <c r="N2445">
        <v>2.71</v>
      </c>
      <c r="O2445">
        <v>951</v>
      </c>
      <c r="P2445">
        <v>3.42</v>
      </c>
      <c r="Q2445">
        <v>159</v>
      </c>
      <c r="R2445">
        <v>541</v>
      </c>
    </row>
    <row r="2446" spans="1:18" hidden="1" x14ac:dyDescent="0.2">
      <c r="A2446">
        <v>7</v>
      </c>
      <c r="B2446" t="s">
        <v>46</v>
      </c>
      <c r="E2446" t="s">
        <v>19</v>
      </c>
      <c r="F2446">
        <v>1946720</v>
      </c>
      <c r="G2446">
        <v>5</v>
      </c>
      <c r="H2446">
        <v>2</v>
      </c>
      <c r="I2446">
        <v>126</v>
      </c>
      <c r="J2446">
        <v>2013</v>
      </c>
      <c r="K2446" s="4">
        <v>44133</v>
      </c>
      <c r="L2446" t="s">
        <v>30</v>
      </c>
      <c r="M2446" t="s">
        <v>52</v>
      </c>
      <c r="N2446">
        <v>2.0299999999999998</v>
      </c>
      <c r="O2446">
        <v>1016</v>
      </c>
      <c r="P2446">
        <v>1.02</v>
      </c>
      <c r="Q2446">
        <v>304</v>
      </c>
      <c r="R2446">
        <v>455</v>
      </c>
    </row>
    <row r="2447" spans="1:18" x14ac:dyDescent="0.2">
      <c r="A2447">
        <v>8</v>
      </c>
      <c r="B2447" t="s">
        <v>64</v>
      </c>
      <c r="C2447" t="str">
        <f>VLOOKUP(B2447, 'Council Area'!$A$2:$B$51, 2)</f>
        <v>Canterbury-Bankstown Council</v>
      </c>
      <c r="D2447" t="str">
        <f>_xlfn.XLOOKUP(B2447, 'Council Area'!$A$2:$A$51, 'Council Area'!$B$2:$B$51)</f>
        <v>Canterbury-Bankstown Council</v>
      </c>
      <c r="E2447" t="s">
        <v>51</v>
      </c>
      <c r="F2447">
        <v>2958640</v>
      </c>
      <c r="G2447">
        <v>4</v>
      </c>
      <c r="H2447">
        <v>3</v>
      </c>
      <c r="I2447">
        <v>560</v>
      </c>
      <c r="J2447">
        <v>1995</v>
      </c>
      <c r="K2447" s="4">
        <v>45402</v>
      </c>
      <c r="L2447" t="s">
        <v>23</v>
      </c>
      <c r="M2447" t="s">
        <v>47</v>
      </c>
      <c r="N2447">
        <v>2.71</v>
      </c>
      <c r="O2447">
        <v>1532</v>
      </c>
      <c r="P2447">
        <v>2.59</v>
      </c>
      <c r="Q2447">
        <v>228</v>
      </c>
      <c r="R2447">
        <v>467</v>
      </c>
    </row>
    <row r="2448" spans="1:18" hidden="1" x14ac:dyDescent="0.2">
      <c r="A2448">
        <v>7</v>
      </c>
      <c r="B2448" t="s">
        <v>101</v>
      </c>
      <c r="E2448" t="s">
        <v>19</v>
      </c>
      <c r="F2448">
        <v>2398488</v>
      </c>
      <c r="G2448">
        <v>2</v>
      </c>
      <c r="H2448">
        <v>1</v>
      </c>
      <c r="I2448">
        <v>447</v>
      </c>
      <c r="J2448">
        <v>1965</v>
      </c>
      <c r="K2448" s="4">
        <v>44770</v>
      </c>
      <c r="L2448" t="s">
        <v>30</v>
      </c>
      <c r="M2448" t="s">
        <v>76</v>
      </c>
      <c r="N2448">
        <v>2.15</v>
      </c>
      <c r="O2448">
        <v>2411</v>
      </c>
      <c r="P2448">
        <v>3.18</v>
      </c>
      <c r="Q2448">
        <v>129</v>
      </c>
      <c r="R2448">
        <v>603</v>
      </c>
    </row>
    <row r="2449" spans="1:18" hidden="1" x14ac:dyDescent="0.2">
      <c r="A2449">
        <v>1</v>
      </c>
      <c r="B2449" t="s">
        <v>71</v>
      </c>
      <c r="E2449" t="s">
        <v>36</v>
      </c>
      <c r="F2449">
        <v>2474906</v>
      </c>
      <c r="G2449">
        <v>2</v>
      </c>
      <c r="H2449">
        <v>1</v>
      </c>
      <c r="I2449">
        <v>580</v>
      </c>
      <c r="J2449">
        <v>2001</v>
      </c>
      <c r="K2449" s="4">
        <v>45244</v>
      </c>
      <c r="L2449" t="s">
        <v>26</v>
      </c>
      <c r="M2449" t="s">
        <v>31</v>
      </c>
      <c r="N2449">
        <v>1.65</v>
      </c>
      <c r="O2449">
        <v>1267</v>
      </c>
      <c r="P2449">
        <v>2.4900000000000002</v>
      </c>
      <c r="Q2449">
        <v>161</v>
      </c>
      <c r="R2449">
        <v>441</v>
      </c>
    </row>
    <row r="2450" spans="1:18" hidden="1" x14ac:dyDescent="0.2">
      <c r="A2450">
        <v>5</v>
      </c>
      <c r="B2450" t="s">
        <v>34</v>
      </c>
      <c r="E2450" t="s">
        <v>36</v>
      </c>
      <c r="F2450">
        <v>2315228</v>
      </c>
      <c r="G2450">
        <v>4</v>
      </c>
      <c r="H2450">
        <v>2</v>
      </c>
      <c r="I2450">
        <v>921</v>
      </c>
      <c r="J2450">
        <v>1998</v>
      </c>
      <c r="K2450" s="4">
        <v>45158</v>
      </c>
      <c r="L2450" t="s">
        <v>26</v>
      </c>
      <c r="M2450" t="s">
        <v>42</v>
      </c>
      <c r="N2450">
        <v>2.52</v>
      </c>
      <c r="O2450">
        <v>2320</v>
      </c>
      <c r="P2450">
        <v>0.34</v>
      </c>
      <c r="Q2450">
        <v>323</v>
      </c>
      <c r="R2450">
        <v>645</v>
      </c>
    </row>
    <row r="2451" spans="1:18" hidden="1" x14ac:dyDescent="0.2">
      <c r="A2451">
        <v>1</v>
      </c>
      <c r="B2451" t="s">
        <v>48</v>
      </c>
      <c r="E2451" t="s">
        <v>19</v>
      </c>
      <c r="F2451">
        <v>1265526</v>
      </c>
      <c r="G2451">
        <v>3</v>
      </c>
      <c r="H2451">
        <v>2</v>
      </c>
      <c r="I2451">
        <v>466</v>
      </c>
      <c r="J2451">
        <v>1962</v>
      </c>
      <c r="K2451" s="4">
        <v>45475</v>
      </c>
      <c r="L2451" t="s">
        <v>23</v>
      </c>
      <c r="M2451" t="s">
        <v>37</v>
      </c>
      <c r="N2451">
        <v>1.52</v>
      </c>
      <c r="O2451">
        <v>1034</v>
      </c>
      <c r="P2451">
        <v>1.19</v>
      </c>
      <c r="Q2451">
        <v>117</v>
      </c>
      <c r="R2451">
        <v>678</v>
      </c>
    </row>
    <row r="2452" spans="1:18" hidden="1" x14ac:dyDescent="0.2">
      <c r="A2452">
        <v>3</v>
      </c>
      <c r="B2452" t="s">
        <v>61</v>
      </c>
      <c r="E2452" t="s">
        <v>19</v>
      </c>
      <c r="F2452">
        <v>1748741</v>
      </c>
      <c r="G2452">
        <v>1</v>
      </c>
      <c r="H2452">
        <v>1</v>
      </c>
      <c r="I2452">
        <v>783</v>
      </c>
      <c r="J2452">
        <v>1993</v>
      </c>
      <c r="K2452" s="4">
        <v>45804</v>
      </c>
      <c r="L2452" t="s">
        <v>30</v>
      </c>
      <c r="M2452" t="s">
        <v>31</v>
      </c>
      <c r="N2452">
        <v>3.12</v>
      </c>
      <c r="O2452">
        <v>2183</v>
      </c>
      <c r="P2452">
        <v>2.86</v>
      </c>
      <c r="Q2452">
        <v>117</v>
      </c>
      <c r="R2452">
        <v>465</v>
      </c>
    </row>
    <row r="2453" spans="1:18" hidden="1" x14ac:dyDescent="0.2">
      <c r="A2453">
        <v>7</v>
      </c>
      <c r="B2453" t="s">
        <v>72</v>
      </c>
      <c r="E2453" t="s">
        <v>29</v>
      </c>
      <c r="F2453">
        <v>2263076</v>
      </c>
      <c r="G2453">
        <v>5</v>
      </c>
      <c r="H2453">
        <v>3</v>
      </c>
      <c r="I2453">
        <v>67</v>
      </c>
      <c r="J2453">
        <v>1967</v>
      </c>
      <c r="K2453" s="4">
        <v>44402</v>
      </c>
      <c r="L2453" t="s">
        <v>26</v>
      </c>
      <c r="M2453" t="s">
        <v>70</v>
      </c>
      <c r="N2453">
        <v>1.52</v>
      </c>
      <c r="O2453">
        <v>1921</v>
      </c>
      <c r="P2453">
        <v>4.97</v>
      </c>
      <c r="Q2453">
        <v>334</v>
      </c>
      <c r="R2453">
        <v>604</v>
      </c>
    </row>
    <row r="2454" spans="1:18" hidden="1" x14ac:dyDescent="0.2">
      <c r="A2454">
        <v>5</v>
      </c>
      <c r="B2454" t="s">
        <v>39</v>
      </c>
      <c r="E2454" t="s">
        <v>19</v>
      </c>
      <c r="F2454">
        <v>449327</v>
      </c>
      <c r="G2454">
        <v>4</v>
      </c>
      <c r="H2454">
        <v>2</v>
      </c>
      <c r="I2454">
        <v>415</v>
      </c>
      <c r="J2454">
        <v>2009</v>
      </c>
      <c r="K2454" s="4">
        <v>44938</v>
      </c>
      <c r="L2454" t="s">
        <v>26</v>
      </c>
      <c r="M2454" t="s">
        <v>77</v>
      </c>
      <c r="N2454">
        <v>2.2400000000000002</v>
      </c>
      <c r="O2454">
        <v>1938</v>
      </c>
      <c r="P2454">
        <v>1.4</v>
      </c>
      <c r="Q2454">
        <v>264</v>
      </c>
      <c r="R2454">
        <v>582</v>
      </c>
    </row>
    <row r="2455" spans="1:18" hidden="1" x14ac:dyDescent="0.2">
      <c r="A2455">
        <v>7</v>
      </c>
      <c r="B2455" t="s">
        <v>62</v>
      </c>
      <c r="E2455" t="s">
        <v>36</v>
      </c>
      <c r="F2455">
        <v>2327049</v>
      </c>
      <c r="G2455">
        <v>2</v>
      </c>
      <c r="H2455">
        <v>1</v>
      </c>
      <c r="I2455">
        <v>340</v>
      </c>
      <c r="J2455">
        <v>1971</v>
      </c>
      <c r="K2455" s="4">
        <v>44950</v>
      </c>
      <c r="L2455" t="s">
        <v>26</v>
      </c>
      <c r="M2455" t="s">
        <v>78</v>
      </c>
      <c r="N2455">
        <v>3.08</v>
      </c>
      <c r="O2455">
        <v>2027</v>
      </c>
      <c r="P2455">
        <v>2.72</v>
      </c>
      <c r="Q2455">
        <v>149</v>
      </c>
      <c r="R2455">
        <v>555</v>
      </c>
    </row>
    <row r="2456" spans="1:18" hidden="1" x14ac:dyDescent="0.2">
      <c r="A2456">
        <v>4</v>
      </c>
      <c r="B2456" t="s">
        <v>65</v>
      </c>
      <c r="E2456" t="s">
        <v>36</v>
      </c>
      <c r="F2456">
        <v>2671216</v>
      </c>
      <c r="G2456">
        <v>6</v>
      </c>
      <c r="H2456">
        <v>3</v>
      </c>
      <c r="I2456">
        <v>184</v>
      </c>
      <c r="J2456">
        <v>1971</v>
      </c>
      <c r="K2456" s="4">
        <v>45734</v>
      </c>
      <c r="L2456" t="s">
        <v>26</v>
      </c>
      <c r="M2456" t="s">
        <v>33</v>
      </c>
      <c r="N2456">
        <v>2.2999999999999998</v>
      </c>
      <c r="O2456">
        <v>1264</v>
      </c>
      <c r="P2456">
        <v>2.36</v>
      </c>
      <c r="Q2456">
        <v>331</v>
      </c>
      <c r="R2456">
        <v>553</v>
      </c>
    </row>
    <row r="2457" spans="1:18" x14ac:dyDescent="0.2">
      <c r="A2457">
        <v>8</v>
      </c>
      <c r="B2457" t="s">
        <v>81</v>
      </c>
      <c r="C2457" t="str">
        <f>VLOOKUP(B2457, 'Council Area'!$A$2:$B$51, 2)</f>
        <v>Canterbury-Bankstown Council</v>
      </c>
      <c r="D2457" t="str">
        <f>_xlfn.XLOOKUP(B2457, 'Council Area'!$A$2:$A$51, 'Council Area'!$B$2:$B$51)</f>
        <v>Canterbury-Bankstown Council</v>
      </c>
      <c r="E2457" t="s">
        <v>51</v>
      </c>
      <c r="F2457">
        <v>2103217</v>
      </c>
      <c r="G2457">
        <v>0</v>
      </c>
      <c r="H2457">
        <v>3</v>
      </c>
      <c r="I2457">
        <v>308</v>
      </c>
      <c r="J2457">
        <v>2001</v>
      </c>
      <c r="K2457" s="4">
        <v>45741</v>
      </c>
      <c r="L2457" t="s">
        <v>20</v>
      </c>
      <c r="M2457" t="s">
        <v>70</v>
      </c>
      <c r="N2457">
        <v>2.71</v>
      </c>
      <c r="O2457">
        <v>1826</v>
      </c>
      <c r="P2457">
        <v>4.97</v>
      </c>
      <c r="Q2457">
        <v>42</v>
      </c>
      <c r="R2457">
        <v>511</v>
      </c>
    </row>
    <row r="2458" spans="1:18" hidden="1" x14ac:dyDescent="0.2">
      <c r="A2458">
        <v>2</v>
      </c>
      <c r="B2458" t="s">
        <v>57</v>
      </c>
      <c r="E2458" t="s">
        <v>19</v>
      </c>
      <c r="F2458">
        <v>509229</v>
      </c>
      <c r="G2458">
        <v>5</v>
      </c>
      <c r="H2458">
        <v>2</v>
      </c>
      <c r="I2458">
        <v>250</v>
      </c>
      <c r="J2458">
        <v>2017</v>
      </c>
      <c r="K2458" s="4">
        <v>45879</v>
      </c>
      <c r="L2458" t="s">
        <v>20</v>
      </c>
      <c r="M2458" t="s">
        <v>89</v>
      </c>
      <c r="N2458">
        <v>2.92</v>
      </c>
      <c r="O2458">
        <v>1708</v>
      </c>
      <c r="P2458">
        <v>2.29</v>
      </c>
      <c r="Q2458">
        <v>256</v>
      </c>
      <c r="R2458">
        <v>373</v>
      </c>
    </row>
    <row r="2459" spans="1:18" hidden="1" x14ac:dyDescent="0.2">
      <c r="A2459">
        <v>1</v>
      </c>
      <c r="B2459" t="s">
        <v>46</v>
      </c>
      <c r="E2459" t="s">
        <v>51</v>
      </c>
      <c r="F2459">
        <v>1114773</v>
      </c>
      <c r="G2459">
        <v>4</v>
      </c>
      <c r="H2459">
        <v>2</v>
      </c>
      <c r="I2459">
        <v>622</v>
      </c>
      <c r="J2459">
        <v>1990</v>
      </c>
      <c r="K2459" s="4">
        <v>44738</v>
      </c>
      <c r="L2459" t="s">
        <v>26</v>
      </c>
      <c r="M2459" t="s">
        <v>24</v>
      </c>
      <c r="N2459">
        <v>3.28</v>
      </c>
      <c r="O2459">
        <v>1106</v>
      </c>
      <c r="P2459">
        <v>3.55</v>
      </c>
      <c r="Q2459">
        <v>252</v>
      </c>
      <c r="R2459">
        <v>313</v>
      </c>
    </row>
    <row r="2460" spans="1:18" hidden="1" x14ac:dyDescent="0.2">
      <c r="A2460">
        <v>1</v>
      </c>
      <c r="B2460" t="s">
        <v>92</v>
      </c>
      <c r="E2460" t="s">
        <v>29</v>
      </c>
      <c r="F2460">
        <v>2357674</v>
      </c>
      <c r="G2460">
        <v>4</v>
      </c>
      <c r="H2460">
        <v>1</v>
      </c>
      <c r="I2460">
        <v>785</v>
      </c>
      <c r="J2460">
        <v>1951</v>
      </c>
      <c r="K2460" s="4">
        <v>45828</v>
      </c>
      <c r="L2460" t="s">
        <v>20</v>
      </c>
      <c r="M2460" t="s">
        <v>89</v>
      </c>
      <c r="N2460">
        <v>2.23</v>
      </c>
      <c r="O2460">
        <v>2493</v>
      </c>
      <c r="P2460">
        <v>1.21</v>
      </c>
      <c r="Q2460">
        <v>227</v>
      </c>
      <c r="R2460">
        <v>397</v>
      </c>
    </row>
    <row r="2461" spans="1:18" hidden="1" x14ac:dyDescent="0.2">
      <c r="A2461">
        <v>6</v>
      </c>
      <c r="B2461" t="s">
        <v>81</v>
      </c>
      <c r="E2461" t="s">
        <v>19</v>
      </c>
      <c r="F2461">
        <v>1780287</v>
      </c>
      <c r="G2461">
        <v>2</v>
      </c>
      <c r="H2461">
        <v>1</v>
      </c>
      <c r="I2461">
        <v>459</v>
      </c>
      <c r="J2461">
        <v>1992</v>
      </c>
      <c r="K2461" s="4">
        <v>45096</v>
      </c>
      <c r="L2461" t="s">
        <v>20</v>
      </c>
      <c r="M2461" t="s">
        <v>45</v>
      </c>
      <c r="N2461">
        <v>3.46</v>
      </c>
      <c r="O2461">
        <v>2255</v>
      </c>
      <c r="P2461">
        <v>4.46</v>
      </c>
      <c r="Q2461">
        <v>159</v>
      </c>
      <c r="R2461">
        <v>477</v>
      </c>
    </row>
    <row r="2462" spans="1:18" hidden="1" x14ac:dyDescent="0.2">
      <c r="A2462">
        <v>2</v>
      </c>
      <c r="B2462" t="s">
        <v>88</v>
      </c>
      <c r="E2462" t="s">
        <v>19</v>
      </c>
      <c r="F2462">
        <v>1530730</v>
      </c>
      <c r="G2462">
        <v>3</v>
      </c>
      <c r="H2462">
        <v>1</v>
      </c>
      <c r="I2462">
        <v>305</v>
      </c>
      <c r="J2462">
        <v>2022</v>
      </c>
      <c r="K2462" s="4">
        <v>45422</v>
      </c>
      <c r="L2462" t="s">
        <v>20</v>
      </c>
      <c r="M2462" t="s">
        <v>97</v>
      </c>
      <c r="N2462">
        <v>3.28</v>
      </c>
      <c r="O2462">
        <v>2335</v>
      </c>
      <c r="P2462">
        <v>4.2699999999999996</v>
      </c>
      <c r="Q2462">
        <v>290</v>
      </c>
      <c r="R2462">
        <v>387</v>
      </c>
    </row>
    <row r="2463" spans="1:18" x14ac:dyDescent="0.2">
      <c r="A2463">
        <v>8</v>
      </c>
      <c r="B2463" t="s">
        <v>32</v>
      </c>
      <c r="C2463" t="str">
        <f>VLOOKUP(B2463, 'Council Area'!$A$2:$B$51, 2)</f>
        <v>Randwick City Council</v>
      </c>
      <c r="D2463" t="str">
        <f>_xlfn.XLOOKUP(B2463, 'Council Area'!$A$2:$A$51, 'Council Area'!$B$2:$B$51)</f>
        <v>Randwick City Council</v>
      </c>
      <c r="E2463" t="s">
        <v>19</v>
      </c>
      <c r="F2463">
        <v>1024036</v>
      </c>
      <c r="G2463">
        <v>6</v>
      </c>
      <c r="H2463">
        <v>2</v>
      </c>
      <c r="I2463">
        <v>403</v>
      </c>
      <c r="J2463">
        <v>1977</v>
      </c>
      <c r="K2463" s="4">
        <v>44116</v>
      </c>
      <c r="L2463" t="s">
        <v>30</v>
      </c>
      <c r="M2463" t="s">
        <v>33</v>
      </c>
      <c r="N2463">
        <v>1.76</v>
      </c>
      <c r="O2463">
        <v>1380</v>
      </c>
      <c r="P2463">
        <v>1.54</v>
      </c>
      <c r="Q2463">
        <v>355</v>
      </c>
      <c r="R2463">
        <v>462</v>
      </c>
    </row>
    <row r="2464" spans="1:18" hidden="1" x14ac:dyDescent="0.2">
      <c r="A2464">
        <v>1</v>
      </c>
      <c r="B2464" t="s">
        <v>81</v>
      </c>
      <c r="E2464" t="s">
        <v>19</v>
      </c>
      <c r="F2464">
        <v>2132660</v>
      </c>
      <c r="G2464">
        <v>4</v>
      </c>
      <c r="H2464">
        <v>1</v>
      </c>
      <c r="I2464">
        <v>587</v>
      </c>
      <c r="J2464">
        <v>1951</v>
      </c>
      <c r="K2464" s="4">
        <v>44439</v>
      </c>
      <c r="L2464" t="s">
        <v>23</v>
      </c>
      <c r="M2464" t="s">
        <v>69</v>
      </c>
      <c r="N2464">
        <v>3.2</v>
      </c>
      <c r="O2464">
        <v>1999</v>
      </c>
      <c r="P2464">
        <v>1.3</v>
      </c>
      <c r="Q2464">
        <v>218</v>
      </c>
      <c r="R2464">
        <v>680</v>
      </c>
    </row>
    <row r="2465" spans="1:18" hidden="1" x14ac:dyDescent="0.2">
      <c r="A2465">
        <v>9</v>
      </c>
      <c r="B2465" t="s">
        <v>79</v>
      </c>
      <c r="E2465" t="s">
        <v>29</v>
      </c>
      <c r="F2465">
        <v>616641</v>
      </c>
      <c r="G2465">
        <v>2</v>
      </c>
      <c r="H2465">
        <v>2</v>
      </c>
      <c r="I2465">
        <v>355</v>
      </c>
      <c r="J2465">
        <v>1995</v>
      </c>
      <c r="K2465" s="4">
        <v>44695</v>
      </c>
      <c r="L2465" t="s">
        <v>26</v>
      </c>
      <c r="M2465" t="s">
        <v>85</v>
      </c>
      <c r="N2465">
        <v>1.58</v>
      </c>
      <c r="O2465">
        <v>2054</v>
      </c>
      <c r="P2465">
        <v>3.36</v>
      </c>
      <c r="Q2465">
        <v>84</v>
      </c>
      <c r="R2465">
        <v>613</v>
      </c>
    </row>
    <row r="2466" spans="1:18" hidden="1" x14ac:dyDescent="0.2">
      <c r="A2466">
        <v>0</v>
      </c>
      <c r="B2466" t="s">
        <v>106</v>
      </c>
      <c r="E2466" t="s">
        <v>36</v>
      </c>
      <c r="F2466">
        <v>2991050</v>
      </c>
      <c r="G2466">
        <v>5</v>
      </c>
      <c r="H2466">
        <v>2</v>
      </c>
      <c r="I2466">
        <v>118</v>
      </c>
      <c r="J2466">
        <v>1976</v>
      </c>
      <c r="K2466" s="4">
        <v>45235</v>
      </c>
      <c r="L2466" t="s">
        <v>20</v>
      </c>
      <c r="M2466" t="s">
        <v>59</v>
      </c>
      <c r="N2466">
        <v>3.21</v>
      </c>
      <c r="O2466">
        <v>1791</v>
      </c>
      <c r="P2466">
        <v>3.12</v>
      </c>
      <c r="Q2466">
        <v>245</v>
      </c>
      <c r="R2466">
        <v>406</v>
      </c>
    </row>
    <row r="2467" spans="1:18" hidden="1" x14ac:dyDescent="0.2">
      <c r="A2467">
        <v>0</v>
      </c>
      <c r="B2467" t="s">
        <v>100</v>
      </c>
      <c r="E2467" t="s">
        <v>51</v>
      </c>
      <c r="F2467">
        <v>898067</v>
      </c>
      <c r="G2467">
        <v>1</v>
      </c>
      <c r="H2467">
        <v>1</v>
      </c>
      <c r="I2467">
        <v>490</v>
      </c>
      <c r="J2467">
        <v>1991</v>
      </c>
      <c r="K2467" s="4">
        <v>44577</v>
      </c>
      <c r="L2467" t="s">
        <v>20</v>
      </c>
      <c r="M2467" t="s">
        <v>74</v>
      </c>
      <c r="N2467">
        <v>1.87</v>
      </c>
      <c r="O2467">
        <v>1054</v>
      </c>
      <c r="P2467">
        <v>3.73</v>
      </c>
      <c r="Q2467">
        <v>132</v>
      </c>
      <c r="R2467">
        <v>494</v>
      </c>
    </row>
    <row r="2468" spans="1:18" hidden="1" x14ac:dyDescent="0.2">
      <c r="A2468">
        <v>4</v>
      </c>
      <c r="B2468" t="s">
        <v>50</v>
      </c>
      <c r="E2468" t="s">
        <v>51</v>
      </c>
      <c r="F2468">
        <v>2727520</v>
      </c>
      <c r="G2468">
        <v>3</v>
      </c>
      <c r="H2468">
        <v>2</v>
      </c>
      <c r="I2468">
        <v>701</v>
      </c>
      <c r="J2468">
        <v>1961</v>
      </c>
      <c r="K2468" s="4">
        <v>44707</v>
      </c>
      <c r="L2468" t="s">
        <v>23</v>
      </c>
      <c r="M2468" t="s">
        <v>24</v>
      </c>
      <c r="N2468">
        <v>2.67</v>
      </c>
      <c r="O2468">
        <v>1717</v>
      </c>
      <c r="P2468">
        <v>4.42</v>
      </c>
      <c r="Q2468">
        <v>181</v>
      </c>
      <c r="R2468">
        <v>424</v>
      </c>
    </row>
    <row r="2469" spans="1:18" hidden="1" x14ac:dyDescent="0.2">
      <c r="A2469">
        <v>1</v>
      </c>
      <c r="B2469" t="s">
        <v>80</v>
      </c>
      <c r="E2469" t="s">
        <v>19</v>
      </c>
      <c r="F2469">
        <v>421760</v>
      </c>
      <c r="G2469">
        <v>3</v>
      </c>
      <c r="H2469">
        <v>1</v>
      </c>
      <c r="I2469">
        <v>705</v>
      </c>
      <c r="J2469">
        <v>1995</v>
      </c>
      <c r="K2469" s="4">
        <v>45863</v>
      </c>
      <c r="L2469" t="s">
        <v>23</v>
      </c>
      <c r="M2469" t="s">
        <v>40</v>
      </c>
      <c r="N2469">
        <v>3.35</v>
      </c>
      <c r="O2469">
        <v>2488</v>
      </c>
      <c r="P2469">
        <v>3.74</v>
      </c>
      <c r="Q2469">
        <v>273</v>
      </c>
      <c r="R2469">
        <v>478</v>
      </c>
    </row>
    <row r="2470" spans="1:18" hidden="1" x14ac:dyDescent="0.2">
      <c r="A2470">
        <v>3</v>
      </c>
      <c r="B2470" t="s">
        <v>55</v>
      </c>
      <c r="E2470" t="s">
        <v>36</v>
      </c>
      <c r="F2470">
        <v>2239532</v>
      </c>
      <c r="G2470">
        <v>0</v>
      </c>
      <c r="H2470">
        <v>2</v>
      </c>
      <c r="I2470">
        <v>719</v>
      </c>
      <c r="J2470">
        <v>1961</v>
      </c>
      <c r="K2470" s="4">
        <v>44881</v>
      </c>
      <c r="L2470" t="s">
        <v>30</v>
      </c>
      <c r="M2470" t="s">
        <v>42</v>
      </c>
      <c r="N2470">
        <v>2.65</v>
      </c>
      <c r="O2470">
        <v>1379</v>
      </c>
      <c r="P2470">
        <v>2.33</v>
      </c>
      <c r="Q2470">
        <v>49</v>
      </c>
      <c r="R2470">
        <v>441</v>
      </c>
    </row>
    <row r="2471" spans="1:18" hidden="1" x14ac:dyDescent="0.2">
      <c r="A2471">
        <v>2</v>
      </c>
      <c r="B2471" t="s">
        <v>104</v>
      </c>
      <c r="E2471" t="s">
        <v>36</v>
      </c>
      <c r="F2471">
        <v>2870947</v>
      </c>
      <c r="G2471">
        <v>3</v>
      </c>
      <c r="H2471">
        <v>3</v>
      </c>
      <c r="I2471">
        <v>404</v>
      </c>
      <c r="J2471">
        <v>2016</v>
      </c>
      <c r="K2471" s="4">
        <v>44673</v>
      </c>
      <c r="L2471" t="s">
        <v>26</v>
      </c>
      <c r="M2471" t="s">
        <v>31</v>
      </c>
      <c r="N2471">
        <v>3.33</v>
      </c>
      <c r="O2471">
        <v>2086</v>
      </c>
      <c r="P2471">
        <v>0.99</v>
      </c>
      <c r="Q2471">
        <v>312</v>
      </c>
      <c r="R2471">
        <v>501</v>
      </c>
    </row>
    <row r="2472" spans="1:18" hidden="1" x14ac:dyDescent="0.2">
      <c r="A2472">
        <v>5</v>
      </c>
      <c r="B2472" t="s">
        <v>98</v>
      </c>
      <c r="E2472" t="s">
        <v>29</v>
      </c>
      <c r="F2472">
        <v>2247801</v>
      </c>
      <c r="G2472">
        <v>2</v>
      </c>
      <c r="H2472">
        <v>2</v>
      </c>
      <c r="I2472">
        <v>434</v>
      </c>
      <c r="J2472">
        <v>1974</v>
      </c>
      <c r="K2472" s="4">
        <v>44830</v>
      </c>
      <c r="L2472" t="s">
        <v>26</v>
      </c>
      <c r="M2472" t="s">
        <v>60</v>
      </c>
      <c r="N2472">
        <v>2.5099999999999998</v>
      </c>
      <c r="O2472">
        <v>2236</v>
      </c>
      <c r="P2472">
        <v>0.74</v>
      </c>
      <c r="Q2472">
        <v>92</v>
      </c>
      <c r="R2472">
        <v>532</v>
      </c>
    </row>
    <row r="2473" spans="1:18" hidden="1" x14ac:dyDescent="0.2">
      <c r="A2473">
        <v>2</v>
      </c>
      <c r="B2473" t="s">
        <v>22</v>
      </c>
      <c r="E2473" t="s">
        <v>29</v>
      </c>
      <c r="F2473">
        <v>2116939</v>
      </c>
      <c r="G2473">
        <v>4</v>
      </c>
      <c r="H2473">
        <v>3</v>
      </c>
      <c r="I2473">
        <v>729</v>
      </c>
      <c r="J2473">
        <v>2000</v>
      </c>
      <c r="K2473" s="4">
        <v>44101</v>
      </c>
      <c r="L2473" t="s">
        <v>20</v>
      </c>
      <c r="M2473" t="s">
        <v>21</v>
      </c>
      <c r="N2473">
        <v>3.27</v>
      </c>
      <c r="O2473">
        <v>2422</v>
      </c>
      <c r="P2473">
        <v>4.05</v>
      </c>
      <c r="Q2473">
        <v>264</v>
      </c>
      <c r="R2473">
        <v>349</v>
      </c>
    </row>
    <row r="2474" spans="1:18" hidden="1" x14ac:dyDescent="0.2">
      <c r="A2474">
        <v>6</v>
      </c>
      <c r="B2474" t="s">
        <v>94</v>
      </c>
      <c r="E2474" t="s">
        <v>29</v>
      </c>
      <c r="F2474">
        <v>1204037</v>
      </c>
      <c r="G2474">
        <v>4</v>
      </c>
      <c r="H2474">
        <v>2</v>
      </c>
      <c r="I2474">
        <v>498</v>
      </c>
      <c r="J2474">
        <v>1952</v>
      </c>
      <c r="K2474" s="4">
        <v>44672</v>
      </c>
      <c r="L2474" t="s">
        <v>30</v>
      </c>
      <c r="M2474" t="s">
        <v>42</v>
      </c>
      <c r="N2474">
        <v>2.94</v>
      </c>
      <c r="O2474">
        <v>2463</v>
      </c>
      <c r="P2474">
        <v>3.15</v>
      </c>
      <c r="Q2474">
        <v>367</v>
      </c>
      <c r="R2474">
        <v>355</v>
      </c>
    </row>
    <row r="2475" spans="1:18" hidden="1" x14ac:dyDescent="0.2">
      <c r="A2475">
        <v>4</v>
      </c>
      <c r="B2475" t="s">
        <v>84</v>
      </c>
      <c r="E2475" t="s">
        <v>51</v>
      </c>
      <c r="F2475">
        <v>2668528</v>
      </c>
      <c r="G2475">
        <v>4</v>
      </c>
      <c r="H2475">
        <v>3</v>
      </c>
      <c r="I2475">
        <v>797</v>
      </c>
      <c r="J2475">
        <v>1952</v>
      </c>
      <c r="K2475" s="4">
        <v>45424</v>
      </c>
      <c r="L2475" t="s">
        <v>23</v>
      </c>
      <c r="M2475" t="s">
        <v>89</v>
      </c>
      <c r="N2475">
        <v>1.81</v>
      </c>
      <c r="O2475">
        <v>1018</v>
      </c>
      <c r="P2475">
        <v>4.17</v>
      </c>
      <c r="Q2475">
        <v>237</v>
      </c>
      <c r="R2475">
        <v>695</v>
      </c>
    </row>
    <row r="2476" spans="1:18" hidden="1" x14ac:dyDescent="0.2">
      <c r="A2476">
        <v>1</v>
      </c>
      <c r="B2476" t="s">
        <v>87</v>
      </c>
      <c r="E2476" t="s">
        <v>51</v>
      </c>
      <c r="F2476">
        <v>493723</v>
      </c>
      <c r="G2476">
        <v>4</v>
      </c>
      <c r="H2476">
        <v>3</v>
      </c>
      <c r="I2476">
        <v>908</v>
      </c>
      <c r="J2476">
        <v>1962</v>
      </c>
      <c r="K2476" s="4">
        <v>44483</v>
      </c>
      <c r="L2476" t="s">
        <v>23</v>
      </c>
      <c r="M2476" t="s">
        <v>78</v>
      </c>
      <c r="N2476">
        <v>2.59</v>
      </c>
      <c r="O2476">
        <v>1470</v>
      </c>
      <c r="P2476">
        <v>0.47</v>
      </c>
      <c r="Q2476">
        <v>273</v>
      </c>
      <c r="R2476">
        <v>384</v>
      </c>
    </row>
    <row r="2477" spans="1:18" hidden="1" x14ac:dyDescent="0.2">
      <c r="A2477">
        <v>3</v>
      </c>
      <c r="B2477" t="s">
        <v>87</v>
      </c>
      <c r="E2477" t="s">
        <v>36</v>
      </c>
      <c r="F2477">
        <v>470777</v>
      </c>
      <c r="G2477">
        <v>4</v>
      </c>
      <c r="H2477">
        <v>3</v>
      </c>
      <c r="I2477">
        <v>622</v>
      </c>
      <c r="J2477">
        <v>1983</v>
      </c>
      <c r="K2477" s="4">
        <v>45209</v>
      </c>
      <c r="L2477" t="s">
        <v>20</v>
      </c>
      <c r="M2477" t="s">
        <v>42</v>
      </c>
      <c r="N2477">
        <v>2.97</v>
      </c>
      <c r="O2477">
        <v>2357</v>
      </c>
      <c r="P2477">
        <v>5</v>
      </c>
      <c r="Q2477">
        <v>363</v>
      </c>
      <c r="R2477">
        <v>388</v>
      </c>
    </row>
    <row r="2478" spans="1:18" hidden="1" x14ac:dyDescent="0.2">
      <c r="A2478">
        <v>5</v>
      </c>
      <c r="B2478" t="s">
        <v>50</v>
      </c>
      <c r="E2478" t="s">
        <v>36</v>
      </c>
      <c r="F2478">
        <v>469050</v>
      </c>
      <c r="G2478">
        <v>5</v>
      </c>
      <c r="H2478">
        <v>1</v>
      </c>
      <c r="I2478">
        <v>854</v>
      </c>
      <c r="J2478">
        <v>1999</v>
      </c>
      <c r="K2478" s="4">
        <v>44413</v>
      </c>
      <c r="L2478" t="s">
        <v>23</v>
      </c>
      <c r="M2478" t="s">
        <v>59</v>
      </c>
      <c r="N2478">
        <v>1.51</v>
      </c>
      <c r="O2478">
        <v>2422</v>
      </c>
      <c r="P2478">
        <v>1.34</v>
      </c>
      <c r="Q2478">
        <v>252</v>
      </c>
      <c r="R2478">
        <v>389</v>
      </c>
    </row>
    <row r="2479" spans="1:18" hidden="1" x14ac:dyDescent="0.2">
      <c r="A2479">
        <v>4</v>
      </c>
      <c r="B2479" t="s">
        <v>67</v>
      </c>
      <c r="E2479" t="s">
        <v>19</v>
      </c>
      <c r="F2479">
        <v>2111676</v>
      </c>
      <c r="G2479">
        <v>3</v>
      </c>
      <c r="H2479">
        <v>2</v>
      </c>
      <c r="I2479">
        <v>509</v>
      </c>
      <c r="J2479">
        <v>1999</v>
      </c>
      <c r="K2479" s="4">
        <v>44390</v>
      </c>
      <c r="L2479" t="s">
        <v>20</v>
      </c>
      <c r="M2479" t="s">
        <v>24</v>
      </c>
      <c r="N2479">
        <v>1.63</v>
      </c>
      <c r="O2479">
        <v>1972</v>
      </c>
      <c r="P2479">
        <v>2.81</v>
      </c>
      <c r="Q2479">
        <v>182</v>
      </c>
      <c r="R2479">
        <v>498</v>
      </c>
    </row>
    <row r="2480" spans="1:18" hidden="1" x14ac:dyDescent="0.2">
      <c r="A2480">
        <v>3</v>
      </c>
      <c r="B2480" t="s">
        <v>49</v>
      </c>
      <c r="E2480" t="s">
        <v>19</v>
      </c>
      <c r="F2480">
        <v>631711</v>
      </c>
      <c r="G2480">
        <v>1</v>
      </c>
      <c r="H2480">
        <v>2</v>
      </c>
      <c r="I2480">
        <v>727</v>
      </c>
      <c r="J2480">
        <v>1950</v>
      </c>
      <c r="K2480" s="4">
        <v>45840</v>
      </c>
      <c r="L2480" t="s">
        <v>26</v>
      </c>
      <c r="M2480" t="s">
        <v>54</v>
      </c>
      <c r="N2480">
        <v>2.68</v>
      </c>
      <c r="O2480">
        <v>1260</v>
      </c>
      <c r="P2480">
        <v>0.14000000000000001</v>
      </c>
      <c r="Q2480">
        <v>82</v>
      </c>
      <c r="R2480">
        <v>600</v>
      </c>
    </row>
    <row r="2481" spans="1:18" hidden="1" x14ac:dyDescent="0.2">
      <c r="A2481">
        <v>2</v>
      </c>
      <c r="B2481" t="s">
        <v>57</v>
      </c>
      <c r="E2481" t="s">
        <v>19</v>
      </c>
      <c r="F2481">
        <v>1298788</v>
      </c>
      <c r="G2481">
        <v>3</v>
      </c>
      <c r="H2481">
        <v>1</v>
      </c>
      <c r="I2481">
        <v>325</v>
      </c>
      <c r="J2481">
        <v>1952</v>
      </c>
      <c r="K2481" s="4">
        <v>45215</v>
      </c>
      <c r="L2481" t="s">
        <v>20</v>
      </c>
      <c r="M2481" t="s">
        <v>58</v>
      </c>
      <c r="N2481">
        <v>1.68</v>
      </c>
      <c r="O2481">
        <v>2106</v>
      </c>
      <c r="P2481">
        <v>4.28</v>
      </c>
      <c r="Q2481">
        <v>235</v>
      </c>
      <c r="R2481">
        <v>463</v>
      </c>
    </row>
    <row r="2482" spans="1:18" hidden="1" x14ac:dyDescent="0.2">
      <c r="A2482">
        <v>7</v>
      </c>
      <c r="B2482" t="s">
        <v>88</v>
      </c>
      <c r="E2482" t="s">
        <v>51</v>
      </c>
      <c r="F2482">
        <v>799365</v>
      </c>
      <c r="G2482">
        <v>4</v>
      </c>
      <c r="H2482">
        <v>3</v>
      </c>
      <c r="I2482">
        <v>404</v>
      </c>
      <c r="J2482">
        <v>1995</v>
      </c>
      <c r="K2482" s="4">
        <v>45097</v>
      </c>
      <c r="L2482" t="s">
        <v>30</v>
      </c>
      <c r="M2482" t="s">
        <v>60</v>
      </c>
      <c r="N2482">
        <v>3.45</v>
      </c>
      <c r="O2482">
        <v>1828</v>
      </c>
      <c r="P2482">
        <v>3.74</v>
      </c>
      <c r="Q2482">
        <v>292</v>
      </c>
      <c r="R2482">
        <v>367</v>
      </c>
    </row>
    <row r="2483" spans="1:18" hidden="1" x14ac:dyDescent="0.2">
      <c r="A2483">
        <v>6</v>
      </c>
      <c r="B2483" t="s">
        <v>46</v>
      </c>
      <c r="E2483" t="s">
        <v>19</v>
      </c>
      <c r="F2483">
        <v>1590941</v>
      </c>
      <c r="G2483">
        <v>5</v>
      </c>
      <c r="H2483">
        <v>1</v>
      </c>
      <c r="I2483">
        <v>812</v>
      </c>
      <c r="J2483">
        <v>1996</v>
      </c>
      <c r="K2483" s="4">
        <v>44657</v>
      </c>
      <c r="L2483" t="s">
        <v>30</v>
      </c>
      <c r="M2483" t="s">
        <v>89</v>
      </c>
      <c r="N2483">
        <v>1.96</v>
      </c>
      <c r="O2483">
        <v>807</v>
      </c>
      <c r="P2483">
        <v>1.98</v>
      </c>
      <c r="Q2483">
        <v>262</v>
      </c>
      <c r="R2483">
        <v>642</v>
      </c>
    </row>
    <row r="2484" spans="1:18" hidden="1" x14ac:dyDescent="0.2">
      <c r="A2484">
        <v>6</v>
      </c>
      <c r="B2484" t="s">
        <v>38</v>
      </c>
      <c r="E2484" t="s">
        <v>36</v>
      </c>
      <c r="F2484">
        <v>798231</v>
      </c>
      <c r="G2484">
        <v>4</v>
      </c>
      <c r="H2484">
        <v>1</v>
      </c>
      <c r="I2484">
        <v>573</v>
      </c>
      <c r="J2484">
        <v>1979</v>
      </c>
      <c r="K2484" s="4">
        <v>45765</v>
      </c>
      <c r="L2484" t="s">
        <v>23</v>
      </c>
      <c r="M2484" t="s">
        <v>35</v>
      </c>
      <c r="N2484">
        <v>2.5499999999999998</v>
      </c>
      <c r="O2484">
        <v>1004</v>
      </c>
      <c r="P2484">
        <v>2.33</v>
      </c>
      <c r="Q2484">
        <v>387</v>
      </c>
      <c r="R2484">
        <v>594</v>
      </c>
    </row>
    <row r="2485" spans="1:18" hidden="1" x14ac:dyDescent="0.2">
      <c r="A2485">
        <v>4</v>
      </c>
      <c r="B2485" t="s">
        <v>22</v>
      </c>
      <c r="E2485" t="s">
        <v>51</v>
      </c>
      <c r="F2485">
        <v>1715273</v>
      </c>
      <c r="G2485">
        <v>5</v>
      </c>
      <c r="H2485">
        <v>1</v>
      </c>
      <c r="I2485">
        <v>146</v>
      </c>
      <c r="J2485">
        <v>2018</v>
      </c>
      <c r="K2485" s="4">
        <v>45235</v>
      </c>
      <c r="L2485" t="s">
        <v>26</v>
      </c>
      <c r="M2485" t="s">
        <v>89</v>
      </c>
      <c r="N2485">
        <v>3.49</v>
      </c>
      <c r="O2485">
        <v>1850</v>
      </c>
      <c r="P2485">
        <v>3.1</v>
      </c>
      <c r="Q2485">
        <v>315</v>
      </c>
      <c r="R2485">
        <v>370</v>
      </c>
    </row>
    <row r="2486" spans="1:18" hidden="1" x14ac:dyDescent="0.2">
      <c r="A2486">
        <v>6</v>
      </c>
      <c r="B2486" t="s">
        <v>61</v>
      </c>
      <c r="E2486" t="s">
        <v>29</v>
      </c>
      <c r="F2486">
        <v>1145018</v>
      </c>
      <c r="G2486">
        <v>4</v>
      </c>
      <c r="H2486">
        <v>2</v>
      </c>
      <c r="I2486">
        <v>327</v>
      </c>
      <c r="J2486">
        <v>2003</v>
      </c>
      <c r="K2486" s="4">
        <v>44174</v>
      </c>
      <c r="L2486" t="s">
        <v>30</v>
      </c>
      <c r="M2486" t="s">
        <v>58</v>
      </c>
      <c r="N2486">
        <v>2.5499999999999998</v>
      </c>
      <c r="O2486">
        <v>2226</v>
      </c>
      <c r="P2486">
        <v>0.57999999999999996</v>
      </c>
      <c r="Q2486">
        <v>301</v>
      </c>
      <c r="R2486">
        <v>531</v>
      </c>
    </row>
    <row r="2487" spans="1:18" hidden="1" x14ac:dyDescent="0.2">
      <c r="A2487">
        <v>6</v>
      </c>
      <c r="B2487" t="s">
        <v>84</v>
      </c>
      <c r="E2487" t="s">
        <v>36</v>
      </c>
      <c r="F2487">
        <v>805601</v>
      </c>
      <c r="G2487">
        <v>3</v>
      </c>
      <c r="H2487">
        <v>1</v>
      </c>
      <c r="I2487">
        <v>616</v>
      </c>
      <c r="J2487">
        <v>2004</v>
      </c>
      <c r="K2487" s="4">
        <v>44123</v>
      </c>
      <c r="L2487" t="s">
        <v>23</v>
      </c>
      <c r="M2487" t="s">
        <v>76</v>
      </c>
      <c r="N2487">
        <v>3.04</v>
      </c>
      <c r="O2487">
        <v>1375</v>
      </c>
      <c r="P2487">
        <v>0.52</v>
      </c>
      <c r="Q2487">
        <v>206</v>
      </c>
      <c r="R2487">
        <v>691</v>
      </c>
    </row>
    <row r="2488" spans="1:18" hidden="1" x14ac:dyDescent="0.2">
      <c r="A2488">
        <v>1</v>
      </c>
      <c r="B2488" t="s">
        <v>91</v>
      </c>
      <c r="E2488" t="s">
        <v>51</v>
      </c>
      <c r="F2488">
        <v>2266288</v>
      </c>
      <c r="G2488">
        <v>5</v>
      </c>
      <c r="H2488">
        <v>1</v>
      </c>
      <c r="I2488">
        <v>486</v>
      </c>
      <c r="J2488">
        <v>1965</v>
      </c>
      <c r="K2488" s="4">
        <v>44691</v>
      </c>
      <c r="L2488" t="s">
        <v>30</v>
      </c>
      <c r="M2488" t="s">
        <v>78</v>
      </c>
      <c r="N2488">
        <v>1.72</v>
      </c>
      <c r="O2488">
        <v>1714</v>
      </c>
      <c r="P2488">
        <v>3.11</v>
      </c>
      <c r="Q2488">
        <v>388</v>
      </c>
      <c r="R2488">
        <v>558</v>
      </c>
    </row>
    <row r="2489" spans="1:18" hidden="1" x14ac:dyDescent="0.2">
      <c r="A2489">
        <v>7</v>
      </c>
      <c r="B2489" t="s">
        <v>105</v>
      </c>
      <c r="E2489" t="s">
        <v>19</v>
      </c>
      <c r="F2489">
        <v>2279142</v>
      </c>
      <c r="G2489">
        <v>1</v>
      </c>
      <c r="H2489">
        <v>3</v>
      </c>
      <c r="I2489">
        <v>853</v>
      </c>
      <c r="J2489">
        <v>1965</v>
      </c>
      <c r="K2489" s="4">
        <v>45208</v>
      </c>
      <c r="L2489" t="s">
        <v>23</v>
      </c>
      <c r="M2489" t="s">
        <v>54</v>
      </c>
      <c r="N2489">
        <v>3.25</v>
      </c>
      <c r="O2489">
        <v>2497</v>
      </c>
      <c r="P2489">
        <v>1</v>
      </c>
      <c r="Q2489">
        <v>125</v>
      </c>
      <c r="R2489">
        <v>598</v>
      </c>
    </row>
    <row r="2490" spans="1:18" hidden="1" x14ac:dyDescent="0.2">
      <c r="A2490">
        <v>6</v>
      </c>
      <c r="B2490" t="s">
        <v>48</v>
      </c>
      <c r="E2490" t="s">
        <v>36</v>
      </c>
      <c r="F2490">
        <v>2291749</v>
      </c>
      <c r="G2490">
        <v>1</v>
      </c>
      <c r="H2490">
        <v>2</v>
      </c>
      <c r="I2490">
        <v>164</v>
      </c>
      <c r="J2490">
        <v>2019</v>
      </c>
      <c r="K2490" s="4">
        <v>45466</v>
      </c>
      <c r="L2490" t="s">
        <v>30</v>
      </c>
      <c r="M2490" t="s">
        <v>70</v>
      </c>
      <c r="N2490">
        <v>3.08</v>
      </c>
      <c r="O2490">
        <v>2083</v>
      </c>
      <c r="P2490">
        <v>2.56</v>
      </c>
      <c r="Q2490">
        <v>141</v>
      </c>
      <c r="R2490">
        <v>388</v>
      </c>
    </row>
    <row r="2491" spans="1:18" hidden="1" x14ac:dyDescent="0.2">
      <c r="A2491">
        <v>3</v>
      </c>
      <c r="B2491" t="s">
        <v>38</v>
      </c>
      <c r="E2491" t="s">
        <v>36</v>
      </c>
      <c r="F2491">
        <v>514449</v>
      </c>
      <c r="G2491">
        <v>1</v>
      </c>
      <c r="H2491">
        <v>1</v>
      </c>
      <c r="I2491">
        <v>950</v>
      </c>
      <c r="J2491">
        <v>2022</v>
      </c>
      <c r="K2491" s="4">
        <v>45464</v>
      </c>
      <c r="L2491" t="s">
        <v>30</v>
      </c>
      <c r="M2491" t="s">
        <v>74</v>
      </c>
      <c r="N2491">
        <v>2.57</v>
      </c>
      <c r="O2491">
        <v>2202</v>
      </c>
      <c r="P2491">
        <v>1.4</v>
      </c>
      <c r="Q2491">
        <v>99</v>
      </c>
      <c r="R2491">
        <v>677</v>
      </c>
    </row>
    <row r="2492" spans="1:18" hidden="1" x14ac:dyDescent="0.2">
      <c r="A2492">
        <v>4</v>
      </c>
      <c r="B2492" t="s">
        <v>43</v>
      </c>
      <c r="E2492" t="s">
        <v>51</v>
      </c>
      <c r="F2492">
        <v>1260965</v>
      </c>
      <c r="G2492">
        <v>4</v>
      </c>
      <c r="H2492">
        <v>2</v>
      </c>
      <c r="I2492">
        <v>442</v>
      </c>
      <c r="J2492">
        <v>1959</v>
      </c>
      <c r="K2492" s="4">
        <v>44403</v>
      </c>
      <c r="L2492" t="s">
        <v>23</v>
      </c>
      <c r="M2492" t="s">
        <v>63</v>
      </c>
      <c r="N2492">
        <v>3.22</v>
      </c>
      <c r="O2492">
        <v>1612</v>
      </c>
      <c r="P2492">
        <v>2.8</v>
      </c>
      <c r="Q2492">
        <v>283</v>
      </c>
      <c r="R2492">
        <v>634</v>
      </c>
    </row>
    <row r="2493" spans="1:18" hidden="1" x14ac:dyDescent="0.2">
      <c r="A2493">
        <v>7</v>
      </c>
      <c r="B2493" t="s">
        <v>25</v>
      </c>
      <c r="E2493" t="s">
        <v>51</v>
      </c>
      <c r="F2493">
        <v>403091</v>
      </c>
      <c r="G2493">
        <v>2</v>
      </c>
      <c r="H2493">
        <v>2</v>
      </c>
      <c r="I2493">
        <v>528</v>
      </c>
      <c r="J2493">
        <v>1971</v>
      </c>
      <c r="K2493" s="4">
        <v>45270</v>
      </c>
      <c r="L2493" t="s">
        <v>20</v>
      </c>
      <c r="M2493" t="s">
        <v>59</v>
      </c>
      <c r="N2493">
        <v>2.3199999999999998</v>
      </c>
      <c r="O2493">
        <v>1853</v>
      </c>
      <c r="P2493">
        <v>2</v>
      </c>
      <c r="Q2493">
        <v>45</v>
      </c>
      <c r="R2493">
        <v>436</v>
      </c>
    </row>
    <row r="2494" spans="1:18" x14ac:dyDescent="0.2">
      <c r="A2494">
        <v>8</v>
      </c>
      <c r="B2494" t="s">
        <v>43</v>
      </c>
      <c r="C2494" t="str">
        <f>VLOOKUP(B2494, 'Council Area'!$A$2:$B$51, 2)</f>
        <v>Sutherland Shire Council</v>
      </c>
      <c r="D2494" t="str">
        <f>_xlfn.XLOOKUP(B2494, 'Council Area'!$A$2:$A$51, 'Council Area'!$B$2:$B$51)</f>
        <v>Sutherland Shire Council</v>
      </c>
      <c r="E2494" t="s">
        <v>19</v>
      </c>
      <c r="F2494">
        <v>1186652</v>
      </c>
      <c r="G2494">
        <v>2</v>
      </c>
      <c r="H2494">
        <v>1</v>
      </c>
      <c r="I2494">
        <v>568</v>
      </c>
      <c r="J2494">
        <v>1977</v>
      </c>
      <c r="K2494" s="4">
        <v>45448</v>
      </c>
      <c r="L2494" t="s">
        <v>30</v>
      </c>
      <c r="M2494" t="s">
        <v>31</v>
      </c>
      <c r="N2494">
        <v>1.97</v>
      </c>
      <c r="O2494">
        <v>1196</v>
      </c>
      <c r="P2494">
        <v>3.52</v>
      </c>
      <c r="Q2494">
        <v>168</v>
      </c>
      <c r="R2494">
        <v>579</v>
      </c>
    </row>
    <row r="2495" spans="1:18" hidden="1" x14ac:dyDescent="0.2">
      <c r="A2495">
        <v>5</v>
      </c>
      <c r="B2495" t="s">
        <v>81</v>
      </c>
      <c r="E2495" t="s">
        <v>19</v>
      </c>
      <c r="F2495">
        <v>974720</v>
      </c>
      <c r="G2495">
        <v>4</v>
      </c>
      <c r="H2495">
        <v>3</v>
      </c>
      <c r="I2495">
        <v>399</v>
      </c>
      <c r="J2495">
        <v>2012</v>
      </c>
      <c r="K2495" s="4">
        <v>45570</v>
      </c>
      <c r="L2495" t="s">
        <v>23</v>
      </c>
      <c r="M2495" t="s">
        <v>68</v>
      </c>
      <c r="N2495">
        <v>3.18</v>
      </c>
      <c r="O2495">
        <v>2001</v>
      </c>
      <c r="P2495">
        <v>4.09</v>
      </c>
      <c r="Q2495">
        <v>346</v>
      </c>
      <c r="R2495">
        <v>485</v>
      </c>
    </row>
    <row r="2496" spans="1:18" hidden="1" x14ac:dyDescent="0.2">
      <c r="A2496">
        <v>5</v>
      </c>
      <c r="B2496" t="s">
        <v>55</v>
      </c>
      <c r="E2496" t="s">
        <v>29</v>
      </c>
      <c r="F2496">
        <v>1034948</v>
      </c>
      <c r="G2496">
        <v>4</v>
      </c>
      <c r="H2496">
        <v>2</v>
      </c>
      <c r="I2496">
        <v>115</v>
      </c>
      <c r="J2496">
        <v>1969</v>
      </c>
      <c r="K2496" s="4">
        <v>44728</v>
      </c>
      <c r="L2496" t="s">
        <v>20</v>
      </c>
      <c r="M2496" t="s">
        <v>35</v>
      </c>
      <c r="N2496">
        <v>1.96</v>
      </c>
      <c r="O2496">
        <v>1027</v>
      </c>
      <c r="P2496">
        <v>3.34</v>
      </c>
      <c r="Q2496">
        <v>337</v>
      </c>
      <c r="R2496">
        <v>637</v>
      </c>
    </row>
    <row r="2497" spans="1:18" x14ac:dyDescent="0.2">
      <c r="A2497">
        <v>8</v>
      </c>
      <c r="B2497" t="s">
        <v>100</v>
      </c>
      <c r="C2497" t="str">
        <f>VLOOKUP(B2497, 'Council Area'!$A$2:$B$51, 2)</f>
        <v>Northern Beaches Council</v>
      </c>
      <c r="D2497" t="str">
        <f>_xlfn.XLOOKUP(B2497, 'Council Area'!$A$2:$A$51, 'Council Area'!$B$2:$B$51)</f>
        <v>Northern Beaches Council</v>
      </c>
      <c r="E2497" t="s">
        <v>36</v>
      </c>
      <c r="F2497">
        <v>2141381</v>
      </c>
      <c r="G2497">
        <v>3</v>
      </c>
      <c r="H2497">
        <v>1</v>
      </c>
      <c r="I2497">
        <v>118</v>
      </c>
      <c r="J2497">
        <v>1977</v>
      </c>
      <c r="K2497" s="4">
        <v>44837</v>
      </c>
      <c r="L2497" t="s">
        <v>23</v>
      </c>
      <c r="M2497" t="s">
        <v>33</v>
      </c>
      <c r="N2497">
        <v>2.15</v>
      </c>
      <c r="O2497">
        <v>2331</v>
      </c>
      <c r="P2497">
        <v>2.87</v>
      </c>
      <c r="Q2497">
        <v>95</v>
      </c>
      <c r="R2497">
        <v>575</v>
      </c>
    </row>
    <row r="2498" spans="1:18" hidden="1" x14ac:dyDescent="0.2">
      <c r="A2498">
        <v>4</v>
      </c>
      <c r="B2498" t="s">
        <v>46</v>
      </c>
      <c r="E2498" t="s">
        <v>36</v>
      </c>
      <c r="F2498">
        <v>882784</v>
      </c>
      <c r="G2498">
        <v>4</v>
      </c>
      <c r="H2498">
        <v>2</v>
      </c>
      <c r="I2498">
        <v>875</v>
      </c>
      <c r="J2498">
        <v>1953</v>
      </c>
      <c r="K2498" s="4">
        <v>45253</v>
      </c>
      <c r="L2498" t="s">
        <v>23</v>
      </c>
      <c r="M2498" t="s">
        <v>42</v>
      </c>
      <c r="N2498">
        <v>2.99</v>
      </c>
      <c r="O2498">
        <v>1296</v>
      </c>
      <c r="P2498">
        <v>1.1000000000000001</v>
      </c>
      <c r="Q2498">
        <v>336</v>
      </c>
      <c r="R2498">
        <v>594</v>
      </c>
    </row>
    <row r="2499" spans="1:18" hidden="1" x14ac:dyDescent="0.2">
      <c r="A2499">
        <v>5</v>
      </c>
      <c r="B2499" t="s">
        <v>94</v>
      </c>
      <c r="E2499" t="s">
        <v>29</v>
      </c>
      <c r="F2499">
        <v>601911</v>
      </c>
      <c r="G2499">
        <v>3</v>
      </c>
      <c r="H2499">
        <v>2</v>
      </c>
      <c r="I2499">
        <v>58</v>
      </c>
      <c r="J2499">
        <v>2003</v>
      </c>
      <c r="K2499" s="4">
        <v>45263</v>
      </c>
      <c r="L2499" t="s">
        <v>20</v>
      </c>
      <c r="M2499" t="s">
        <v>59</v>
      </c>
      <c r="N2499">
        <v>2.13</v>
      </c>
      <c r="O2499">
        <v>934</v>
      </c>
      <c r="P2499">
        <v>1.04</v>
      </c>
      <c r="Q2499">
        <v>101</v>
      </c>
      <c r="R2499">
        <v>489</v>
      </c>
    </row>
    <row r="2500" spans="1:18" hidden="1" x14ac:dyDescent="0.2">
      <c r="A2500">
        <v>4</v>
      </c>
      <c r="B2500" t="s">
        <v>18</v>
      </c>
      <c r="E2500" t="s">
        <v>19</v>
      </c>
      <c r="F2500">
        <v>849172</v>
      </c>
      <c r="G2500">
        <v>2</v>
      </c>
      <c r="H2500">
        <v>1</v>
      </c>
      <c r="I2500">
        <v>470</v>
      </c>
      <c r="J2500">
        <v>2006</v>
      </c>
      <c r="K2500" s="4">
        <v>44747</v>
      </c>
      <c r="L2500" t="s">
        <v>26</v>
      </c>
      <c r="M2500" t="s">
        <v>66</v>
      </c>
      <c r="N2500">
        <v>1.52</v>
      </c>
      <c r="O2500">
        <v>2091</v>
      </c>
      <c r="P2500">
        <v>0.36</v>
      </c>
      <c r="Q2500">
        <v>236</v>
      </c>
      <c r="R2500">
        <v>456</v>
      </c>
    </row>
    <row r="2501" spans="1:18" hidden="1" x14ac:dyDescent="0.2">
      <c r="A2501">
        <v>0</v>
      </c>
      <c r="B2501" t="s">
        <v>90</v>
      </c>
      <c r="E2501" t="s">
        <v>29</v>
      </c>
      <c r="F2501">
        <v>2505190</v>
      </c>
      <c r="G2501">
        <v>5</v>
      </c>
      <c r="H2501">
        <v>2</v>
      </c>
      <c r="I2501">
        <v>254</v>
      </c>
      <c r="J2501">
        <v>1989</v>
      </c>
      <c r="K2501" s="4">
        <v>45601</v>
      </c>
      <c r="L2501" t="s">
        <v>30</v>
      </c>
      <c r="M2501" t="s">
        <v>37</v>
      </c>
      <c r="N2501">
        <v>3.44</v>
      </c>
      <c r="O2501">
        <v>919</v>
      </c>
      <c r="P2501">
        <v>2.37</v>
      </c>
      <c r="Q2501">
        <v>287</v>
      </c>
      <c r="R2501">
        <v>433</v>
      </c>
    </row>
    <row r="2502" spans="1:18" hidden="1" x14ac:dyDescent="0.2">
      <c r="A2502">
        <v>0</v>
      </c>
      <c r="B2502" t="s">
        <v>62</v>
      </c>
      <c r="E2502" t="s">
        <v>51</v>
      </c>
      <c r="F2502">
        <v>1557611</v>
      </c>
      <c r="G2502">
        <v>5</v>
      </c>
      <c r="H2502">
        <v>3</v>
      </c>
      <c r="I2502">
        <v>599</v>
      </c>
      <c r="J2502">
        <v>2007</v>
      </c>
      <c r="K2502" s="4">
        <v>45793</v>
      </c>
      <c r="L2502" t="s">
        <v>23</v>
      </c>
      <c r="M2502" t="s">
        <v>76</v>
      </c>
      <c r="N2502">
        <v>1.54</v>
      </c>
      <c r="O2502">
        <v>957</v>
      </c>
      <c r="P2502">
        <v>0.8</v>
      </c>
      <c r="Q2502">
        <v>375</v>
      </c>
      <c r="R2502">
        <v>483</v>
      </c>
    </row>
    <row r="2503" spans="1:18" hidden="1" x14ac:dyDescent="0.2">
      <c r="A2503">
        <v>3</v>
      </c>
      <c r="B2503" t="s">
        <v>18</v>
      </c>
      <c r="E2503" t="s">
        <v>51</v>
      </c>
      <c r="F2503">
        <v>2860642</v>
      </c>
      <c r="G2503">
        <v>4</v>
      </c>
      <c r="H2503">
        <v>1</v>
      </c>
      <c r="I2503">
        <v>449</v>
      </c>
      <c r="J2503">
        <v>1967</v>
      </c>
      <c r="K2503" s="4">
        <v>45456</v>
      </c>
      <c r="L2503" t="s">
        <v>20</v>
      </c>
      <c r="M2503" t="s">
        <v>66</v>
      </c>
      <c r="N2503">
        <v>2.82</v>
      </c>
      <c r="O2503">
        <v>817</v>
      </c>
      <c r="P2503">
        <v>0.75</v>
      </c>
      <c r="Q2503">
        <v>368</v>
      </c>
      <c r="R2503">
        <v>310</v>
      </c>
    </row>
    <row r="2504" spans="1:18" hidden="1" x14ac:dyDescent="0.2">
      <c r="A2504">
        <v>0</v>
      </c>
      <c r="B2504" t="s">
        <v>38</v>
      </c>
      <c r="E2504" t="s">
        <v>29</v>
      </c>
      <c r="F2504">
        <v>2376579</v>
      </c>
      <c r="G2504">
        <v>1</v>
      </c>
      <c r="H2504">
        <v>2</v>
      </c>
      <c r="I2504">
        <v>845</v>
      </c>
      <c r="J2504">
        <v>1987</v>
      </c>
      <c r="K2504" s="4">
        <v>44784</v>
      </c>
      <c r="L2504" t="s">
        <v>23</v>
      </c>
      <c r="M2504" t="s">
        <v>76</v>
      </c>
      <c r="N2504">
        <v>3.19</v>
      </c>
      <c r="O2504">
        <v>1519</v>
      </c>
      <c r="P2504">
        <v>0.33</v>
      </c>
      <c r="Q2504">
        <v>47</v>
      </c>
      <c r="R2504">
        <v>509</v>
      </c>
    </row>
    <row r="2505" spans="1:18" hidden="1" x14ac:dyDescent="0.2">
      <c r="A2505">
        <v>1</v>
      </c>
      <c r="B2505" t="s">
        <v>93</v>
      </c>
      <c r="E2505" t="s">
        <v>19</v>
      </c>
      <c r="F2505">
        <v>810810</v>
      </c>
      <c r="G2505">
        <v>4</v>
      </c>
      <c r="H2505">
        <v>2</v>
      </c>
      <c r="I2505">
        <v>73</v>
      </c>
      <c r="J2505">
        <v>2004</v>
      </c>
      <c r="K2505" s="4">
        <v>44314</v>
      </c>
      <c r="L2505" t="s">
        <v>30</v>
      </c>
      <c r="M2505" t="s">
        <v>54</v>
      </c>
      <c r="N2505">
        <v>3.37</v>
      </c>
      <c r="O2505">
        <v>2056</v>
      </c>
      <c r="P2505">
        <v>3.72</v>
      </c>
      <c r="Q2505">
        <v>367</v>
      </c>
      <c r="R2505">
        <v>344</v>
      </c>
    </row>
    <row r="2506" spans="1:18" hidden="1" x14ac:dyDescent="0.2">
      <c r="A2506">
        <v>6</v>
      </c>
      <c r="B2506" t="s">
        <v>38</v>
      </c>
      <c r="E2506" t="s">
        <v>36</v>
      </c>
      <c r="F2506">
        <v>2464204</v>
      </c>
      <c r="G2506">
        <v>4</v>
      </c>
      <c r="H2506">
        <v>3</v>
      </c>
      <c r="I2506">
        <v>120</v>
      </c>
      <c r="J2506">
        <v>1950</v>
      </c>
      <c r="K2506" s="4">
        <v>44541</v>
      </c>
      <c r="L2506" t="s">
        <v>23</v>
      </c>
      <c r="M2506" t="s">
        <v>54</v>
      </c>
      <c r="N2506">
        <v>2.34</v>
      </c>
      <c r="O2506">
        <v>970</v>
      </c>
      <c r="P2506">
        <v>2.1</v>
      </c>
      <c r="Q2506">
        <v>370</v>
      </c>
      <c r="R2506">
        <v>436</v>
      </c>
    </row>
    <row r="2507" spans="1:18" hidden="1" x14ac:dyDescent="0.2">
      <c r="A2507">
        <v>9</v>
      </c>
      <c r="B2507" t="s">
        <v>71</v>
      </c>
      <c r="E2507" t="s">
        <v>29</v>
      </c>
      <c r="F2507">
        <v>2832234</v>
      </c>
      <c r="G2507">
        <v>5</v>
      </c>
      <c r="H2507">
        <v>3</v>
      </c>
      <c r="I2507">
        <v>635</v>
      </c>
      <c r="J2507">
        <v>1977</v>
      </c>
      <c r="K2507" s="4">
        <v>45056</v>
      </c>
      <c r="L2507" t="s">
        <v>30</v>
      </c>
      <c r="M2507" t="s">
        <v>52</v>
      </c>
      <c r="N2507">
        <v>3.33</v>
      </c>
      <c r="O2507">
        <v>1115</v>
      </c>
      <c r="P2507">
        <v>3.74</v>
      </c>
      <c r="Q2507">
        <v>280</v>
      </c>
      <c r="R2507">
        <v>521</v>
      </c>
    </row>
    <row r="2508" spans="1:18" hidden="1" x14ac:dyDescent="0.2">
      <c r="A2508">
        <v>1</v>
      </c>
      <c r="B2508" t="s">
        <v>49</v>
      </c>
      <c r="E2508" t="s">
        <v>51</v>
      </c>
      <c r="F2508">
        <v>2373637</v>
      </c>
      <c r="G2508">
        <v>3</v>
      </c>
      <c r="H2508">
        <v>3</v>
      </c>
      <c r="I2508">
        <v>667</v>
      </c>
      <c r="J2508">
        <v>1996</v>
      </c>
      <c r="K2508" s="4">
        <v>44557</v>
      </c>
      <c r="L2508" t="s">
        <v>30</v>
      </c>
      <c r="M2508" t="s">
        <v>37</v>
      </c>
      <c r="N2508">
        <v>2.8</v>
      </c>
      <c r="O2508">
        <v>1614</v>
      </c>
      <c r="P2508">
        <v>4.2</v>
      </c>
      <c r="Q2508">
        <v>151</v>
      </c>
      <c r="R2508">
        <v>315</v>
      </c>
    </row>
    <row r="2509" spans="1:18" hidden="1" x14ac:dyDescent="0.2">
      <c r="A2509">
        <v>0</v>
      </c>
      <c r="B2509" t="s">
        <v>44</v>
      </c>
      <c r="E2509" t="s">
        <v>19</v>
      </c>
      <c r="F2509">
        <v>2106114</v>
      </c>
      <c r="G2509">
        <v>4</v>
      </c>
      <c r="H2509">
        <v>2</v>
      </c>
      <c r="I2509">
        <v>353</v>
      </c>
      <c r="J2509">
        <v>2002</v>
      </c>
      <c r="K2509" s="4">
        <v>44456</v>
      </c>
      <c r="L2509" t="s">
        <v>26</v>
      </c>
      <c r="M2509" t="s">
        <v>78</v>
      </c>
      <c r="N2509">
        <v>3.43</v>
      </c>
      <c r="O2509">
        <v>1856</v>
      </c>
      <c r="P2509">
        <v>0.53</v>
      </c>
      <c r="Q2509">
        <v>254</v>
      </c>
      <c r="R2509">
        <v>535</v>
      </c>
    </row>
    <row r="2510" spans="1:18" hidden="1" x14ac:dyDescent="0.2">
      <c r="A2510">
        <v>9</v>
      </c>
      <c r="B2510" t="s">
        <v>88</v>
      </c>
      <c r="E2510" t="s">
        <v>29</v>
      </c>
      <c r="F2510">
        <v>1959125</v>
      </c>
      <c r="G2510">
        <v>2</v>
      </c>
      <c r="H2510">
        <v>3</v>
      </c>
      <c r="I2510">
        <v>586</v>
      </c>
      <c r="J2510">
        <v>1969</v>
      </c>
      <c r="K2510" s="4">
        <v>45764</v>
      </c>
      <c r="L2510" t="s">
        <v>30</v>
      </c>
      <c r="M2510" t="s">
        <v>42</v>
      </c>
      <c r="N2510">
        <v>2.2999999999999998</v>
      </c>
      <c r="O2510">
        <v>2123</v>
      </c>
      <c r="P2510">
        <v>2.14</v>
      </c>
      <c r="Q2510">
        <v>195</v>
      </c>
      <c r="R2510">
        <v>673</v>
      </c>
    </row>
    <row r="2511" spans="1:18" hidden="1" x14ac:dyDescent="0.2">
      <c r="A2511">
        <v>0</v>
      </c>
      <c r="B2511" t="s">
        <v>46</v>
      </c>
      <c r="E2511" t="s">
        <v>19</v>
      </c>
      <c r="F2511">
        <v>2231360</v>
      </c>
      <c r="G2511">
        <v>4</v>
      </c>
      <c r="H2511">
        <v>2</v>
      </c>
      <c r="I2511">
        <v>408</v>
      </c>
      <c r="J2511">
        <v>1993</v>
      </c>
      <c r="K2511" s="4">
        <v>45680</v>
      </c>
      <c r="L2511" t="s">
        <v>20</v>
      </c>
      <c r="M2511" t="s">
        <v>35</v>
      </c>
      <c r="N2511">
        <v>3.38</v>
      </c>
      <c r="O2511">
        <v>2251</v>
      </c>
      <c r="P2511">
        <v>2.06</v>
      </c>
      <c r="Q2511">
        <v>370</v>
      </c>
      <c r="R2511">
        <v>359</v>
      </c>
    </row>
    <row r="2512" spans="1:18" x14ac:dyDescent="0.2">
      <c r="A2512">
        <v>8</v>
      </c>
      <c r="B2512" t="s">
        <v>105</v>
      </c>
      <c r="C2512" t="str">
        <f>VLOOKUP(B2512, 'Council Area'!$A$2:$B$51, 2)</f>
        <v>Northern Beaches Council</v>
      </c>
      <c r="D2512" t="str">
        <f>_xlfn.XLOOKUP(B2512, 'Council Area'!$A$2:$A$51, 'Council Area'!$B$2:$B$51)</f>
        <v>Northern Beaches Council</v>
      </c>
      <c r="E2512" t="s">
        <v>36</v>
      </c>
      <c r="F2512">
        <v>2360731</v>
      </c>
      <c r="G2512">
        <v>6</v>
      </c>
      <c r="H2512">
        <v>2</v>
      </c>
      <c r="I2512">
        <v>669</v>
      </c>
      <c r="J2512">
        <v>2005</v>
      </c>
      <c r="K2512" s="4">
        <v>44657</v>
      </c>
      <c r="L2512" t="s">
        <v>20</v>
      </c>
      <c r="M2512" t="s">
        <v>56</v>
      </c>
      <c r="N2512">
        <v>2.5099999999999998</v>
      </c>
      <c r="O2512">
        <v>1224</v>
      </c>
      <c r="P2512">
        <v>3.66</v>
      </c>
      <c r="Q2512">
        <v>371</v>
      </c>
      <c r="R2512">
        <v>587</v>
      </c>
    </row>
    <row r="2513" spans="1:18" hidden="1" x14ac:dyDescent="0.2">
      <c r="A2513">
        <v>5</v>
      </c>
      <c r="B2513" t="s">
        <v>22</v>
      </c>
      <c r="E2513" t="s">
        <v>19</v>
      </c>
      <c r="F2513">
        <v>827357</v>
      </c>
      <c r="G2513">
        <v>5</v>
      </c>
      <c r="H2513">
        <v>2</v>
      </c>
      <c r="I2513">
        <v>552</v>
      </c>
      <c r="J2513">
        <v>1997</v>
      </c>
      <c r="K2513" s="4">
        <v>45876</v>
      </c>
      <c r="L2513" t="s">
        <v>20</v>
      </c>
      <c r="M2513" t="s">
        <v>82</v>
      </c>
      <c r="N2513">
        <v>1.74</v>
      </c>
      <c r="O2513">
        <v>1899</v>
      </c>
      <c r="P2513">
        <v>3.99</v>
      </c>
      <c r="Q2513">
        <v>251</v>
      </c>
      <c r="R2513">
        <v>512</v>
      </c>
    </row>
    <row r="2514" spans="1:18" hidden="1" x14ac:dyDescent="0.2">
      <c r="A2514">
        <v>7</v>
      </c>
      <c r="B2514" t="s">
        <v>43</v>
      </c>
      <c r="E2514" t="s">
        <v>19</v>
      </c>
      <c r="F2514">
        <v>1453950</v>
      </c>
      <c r="G2514">
        <v>3</v>
      </c>
      <c r="H2514">
        <v>1</v>
      </c>
      <c r="I2514">
        <v>50</v>
      </c>
      <c r="J2514">
        <v>2006</v>
      </c>
      <c r="K2514" s="4">
        <v>44795</v>
      </c>
      <c r="L2514" t="s">
        <v>20</v>
      </c>
      <c r="M2514" t="s">
        <v>24</v>
      </c>
      <c r="N2514">
        <v>2.73</v>
      </c>
      <c r="O2514">
        <v>1759</v>
      </c>
      <c r="P2514">
        <v>3.13</v>
      </c>
      <c r="Q2514">
        <v>195</v>
      </c>
      <c r="R2514">
        <v>695</v>
      </c>
    </row>
    <row r="2515" spans="1:18" hidden="1" x14ac:dyDescent="0.2">
      <c r="A2515">
        <v>1</v>
      </c>
      <c r="B2515" t="s">
        <v>46</v>
      </c>
      <c r="E2515" t="s">
        <v>51</v>
      </c>
      <c r="F2515">
        <v>1604980</v>
      </c>
      <c r="G2515">
        <v>5</v>
      </c>
      <c r="H2515">
        <v>2</v>
      </c>
      <c r="I2515">
        <v>382</v>
      </c>
      <c r="J2515">
        <v>1993</v>
      </c>
      <c r="K2515" s="4">
        <v>45692</v>
      </c>
      <c r="L2515" t="s">
        <v>30</v>
      </c>
      <c r="M2515" t="s">
        <v>89</v>
      </c>
      <c r="N2515">
        <v>1.67</v>
      </c>
      <c r="O2515">
        <v>2140</v>
      </c>
      <c r="P2515">
        <v>4.95</v>
      </c>
      <c r="Q2515">
        <v>319</v>
      </c>
      <c r="R2515">
        <v>577</v>
      </c>
    </row>
    <row r="2516" spans="1:18" hidden="1" x14ac:dyDescent="0.2">
      <c r="A2516">
        <v>5</v>
      </c>
      <c r="B2516" t="s">
        <v>72</v>
      </c>
      <c r="E2516" t="s">
        <v>36</v>
      </c>
      <c r="F2516">
        <v>569723</v>
      </c>
      <c r="G2516">
        <v>5</v>
      </c>
      <c r="H2516">
        <v>2</v>
      </c>
      <c r="I2516">
        <v>362</v>
      </c>
      <c r="J2516">
        <v>1971</v>
      </c>
      <c r="K2516" s="4">
        <v>44139</v>
      </c>
      <c r="L2516" t="s">
        <v>23</v>
      </c>
      <c r="M2516" t="s">
        <v>89</v>
      </c>
      <c r="N2516">
        <v>1.68</v>
      </c>
      <c r="O2516">
        <v>1485</v>
      </c>
      <c r="P2516">
        <v>4.5199999999999996</v>
      </c>
      <c r="Q2516">
        <v>308</v>
      </c>
      <c r="R2516">
        <v>375</v>
      </c>
    </row>
    <row r="2517" spans="1:18" hidden="1" x14ac:dyDescent="0.2">
      <c r="A2517">
        <v>9</v>
      </c>
      <c r="B2517" t="s">
        <v>34</v>
      </c>
      <c r="E2517" t="s">
        <v>36</v>
      </c>
      <c r="F2517">
        <v>2538863</v>
      </c>
      <c r="G2517">
        <v>4</v>
      </c>
      <c r="H2517">
        <v>1</v>
      </c>
      <c r="I2517">
        <v>529</v>
      </c>
      <c r="J2517">
        <v>2003</v>
      </c>
      <c r="K2517" s="4">
        <v>45845</v>
      </c>
      <c r="L2517" t="s">
        <v>23</v>
      </c>
      <c r="M2517" t="s">
        <v>35</v>
      </c>
      <c r="N2517">
        <v>2.98</v>
      </c>
      <c r="O2517">
        <v>1583</v>
      </c>
      <c r="P2517">
        <v>4.5</v>
      </c>
      <c r="Q2517">
        <v>330</v>
      </c>
      <c r="R2517">
        <v>344</v>
      </c>
    </row>
    <row r="2518" spans="1:18" hidden="1" x14ac:dyDescent="0.2">
      <c r="A2518">
        <v>1</v>
      </c>
      <c r="B2518" t="s">
        <v>102</v>
      </c>
      <c r="E2518" t="s">
        <v>29</v>
      </c>
      <c r="F2518">
        <v>1710729</v>
      </c>
      <c r="G2518">
        <v>4</v>
      </c>
      <c r="H2518">
        <v>1</v>
      </c>
      <c r="I2518">
        <v>934</v>
      </c>
      <c r="J2518">
        <v>1953</v>
      </c>
      <c r="K2518" s="4">
        <v>44781</v>
      </c>
      <c r="L2518" t="s">
        <v>23</v>
      </c>
      <c r="M2518" t="s">
        <v>68</v>
      </c>
      <c r="N2518">
        <v>2.85</v>
      </c>
      <c r="O2518">
        <v>1828</v>
      </c>
      <c r="P2518">
        <v>1.62</v>
      </c>
      <c r="Q2518">
        <v>324</v>
      </c>
      <c r="R2518">
        <v>610</v>
      </c>
    </row>
    <row r="2519" spans="1:18" hidden="1" x14ac:dyDescent="0.2">
      <c r="A2519">
        <v>7</v>
      </c>
      <c r="B2519" t="s">
        <v>65</v>
      </c>
      <c r="E2519" t="s">
        <v>29</v>
      </c>
      <c r="F2519">
        <v>2133369</v>
      </c>
      <c r="G2519">
        <v>3</v>
      </c>
      <c r="H2519">
        <v>2</v>
      </c>
      <c r="I2519">
        <v>917</v>
      </c>
      <c r="J2519">
        <v>2019</v>
      </c>
      <c r="K2519" s="4">
        <v>45140</v>
      </c>
      <c r="L2519" t="s">
        <v>20</v>
      </c>
      <c r="M2519" t="s">
        <v>47</v>
      </c>
      <c r="N2519">
        <v>2.88</v>
      </c>
      <c r="O2519">
        <v>1024</v>
      </c>
      <c r="P2519">
        <v>2.84</v>
      </c>
      <c r="Q2519">
        <v>137</v>
      </c>
      <c r="R2519">
        <v>469</v>
      </c>
    </row>
    <row r="2520" spans="1:18" hidden="1" x14ac:dyDescent="0.2">
      <c r="A2520">
        <v>1</v>
      </c>
      <c r="B2520" t="s">
        <v>101</v>
      </c>
      <c r="E2520" t="s">
        <v>19</v>
      </c>
      <c r="F2520">
        <v>2322792</v>
      </c>
      <c r="G2520">
        <v>2</v>
      </c>
      <c r="H2520">
        <v>2</v>
      </c>
      <c r="I2520">
        <v>988</v>
      </c>
      <c r="J2520">
        <v>2010</v>
      </c>
      <c r="K2520" s="4">
        <v>45266</v>
      </c>
      <c r="L2520" t="s">
        <v>26</v>
      </c>
      <c r="M2520" t="s">
        <v>59</v>
      </c>
      <c r="N2520">
        <v>2.17</v>
      </c>
      <c r="O2520">
        <v>2089</v>
      </c>
      <c r="P2520">
        <v>0.97</v>
      </c>
      <c r="Q2520">
        <v>49</v>
      </c>
      <c r="R2520">
        <v>571</v>
      </c>
    </row>
    <row r="2521" spans="1:18" hidden="1" x14ac:dyDescent="0.2">
      <c r="A2521">
        <v>3</v>
      </c>
      <c r="B2521" t="s">
        <v>22</v>
      </c>
      <c r="E2521" t="s">
        <v>19</v>
      </c>
      <c r="F2521">
        <v>1338055</v>
      </c>
      <c r="G2521">
        <v>1</v>
      </c>
      <c r="H2521">
        <v>2</v>
      </c>
      <c r="I2521">
        <v>721</v>
      </c>
      <c r="J2521">
        <v>1975</v>
      </c>
      <c r="K2521" s="4">
        <v>44274</v>
      </c>
      <c r="L2521" t="s">
        <v>23</v>
      </c>
      <c r="M2521" t="s">
        <v>68</v>
      </c>
      <c r="N2521">
        <v>2.56</v>
      </c>
      <c r="O2521">
        <v>2293</v>
      </c>
      <c r="P2521">
        <v>4.05</v>
      </c>
      <c r="Q2521">
        <v>138</v>
      </c>
      <c r="R2521">
        <v>665</v>
      </c>
    </row>
    <row r="2522" spans="1:18" hidden="1" x14ac:dyDescent="0.2">
      <c r="A2522">
        <v>4</v>
      </c>
      <c r="B2522" t="s">
        <v>46</v>
      </c>
      <c r="E2522" t="s">
        <v>29</v>
      </c>
      <c r="F2522">
        <v>875135</v>
      </c>
      <c r="G2522">
        <v>3</v>
      </c>
      <c r="H2522">
        <v>2</v>
      </c>
      <c r="I2522">
        <v>54</v>
      </c>
      <c r="J2522">
        <v>1963</v>
      </c>
      <c r="K2522" s="4">
        <v>44812</v>
      </c>
      <c r="L2522" t="s">
        <v>20</v>
      </c>
      <c r="M2522" t="s">
        <v>40</v>
      </c>
      <c r="N2522">
        <v>1.7</v>
      </c>
      <c r="O2522">
        <v>1986</v>
      </c>
      <c r="P2522">
        <v>2.4500000000000002</v>
      </c>
      <c r="Q2522">
        <v>283</v>
      </c>
      <c r="R2522">
        <v>568</v>
      </c>
    </row>
    <row r="2523" spans="1:18" hidden="1" x14ac:dyDescent="0.2">
      <c r="A2523">
        <v>4</v>
      </c>
      <c r="B2523" t="s">
        <v>87</v>
      </c>
      <c r="E2523" t="s">
        <v>36</v>
      </c>
      <c r="F2523">
        <v>1442847</v>
      </c>
      <c r="G2523">
        <v>3</v>
      </c>
      <c r="H2523">
        <v>3</v>
      </c>
      <c r="I2523">
        <v>145</v>
      </c>
      <c r="J2523">
        <v>1950</v>
      </c>
      <c r="K2523" s="4">
        <v>44499</v>
      </c>
      <c r="L2523" t="s">
        <v>20</v>
      </c>
      <c r="M2523" t="s">
        <v>78</v>
      </c>
      <c r="N2523">
        <v>2.9</v>
      </c>
      <c r="O2523">
        <v>838</v>
      </c>
      <c r="P2523">
        <v>3.42</v>
      </c>
      <c r="Q2523">
        <v>209</v>
      </c>
      <c r="R2523">
        <v>430</v>
      </c>
    </row>
    <row r="2524" spans="1:18" hidden="1" x14ac:dyDescent="0.2">
      <c r="A2524">
        <v>5</v>
      </c>
      <c r="B2524" t="s">
        <v>43</v>
      </c>
      <c r="E2524" t="s">
        <v>29</v>
      </c>
      <c r="F2524">
        <v>2347606</v>
      </c>
      <c r="G2524">
        <v>3</v>
      </c>
      <c r="H2524">
        <v>3</v>
      </c>
      <c r="I2524">
        <v>809</v>
      </c>
      <c r="J2524">
        <v>1991</v>
      </c>
      <c r="K2524" s="4">
        <v>44573</v>
      </c>
      <c r="L2524" t="s">
        <v>26</v>
      </c>
      <c r="M2524" t="s">
        <v>60</v>
      </c>
      <c r="N2524">
        <v>2.54</v>
      </c>
      <c r="O2524">
        <v>2388</v>
      </c>
      <c r="P2524">
        <v>2.2799999999999998</v>
      </c>
      <c r="Q2524">
        <v>212</v>
      </c>
      <c r="R2524">
        <v>301</v>
      </c>
    </row>
    <row r="2525" spans="1:18" hidden="1" x14ac:dyDescent="0.2">
      <c r="A2525">
        <v>9</v>
      </c>
      <c r="B2525" t="s">
        <v>57</v>
      </c>
      <c r="E2525" t="s">
        <v>19</v>
      </c>
      <c r="F2525">
        <v>1779064</v>
      </c>
      <c r="G2525">
        <v>4</v>
      </c>
      <c r="H2525">
        <v>3</v>
      </c>
      <c r="I2525">
        <v>120</v>
      </c>
      <c r="J2525">
        <v>2012</v>
      </c>
      <c r="K2525" s="4">
        <v>44266</v>
      </c>
      <c r="L2525" t="s">
        <v>30</v>
      </c>
      <c r="M2525" t="s">
        <v>52</v>
      </c>
      <c r="N2525">
        <v>2.67</v>
      </c>
      <c r="O2525">
        <v>908</v>
      </c>
      <c r="P2525">
        <v>0.87</v>
      </c>
      <c r="Q2525">
        <v>209</v>
      </c>
      <c r="R2525">
        <v>651</v>
      </c>
    </row>
    <row r="2526" spans="1:18" hidden="1" x14ac:dyDescent="0.2">
      <c r="A2526">
        <v>7</v>
      </c>
      <c r="B2526" t="s">
        <v>43</v>
      </c>
      <c r="E2526" t="s">
        <v>36</v>
      </c>
      <c r="F2526">
        <v>509649</v>
      </c>
      <c r="G2526">
        <v>3</v>
      </c>
      <c r="H2526">
        <v>2</v>
      </c>
      <c r="I2526">
        <v>404</v>
      </c>
      <c r="J2526">
        <v>1959</v>
      </c>
      <c r="K2526" s="4">
        <v>45826</v>
      </c>
      <c r="L2526" t="s">
        <v>23</v>
      </c>
      <c r="M2526" t="s">
        <v>33</v>
      </c>
      <c r="N2526">
        <v>3.48</v>
      </c>
      <c r="O2526">
        <v>1067</v>
      </c>
      <c r="P2526">
        <v>3.19</v>
      </c>
      <c r="Q2526">
        <v>160</v>
      </c>
      <c r="R2526">
        <v>505</v>
      </c>
    </row>
    <row r="2527" spans="1:18" hidden="1" x14ac:dyDescent="0.2">
      <c r="A2527">
        <v>3</v>
      </c>
      <c r="B2527" t="s">
        <v>61</v>
      </c>
      <c r="E2527" t="s">
        <v>19</v>
      </c>
      <c r="F2527">
        <v>1671280</v>
      </c>
      <c r="G2527">
        <v>4</v>
      </c>
      <c r="H2527">
        <v>1</v>
      </c>
      <c r="I2527">
        <v>659</v>
      </c>
      <c r="J2527">
        <v>1953</v>
      </c>
      <c r="K2527" s="4">
        <v>44515</v>
      </c>
      <c r="L2527" t="s">
        <v>26</v>
      </c>
      <c r="M2527" t="s">
        <v>45</v>
      </c>
      <c r="N2527">
        <v>2.0099999999999998</v>
      </c>
      <c r="O2527">
        <v>1913</v>
      </c>
      <c r="P2527">
        <v>2.79</v>
      </c>
      <c r="Q2527">
        <v>299</v>
      </c>
      <c r="R2527">
        <v>408</v>
      </c>
    </row>
    <row r="2528" spans="1:18" hidden="1" x14ac:dyDescent="0.2">
      <c r="A2528">
        <v>1</v>
      </c>
      <c r="B2528" t="s">
        <v>75</v>
      </c>
      <c r="E2528" t="s">
        <v>19</v>
      </c>
      <c r="F2528">
        <v>1436863</v>
      </c>
      <c r="G2528">
        <v>2</v>
      </c>
      <c r="H2528">
        <v>2</v>
      </c>
      <c r="I2528">
        <v>841</v>
      </c>
      <c r="J2528">
        <v>2019</v>
      </c>
      <c r="K2528" s="4">
        <v>45121</v>
      </c>
      <c r="L2528" t="s">
        <v>23</v>
      </c>
      <c r="M2528" t="s">
        <v>54</v>
      </c>
      <c r="N2528">
        <v>2.2599999999999998</v>
      </c>
      <c r="O2528">
        <v>1837</v>
      </c>
      <c r="P2528">
        <v>4.84</v>
      </c>
      <c r="Q2528">
        <v>204</v>
      </c>
      <c r="R2528">
        <v>462</v>
      </c>
    </row>
    <row r="2529" spans="1:18" hidden="1" x14ac:dyDescent="0.2">
      <c r="A2529">
        <v>6</v>
      </c>
      <c r="B2529" t="s">
        <v>79</v>
      </c>
      <c r="E2529" t="s">
        <v>51</v>
      </c>
      <c r="F2529">
        <v>1008142</v>
      </c>
      <c r="G2529">
        <v>4</v>
      </c>
      <c r="H2529">
        <v>1</v>
      </c>
      <c r="I2529">
        <v>83</v>
      </c>
      <c r="J2529">
        <v>1980</v>
      </c>
      <c r="K2529" s="4">
        <v>45557</v>
      </c>
      <c r="L2529" t="s">
        <v>23</v>
      </c>
      <c r="M2529" t="s">
        <v>89</v>
      </c>
      <c r="N2529">
        <v>2.66</v>
      </c>
      <c r="O2529">
        <v>1319</v>
      </c>
      <c r="P2529">
        <v>1.41</v>
      </c>
      <c r="Q2529">
        <v>173</v>
      </c>
      <c r="R2529">
        <v>307</v>
      </c>
    </row>
    <row r="2530" spans="1:18" x14ac:dyDescent="0.2">
      <c r="A2530">
        <v>8</v>
      </c>
      <c r="B2530" t="s">
        <v>86</v>
      </c>
      <c r="C2530" t="str">
        <f>VLOOKUP(B2530, 'Council Area'!$A$2:$B$51, 2)</f>
        <v>Randwick City Council</v>
      </c>
      <c r="D2530" t="str">
        <f>_xlfn.XLOOKUP(B2530, 'Council Area'!$A$2:$A$51, 'Council Area'!$B$2:$B$51)</f>
        <v>Randwick City Council</v>
      </c>
      <c r="E2530" t="s">
        <v>19</v>
      </c>
      <c r="F2530">
        <v>1067485</v>
      </c>
      <c r="G2530">
        <v>1</v>
      </c>
      <c r="H2530">
        <v>3</v>
      </c>
      <c r="I2530">
        <v>453</v>
      </c>
      <c r="J2530">
        <v>1984</v>
      </c>
      <c r="K2530" s="4">
        <v>45128</v>
      </c>
      <c r="L2530" t="s">
        <v>30</v>
      </c>
      <c r="M2530" t="s">
        <v>60</v>
      </c>
      <c r="N2530">
        <v>1.71</v>
      </c>
      <c r="O2530">
        <v>1036</v>
      </c>
      <c r="P2530">
        <v>3.28</v>
      </c>
      <c r="Q2530">
        <v>80</v>
      </c>
      <c r="R2530">
        <v>592</v>
      </c>
    </row>
    <row r="2531" spans="1:18" hidden="1" x14ac:dyDescent="0.2">
      <c r="A2531">
        <v>1</v>
      </c>
      <c r="B2531" t="s">
        <v>105</v>
      </c>
      <c r="E2531" t="s">
        <v>36</v>
      </c>
      <c r="F2531">
        <v>919216</v>
      </c>
      <c r="G2531">
        <v>4</v>
      </c>
      <c r="H2531">
        <v>2</v>
      </c>
      <c r="I2531">
        <v>473</v>
      </c>
      <c r="J2531">
        <v>2005</v>
      </c>
      <c r="K2531" s="4">
        <v>45707</v>
      </c>
      <c r="L2531" t="s">
        <v>23</v>
      </c>
      <c r="M2531" t="s">
        <v>45</v>
      </c>
      <c r="N2531">
        <v>2.89</v>
      </c>
      <c r="O2531">
        <v>1393</v>
      </c>
      <c r="P2531">
        <v>1.17</v>
      </c>
      <c r="Q2531">
        <v>282</v>
      </c>
      <c r="R2531">
        <v>586</v>
      </c>
    </row>
    <row r="2532" spans="1:18" hidden="1" x14ac:dyDescent="0.2">
      <c r="A2532">
        <v>7</v>
      </c>
      <c r="B2532" t="s">
        <v>72</v>
      </c>
      <c r="E2532" t="s">
        <v>19</v>
      </c>
      <c r="F2532">
        <v>985665</v>
      </c>
      <c r="G2532">
        <v>3</v>
      </c>
      <c r="H2532">
        <v>2</v>
      </c>
      <c r="I2532">
        <v>105</v>
      </c>
      <c r="J2532">
        <v>2001</v>
      </c>
      <c r="K2532" s="4">
        <v>45350</v>
      </c>
      <c r="L2532" t="s">
        <v>23</v>
      </c>
      <c r="M2532" t="s">
        <v>97</v>
      </c>
      <c r="N2532">
        <v>2.85</v>
      </c>
      <c r="O2532">
        <v>1338</v>
      </c>
      <c r="P2532">
        <v>0.96</v>
      </c>
      <c r="Q2532">
        <v>242</v>
      </c>
      <c r="R2532">
        <v>394</v>
      </c>
    </row>
    <row r="2533" spans="1:18" x14ac:dyDescent="0.2">
      <c r="A2533">
        <v>8</v>
      </c>
      <c r="B2533" t="s">
        <v>90</v>
      </c>
      <c r="C2533" t="str">
        <f>VLOOKUP(B2533, 'Council Area'!$A$2:$B$51, 2)</f>
        <v>Ku-ring-gai Council</v>
      </c>
      <c r="D2533" t="str">
        <f>_xlfn.XLOOKUP(B2533, 'Council Area'!$A$2:$A$51, 'Council Area'!$B$2:$B$51)</f>
        <v>Ku-ring-gai Council</v>
      </c>
      <c r="E2533" t="s">
        <v>51</v>
      </c>
      <c r="F2533">
        <v>969289</v>
      </c>
      <c r="G2533">
        <v>6</v>
      </c>
      <c r="H2533">
        <v>1</v>
      </c>
      <c r="I2533">
        <v>53</v>
      </c>
      <c r="J2533">
        <v>1997</v>
      </c>
      <c r="K2533" s="4">
        <v>45292</v>
      </c>
      <c r="L2533" t="s">
        <v>20</v>
      </c>
      <c r="M2533" t="s">
        <v>59</v>
      </c>
      <c r="N2533">
        <v>2.5299999999999998</v>
      </c>
      <c r="O2533">
        <v>2280</v>
      </c>
      <c r="P2533">
        <v>4.26</v>
      </c>
      <c r="Q2533">
        <v>385</v>
      </c>
      <c r="R2533">
        <v>665</v>
      </c>
    </row>
    <row r="2534" spans="1:18" hidden="1" x14ac:dyDescent="0.2">
      <c r="A2534">
        <v>9</v>
      </c>
      <c r="B2534" t="s">
        <v>49</v>
      </c>
      <c r="E2534" t="s">
        <v>51</v>
      </c>
      <c r="F2534">
        <v>2584453</v>
      </c>
      <c r="G2534">
        <v>3</v>
      </c>
      <c r="H2534">
        <v>3</v>
      </c>
      <c r="I2534">
        <v>522</v>
      </c>
      <c r="J2534">
        <v>1953</v>
      </c>
      <c r="K2534" s="4">
        <v>44640</v>
      </c>
      <c r="L2534" t="s">
        <v>30</v>
      </c>
      <c r="M2534" t="s">
        <v>27</v>
      </c>
      <c r="N2534">
        <v>3.42</v>
      </c>
      <c r="O2534">
        <v>913</v>
      </c>
      <c r="P2534">
        <v>1.07</v>
      </c>
      <c r="Q2534">
        <v>148</v>
      </c>
      <c r="R2534">
        <v>388</v>
      </c>
    </row>
    <row r="2535" spans="1:18" hidden="1" x14ac:dyDescent="0.2">
      <c r="A2535">
        <v>5</v>
      </c>
      <c r="B2535" t="s">
        <v>79</v>
      </c>
      <c r="E2535" t="s">
        <v>19</v>
      </c>
      <c r="F2535">
        <v>1846507</v>
      </c>
      <c r="G2535">
        <v>3</v>
      </c>
      <c r="H2535">
        <v>3</v>
      </c>
      <c r="I2535">
        <v>357</v>
      </c>
      <c r="J2535">
        <v>1995</v>
      </c>
      <c r="K2535" s="4">
        <v>44279</v>
      </c>
      <c r="L2535" t="s">
        <v>20</v>
      </c>
      <c r="M2535" t="s">
        <v>45</v>
      </c>
      <c r="N2535">
        <v>1.78</v>
      </c>
      <c r="O2535">
        <v>2060</v>
      </c>
      <c r="P2535">
        <v>2.0699999999999998</v>
      </c>
      <c r="Q2535">
        <v>199</v>
      </c>
      <c r="R2535">
        <v>463</v>
      </c>
    </row>
    <row r="2536" spans="1:18" hidden="1" x14ac:dyDescent="0.2">
      <c r="A2536">
        <v>3</v>
      </c>
      <c r="B2536" t="s">
        <v>53</v>
      </c>
      <c r="E2536" t="s">
        <v>19</v>
      </c>
      <c r="F2536">
        <v>2808981</v>
      </c>
      <c r="G2536">
        <v>5</v>
      </c>
      <c r="H2536">
        <v>1</v>
      </c>
      <c r="I2536">
        <v>210</v>
      </c>
      <c r="J2536">
        <v>2013</v>
      </c>
      <c r="K2536" s="4">
        <v>44710</v>
      </c>
      <c r="L2536" t="s">
        <v>20</v>
      </c>
      <c r="M2536" t="s">
        <v>69</v>
      </c>
      <c r="N2536">
        <v>2.2799999999999998</v>
      </c>
      <c r="O2536">
        <v>1456</v>
      </c>
      <c r="P2536">
        <v>4.8499999999999996</v>
      </c>
      <c r="Q2536">
        <v>265</v>
      </c>
      <c r="R2536">
        <v>540</v>
      </c>
    </row>
    <row r="2537" spans="1:18" hidden="1" x14ac:dyDescent="0.2">
      <c r="A2537">
        <v>4</v>
      </c>
      <c r="B2537" t="s">
        <v>28</v>
      </c>
      <c r="E2537" t="s">
        <v>29</v>
      </c>
      <c r="F2537">
        <v>608185</v>
      </c>
      <c r="G2537">
        <v>3</v>
      </c>
      <c r="H2537">
        <v>1</v>
      </c>
      <c r="I2537">
        <v>255</v>
      </c>
      <c r="J2537">
        <v>1966</v>
      </c>
      <c r="K2537" s="4">
        <v>44440</v>
      </c>
      <c r="L2537" t="s">
        <v>26</v>
      </c>
      <c r="M2537" t="s">
        <v>66</v>
      </c>
      <c r="N2537">
        <v>1.6</v>
      </c>
      <c r="O2537">
        <v>1154</v>
      </c>
      <c r="P2537">
        <v>4.3600000000000003</v>
      </c>
      <c r="Q2537">
        <v>256</v>
      </c>
      <c r="R2537">
        <v>553</v>
      </c>
    </row>
    <row r="2538" spans="1:18" hidden="1" x14ac:dyDescent="0.2">
      <c r="A2538">
        <v>2</v>
      </c>
      <c r="B2538" t="s">
        <v>18</v>
      </c>
      <c r="E2538" t="s">
        <v>19</v>
      </c>
      <c r="F2538">
        <v>561100</v>
      </c>
      <c r="G2538">
        <v>5</v>
      </c>
      <c r="H2538">
        <v>1</v>
      </c>
      <c r="I2538">
        <v>296</v>
      </c>
      <c r="J2538">
        <v>1996</v>
      </c>
      <c r="K2538" s="4">
        <v>45758</v>
      </c>
      <c r="L2538" t="s">
        <v>20</v>
      </c>
      <c r="M2538" t="s">
        <v>89</v>
      </c>
      <c r="N2538">
        <v>2.2200000000000002</v>
      </c>
      <c r="O2538">
        <v>1220</v>
      </c>
      <c r="P2538">
        <v>1.66</v>
      </c>
      <c r="Q2538">
        <v>302</v>
      </c>
      <c r="R2538">
        <v>368</v>
      </c>
    </row>
    <row r="2539" spans="1:18" hidden="1" x14ac:dyDescent="0.2">
      <c r="A2539">
        <v>2</v>
      </c>
      <c r="B2539" t="s">
        <v>93</v>
      </c>
      <c r="E2539" t="s">
        <v>36</v>
      </c>
      <c r="F2539">
        <v>1676343</v>
      </c>
      <c r="G2539">
        <v>3</v>
      </c>
      <c r="H2539">
        <v>2</v>
      </c>
      <c r="I2539">
        <v>577</v>
      </c>
      <c r="J2539">
        <v>2016</v>
      </c>
      <c r="K2539" s="4">
        <v>44569</v>
      </c>
      <c r="L2539" t="s">
        <v>30</v>
      </c>
      <c r="M2539" t="s">
        <v>70</v>
      </c>
      <c r="N2539">
        <v>3.24</v>
      </c>
      <c r="O2539">
        <v>2110</v>
      </c>
      <c r="P2539">
        <v>3.68</v>
      </c>
      <c r="Q2539">
        <v>194</v>
      </c>
      <c r="R2539">
        <v>343</v>
      </c>
    </row>
    <row r="2540" spans="1:18" hidden="1" x14ac:dyDescent="0.2">
      <c r="A2540">
        <v>1</v>
      </c>
      <c r="B2540" t="s">
        <v>104</v>
      </c>
      <c r="E2540" t="s">
        <v>51</v>
      </c>
      <c r="F2540">
        <v>889399</v>
      </c>
      <c r="G2540">
        <v>4</v>
      </c>
      <c r="H2540">
        <v>3</v>
      </c>
      <c r="I2540">
        <v>530</v>
      </c>
      <c r="J2540">
        <v>1990</v>
      </c>
      <c r="K2540" s="4">
        <v>44324</v>
      </c>
      <c r="L2540" t="s">
        <v>20</v>
      </c>
      <c r="M2540" t="s">
        <v>69</v>
      </c>
      <c r="N2540">
        <v>3.2</v>
      </c>
      <c r="O2540">
        <v>1590</v>
      </c>
      <c r="P2540">
        <v>0.52</v>
      </c>
      <c r="Q2540">
        <v>183</v>
      </c>
      <c r="R2540">
        <v>375</v>
      </c>
    </row>
    <row r="2541" spans="1:18" hidden="1" x14ac:dyDescent="0.2">
      <c r="A2541">
        <v>0</v>
      </c>
      <c r="B2541" t="s">
        <v>57</v>
      </c>
      <c r="E2541" t="s">
        <v>29</v>
      </c>
      <c r="F2541">
        <v>1685421</v>
      </c>
      <c r="G2541">
        <v>5</v>
      </c>
      <c r="H2541">
        <v>3</v>
      </c>
      <c r="I2541">
        <v>523</v>
      </c>
      <c r="J2541">
        <v>2004</v>
      </c>
      <c r="K2541" s="4">
        <v>44276</v>
      </c>
      <c r="L2541" t="s">
        <v>30</v>
      </c>
      <c r="M2541" t="s">
        <v>27</v>
      </c>
      <c r="N2541">
        <v>2.69</v>
      </c>
      <c r="O2541">
        <v>1584</v>
      </c>
      <c r="P2541">
        <v>4.47</v>
      </c>
      <c r="Q2541">
        <v>295</v>
      </c>
      <c r="R2541">
        <v>617</v>
      </c>
    </row>
    <row r="2542" spans="1:18" hidden="1" x14ac:dyDescent="0.2">
      <c r="A2542">
        <v>6</v>
      </c>
      <c r="B2542" t="s">
        <v>44</v>
      </c>
      <c r="E2542" t="s">
        <v>19</v>
      </c>
      <c r="F2542">
        <v>1689414</v>
      </c>
      <c r="G2542">
        <v>2</v>
      </c>
      <c r="H2542">
        <v>2</v>
      </c>
      <c r="I2542">
        <v>737</v>
      </c>
      <c r="J2542">
        <v>1964</v>
      </c>
      <c r="K2542" s="4">
        <v>44366</v>
      </c>
      <c r="L2542" t="s">
        <v>26</v>
      </c>
      <c r="M2542" t="s">
        <v>74</v>
      </c>
      <c r="N2542">
        <v>2.5299999999999998</v>
      </c>
      <c r="O2542">
        <v>1565</v>
      </c>
      <c r="P2542">
        <v>0.13</v>
      </c>
      <c r="Q2542">
        <v>236</v>
      </c>
      <c r="R2542">
        <v>619</v>
      </c>
    </row>
    <row r="2543" spans="1:18" hidden="1" x14ac:dyDescent="0.2">
      <c r="A2543">
        <v>6</v>
      </c>
      <c r="B2543" t="s">
        <v>73</v>
      </c>
      <c r="E2543" t="s">
        <v>51</v>
      </c>
      <c r="F2543">
        <v>2590167</v>
      </c>
      <c r="G2543">
        <v>4</v>
      </c>
      <c r="H2543">
        <v>3</v>
      </c>
      <c r="I2543">
        <v>526</v>
      </c>
      <c r="J2543">
        <v>1996</v>
      </c>
      <c r="K2543" s="4">
        <v>45387</v>
      </c>
      <c r="L2543" t="s">
        <v>23</v>
      </c>
      <c r="M2543" t="s">
        <v>68</v>
      </c>
      <c r="N2543">
        <v>3.06</v>
      </c>
      <c r="O2543">
        <v>893</v>
      </c>
      <c r="P2543">
        <v>2.4</v>
      </c>
      <c r="Q2543">
        <v>364</v>
      </c>
      <c r="R2543">
        <v>674</v>
      </c>
    </row>
    <row r="2544" spans="1:18" hidden="1" x14ac:dyDescent="0.2">
      <c r="A2544">
        <v>7</v>
      </c>
      <c r="B2544" t="s">
        <v>53</v>
      </c>
      <c r="E2544" t="s">
        <v>51</v>
      </c>
      <c r="F2544">
        <v>1854716</v>
      </c>
      <c r="G2544">
        <v>5</v>
      </c>
      <c r="H2544">
        <v>1</v>
      </c>
      <c r="I2544">
        <v>952</v>
      </c>
      <c r="J2544">
        <v>2021</v>
      </c>
      <c r="K2544" s="4">
        <v>45772</v>
      </c>
      <c r="L2544" t="s">
        <v>23</v>
      </c>
      <c r="M2544" t="s">
        <v>60</v>
      </c>
      <c r="N2544">
        <v>2.89</v>
      </c>
      <c r="O2544">
        <v>1656</v>
      </c>
      <c r="P2544">
        <v>3.12</v>
      </c>
      <c r="Q2544">
        <v>350</v>
      </c>
      <c r="R2544">
        <v>474</v>
      </c>
    </row>
    <row r="2545" spans="1:18" hidden="1" x14ac:dyDescent="0.2">
      <c r="A2545">
        <v>5</v>
      </c>
      <c r="B2545" t="s">
        <v>90</v>
      </c>
      <c r="E2545" t="s">
        <v>36</v>
      </c>
      <c r="F2545">
        <v>2511019</v>
      </c>
      <c r="G2545">
        <v>4</v>
      </c>
      <c r="H2545">
        <v>1</v>
      </c>
      <c r="I2545">
        <v>245</v>
      </c>
      <c r="J2545">
        <v>1987</v>
      </c>
      <c r="K2545" s="4">
        <v>45522</v>
      </c>
      <c r="L2545" t="s">
        <v>20</v>
      </c>
      <c r="M2545" t="s">
        <v>40</v>
      </c>
      <c r="N2545">
        <v>2.2799999999999998</v>
      </c>
      <c r="O2545">
        <v>1671</v>
      </c>
      <c r="P2545">
        <v>0.41</v>
      </c>
      <c r="Q2545">
        <v>385</v>
      </c>
      <c r="R2545">
        <v>546</v>
      </c>
    </row>
    <row r="2546" spans="1:18" hidden="1" x14ac:dyDescent="0.2">
      <c r="A2546">
        <v>7</v>
      </c>
      <c r="B2546" t="s">
        <v>90</v>
      </c>
      <c r="E2546" t="s">
        <v>51</v>
      </c>
      <c r="F2546">
        <v>473502</v>
      </c>
      <c r="G2546">
        <v>3</v>
      </c>
      <c r="H2546">
        <v>3</v>
      </c>
      <c r="I2546">
        <v>860</v>
      </c>
      <c r="J2546">
        <v>2002</v>
      </c>
      <c r="K2546" s="4">
        <v>45063</v>
      </c>
      <c r="L2546" t="s">
        <v>30</v>
      </c>
      <c r="M2546" t="s">
        <v>54</v>
      </c>
      <c r="N2546">
        <v>2.41</v>
      </c>
      <c r="O2546">
        <v>1949</v>
      </c>
      <c r="P2546">
        <v>2.83</v>
      </c>
      <c r="Q2546">
        <v>288</v>
      </c>
      <c r="R2546">
        <v>430</v>
      </c>
    </row>
    <row r="2547" spans="1:18" hidden="1" x14ac:dyDescent="0.2">
      <c r="A2547">
        <v>2</v>
      </c>
      <c r="B2547" t="s">
        <v>95</v>
      </c>
      <c r="E2547" t="s">
        <v>36</v>
      </c>
      <c r="F2547">
        <v>574262</v>
      </c>
      <c r="G2547">
        <v>2</v>
      </c>
      <c r="H2547">
        <v>2</v>
      </c>
      <c r="I2547">
        <v>480</v>
      </c>
      <c r="J2547">
        <v>2014</v>
      </c>
      <c r="K2547" s="4">
        <v>44359</v>
      </c>
      <c r="L2547" t="s">
        <v>23</v>
      </c>
      <c r="M2547" t="s">
        <v>21</v>
      </c>
      <c r="N2547">
        <v>1.81</v>
      </c>
      <c r="O2547">
        <v>1154</v>
      </c>
      <c r="P2547">
        <v>0.14000000000000001</v>
      </c>
      <c r="Q2547">
        <v>95</v>
      </c>
      <c r="R2547">
        <v>581</v>
      </c>
    </row>
    <row r="2548" spans="1:18" hidden="1" x14ac:dyDescent="0.2">
      <c r="A2548">
        <v>3</v>
      </c>
      <c r="B2548" t="s">
        <v>104</v>
      </c>
      <c r="E2548" t="s">
        <v>51</v>
      </c>
      <c r="F2548">
        <v>2516459</v>
      </c>
      <c r="G2548">
        <v>3</v>
      </c>
      <c r="H2548">
        <v>1</v>
      </c>
      <c r="I2548">
        <v>560</v>
      </c>
      <c r="J2548">
        <v>2022</v>
      </c>
      <c r="K2548" s="4">
        <v>45547</v>
      </c>
      <c r="L2548" t="s">
        <v>26</v>
      </c>
      <c r="M2548" t="s">
        <v>58</v>
      </c>
      <c r="N2548">
        <v>1.61</v>
      </c>
      <c r="O2548">
        <v>1255</v>
      </c>
      <c r="P2548">
        <v>2.48</v>
      </c>
      <c r="Q2548">
        <v>208</v>
      </c>
      <c r="R2548">
        <v>700</v>
      </c>
    </row>
    <row r="2549" spans="1:18" hidden="1" x14ac:dyDescent="0.2">
      <c r="A2549">
        <v>7</v>
      </c>
      <c r="B2549" t="s">
        <v>75</v>
      </c>
      <c r="E2549" t="s">
        <v>51</v>
      </c>
      <c r="F2549">
        <v>553574</v>
      </c>
      <c r="G2549">
        <v>-2</v>
      </c>
      <c r="H2549">
        <v>2</v>
      </c>
      <c r="I2549">
        <v>265</v>
      </c>
      <c r="J2549">
        <v>1996</v>
      </c>
      <c r="K2549" s="4">
        <v>44867</v>
      </c>
      <c r="L2549" t="s">
        <v>26</v>
      </c>
      <c r="M2549" t="s">
        <v>63</v>
      </c>
      <c r="N2549">
        <v>3.31</v>
      </c>
      <c r="O2549">
        <v>811</v>
      </c>
      <c r="P2549">
        <v>0.67</v>
      </c>
      <c r="Q2549">
        <v>395</v>
      </c>
      <c r="R2549">
        <v>621</v>
      </c>
    </row>
    <row r="2550" spans="1:18" hidden="1" x14ac:dyDescent="0.2">
      <c r="A2550">
        <v>9</v>
      </c>
      <c r="B2550" t="s">
        <v>53</v>
      </c>
      <c r="E2550" t="s">
        <v>19</v>
      </c>
      <c r="F2550">
        <v>729968</v>
      </c>
      <c r="G2550">
        <v>4</v>
      </c>
      <c r="H2550">
        <v>2</v>
      </c>
      <c r="I2550">
        <v>572</v>
      </c>
      <c r="J2550">
        <v>1979</v>
      </c>
      <c r="K2550" s="4">
        <v>45622</v>
      </c>
      <c r="L2550" t="s">
        <v>20</v>
      </c>
      <c r="M2550" t="s">
        <v>69</v>
      </c>
      <c r="N2550">
        <v>1.64</v>
      </c>
      <c r="O2550">
        <v>2072</v>
      </c>
      <c r="P2550">
        <v>4.6900000000000004</v>
      </c>
      <c r="Q2550">
        <v>169</v>
      </c>
      <c r="R2550">
        <v>483</v>
      </c>
    </row>
    <row r="2551" spans="1:18" hidden="1" x14ac:dyDescent="0.2">
      <c r="A2551">
        <v>5</v>
      </c>
      <c r="B2551" t="s">
        <v>100</v>
      </c>
      <c r="E2551" t="s">
        <v>51</v>
      </c>
      <c r="F2551">
        <v>2663063</v>
      </c>
      <c r="G2551">
        <v>4</v>
      </c>
      <c r="H2551">
        <v>3</v>
      </c>
      <c r="I2551">
        <v>212</v>
      </c>
      <c r="J2551">
        <v>1951</v>
      </c>
      <c r="K2551" s="4">
        <v>45831</v>
      </c>
      <c r="L2551" t="s">
        <v>20</v>
      </c>
      <c r="M2551" t="s">
        <v>89</v>
      </c>
      <c r="N2551">
        <v>1.63</v>
      </c>
      <c r="O2551">
        <v>1915</v>
      </c>
      <c r="P2551">
        <v>1.0900000000000001</v>
      </c>
      <c r="Q2551">
        <v>229</v>
      </c>
      <c r="R2551">
        <v>676</v>
      </c>
    </row>
    <row r="2552" spans="1:18" hidden="1" x14ac:dyDescent="0.2">
      <c r="A2552">
        <v>4</v>
      </c>
      <c r="B2552" t="s">
        <v>81</v>
      </c>
      <c r="E2552" t="s">
        <v>51</v>
      </c>
      <c r="F2552">
        <v>1217642</v>
      </c>
      <c r="G2552">
        <v>3</v>
      </c>
      <c r="H2552">
        <v>1</v>
      </c>
      <c r="I2552">
        <v>156</v>
      </c>
      <c r="J2552">
        <v>1988</v>
      </c>
      <c r="K2552" s="4">
        <v>44843</v>
      </c>
      <c r="L2552" t="s">
        <v>26</v>
      </c>
      <c r="M2552" t="s">
        <v>97</v>
      </c>
      <c r="N2552">
        <v>3.4</v>
      </c>
      <c r="O2552">
        <v>2251</v>
      </c>
      <c r="P2552">
        <v>2.1</v>
      </c>
      <c r="Q2552">
        <v>279</v>
      </c>
      <c r="R2552">
        <v>524</v>
      </c>
    </row>
    <row r="2553" spans="1:18" hidden="1" x14ac:dyDescent="0.2">
      <c r="A2553">
        <v>2</v>
      </c>
      <c r="B2553" t="s">
        <v>84</v>
      </c>
      <c r="E2553" t="s">
        <v>19</v>
      </c>
      <c r="F2553">
        <v>2229086</v>
      </c>
      <c r="G2553">
        <v>5</v>
      </c>
      <c r="H2553">
        <v>3</v>
      </c>
      <c r="I2553">
        <v>531</v>
      </c>
      <c r="J2553">
        <v>2022</v>
      </c>
      <c r="K2553" s="4">
        <v>44700</v>
      </c>
      <c r="L2553" t="s">
        <v>26</v>
      </c>
      <c r="M2553" t="s">
        <v>82</v>
      </c>
      <c r="N2553">
        <v>2.57</v>
      </c>
      <c r="O2553">
        <v>1445</v>
      </c>
      <c r="P2553">
        <v>4.53</v>
      </c>
      <c r="Q2553">
        <v>245</v>
      </c>
      <c r="R2553">
        <v>502</v>
      </c>
    </row>
    <row r="2554" spans="1:18" hidden="1" x14ac:dyDescent="0.2">
      <c r="A2554">
        <v>4</v>
      </c>
      <c r="B2554" t="s">
        <v>48</v>
      </c>
      <c r="E2554" t="s">
        <v>36</v>
      </c>
      <c r="F2554">
        <v>2005200</v>
      </c>
      <c r="G2554">
        <v>4</v>
      </c>
      <c r="H2554">
        <v>2</v>
      </c>
      <c r="I2554">
        <v>273</v>
      </c>
      <c r="J2554">
        <v>2001</v>
      </c>
      <c r="K2554" s="4">
        <v>44754</v>
      </c>
      <c r="L2554" t="s">
        <v>26</v>
      </c>
      <c r="M2554" t="s">
        <v>77</v>
      </c>
      <c r="N2554">
        <v>3.46</v>
      </c>
      <c r="O2554">
        <v>2032</v>
      </c>
      <c r="P2554">
        <v>2.33</v>
      </c>
      <c r="Q2554">
        <v>243</v>
      </c>
      <c r="R2554">
        <v>448</v>
      </c>
    </row>
    <row r="2555" spans="1:18" hidden="1" x14ac:dyDescent="0.2">
      <c r="A2555">
        <v>9</v>
      </c>
      <c r="B2555" t="s">
        <v>93</v>
      </c>
      <c r="E2555" t="s">
        <v>51</v>
      </c>
      <c r="F2555">
        <v>2371278</v>
      </c>
      <c r="G2555">
        <v>2</v>
      </c>
      <c r="H2555">
        <v>1</v>
      </c>
      <c r="I2555">
        <v>963</v>
      </c>
      <c r="J2555">
        <v>2003</v>
      </c>
      <c r="K2555" s="4">
        <v>44085</v>
      </c>
      <c r="L2555" t="s">
        <v>26</v>
      </c>
      <c r="M2555" t="s">
        <v>74</v>
      </c>
      <c r="N2555">
        <v>1.83</v>
      </c>
      <c r="O2555">
        <v>2463</v>
      </c>
      <c r="P2555">
        <v>3.5</v>
      </c>
      <c r="Q2555">
        <v>202</v>
      </c>
      <c r="R2555">
        <v>443</v>
      </c>
    </row>
    <row r="2556" spans="1:18" hidden="1" x14ac:dyDescent="0.2">
      <c r="A2556">
        <v>6</v>
      </c>
      <c r="B2556" t="s">
        <v>86</v>
      </c>
      <c r="E2556" t="s">
        <v>19</v>
      </c>
      <c r="F2556">
        <v>2268634</v>
      </c>
      <c r="G2556">
        <v>3</v>
      </c>
      <c r="H2556">
        <v>2</v>
      </c>
      <c r="I2556">
        <v>306</v>
      </c>
      <c r="J2556">
        <v>1952</v>
      </c>
      <c r="K2556" s="4">
        <v>44223</v>
      </c>
      <c r="L2556" t="s">
        <v>20</v>
      </c>
      <c r="M2556" t="s">
        <v>52</v>
      </c>
      <c r="N2556">
        <v>1.6</v>
      </c>
      <c r="O2556">
        <v>2500</v>
      </c>
      <c r="P2556">
        <v>0.36</v>
      </c>
      <c r="Q2556">
        <v>119</v>
      </c>
      <c r="R2556">
        <v>444</v>
      </c>
    </row>
    <row r="2557" spans="1:18" hidden="1" x14ac:dyDescent="0.2">
      <c r="A2557">
        <v>9</v>
      </c>
      <c r="B2557" t="s">
        <v>57</v>
      </c>
      <c r="E2557" t="s">
        <v>36</v>
      </c>
      <c r="F2557">
        <v>2587065</v>
      </c>
      <c r="G2557">
        <v>6</v>
      </c>
      <c r="H2557">
        <v>1</v>
      </c>
      <c r="I2557">
        <v>825</v>
      </c>
      <c r="J2557">
        <v>1958</v>
      </c>
      <c r="K2557" s="4">
        <v>44901</v>
      </c>
      <c r="L2557" t="s">
        <v>30</v>
      </c>
      <c r="M2557" t="s">
        <v>47</v>
      </c>
      <c r="N2557">
        <v>3.05</v>
      </c>
      <c r="O2557">
        <v>2147</v>
      </c>
      <c r="P2557">
        <v>1.3</v>
      </c>
      <c r="Q2557">
        <v>336</v>
      </c>
      <c r="R2557">
        <v>353</v>
      </c>
    </row>
    <row r="2558" spans="1:18" hidden="1" x14ac:dyDescent="0.2">
      <c r="A2558">
        <v>2</v>
      </c>
      <c r="B2558" t="s">
        <v>101</v>
      </c>
      <c r="E2558" t="s">
        <v>29</v>
      </c>
      <c r="F2558">
        <v>2146380</v>
      </c>
      <c r="G2558">
        <v>3</v>
      </c>
      <c r="H2558">
        <v>3</v>
      </c>
      <c r="I2558">
        <v>649</v>
      </c>
      <c r="J2558">
        <v>2005</v>
      </c>
      <c r="K2558" s="4">
        <v>45382</v>
      </c>
      <c r="L2558" t="s">
        <v>20</v>
      </c>
      <c r="M2558" t="s">
        <v>40</v>
      </c>
      <c r="N2558">
        <v>2.85</v>
      </c>
      <c r="O2558">
        <v>2396</v>
      </c>
      <c r="P2558">
        <v>2.38</v>
      </c>
      <c r="Q2558">
        <v>256</v>
      </c>
      <c r="R2558">
        <v>512</v>
      </c>
    </row>
    <row r="2559" spans="1:18" hidden="1" x14ac:dyDescent="0.2">
      <c r="A2559">
        <v>1</v>
      </c>
      <c r="B2559" t="s">
        <v>88</v>
      </c>
      <c r="E2559" t="s">
        <v>51</v>
      </c>
      <c r="F2559">
        <v>1694970</v>
      </c>
      <c r="G2559">
        <v>4</v>
      </c>
      <c r="H2559">
        <v>1</v>
      </c>
      <c r="I2559">
        <v>403</v>
      </c>
      <c r="J2559">
        <v>1967</v>
      </c>
      <c r="K2559" s="4">
        <v>45803</v>
      </c>
      <c r="L2559" t="s">
        <v>20</v>
      </c>
      <c r="M2559" t="s">
        <v>89</v>
      </c>
      <c r="N2559">
        <v>3</v>
      </c>
      <c r="O2559">
        <v>1843</v>
      </c>
      <c r="P2559">
        <v>0.42</v>
      </c>
      <c r="Q2559">
        <v>226</v>
      </c>
      <c r="R2559">
        <v>349</v>
      </c>
    </row>
    <row r="2560" spans="1:18" hidden="1" x14ac:dyDescent="0.2">
      <c r="A2560">
        <v>2</v>
      </c>
      <c r="B2560" t="s">
        <v>43</v>
      </c>
      <c r="E2560" t="s">
        <v>19</v>
      </c>
      <c r="F2560">
        <v>2854304</v>
      </c>
      <c r="G2560">
        <v>5</v>
      </c>
      <c r="H2560">
        <v>2</v>
      </c>
      <c r="I2560">
        <v>60</v>
      </c>
      <c r="J2560">
        <v>1999</v>
      </c>
      <c r="K2560" s="4">
        <v>45758</v>
      </c>
      <c r="L2560" t="s">
        <v>23</v>
      </c>
      <c r="M2560" t="s">
        <v>63</v>
      </c>
      <c r="N2560">
        <v>2.74</v>
      </c>
      <c r="O2560">
        <v>1712</v>
      </c>
      <c r="P2560">
        <v>3.05</v>
      </c>
      <c r="Q2560">
        <v>393</v>
      </c>
      <c r="R2560">
        <v>631</v>
      </c>
    </row>
    <row r="2561" spans="1:18" hidden="1" x14ac:dyDescent="0.2">
      <c r="A2561">
        <v>0</v>
      </c>
      <c r="B2561" t="s">
        <v>96</v>
      </c>
      <c r="E2561" t="s">
        <v>36</v>
      </c>
      <c r="F2561">
        <v>515785</v>
      </c>
      <c r="G2561">
        <v>3</v>
      </c>
      <c r="H2561">
        <v>1</v>
      </c>
      <c r="I2561">
        <v>169</v>
      </c>
      <c r="J2561">
        <v>2014</v>
      </c>
      <c r="K2561" s="4">
        <v>45547</v>
      </c>
      <c r="L2561" t="s">
        <v>23</v>
      </c>
      <c r="M2561" t="s">
        <v>21</v>
      </c>
      <c r="N2561">
        <v>1.86</v>
      </c>
      <c r="O2561">
        <v>2376</v>
      </c>
      <c r="P2561">
        <v>3.24</v>
      </c>
      <c r="Q2561">
        <v>228</v>
      </c>
      <c r="R2561">
        <v>647</v>
      </c>
    </row>
    <row r="2562" spans="1:18" hidden="1" x14ac:dyDescent="0.2">
      <c r="A2562">
        <v>0</v>
      </c>
      <c r="B2562" t="s">
        <v>73</v>
      </c>
      <c r="E2562" t="s">
        <v>103</v>
      </c>
      <c r="F2562">
        <v>1943781</v>
      </c>
      <c r="G2562">
        <v>4</v>
      </c>
      <c r="H2562">
        <v>3</v>
      </c>
      <c r="I2562">
        <v>578</v>
      </c>
      <c r="J2562">
        <v>2000</v>
      </c>
      <c r="K2562" s="4">
        <v>44635</v>
      </c>
      <c r="L2562" t="s">
        <v>26</v>
      </c>
      <c r="M2562" t="s">
        <v>59</v>
      </c>
      <c r="N2562">
        <v>2.84</v>
      </c>
      <c r="O2562">
        <v>1688</v>
      </c>
      <c r="P2562">
        <v>1.46</v>
      </c>
      <c r="Q2562">
        <v>214</v>
      </c>
      <c r="R2562">
        <v>407</v>
      </c>
    </row>
    <row r="2563" spans="1:18" hidden="1" x14ac:dyDescent="0.2">
      <c r="A2563">
        <v>1</v>
      </c>
      <c r="B2563" t="s">
        <v>48</v>
      </c>
      <c r="E2563" t="s">
        <v>19</v>
      </c>
      <c r="F2563">
        <v>2235330</v>
      </c>
      <c r="G2563">
        <v>1</v>
      </c>
      <c r="H2563">
        <v>3</v>
      </c>
      <c r="I2563">
        <v>968</v>
      </c>
      <c r="J2563">
        <v>1983</v>
      </c>
      <c r="K2563" s="4">
        <v>44475</v>
      </c>
      <c r="L2563" t="s">
        <v>30</v>
      </c>
      <c r="M2563" t="s">
        <v>68</v>
      </c>
      <c r="N2563">
        <v>2.5299999999999998</v>
      </c>
      <c r="O2563">
        <v>1263</v>
      </c>
      <c r="P2563">
        <v>2.94</v>
      </c>
      <c r="Q2563">
        <v>94</v>
      </c>
      <c r="R2563">
        <v>484</v>
      </c>
    </row>
    <row r="2564" spans="1:18" hidden="1" x14ac:dyDescent="0.2">
      <c r="A2564">
        <v>0</v>
      </c>
      <c r="B2564" t="s">
        <v>41</v>
      </c>
      <c r="E2564" t="s">
        <v>36</v>
      </c>
      <c r="F2564">
        <v>1849031</v>
      </c>
      <c r="G2564">
        <v>2</v>
      </c>
      <c r="H2564">
        <v>3</v>
      </c>
      <c r="I2564">
        <v>954</v>
      </c>
      <c r="J2564">
        <v>1964</v>
      </c>
      <c r="K2564" s="4">
        <v>45403</v>
      </c>
      <c r="L2564" t="s">
        <v>20</v>
      </c>
      <c r="M2564" t="s">
        <v>42</v>
      </c>
      <c r="N2564">
        <v>3.28</v>
      </c>
      <c r="O2564">
        <v>1869</v>
      </c>
      <c r="P2564">
        <v>3.12</v>
      </c>
      <c r="Q2564">
        <v>213</v>
      </c>
      <c r="R2564">
        <v>528</v>
      </c>
    </row>
    <row r="2565" spans="1:18" x14ac:dyDescent="0.2">
      <c r="A2565">
        <v>8</v>
      </c>
      <c r="B2565" t="s">
        <v>25</v>
      </c>
      <c r="C2565" t="str">
        <f>VLOOKUP(B2565, 'Council Area'!$A$2:$B$51, 2)</f>
        <v>Inner West Council</v>
      </c>
      <c r="D2565" t="str">
        <f>_xlfn.XLOOKUP(B2565, 'Council Area'!$A$2:$A$51, 'Council Area'!$B$2:$B$51)</f>
        <v>Inner West Council</v>
      </c>
      <c r="E2565" t="s">
        <v>29</v>
      </c>
      <c r="F2565">
        <v>900847</v>
      </c>
      <c r="G2565">
        <v>2</v>
      </c>
      <c r="H2565">
        <v>3</v>
      </c>
      <c r="I2565">
        <v>961</v>
      </c>
      <c r="J2565">
        <v>1974</v>
      </c>
      <c r="K2565" s="4">
        <v>44305</v>
      </c>
      <c r="L2565" t="s">
        <v>23</v>
      </c>
      <c r="M2565" t="s">
        <v>76</v>
      </c>
      <c r="N2565">
        <v>1.69</v>
      </c>
      <c r="O2565">
        <v>2474</v>
      </c>
      <c r="P2565">
        <v>2.17</v>
      </c>
      <c r="Q2565">
        <v>131</v>
      </c>
      <c r="R2565">
        <v>641</v>
      </c>
    </row>
    <row r="2566" spans="1:18" hidden="1" x14ac:dyDescent="0.2">
      <c r="A2566">
        <v>4</v>
      </c>
      <c r="B2566" t="s">
        <v>81</v>
      </c>
      <c r="E2566" t="s">
        <v>51</v>
      </c>
      <c r="F2566">
        <v>2240498</v>
      </c>
      <c r="G2566">
        <v>4</v>
      </c>
      <c r="H2566">
        <v>1</v>
      </c>
      <c r="I2566">
        <v>394</v>
      </c>
      <c r="J2566">
        <v>1994</v>
      </c>
      <c r="K2566" s="4">
        <v>44418</v>
      </c>
      <c r="L2566" t="s">
        <v>30</v>
      </c>
      <c r="M2566" t="s">
        <v>40</v>
      </c>
      <c r="N2566">
        <v>3.03</v>
      </c>
      <c r="O2566">
        <v>1615</v>
      </c>
      <c r="P2566">
        <v>4.79</v>
      </c>
      <c r="Q2566">
        <v>395</v>
      </c>
      <c r="R2566">
        <v>538</v>
      </c>
    </row>
    <row r="2567" spans="1:18" hidden="1" x14ac:dyDescent="0.2">
      <c r="A2567">
        <v>5</v>
      </c>
      <c r="B2567" t="s">
        <v>91</v>
      </c>
      <c r="E2567" t="s">
        <v>36</v>
      </c>
      <c r="F2567">
        <v>880114</v>
      </c>
      <c r="G2567">
        <v>1</v>
      </c>
      <c r="H2567">
        <v>1</v>
      </c>
      <c r="I2567">
        <v>464</v>
      </c>
      <c r="J2567">
        <v>1999</v>
      </c>
      <c r="K2567" s="4">
        <v>44531</v>
      </c>
      <c r="L2567" t="s">
        <v>26</v>
      </c>
      <c r="M2567" t="s">
        <v>60</v>
      </c>
      <c r="N2567">
        <v>2.5499999999999998</v>
      </c>
      <c r="O2567">
        <v>1902</v>
      </c>
      <c r="P2567">
        <v>4.29</v>
      </c>
      <c r="Q2567">
        <v>66</v>
      </c>
      <c r="R2567">
        <v>688</v>
      </c>
    </row>
    <row r="2568" spans="1:18" x14ac:dyDescent="0.2">
      <c r="A2568">
        <v>8</v>
      </c>
      <c r="B2568" t="s">
        <v>96</v>
      </c>
      <c r="C2568" t="str">
        <f>VLOOKUP(B2568, 'Council Area'!$A$2:$B$51, 2)</f>
        <v>Ku-ring-gai Council</v>
      </c>
      <c r="D2568" t="str">
        <f>_xlfn.XLOOKUP(B2568, 'Council Area'!$A$2:$A$51, 'Council Area'!$B$2:$B$51)</f>
        <v>Ku-ring-gai Council</v>
      </c>
      <c r="E2568" t="s">
        <v>19</v>
      </c>
      <c r="F2568">
        <v>1423367</v>
      </c>
      <c r="G2568">
        <v>2</v>
      </c>
      <c r="H2568">
        <v>1</v>
      </c>
      <c r="I2568">
        <v>896</v>
      </c>
      <c r="J2568">
        <v>1970</v>
      </c>
      <c r="K2568" s="4">
        <v>44891</v>
      </c>
      <c r="L2568" t="s">
        <v>20</v>
      </c>
      <c r="M2568" t="s">
        <v>47</v>
      </c>
      <c r="N2568">
        <v>2.11</v>
      </c>
      <c r="O2568">
        <v>2092</v>
      </c>
      <c r="P2568">
        <v>2.1</v>
      </c>
      <c r="Q2568">
        <v>61</v>
      </c>
      <c r="R2568">
        <v>377</v>
      </c>
    </row>
    <row r="2569" spans="1:18" hidden="1" x14ac:dyDescent="0.2">
      <c r="A2569">
        <v>1</v>
      </c>
      <c r="B2569" t="s">
        <v>46</v>
      </c>
      <c r="E2569" t="s">
        <v>51</v>
      </c>
      <c r="F2569">
        <v>2036170</v>
      </c>
      <c r="G2569">
        <v>2</v>
      </c>
      <c r="H2569">
        <v>2</v>
      </c>
      <c r="I2569">
        <v>254</v>
      </c>
      <c r="J2569">
        <v>1994</v>
      </c>
      <c r="K2569" s="4">
        <v>45279</v>
      </c>
      <c r="L2569" t="s">
        <v>20</v>
      </c>
      <c r="M2569" t="s">
        <v>60</v>
      </c>
      <c r="N2569">
        <v>1.52</v>
      </c>
      <c r="O2569">
        <v>1716</v>
      </c>
      <c r="P2569">
        <v>2.72</v>
      </c>
      <c r="Q2569">
        <v>117</v>
      </c>
      <c r="R2569">
        <v>536</v>
      </c>
    </row>
    <row r="2570" spans="1:18" x14ac:dyDescent="0.2">
      <c r="A2570">
        <v>8</v>
      </c>
      <c r="B2570" t="s">
        <v>79</v>
      </c>
      <c r="C2570" t="str">
        <f>VLOOKUP(B2570, 'Council Area'!$A$2:$B$51, 2)</f>
        <v>Parramatta City Council</v>
      </c>
      <c r="D2570" t="str">
        <f>_xlfn.XLOOKUP(B2570, 'Council Area'!$A$2:$A$51, 'Council Area'!$B$2:$B$51)</f>
        <v>Parramatta City Council</v>
      </c>
      <c r="E2570" t="s">
        <v>29</v>
      </c>
      <c r="F2570">
        <v>1291854</v>
      </c>
      <c r="G2570">
        <v>0</v>
      </c>
      <c r="H2570">
        <v>2</v>
      </c>
      <c r="I2570">
        <v>304</v>
      </c>
      <c r="J2570">
        <v>2022</v>
      </c>
      <c r="K2570" s="4">
        <v>45297</v>
      </c>
      <c r="L2570" t="s">
        <v>26</v>
      </c>
      <c r="M2570" t="s">
        <v>74</v>
      </c>
      <c r="N2570">
        <v>2.81</v>
      </c>
      <c r="O2570">
        <v>1005</v>
      </c>
      <c r="P2570">
        <v>0.81</v>
      </c>
      <c r="Q2570">
        <v>49</v>
      </c>
      <c r="R2570">
        <v>529</v>
      </c>
    </row>
    <row r="2571" spans="1:18" hidden="1" x14ac:dyDescent="0.2">
      <c r="A2571">
        <v>4</v>
      </c>
      <c r="B2571" t="s">
        <v>102</v>
      </c>
      <c r="E2571" t="s">
        <v>19</v>
      </c>
      <c r="F2571">
        <v>1530693</v>
      </c>
      <c r="G2571">
        <v>2</v>
      </c>
      <c r="H2571">
        <v>3</v>
      </c>
      <c r="I2571">
        <v>716</v>
      </c>
      <c r="J2571">
        <v>1972</v>
      </c>
      <c r="K2571" s="4">
        <v>45092</v>
      </c>
      <c r="L2571" t="s">
        <v>20</v>
      </c>
      <c r="M2571" t="s">
        <v>66</v>
      </c>
      <c r="N2571">
        <v>2.99</v>
      </c>
      <c r="O2571">
        <v>1465</v>
      </c>
      <c r="P2571">
        <v>3.95</v>
      </c>
      <c r="Q2571">
        <v>216</v>
      </c>
      <c r="R2571">
        <v>389</v>
      </c>
    </row>
    <row r="2572" spans="1:18" hidden="1" x14ac:dyDescent="0.2">
      <c r="A2572">
        <v>6</v>
      </c>
      <c r="B2572" t="s">
        <v>41</v>
      </c>
      <c r="E2572" t="s">
        <v>29</v>
      </c>
      <c r="F2572">
        <v>2681613</v>
      </c>
      <c r="G2572">
        <v>0</v>
      </c>
      <c r="H2572">
        <v>3</v>
      </c>
      <c r="I2572">
        <v>759</v>
      </c>
      <c r="J2572">
        <v>1999</v>
      </c>
      <c r="K2572" s="4">
        <v>44206</v>
      </c>
      <c r="L2572" t="s">
        <v>30</v>
      </c>
      <c r="M2572" t="s">
        <v>40</v>
      </c>
      <c r="N2572">
        <v>2.57</v>
      </c>
      <c r="O2572">
        <v>1086</v>
      </c>
      <c r="P2572">
        <v>1.56</v>
      </c>
      <c r="Q2572">
        <v>65</v>
      </c>
      <c r="R2572">
        <v>445</v>
      </c>
    </row>
    <row r="2573" spans="1:18" hidden="1" x14ac:dyDescent="0.2">
      <c r="A2573">
        <v>5</v>
      </c>
      <c r="B2573" t="s">
        <v>22</v>
      </c>
      <c r="E2573" t="s">
        <v>51</v>
      </c>
      <c r="F2573">
        <v>1310238</v>
      </c>
      <c r="G2573">
        <v>3</v>
      </c>
      <c r="H2573">
        <v>3</v>
      </c>
      <c r="I2573">
        <v>850</v>
      </c>
      <c r="J2573">
        <v>1991</v>
      </c>
      <c r="K2573" s="4">
        <v>45125</v>
      </c>
      <c r="L2573" t="s">
        <v>23</v>
      </c>
      <c r="M2573" t="s">
        <v>56</v>
      </c>
      <c r="N2573">
        <v>1.85</v>
      </c>
      <c r="O2573">
        <v>1678</v>
      </c>
      <c r="P2573">
        <v>3.28</v>
      </c>
      <c r="Q2573">
        <v>112</v>
      </c>
      <c r="R2573">
        <v>528</v>
      </c>
    </row>
    <row r="2574" spans="1:18" hidden="1" x14ac:dyDescent="0.2">
      <c r="A2574">
        <v>5</v>
      </c>
      <c r="B2574" t="s">
        <v>84</v>
      </c>
      <c r="E2574" t="s">
        <v>19</v>
      </c>
      <c r="F2574">
        <v>1818389</v>
      </c>
      <c r="G2574">
        <v>6</v>
      </c>
      <c r="H2574">
        <v>3</v>
      </c>
      <c r="I2574">
        <v>873</v>
      </c>
      <c r="J2574">
        <v>1978</v>
      </c>
      <c r="K2574" s="4">
        <v>44589</v>
      </c>
      <c r="L2574" t="s">
        <v>30</v>
      </c>
      <c r="M2574" t="s">
        <v>82</v>
      </c>
      <c r="N2574">
        <v>2.88</v>
      </c>
      <c r="O2574">
        <v>1622</v>
      </c>
      <c r="P2574">
        <v>3.27</v>
      </c>
      <c r="Q2574">
        <v>363</v>
      </c>
      <c r="R2574">
        <v>352</v>
      </c>
    </row>
    <row r="2575" spans="1:18" hidden="1" x14ac:dyDescent="0.2">
      <c r="A2575">
        <v>4</v>
      </c>
      <c r="B2575" t="s">
        <v>43</v>
      </c>
      <c r="E2575" t="s">
        <v>29</v>
      </c>
      <c r="F2575">
        <v>2018470</v>
      </c>
      <c r="G2575">
        <v>4</v>
      </c>
      <c r="H2575">
        <v>3</v>
      </c>
      <c r="I2575">
        <v>451</v>
      </c>
      <c r="J2575">
        <v>1964</v>
      </c>
      <c r="K2575" s="4">
        <v>45316</v>
      </c>
      <c r="L2575" t="s">
        <v>23</v>
      </c>
      <c r="M2575" t="s">
        <v>59</v>
      </c>
      <c r="N2575">
        <v>1.9</v>
      </c>
      <c r="O2575">
        <v>1356</v>
      </c>
      <c r="P2575">
        <v>4</v>
      </c>
      <c r="Q2575">
        <v>183</v>
      </c>
      <c r="R2575">
        <v>369</v>
      </c>
    </row>
    <row r="2576" spans="1:18" hidden="1" x14ac:dyDescent="0.2">
      <c r="A2576">
        <v>3</v>
      </c>
      <c r="B2576" t="s">
        <v>105</v>
      </c>
      <c r="E2576" t="s">
        <v>36</v>
      </c>
      <c r="F2576">
        <v>1516935</v>
      </c>
      <c r="G2576">
        <v>5</v>
      </c>
      <c r="H2576">
        <v>1</v>
      </c>
      <c r="I2576">
        <v>457</v>
      </c>
      <c r="J2576">
        <v>1958</v>
      </c>
      <c r="K2576" s="4">
        <v>44786</v>
      </c>
      <c r="L2576" t="s">
        <v>30</v>
      </c>
      <c r="M2576" t="s">
        <v>56</v>
      </c>
      <c r="N2576">
        <v>3.19</v>
      </c>
      <c r="O2576">
        <v>1621</v>
      </c>
      <c r="P2576">
        <v>4.34</v>
      </c>
      <c r="Q2576">
        <v>299</v>
      </c>
      <c r="R2576">
        <v>668</v>
      </c>
    </row>
    <row r="2577" spans="1:18" hidden="1" x14ac:dyDescent="0.2">
      <c r="A2577">
        <v>4</v>
      </c>
      <c r="B2577" t="s">
        <v>34</v>
      </c>
      <c r="E2577" t="s">
        <v>36</v>
      </c>
      <c r="F2577">
        <v>1349433</v>
      </c>
      <c r="G2577">
        <v>5</v>
      </c>
      <c r="H2577">
        <v>2</v>
      </c>
      <c r="I2577">
        <v>716</v>
      </c>
      <c r="J2577">
        <v>2011</v>
      </c>
      <c r="K2577" s="4">
        <v>45406</v>
      </c>
      <c r="L2577" t="s">
        <v>23</v>
      </c>
      <c r="M2577" t="s">
        <v>21</v>
      </c>
      <c r="N2577">
        <v>2.6</v>
      </c>
      <c r="O2577">
        <v>2328</v>
      </c>
      <c r="P2577">
        <v>2.97</v>
      </c>
      <c r="Q2577">
        <v>383</v>
      </c>
      <c r="R2577">
        <v>691</v>
      </c>
    </row>
    <row r="2578" spans="1:18" hidden="1" x14ac:dyDescent="0.2">
      <c r="A2578">
        <v>0</v>
      </c>
      <c r="B2578" t="s">
        <v>25</v>
      </c>
      <c r="E2578" t="s">
        <v>19</v>
      </c>
      <c r="F2578">
        <v>730932</v>
      </c>
      <c r="G2578">
        <v>3</v>
      </c>
      <c r="H2578">
        <v>3</v>
      </c>
      <c r="I2578">
        <v>986</v>
      </c>
      <c r="J2578">
        <v>2022</v>
      </c>
      <c r="K2578" s="4">
        <v>44865</v>
      </c>
      <c r="L2578" t="s">
        <v>26</v>
      </c>
      <c r="M2578" t="s">
        <v>27</v>
      </c>
      <c r="N2578">
        <v>3.13</v>
      </c>
      <c r="O2578">
        <v>909</v>
      </c>
      <c r="P2578">
        <v>4.82</v>
      </c>
      <c r="Q2578">
        <v>104</v>
      </c>
      <c r="R2578">
        <v>681</v>
      </c>
    </row>
    <row r="2579" spans="1:18" hidden="1" x14ac:dyDescent="0.2">
      <c r="A2579">
        <v>5</v>
      </c>
      <c r="B2579" t="s">
        <v>39</v>
      </c>
      <c r="E2579" t="s">
        <v>51</v>
      </c>
      <c r="F2579">
        <v>1843381</v>
      </c>
      <c r="G2579">
        <v>3</v>
      </c>
      <c r="H2579">
        <v>3</v>
      </c>
      <c r="I2579">
        <v>770</v>
      </c>
      <c r="J2579">
        <v>2009</v>
      </c>
      <c r="K2579" s="4">
        <v>45221</v>
      </c>
      <c r="L2579" t="s">
        <v>23</v>
      </c>
      <c r="M2579" t="s">
        <v>54</v>
      </c>
      <c r="N2579">
        <v>2.33</v>
      </c>
      <c r="O2579">
        <v>2208</v>
      </c>
      <c r="P2579">
        <v>1.23</v>
      </c>
      <c r="Q2579">
        <v>300</v>
      </c>
      <c r="R2579">
        <v>452</v>
      </c>
    </row>
    <row r="2580" spans="1:18" hidden="1" x14ac:dyDescent="0.2">
      <c r="A2580">
        <v>1</v>
      </c>
      <c r="B2580" t="s">
        <v>18</v>
      </c>
      <c r="E2580" t="s">
        <v>29</v>
      </c>
      <c r="F2580">
        <v>1455678</v>
      </c>
      <c r="G2580">
        <v>0</v>
      </c>
      <c r="H2580">
        <v>2</v>
      </c>
      <c r="I2580">
        <v>806</v>
      </c>
      <c r="J2580">
        <v>1980</v>
      </c>
      <c r="K2580" s="4">
        <v>45138</v>
      </c>
      <c r="L2580" t="s">
        <v>23</v>
      </c>
      <c r="M2580" t="s">
        <v>35</v>
      </c>
      <c r="N2580">
        <v>2.86</v>
      </c>
      <c r="O2580">
        <v>2068</v>
      </c>
      <c r="P2580">
        <v>2.59</v>
      </c>
      <c r="Q2580">
        <v>51</v>
      </c>
      <c r="R2580">
        <v>346</v>
      </c>
    </row>
    <row r="2581" spans="1:18" hidden="1" x14ac:dyDescent="0.2">
      <c r="A2581">
        <v>3</v>
      </c>
      <c r="B2581" t="s">
        <v>39</v>
      </c>
      <c r="E2581" t="s">
        <v>29</v>
      </c>
      <c r="F2581">
        <v>831956</v>
      </c>
      <c r="G2581">
        <v>5</v>
      </c>
      <c r="H2581">
        <v>1</v>
      </c>
      <c r="I2581">
        <v>768</v>
      </c>
      <c r="J2581">
        <v>1997</v>
      </c>
      <c r="K2581" s="4">
        <v>45063</v>
      </c>
      <c r="L2581" t="s">
        <v>20</v>
      </c>
      <c r="M2581" t="s">
        <v>56</v>
      </c>
      <c r="N2581">
        <v>2.98</v>
      </c>
      <c r="O2581">
        <v>1672</v>
      </c>
      <c r="P2581">
        <v>4.4400000000000004</v>
      </c>
      <c r="Q2581">
        <v>307</v>
      </c>
      <c r="R2581">
        <v>597</v>
      </c>
    </row>
    <row r="2582" spans="1:18" x14ac:dyDescent="0.2">
      <c r="A2582">
        <v>8</v>
      </c>
      <c r="B2582" t="s">
        <v>102</v>
      </c>
      <c r="C2582" t="str">
        <f>VLOOKUP(B2582, 'Council Area'!$A$2:$B$51, 2)</f>
        <v>City of Sydney</v>
      </c>
      <c r="D2582" t="str">
        <f>_xlfn.XLOOKUP(B2582, 'Council Area'!$A$2:$A$51, 'Council Area'!$B$2:$B$51)</f>
        <v>City of Sydney</v>
      </c>
      <c r="E2582" t="s">
        <v>29</v>
      </c>
      <c r="F2582">
        <v>2695910</v>
      </c>
      <c r="G2582">
        <v>3</v>
      </c>
      <c r="H2582">
        <v>2</v>
      </c>
      <c r="I2582">
        <v>882</v>
      </c>
      <c r="J2582">
        <v>2017</v>
      </c>
      <c r="K2582" s="4">
        <v>44318</v>
      </c>
      <c r="L2582" t="s">
        <v>26</v>
      </c>
      <c r="M2582" t="s">
        <v>89</v>
      </c>
      <c r="N2582">
        <v>2.14</v>
      </c>
      <c r="O2582">
        <v>1122</v>
      </c>
      <c r="P2582">
        <v>4.74</v>
      </c>
      <c r="Q2582">
        <v>107</v>
      </c>
      <c r="R2582">
        <v>582</v>
      </c>
    </row>
    <row r="2583" spans="1:18" hidden="1" x14ac:dyDescent="0.2">
      <c r="A2583">
        <v>5</v>
      </c>
      <c r="B2583" t="s">
        <v>32</v>
      </c>
      <c r="E2583" t="s">
        <v>36</v>
      </c>
      <c r="F2583">
        <v>756208</v>
      </c>
      <c r="G2583">
        <v>5</v>
      </c>
      <c r="H2583">
        <v>2</v>
      </c>
      <c r="I2583">
        <v>882</v>
      </c>
      <c r="J2583">
        <v>2020</v>
      </c>
      <c r="K2583" s="4">
        <v>45343</v>
      </c>
      <c r="L2583" t="s">
        <v>20</v>
      </c>
      <c r="M2583" t="s">
        <v>63</v>
      </c>
      <c r="N2583">
        <v>2.57</v>
      </c>
      <c r="O2583">
        <v>2134</v>
      </c>
      <c r="P2583">
        <v>0.52</v>
      </c>
      <c r="Q2583">
        <v>398</v>
      </c>
      <c r="R2583">
        <v>488</v>
      </c>
    </row>
    <row r="2584" spans="1:18" hidden="1" x14ac:dyDescent="0.2">
      <c r="A2584">
        <v>5</v>
      </c>
      <c r="B2584" t="s">
        <v>65</v>
      </c>
      <c r="E2584" t="s">
        <v>29</v>
      </c>
      <c r="F2584">
        <v>2601244</v>
      </c>
      <c r="G2584">
        <v>6</v>
      </c>
      <c r="H2584">
        <v>3</v>
      </c>
      <c r="I2584">
        <v>390</v>
      </c>
      <c r="J2584">
        <v>2020</v>
      </c>
      <c r="K2584" s="4">
        <v>44236</v>
      </c>
      <c r="L2584" t="s">
        <v>23</v>
      </c>
      <c r="M2584" t="s">
        <v>37</v>
      </c>
      <c r="N2584">
        <v>3.19</v>
      </c>
      <c r="O2584">
        <v>1026</v>
      </c>
      <c r="P2584">
        <v>4.29</v>
      </c>
      <c r="Q2584">
        <v>362</v>
      </c>
      <c r="R2584">
        <v>354</v>
      </c>
    </row>
    <row r="2585" spans="1:18" hidden="1" x14ac:dyDescent="0.2">
      <c r="A2585">
        <v>0</v>
      </c>
      <c r="B2585" t="s">
        <v>44</v>
      </c>
      <c r="E2585" t="s">
        <v>51</v>
      </c>
      <c r="F2585">
        <v>2515638</v>
      </c>
      <c r="G2585">
        <v>5</v>
      </c>
      <c r="H2585">
        <v>2</v>
      </c>
      <c r="I2585">
        <v>261</v>
      </c>
      <c r="J2585">
        <v>1991</v>
      </c>
      <c r="K2585" s="4">
        <v>45723</v>
      </c>
      <c r="L2585" t="s">
        <v>20</v>
      </c>
      <c r="M2585" t="s">
        <v>47</v>
      </c>
      <c r="N2585">
        <v>2.29</v>
      </c>
      <c r="O2585">
        <v>1664</v>
      </c>
      <c r="P2585">
        <v>1.04</v>
      </c>
      <c r="Q2585">
        <v>242</v>
      </c>
      <c r="R2585">
        <v>645</v>
      </c>
    </row>
    <row r="2586" spans="1:18" x14ac:dyDescent="0.2">
      <c r="A2586">
        <v>8</v>
      </c>
      <c r="B2586" t="s">
        <v>61</v>
      </c>
      <c r="C2586" t="str">
        <f>VLOOKUP(B2586, 'Council Area'!$A$2:$B$51, 2)</f>
        <v>Parramatta City Council</v>
      </c>
      <c r="D2586" t="str">
        <f>_xlfn.XLOOKUP(B2586, 'Council Area'!$A$2:$A$51, 'Council Area'!$B$2:$B$51)</f>
        <v>Parramatta City Council</v>
      </c>
      <c r="E2586" t="s">
        <v>51</v>
      </c>
      <c r="F2586">
        <v>738005</v>
      </c>
      <c r="G2586">
        <v>1</v>
      </c>
      <c r="H2586">
        <v>2</v>
      </c>
      <c r="I2586">
        <v>482</v>
      </c>
      <c r="J2586">
        <v>1994</v>
      </c>
      <c r="K2586" s="4">
        <v>44859</v>
      </c>
      <c r="L2586" t="s">
        <v>30</v>
      </c>
      <c r="M2586" t="s">
        <v>42</v>
      </c>
      <c r="N2586">
        <v>1.55</v>
      </c>
      <c r="O2586">
        <v>2235</v>
      </c>
      <c r="P2586">
        <v>4.63</v>
      </c>
      <c r="Q2586">
        <v>119</v>
      </c>
      <c r="R2586">
        <v>618</v>
      </c>
    </row>
    <row r="2587" spans="1:18" x14ac:dyDescent="0.2">
      <c r="A2587">
        <v>8</v>
      </c>
      <c r="B2587" t="s">
        <v>64</v>
      </c>
      <c r="C2587" t="str">
        <f>VLOOKUP(B2587, 'Council Area'!$A$2:$B$51, 2)</f>
        <v>Canterbury-Bankstown Council</v>
      </c>
      <c r="D2587" t="str">
        <f>_xlfn.XLOOKUP(B2587, 'Council Area'!$A$2:$A$51, 'Council Area'!$B$2:$B$51)</f>
        <v>Canterbury-Bankstown Council</v>
      </c>
      <c r="E2587" t="s">
        <v>36</v>
      </c>
      <c r="F2587">
        <v>2740393</v>
      </c>
      <c r="G2587">
        <v>4</v>
      </c>
      <c r="H2587">
        <v>2</v>
      </c>
      <c r="I2587">
        <v>783</v>
      </c>
      <c r="J2587">
        <v>2013</v>
      </c>
      <c r="K2587" s="4">
        <v>44686</v>
      </c>
      <c r="L2587" t="s">
        <v>23</v>
      </c>
      <c r="M2587" t="s">
        <v>60</v>
      </c>
      <c r="N2587">
        <v>2.72</v>
      </c>
      <c r="O2587">
        <v>1460</v>
      </c>
      <c r="P2587">
        <v>2.0699999999999998</v>
      </c>
      <c r="Q2587">
        <v>291</v>
      </c>
      <c r="R2587">
        <v>524</v>
      </c>
    </row>
    <row r="2588" spans="1:18" hidden="1" x14ac:dyDescent="0.2">
      <c r="A2588">
        <v>6</v>
      </c>
      <c r="B2588" t="s">
        <v>41</v>
      </c>
      <c r="E2588" t="s">
        <v>19</v>
      </c>
      <c r="F2588">
        <v>1201847</v>
      </c>
      <c r="G2588">
        <v>5</v>
      </c>
      <c r="H2588">
        <v>3</v>
      </c>
      <c r="I2588">
        <v>834</v>
      </c>
      <c r="J2588">
        <v>2021</v>
      </c>
      <c r="K2588" s="4">
        <v>45636</v>
      </c>
      <c r="L2588" t="s">
        <v>20</v>
      </c>
      <c r="M2588" t="s">
        <v>52</v>
      </c>
      <c r="N2588">
        <v>3.44</v>
      </c>
      <c r="O2588">
        <v>1283</v>
      </c>
      <c r="P2588">
        <v>2.29</v>
      </c>
      <c r="Q2588">
        <v>314</v>
      </c>
      <c r="R2588">
        <v>379</v>
      </c>
    </row>
    <row r="2589" spans="1:18" hidden="1" x14ac:dyDescent="0.2">
      <c r="A2589">
        <v>3</v>
      </c>
      <c r="B2589" t="s">
        <v>55</v>
      </c>
      <c r="E2589" t="s">
        <v>29</v>
      </c>
      <c r="F2589">
        <v>1177433</v>
      </c>
      <c r="G2589">
        <v>3</v>
      </c>
      <c r="H2589">
        <v>1</v>
      </c>
      <c r="I2589">
        <v>398</v>
      </c>
      <c r="J2589">
        <v>1958</v>
      </c>
      <c r="K2589" s="4">
        <v>44813</v>
      </c>
      <c r="L2589" t="s">
        <v>20</v>
      </c>
      <c r="M2589" t="s">
        <v>27</v>
      </c>
      <c r="N2589">
        <v>1.91</v>
      </c>
      <c r="O2589">
        <v>1128</v>
      </c>
      <c r="P2589">
        <v>1.97</v>
      </c>
      <c r="Q2589">
        <v>134</v>
      </c>
      <c r="R2589">
        <v>508</v>
      </c>
    </row>
    <row r="2590" spans="1:18" x14ac:dyDescent="0.2">
      <c r="A2590">
        <v>8</v>
      </c>
      <c r="B2590" t="s">
        <v>48</v>
      </c>
      <c r="C2590" t="str">
        <f>VLOOKUP(B2590, 'Council Area'!$A$2:$B$51, 2)</f>
        <v>Inner West Council</v>
      </c>
      <c r="D2590" t="str">
        <f>_xlfn.XLOOKUP(B2590, 'Council Area'!$A$2:$A$51, 'Council Area'!$B$2:$B$51)</f>
        <v>Inner West Council</v>
      </c>
      <c r="E2590" t="s">
        <v>29</v>
      </c>
      <c r="F2590">
        <v>1196532</v>
      </c>
      <c r="G2590">
        <v>6</v>
      </c>
      <c r="H2590">
        <v>3</v>
      </c>
      <c r="I2590">
        <v>263</v>
      </c>
      <c r="J2590">
        <v>1991</v>
      </c>
      <c r="K2590" s="4">
        <v>44888</v>
      </c>
      <c r="L2590" t="s">
        <v>23</v>
      </c>
      <c r="M2590" t="s">
        <v>59</v>
      </c>
      <c r="N2590">
        <v>3.18</v>
      </c>
      <c r="O2590">
        <v>1760</v>
      </c>
      <c r="P2590">
        <v>1.24</v>
      </c>
      <c r="Q2590">
        <v>399</v>
      </c>
      <c r="R2590">
        <v>332</v>
      </c>
    </row>
    <row r="2591" spans="1:18" hidden="1" x14ac:dyDescent="0.2">
      <c r="A2591">
        <v>0</v>
      </c>
      <c r="B2591" t="s">
        <v>96</v>
      </c>
      <c r="E2591" t="s">
        <v>19</v>
      </c>
      <c r="F2591">
        <v>1209663</v>
      </c>
      <c r="G2591">
        <v>3</v>
      </c>
      <c r="H2591">
        <v>1</v>
      </c>
      <c r="I2591">
        <v>600</v>
      </c>
      <c r="J2591">
        <v>1986</v>
      </c>
      <c r="K2591" s="4">
        <v>45371</v>
      </c>
      <c r="L2591" t="s">
        <v>30</v>
      </c>
      <c r="M2591" t="s">
        <v>77</v>
      </c>
      <c r="N2591">
        <v>3.43</v>
      </c>
      <c r="O2591">
        <v>1005</v>
      </c>
      <c r="P2591">
        <v>4.59</v>
      </c>
      <c r="Q2591">
        <v>240</v>
      </c>
      <c r="R2591">
        <v>556</v>
      </c>
    </row>
    <row r="2592" spans="1:18" hidden="1" x14ac:dyDescent="0.2">
      <c r="A2592">
        <v>3</v>
      </c>
      <c r="B2592" t="s">
        <v>53</v>
      </c>
      <c r="E2592" t="s">
        <v>51</v>
      </c>
      <c r="F2592">
        <v>2493706</v>
      </c>
      <c r="G2592">
        <v>4</v>
      </c>
      <c r="H2592">
        <v>3</v>
      </c>
      <c r="I2592">
        <v>431</v>
      </c>
      <c r="J2592">
        <v>2022</v>
      </c>
      <c r="K2592" s="4">
        <v>44096</v>
      </c>
      <c r="L2592" t="s">
        <v>30</v>
      </c>
      <c r="M2592" t="s">
        <v>97</v>
      </c>
      <c r="N2592">
        <v>2.75</v>
      </c>
      <c r="O2592">
        <v>1820</v>
      </c>
      <c r="P2592">
        <v>5</v>
      </c>
      <c r="Q2592">
        <v>385</v>
      </c>
      <c r="R2592">
        <v>397</v>
      </c>
    </row>
    <row r="2593" spans="1:18" hidden="1" x14ac:dyDescent="0.2">
      <c r="A2593">
        <v>5</v>
      </c>
      <c r="B2593" t="s">
        <v>55</v>
      </c>
      <c r="E2593" t="s">
        <v>29</v>
      </c>
      <c r="F2593">
        <v>1293587</v>
      </c>
      <c r="G2593">
        <v>2</v>
      </c>
      <c r="H2593">
        <v>1</v>
      </c>
      <c r="I2593">
        <v>810</v>
      </c>
      <c r="J2593">
        <v>1957</v>
      </c>
      <c r="K2593" s="4">
        <v>45160</v>
      </c>
      <c r="L2593" t="s">
        <v>26</v>
      </c>
      <c r="M2593" t="s">
        <v>31</v>
      </c>
      <c r="N2593">
        <v>2.12</v>
      </c>
      <c r="O2593">
        <v>2332</v>
      </c>
      <c r="P2593">
        <v>1.8</v>
      </c>
      <c r="Q2593">
        <v>239</v>
      </c>
      <c r="R2593">
        <v>531</v>
      </c>
    </row>
    <row r="2594" spans="1:18" hidden="1" x14ac:dyDescent="0.2">
      <c r="A2594">
        <v>7</v>
      </c>
      <c r="B2594" t="s">
        <v>57</v>
      </c>
      <c r="E2594" t="s">
        <v>51</v>
      </c>
      <c r="F2594">
        <v>2357887</v>
      </c>
      <c r="G2594">
        <v>4</v>
      </c>
      <c r="H2594">
        <v>1</v>
      </c>
      <c r="I2594">
        <v>69</v>
      </c>
      <c r="J2594">
        <v>1990</v>
      </c>
      <c r="K2594" s="4">
        <v>44931</v>
      </c>
      <c r="L2594" t="s">
        <v>20</v>
      </c>
      <c r="M2594" t="s">
        <v>47</v>
      </c>
      <c r="N2594">
        <v>2.9</v>
      </c>
      <c r="O2594">
        <v>2064</v>
      </c>
      <c r="P2594">
        <v>2.06</v>
      </c>
      <c r="Q2594">
        <v>165</v>
      </c>
      <c r="R2594">
        <v>327</v>
      </c>
    </row>
    <row r="2595" spans="1:18" hidden="1" x14ac:dyDescent="0.2">
      <c r="A2595">
        <v>0</v>
      </c>
      <c r="B2595" t="s">
        <v>96</v>
      </c>
      <c r="E2595" t="s">
        <v>29</v>
      </c>
      <c r="F2595">
        <v>525713</v>
      </c>
      <c r="G2595">
        <v>1</v>
      </c>
      <c r="H2595">
        <v>2</v>
      </c>
      <c r="I2595">
        <v>714</v>
      </c>
      <c r="J2595">
        <v>2003</v>
      </c>
      <c r="K2595" s="4">
        <v>44926</v>
      </c>
      <c r="L2595" t="s">
        <v>23</v>
      </c>
      <c r="M2595" t="s">
        <v>97</v>
      </c>
      <c r="N2595">
        <v>2.2999999999999998</v>
      </c>
      <c r="O2595">
        <v>1133</v>
      </c>
      <c r="P2595">
        <v>4.22</v>
      </c>
      <c r="Q2595">
        <v>110</v>
      </c>
      <c r="R2595">
        <v>472</v>
      </c>
    </row>
    <row r="2596" spans="1:18" hidden="1" x14ac:dyDescent="0.2">
      <c r="A2596">
        <v>4</v>
      </c>
      <c r="B2596" t="s">
        <v>73</v>
      </c>
      <c r="E2596" t="s">
        <v>51</v>
      </c>
      <c r="F2596">
        <v>1967698</v>
      </c>
      <c r="G2596">
        <v>3</v>
      </c>
      <c r="H2596">
        <v>2</v>
      </c>
      <c r="I2596">
        <v>407</v>
      </c>
      <c r="J2596">
        <v>2017</v>
      </c>
      <c r="K2596" s="4">
        <v>44284</v>
      </c>
      <c r="L2596" t="s">
        <v>30</v>
      </c>
      <c r="M2596" t="s">
        <v>47</v>
      </c>
      <c r="N2596">
        <v>2.91</v>
      </c>
      <c r="O2596">
        <v>1559</v>
      </c>
      <c r="P2596">
        <v>2.4700000000000002</v>
      </c>
      <c r="Q2596">
        <v>106</v>
      </c>
      <c r="R2596">
        <v>340</v>
      </c>
    </row>
    <row r="2597" spans="1:18" hidden="1" x14ac:dyDescent="0.2">
      <c r="A2597">
        <v>9</v>
      </c>
      <c r="B2597" t="s">
        <v>106</v>
      </c>
      <c r="E2597" t="s">
        <v>29</v>
      </c>
      <c r="F2597">
        <v>1415769</v>
      </c>
      <c r="G2597">
        <v>1</v>
      </c>
      <c r="H2597">
        <v>1</v>
      </c>
      <c r="I2597">
        <v>690</v>
      </c>
      <c r="J2597">
        <v>1999</v>
      </c>
      <c r="K2597" s="4">
        <v>44983</v>
      </c>
      <c r="L2597" t="s">
        <v>30</v>
      </c>
      <c r="M2597" t="s">
        <v>35</v>
      </c>
      <c r="N2597">
        <v>1.91</v>
      </c>
      <c r="O2597">
        <v>2396</v>
      </c>
      <c r="P2597">
        <v>1.6</v>
      </c>
      <c r="Q2597">
        <v>157</v>
      </c>
      <c r="R2597">
        <v>468</v>
      </c>
    </row>
    <row r="2598" spans="1:18" hidden="1" x14ac:dyDescent="0.2">
      <c r="A2598">
        <v>6</v>
      </c>
      <c r="B2598" t="s">
        <v>90</v>
      </c>
      <c r="E2598" t="s">
        <v>51</v>
      </c>
      <c r="F2598">
        <v>2366195</v>
      </c>
      <c r="G2598">
        <v>3</v>
      </c>
      <c r="H2598">
        <v>3</v>
      </c>
      <c r="I2598">
        <v>627</v>
      </c>
      <c r="J2598">
        <v>2018</v>
      </c>
      <c r="K2598" s="4">
        <v>45345</v>
      </c>
      <c r="L2598" t="s">
        <v>20</v>
      </c>
      <c r="M2598" t="s">
        <v>42</v>
      </c>
      <c r="N2598">
        <v>3.29</v>
      </c>
      <c r="O2598">
        <v>956</v>
      </c>
      <c r="P2598">
        <v>1.1000000000000001</v>
      </c>
      <c r="Q2598">
        <v>313</v>
      </c>
      <c r="R2598">
        <v>469</v>
      </c>
    </row>
    <row r="2599" spans="1:18" hidden="1" x14ac:dyDescent="0.2">
      <c r="A2599">
        <v>7</v>
      </c>
      <c r="B2599" t="s">
        <v>98</v>
      </c>
      <c r="E2599" t="s">
        <v>36</v>
      </c>
      <c r="F2599">
        <v>789939</v>
      </c>
      <c r="G2599">
        <v>0</v>
      </c>
      <c r="H2599">
        <v>2</v>
      </c>
      <c r="I2599">
        <v>914</v>
      </c>
      <c r="J2599">
        <v>1977</v>
      </c>
      <c r="K2599" s="4">
        <v>44691</v>
      </c>
      <c r="L2599" t="s">
        <v>23</v>
      </c>
      <c r="M2599" t="s">
        <v>54</v>
      </c>
      <c r="N2599">
        <v>3.09</v>
      </c>
      <c r="O2599">
        <v>2282</v>
      </c>
      <c r="P2599">
        <v>3.53</v>
      </c>
      <c r="Q2599">
        <v>44</v>
      </c>
      <c r="R2599">
        <v>364</v>
      </c>
    </row>
    <row r="2600" spans="1:18" hidden="1" x14ac:dyDescent="0.2">
      <c r="A2600">
        <v>9</v>
      </c>
      <c r="B2600" t="s">
        <v>91</v>
      </c>
      <c r="E2600" t="s">
        <v>36</v>
      </c>
      <c r="F2600">
        <v>1706669</v>
      </c>
      <c r="G2600">
        <v>3</v>
      </c>
      <c r="H2600">
        <v>2</v>
      </c>
      <c r="I2600">
        <v>792</v>
      </c>
      <c r="J2600">
        <v>2002</v>
      </c>
      <c r="K2600" s="4">
        <v>44808</v>
      </c>
      <c r="L2600" t="s">
        <v>23</v>
      </c>
      <c r="M2600" t="s">
        <v>85</v>
      </c>
      <c r="N2600">
        <v>2.89</v>
      </c>
      <c r="O2600">
        <v>2324</v>
      </c>
      <c r="P2600">
        <v>2.94</v>
      </c>
      <c r="Q2600">
        <v>234</v>
      </c>
      <c r="R2600">
        <v>448</v>
      </c>
    </row>
    <row r="2601" spans="1:18" x14ac:dyDescent="0.2">
      <c r="A2601">
        <v>8</v>
      </c>
      <c r="B2601" t="s">
        <v>38</v>
      </c>
      <c r="C2601" t="str">
        <f>VLOOKUP(B2601, 'Council Area'!$A$2:$B$51, 2)</f>
        <v>Sutherland Shire Council</v>
      </c>
      <c r="D2601" t="str">
        <f>_xlfn.XLOOKUP(B2601, 'Council Area'!$A$2:$A$51, 'Council Area'!$B$2:$B$51)</f>
        <v>Sutherland Shire Council</v>
      </c>
      <c r="E2601" t="s">
        <v>51</v>
      </c>
      <c r="F2601">
        <v>1293665</v>
      </c>
      <c r="G2601">
        <v>4</v>
      </c>
      <c r="H2601">
        <v>1</v>
      </c>
      <c r="I2601">
        <v>699</v>
      </c>
      <c r="J2601">
        <v>1993</v>
      </c>
      <c r="K2601" s="4">
        <v>44411</v>
      </c>
      <c r="L2601" t="s">
        <v>20</v>
      </c>
      <c r="M2601" t="s">
        <v>47</v>
      </c>
      <c r="N2601">
        <v>1.91</v>
      </c>
      <c r="O2601">
        <v>939</v>
      </c>
      <c r="P2601">
        <v>2.91</v>
      </c>
      <c r="Q2601">
        <v>183</v>
      </c>
      <c r="R2601">
        <v>522</v>
      </c>
    </row>
    <row r="2602" spans="1:18" hidden="1" x14ac:dyDescent="0.2">
      <c r="A2602">
        <v>6</v>
      </c>
      <c r="B2602" t="s">
        <v>53</v>
      </c>
      <c r="E2602" t="s">
        <v>19</v>
      </c>
      <c r="F2602">
        <v>2365846</v>
      </c>
      <c r="G2602">
        <v>2</v>
      </c>
      <c r="H2602">
        <v>2</v>
      </c>
      <c r="I2602">
        <v>670</v>
      </c>
      <c r="J2602">
        <v>2003</v>
      </c>
      <c r="K2602" s="4">
        <v>45521</v>
      </c>
      <c r="L2602" t="s">
        <v>26</v>
      </c>
      <c r="M2602" t="s">
        <v>35</v>
      </c>
      <c r="N2602">
        <v>3.23</v>
      </c>
      <c r="O2602">
        <v>1174</v>
      </c>
      <c r="P2602">
        <v>2.27</v>
      </c>
      <c r="Q2602">
        <v>191</v>
      </c>
      <c r="R2602">
        <v>501</v>
      </c>
    </row>
    <row r="2603" spans="1:18" hidden="1" x14ac:dyDescent="0.2">
      <c r="A2603">
        <v>0</v>
      </c>
      <c r="B2603" t="s">
        <v>44</v>
      </c>
      <c r="E2603" t="s">
        <v>19</v>
      </c>
      <c r="F2603">
        <v>2080640</v>
      </c>
      <c r="G2603">
        <v>1</v>
      </c>
      <c r="H2603">
        <v>3</v>
      </c>
      <c r="I2603">
        <v>949</v>
      </c>
      <c r="J2603">
        <v>1950</v>
      </c>
      <c r="K2603" s="4">
        <v>45027</v>
      </c>
      <c r="L2603" t="s">
        <v>30</v>
      </c>
      <c r="M2603" t="s">
        <v>40</v>
      </c>
      <c r="N2603">
        <v>2.99</v>
      </c>
      <c r="O2603">
        <v>2081</v>
      </c>
      <c r="P2603">
        <v>1.06</v>
      </c>
      <c r="Q2603">
        <v>105</v>
      </c>
      <c r="R2603">
        <v>676</v>
      </c>
    </row>
    <row r="2604" spans="1:18" hidden="1" x14ac:dyDescent="0.2">
      <c r="A2604">
        <v>3</v>
      </c>
      <c r="B2604" t="s">
        <v>83</v>
      </c>
      <c r="E2604" t="s">
        <v>51</v>
      </c>
      <c r="F2604">
        <v>2190824</v>
      </c>
      <c r="G2604">
        <v>3</v>
      </c>
      <c r="H2604">
        <v>3</v>
      </c>
      <c r="I2604">
        <v>174</v>
      </c>
      <c r="J2604">
        <v>1987</v>
      </c>
      <c r="K2604" s="4">
        <v>44592</v>
      </c>
      <c r="L2604" t="s">
        <v>20</v>
      </c>
      <c r="M2604" t="s">
        <v>45</v>
      </c>
      <c r="N2604">
        <v>2.82</v>
      </c>
      <c r="O2604">
        <v>2076</v>
      </c>
      <c r="P2604">
        <v>3.42</v>
      </c>
      <c r="Q2604">
        <v>239</v>
      </c>
      <c r="R2604">
        <v>403</v>
      </c>
    </row>
    <row r="2605" spans="1:18" hidden="1" x14ac:dyDescent="0.2">
      <c r="A2605">
        <v>4</v>
      </c>
      <c r="B2605" t="s">
        <v>32</v>
      </c>
      <c r="E2605" t="s">
        <v>29</v>
      </c>
      <c r="F2605">
        <v>2574181</v>
      </c>
      <c r="G2605">
        <v>4</v>
      </c>
      <c r="H2605">
        <v>3</v>
      </c>
      <c r="I2605">
        <v>206</v>
      </c>
      <c r="J2605">
        <v>1969</v>
      </c>
      <c r="K2605" s="4">
        <v>45120</v>
      </c>
      <c r="L2605" t="s">
        <v>26</v>
      </c>
      <c r="M2605" t="s">
        <v>31</v>
      </c>
      <c r="N2605">
        <v>2.95</v>
      </c>
      <c r="O2605">
        <v>1238</v>
      </c>
      <c r="P2605">
        <v>3.05</v>
      </c>
      <c r="Q2605">
        <v>386</v>
      </c>
      <c r="R2605">
        <v>505</v>
      </c>
    </row>
    <row r="2606" spans="1:18" hidden="1" x14ac:dyDescent="0.2">
      <c r="A2606">
        <v>3</v>
      </c>
      <c r="B2606" t="s">
        <v>81</v>
      </c>
      <c r="E2606" t="s">
        <v>51</v>
      </c>
      <c r="F2606">
        <v>1879241</v>
      </c>
      <c r="G2606">
        <v>5</v>
      </c>
      <c r="H2606">
        <v>3</v>
      </c>
      <c r="I2606">
        <v>106</v>
      </c>
      <c r="J2606">
        <v>1980</v>
      </c>
      <c r="K2606" s="4">
        <v>45564</v>
      </c>
      <c r="L2606" t="s">
        <v>26</v>
      </c>
      <c r="M2606" t="s">
        <v>69</v>
      </c>
      <c r="N2606">
        <v>2.66</v>
      </c>
      <c r="O2606">
        <v>1775</v>
      </c>
      <c r="P2606">
        <v>4.17</v>
      </c>
      <c r="Q2606">
        <v>274</v>
      </c>
      <c r="R2606">
        <v>314</v>
      </c>
    </row>
    <row r="2607" spans="1:18" hidden="1" x14ac:dyDescent="0.2">
      <c r="A2607">
        <v>3</v>
      </c>
      <c r="B2607" t="s">
        <v>61</v>
      </c>
      <c r="E2607" t="s">
        <v>51</v>
      </c>
      <c r="F2607">
        <v>2723790</v>
      </c>
      <c r="G2607">
        <v>6</v>
      </c>
      <c r="H2607">
        <v>2</v>
      </c>
      <c r="I2607">
        <v>421</v>
      </c>
      <c r="J2607">
        <v>1987</v>
      </c>
      <c r="K2607" s="4">
        <v>44714</v>
      </c>
      <c r="L2607" t="s">
        <v>20</v>
      </c>
      <c r="M2607" t="s">
        <v>59</v>
      </c>
      <c r="N2607">
        <v>3.39</v>
      </c>
      <c r="O2607">
        <v>1314</v>
      </c>
      <c r="P2607">
        <v>0.38</v>
      </c>
      <c r="Q2607">
        <v>344</v>
      </c>
      <c r="R2607">
        <v>519</v>
      </c>
    </row>
    <row r="2608" spans="1:18" hidden="1" x14ac:dyDescent="0.2">
      <c r="A2608">
        <v>5</v>
      </c>
      <c r="B2608" t="s">
        <v>83</v>
      </c>
      <c r="E2608" t="s">
        <v>19</v>
      </c>
      <c r="F2608">
        <v>2925863</v>
      </c>
      <c r="G2608">
        <v>4</v>
      </c>
      <c r="H2608">
        <v>3</v>
      </c>
      <c r="I2608">
        <v>951</v>
      </c>
      <c r="J2608">
        <v>1975</v>
      </c>
      <c r="K2608" s="4">
        <v>44728</v>
      </c>
      <c r="L2608" t="s">
        <v>26</v>
      </c>
      <c r="M2608" t="s">
        <v>69</v>
      </c>
      <c r="N2608">
        <v>3.01</v>
      </c>
      <c r="O2608">
        <v>1358</v>
      </c>
      <c r="P2608">
        <v>1.88</v>
      </c>
      <c r="Q2608">
        <v>216</v>
      </c>
      <c r="R2608">
        <v>529</v>
      </c>
    </row>
    <row r="2609" spans="1:18" hidden="1" x14ac:dyDescent="0.2">
      <c r="A2609">
        <v>1</v>
      </c>
      <c r="B2609" t="s">
        <v>50</v>
      </c>
      <c r="E2609" t="s">
        <v>29</v>
      </c>
      <c r="F2609">
        <v>1840826</v>
      </c>
      <c r="G2609">
        <v>3</v>
      </c>
      <c r="H2609">
        <v>3</v>
      </c>
      <c r="I2609">
        <v>59</v>
      </c>
      <c r="J2609">
        <v>1989</v>
      </c>
      <c r="K2609" s="4">
        <v>44682</v>
      </c>
      <c r="L2609" t="s">
        <v>26</v>
      </c>
      <c r="M2609" t="s">
        <v>56</v>
      </c>
      <c r="N2609">
        <v>1.91</v>
      </c>
      <c r="O2609">
        <v>1990</v>
      </c>
      <c r="P2609">
        <v>2.58</v>
      </c>
      <c r="Q2609">
        <v>138</v>
      </c>
      <c r="R2609">
        <v>300</v>
      </c>
    </row>
    <row r="2610" spans="1:18" hidden="1" x14ac:dyDescent="0.2">
      <c r="A2610">
        <v>3</v>
      </c>
      <c r="B2610" t="s">
        <v>106</v>
      </c>
      <c r="E2610" t="s">
        <v>36</v>
      </c>
      <c r="F2610">
        <v>644636</v>
      </c>
      <c r="G2610">
        <v>4</v>
      </c>
      <c r="H2610">
        <v>1</v>
      </c>
      <c r="I2610">
        <v>433</v>
      </c>
      <c r="J2610">
        <v>1955</v>
      </c>
      <c r="K2610" s="4">
        <v>45291</v>
      </c>
      <c r="L2610" t="s">
        <v>26</v>
      </c>
      <c r="M2610" t="s">
        <v>31</v>
      </c>
      <c r="N2610">
        <v>1.81</v>
      </c>
      <c r="O2610">
        <v>2359</v>
      </c>
      <c r="P2610">
        <v>2.35</v>
      </c>
      <c r="Q2610">
        <v>324</v>
      </c>
      <c r="R2610">
        <v>598</v>
      </c>
    </row>
    <row r="2611" spans="1:18" hidden="1" x14ac:dyDescent="0.2">
      <c r="A2611">
        <v>2</v>
      </c>
      <c r="B2611" t="s">
        <v>101</v>
      </c>
      <c r="E2611" t="s">
        <v>19</v>
      </c>
      <c r="F2611">
        <v>2082242</v>
      </c>
      <c r="G2611">
        <v>5</v>
      </c>
      <c r="H2611">
        <v>2</v>
      </c>
      <c r="I2611">
        <v>438</v>
      </c>
      <c r="J2611">
        <v>1957</v>
      </c>
      <c r="K2611" s="4">
        <v>45400</v>
      </c>
      <c r="L2611" t="s">
        <v>20</v>
      </c>
      <c r="M2611" t="s">
        <v>52</v>
      </c>
      <c r="N2611">
        <v>1.88</v>
      </c>
      <c r="O2611">
        <v>1398</v>
      </c>
      <c r="P2611">
        <v>3.46</v>
      </c>
      <c r="Q2611">
        <v>279</v>
      </c>
      <c r="R2611">
        <v>507</v>
      </c>
    </row>
    <row r="2612" spans="1:18" hidden="1" x14ac:dyDescent="0.2">
      <c r="A2612">
        <v>5</v>
      </c>
      <c r="B2612" t="s">
        <v>18</v>
      </c>
      <c r="E2612" t="s">
        <v>51</v>
      </c>
      <c r="F2612">
        <v>1367243</v>
      </c>
      <c r="G2612">
        <v>4</v>
      </c>
      <c r="H2612">
        <v>2</v>
      </c>
      <c r="I2612">
        <v>674</v>
      </c>
      <c r="J2612">
        <v>1961</v>
      </c>
      <c r="K2612" s="4">
        <v>44569</v>
      </c>
      <c r="L2612" t="s">
        <v>30</v>
      </c>
      <c r="M2612" t="s">
        <v>77</v>
      </c>
      <c r="N2612">
        <v>2.71</v>
      </c>
      <c r="O2612">
        <v>878</v>
      </c>
      <c r="P2612">
        <v>2.39</v>
      </c>
      <c r="Q2612">
        <v>278</v>
      </c>
      <c r="R2612">
        <v>410</v>
      </c>
    </row>
    <row r="2613" spans="1:18" hidden="1" x14ac:dyDescent="0.2">
      <c r="A2613">
        <v>6</v>
      </c>
      <c r="B2613" t="s">
        <v>71</v>
      </c>
      <c r="E2613" t="s">
        <v>36</v>
      </c>
      <c r="F2613">
        <v>1885498</v>
      </c>
      <c r="G2613">
        <v>4</v>
      </c>
      <c r="H2613">
        <v>1</v>
      </c>
      <c r="I2613">
        <v>913</v>
      </c>
      <c r="J2613">
        <v>2019</v>
      </c>
      <c r="K2613" s="4">
        <v>44327</v>
      </c>
      <c r="L2613" t="s">
        <v>20</v>
      </c>
      <c r="M2613" t="s">
        <v>66</v>
      </c>
      <c r="N2613">
        <v>1.8</v>
      </c>
      <c r="O2613">
        <v>1390</v>
      </c>
      <c r="P2613">
        <v>3.36</v>
      </c>
      <c r="Q2613">
        <v>374</v>
      </c>
      <c r="R2613">
        <v>444</v>
      </c>
    </row>
    <row r="2614" spans="1:18" hidden="1" x14ac:dyDescent="0.2">
      <c r="A2614">
        <v>7</v>
      </c>
      <c r="B2614" t="s">
        <v>101</v>
      </c>
      <c r="E2614" t="s">
        <v>29</v>
      </c>
      <c r="F2614">
        <v>2618093</v>
      </c>
      <c r="G2614">
        <v>4</v>
      </c>
      <c r="H2614">
        <v>1</v>
      </c>
      <c r="I2614">
        <v>628</v>
      </c>
      <c r="J2614">
        <v>2003</v>
      </c>
      <c r="K2614" s="4">
        <v>45042</v>
      </c>
      <c r="L2614" t="s">
        <v>20</v>
      </c>
      <c r="M2614" t="s">
        <v>45</v>
      </c>
      <c r="N2614">
        <v>3.37</v>
      </c>
      <c r="O2614">
        <v>1430</v>
      </c>
      <c r="P2614">
        <v>0.33</v>
      </c>
      <c r="Q2614">
        <v>250</v>
      </c>
      <c r="R2614">
        <v>497</v>
      </c>
    </row>
    <row r="2615" spans="1:18" x14ac:dyDescent="0.2">
      <c r="A2615">
        <v>8</v>
      </c>
      <c r="B2615" t="s">
        <v>43</v>
      </c>
      <c r="C2615" t="str">
        <f>VLOOKUP(B2615, 'Council Area'!$A$2:$B$51, 2)</f>
        <v>Sutherland Shire Council</v>
      </c>
      <c r="D2615" t="str">
        <f>_xlfn.XLOOKUP(B2615, 'Council Area'!$A$2:$A$51, 'Council Area'!$B$2:$B$51)</f>
        <v>Sutherland Shire Council</v>
      </c>
      <c r="E2615" t="s">
        <v>29</v>
      </c>
      <c r="F2615">
        <v>2992802</v>
      </c>
      <c r="G2615">
        <v>3</v>
      </c>
      <c r="H2615">
        <v>2</v>
      </c>
      <c r="I2615">
        <v>519</v>
      </c>
      <c r="J2615">
        <v>1954</v>
      </c>
      <c r="K2615" s="4">
        <v>45578</v>
      </c>
      <c r="L2615" t="s">
        <v>30</v>
      </c>
      <c r="M2615" t="s">
        <v>27</v>
      </c>
      <c r="N2615">
        <v>1.56</v>
      </c>
      <c r="O2615">
        <v>1445</v>
      </c>
      <c r="P2615">
        <v>4.46</v>
      </c>
      <c r="Q2615">
        <v>98</v>
      </c>
      <c r="R2615">
        <v>300</v>
      </c>
    </row>
    <row r="2616" spans="1:18" hidden="1" x14ac:dyDescent="0.2">
      <c r="A2616">
        <v>6</v>
      </c>
      <c r="B2616" t="s">
        <v>34</v>
      </c>
      <c r="E2616" t="s">
        <v>29</v>
      </c>
      <c r="F2616">
        <v>2164197</v>
      </c>
      <c r="G2616">
        <v>4</v>
      </c>
      <c r="H2616">
        <v>1</v>
      </c>
      <c r="I2616">
        <v>632</v>
      </c>
      <c r="J2616">
        <v>2006</v>
      </c>
      <c r="K2616" s="4">
        <v>44390</v>
      </c>
      <c r="L2616" t="s">
        <v>23</v>
      </c>
      <c r="M2616" t="s">
        <v>58</v>
      </c>
      <c r="N2616">
        <v>2.2000000000000002</v>
      </c>
      <c r="O2616">
        <v>2303</v>
      </c>
      <c r="P2616">
        <v>2.21</v>
      </c>
      <c r="Q2616">
        <v>295</v>
      </c>
      <c r="R2616">
        <v>643</v>
      </c>
    </row>
    <row r="2617" spans="1:18" hidden="1" x14ac:dyDescent="0.2">
      <c r="A2617">
        <v>5</v>
      </c>
      <c r="B2617" t="s">
        <v>28</v>
      </c>
      <c r="E2617" t="s">
        <v>29</v>
      </c>
      <c r="F2617">
        <v>1663152</v>
      </c>
      <c r="G2617">
        <v>6</v>
      </c>
      <c r="H2617">
        <v>3</v>
      </c>
      <c r="I2617">
        <v>652</v>
      </c>
      <c r="J2617">
        <v>1976</v>
      </c>
      <c r="K2617" s="4">
        <v>44841</v>
      </c>
      <c r="L2617" t="s">
        <v>30</v>
      </c>
      <c r="M2617" t="s">
        <v>89</v>
      </c>
      <c r="N2617">
        <v>1.58</v>
      </c>
      <c r="O2617">
        <v>1508</v>
      </c>
      <c r="P2617">
        <v>3.88</v>
      </c>
      <c r="Q2617">
        <v>380</v>
      </c>
      <c r="R2617">
        <v>588</v>
      </c>
    </row>
    <row r="2618" spans="1:18" x14ac:dyDescent="0.2">
      <c r="A2618">
        <v>8</v>
      </c>
      <c r="B2618" t="s">
        <v>39</v>
      </c>
      <c r="C2618" t="str">
        <f>VLOOKUP(B2618, 'Council Area'!$A$2:$B$51, 2)</f>
        <v>Hornsby Shire Council</v>
      </c>
      <c r="D2618" t="str">
        <f>_xlfn.XLOOKUP(B2618, 'Council Area'!$A$2:$A$51, 'Council Area'!$B$2:$B$51)</f>
        <v>Hornsby Shire Council</v>
      </c>
      <c r="E2618" t="s">
        <v>51</v>
      </c>
      <c r="F2618">
        <v>1218717</v>
      </c>
      <c r="G2618">
        <v>3</v>
      </c>
      <c r="H2618">
        <v>2</v>
      </c>
      <c r="I2618">
        <v>975</v>
      </c>
      <c r="J2618">
        <v>2005</v>
      </c>
      <c r="K2618" s="4">
        <v>44455</v>
      </c>
      <c r="L2618" t="s">
        <v>30</v>
      </c>
      <c r="M2618" t="s">
        <v>56</v>
      </c>
      <c r="N2618">
        <v>3.22</v>
      </c>
      <c r="O2618">
        <v>916</v>
      </c>
      <c r="P2618">
        <v>4.83</v>
      </c>
      <c r="Q2618">
        <v>139</v>
      </c>
      <c r="R2618">
        <v>692</v>
      </c>
    </row>
    <row r="2619" spans="1:18" hidden="1" x14ac:dyDescent="0.2">
      <c r="A2619">
        <v>3</v>
      </c>
      <c r="B2619" t="s">
        <v>105</v>
      </c>
      <c r="E2619" t="s">
        <v>29</v>
      </c>
      <c r="F2619">
        <v>1171503</v>
      </c>
      <c r="G2619">
        <v>3</v>
      </c>
      <c r="H2619">
        <v>2</v>
      </c>
      <c r="I2619">
        <v>853</v>
      </c>
      <c r="J2619">
        <v>2000</v>
      </c>
      <c r="K2619" s="4">
        <v>45615</v>
      </c>
      <c r="L2619" t="s">
        <v>20</v>
      </c>
      <c r="M2619" t="s">
        <v>97</v>
      </c>
      <c r="N2619">
        <v>1.8</v>
      </c>
      <c r="O2619">
        <v>1311</v>
      </c>
      <c r="P2619">
        <v>4.79</v>
      </c>
      <c r="Q2619">
        <v>314</v>
      </c>
      <c r="R2619">
        <v>674</v>
      </c>
    </row>
    <row r="2620" spans="1:18" hidden="1" x14ac:dyDescent="0.2">
      <c r="A2620">
        <v>3</v>
      </c>
      <c r="B2620" t="s">
        <v>49</v>
      </c>
      <c r="E2620" t="s">
        <v>29</v>
      </c>
      <c r="F2620">
        <v>2192276</v>
      </c>
      <c r="G2620">
        <v>1</v>
      </c>
      <c r="H2620">
        <v>3</v>
      </c>
      <c r="I2620">
        <v>129</v>
      </c>
      <c r="J2620">
        <v>1953</v>
      </c>
      <c r="K2620" s="4">
        <v>44128</v>
      </c>
      <c r="L2620" t="s">
        <v>20</v>
      </c>
      <c r="M2620" t="s">
        <v>42</v>
      </c>
      <c r="N2620">
        <v>2.97</v>
      </c>
      <c r="O2620">
        <v>2025</v>
      </c>
      <c r="P2620">
        <v>2.67</v>
      </c>
      <c r="Q2620">
        <v>125</v>
      </c>
      <c r="R2620">
        <v>372</v>
      </c>
    </row>
    <row r="2621" spans="1:18" hidden="1" x14ac:dyDescent="0.2">
      <c r="A2621">
        <v>7</v>
      </c>
      <c r="B2621" t="s">
        <v>61</v>
      </c>
      <c r="E2621" t="s">
        <v>51</v>
      </c>
      <c r="F2621">
        <v>1123713</v>
      </c>
      <c r="G2621">
        <v>3</v>
      </c>
      <c r="H2621">
        <v>3</v>
      </c>
      <c r="I2621">
        <v>502</v>
      </c>
      <c r="J2621">
        <v>2019</v>
      </c>
      <c r="K2621" s="4">
        <v>44772</v>
      </c>
      <c r="L2621" t="s">
        <v>20</v>
      </c>
      <c r="M2621" t="s">
        <v>69</v>
      </c>
      <c r="N2621">
        <v>3.08</v>
      </c>
      <c r="O2621">
        <v>2067</v>
      </c>
      <c r="P2621">
        <v>3.11</v>
      </c>
      <c r="Q2621">
        <v>115</v>
      </c>
      <c r="R2621">
        <v>330</v>
      </c>
    </row>
    <row r="2622" spans="1:18" hidden="1" x14ac:dyDescent="0.2">
      <c r="A2622">
        <v>6</v>
      </c>
      <c r="B2622" t="s">
        <v>73</v>
      </c>
      <c r="E2622" t="s">
        <v>51</v>
      </c>
      <c r="F2622">
        <v>1549090</v>
      </c>
      <c r="G2622">
        <v>5</v>
      </c>
      <c r="H2622">
        <v>3</v>
      </c>
      <c r="I2622">
        <v>166</v>
      </c>
      <c r="J2622">
        <v>1951</v>
      </c>
      <c r="K2622" s="4">
        <v>44698</v>
      </c>
      <c r="L2622" t="s">
        <v>20</v>
      </c>
      <c r="M2622" t="s">
        <v>59</v>
      </c>
      <c r="N2622">
        <v>2.19</v>
      </c>
      <c r="O2622">
        <v>2174</v>
      </c>
      <c r="P2622">
        <v>4.75</v>
      </c>
      <c r="Q2622">
        <v>246</v>
      </c>
      <c r="R2622">
        <v>364</v>
      </c>
    </row>
    <row r="2623" spans="1:18" hidden="1" x14ac:dyDescent="0.2">
      <c r="A2623">
        <v>9</v>
      </c>
      <c r="B2623" t="s">
        <v>62</v>
      </c>
      <c r="E2623" t="s">
        <v>36</v>
      </c>
      <c r="F2623">
        <v>864215</v>
      </c>
      <c r="G2623">
        <v>2</v>
      </c>
      <c r="H2623">
        <v>3</v>
      </c>
      <c r="I2623">
        <v>989</v>
      </c>
      <c r="J2623">
        <v>2015</v>
      </c>
      <c r="K2623" s="4">
        <v>44722</v>
      </c>
      <c r="L2623" t="s">
        <v>30</v>
      </c>
      <c r="M2623" t="s">
        <v>78</v>
      </c>
      <c r="N2623">
        <v>2.0699999999999998</v>
      </c>
      <c r="O2623">
        <v>1427</v>
      </c>
      <c r="P2623">
        <v>2.56</v>
      </c>
      <c r="Q2623">
        <v>103</v>
      </c>
      <c r="R2623">
        <v>561</v>
      </c>
    </row>
    <row r="2624" spans="1:18" hidden="1" x14ac:dyDescent="0.2">
      <c r="A2624">
        <v>7</v>
      </c>
      <c r="B2624" t="s">
        <v>38</v>
      </c>
      <c r="E2624" t="s">
        <v>51</v>
      </c>
      <c r="F2624">
        <v>1028485</v>
      </c>
      <c r="G2624">
        <v>4</v>
      </c>
      <c r="H2624">
        <v>2</v>
      </c>
      <c r="I2624">
        <v>487</v>
      </c>
      <c r="J2624">
        <v>1952</v>
      </c>
      <c r="K2624" s="4">
        <v>44562</v>
      </c>
      <c r="L2624" t="s">
        <v>26</v>
      </c>
      <c r="M2624" t="s">
        <v>35</v>
      </c>
      <c r="N2624">
        <v>3.3</v>
      </c>
      <c r="O2624">
        <v>1958</v>
      </c>
      <c r="P2624">
        <v>3.83</v>
      </c>
      <c r="Q2624">
        <v>372</v>
      </c>
      <c r="R2624">
        <v>579</v>
      </c>
    </row>
    <row r="2625" spans="1:18" x14ac:dyDescent="0.2">
      <c r="A2625">
        <v>8</v>
      </c>
      <c r="B2625" t="s">
        <v>18</v>
      </c>
      <c r="C2625" t="str">
        <f>VLOOKUP(B2625, 'Council Area'!$A$2:$B$51, 2)</f>
        <v>Blacktown City Council</v>
      </c>
      <c r="D2625" t="str">
        <f>_xlfn.XLOOKUP(B2625, 'Council Area'!$A$2:$A$51, 'Council Area'!$B$2:$B$51)</f>
        <v>Blacktown City Council</v>
      </c>
      <c r="E2625" t="s">
        <v>29</v>
      </c>
      <c r="F2625">
        <v>964196</v>
      </c>
      <c r="G2625">
        <v>2</v>
      </c>
      <c r="H2625">
        <v>1</v>
      </c>
      <c r="I2625">
        <v>810</v>
      </c>
      <c r="J2625">
        <v>1988</v>
      </c>
      <c r="K2625" s="4">
        <v>45744</v>
      </c>
      <c r="L2625" t="s">
        <v>20</v>
      </c>
      <c r="M2625" t="s">
        <v>54</v>
      </c>
      <c r="N2625">
        <v>2.4700000000000002</v>
      </c>
      <c r="O2625">
        <v>1571</v>
      </c>
      <c r="P2625">
        <v>0.79</v>
      </c>
      <c r="Q2625">
        <v>210</v>
      </c>
      <c r="R2625">
        <v>694</v>
      </c>
    </row>
    <row r="2626" spans="1:18" hidden="1" x14ac:dyDescent="0.2">
      <c r="A2626">
        <v>7</v>
      </c>
      <c r="B2626" t="s">
        <v>57</v>
      </c>
      <c r="E2626" t="s">
        <v>51</v>
      </c>
      <c r="F2626">
        <v>669403</v>
      </c>
      <c r="G2626">
        <v>3</v>
      </c>
      <c r="H2626">
        <v>1</v>
      </c>
      <c r="I2626">
        <v>667</v>
      </c>
      <c r="J2626">
        <v>1968</v>
      </c>
      <c r="K2626" s="4">
        <v>45393</v>
      </c>
      <c r="L2626" t="s">
        <v>26</v>
      </c>
      <c r="M2626" t="s">
        <v>60</v>
      </c>
      <c r="N2626">
        <v>1.7</v>
      </c>
      <c r="O2626">
        <v>2334</v>
      </c>
      <c r="P2626">
        <v>4.55</v>
      </c>
      <c r="Q2626">
        <v>167</v>
      </c>
      <c r="R2626">
        <v>503</v>
      </c>
    </row>
    <row r="2627" spans="1:18" hidden="1" x14ac:dyDescent="0.2">
      <c r="A2627">
        <v>6</v>
      </c>
      <c r="B2627" t="s">
        <v>50</v>
      </c>
      <c r="E2627" t="s">
        <v>36</v>
      </c>
      <c r="F2627">
        <v>1175810</v>
      </c>
      <c r="G2627">
        <v>6</v>
      </c>
      <c r="H2627">
        <v>1</v>
      </c>
      <c r="I2627">
        <v>922</v>
      </c>
      <c r="J2627">
        <v>2005</v>
      </c>
      <c r="K2627" s="4">
        <v>45108</v>
      </c>
      <c r="L2627" t="s">
        <v>23</v>
      </c>
      <c r="M2627" t="s">
        <v>52</v>
      </c>
      <c r="N2627">
        <v>2.85</v>
      </c>
      <c r="O2627">
        <v>1919</v>
      </c>
      <c r="P2627">
        <v>3.74</v>
      </c>
      <c r="Q2627">
        <v>358</v>
      </c>
      <c r="R2627">
        <v>647</v>
      </c>
    </row>
    <row r="2628" spans="1:18" hidden="1" x14ac:dyDescent="0.2">
      <c r="A2628">
        <v>6</v>
      </c>
      <c r="B2628" t="s">
        <v>38</v>
      </c>
      <c r="E2628" t="s">
        <v>19</v>
      </c>
      <c r="F2628">
        <v>2326768</v>
      </c>
      <c r="G2628">
        <v>4</v>
      </c>
      <c r="H2628">
        <v>3</v>
      </c>
      <c r="I2628">
        <v>308</v>
      </c>
      <c r="J2628">
        <v>1987</v>
      </c>
      <c r="K2628" s="4">
        <v>45537</v>
      </c>
      <c r="L2628" t="s">
        <v>20</v>
      </c>
      <c r="M2628" t="s">
        <v>45</v>
      </c>
      <c r="N2628">
        <v>2.35</v>
      </c>
      <c r="O2628">
        <v>2093</v>
      </c>
      <c r="P2628">
        <v>4.83</v>
      </c>
      <c r="Q2628">
        <v>247</v>
      </c>
      <c r="R2628">
        <v>527</v>
      </c>
    </row>
    <row r="2629" spans="1:18" hidden="1" x14ac:dyDescent="0.2">
      <c r="A2629">
        <v>6</v>
      </c>
      <c r="B2629" t="s">
        <v>84</v>
      </c>
      <c r="E2629" t="s">
        <v>51</v>
      </c>
      <c r="F2629">
        <v>2715778</v>
      </c>
      <c r="G2629">
        <v>3</v>
      </c>
      <c r="H2629">
        <v>3</v>
      </c>
      <c r="I2629">
        <v>528</v>
      </c>
      <c r="J2629">
        <v>1969</v>
      </c>
      <c r="K2629" s="4">
        <v>45207</v>
      </c>
      <c r="L2629" t="s">
        <v>23</v>
      </c>
      <c r="M2629" t="s">
        <v>76</v>
      </c>
      <c r="N2629">
        <v>2.57</v>
      </c>
      <c r="O2629">
        <v>1115</v>
      </c>
      <c r="P2629">
        <v>2.9</v>
      </c>
      <c r="Q2629">
        <v>174</v>
      </c>
      <c r="R2629">
        <v>570</v>
      </c>
    </row>
    <row r="2630" spans="1:18" hidden="1" x14ac:dyDescent="0.2">
      <c r="A2630">
        <v>5</v>
      </c>
      <c r="B2630" t="s">
        <v>39</v>
      </c>
      <c r="E2630" t="s">
        <v>19</v>
      </c>
      <c r="F2630">
        <v>2274952</v>
      </c>
      <c r="G2630">
        <v>2</v>
      </c>
      <c r="H2630">
        <v>3</v>
      </c>
      <c r="I2630">
        <v>671</v>
      </c>
      <c r="J2630">
        <v>1970</v>
      </c>
      <c r="K2630" s="4">
        <v>44275</v>
      </c>
      <c r="L2630" t="s">
        <v>23</v>
      </c>
      <c r="M2630" t="s">
        <v>31</v>
      </c>
      <c r="N2630">
        <v>1.72</v>
      </c>
      <c r="O2630">
        <v>1677</v>
      </c>
      <c r="P2630">
        <v>4.07</v>
      </c>
      <c r="Q2630">
        <v>183</v>
      </c>
      <c r="R2630">
        <v>454</v>
      </c>
    </row>
    <row r="2631" spans="1:18" x14ac:dyDescent="0.2">
      <c r="A2631">
        <v>8</v>
      </c>
      <c r="B2631" t="s">
        <v>28</v>
      </c>
      <c r="C2631" t="str">
        <f>VLOOKUP(B2631, 'Council Area'!$A$2:$B$51, 2)</f>
        <v>City of Sydney</v>
      </c>
      <c r="D2631" t="str">
        <f>_xlfn.XLOOKUP(B2631, 'Council Area'!$A$2:$A$51, 'Council Area'!$B$2:$B$51)</f>
        <v>City of Sydney</v>
      </c>
      <c r="E2631" t="s">
        <v>19</v>
      </c>
      <c r="F2631">
        <v>753320</v>
      </c>
      <c r="G2631">
        <v>2</v>
      </c>
      <c r="H2631">
        <v>1</v>
      </c>
      <c r="I2631">
        <v>327</v>
      </c>
      <c r="J2631">
        <v>1966</v>
      </c>
      <c r="K2631" s="4">
        <v>45592</v>
      </c>
      <c r="L2631" t="s">
        <v>20</v>
      </c>
      <c r="M2631" t="s">
        <v>21</v>
      </c>
      <c r="N2631">
        <v>1.74</v>
      </c>
      <c r="O2631">
        <v>1538</v>
      </c>
      <c r="P2631">
        <v>4.3600000000000003</v>
      </c>
      <c r="Q2631">
        <v>81</v>
      </c>
      <c r="R2631">
        <v>444</v>
      </c>
    </row>
    <row r="2632" spans="1:18" hidden="1" x14ac:dyDescent="0.2">
      <c r="A2632">
        <v>9</v>
      </c>
      <c r="B2632" t="s">
        <v>81</v>
      </c>
      <c r="E2632" t="s">
        <v>51</v>
      </c>
      <c r="F2632">
        <v>1804400</v>
      </c>
      <c r="G2632">
        <v>4</v>
      </c>
      <c r="H2632">
        <v>1</v>
      </c>
      <c r="I2632">
        <v>560</v>
      </c>
      <c r="J2632">
        <v>1998</v>
      </c>
      <c r="K2632" s="4">
        <v>44084</v>
      </c>
      <c r="L2632" t="s">
        <v>26</v>
      </c>
      <c r="M2632" t="s">
        <v>69</v>
      </c>
      <c r="N2632">
        <v>2.3199999999999998</v>
      </c>
      <c r="O2632">
        <v>2182</v>
      </c>
      <c r="P2632">
        <v>3.17</v>
      </c>
      <c r="Q2632">
        <v>165</v>
      </c>
      <c r="R2632">
        <v>635</v>
      </c>
    </row>
    <row r="2633" spans="1:18" x14ac:dyDescent="0.2">
      <c r="A2633">
        <v>8</v>
      </c>
      <c r="B2633" t="s">
        <v>94</v>
      </c>
      <c r="C2633" t="str">
        <f>VLOOKUP(B2633, 'Council Area'!$A$2:$B$51, 2)</f>
        <v>Sutherland Shire Council</v>
      </c>
      <c r="D2633" t="str">
        <f>_xlfn.XLOOKUP(B2633, 'Council Area'!$A$2:$A$51, 'Council Area'!$B$2:$B$51)</f>
        <v>Sutherland Shire Council</v>
      </c>
      <c r="E2633" t="s">
        <v>29</v>
      </c>
      <c r="F2633">
        <v>1457235</v>
      </c>
      <c r="G2633">
        <v>5</v>
      </c>
      <c r="H2633">
        <v>2</v>
      </c>
      <c r="I2633">
        <v>702</v>
      </c>
      <c r="J2633">
        <v>1969</v>
      </c>
      <c r="K2633" s="4">
        <v>45719</v>
      </c>
      <c r="L2633" t="s">
        <v>30</v>
      </c>
      <c r="M2633" t="s">
        <v>47</v>
      </c>
      <c r="N2633">
        <v>2.29</v>
      </c>
      <c r="O2633">
        <v>1540</v>
      </c>
      <c r="P2633">
        <v>2.14</v>
      </c>
      <c r="Q2633">
        <v>246</v>
      </c>
      <c r="R2633">
        <v>374</v>
      </c>
    </row>
    <row r="2634" spans="1:18" hidden="1" x14ac:dyDescent="0.2">
      <c r="A2634">
        <v>5</v>
      </c>
      <c r="B2634" t="s">
        <v>46</v>
      </c>
      <c r="E2634" t="s">
        <v>36</v>
      </c>
      <c r="F2634">
        <v>2384869</v>
      </c>
      <c r="G2634">
        <v>2</v>
      </c>
      <c r="H2634">
        <v>3</v>
      </c>
      <c r="I2634">
        <v>132</v>
      </c>
      <c r="J2634">
        <v>1997</v>
      </c>
      <c r="K2634" s="4">
        <v>45691</v>
      </c>
      <c r="L2634" t="s">
        <v>23</v>
      </c>
      <c r="M2634" t="s">
        <v>59</v>
      </c>
      <c r="N2634">
        <v>3.45</v>
      </c>
      <c r="O2634">
        <v>1634</v>
      </c>
      <c r="P2634">
        <v>2.95</v>
      </c>
      <c r="Q2634">
        <v>49</v>
      </c>
      <c r="R2634">
        <v>471</v>
      </c>
    </row>
    <row r="2635" spans="1:18" hidden="1" x14ac:dyDescent="0.2">
      <c r="A2635">
        <v>9</v>
      </c>
      <c r="B2635" t="s">
        <v>61</v>
      </c>
      <c r="E2635" t="s">
        <v>36</v>
      </c>
      <c r="F2635">
        <v>1962854</v>
      </c>
      <c r="G2635">
        <v>5</v>
      </c>
      <c r="H2635">
        <v>1</v>
      </c>
      <c r="I2635">
        <v>557</v>
      </c>
      <c r="J2635">
        <v>2003</v>
      </c>
      <c r="K2635" s="4">
        <v>45032</v>
      </c>
      <c r="L2635" t="s">
        <v>26</v>
      </c>
      <c r="M2635" t="s">
        <v>60</v>
      </c>
      <c r="N2635">
        <v>1.76</v>
      </c>
      <c r="O2635">
        <v>1050</v>
      </c>
      <c r="P2635">
        <v>4.41</v>
      </c>
      <c r="Q2635">
        <v>387</v>
      </c>
      <c r="R2635">
        <v>657</v>
      </c>
    </row>
    <row r="2636" spans="1:18" hidden="1" x14ac:dyDescent="0.2">
      <c r="A2636">
        <v>2</v>
      </c>
      <c r="B2636" t="s">
        <v>93</v>
      </c>
      <c r="E2636" t="s">
        <v>103</v>
      </c>
      <c r="F2636">
        <v>2481530</v>
      </c>
      <c r="G2636">
        <v>5</v>
      </c>
      <c r="H2636">
        <v>1</v>
      </c>
      <c r="I2636">
        <v>337</v>
      </c>
      <c r="J2636">
        <v>1971</v>
      </c>
      <c r="K2636" s="4">
        <v>44847</v>
      </c>
      <c r="L2636" t="s">
        <v>23</v>
      </c>
      <c r="M2636" t="s">
        <v>69</v>
      </c>
      <c r="N2636">
        <v>1.96</v>
      </c>
      <c r="O2636">
        <v>2245</v>
      </c>
      <c r="P2636">
        <v>0.84</v>
      </c>
      <c r="Q2636">
        <v>256</v>
      </c>
      <c r="R2636">
        <v>480</v>
      </c>
    </row>
    <row r="2637" spans="1:18" hidden="1" x14ac:dyDescent="0.2">
      <c r="A2637">
        <v>9</v>
      </c>
      <c r="B2637" t="s">
        <v>53</v>
      </c>
      <c r="E2637" t="s">
        <v>51</v>
      </c>
      <c r="F2637">
        <v>2378762</v>
      </c>
      <c r="G2637">
        <v>2</v>
      </c>
      <c r="H2637">
        <v>2</v>
      </c>
      <c r="I2637">
        <v>472</v>
      </c>
      <c r="J2637">
        <v>1971</v>
      </c>
      <c r="K2637" s="4">
        <v>45335</v>
      </c>
      <c r="L2637" t="s">
        <v>20</v>
      </c>
      <c r="M2637" t="s">
        <v>63</v>
      </c>
      <c r="N2637">
        <v>2.33</v>
      </c>
      <c r="O2637">
        <v>895</v>
      </c>
      <c r="P2637">
        <v>4.3600000000000003</v>
      </c>
      <c r="Q2637">
        <v>98</v>
      </c>
      <c r="R2637">
        <v>342</v>
      </c>
    </row>
    <row r="2638" spans="1:18" hidden="1" x14ac:dyDescent="0.2">
      <c r="A2638">
        <v>9</v>
      </c>
      <c r="B2638" t="s">
        <v>90</v>
      </c>
      <c r="E2638" t="s">
        <v>29</v>
      </c>
      <c r="F2638">
        <v>1484717</v>
      </c>
      <c r="G2638">
        <v>5</v>
      </c>
      <c r="H2638">
        <v>3</v>
      </c>
      <c r="I2638">
        <v>613</v>
      </c>
      <c r="J2638">
        <v>1953</v>
      </c>
      <c r="K2638" s="4">
        <v>45865</v>
      </c>
      <c r="L2638" t="s">
        <v>26</v>
      </c>
      <c r="M2638" t="s">
        <v>47</v>
      </c>
      <c r="N2638">
        <v>1.54</v>
      </c>
      <c r="O2638">
        <v>992</v>
      </c>
      <c r="P2638">
        <v>2.16</v>
      </c>
      <c r="Q2638">
        <v>304</v>
      </c>
      <c r="R2638">
        <v>338</v>
      </c>
    </row>
    <row r="2639" spans="1:18" hidden="1" x14ac:dyDescent="0.2">
      <c r="A2639">
        <v>4</v>
      </c>
      <c r="B2639" t="s">
        <v>84</v>
      </c>
      <c r="E2639" t="s">
        <v>36</v>
      </c>
      <c r="F2639">
        <v>2468207</v>
      </c>
      <c r="G2639">
        <v>6</v>
      </c>
      <c r="H2639">
        <v>3</v>
      </c>
      <c r="I2639">
        <v>376</v>
      </c>
      <c r="J2639">
        <v>1976</v>
      </c>
      <c r="K2639" s="4">
        <v>45122</v>
      </c>
      <c r="L2639" t="s">
        <v>23</v>
      </c>
      <c r="M2639" t="s">
        <v>27</v>
      </c>
      <c r="N2639">
        <v>2.2799999999999998</v>
      </c>
      <c r="O2639">
        <v>2042</v>
      </c>
      <c r="P2639">
        <v>0.12</v>
      </c>
      <c r="Q2639">
        <v>388</v>
      </c>
      <c r="R2639">
        <v>301</v>
      </c>
    </row>
    <row r="2640" spans="1:18" hidden="1" x14ac:dyDescent="0.2">
      <c r="A2640">
        <v>4</v>
      </c>
      <c r="B2640" t="s">
        <v>96</v>
      </c>
      <c r="E2640" t="s">
        <v>36</v>
      </c>
      <c r="F2640">
        <v>1122535</v>
      </c>
      <c r="G2640">
        <v>3</v>
      </c>
      <c r="H2640">
        <v>3</v>
      </c>
      <c r="I2640">
        <v>898</v>
      </c>
      <c r="J2640">
        <v>2014</v>
      </c>
      <c r="K2640" s="4">
        <v>45548</v>
      </c>
      <c r="L2640" t="s">
        <v>20</v>
      </c>
      <c r="M2640" t="s">
        <v>35</v>
      </c>
      <c r="N2640">
        <v>2.97</v>
      </c>
      <c r="O2640">
        <v>1792</v>
      </c>
      <c r="P2640">
        <v>2.2400000000000002</v>
      </c>
      <c r="Q2640">
        <v>248</v>
      </c>
      <c r="R2640">
        <v>557</v>
      </c>
    </row>
    <row r="2641" spans="1:18" hidden="1" x14ac:dyDescent="0.2">
      <c r="A2641">
        <v>7</v>
      </c>
      <c r="B2641" t="s">
        <v>50</v>
      </c>
      <c r="E2641" t="s">
        <v>19</v>
      </c>
      <c r="F2641">
        <v>2292445</v>
      </c>
      <c r="G2641">
        <v>4</v>
      </c>
      <c r="H2641">
        <v>2</v>
      </c>
      <c r="I2641">
        <v>432</v>
      </c>
      <c r="J2641">
        <v>1996</v>
      </c>
      <c r="K2641" s="4">
        <v>44694</v>
      </c>
      <c r="L2641" t="s">
        <v>30</v>
      </c>
      <c r="M2641" t="s">
        <v>40</v>
      </c>
      <c r="N2641">
        <v>1.68</v>
      </c>
      <c r="O2641">
        <v>1843</v>
      </c>
      <c r="P2641">
        <v>3.24</v>
      </c>
      <c r="Q2641">
        <v>388</v>
      </c>
      <c r="R2641">
        <v>563</v>
      </c>
    </row>
    <row r="2642" spans="1:18" hidden="1" x14ac:dyDescent="0.2">
      <c r="A2642">
        <v>4</v>
      </c>
      <c r="B2642" t="s">
        <v>49</v>
      </c>
      <c r="E2642" t="s">
        <v>29</v>
      </c>
      <c r="F2642">
        <v>1290841</v>
      </c>
      <c r="G2642">
        <v>3</v>
      </c>
      <c r="H2642">
        <v>1</v>
      </c>
      <c r="I2642">
        <v>542</v>
      </c>
      <c r="J2642">
        <v>1954</v>
      </c>
      <c r="K2642" s="4">
        <v>45213</v>
      </c>
      <c r="L2642" t="s">
        <v>26</v>
      </c>
      <c r="M2642" t="s">
        <v>52</v>
      </c>
      <c r="N2642">
        <v>3.42</v>
      </c>
      <c r="O2642">
        <v>2168</v>
      </c>
      <c r="P2642">
        <v>3.7</v>
      </c>
      <c r="Q2642">
        <v>103</v>
      </c>
      <c r="R2642">
        <v>454</v>
      </c>
    </row>
    <row r="2643" spans="1:18" hidden="1" x14ac:dyDescent="0.2">
      <c r="A2643">
        <v>0</v>
      </c>
      <c r="B2643" t="s">
        <v>38</v>
      </c>
      <c r="E2643" t="s">
        <v>36</v>
      </c>
      <c r="F2643">
        <v>2332530</v>
      </c>
      <c r="G2643">
        <v>4</v>
      </c>
      <c r="H2643">
        <v>3</v>
      </c>
      <c r="I2643">
        <v>0</v>
      </c>
      <c r="J2643">
        <v>1994</v>
      </c>
      <c r="K2643" s="4">
        <v>45206</v>
      </c>
      <c r="L2643" t="s">
        <v>30</v>
      </c>
      <c r="M2643" t="s">
        <v>78</v>
      </c>
      <c r="N2643">
        <v>2.65</v>
      </c>
      <c r="O2643">
        <v>980</v>
      </c>
      <c r="P2643">
        <v>2.0099999999999998</v>
      </c>
      <c r="Q2643">
        <v>300</v>
      </c>
      <c r="R2643">
        <v>469</v>
      </c>
    </row>
    <row r="2644" spans="1:18" x14ac:dyDescent="0.2">
      <c r="A2644">
        <v>8</v>
      </c>
      <c r="B2644" t="s">
        <v>100</v>
      </c>
      <c r="C2644" t="str">
        <f>VLOOKUP(B2644, 'Council Area'!$A$2:$B$51, 2)</f>
        <v>Northern Beaches Council</v>
      </c>
      <c r="D2644" t="str">
        <f>_xlfn.XLOOKUP(B2644, 'Council Area'!$A$2:$A$51, 'Council Area'!$B$2:$B$51)</f>
        <v>Northern Beaches Council</v>
      </c>
      <c r="E2644" t="s">
        <v>36</v>
      </c>
      <c r="F2644">
        <v>406534</v>
      </c>
      <c r="G2644">
        <v>0</v>
      </c>
      <c r="H2644">
        <v>2</v>
      </c>
      <c r="I2644">
        <v>740</v>
      </c>
      <c r="J2644">
        <v>1959</v>
      </c>
      <c r="K2644" s="4">
        <v>44238</v>
      </c>
      <c r="L2644" t="s">
        <v>23</v>
      </c>
      <c r="M2644" t="s">
        <v>66</v>
      </c>
      <c r="N2644">
        <v>3.3</v>
      </c>
      <c r="O2644">
        <v>2432</v>
      </c>
      <c r="P2644">
        <v>3.92</v>
      </c>
      <c r="Q2644">
        <v>71</v>
      </c>
      <c r="R2644">
        <v>484</v>
      </c>
    </row>
    <row r="2645" spans="1:18" hidden="1" x14ac:dyDescent="0.2">
      <c r="A2645">
        <v>7</v>
      </c>
      <c r="B2645" t="s">
        <v>49</v>
      </c>
      <c r="E2645" t="s">
        <v>29</v>
      </c>
      <c r="F2645">
        <v>1120878</v>
      </c>
      <c r="G2645">
        <v>2</v>
      </c>
      <c r="H2645">
        <v>2</v>
      </c>
      <c r="I2645">
        <v>182</v>
      </c>
      <c r="J2645">
        <v>2016</v>
      </c>
      <c r="K2645" s="4">
        <v>45768</v>
      </c>
      <c r="L2645" t="s">
        <v>20</v>
      </c>
      <c r="M2645" t="s">
        <v>77</v>
      </c>
      <c r="N2645">
        <v>3.49</v>
      </c>
      <c r="O2645">
        <v>836</v>
      </c>
      <c r="P2645">
        <v>0.45</v>
      </c>
      <c r="Q2645">
        <v>116</v>
      </c>
      <c r="R2645">
        <v>606</v>
      </c>
    </row>
    <row r="2646" spans="1:18" hidden="1" x14ac:dyDescent="0.2">
      <c r="A2646">
        <v>4</v>
      </c>
      <c r="B2646" t="s">
        <v>94</v>
      </c>
      <c r="E2646" t="s">
        <v>29</v>
      </c>
      <c r="F2646">
        <v>1344926</v>
      </c>
      <c r="G2646">
        <v>5</v>
      </c>
      <c r="H2646">
        <v>2</v>
      </c>
      <c r="I2646">
        <v>918</v>
      </c>
      <c r="J2646">
        <v>1983</v>
      </c>
      <c r="K2646" s="4">
        <v>44485</v>
      </c>
      <c r="L2646" t="s">
        <v>23</v>
      </c>
      <c r="M2646" t="s">
        <v>89</v>
      </c>
      <c r="N2646">
        <v>2.68</v>
      </c>
      <c r="O2646">
        <v>2480</v>
      </c>
      <c r="P2646">
        <v>2.57</v>
      </c>
      <c r="Q2646">
        <v>260</v>
      </c>
      <c r="R2646">
        <v>442</v>
      </c>
    </row>
    <row r="2647" spans="1:18" hidden="1" x14ac:dyDescent="0.2">
      <c r="A2647">
        <v>2</v>
      </c>
      <c r="B2647" t="s">
        <v>106</v>
      </c>
      <c r="E2647" t="s">
        <v>51</v>
      </c>
      <c r="F2647">
        <v>1180971</v>
      </c>
      <c r="G2647">
        <v>3</v>
      </c>
      <c r="H2647">
        <v>3</v>
      </c>
      <c r="I2647">
        <v>855</v>
      </c>
      <c r="J2647">
        <v>1990</v>
      </c>
      <c r="K2647" s="4">
        <v>44476</v>
      </c>
      <c r="L2647" t="s">
        <v>23</v>
      </c>
      <c r="M2647" t="s">
        <v>21</v>
      </c>
      <c r="N2647">
        <v>2.2999999999999998</v>
      </c>
      <c r="O2647">
        <v>1992</v>
      </c>
      <c r="P2647">
        <v>1.78</v>
      </c>
      <c r="Q2647">
        <v>211</v>
      </c>
      <c r="R2647">
        <v>360</v>
      </c>
    </row>
    <row r="2648" spans="1:18" hidden="1" x14ac:dyDescent="0.2">
      <c r="A2648">
        <v>3</v>
      </c>
      <c r="B2648" t="s">
        <v>88</v>
      </c>
      <c r="E2648" t="s">
        <v>36</v>
      </c>
      <c r="F2648">
        <v>1162189</v>
      </c>
      <c r="G2648">
        <v>2</v>
      </c>
      <c r="H2648">
        <v>2</v>
      </c>
      <c r="I2648">
        <v>547</v>
      </c>
      <c r="J2648">
        <v>1963</v>
      </c>
      <c r="K2648" s="4">
        <v>44784</v>
      </c>
      <c r="L2648" t="s">
        <v>20</v>
      </c>
      <c r="M2648" t="s">
        <v>42</v>
      </c>
      <c r="N2648">
        <v>2.35</v>
      </c>
      <c r="O2648">
        <v>2208</v>
      </c>
      <c r="P2648">
        <v>4.04</v>
      </c>
      <c r="Q2648">
        <v>233</v>
      </c>
      <c r="R2648">
        <v>464</v>
      </c>
    </row>
    <row r="2649" spans="1:18" hidden="1" x14ac:dyDescent="0.2">
      <c r="A2649">
        <v>2</v>
      </c>
      <c r="B2649" t="s">
        <v>84</v>
      </c>
      <c r="E2649" t="s">
        <v>19</v>
      </c>
      <c r="F2649">
        <v>2493291</v>
      </c>
      <c r="G2649">
        <v>1</v>
      </c>
      <c r="H2649">
        <v>1</v>
      </c>
      <c r="I2649">
        <v>72</v>
      </c>
      <c r="J2649">
        <v>1965</v>
      </c>
      <c r="K2649" s="4">
        <v>44885</v>
      </c>
      <c r="L2649" t="s">
        <v>30</v>
      </c>
      <c r="M2649" t="s">
        <v>97</v>
      </c>
      <c r="N2649">
        <v>2.67</v>
      </c>
      <c r="O2649">
        <v>1611</v>
      </c>
      <c r="P2649">
        <v>4.57</v>
      </c>
      <c r="Q2649">
        <v>109</v>
      </c>
      <c r="R2649">
        <v>354</v>
      </c>
    </row>
    <row r="2650" spans="1:18" hidden="1" x14ac:dyDescent="0.2">
      <c r="A2650">
        <v>6</v>
      </c>
      <c r="B2650" t="s">
        <v>18</v>
      </c>
      <c r="E2650" t="s">
        <v>51</v>
      </c>
      <c r="F2650">
        <v>1657327</v>
      </c>
      <c r="G2650">
        <v>4</v>
      </c>
      <c r="H2650">
        <v>3</v>
      </c>
      <c r="I2650">
        <v>58</v>
      </c>
      <c r="J2650">
        <v>1960</v>
      </c>
      <c r="K2650" s="4">
        <v>45513</v>
      </c>
      <c r="L2650" t="s">
        <v>26</v>
      </c>
      <c r="M2650" t="s">
        <v>58</v>
      </c>
      <c r="N2650">
        <v>2.2200000000000002</v>
      </c>
      <c r="O2650">
        <v>1152</v>
      </c>
      <c r="P2650">
        <v>3.9</v>
      </c>
      <c r="Q2650">
        <v>283</v>
      </c>
      <c r="R2650">
        <v>649</v>
      </c>
    </row>
    <row r="2651" spans="1:18" x14ac:dyDescent="0.2">
      <c r="A2651">
        <v>8</v>
      </c>
      <c r="B2651" t="s">
        <v>91</v>
      </c>
      <c r="C2651" t="str">
        <f>VLOOKUP(B2651, 'Council Area'!$A$2:$B$51, 2)</f>
        <v>Northern Beaches Council</v>
      </c>
      <c r="D2651" t="str">
        <f>_xlfn.XLOOKUP(B2651, 'Council Area'!$A$2:$A$51, 'Council Area'!$B$2:$B$51)</f>
        <v>Northern Beaches Council</v>
      </c>
      <c r="E2651" t="s">
        <v>51</v>
      </c>
      <c r="F2651">
        <v>1810657</v>
      </c>
      <c r="G2651">
        <v>0</v>
      </c>
      <c r="H2651">
        <v>3</v>
      </c>
      <c r="I2651">
        <v>180</v>
      </c>
      <c r="J2651">
        <v>2005</v>
      </c>
      <c r="K2651" s="4">
        <v>45006</v>
      </c>
      <c r="L2651" t="s">
        <v>30</v>
      </c>
      <c r="M2651" t="s">
        <v>31</v>
      </c>
      <c r="N2651">
        <v>2.02</v>
      </c>
      <c r="O2651">
        <v>2063</v>
      </c>
      <c r="P2651">
        <v>4.4400000000000004</v>
      </c>
      <c r="Q2651">
        <v>58</v>
      </c>
      <c r="R2651">
        <v>365</v>
      </c>
    </row>
    <row r="2652" spans="1:18" hidden="1" x14ac:dyDescent="0.2">
      <c r="A2652">
        <v>0</v>
      </c>
      <c r="B2652" t="s">
        <v>48</v>
      </c>
      <c r="E2652" t="s">
        <v>36</v>
      </c>
      <c r="F2652">
        <v>1603068</v>
      </c>
      <c r="G2652">
        <v>2</v>
      </c>
      <c r="H2652">
        <v>2</v>
      </c>
      <c r="I2652">
        <v>412</v>
      </c>
      <c r="J2652">
        <v>1956</v>
      </c>
      <c r="K2652" s="4">
        <v>45540</v>
      </c>
      <c r="L2652" t="s">
        <v>20</v>
      </c>
      <c r="M2652" t="s">
        <v>58</v>
      </c>
      <c r="N2652">
        <v>3.02</v>
      </c>
      <c r="O2652">
        <v>972</v>
      </c>
      <c r="P2652">
        <v>3.1</v>
      </c>
      <c r="Q2652">
        <v>114</v>
      </c>
      <c r="R2652">
        <v>480</v>
      </c>
    </row>
    <row r="2653" spans="1:18" hidden="1" x14ac:dyDescent="0.2">
      <c r="A2653">
        <v>6</v>
      </c>
      <c r="B2653" t="s">
        <v>18</v>
      </c>
      <c r="E2653" t="s">
        <v>36</v>
      </c>
      <c r="F2653">
        <v>2134965</v>
      </c>
      <c r="G2653">
        <v>4</v>
      </c>
      <c r="H2653">
        <v>1</v>
      </c>
      <c r="I2653">
        <v>457</v>
      </c>
      <c r="J2653">
        <v>1993</v>
      </c>
      <c r="K2653" s="4">
        <v>44168</v>
      </c>
      <c r="L2653" t="s">
        <v>20</v>
      </c>
      <c r="M2653" t="s">
        <v>54</v>
      </c>
      <c r="N2653">
        <v>1.57</v>
      </c>
      <c r="O2653">
        <v>2099</v>
      </c>
      <c r="P2653">
        <v>1.59</v>
      </c>
      <c r="Q2653">
        <v>356</v>
      </c>
      <c r="R2653">
        <v>625</v>
      </c>
    </row>
    <row r="2654" spans="1:18" hidden="1" x14ac:dyDescent="0.2">
      <c r="A2654">
        <v>1</v>
      </c>
      <c r="B2654" t="s">
        <v>81</v>
      </c>
      <c r="E2654" t="s">
        <v>51</v>
      </c>
      <c r="F2654">
        <v>2352949</v>
      </c>
      <c r="G2654">
        <v>3</v>
      </c>
      <c r="H2654">
        <v>1</v>
      </c>
      <c r="I2654">
        <v>299</v>
      </c>
      <c r="J2654">
        <v>1991</v>
      </c>
      <c r="K2654" s="4">
        <v>44914</v>
      </c>
      <c r="L2654" t="s">
        <v>20</v>
      </c>
      <c r="M2654" t="s">
        <v>74</v>
      </c>
      <c r="N2654">
        <v>2.17</v>
      </c>
      <c r="O2654">
        <v>2011</v>
      </c>
      <c r="P2654">
        <v>0.84</v>
      </c>
      <c r="Q2654">
        <v>308</v>
      </c>
      <c r="R2654">
        <v>516</v>
      </c>
    </row>
    <row r="2655" spans="1:18" hidden="1" x14ac:dyDescent="0.2">
      <c r="A2655">
        <v>5</v>
      </c>
      <c r="B2655" t="s">
        <v>84</v>
      </c>
      <c r="E2655" t="s">
        <v>51</v>
      </c>
      <c r="F2655">
        <v>1252052</v>
      </c>
      <c r="G2655">
        <v>0</v>
      </c>
      <c r="H2655">
        <v>1</v>
      </c>
      <c r="I2655">
        <v>597</v>
      </c>
      <c r="J2655">
        <v>1990</v>
      </c>
      <c r="K2655" s="4">
        <v>45628</v>
      </c>
      <c r="L2655" t="s">
        <v>26</v>
      </c>
      <c r="M2655" t="s">
        <v>68</v>
      </c>
      <c r="N2655">
        <v>2.99</v>
      </c>
      <c r="O2655">
        <v>2090</v>
      </c>
      <c r="P2655">
        <v>0.7</v>
      </c>
      <c r="Q2655">
        <v>69</v>
      </c>
      <c r="R2655">
        <v>391</v>
      </c>
    </row>
    <row r="2656" spans="1:18" hidden="1" x14ac:dyDescent="0.2">
      <c r="A2656">
        <v>7</v>
      </c>
      <c r="B2656" t="s">
        <v>41</v>
      </c>
      <c r="E2656" t="s">
        <v>36</v>
      </c>
      <c r="F2656">
        <v>2762591</v>
      </c>
      <c r="G2656">
        <v>6</v>
      </c>
      <c r="H2656">
        <v>1</v>
      </c>
      <c r="I2656">
        <v>277</v>
      </c>
      <c r="J2656">
        <v>1951</v>
      </c>
      <c r="K2656" s="4">
        <v>44225</v>
      </c>
      <c r="L2656" t="s">
        <v>26</v>
      </c>
      <c r="M2656" t="s">
        <v>33</v>
      </c>
      <c r="N2656">
        <v>3</v>
      </c>
      <c r="O2656">
        <v>2014</v>
      </c>
      <c r="P2656">
        <v>4.4800000000000004</v>
      </c>
      <c r="Q2656">
        <v>391</v>
      </c>
      <c r="R2656">
        <v>595</v>
      </c>
    </row>
    <row r="2657" spans="1:18" hidden="1" x14ac:dyDescent="0.2">
      <c r="A2657">
        <v>9</v>
      </c>
      <c r="B2657" t="s">
        <v>84</v>
      </c>
      <c r="E2657" t="s">
        <v>29</v>
      </c>
      <c r="F2657">
        <v>2290108</v>
      </c>
      <c r="G2657">
        <v>4</v>
      </c>
      <c r="H2657">
        <v>1</v>
      </c>
      <c r="I2657">
        <v>935</v>
      </c>
      <c r="J2657">
        <v>2010</v>
      </c>
      <c r="K2657" s="4">
        <v>45680</v>
      </c>
      <c r="L2657" t="s">
        <v>26</v>
      </c>
      <c r="M2657" t="s">
        <v>77</v>
      </c>
      <c r="N2657">
        <v>1.86</v>
      </c>
      <c r="O2657">
        <v>888</v>
      </c>
      <c r="P2657">
        <v>3.21</v>
      </c>
      <c r="Q2657">
        <v>287</v>
      </c>
      <c r="R2657">
        <v>372</v>
      </c>
    </row>
    <row r="2658" spans="1:18" hidden="1" x14ac:dyDescent="0.2">
      <c r="A2658">
        <v>0</v>
      </c>
      <c r="B2658" t="s">
        <v>39</v>
      </c>
      <c r="E2658" t="s">
        <v>36</v>
      </c>
      <c r="F2658">
        <v>1020510</v>
      </c>
      <c r="G2658">
        <v>3</v>
      </c>
      <c r="H2658">
        <v>2</v>
      </c>
      <c r="I2658">
        <v>670</v>
      </c>
      <c r="J2658">
        <v>2017</v>
      </c>
      <c r="K2658" s="4">
        <v>44964</v>
      </c>
      <c r="L2658" t="s">
        <v>23</v>
      </c>
      <c r="M2658" t="s">
        <v>54</v>
      </c>
      <c r="N2658">
        <v>2.74</v>
      </c>
      <c r="O2658">
        <v>2344</v>
      </c>
      <c r="P2658">
        <v>2.46</v>
      </c>
      <c r="Q2658">
        <v>285</v>
      </c>
      <c r="R2658">
        <v>314</v>
      </c>
    </row>
    <row r="2659" spans="1:18" hidden="1" x14ac:dyDescent="0.2">
      <c r="A2659">
        <v>3</v>
      </c>
      <c r="B2659" t="s">
        <v>83</v>
      </c>
      <c r="E2659" t="s">
        <v>29</v>
      </c>
      <c r="F2659">
        <v>591663</v>
      </c>
      <c r="G2659">
        <v>3</v>
      </c>
      <c r="H2659">
        <v>1</v>
      </c>
      <c r="I2659">
        <v>319</v>
      </c>
      <c r="J2659">
        <v>1994</v>
      </c>
      <c r="K2659" s="4">
        <v>44240</v>
      </c>
      <c r="L2659" t="s">
        <v>30</v>
      </c>
      <c r="M2659" t="s">
        <v>56</v>
      </c>
      <c r="N2659">
        <v>2.04</v>
      </c>
      <c r="O2659">
        <v>2039</v>
      </c>
      <c r="P2659">
        <v>2.96</v>
      </c>
      <c r="Q2659">
        <v>112</v>
      </c>
      <c r="R2659">
        <v>517</v>
      </c>
    </row>
    <row r="2660" spans="1:18" hidden="1" x14ac:dyDescent="0.2">
      <c r="A2660">
        <v>3</v>
      </c>
      <c r="B2660" t="s">
        <v>65</v>
      </c>
      <c r="E2660" t="s">
        <v>19</v>
      </c>
      <c r="F2660">
        <v>2225739</v>
      </c>
      <c r="G2660">
        <v>5</v>
      </c>
      <c r="H2660">
        <v>2</v>
      </c>
      <c r="I2660">
        <v>100</v>
      </c>
      <c r="J2660">
        <v>1986</v>
      </c>
      <c r="K2660" s="4">
        <v>44170</v>
      </c>
      <c r="L2660" t="s">
        <v>30</v>
      </c>
      <c r="M2660" t="s">
        <v>82</v>
      </c>
      <c r="N2660">
        <v>2.1</v>
      </c>
      <c r="O2660">
        <v>1841</v>
      </c>
      <c r="P2660">
        <v>4.67</v>
      </c>
      <c r="Q2660">
        <v>301</v>
      </c>
      <c r="R2660">
        <v>338</v>
      </c>
    </row>
    <row r="2661" spans="1:18" hidden="1" x14ac:dyDescent="0.2">
      <c r="A2661">
        <v>5</v>
      </c>
      <c r="B2661" t="s">
        <v>96</v>
      </c>
      <c r="E2661" t="s">
        <v>51</v>
      </c>
      <c r="F2661">
        <v>2825556</v>
      </c>
      <c r="G2661">
        <v>4</v>
      </c>
      <c r="H2661">
        <v>1</v>
      </c>
      <c r="I2661">
        <v>589</v>
      </c>
      <c r="J2661">
        <v>1960</v>
      </c>
      <c r="K2661" s="4">
        <v>44954</v>
      </c>
      <c r="L2661" t="s">
        <v>30</v>
      </c>
      <c r="M2661" t="s">
        <v>63</v>
      </c>
      <c r="N2661">
        <v>2.99</v>
      </c>
      <c r="O2661">
        <v>1088</v>
      </c>
      <c r="P2661">
        <v>0.48</v>
      </c>
      <c r="Q2661">
        <v>299</v>
      </c>
      <c r="R2661">
        <v>542</v>
      </c>
    </row>
    <row r="2662" spans="1:18" hidden="1" x14ac:dyDescent="0.2">
      <c r="A2662">
        <v>3</v>
      </c>
      <c r="B2662" t="s">
        <v>93</v>
      </c>
      <c r="E2662" t="s">
        <v>29</v>
      </c>
      <c r="F2662">
        <v>505039</v>
      </c>
      <c r="G2662">
        <v>4</v>
      </c>
      <c r="H2662">
        <v>3</v>
      </c>
      <c r="I2662">
        <v>125</v>
      </c>
      <c r="J2662">
        <v>1975</v>
      </c>
      <c r="K2662" s="4">
        <v>44775</v>
      </c>
      <c r="L2662" t="s">
        <v>30</v>
      </c>
      <c r="M2662" t="s">
        <v>35</v>
      </c>
      <c r="N2662">
        <v>2.78</v>
      </c>
      <c r="O2662">
        <v>2093</v>
      </c>
      <c r="P2662">
        <v>0.67</v>
      </c>
      <c r="Q2662">
        <v>384</v>
      </c>
      <c r="R2662">
        <v>427</v>
      </c>
    </row>
    <row r="2663" spans="1:18" x14ac:dyDescent="0.2">
      <c r="A2663">
        <v>8</v>
      </c>
      <c r="B2663" t="s">
        <v>75</v>
      </c>
      <c r="C2663" t="str">
        <f>VLOOKUP(B2663, 'Council Area'!$A$2:$B$51, 2)</f>
        <v>Inner West Council</v>
      </c>
      <c r="D2663" t="str">
        <f>_xlfn.XLOOKUP(B2663, 'Council Area'!$A$2:$A$51, 'Council Area'!$B$2:$B$51)</f>
        <v>Inner West Council</v>
      </c>
      <c r="E2663" t="s">
        <v>19</v>
      </c>
      <c r="F2663">
        <v>1625109</v>
      </c>
      <c r="G2663">
        <v>2</v>
      </c>
      <c r="H2663">
        <v>1</v>
      </c>
      <c r="I2663">
        <v>991</v>
      </c>
      <c r="J2663">
        <v>1954</v>
      </c>
      <c r="K2663" s="4">
        <v>45883</v>
      </c>
      <c r="L2663" t="s">
        <v>23</v>
      </c>
      <c r="M2663" t="s">
        <v>60</v>
      </c>
      <c r="N2663">
        <v>2.89</v>
      </c>
      <c r="O2663">
        <v>1236</v>
      </c>
      <c r="P2663">
        <v>4.0599999999999996</v>
      </c>
      <c r="Q2663">
        <v>85</v>
      </c>
      <c r="R2663">
        <v>314</v>
      </c>
    </row>
    <row r="2664" spans="1:18" hidden="1" x14ac:dyDescent="0.2">
      <c r="A2664">
        <v>6</v>
      </c>
      <c r="B2664" t="s">
        <v>101</v>
      </c>
      <c r="E2664" t="s">
        <v>51</v>
      </c>
      <c r="F2664">
        <v>2270451</v>
      </c>
      <c r="G2664">
        <v>4</v>
      </c>
      <c r="H2664">
        <v>3</v>
      </c>
      <c r="I2664">
        <v>934</v>
      </c>
      <c r="J2664">
        <v>2019</v>
      </c>
      <c r="K2664" s="4">
        <v>45611</v>
      </c>
      <c r="L2664" t="s">
        <v>30</v>
      </c>
      <c r="M2664" t="s">
        <v>33</v>
      </c>
      <c r="N2664">
        <v>2.96</v>
      </c>
      <c r="O2664">
        <v>1428</v>
      </c>
      <c r="P2664">
        <v>3.37</v>
      </c>
      <c r="Q2664">
        <v>181</v>
      </c>
      <c r="R2664">
        <v>335</v>
      </c>
    </row>
    <row r="2665" spans="1:18" hidden="1" x14ac:dyDescent="0.2">
      <c r="A2665">
        <v>3</v>
      </c>
      <c r="B2665" t="s">
        <v>102</v>
      </c>
      <c r="E2665" t="s">
        <v>19</v>
      </c>
      <c r="F2665">
        <v>1110810</v>
      </c>
      <c r="G2665">
        <v>3</v>
      </c>
      <c r="H2665">
        <v>1</v>
      </c>
      <c r="I2665">
        <v>201</v>
      </c>
      <c r="J2665">
        <v>1974</v>
      </c>
      <c r="K2665" s="4">
        <v>44831</v>
      </c>
      <c r="L2665" t="s">
        <v>23</v>
      </c>
      <c r="M2665" t="s">
        <v>52</v>
      </c>
      <c r="N2665">
        <v>2.2999999999999998</v>
      </c>
      <c r="O2665">
        <v>1823</v>
      </c>
      <c r="P2665">
        <v>4.17</v>
      </c>
      <c r="Q2665">
        <v>104</v>
      </c>
      <c r="R2665">
        <v>476</v>
      </c>
    </row>
    <row r="2666" spans="1:18" hidden="1" x14ac:dyDescent="0.2">
      <c r="A2666">
        <v>6</v>
      </c>
      <c r="B2666" t="s">
        <v>18</v>
      </c>
      <c r="E2666" t="s">
        <v>19</v>
      </c>
      <c r="F2666">
        <v>2174464</v>
      </c>
      <c r="G2666">
        <v>3</v>
      </c>
      <c r="H2666">
        <v>1</v>
      </c>
      <c r="I2666">
        <v>153</v>
      </c>
      <c r="J2666">
        <v>1991</v>
      </c>
      <c r="K2666" s="4">
        <v>44773</v>
      </c>
      <c r="L2666" t="s">
        <v>23</v>
      </c>
      <c r="M2666" t="s">
        <v>52</v>
      </c>
      <c r="N2666">
        <v>3.32</v>
      </c>
      <c r="O2666">
        <v>2317</v>
      </c>
      <c r="P2666">
        <v>4.97</v>
      </c>
      <c r="Q2666">
        <v>132</v>
      </c>
      <c r="R2666">
        <v>459</v>
      </c>
    </row>
    <row r="2667" spans="1:18" hidden="1" x14ac:dyDescent="0.2">
      <c r="A2667">
        <v>0</v>
      </c>
      <c r="B2667" t="s">
        <v>61</v>
      </c>
      <c r="E2667" t="s">
        <v>51</v>
      </c>
      <c r="F2667">
        <v>2553557</v>
      </c>
      <c r="G2667">
        <v>6</v>
      </c>
      <c r="H2667">
        <v>1</v>
      </c>
      <c r="I2667">
        <v>738</v>
      </c>
      <c r="J2667">
        <v>1956</v>
      </c>
      <c r="K2667" s="4">
        <v>44910</v>
      </c>
      <c r="L2667" t="s">
        <v>23</v>
      </c>
      <c r="M2667" t="s">
        <v>89</v>
      </c>
      <c r="N2667">
        <v>2.4900000000000002</v>
      </c>
      <c r="O2667">
        <v>2373</v>
      </c>
      <c r="P2667">
        <v>3.94</v>
      </c>
      <c r="Q2667">
        <v>383</v>
      </c>
      <c r="R2667">
        <v>538</v>
      </c>
    </row>
    <row r="2668" spans="1:18" hidden="1" x14ac:dyDescent="0.2">
      <c r="A2668">
        <v>4</v>
      </c>
      <c r="B2668" t="s">
        <v>102</v>
      </c>
      <c r="E2668" t="s">
        <v>103</v>
      </c>
      <c r="F2668">
        <v>2793954</v>
      </c>
      <c r="G2668">
        <v>6</v>
      </c>
      <c r="H2668">
        <v>2</v>
      </c>
      <c r="I2668">
        <v>356</v>
      </c>
      <c r="J2668">
        <v>1974</v>
      </c>
      <c r="K2668" s="4">
        <v>45866</v>
      </c>
      <c r="L2668" t="s">
        <v>23</v>
      </c>
      <c r="M2668" t="s">
        <v>33</v>
      </c>
      <c r="N2668">
        <v>3.27</v>
      </c>
      <c r="O2668">
        <v>2209</v>
      </c>
      <c r="P2668">
        <v>0.56000000000000005</v>
      </c>
      <c r="Q2668">
        <v>353</v>
      </c>
      <c r="R2668">
        <v>622</v>
      </c>
    </row>
    <row r="2669" spans="1:18" hidden="1" x14ac:dyDescent="0.2">
      <c r="A2669">
        <v>5</v>
      </c>
      <c r="B2669" t="s">
        <v>18</v>
      </c>
      <c r="E2669" t="s">
        <v>36</v>
      </c>
      <c r="F2669">
        <v>2413627</v>
      </c>
      <c r="G2669">
        <v>2</v>
      </c>
      <c r="H2669">
        <v>3</v>
      </c>
      <c r="I2669">
        <v>380</v>
      </c>
      <c r="J2669">
        <v>1985</v>
      </c>
      <c r="K2669" s="4">
        <v>44359</v>
      </c>
      <c r="L2669" t="s">
        <v>20</v>
      </c>
      <c r="M2669" t="s">
        <v>24</v>
      </c>
      <c r="N2669">
        <v>3.24</v>
      </c>
      <c r="O2669">
        <v>1844</v>
      </c>
      <c r="P2669">
        <v>2.81</v>
      </c>
      <c r="Q2669">
        <v>124</v>
      </c>
      <c r="R2669">
        <v>562</v>
      </c>
    </row>
    <row r="2670" spans="1:18" hidden="1" x14ac:dyDescent="0.2">
      <c r="A2670">
        <v>9</v>
      </c>
      <c r="B2670" t="s">
        <v>94</v>
      </c>
      <c r="E2670" t="s">
        <v>36</v>
      </c>
      <c r="F2670">
        <v>904736</v>
      </c>
      <c r="G2670">
        <v>5</v>
      </c>
      <c r="H2670">
        <v>3</v>
      </c>
      <c r="I2670">
        <v>407</v>
      </c>
      <c r="J2670">
        <v>1971</v>
      </c>
      <c r="K2670" s="4">
        <v>45815</v>
      </c>
      <c r="L2670" t="s">
        <v>30</v>
      </c>
      <c r="M2670" t="s">
        <v>59</v>
      </c>
      <c r="N2670">
        <v>1.68</v>
      </c>
      <c r="O2670">
        <v>1720</v>
      </c>
      <c r="P2670">
        <v>2.93</v>
      </c>
      <c r="Q2670">
        <v>294</v>
      </c>
      <c r="R2670">
        <v>313</v>
      </c>
    </row>
    <row r="2671" spans="1:18" hidden="1" x14ac:dyDescent="0.2">
      <c r="A2671">
        <v>4</v>
      </c>
      <c r="B2671" t="s">
        <v>55</v>
      </c>
      <c r="E2671" t="s">
        <v>36</v>
      </c>
      <c r="F2671">
        <v>1134231</v>
      </c>
      <c r="G2671">
        <v>4</v>
      </c>
      <c r="H2671">
        <v>2</v>
      </c>
      <c r="I2671">
        <v>871</v>
      </c>
      <c r="J2671">
        <v>1989</v>
      </c>
      <c r="K2671" s="4">
        <v>45237</v>
      </c>
      <c r="L2671" t="s">
        <v>23</v>
      </c>
      <c r="M2671" t="s">
        <v>76</v>
      </c>
      <c r="N2671">
        <v>3.12</v>
      </c>
      <c r="O2671">
        <v>1155</v>
      </c>
      <c r="P2671">
        <v>1.97</v>
      </c>
      <c r="Q2671">
        <v>277</v>
      </c>
      <c r="R2671">
        <v>398</v>
      </c>
    </row>
    <row r="2672" spans="1:18" hidden="1" x14ac:dyDescent="0.2">
      <c r="A2672">
        <v>6</v>
      </c>
      <c r="B2672" t="s">
        <v>84</v>
      </c>
      <c r="E2672" t="s">
        <v>36</v>
      </c>
      <c r="F2672">
        <v>2988429</v>
      </c>
      <c r="G2672">
        <v>4</v>
      </c>
      <c r="H2672">
        <v>1</v>
      </c>
      <c r="I2672">
        <v>133</v>
      </c>
      <c r="J2672">
        <v>1980</v>
      </c>
      <c r="K2672" s="4">
        <v>45663</v>
      </c>
      <c r="L2672" t="s">
        <v>20</v>
      </c>
      <c r="M2672" t="s">
        <v>68</v>
      </c>
      <c r="N2672">
        <v>1.72</v>
      </c>
      <c r="O2672">
        <v>1713</v>
      </c>
      <c r="P2672">
        <v>4.71</v>
      </c>
      <c r="Q2672">
        <v>352</v>
      </c>
      <c r="R2672">
        <v>677</v>
      </c>
    </row>
    <row r="2673" spans="1:18" hidden="1" x14ac:dyDescent="0.2">
      <c r="A2673">
        <v>7</v>
      </c>
      <c r="B2673" t="s">
        <v>55</v>
      </c>
      <c r="E2673" t="s">
        <v>29</v>
      </c>
      <c r="F2673">
        <v>2660717</v>
      </c>
      <c r="G2673">
        <v>3</v>
      </c>
      <c r="H2673">
        <v>2</v>
      </c>
      <c r="I2673">
        <v>267</v>
      </c>
      <c r="J2673">
        <v>1972</v>
      </c>
      <c r="K2673" s="4">
        <v>45436</v>
      </c>
      <c r="L2673" t="s">
        <v>20</v>
      </c>
      <c r="M2673" t="s">
        <v>45</v>
      </c>
      <c r="N2673">
        <v>2.2599999999999998</v>
      </c>
      <c r="O2673">
        <v>2077</v>
      </c>
      <c r="P2673">
        <v>2.25</v>
      </c>
      <c r="Q2673">
        <v>201</v>
      </c>
      <c r="R2673">
        <v>383</v>
      </c>
    </row>
    <row r="2674" spans="1:18" hidden="1" x14ac:dyDescent="0.2">
      <c r="A2674">
        <v>4</v>
      </c>
      <c r="B2674" t="s">
        <v>81</v>
      </c>
      <c r="E2674" t="s">
        <v>51</v>
      </c>
      <c r="F2674">
        <v>2882158</v>
      </c>
      <c r="G2674">
        <v>3</v>
      </c>
      <c r="H2674">
        <v>3</v>
      </c>
      <c r="I2674">
        <v>656</v>
      </c>
      <c r="J2674">
        <v>1985</v>
      </c>
      <c r="K2674" s="4">
        <v>44132</v>
      </c>
      <c r="L2674" t="s">
        <v>23</v>
      </c>
      <c r="M2674" t="s">
        <v>70</v>
      </c>
      <c r="N2674">
        <v>1.58</v>
      </c>
      <c r="O2674">
        <v>1280</v>
      </c>
      <c r="P2674">
        <v>3.66</v>
      </c>
      <c r="Q2674">
        <v>212</v>
      </c>
      <c r="R2674">
        <v>507</v>
      </c>
    </row>
    <row r="2675" spans="1:18" x14ac:dyDescent="0.2">
      <c r="A2675">
        <v>8</v>
      </c>
      <c r="B2675" t="s">
        <v>50</v>
      </c>
      <c r="C2675" t="str">
        <f>VLOOKUP(B2675, 'Council Area'!$A$2:$B$51, 2)</f>
        <v>Canterbury-Bankstown Council</v>
      </c>
      <c r="D2675" t="str">
        <f>_xlfn.XLOOKUP(B2675, 'Council Area'!$A$2:$A$51, 'Council Area'!$B$2:$B$51)</f>
        <v>Canterbury-Bankstown Council</v>
      </c>
      <c r="E2675" t="s">
        <v>51</v>
      </c>
      <c r="F2675">
        <v>1153631</v>
      </c>
      <c r="G2675">
        <v>5</v>
      </c>
      <c r="H2675">
        <v>3</v>
      </c>
      <c r="I2675">
        <v>397</v>
      </c>
      <c r="J2675">
        <v>2019</v>
      </c>
      <c r="K2675" s="4">
        <v>44160</v>
      </c>
      <c r="L2675" t="s">
        <v>23</v>
      </c>
      <c r="M2675" t="s">
        <v>78</v>
      </c>
      <c r="N2675">
        <v>2.48</v>
      </c>
      <c r="O2675">
        <v>1514</v>
      </c>
      <c r="P2675">
        <v>0.72</v>
      </c>
      <c r="Q2675">
        <v>343</v>
      </c>
      <c r="R2675">
        <v>388</v>
      </c>
    </row>
    <row r="2676" spans="1:18" hidden="1" x14ac:dyDescent="0.2">
      <c r="A2676">
        <v>0</v>
      </c>
      <c r="B2676" t="s">
        <v>53</v>
      </c>
      <c r="E2676" t="s">
        <v>19</v>
      </c>
      <c r="F2676">
        <v>1920639</v>
      </c>
      <c r="G2676">
        <v>5</v>
      </c>
      <c r="H2676">
        <v>3</v>
      </c>
      <c r="I2676">
        <v>488</v>
      </c>
      <c r="J2676">
        <v>2009</v>
      </c>
      <c r="K2676" s="4">
        <v>44698</v>
      </c>
      <c r="L2676" t="s">
        <v>23</v>
      </c>
      <c r="M2676" t="s">
        <v>21</v>
      </c>
      <c r="N2676">
        <v>3.23</v>
      </c>
      <c r="O2676">
        <v>1412</v>
      </c>
      <c r="P2676">
        <v>1.03</v>
      </c>
      <c r="Q2676">
        <v>367</v>
      </c>
      <c r="R2676">
        <v>334</v>
      </c>
    </row>
    <row r="2677" spans="1:18" hidden="1" x14ac:dyDescent="0.2">
      <c r="A2677">
        <v>1</v>
      </c>
      <c r="B2677" t="s">
        <v>98</v>
      </c>
      <c r="E2677" t="s">
        <v>36</v>
      </c>
      <c r="F2677">
        <v>1749430</v>
      </c>
      <c r="G2677">
        <v>6</v>
      </c>
      <c r="H2677">
        <v>1</v>
      </c>
      <c r="I2677">
        <v>100</v>
      </c>
      <c r="J2677">
        <v>1955</v>
      </c>
      <c r="K2677" s="4">
        <v>45247</v>
      </c>
      <c r="L2677" t="s">
        <v>26</v>
      </c>
      <c r="M2677" t="s">
        <v>47</v>
      </c>
      <c r="N2677">
        <v>2.21</v>
      </c>
      <c r="O2677">
        <v>2308</v>
      </c>
      <c r="P2677">
        <v>0.71</v>
      </c>
      <c r="Q2677">
        <v>398</v>
      </c>
      <c r="R2677">
        <v>506</v>
      </c>
    </row>
    <row r="2678" spans="1:18" hidden="1" x14ac:dyDescent="0.2">
      <c r="A2678">
        <v>2</v>
      </c>
      <c r="B2678" t="s">
        <v>61</v>
      </c>
      <c r="E2678" t="s">
        <v>19</v>
      </c>
      <c r="F2678">
        <v>1325717</v>
      </c>
      <c r="G2678">
        <v>3</v>
      </c>
      <c r="H2678">
        <v>2</v>
      </c>
      <c r="I2678">
        <v>462</v>
      </c>
      <c r="J2678">
        <v>2020</v>
      </c>
      <c r="K2678" s="4">
        <v>44797</v>
      </c>
      <c r="L2678" t="s">
        <v>30</v>
      </c>
      <c r="M2678" t="s">
        <v>60</v>
      </c>
      <c r="N2678">
        <v>2.08</v>
      </c>
      <c r="O2678">
        <v>1847</v>
      </c>
      <c r="P2678">
        <v>2.69</v>
      </c>
      <c r="Q2678">
        <v>198</v>
      </c>
      <c r="R2678">
        <v>537</v>
      </c>
    </row>
    <row r="2679" spans="1:18" hidden="1" x14ac:dyDescent="0.2">
      <c r="A2679">
        <v>5</v>
      </c>
      <c r="B2679" t="s">
        <v>96</v>
      </c>
      <c r="E2679" t="s">
        <v>51</v>
      </c>
      <c r="F2679">
        <v>1586058</v>
      </c>
      <c r="G2679">
        <v>2</v>
      </c>
      <c r="H2679">
        <v>3</v>
      </c>
      <c r="I2679">
        <v>594</v>
      </c>
      <c r="J2679">
        <v>2014</v>
      </c>
      <c r="K2679" s="4">
        <v>45816</v>
      </c>
      <c r="L2679" t="s">
        <v>20</v>
      </c>
      <c r="M2679" t="s">
        <v>42</v>
      </c>
      <c r="N2679">
        <v>1.95</v>
      </c>
      <c r="O2679">
        <v>1414</v>
      </c>
      <c r="P2679">
        <v>4.8</v>
      </c>
      <c r="Q2679">
        <v>192</v>
      </c>
      <c r="R2679">
        <v>505</v>
      </c>
    </row>
    <row r="2680" spans="1:18" hidden="1" x14ac:dyDescent="0.2">
      <c r="A2680">
        <v>2</v>
      </c>
      <c r="B2680" t="s">
        <v>44</v>
      </c>
      <c r="E2680" t="s">
        <v>51</v>
      </c>
      <c r="F2680">
        <v>2675139</v>
      </c>
      <c r="G2680">
        <v>2</v>
      </c>
      <c r="H2680">
        <v>3</v>
      </c>
      <c r="I2680">
        <v>715</v>
      </c>
      <c r="J2680">
        <v>1980</v>
      </c>
      <c r="K2680" s="4">
        <v>44893</v>
      </c>
      <c r="L2680" t="s">
        <v>26</v>
      </c>
      <c r="M2680" t="s">
        <v>68</v>
      </c>
      <c r="N2680">
        <v>3.17</v>
      </c>
      <c r="O2680">
        <v>1451</v>
      </c>
      <c r="P2680">
        <v>2.02</v>
      </c>
      <c r="Q2680">
        <v>230</v>
      </c>
      <c r="R2680">
        <v>499</v>
      </c>
    </row>
    <row r="2681" spans="1:18" hidden="1" x14ac:dyDescent="0.2">
      <c r="A2681">
        <v>9</v>
      </c>
      <c r="B2681" t="s">
        <v>80</v>
      </c>
      <c r="E2681" t="s">
        <v>36</v>
      </c>
      <c r="F2681">
        <v>1244890</v>
      </c>
      <c r="G2681">
        <v>4</v>
      </c>
      <c r="H2681">
        <v>1</v>
      </c>
      <c r="I2681">
        <v>458</v>
      </c>
      <c r="J2681">
        <v>1971</v>
      </c>
      <c r="K2681" s="4">
        <v>45477</v>
      </c>
      <c r="L2681" t="s">
        <v>23</v>
      </c>
      <c r="M2681" t="s">
        <v>52</v>
      </c>
      <c r="N2681">
        <v>1.93</v>
      </c>
      <c r="O2681">
        <v>1445</v>
      </c>
      <c r="P2681">
        <v>4.1100000000000003</v>
      </c>
      <c r="Q2681">
        <v>168</v>
      </c>
      <c r="R2681">
        <v>603</v>
      </c>
    </row>
    <row r="2682" spans="1:18" hidden="1" x14ac:dyDescent="0.2">
      <c r="A2682">
        <v>3</v>
      </c>
      <c r="B2682" t="s">
        <v>80</v>
      </c>
      <c r="E2682" t="s">
        <v>36</v>
      </c>
      <c r="F2682">
        <v>804230</v>
      </c>
      <c r="G2682">
        <v>4</v>
      </c>
      <c r="H2682">
        <v>1</v>
      </c>
      <c r="I2682">
        <v>792</v>
      </c>
      <c r="J2682">
        <v>1974</v>
      </c>
      <c r="K2682" s="4">
        <v>45667</v>
      </c>
      <c r="L2682" t="s">
        <v>30</v>
      </c>
      <c r="M2682" t="s">
        <v>35</v>
      </c>
      <c r="N2682">
        <v>3.22</v>
      </c>
      <c r="O2682">
        <v>1011</v>
      </c>
      <c r="P2682">
        <v>0.51</v>
      </c>
      <c r="Q2682">
        <v>365</v>
      </c>
      <c r="R2682">
        <v>512</v>
      </c>
    </row>
    <row r="2683" spans="1:18" hidden="1" x14ac:dyDescent="0.2">
      <c r="A2683">
        <v>7</v>
      </c>
      <c r="B2683" t="s">
        <v>93</v>
      </c>
      <c r="E2683" t="s">
        <v>36</v>
      </c>
      <c r="F2683">
        <v>427978</v>
      </c>
      <c r="G2683">
        <v>5</v>
      </c>
      <c r="H2683">
        <v>2</v>
      </c>
      <c r="I2683">
        <v>897</v>
      </c>
      <c r="J2683">
        <v>1958</v>
      </c>
      <c r="K2683" s="4">
        <v>45629</v>
      </c>
      <c r="L2683" t="s">
        <v>20</v>
      </c>
      <c r="M2683" t="s">
        <v>37</v>
      </c>
      <c r="N2683">
        <v>2.21</v>
      </c>
      <c r="O2683">
        <v>1273</v>
      </c>
      <c r="P2683">
        <v>3.78</v>
      </c>
      <c r="Q2683">
        <v>241</v>
      </c>
      <c r="R2683">
        <v>300</v>
      </c>
    </row>
    <row r="2684" spans="1:18" hidden="1" x14ac:dyDescent="0.2">
      <c r="A2684">
        <v>7</v>
      </c>
      <c r="B2684" t="s">
        <v>32</v>
      </c>
      <c r="E2684" t="s">
        <v>51</v>
      </c>
      <c r="F2684">
        <v>629435</v>
      </c>
      <c r="G2684">
        <v>3</v>
      </c>
      <c r="H2684">
        <v>2</v>
      </c>
      <c r="I2684">
        <v>483</v>
      </c>
      <c r="J2684">
        <v>2011</v>
      </c>
      <c r="K2684" s="4">
        <v>44474</v>
      </c>
      <c r="L2684" t="s">
        <v>30</v>
      </c>
      <c r="M2684" t="s">
        <v>47</v>
      </c>
      <c r="N2684">
        <v>2.0099999999999998</v>
      </c>
      <c r="O2684">
        <v>1019</v>
      </c>
      <c r="P2684">
        <v>1.5</v>
      </c>
      <c r="Q2684">
        <v>134</v>
      </c>
      <c r="R2684">
        <v>442</v>
      </c>
    </row>
    <row r="2685" spans="1:18" hidden="1" x14ac:dyDescent="0.2">
      <c r="A2685">
        <v>7</v>
      </c>
      <c r="B2685" t="s">
        <v>25</v>
      </c>
      <c r="E2685" t="s">
        <v>29</v>
      </c>
      <c r="F2685">
        <v>2447144</v>
      </c>
      <c r="G2685">
        <v>3</v>
      </c>
      <c r="H2685">
        <v>1</v>
      </c>
      <c r="I2685">
        <v>472</v>
      </c>
      <c r="J2685">
        <v>1970</v>
      </c>
      <c r="K2685" s="4">
        <v>45181</v>
      </c>
      <c r="L2685" t="s">
        <v>30</v>
      </c>
      <c r="M2685" t="s">
        <v>45</v>
      </c>
      <c r="N2685">
        <v>2.19</v>
      </c>
      <c r="O2685">
        <v>1197</v>
      </c>
      <c r="P2685">
        <v>1.74</v>
      </c>
      <c r="Q2685">
        <v>227</v>
      </c>
      <c r="R2685">
        <v>437</v>
      </c>
    </row>
    <row r="2686" spans="1:18" hidden="1" x14ac:dyDescent="0.2">
      <c r="A2686">
        <v>2</v>
      </c>
      <c r="B2686" t="s">
        <v>50</v>
      </c>
      <c r="E2686" t="s">
        <v>19</v>
      </c>
      <c r="F2686">
        <v>1802878</v>
      </c>
      <c r="G2686">
        <v>4</v>
      </c>
      <c r="H2686">
        <v>2</v>
      </c>
      <c r="I2686">
        <v>205</v>
      </c>
      <c r="J2686">
        <v>2020</v>
      </c>
      <c r="K2686" s="4">
        <v>45484</v>
      </c>
      <c r="L2686" t="s">
        <v>30</v>
      </c>
      <c r="M2686" t="s">
        <v>60</v>
      </c>
      <c r="N2686">
        <v>1.9</v>
      </c>
      <c r="O2686">
        <v>2178</v>
      </c>
      <c r="P2686">
        <v>4.79</v>
      </c>
      <c r="Q2686">
        <v>282</v>
      </c>
      <c r="R2686">
        <v>352</v>
      </c>
    </row>
    <row r="2687" spans="1:18" hidden="1" x14ac:dyDescent="0.2">
      <c r="A2687">
        <v>2</v>
      </c>
      <c r="B2687" t="s">
        <v>73</v>
      </c>
      <c r="E2687" t="s">
        <v>29</v>
      </c>
      <c r="F2687">
        <v>2944453</v>
      </c>
      <c r="G2687">
        <v>4</v>
      </c>
      <c r="H2687">
        <v>1</v>
      </c>
      <c r="I2687">
        <v>588</v>
      </c>
      <c r="J2687">
        <v>1964</v>
      </c>
      <c r="K2687" s="4">
        <v>44133</v>
      </c>
      <c r="L2687" t="s">
        <v>30</v>
      </c>
      <c r="M2687" t="s">
        <v>52</v>
      </c>
      <c r="N2687">
        <v>1.95</v>
      </c>
      <c r="O2687">
        <v>1177</v>
      </c>
      <c r="P2687">
        <v>3.94</v>
      </c>
      <c r="Q2687">
        <v>211</v>
      </c>
      <c r="R2687">
        <v>305</v>
      </c>
    </row>
    <row r="2688" spans="1:18" hidden="1" x14ac:dyDescent="0.2">
      <c r="A2688">
        <v>5</v>
      </c>
      <c r="B2688" t="s">
        <v>48</v>
      </c>
      <c r="E2688" t="s">
        <v>36</v>
      </c>
      <c r="F2688">
        <v>1284181</v>
      </c>
      <c r="G2688">
        <v>2</v>
      </c>
      <c r="H2688">
        <v>2</v>
      </c>
      <c r="I2688">
        <v>266</v>
      </c>
      <c r="J2688">
        <v>1966</v>
      </c>
      <c r="K2688" s="4">
        <v>45824</v>
      </c>
      <c r="L2688" t="s">
        <v>20</v>
      </c>
      <c r="M2688" t="s">
        <v>52</v>
      </c>
      <c r="N2688">
        <v>1.56</v>
      </c>
      <c r="O2688">
        <v>2011</v>
      </c>
      <c r="P2688">
        <v>1.34</v>
      </c>
      <c r="Q2688">
        <v>42</v>
      </c>
      <c r="R2688">
        <v>384</v>
      </c>
    </row>
    <row r="2689" spans="1:18" x14ac:dyDescent="0.2">
      <c r="A2689">
        <v>8</v>
      </c>
      <c r="B2689" t="s">
        <v>90</v>
      </c>
      <c r="C2689" t="str">
        <f>VLOOKUP(B2689, 'Council Area'!$A$2:$B$51, 2)</f>
        <v>Ku-ring-gai Council</v>
      </c>
      <c r="D2689" t="str">
        <f>_xlfn.XLOOKUP(B2689, 'Council Area'!$A$2:$A$51, 'Council Area'!$B$2:$B$51)</f>
        <v>Ku-ring-gai Council</v>
      </c>
      <c r="E2689" t="s">
        <v>51</v>
      </c>
      <c r="F2689">
        <v>2542351</v>
      </c>
      <c r="G2689">
        <v>0</v>
      </c>
      <c r="H2689">
        <v>3</v>
      </c>
      <c r="I2689">
        <v>483</v>
      </c>
      <c r="J2689">
        <v>1987</v>
      </c>
      <c r="K2689" s="4">
        <v>45792</v>
      </c>
      <c r="L2689" t="s">
        <v>20</v>
      </c>
      <c r="M2689" t="s">
        <v>70</v>
      </c>
      <c r="N2689">
        <v>2.8</v>
      </c>
      <c r="O2689">
        <v>974</v>
      </c>
      <c r="P2689">
        <v>2.14</v>
      </c>
      <c r="Q2689">
        <v>59</v>
      </c>
      <c r="R2689">
        <v>693</v>
      </c>
    </row>
    <row r="2690" spans="1:18" hidden="1" x14ac:dyDescent="0.2">
      <c r="A2690">
        <v>9</v>
      </c>
      <c r="B2690" t="s">
        <v>73</v>
      </c>
      <c r="E2690" t="s">
        <v>19</v>
      </c>
      <c r="F2690">
        <v>2466271</v>
      </c>
      <c r="G2690">
        <v>5</v>
      </c>
      <c r="H2690">
        <v>2</v>
      </c>
      <c r="I2690">
        <v>110</v>
      </c>
      <c r="J2690">
        <v>1967</v>
      </c>
      <c r="K2690" s="4">
        <v>44547</v>
      </c>
      <c r="L2690" t="s">
        <v>23</v>
      </c>
      <c r="M2690" t="s">
        <v>76</v>
      </c>
      <c r="N2690">
        <v>3.17</v>
      </c>
      <c r="O2690">
        <v>1780</v>
      </c>
      <c r="P2690">
        <v>4.46</v>
      </c>
      <c r="Q2690">
        <v>325</v>
      </c>
      <c r="R2690">
        <v>621</v>
      </c>
    </row>
    <row r="2691" spans="1:18" hidden="1" x14ac:dyDescent="0.2">
      <c r="A2691">
        <v>5</v>
      </c>
      <c r="B2691" t="s">
        <v>38</v>
      </c>
      <c r="E2691" t="s">
        <v>19</v>
      </c>
      <c r="F2691">
        <v>1013641</v>
      </c>
      <c r="G2691">
        <v>6</v>
      </c>
      <c r="H2691">
        <v>3</v>
      </c>
      <c r="I2691">
        <v>759</v>
      </c>
      <c r="J2691">
        <v>1964</v>
      </c>
      <c r="K2691" s="4">
        <v>45639</v>
      </c>
      <c r="L2691" t="s">
        <v>23</v>
      </c>
      <c r="M2691" t="s">
        <v>33</v>
      </c>
      <c r="N2691">
        <v>2.14</v>
      </c>
      <c r="O2691">
        <v>2397</v>
      </c>
      <c r="P2691">
        <v>1.18</v>
      </c>
      <c r="Q2691">
        <v>360</v>
      </c>
      <c r="R2691">
        <v>576</v>
      </c>
    </row>
    <row r="2692" spans="1:18" hidden="1" x14ac:dyDescent="0.2">
      <c r="A2692">
        <v>9</v>
      </c>
      <c r="B2692" t="s">
        <v>61</v>
      </c>
      <c r="E2692" t="s">
        <v>19</v>
      </c>
      <c r="F2692">
        <v>963972</v>
      </c>
      <c r="G2692">
        <v>6</v>
      </c>
      <c r="H2692">
        <v>2</v>
      </c>
      <c r="I2692">
        <v>157</v>
      </c>
      <c r="J2692">
        <v>1984</v>
      </c>
      <c r="K2692" s="4">
        <v>45832</v>
      </c>
      <c r="L2692" t="s">
        <v>30</v>
      </c>
      <c r="M2692" t="s">
        <v>33</v>
      </c>
      <c r="N2692">
        <v>2.76</v>
      </c>
      <c r="O2692">
        <v>2224</v>
      </c>
      <c r="P2692">
        <v>1.98</v>
      </c>
      <c r="Q2692">
        <v>324</v>
      </c>
      <c r="R2692">
        <v>628</v>
      </c>
    </row>
    <row r="2693" spans="1:18" hidden="1" x14ac:dyDescent="0.2">
      <c r="A2693">
        <v>1</v>
      </c>
      <c r="B2693" t="s">
        <v>32</v>
      </c>
      <c r="E2693" t="s">
        <v>36</v>
      </c>
      <c r="F2693">
        <v>2097595</v>
      </c>
      <c r="G2693">
        <v>-2</v>
      </c>
      <c r="H2693">
        <v>1</v>
      </c>
      <c r="I2693">
        <v>643</v>
      </c>
      <c r="J2693">
        <v>2001</v>
      </c>
      <c r="K2693" s="4">
        <v>45179</v>
      </c>
      <c r="L2693" t="s">
        <v>20</v>
      </c>
      <c r="M2693" t="s">
        <v>27</v>
      </c>
      <c r="N2693">
        <v>3.24</v>
      </c>
      <c r="O2693">
        <v>2188</v>
      </c>
      <c r="P2693">
        <v>1.51</v>
      </c>
      <c r="Q2693">
        <v>310</v>
      </c>
      <c r="R2693">
        <v>427</v>
      </c>
    </row>
    <row r="2694" spans="1:18" hidden="1" x14ac:dyDescent="0.2">
      <c r="A2694">
        <v>6</v>
      </c>
      <c r="B2694" t="s">
        <v>72</v>
      </c>
      <c r="E2694" t="s">
        <v>51</v>
      </c>
      <c r="F2694">
        <v>810723</v>
      </c>
      <c r="G2694">
        <v>2</v>
      </c>
      <c r="H2694">
        <v>2</v>
      </c>
      <c r="I2694">
        <v>898</v>
      </c>
      <c r="J2694">
        <v>1963</v>
      </c>
      <c r="K2694" s="4">
        <v>44540</v>
      </c>
      <c r="L2694" t="s">
        <v>23</v>
      </c>
      <c r="M2694" t="s">
        <v>69</v>
      </c>
      <c r="N2694">
        <v>1.93</v>
      </c>
      <c r="O2694">
        <v>1142</v>
      </c>
      <c r="P2694">
        <v>1.73</v>
      </c>
      <c r="Q2694">
        <v>48</v>
      </c>
      <c r="R2694">
        <v>619</v>
      </c>
    </row>
    <row r="2695" spans="1:18" hidden="1" x14ac:dyDescent="0.2">
      <c r="A2695">
        <v>2</v>
      </c>
      <c r="B2695" t="s">
        <v>72</v>
      </c>
      <c r="E2695" t="s">
        <v>51</v>
      </c>
      <c r="F2695">
        <v>1991359</v>
      </c>
      <c r="G2695">
        <v>4</v>
      </c>
      <c r="H2695">
        <v>3</v>
      </c>
      <c r="I2695">
        <v>641</v>
      </c>
      <c r="J2695">
        <v>2008</v>
      </c>
      <c r="K2695" s="4">
        <v>44092</v>
      </c>
      <c r="L2695" t="s">
        <v>30</v>
      </c>
      <c r="M2695" t="s">
        <v>37</v>
      </c>
      <c r="N2695">
        <v>1.5</v>
      </c>
      <c r="O2695">
        <v>1701</v>
      </c>
      <c r="P2695">
        <v>4.3899999999999997</v>
      </c>
      <c r="Q2695">
        <v>192</v>
      </c>
      <c r="R2695">
        <v>463</v>
      </c>
    </row>
    <row r="2696" spans="1:18" hidden="1" x14ac:dyDescent="0.2">
      <c r="A2696">
        <v>9</v>
      </c>
      <c r="B2696" t="s">
        <v>87</v>
      </c>
      <c r="E2696" t="s">
        <v>19</v>
      </c>
      <c r="F2696">
        <v>1612203</v>
      </c>
      <c r="G2696">
        <v>3</v>
      </c>
      <c r="H2696">
        <v>3</v>
      </c>
      <c r="I2696">
        <v>330</v>
      </c>
      <c r="J2696">
        <v>1973</v>
      </c>
      <c r="K2696" s="4">
        <v>44755</v>
      </c>
      <c r="L2696" t="s">
        <v>23</v>
      </c>
      <c r="M2696" t="s">
        <v>97</v>
      </c>
      <c r="N2696">
        <v>1.99</v>
      </c>
      <c r="O2696">
        <v>1540</v>
      </c>
      <c r="P2696">
        <v>2.23</v>
      </c>
      <c r="Q2696">
        <v>289</v>
      </c>
      <c r="R2696">
        <v>337</v>
      </c>
    </row>
    <row r="2697" spans="1:18" hidden="1" x14ac:dyDescent="0.2">
      <c r="A2697">
        <v>4</v>
      </c>
      <c r="B2697" t="s">
        <v>50</v>
      </c>
      <c r="E2697" t="s">
        <v>29</v>
      </c>
      <c r="F2697">
        <v>1346872</v>
      </c>
      <c r="G2697">
        <v>2</v>
      </c>
      <c r="H2697">
        <v>1</v>
      </c>
      <c r="I2697">
        <v>258</v>
      </c>
      <c r="J2697">
        <v>1990</v>
      </c>
      <c r="K2697" s="4">
        <v>44300</v>
      </c>
      <c r="L2697" t="s">
        <v>26</v>
      </c>
      <c r="M2697" t="s">
        <v>40</v>
      </c>
      <c r="N2697">
        <v>2.98</v>
      </c>
      <c r="O2697">
        <v>1511</v>
      </c>
      <c r="P2697">
        <v>3.02</v>
      </c>
      <c r="Q2697">
        <v>166</v>
      </c>
      <c r="R2697">
        <v>604</v>
      </c>
    </row>
    <row r="2698" spans="1:18" hidden="1" x14ac:dyDescent="0.2">
      <c r="A2698">
        <v>3</v>
      </c>
      <c r="B2698" t="s">
        <v>73</v>
      </c>
      <c r="E2698" t="s">
        <v>29</v>
      </c>
      <c r="F2698">
        <v>925502</v>
      </c>
      <c r="G2698">
        <v>4</v>
      </c>
      <c r="H2698">
        <v>3</v>
      </c>
      <c r="I2698">
        <v>608</v>
      </c>
      <c r="J2698">
        <v>1972</v>
      </c>
      <c r="K2698" s="4">
        <v>45457</v>
      </c>
      <c r="L2698" t="s">
        <v>23</v>
      </c>
      <c r="M2698" t="s">
        <v>52</v>
      </c>
      <c r="N2698">
        <v>2.21</v>
      </c>
      <c r="O2698">
        <v>1447</v>
      </c>
      <c r="P2698">
        <v>2.84</v>
      </c>
      <c r="Q2698">
        <v>175</v>
      </c>
      <c r="R2698">
        <v>437</v>
      </c>
    </row>
    <row r="2699" spans="1:18" hidden="1" x14ac:dyDescent="0.2">
      <c r="A2699">
        <v>6</v>
      </c>
      <c r="B2699" t="s">
        <v>105</v>
      </c>
      <c r="E2699" t="s">
        <v>36</v>
      </c>
      <c r="F2699">
        <v>479782</v>
      </c>
      <c r="G2699">
        <v>3</v>
      </c>
      <c r="H2699">
        <v>2</v>
      </c>
      <c r="I2699">
        <v>119</v>
      </c>
      <c r="J2699">
        <v>1987</v>
      </c>
      <c r="K2699" s="4">
        <v>45096</v>
      </c>
      <c r="L2699" t="s">
        <v>23</v>
      </c>
      <c r="M2699" t="s">
        <v>76</v>
      </c>
      <c r="N2699">
        <v>3.44</v>
      </c>
      <c r="O2699">
        <v>916</v>
      </c>
      <c r="P2699">
        <v>2.73</v>
      </c>
      <c r="Q2699">
        <v>207</v>
      </c>
      <c r="R2699">
        <v>666</v>
      </c>
    </row>
    <row r="2700" spans="1:18" hidden="1" x14ac:dyDescent="0.2">
      <c r="A2700">
        <v>1</v>
      </c>
      <c r="B2700" t="s">
        <v>93</v>
      </c>
      <c r="E2700" t="s">
        <v>51</v>
      </c>
      <c r="F2700">
        <v>1866493</v>
      </c>
      <c r="G2700">
        <v>1</v>
      </c>
      <c r="H2700">
        <v>2</v>
      </c>
      <c r="I2700">
        <v>538</v>
      </c>
      <c r="J2700">
        <v>1973</v>
      </c>
      <c r="K2700" s="4">
        <v>45838</v>
      </c>
      <c r="L2700" t="s">
        <v>23</v>
      </c>
      <c r="M2700" t="s">
        <v>70</v>
      </c>
      <c r="N2700">
        <v>1.84</v>
      </c>
      <c r="O2700">
        <v>863</v>
      </c>
      <c r="P2700">
        <v>4.78</v>
      </c>
      <c r="Q2700">
        <v>117</v>
      </c>
      <c r="R2700">
        <v>359</v>
      </c>
    </row>
    <row r="2701" spans="1:18" x14ac:dyDescent="0.2">
      <c r="A2701">
        <v>8</v>
      </c>
      <c r="B2701" t="s">
        <v>44</v>
      </c>
      <c r="C2701" t="str">
        <f>VLOOKUP(B2701, 'Council Area'!$A$2:$B$51, 2)</f>
        <v>Inner West Council</v>
      </c>
      <c r="D2701" t="str">
        <f>_xlfn.XLOOKUP(B2701, 'Council Area'!$A$2:$A$51, 'Council Area'!$B$2:$B$51)</f>
        <v>Inner West Council</v>
      </c>
      <c r="E2701" t="s">
        <v>36</v>
      </c>
      <c r="F2701">
        <v>419669</v>
      </c>
      <c r="G2701">
        <v>3</v>
      </c>
      <c r="H2701">
        <v>1</v>
      </c>
      <c r="I2701">
        <v>690</v>
      </c>
      <c r="J2701">
        <v>1975</v>
      </c>
      <c r="K2701" s="4">
        <v>45082</v>
      </c>
      <c r="L2701" t="s">
        <v>30</v>
      </c>
      <c r="M2701" t="s">
        <v>45</v>
      </c>
      <c r="N2701">
        <v>1.67</v>
      </c>
      <c r="O2701">
        <v>2299</v>
      </c>
      <c r="P2701">
        <v>2.71</v>
      </c>
      <c r="Q2701">
        <v>161</v>
      </c>
      <c r="R2701">
        <v>662</v>
      </c>
    </row>
    <row r="2702" spans="1:18" hidden="1" x14ac:dyDescent="0.2">
      <c r="A2702">
        <v>7</v>
      </c>
      <c r="B2702" t="s">
        <v>84</v>
      </c>
      <c r="E2702" t="s">
        <v>29</v>
      </c>
      <c r="F2702">
        <v>2321015</v>
      </c>
      <c r="G2702">
        <v>4</v>
      </c>
      <c r="H2702">
        <v>1</v>
      </c>
      <c r="I2702">
        <v>185</v>
      </c>
      <c r="J2702">
        <v>1994</v>
      </c>
      <c r="K2702" s="4">
        <v>45698</v>
      </c>
      <c r="L2702" t="s">
        <v>23</v>
      </c>
      <c r="M2702" t="s">
        <v>47</v>
      </c>
      <c r="N2702">
        <v>3.4</v>
      </c>
      <c r="O2702">
        <v>1669</v>
      </c>
      <c r="P2702">
        <v>0.54</v>
      </c>
      <c r="Q2702">
        <v>207</v>
      </c>
      <c r="R2702">
        <v>526</v>
      </c>
    </row>
    <row r="2703" spans="1:18" hidden="1" x14ac:dyDescent="0.2">
      <c r="A2703">
        <v>2</v>
      </c>
      <c r="B2703" t="s">
        <v>53</v>
      </c>
      <c r="E2703" t="s">
        <v>19</v>
      </c>
      <c r="F2703">
        <v>1745158</v>
      </c>
      <c r="G2703">
        <v>2</v>
      </c>
      <c r="H2703">
        <v>3</v>
      </c>
      <c r="I2703">
        <v>84</v>
      </c>
      <c r="J2703">
        <v>2008</v>
      </c>
      <c r="K2703" s="4">
        <v>44621</v>
      </c>
      <c r="L2703" t="s">
        <v>26</v>
      </c>
      <c r="M2703" t="s">
        <v>97</v>
      </c>
      <c r="N2703">
        <v>3.02</v>
      </c>
      <c r="O2703">
        <v>1766</v>
      </c>
      <c r="P2703">
        <v>3.49</v>
      </c>
      <c r="Q2703">
        <v>189</v>
      </c>
      <c r="R2703">
        <v>419</v>
      </c>
    </row>
    <row r="2704" spans="1:18" x14ac:dyDescent="0.2">
      <c r="A2704">
        <v>8</v>
      </c>
      <c r="B2704" t="s">
        <v>95</v>
      </c>
      <c r="C2704" t="str">
        <f>VLOOKUP(B2704, 'Council Area'!$A$2:$B$51, 2)</f>
        <v>Hornsby Shire Council</v>
      </c>
      <c r="D2704" t="str">
        <f>_xlfn.XLOOKUP(B2704, 'Council Area'!$A$2:$A$51, 'Council Area'!$B$2:$B$51)</f>
        <v>Hornsby Shire Council</v>
      </c>
      <c r="E2704" t="s">
        <v>36</v>
      </c>
      <c r="F2704">
        <v>1112507</v>
      </c>
      <c r="G2704">
        <v>4</v>
      </c>
      <c r="H2704">
        <v>3</v>
      </c>
      <c r="I2704">
        <v>345</v>
      </c>
      <c r="J2704">
        <v>1986</v>
      </c>
      <c r="K2704" s="4">
        <v>44353</v>
      </c>
      <c r="L2704" t="s">
        <v>30</v>
      </c>
      <c r="M2704" t="s">
        <v>85</v>
      </c>
      <c r="N2704">
        <v>3.26</v>
      </c>
      <c r="O2704">
        <v>1870</v>
      </c>
      <c r="P2704">
        <v>1.77</v>
      </c>
      <c r="Q2704">
        <v>312</v>
      </c>
      <c r="R2704">
        <v>532</v>
      </c>
    </row>
    <row r="2705" spans="1:18" hidden="1" x14ac:dyDescent="0.2">
      <c r="A2705">
        <v>9</v>
      </c>
      <c r="B2705" t="s">
        <v>18</v>
      </c>
      <c r="E2705" t="s">
        <v>36</v>
      </c>
      <c r="F2705">
        <v>2561102</v>
      </c>
      <c r="G2705">
        <v>6</v>
      </c>
      <c r="H2705">
        <v>3</v>
      </c>
      <c r="I2705">
        <v>958</v>
      </c>
      <c r="J2705">
        <v>2001</v>
      </c>
      <c r="K2705" s="4">
        <v>45791</v>
      </c>
      <c r="L2705" t="s">
        <v>23</v>
      </c>
      <c r="M2705" t="s">
        <v>69</v>
      </c>
      <c r="N2705">
        <v>2.73</v>
      </c>
      <c r="O2705">
        <v>2318</v>
      </c>
      <c r="P2705">
        <v>3.6</v>
      </c>
      <c r="Q2705">
        <v>393</v>
      </c>
      <c r="R2705">
        <v>575</v>
      </c>
    </row>
    <row r="2706" spans="1:18" hidden="1" x14ac:dyDescent="0.2">
      <c r="A2706">
        <v>1</v>
      </c>
      <c r="B2706" t="s">
        <v>94</v>
      </c>
      <c r="E2706" t="s">
        <v>36</v>
      </c>
      <c r="F2706">
        <v>2512595</v>
      </c>
      <c r="G2706">
        <v>2</v>
      </c>
      <c r="H2706">
        <v>3</v>
      </c>
      <c r="I2706">
        <v>217</v>
      </c>
      <c r="J2706">
        <v>1998</v>
      </c>
      <c r="K2706" s="4">
        <v>45280</v>
      </c>
      <c r="L2706" t="s">
        <v>30</v>
      </c>
      <c r="M2706" t="s">
        <v>74</v>
      </c>
      <c r="N2706">
        <v>2.2999999999999998</v>
      </c>
      <c r="O2706">
        <v>1748</v>
      </c>
      <c r="P2706">
        <v>1.26</v>
      </c>
      <c r="Q2706">
        <v>219</v>
      </c>
      <c r="R2706">
        <v>490</v>
      </c>
    </row>
    <row r="2707" spans="1:18" hidden="1" x14ac:dyDescent="0.2">
      <c r="A2707">
        <v>6</v>
      </c>
      <c r="B2707" t="s">
        <v>86</v>
      </c>
      <c r="E2707" t="s">
        <v>36</v>
      </c>
      <c r="F2707">
        <v>1732569</v>
      </c>
      <c r="G2707">
        <v>5</v>
      </c>
      <c r="H2707">
        <v>3</v>
      </c>
      <c r="I2707">
        <v>255</v>
      </c>
      <c r="J2707">
        <v>2014</v>
      </c>
      <c r="K2707" s="4">
        <v>44714</v>
      </c>
      <c r="L2707" t="s">
        <v>26</v>
      </c>
      <c r="M2707" t="s">
        <v>45</v>
      </c>
      <c r="N2707">
        <v>2.81</v>
      </c>
      <c r="O2707">
        <v>1119</v>
      </c>
      <c r="P2707">
        <v>4.53</v>
      </c>
      <c r="Q2707">
        <v>364</v>
      </c>
      <c r="R2707">
        <v>506</v>
      </c>
    </row>
    <row r="2708" spans="1:18" hidden="1" x14ac:dyDescent="0.2">
      <c r="A2708">
        <v>3</v>
      </c>
      <c r="B2708" t="s">
        <v>48</v>
      </c>
      <c r="E2708" t="s">
        <v>29</v>
      </c>
      <c r="F2708">
        <v>2921005</v>
      </c>
      <c r="G2708">
        <v>2</v>
      </c>
      <c r="H2708">
        <v>3</v>
      </c>
      <c r="I2708">
        <v>127</v>
      </c>
      <c r="J2708">
        <v>2016</v>
      </c>
      <c r="K2708" s="4">
        <v>45195</v>
      </c>
      <c r="L2708" t="s">
        <v>20</v>
      </c>
      <c r="M2708" t="s">
        <v>77</v>
      </c>
      <c r="N2708">
        <v>1.52</v>
      </c>
      <c r="O2708">
        <v>1716</v>
      </c>
      <c r="P2708">
        <v>2.96</v>
      </c>
      <c r="Q2708">
        <v>134</v>
      </c>
      <c r="R2708">
        <v>607</v>
      </c>
    </row>
    <row r="2709" spans="1:18" hidden="1" x14ac:dyDescent="0.2">
      <c r="A2709">
        <v>3</v>
      </c>
      <c r="B2709" t="s">
        <v>100</v>
      </c>
      <c r="E2709" t="s">
        <v>29</v>
      </c>
      <c r="F2709">
        <v>1882220</v>
      </c>
      <c r="G2709">
        <v>1</v>
      </c>
      <c r="H2709">
        <v>1</v>
      </c>
      <c r="I2709">
        <v>280</v>
      </c>
      <c r="J2709">
        <v>2019</v>
      </c>
      <c r="K2709" s="4">
        <v>44946</v>
      </c>
      <c r="L2709" t="s">
        <v>20</v>
      </c>
      <c r="M2709" t="s">
        <v>85</v>
      </c>
      <c r="N2709">
        <v>3.01</v>
      </c>
      <c r="O2709">
        <v>2466</v>
      </c>
      <c r="P2709">
        <v>3.64</v>
      </c>
      <c r="Q2709">
        <v>44</v>
      </c>
      <c r="R2709">
        <v>673</v>
      </c>
    </row>
    <row r="2710" spans="1:18" hidden="1" x14ac:dyDescent="0.2">
      <c r="A2710">
        <v>7</v>
      </c>
      <c r="B2710" t="s">
        <v>106</v>
      </c>
      <c r="E2710" t="s">
        <v>29</v>
      </c>
      <c r="F2710">
        <v>1899552</v>
      </c>
      <c r="G2710">
        <v>6</v>
      </c>
      <c r="H2710">
        <v>1</v>
      </c>
      <c r="I2710">
        <v>145</v>
      </c>
      <c r="J2710">
        <v>1953</v>
      </c>
      <c r="K2710" s="4">
        <v>45036</v>
      </c>
      <c r="L2710" t="s">
        <v>26</v>
      </c>
      <c r="M2710" t="s">
        <v>82</v>
      </c>
      <c r="N2710">
        <v>1.64</v>
      </c>
      <c r="O2710">
        <v>1230</v>
      </c>
      <c r="P2710">
        <v>1.53</v>
      </c>
      <c r="Q2710">
        <v>381</v>
      </c>
      <c r="R2710">
        <v>450</v>
      </c>
    </row>
    <row r="2711" spans="1:18" hidden="1" x14ac:dyDescent="0.2">
      <c r="A2711">
        <v>1</v>
      </c>
      <c r="B2711" t="s">
        <v>87</v>
      </c>
      <c r="E2711" t="s">
        <v>51</v>
      </c>
      <c r="F2711">
        <v>2591752</v>
      </c>
      <c r="G2711">
        <v>3</v>
      </c>
      <c r="H2711">
        <v>1</v>
      </c>
      <c r="I2711">
        <v>212</v>
      </c>
      <c r="J2711">
        <v>1963</v>
      </c>
      <c r="K2711" s="4">
        <v>44298</v>
      </c>
      <c r="L2711" t="s">
        <v>20</v>
      </c>
      <c r="M2711" t="s">
        <v>40</v>
      </c>
      <c r="N2711">
        <v>1.88</v>
      </c>
      <c r="O2711">
        <v>1402</v>
      </c>
      <c r="P2711">
        <v>2</v>
      </c>
      <c r="Q2711">
        <v>280</v>
      </c>
      <c r="R2711">
        <v>524</v>
      </c>
    </row>
    <row r="2712" spans="1:18" hidden="1" x14ac:dyDescent="0.2">
      <c r="A2712">
        <v>9</v>
      </c>
      <c r="B2712" t="s">
        <v>62</v>
      </c>
      <c r="E2712" t="s">
        <v>29</v>
      </c>
      <c r="F2712">
        <v>1546932</v>
      </c>
      <c r="G2712">
        <v>3</v>
      </c>
      <c r="H2712">
        <v>3</v>
      </c>
      <c r="I2712">
        <v>511</v>
      </c>
      <c r="J2712">
        <v>1953</v>
      </c>
      <c r="K2712" s="4">
        <v>45271</v>
      </c>
      <c r="L2712" t="s">
        <v>20</v>
      </c>
      <c r="M2712" t="s">
        <v>31</v>
      </c>
      <c r="N2712">
        <v>3.38</v>
      </c>
      <c r="O2712">
        <v>1695</v>
      </c>
      <c r="P2712">
        <v>0.11</v>
      </c>
      <c r="Q2712">
        <v>305</v>
      </c>
      <c r="R2712">
        <v>607</v>
      </c>
    </row>
    <row r="2713" spans="1:18" x14ac:dyDescent="0.2">
      <c r="A2713">
        <v>8</v>
      </c>
      <c r="B2713" t="s">
        <v>38</v>
      </c>
      <c r="C2713" t="str">
        <f>VLOOKUP(B2713, 'Council Area'!$A$2:$B$51, 2)</f>
        <v>Sutherland Shire Council</v>
      </c>
      <c r="D2713" t="str">
        <f>_xlfn.XLOOKUP(B2713, 'Council Area'!$A$2:$A$51, 'Council Area'!$B$2:$B$51)</f>
        <v>Sutherland Shire Council</v>
      </c>
      <c r="E2713" t="s">
        <v>29</v>
      </c>
      <c r="F2713">
        <v>2068093</v>
      </c>
      <c r="G2713">
        <v>2</v>
      </c>
      <c r="H2713">
        <v>1</v>
      </c>
      <c r="I2713">
        <v>374</v>
      </c>
      <c r="J2713">
        <v>1977</v>
      </c>
      <c r="K2713" s="4">
        <v>45051</v>
      </c>
      <c r="L2713" t="s">
        <v>20</v>
      </c>
      <c r="M2713" t="s">
        <v>68</v>
      </c>
      <c r="N2713">
        <v>2.88</v>
      </c>
      <c r="O2713">
        <v>1352</v>
      </c>
      <c r="P2713">
        <v>3.92</v>
      </c>
      <c r="Q2713">
        <v>201</v>
      </c>
      <c r="R2713">
        <v>615</v>
      </c>
    </row>
    <row r="2714" spans="1:18" x14ac:dyDescent="0.2">
      <c r="A2714">
        <v>8</v>
      </c>
      <c r="B2714" t="s">
        <v>81</v>
      </c>
      <c r="C2714" t="str">
        <f>VLOOKUP(B2714, 'Council Area'!$A$2:$B$51, 2)</f>
        <v>Canterbury-Bankstown Council</v>
      </c>
      <c r="D2714" t="str">
        <f>_xlfn.XLOOKUP(B2714, 'Council Area'!$A$2:$A$51, 'Council Area'!$B$2:$B$51)</f>
        <v>Canterbury-Bankstown Council</v>
      </c>
      <c r="E2714" t="s">
        <v>51</v>
      </c>
      <c r="F2714">
        <v>1924012</v>
      </c>
      <c r="G2714">
        <v>2</v>
      </c>
      <c r="H2714">
        <v>1</v>
      </c>
      <c r="I2714">
        <v>542</v>
      </c>
      <c r="J2714">
        <v>1988</v>
      </c>
      <c r="K2714" s="4">
        <v>45125</v>
      </c>
      <c r="L2714" t="s">
        <v>20</v>
      </c>
      <c r="M2714" t="s">
        <v>35</v>
      </c>
      <c r="N2714">
        <v>2.85</v>
      </c>
      <c r="O2714">
        <v>2464</v>
      </c>
      <c r="P2714">
        <v>1.9</v>
      </c>
      <c r="Q2714">
        <v>227</v>
      </c>
      <c r="R2714">
        <v>662</v>
      </c>
    </row>
    <row r="2715" spans="1:18" hidden="1" x14ac:dyDescent="0.2">
      <c r="A2715">
        <v>3</v>
      </c>
      <c r="B2715" t="s">
        <v>50</v>
      </c>
      <c r="E2715" t="s">
        <v>36</v>
      </c>
      <c r="F2715">
        <v>933900</v>
      </c>
      <c r="G2715">
        <v>4</v>
      </c>
      <c r="H2715">
        <v>3</v>
      </c>
      <c r="I2715">
        <v>868</v>
      </c>
      <c r="J2715">
        <v>1966</v>
      </c>
      <c r="K2715" s="4">
        <v>44618</v>
      </c>
      <c r="L2715" t="s">
        <v>20</v>
      </c>
      <c r="M2715" t="s">
        <v>33</v>
      </c>
      <c r="N2715">
        <v>1.75</v>
      </c>
      <c r="O2715">
        <v>1891</v>
      </c>
      <c r="P2715">
        <v>4.8600000000000003</v>
      </c>
      <c r="Q2715">
        <v>161</v>
      </c>
      <c r="R2715">
        <v>619</v>
      </c>
    </row>
    <row r="2716" spans="1:18" hidden="1" x14ac:dyDescent="0.2">
      <c r="A2716">
        <v>1</v>
      </c>
      <c r="B2716" t="s">
        <v>80</v>
      </c>
      <c r="E2716" t="s">
        <v>36</v>
      </c>
      <c r="F2716">
        <v>1701183</v>
      </c>
      <c r="G2716">
        <v>3</v>
      </c>
      <c r="H2716">
        <v>3</v>
      </c>
      <c r="I2716">
        <v>792</v>
      </c>
      <c r="J2716">
        <v>2016</v>
      </c>
      <c r="K2716" s="4">
        <v>44143</v>
      </c>
      <c r="L2716" t="s">
        <v>30</v>
      </c>
      <c r="M2716" t="s">
        <v>76</v>
      </c>
      <c r="N2716">
        <v>2.6</v>
      </c>
      <c r="O2716">
        <v>1757</v>
      </c>
      <c r="P2716">
        <v>1.3</v>
      </c>
      <c r="Q2716">
        <v>189</v>
      </c>
      <c r="R2716">
        <v>317</v>
      </c>
    </row>
    <row r="2717" spans="1:18" hidden="1" x14ac:dyDescent="0.2">
      <c r="A2717">
        <v>0</v>
      </c>
      <c r="B2717" t="s">
        <v>22</v>
      </c>
      <c r="E2717" t="s">
        <v>51</v>
      </c>
      <c r="F2717">
        <v>831959</v>
      </c>
      <c r="G2717">
        <v>3</v>
      </c>
      <c r="H2717">
        <v>1</v>
      </c>
      <c r="I2717">
        <v>272</v>
      </c>
      <c r="J2717">
        <v>2015</v>
      </c>
      <c r="K2717" s="4">
        <v>44340</v>
      </c>
      <c r="L2717" t="s">
        <v>23</v>
      </c>
      <c r="M2717" t="s">
        <v>77</v>
      </c>
      <c r="N2717">
        <v>3.17</v>
      </c>
      <c r="O2717">
        <v>924</v>
      </c>
      <c r="P2717">
        <v>2.83</v>
      </c>
      <c r="Q2717">
        <v>178</v>
      </c>
      <c r="R2717">
        <v>588</v>
      </c>
    </row>
    <row r="2718" spans="1:18" hidden="1" x14ac:dyDescent="0.2">
      <c r="A2718">
        <v>9</v>
      </c>
      <c r="B2718" t="s">
        <v>48</v>
      </c>
      <c r="E2718" t="s">
        <v>51</v>
      </c>
      <c r="F2718">
        <v>1758022</v>
      </c>
      <c r="G2718">
        <v>2</v>
      </c>
      <c r="H2718">
        <v>1</v>
      </c>
      <c r="I2718">
        <v>246</v>
      </c>
      <c r="J2718">
        <v>2000</v>
      </c>
      <c r="K2718" s="4">
        <v>45435</v>
      </c>
      <c r="L2718" t="s">
        <v>30</v>
      </c>
      <c r="M2718" t="s">
        <v>76</v>
      </c>
      <c r="N2718">
        <v>2.2400000000000002</v>
      </c>
      <c r="O2718">
        <v>1498</v>
      </c>
      <c r="P2718">
        <v>2.4300000000000002</v>
      </c>
      <c r="Q2718">
        <v>148</v>
      </c>
      <c r="R2718">
        <v>577</v>
      </c>
    </row>
    <row r="2719" spans="1:18" hidden="1" x14ac:dyDescent="0.2">
      <c r="A2719">
        <v>7</v>
      </c>
      <c r="B2719" t="s">
        <v>102</v>
      </c>
      <c r="E2719" t="s">
        <v>51</v>
      </c>
      <c r="F2719">
        <v>2697719</v>
      </c>
      <c r="G2719">
        <v>2</v>
      </c>
      <c r="H2719">
        <v>3</v>
      </c>
      <c r="I2719">
        <v>54</v>
      </c>
      <c r="J2719">
        <v>2018</v>
      </c>
      <c r="K2719" s="4">
        <v>45865</v>
      </c>
      <c r="L2719" t="s">
        <v>26</v>
      </c>
      <c r="M2719" t="s">
        <v>66</v>
      </c>
      <c r="N2719">
        <v>2.38</v>
      </c>
      <c r="O2719">
        <v>2044</v>
      </c>
      <c r="P2719">
        <v>1.19</v>
      </c>
      <c r="Q2719">
        <v>206</v>
      </c>
      <c r="R2719">
        <v>370</v>
      </c>
    </row>
    <row r="2720" spans="1:18" hidden="1" x14ac:dyDescent="0.2">
      <c r="A2720">
        <v>7</v>
      </c>
      <c r="B2720" t="s">
        <v>57</v>
      </c>
      <c r="E2720" t="s">
        <v>36</v>
      </c>
      <c r="F2720">
        <v>963945</v>
      </c>
      <c r="G2720">
        <v>5</v>
      </c>
      <c r="H2720">
        <v>1</v>
      </c>
      <c r="I2720">
        <v>114</v>
      </c>
      <c r="J2720">
        <v>1953</v>
      </c>
      <c r="K2720" s="4">
        <v>44528</v>
      </c>
      <c r="L2720" t="s">
        <v>26</v>
      </c>
      <c r="M2720" t="s">
        <v>21</v>
      </c>
      <c r="N2720">
        <v>1.91</v>
      </c>
      <c r="O2720">
        <v>2169</v>
      </c>
      <c r="P2720">
        <v>3.86</v>
      </c>
      <c r="Q2720">
        <v>380</v>
      </c>
      <c r="R2720">
        <v>649</v>
      </c>
    </row>
    <row r="2721" spans="1:18" hidden="1" x14ac:dyDescent="0.2">
      <c r="A2721">
        <v>2</v>
      </c>
      <c r="B2721" t="s">
        <v>71</v>
      </c>
      <c r="E2721" t="s">
        <v>36</v>
      </c>
      <c r="F2721">
        <v>2126653</v>
      </c>
      <c r="G2721">
        <v>2</v>
      </c>
      <c r="H2721">
        <v>2</v>
      </c>
      <c r="I2721">
        <v>615</v>
      </c>
      <c r="J2721">
        <v>1951</v>
      </c>
      <c r="K2721" s="4">
        <v>44399</v>
      </c>
      <c r="L2721" t="s">
        <v>23</v>
      </c>
      <c r="M2721" t="s">
        <v>77</v>
      </c>
      <c r="N2721">
        <v>1.61</v>
      </c>
      <c r="O2721">
        <v>2154</v>
      </c>
      <c r="P2721">
        <v>0.28000000000000003</v>
      </c>
      <c r="Q2721">
        <v>89</v>
      </c>
      <c r="R2721">
        <v>537</v>
      </c>
    </row>
    <row r="2722" spans="1:18" hidden="1" x14ac:dyDescent="0.2">
      <c r="A2722">
        <v>3</v>
      </c>
      <c r="B2722" t="s">
        <v>55</v>
      </c>
      <c r="E2722" t="s">
        <v>36</v>
      </c>
      <c r="F2722">
        <v>1374196</v>
      </c>
      <c r="G2722">
        <v>2</v>
      </c>
      <c r="H2722">
        <v>2</v>
      </c>
      <c r="I2722">
        <v>221</v>
      </c>
      <c r="J2722">
        <v>2000</v>
      </c>
      <c r="K2722" s="4">
        <v>44851</v>
      </c>
      <c r="L2722" t="s">
        <v>20</v>
      </c>
      <c r="M2722" t="s">
        <v>52</v>
      </c>
      <c r="N2722">
        <v>1.72</v>
      </c>
      <c r="O2722">
        <v>2294</v>
      </c>
      <c r="P2722">
        <v>2.17</v>
      </c>
      <c r="Q2722">
        <v>48</v>
      </c>
      <c r="R2722">
        <v>391</v>
      </c>
    </row>
    <row r="2723" spans="1:18" x14ac:dyDescent="0.2">
      <c r="A2723">
        <v>8</v>
      </c>
      <c r="B2723" t="s">
        <v>100</v>
      </c>
      <c r="C2723" t="str">
        <f>VLOOKUP(B2723, 'Council Area'!$A$2:$B$51, 2)</f>
        <v>Northern Beaches Council</v>
      </c>
      <c r="D2723" t="str">
        <f>_xlfn.XLOOKUP(B2723, 'Council Area'!$A$2:$A$51, 'Council Area'!$B$2:$B$51)</f>
        <v>Northern Beaches Council</v>
      </c>
      <c r="E2723" t="s">
        <v>51</v>
      </c>
      <c r="F2723">
        <v>1652030</v>
      </c>
      <c r="G2723">
        <v>3</v>
      </c>
      <c r="H2723">
        <v>3</v>
      </c>
      <c r="I2723">
        <v>306</v>
      </c>
      <c r="J2723">
        <v>1996</v>
      </c>
      <c r="K2723" s="4">
        <v>45598</v>
      </c>
      <c r="L2723" t="s">
        <v>26</v>
      </c>
      <c r="M2723" t="s">
        <v>56</v>
      </c>
      <c r="N2723">
        <v>3.45</v>
      </c>
      <c r="O2723">
        <v>1843</v>
      </c>
      <c r="P2723">
        <v>4.47</v>
      </c>
      <c r="Q2723">
        <v>200</v>
      </c>
      <c r="R2723">
        <v>451</v>
      </c>
    </row>
    <row r="2724" spans="1:18" x14ac:dyDescent="0.2">
      <c r="A2724">
        <v>8</v>
      </c>
      <c r="B2724" t="s">
        <v>84</v>
      </c>
      <c r="C2724" t="str">
        <f>VLOOKUP(B2724, 'Council Area'!$A$2:$B$51, 2)</f>
        <v>Northern Beaches Council</v>
      </c>
      <c r="D2724" t="str">
        <f>_xlfn.XLOOKUP(B2724, 'Council Area'!$A$2:$A$51, 'Council Area'!$B$2:$B$51)</f>
        <v>Northern Beaches Council</v>
      </c>
      <c r="E2724" t="s">
        <v>36</v>
      </c>
      <c r="F2724">
        <v>2142229</v>
      </c>
      <c r="G2724">
        <v>1</v>
      </c>
      <c r="H2724">
        <v>2</v>
      </c>
      <c r="I2724">
        <v>123</v>
      </c>
      <c r="J2724">
        <v>2008</v>
      </c>
      <c r="K2724" s="4">
        <v>44141</v>
      </c>
      <c r="L2724" t="s">
        <v>26</v>
      </c>
      <c r="M2724" t="s">
        <v>63</v>
      </c>
      <c r="N2724">
        <v>3.07</v>
      </c>
      <c r="O2724">
        <v>1170</v>
      </c>
      <c r="P2724">
        <v>3.91</v>
      </c>
      <c r="Q2724">
        <v>60</v>
      </c>
      <c r="R2724">
        <v>345</v>
      </c>
    </row>
    <row r="2725" spans="1:18" hidden="1" x14ac:dyDescent="0.2">
      <c r="A2725">
        <v>1</v>
      </c>
      <c r="B2725" t="s">
        <v>67</v>
      </c>
      <c r="E2725" t="s">
        <v>19</v>
      </c>
      <c r="F2725">
        <v>1673198</v>
      </c>
      <c r="G2725">
        <v>4</v>
      </c>
      <c r="H2725">
        <v>2</v>
      </c>
      <c r="I2725">
        <v>668</v>
      </c>
      <c r="J2725">
        <v>1954</v>
      </c>
      <c r="K2725" s="4">
        <v>44241</v>
      </c>
      <c r="L2725" t="s">
        <v>23</v>
      </c>
      <c r="M2725" t="s">
        <v>89</v>
      </c>
      <c r="N2725">
        <v>2.82</v>
      </c>
      <c r="O2725">
        <v>2272</v>
      </c>
      <c r="P2725">
        <v>4.63</v>
      </c>
      <c r="Q2725">
        <v>238</v>
      </c>
      <c r="R2725">
        <v>611</v>
      </c>
    </row>
    <row r="2726" spans="1:18" hidden="1" x14ac:dyDescent="0.2">
      <c r="A2726">
        <v>7</v>
      </c>
      <c r="B2726" t="s">
        <v>34</v>
      </c>
      <c r="E2726" t="s">
        <v>51</v>
      </c>
      <c r="F2726">
        <v>1415763</v>
      </c>
      <c r="G2726">
        <v>0</v>
      </c>
      <c r="H2726">
        <v>1</v>
      </c>
      <c r="I2726">
        <v>839</v>
      </c>
      <c r="J2726">
        <v>1965</v>
      </c>
      <c r="K2726" s="4">
        <v>44973</v>
      </c>
      <c r="L2726" t="s">
        <v>20</v>
      </c>
      <c r="M2726" t="s">
        <v>70</v>
      </c>
      <c r="N2726">
        <v>2.5299999999999998</v>
      </c>
      <c r="O2726">
        <v>1786</v>
      </c>
      <c r="P2726">
        <v>3.32</v>
      </c>
      <c r="Q2726">
        <v>65</v>
      </c>
      <c r="R2726">
        <v>345</v>
      </c>
    </row>
    <row r="2727" spans="1:18" hidden="1" x14ac:dyDescent="0.2">
      <c r="A2727">
        <v>1</v>
      </c>
      <c r="B2727" t="s">
        <v>106</v>
      </c>
      <c r="E2727" t="s">
        <v>19</v>
      </c>
      <c r="F2727">
        <v>2569840</v>
      </c>
      <c r="G2727">
        <v>4</v>
      </c>
      <c r="H2727">
        <v>3</v>
      </c>
      <c r="I2727">
        <v>564</v>
      </c>
      <c r="J2727">
        <v>2004</v>
      </c>
      <c r="K2727" s="4">
        <v>44172</v>
      </c>
      <c r="L2727" t="s">
        <v>26</v>
      </c>
      <c r="M2727" t="s">
        <v>82</v>
      </c>
      <c r="N2727">
        <v>3.03</v>
      </c>
      <c r="O2727">
        <v>1589</v>
      </c>
      <c r="P2727">
        <v>3.89</v>
      </c>
      <c r="Q2727">
        <v>234</v>
      </c>
      <c r="R2727">
        <v>508</v>
      </c>
    </row>
    <row r="2728" spans="1:18" hidden="1" x14ac:dyDescent="0.2">
      <c r="A2728">
        <v>1</v>
      </c>
      <c r="B2728" t="s">
        <v>50</v>
      </c>
      <c r="E2728" t="s">
        <v>36</v>
      </c>
      <c r="F2728">
        <v>2363906</v>
      </c>
      <c r="G2728">
        <v>6</v>
      </c>
      <c r="H2728">
        <v>2</v>
      </c>
      <c r="I2728">
        <v>183</v>
      </c>
      <c r="J2728">
        <v>2008</v>
      </c>
      <c r="K2728" s="4">
        <v>45532</v>
      </c>
      <c r="L2728" t="s">
        <v>30</v>
      </c>
      <c r="M2728" t="s">
        <v>59</v>
      </c>
      <c r="N2728">
        <v>2.62</v>
      </c>
      <c r="O2728">
        <v>849</v>
      </c>
      <c r="P2728">
        <v>2.85</v>
      </c>
      <c r="Q2728">
        <v>331</v>
      </c>
      <c r="R2728">
        <v>454</v>
      </c>
    </row>
    <row r="2729" spans="1:18" hidden="1" x14ac:dyDescent="0.2">
      <c r="A2729">
        <v>9</v>
      </c>
      <c r="B2729" t="s">
        <v>28</v>
      </c>
      <c r="E2729" t="s">
        <v>19</v>
      </c>
      <c r="F2729">
        <v>1623629</v>
      </c>
      <c r="G2729">
        <v>3</v>
      </c>
      <c r="H2729">
        <v>3</v>
      </c>
      <c r="I2729">
        <v>59</v>
      </c>
      <c r="J2729">
        <v>2018</v>
      </c>
      <c r="K2729" s="4">
        <v>45232</v>
      </c>
      <c r="L2729" t="s">
        <v>30</v>
      </c>
      <c r="M2729" t="s">
        <v>52</v>
      </c>
      <c r="N2729">
        <v>1.7</v>
      </c>
      <c r="O2729">
        <v>813</v>
      </c>
      <c r="P2729">
        <v>2.39</v>
      </c>
      <c r="Q2729">
        <v>94</v>
      </c>
      <c r="R2729">
        <v>599</v>
      </c>
    </row>
    <row r="2730" spans="1:18" x14ac:dyDescent="0.2">
      <c r="A2730">
        <v>8</v>
      </c>
      <c r="B2730" t="s">
        <v>81</v>
      </c>
      <c r="C2730" t="str">
        <f>VLOOKUP(B2730, 'Council Area'!$A$2:$B$51, 2)</f>
        <v>Canterbury-Bankstown Council</v>
      </c>
      <c r="D2730" t="str">
        <f>_xlfn.XLOOKUP(B2730, 'Council Area'!$A$2:$A$51, 'Council Area'!$B$2:$B$51)</f>
        <v>Canterbury-Bankstown Council</v>
      </c>
      <c r="E2730" t="s">
        <v>19</v>
      </c>
      <c r="F2730">
        <v>1674285</v>
      </c>
      <c r="G2730">
        <v>4</v>
      </c>
      <c r="H2730">
        <v>3</v>
      </c>
      <c r="I2730">
        <v>386</v>
      </c>
      <c r="J2730">
        <v>1965</v>
      </c>
      <c r="K2730" s="4">
        <v>44069</v>
      </c>
      <c r="L2730" t="s">
        <v>20</v>
      </c>
      <c r="M2730" t="s">
        <v>60</v>
      </c>
      <c r="N2730">
        <v>1.99</v>
      </c>
      <c r="O2730">
        <v>1932</v>
      </c>
      <c r="P2730">
        <v>2.87</v>
      </c>
      <c r="Q2730">
        <v>241</v>
      </c>
      <c r="R2730">
        <v>686</v>
      </c>
    </row>
    <row r="2731" spans="1:18" hidden="1" x14ac:dyDescent="0.2">
      <c r="A2731">
        <v>7</v>
      </c>
      <c r="B2731" t="s">
        <v>86</v>
      </c>
      <c r="E2731" t="s">
        <v>36</v>
      </c>
      <c r="F2731">
        <v>2317790</v>
      </c>
      <c r="G2731">
        <v>2</v>
      </c>
      <c r="H2731">
        <v>3</v>
      </c>
      <c r="I2731">
        <v>395</v>
      </c>
      <c r="J2731">
        <v>1995</v>
      </c>
      <c r="K2731" s="4">
        <v>44274</v>
      </c>
      <c r="L2731" t="s">
        <v>23</v>
      </c>
      <c r="M2731" t="s">
        <v>76</v>
      </c>
      <c r="N2731">
        <v>2.93</v>
      </c>
      <c r="O2731">
        <v>2358</v>
      </c>
      <c r="P2731">
        <v>1.35</v>
      </c>
      <c r="Q2731">
        <v>146</v>
      </c>
      <c r="R2731">
        <v>304</v>
      </c>
    </row>
    <row r="2732" spans="1:18" hidden="1" x14ac:dyDescent="0.2">
      <c r="A2732">
        <v>0</v>
      </c>
      <c r="B2732" t="s">
        <v>73</v>
      </c>
      <c r="E2732" t="s">
        <v>19</v>
      </c>
      <c r="F2732">
        <v>2134129</v>
      </c>
      <c r="G2732">
        <v>2</v>
      </c>
      <c r="H2732">
        <v>2</v>
      </c>
      <c r="I2732">
        <v>474</v>
      </c>
      <c r="J2732">
        <v>1952</v>
      </c>
      <c r="K2732" s="4">
        <v>44495</v>
      </c>
      <c r="L2732" t="s">
        <v>23</v>
      </c>
      <c r="M2732" t="s">
        <v>63</v>
      </c>
      <c r="N2732">
        <v>2.08</v>
      </c>
      <c r="O2732">
        <v>1607</v>
      </c>
      <c r="P2732">
        <v>4.42</v>
      </c>
      <c r="Q2732">
        <v>107</v>
      </c>
      <c r="R2732">
        <v>672</v>
      </c>
    </row>
    <row r="2733" spans="1:18" x14ac:dyDescent="0.2">
      <c r="A2733">
        <v>8</v>
      </c>
      <c r="B2733" t="s">
        <v>94</v>
      </c>
      <c r="C2733" t="str">
        <f>VLOOKUP(B2733, 'Council Area'!$A$2:$B$51, 2)</f>
        <v>Sutherland Shire Council</v>
      </c>
      <c r="D2733" t="str">
        <f>_xlfn.XLOOKUP(B2733, 'Council Area'!$A$2:$A$51, 'Council Area'!$B$2:$B$51)</f>
        <v>Sutherland Shire Council</v>
      </c>
      <c r="E2733" t="s">
        <v>36</v>
      </c>
      <c r="F2733">
        <v>2055041</v>
      </c>
      <c r="G2733">
        <v>5</v>
      </c>
      <c r="H2733">
        <v>2</v>
      </c>
      <c r="I2733">
        <v>986</v>
      </c>
      <c r="J2733">
        <v>2009</v>
      </c>
      <c r="K2733" s="4">
        <v>44619</v>
      </c>
      <c r="L2733" t="s">
        <v>20</v>
      </c>
      <c r="M2733" t="s">
        <v>56</v>
      </c>
      <c r="N2733">
        <v>2.09</v>
      </c>
      <c r="O2733">
        <v>2384</v>
      </c>
      <c r="P2733">
        <v>2.79</v>
      </c>
      <c r="Q2733">
        <v>286</v>
      </c>
      <c r="R2733">
        <v>467</v>
      </c>
    </row>
    <row r="2734" spans="1:18" hidden="1" x14ac:dyDescent="0.2">
      <c r="A2734">
        <v>4</v>
      </c>
      <c r="B2734" t="s">
        <v>81</v>
      </c>
      <c r="E2734" t="s">
        <v>51</v>
      </c>
      <c r="F2734">
        <v>2661042</v>
      </c>
      <c r="G2734">
        <v>6</v>
      </c>
      <c r="H2734">
        <v>3</v>
      </c>
      <c r="I2734">
        <v>479</v>
      </c>
      <c r="J2734">
        <v>1964</v>
      </c>
      <c r="K2734" s="4">
        <v>45420</v>
      </c>
      <c r="L2734" t="s">
        <v>23</v>
      </c>
      <c r="M2734" t="s">
        <v>47</v>
      </c>
      <c r="N2734">
        <v>2.67</v>
      </c>
      <c r="O2734">
        <v>1949</v>
      </c>
      <c r="P2734">
        <v>0.23</v>
      </c>
      <c r="Q2734">
        <v>398</v>
      </c>
      <c r="R2734">
        <v>337</v>
      </c>
    </row>
    <row r="2735" spans="1:18" hidden="1" x14ac:dyDescent="0.2">
      <c r="A2735">
        <v>9</v>
      </c>
      <c r="B2735" t="s">
        <v>94</v>
      </c>
      <c r="E2735" t="s">
        <v>51</v>
      </c>
      <c r="F2735">
        <v>1585119</v>
      </c>
      <c r="G2735">
        <v>4</v>
      </c>
      <c r="H2735">
        <v>3</v>
      </c>
      <c r="I2735">
        <v>121</v>
      </c>
      <c r="J2735">
        <v>2002</v>
      </c>
      <c r="K2735" s="4">
        <v>44627</v>
      </c>
      <c r="L2735" t="s">
        <v>20</v>
      </c>
      <c r="M2735" t="s">
        <v>70</v>
      </c>
      <c r="N2735">
        <v>2.74</v>
      </c>
      <c r="O2735">
        <v>2415</v>
      </c>
      <c r="P2735">
        <v>0.53</v>
      </c>
      <c r="Q2735">
        <v>381</v>
      </c>
      <c r="R2735">
        <v>691</v>
      </c>
    </row>
    <row r="2736" spans="1:18" hidden="1" x14ac:dyDescent="0.2">
      <c r="A2736">
        <v>5</v>
      </c>
      <c r="B2736" t="s">
        <v>95</v>
      </c>
      <c r="E2736" t="s">
        <v>51</v>
      </c>
      <c r="F2736">
        <v>2292138</v>
      </c>
      <c r="G2736">
        <v>3</v>
      </c>
      <c r="H2736">
        <v>2</v>
      </c>
      <c r="I2736">
        <v>70</v>
      </c>
      <c r="J2736">
        <v>2011</v>
      </c>
      <c r="K2736" s="4">
        <v>45427</v>
      </c>
      <c r="L2736" t="s">
        <v>26</v>
      </c>
      <c r="M2736" t="s">
        <v>76</v>
      </c>
      <c r="N2736">
        <v>2.48</v>
      </c>
      <c r="O2736">
        <v>951</v>
      </c>
      <c r="P2736">
        <v>2.5499999999999998</v>
      </c>
      <c r="Q2736">
        <v>170</v>
      </c>
      <c r="R2736">
        <v>339</v>
      </c>
    </row>
    <row r="2737" spans="1:18" hidden="1" x14ac:dyDescent="0.2">
      <c r="A2737">
        <v>0</v>
      </c>
      <c r="B2737" t="s">
        <v>41</v>
      </c>
      <c r="E2737" t="s">
        <v>51</v>
      </c>
      <c r="F2737">
        <v>778443</v>
      </c>
      <c r="G2737">
        <v>5</v>
      </c>
      <c r="H2737">
        <v>3</v>
      </c>
      <c r="I2737">
        <v>216</v>
      </c>
      <c r="J2737">
        <v>2021</v>
      </c>
      <c r="K2737" s="4">
        <v>45500</v>
      </c>
      <c r="L2737" t="s">
        <v>23</v>
      </c>
      <c r="M2737" t="s">
        <v>37</v>
      </c>
      <c r="N2737">
        <v>1.58</v>
      </c>
      <c r="O2737">
        <v>2281</v>
      </c>
      <c r="P2737">
        <v>4.42</v>
      </c>
      <c r="Q2737">
        <v>305</v>
      </c>
      <c r="R2737">
        <v>409</v>
      </c>
    </row>
    <row r="2738" spans="1:18" hidden="1" x14ac:dyDescent="0.2">
      <c r="A2738">
        <v>7</v>
      </c>
      <c r="B2738" t="s">
        <v>50</v>
      </c>
      <c r="E2738" t="s">
        <v>29</v>
      </c>
      <c r="F2738">
        <v>500713</v>
      </c>
      <c r="G2738">
        <v>2</v>
      </c>
      <c r="H2738">
        <v>3</v>
      </c>
      <c r="I2738">
        <v>110</v>
      </c>
      <c r="J2738">
        <v>1990</v>
      </c>
      <c r="K2738" s="4">
        <v>44890</v>
      </c>
      <c r="L2738" t="s">
        <v>20</v>
      </c>
      <c r="M2738" t="s">
        <v>82</v>
      </c>
      <c r="N2738">
        <v>2.64</v>
      </c>
      <c r="O2738">
        <v>2090</v>
      </c>
      <c r="P2738">
        <v>3.29</v>
      </c>
      <c r="Q2738">
        <v>62</v>
      </c>
      <c r="R2738">
        <v>385</v>
      </c>
    </row>
    <row r="2739" spans="1:18" hidden="1" x14ac:dyDescent="0.2">
      <c r="A2739">
        <v>9</v>
      </c>
      <c r="B2739" t="s">
        <v>90</v>
      </c>
      <c r="E2739" t="s">
        <v>19</v>
      </c>
      <c r="F2739">
        <v>962396</v>
      </c>
      <c r="G2739">
        <v>3</v>
      </c>
      <c r="H2739">
        <v>2</v>
      </c>
      <c r="I2739">
        <v>911</v>
      </c>
      <c r="J2739">
        <v>1981</v>
      </c>
      <c r="K2739" s="4">
        <v>45787</v>
      </c>
      <c r="L2739" t="s">
        <v>26</v>
      </c>
      <c r="M2739" t="s">
        <v>47</v>
      </c>
      <c r="N2739">
        <v>3.33</v>
      </c>
      <c r="O2739">
        <v>2116</v>
      </c>
      <c r="P2739">
        <v>2.56</v>
      </c>
      <c r="Q2739">
        <v>143</v>
      </c>
      <c r="R2739">
        <v>657</v>
      </c>
    </row>
    <row r="2740" spans="1:18" hidden="1" x14ac:dyDescent="0.2">
      <c r="A2740">
        <v>2</v>
      </c>
      <c r="B2740" t="s">
        <v>94</v>
      </c>
      <c r="E2740" t="s">
        <v>36</v>
      </c>
      <c r="F2740">
        <v>1595999</v>
      </c>
      <c r="G2740">
        <v>4</v>
      </c>
      <c r="H2740">
        <v>2</v>
      </c>
      <c r="I2740">
        <v>584</v>
      </c>
      <c r="J2740">
        <v>2004</v>
      </c>
      <c r="K2740" s="4">
        <v>44153</v>
      </c>
      <c r="L2740" t="s">
        <v>26</v>
      </c>
      <c r="M2740" t="s">
        <v>66</v>
      </c>
      <c r="N2740">
        <v>1.55</v>
      </c>
      <c r="O2740">
        <v>2270</v>
      </c>
      <c r="P2740">
        <v>4.55</v>
      </c>
      <c r="Q2740">
        <v>367</v>
      </c>
      <c r="R2740">
        <v>465</v>
      </c>
    </row>
    <row r="2741" spans="1:18" hidden="1" x14ac:dyDescent="0.2">
      <c r="A2741">
        <v>3</v>
      </c>
      <c r="B2741" t="s">
        <v>43</v>
      </c>
      <c r="E2741" t="s">
        <v>29</v>
      </c>
      <c r="F2741">
        <v>1592903</v>
      </c>
      <c r="G2741">
        <v>1</v>
      </c>
      <c r="H2741">
        <v>2</v>
      </c>
      <c r="I2741">
        <v>207</v>
      </c>
      <c r="J2741">
        <v>1958</v>
      </c>
      <c r="K2741" s="4">
        <v>44434</v>
      </c>
      <c r="L2741" t="s">
        <v>30</v>
      </c>
      <c r="M2741" t="s">
        <v>85</v>
      </c>
      <c r="N2741">
        <v>1.89</v>
      </c>
      <c r="O2741">
        <v>1819</v>
      </c>
      <c r="P2741">
        <v>0.79</v>
      </c>
      <c r="Q2741">
        <v>54</v>
      </c>
      <c r="R2741">
        <v>685</v>
      </c>
    </row>
    <row r="2742" spans="1:18" hidden="1" x14ac:dyDescent="0.2">
      <c r="A2742">
        <v>0</v>
      </c>
      <c r="B2742" t="s">
        <v>34</v>
      </c>
      <c r="E2742" t="s">
        <v>51</v>
      </c>
      <c r="F2742">
        <v>1819243</v>
      </c>
      <c r="G2742">
        <v>1</v>
      </c>
      <c r="H2742">
        <v>2</v>
      </c>
      <c r="I2742">
        <v>451</v>
      </c>
      <c r="J2742">
        <v>1973</v>
      </c>
      <c r="K2742" s="4">
        <v>44160</v>
      </c>
      <c r="L2742" t="s">
        <v>26</v>
      </c>
      <c r="M2742" t="s">
        <v>76</v>
      </c>
      <c r="N2742">
        <v>2.63</v>
      </c>
      <c r="O2742">
        <v>1596</v>
      </c>
      <c r="P2742">
        <v>4.91</v>
      </c>
      <c r="Q2742">
        <v>80</v>
      </c>
      <c r="R2742">
        <v>431</v>
      </c>
    </row>
    <row r="2743" spans="1:18" hidden="1" x14ac:dyDescent="0.2">
      <c r="A2743">
        <v>0</v>
      </c>
      <c r="B2743" t="s">
        <v>80</v>
      </c>
      <c r="E2743" t="s">
        <v>51</v>
      </c>
      <c r="F2743">
        <v>1702305</v>
      </c>
      <c r="G2743">
        <v>5</v>
      </c>
      <c r="H2743">
        <v>2</v>
      </c>
      <c r="I2743">
        <v>427</v>
      </c>
      <c r="J2743">
        <v>1974</v>
      </c>
      <c r="K2743" s="4">
        <v>45122</v>
      </c>
      <c r="L2743" t="s">
        <v>26</v>
      </c>
      <c r="M2743" t="s">
        <v>52</v>
      </c>
      <c r="N2743">
        <v>2.93</v>
      </c>
      <c r="O2743">
        <v>1768</v>
      </c>
      <c r="P2743">
        <v>3.73</v>
      </c>
      <c r="Q2743">
        <v>246</v>
      </c>
      <c r="R2743">
        <v>681</v>
      </c>
    </row>
    <row r="2744" spans="1:18" hidden="1" x14ac:dyDescent="0.2">
      <c r="A2744">
        <v>0</v>
      </c>
      <c r="B2744" t="s">
        <v>71</v>
      </c>
      <c r="E2744" t="s">
        <v>51</v>
      </c>
      <c r="F2744">
        <v>773146</v>
      </c>
      <c r="G2744">
        <v>1</v>
      </c>
      <c r="H2744">
        <v>3</v>
      </c>
      <c r="I2744">
        <v>64</v>
      </c>
      <c r="J2744">
        <v>1965</v>
      </c>
      <c r="K2744" s="4">
        <v>44484</v>
      </c>
      <c r="L2744" t="s">
        <v>30</v>
      </c>
      <c r="M2744" t="s">
        <v>40</v>
      </c>
      <c r="N2744">
        <v>3.43</v>
      </c>
      <c r="O2744">
        <v>2033</v>
      </c>
      <c r="P2744">
        <v>1.49</v>
      </c>
      <c r="Q2744">
        <v>105</v>
      </c>
      <c r="R2744">
        <v>339</v>
      </c>
    </row>
    <row r="2745" spans="1:18" x14ac:dyDescent="0.2">
      <c r="A2745">
        <v>8</v>
      </c>
      <c r="B2745" t="s">
        <v>98</v>
      </c>
      <c r="C2745" t="str">
        <f>VLOOKUP(B2745, 'Council Area'!$A$2:$B$51, 2)</f>
        <v>Parramatta City Council</v>
      </c>
      <c r="D2745" t="str">
        <f>_xlfn.XLOOKUP(B2745, 'Council Area'!$A$2:$A$51, 'Council Area'!$B$2:$B$51)</f>
        <v>Parramatta City Council</v>
      </c>
      <c r="E2745" t="s">
        <v>51</v>
      </c>
      <c r="F2745">
        <v>2282680</v>
      </c>
      <c r="G2745">
        <v>2</v>
      </c>
      <c r="H2745">
        <v>1</v>
      </c>
      <c r="I2745">
        <v>996</v>
      </c>
      <c r="J2745">
        <v>1972</v>
      </c>
      <c r="K2745" s="4">
        <v>45875</v>
      </c>
      <c r="L2745" t="s">
        <v>30</v>
      </c>
      <c r="M2745" t="s">
        <v>89</v>
      </c>
      <c r="N2745">
        <v>1.54</v>
      </c>
      <c r="O2745">
        <v>2193</v>
      </c>
      <c r="P2745">
        <v>3.73</v>
      </c>
      <c r="Q2745">
        <v>47</v>
      </c>
      <c r="R2745">
        <v>555</v>
      </c>
    </row>
    <row r="2746" spans="1:18" hidden="1" x14ac:dyDescent="0.2">
      <c r="A2746">
        <v>5</v>
      </c>
      <c r="B2746" t="s">
        <v>104</v>
      </c>
      <c r="E2746" t="s">
        <v>29</v>
      </c>
      <c r="F2746">
        <v>1915372</v>
      </c>
      <c r="G2746">
        <v>2</v>
      </c>
      <c r="H2746">
        <v>2</v>
      </c>
      <c r="I2746">
        <v>508</v>
      </c>
      <c r="J2746">
        <v>1960</v>
      </c>
      <c r="K2746" s="4">
        <v>45041</v>
      </c>
      <c r="L2746" t="s">
        <v>23</v>
      </c>
      <c r="M2746" t="s">
        <v>35</v>
      </c>
      <c r="N2746">
        <v>3.17</v>
      </c>
      <c r="O2746">
        <v>1858</v>
      </c>
      <c r="P2746">
        <v>1.71</v>
      </c>
      <c r="Q2746">
        <v>201</v>
      </c>
      <c r="R2746">
        <v>356</v>
      </c>
    </row>
    <row r="2747" spans="1:18" hidden="1" x14ac:dyDescent="0.2">
      <c r="A2747">
        <v>1</v>
      </c>
      <c r="B2747" t="s">
        <v>96</v>
      </c>
      <c r="E2747" t="s">
        <v>36</v>
      </c>
      <c r="F2747">
        <v>1072700</v>
      </c>
      <c r="G2747">
        <v>3</v>
      </c>
      <c r="H2747">
        <v>3</v>
      </c>
      <c r="I2747">
        <v>512</v>
      </c>
      <c r="J2747">
        <v>2006</v>
      </c>
      <c r="K2747" s="4">
        <v>45020</v>
      </c>
      <c r="L2747" t="s">
        <v>26</v>
      </c>
      <c r="M2747" t="s">
        <v>31</v>
      </c>
      <c r="N2747">
        <v>1.72</v>
      </c>
      <c r="O2747">
        <v>2386</v>
      </c>
      <c r="P2747">
        <v>0.28000000000000003</v>
      </c>
      <c r="Q2747">
        <v>301</v>
      </c>
      <c r="R2747">
        <v>663</v>
      </c>
    </row>
    <row r="2748" spans="1:18" hidden="1" x14ac:dyDescent="0.2">
      <c r="A2748">
        <v>6</v>
      </c>
      <c r="B2748" t="s">
        <v>91</v>
      </c>
      <c r="E2748" t="s">
        <v>29</v>
      </c>
      <c r="F2748">
        <v>1259084</v>
      </c>
      <c r="G2748">
        <v>6</v>
      </c>
      <c r="H2748">
        <v>2</v>
      </c>
      <c r="I2748">
        <v>199</v>
      </c>
      <c r="J2748">
        <v>2020</v>
      </c>
      <c r="K2748" s="4">
        <v>44369</v>
      </c>
      <c r="L2748" t="s">
        <v>23</v>
      </c>
      <c r="M2748" t="s">
        <v>27</v>
      </c>
      <c r="N2748">
        <v>2.14</v>
      </c>
      <c r="O2748">
        <v>1271</v>
      </c>
      <c r="P2748">
        <v>1.43</v>
      </c>
      <c r="Q2748">
        <v>362</v>
      </c>
      <c r="R2748">
        <v>612</v>
      </c>
    </row>
    <row r="2749" spans="1:18" hidden="1" x14ac:dyDescent="0.2">
      <c r="A2749">
        <v>7</v>
      </c>
      <c r="B2749" t="s">
        <v>87</v>
      </c>
      <c r="E2749" t="s">
        <v>29</v>
      </c>
      <c r="F2749">
        <v>597964</v>
      </c>
      <c r="G2749">
        <v>1</v>
      </c>
      <c r="H2749">
        <v>3</v>
      </c>
      <c r="I2749">
        <v>880</v>
      </c>
      <c r="J2749">
        <v>1990</v>
      </c>
      <c r="K2749" s="4">
        <v>45467</v>
      </c>
      <c r="L2749" t="s">
        <v>26</v>
      </c>
      <c r="M2749" t="s">
        <v>35</v>
      </c>
      <c r="N2749">
        <v>3.28</v>
      </c>
      <c r="O2749">
        <v>1463</v>
      </c>
      <c r="P2749">
        <v>2.5499999999999998</v>
      </c>
      <c r="Q2749">
        <v>99</v>
      </c>
      <c r="R2749">
        <v>636</v>
      </c>
    </row>
    <row r="2750" spans="1:18" hidden="1" x14ac:dyDescent="0.2">
      <c r="A2750">
        <v>2</v>
      </c>
      <c r="B2750" t="s">
        <v>94</v>
      </c>
      <c r="E2750" t="s">
        <v>51</v>
      </c>
      <c r="F2750">
        <v>1057121</v>
      </c>
      <c r="G2750">
        <v>5</v>
      </c>
      <c r="H2750">
        <v>3</v>
      </c>
      <c r="I2750">
        <v>168</v>
      </c>
      <c r="J2750">
        <v>1976</v>
      </c>
      <c r="K2750" s="4">
        <v>45409</v>
      </c>
      <c r="L2750" t="s">
        <v>30</v>
      </c>
      <c r="M2750" t="s">
        <v>56</v>
      </c>
      <c r="N2750">
        <v>2.76</v>
      </c>
      <c r="O2750">
        <v>2219</v>
      </c>
      <c r="P2750">
        <v>0.51</v>
      </c>
      <c r="Q2750">
        <v>266</v>
      </c>
      <c r="R2750">
        <v>642</v>
      </c>
    </row>
    <row r="2751" spans="1:18" hidden="1" x14ac:dyDescent="0.2">
      <c r="A2751">
        <v>9</v>
      </c>
      <c r="B2751" t="s">
        <v>101</v>
      </c>
      <c r="E2751" t="s">
        <v>36</v>
      </c>
      <c r="F2751">
        <v>1077132</v>
      </c>
      <c r="G2751">
        <v>3</v>
      </c>
      <c r="H2751">
        <v>3</v>
      </c>
      <c r="I2751">
        <v>962</v>
      </c>
      <c r="J2751">
        <v>1964</v>
      </c>
      <c r="K2751" s="4">
        <v>45604</v>
      </c>
      <c r="L2751" t="s">
        <v>20</v>
      </c>
      <c r="M2751" t="s">
        <v>82</v>
      </c>
      <c r="N2751">
        <v>2.23</v>
      </c>
      <c r="O2751">
        <v>969</v>
      </c>
      <c r="P2751">
        <v>0.44</v>
      </c>
      <c r="Q2751">
        <v>147</v>
      </c>
      <c r="R2751">
        <v>526</v>
      </c>
    </row>
    <row r="2752" spans="1:18" hidden="1" x14ac:dyDescent="0.2">
      <c r="A2752">
        <v>3</v>
      </c>
      <c r="B2752" t="s">
        <v>44</v>
      </c>
      <c r="E2752" t="s">
        <v>19</v>
      </c>
      <c r="F2752">
        <v>2867526</v>
      </c>
      <c r="G2752">
        <v>2</v>
      </c>
      <c r="H2752">
        <v>3</v>
      </c>
      <c r="I2752">
        <v>62</v>
      </c>
      <c r="J2752">
        <v>1982</v>
      </c>
      <c r="K2752" s="4">
        <v>44118</v>
      </c>
      <c r="L2752" t="s">
        <v>30</v>
      </c>
      <c r="M2752" t="s">
        <v>76</v>
      </c>
      <c r="N2752">
        <v>3.33</v>
      </c>
      <c r="O2752">
        <v>1653</v>
      </c>
      <c r="P2752">
        <v>3.7</v>
      </c>
      <c r="Q2752">
        <v>137</v>
      </c>
      <c r="R2752">
        <v>328</v>
      </c>
    </row>
    <row r="2753" spans="1:18" hidden="1" x14ac:dyDescent="0.2">
      <c r="A2753">
        <v>0</v>
      </c>
      <c r="B2753" t="s">
        <v>57</v>
      </c>
      <c r="E2753" t="s">
        <v>29</v>
      </c>
      <c r="F2753">
        <v>2285690</v>
      </c>
      <c r="G2753">
        <v>3</v>
      </c>
      <c r="H2753">
        <v>3</v>
      </c>
      <c r="I2753">
        <v>465</v>
      </c>
      <c r="J2753">
        <v>1983</v>
      </c>
      <c r="K2753" s="4">
        <v>44482</v>
      </c>
      <c r="L2753" t="s">
        <v>20</v>
      </c>
      <c r="M2753" t="s">
        <v>82</v>
      </c>
      <c r="N2753">
        <v>3.4</v>
      </c>
      <c r="O2753">
        <v>816</v>
      </c>
      <c r="P2753">
        <v>3.1</v>
      </c>
      <c r="Q2753">
        <v>146</v>
      </c>
      <c r="R2753">
        <v>367</v>
      </c>
    </row>
    <row r="2754" spans="1:18" hidden="1" x14ac:dyDescent="0.2">
      <c r="A2754">
        <v>5</v>
      </c>
      <c r="B2754" t="s">
        <v>75</v>
      </c>
      <c r="E2754" t="s">
        <v>29</v>
      </c>
      <c r="F2754">
        <v>466451</v>
      </c>
      <c r="G2754">
        <v>3</v>
      </c>
      <c r="H2754">
        <v>3</v>
      </c>
      <c r="I2754">
        <v>776</v>
      </c>
      <c r="J2754">
        <v>1967</v>
      </c>
      <c r="K2754" s="4">
        <v>45016</v>
      </c>
      <c r="L2754" t="s">
        <v>30</v>
      </c>
      <c r="M2754" t="s">
        <v>69</v>
      </c>
      <c r="N2754">
        <v>3.26</v>
      </c>
      <c r="O2754">
        <v>2090</v>
      </c>
      <c r="P2754">
        <v>4.83</v>
      </c>
      <c r="Q2754">
        <v>131</v>
      </c>
      <c r="R2754">
        <v>570</v>
      </c>
    </row>
    <row r="2755" spans="1:18" hidden="1" x14ac:dyDescent="0.2">
      <c r="A2755">
        <v>4</v>
      </c>
      <c r="B2755" t="s">
        <v>90</v>
      </c>
      <c r="E2755" t="s">
        <v>51</v>
      </c>
      <c r="F2755">
        <v>1921113</v>
      </c>
      <c r="G2755">
        <v>2</v>
      </c>
      <c r="H2755">
        <v>1</v>
      </c>
      <c r="I2755">
        <v>302</v>
      </c>
      <c r="J2755">
        <v>1975</v>
      </c>
      <c r="K2755" s="4">
        <v>44451</v>
      </c>
      <c r="L2755" t="s">
        <v>30</v>
      </c>
      <c r="M2755" t="s">
        <v>21</v>
      </c>
      <c r="N2755">
        <v>2.16</v>
      </c>
      <c r="O2755">
        <v>2365</v>
      </c>
      <c r="P2755">
        <v>3.81</v>
      </c>
      <c r="Q2755">
        <v>124</v>
      </c>
      <c r="R2755">
        <v>649</v>
      </c>
    </row>
    <row r="2756" spans="1:18" hidden="1" x14ac:dyDescent="0.2">
      <c r="A2756">
        <v>3</v>
      </c>
      <c r="B2756" t="s">
        <v>91</v>
      </c>
      <c r="E2756" t="s">
        <v>51</v>
      </c>
      <c r="F2756">
        <v>563569</v>
      </c>
      <c r="G2756">
        <v>3</v>
      </c>
      <c r="H2756">
        <v>1</v>
      </c>
      <c r="I2756">
        <v>822</v>
      </c>
      <c r="J2756">
        <v>1979</v>
      </c>
      <c r="K2756" s="4">
        <v>44792</v>
      </c>
      <c r="L2756" t="s">
        <v>23</v>
      </c>
      <c r="M2756" t="s">
        <v>70</v>
      </c>
      <c r="N2756">
        <v>3.3</v>
      </c>
      <c r="O2756">
        <v>1568</v>
      </c>
      <c r="P2756">
        <v>1.65</v>
      </c>
      <c r="Q2756">
        <v>255</v>
      </c>
      <c r="R2756">
        <v>589</v>
      </c>
    </row>
    <row r="2757" spans="1:18" hidden="1" x14ac:dyDescent="0.2">
      <c r="A2757">
        <v>6</v>
      </c>
      <c r="B2757" t="s">
        <v>62</v>
      </c>
      <c r="E2757" t="s">
        <v>29</v>
      </c>
      <c r="F2757">
        <v>542354</v>
      </c>
      <c r="G2757">
        <v>4</v>
      </c>
      <c r="H2757">
        <v>1</v>
      </c>
      <c r="I2757">
        <v>824</v>
      </c>
      <c r="J2757">
        <v>1979</v>
      </c>
      <c r="K2757" s="4">
        <v>45507</v>
      </c>
      <c r="L2757" t="s">
        <v>26</v>
      </c>
      <c r="M2757" t="s">
        <v>97</v>
      </c>
      <c r="N2757">
        <v>1.89</v>
      </c>
      <c r="O2757">
        <v>2316</v>
      </c>
      <c r="P2757">
        <v>0.52</v>
      </c>
      <c r="Q2757">
        <v>381</v>
      </c>
      <c r="R2757">
        <v>513</v>
      </c>
    </row>
    <row r="2758" spans="1:18" hidden="1" x14ac:dyDescent="0.2">
      <c r="A2758">
        <v>3</v>
      </c>
      <c r="B2758" t="s">
        <v>44</v>
      </c>
      <c r="E2758" t="s">
        <v>29</v>
      </c>
      <c r="F2758">
        <v>1135501</v>
      </c>
      <c r="G2758">
        <v>2</v>
      </c>
      <c r="H2758">
        <v>1</v>
      </c>
      <c r="I2758">
        <v>403</v>
      </c>
      <c r="J2758">
        <v>1967</v>
      </c>
      <c r="K2758" s="4">
        <v>45679</v>
      </c>
      <c r="L2758" t="s">
        <v>26</v>
      </c>
      <c r="M2758" t="s">
        <v>97</v>
      </c>
      <c r="N2758">
        <v>2.29</v>
      </c>
      <c r="O2758">
        <v>2326</v>
      </c>
      <c r="P2758">
        <v>4.83</v>
      </c>
      <c r="Q2758">
        <v>169</v>
      </c>
      <c r="R2758">
        <v>566</v>
      </c>
    </row>
    <row r="2759" spans="1:18" hidden="1" x14ac:dyDescent="0.2">
      <c r="A2759">
        <v>7</v>
      </c>
      <c r="B2759" t="s">
        <v>80</v>
      </c>
      <c r="E2759" t="s">
        <v>36</v>
      </c>
      <c r="F2759">
        <v>2550358</v>
      </c>
      <c r="G2759">
        <v>3</v>
      </c>
      <c r="H2759">
        <v>1</v>
      </c>
      <c r="I2759">
        <v>861</v>
      </c>
      <c r="J2759">
        <v>1976</v>
      </c>
      <c r="K2759" s="4">
        <v>45695</v>
      </c>
      <c r="L2759" t="s">
        <v>30</v>
      </c>
      <c r="M2759" t="s">
        <v>89</v>
      </c>
      <c r="N2759">
        <v>3.47</v>
      </c>
      <c r="O2759">
        <v>2338</v>
      </c>
      <c r="P2759">
        <v>3.22</v>
      </c>
      <c r="Q2759">
        <v>125</v>
      </c>
      <c r="R2759">
        <v>585</v>
      </c>
    </row>
    <row r="2760" spans="1:18" x14ac:dyDescent="0.2">
      <c r="A2760">
        <v>8</v>
      </c>
      <c r="B2760" t="s">
        <v>87</v>
      </c>
      <c r="C2760" t="str">
        <f>VLOOKUP(B2760, 'Council Area'!$A$2:$B$51, 2)</f>
        <v>Randwick City Council</v>
      </c>
      <c r="D2760" t="str">
        <f>_xlfn.XLOOKUP(B2760, 'Council Area'!$A$2:$A$51, 'Council Area'!$B$2:$B$51)</f>
        <v>Randwick City Council</v>
      </c>
      <c r="E2760" t="s">
        <v>29</v>
      </c>
      <c r="F2760">
        <v>1681441</v>
      </c>
      <c r="G2760">
        <v>1</v>
      </c>
      <c r="H2760">
        <v>1</v>
      </c>
      <c r="I2760">
        <v>939</v>
      </c>
      <c r="J2760">
        <v>1999</v>
      </c>
      <c r="K2760" s="4">
        <v>45152</v>
      </c>
      <c r="L2760" t="s">
        <v>20</v>
      </c>
      <c r="M2760" t="s">
        <v>21</v>
      </c>
      <c r="N2760">
        <v>2.81</v>
      </c>
      <c r="O2760">
        <v>1154</v>
      </c>
      <c r="P2760">
        <v>0.46</v>
      </c>
      <c r="Q2760">
        <v>61</v>
      </c>
      <c r="R2760">
        <v>416</v>
      </c>
    </row>
    <row r="2761" spans="1:18" hidden="1" x14ac:dyDescent="0.2">
      <c r="A2761">
        <v>3</v>
      </c>
      <c r="B2761" t="s">
        <v>81</v>
      </c>
      <c r="E2761" t="s">
        <v>51</v>
      </c>
      <c r="F2761">
        <v>1203761</v>
      </c>
      <c r="G2761">
        <v>2</v>
      </c>
      <c r="H2761">
        <v>2</v>
      </c>
      <c r="I2761">
        <v>607</v>
      </c>
      <c r="J2761">
        <v>1969</v>
      </c>
      <c r="K2761" s="4">
        <v>45432</v>
      </c>
      <c r="L2761" t="s">
        <v>26</v>
      </c>
      <c r="M2761" t="s">
        <v>69</v>
      </c>
      <c r="N2761">
        <v>2.59</v>
      </c>
      <c r="O2761">
        <v>1481</v>
      </c>
      <c r="P2761">
        <v>4.33</v>
      </c>
      <c r="Q2761">
        <v>53</v>
      </c>
      <c r="R2761">
        <v>670</v>
      </c>
    </row>
    <row r="2762" spans="1:18" hidden="1" x14ac:dyDescent="0.2">
      <c r="A2762">
        <v>6</v>
      </c>
      <c r="B2762" t="s">
        <v>104</v>
      </c>
      <c r="E2762" t="s">
        <v>29</v>
      </c>
      <c r="F2762">
        <v>1233514</v>
      </c>
      <c r="G2762">
        <v>4</v>
      </c>
      <c r="H2762">
        <v>2</v>
      </c>
      <c r="I2762">
        <v>874</v>
      </c>
      <c r="J2762">
        <v>1986</v>
      </c>
      <c r="K2762" s="4">
        <v>45318</v>
      </c>
      <c r="L2762" t="s">
        <v>23</v>
      </c>
      <c r="M2762" t="s">
        <v>60</v>
      </c>
      <c r="N2762">
        <v>1.98</v>
      </c>
      <c r="O2762">
        <v>918</v>
      </c>
      <c r="P2762">
        <v>0.87</v>
      </c>
      <c r="Q2762">
        <v>318</v>
      </c>
      <c r="R2762">
        <v>579</v>
      </c>
    </row>
    <row r="2763" spans="1:18" hidden="1" x14ac:dyDescent="0.2">
      <c r="A2763">
        <v>6</v>
      </c>
      <c r="B2763" t="s">
        <v>22</v>
      </c>
      <c r="E2763" t="s">
        <v>36</v>
      </c>
      <c r="F2763">
        <v>1424476</v>
      </c>
      <c r="G2763">
        <v>3</v>
      </c>
      <c r="H2763">
        <v>3</v>
      </c>
      <c r="I2763">
        <v>780</v>
      </c>
      <c r="J2763">
        <v>1990</v>
      </c>
      <c r="K2763" s="4">
        <v>45057</v>
      </c>
      <c r="L2763" t="s">
        <v>20</v>
      </c>
      <c r="M2763" t="s">
        <v>33</v>
      </c>
      <c r="N2763">
        <v>2.1</v>
      </c>
      <c r="O2763">
        <v>2366</v>
      </c>
      <c r="P2763">
        <v>1.52</v>
      </c>
      <c r="Q2763">
        <v>159</v>
      </c>
      <c r="R2763">
        <v>487</v>
      </c>
    </row>
    <row r="2764" spans="1:18" hidden="1" x14ac:dyDescent="0.2">
      <c r="A2764">
        <v>3</v>
      </c>
      <c r="B2764" t="s">
        <v>91</v>
      </c>
      <c r="E2764" t="s">
        <v>29</v>
      </c>
      <c r="F2764">
        <v>2130965</v>
      </c>
      <c r="G2764">
        <v>3</v>
      </c>
      <c r="H2764">
        <v>2</v>
      </c>
      <c r="I2764">
        <v>432</v>
      </c>
      <c r="J2764">
        <v>1995</v>
      </c>
      <c r="K2764" s="4">
        <v>45160</v>
      </c>
      <c r="L2764" t="s">
        <v>26</v>
      </c>
      <c r="M2764" t="s">
        <v>21</v>
      </c>
      <c r="N2764">
        <v>3.44</v>
      </c>
      <c r="O2764">
        <v>1839</v>
      </c>
      <c r="P2764">
        <v>3.09</v>
      </c>
      <c r="Q2764">
        <v>184</v>
      </c>
      <c r="R2764">
        <v>355</v>
      </c>
    </row>
    <row r="2765" spans="1:18" x14ac:dyDescent="0.2">
      <c r="A2765">
        <v>8</v>
      </c>
      <c r="B2765" t="s">
        <v>75</v>
      </c>
      <c r="C2765" t="str">
        <f>VLOOKUP(B2765, 'Council Area'!$A$2:$B$51, 2)</f>
        <v>Inner West Council</v>
      </c>
      <c r="D2765" t="str">
        <f>_xlfn.XLOOKUP(B2765, 'Council Area'!$A$2:$A$51, 'Council Area'!$B$2:$B$51)</f>
        <v>Inner West Council</v>
      </c>
      <c r="E2765" t="s">
        <v>51</v>
      </c>
      <c r="F2765">
        <v>2967698</v>
      </c>
      <c r="G2765">
        <v>3</v>
      </c>
      <c r="H2765">
        <v>1</v>
      </c>
      <c r="I2765">
        <v>294</v>
      </c>
      <c r="J2765">
        <v>2002</v>
      </c>
      <c r="K2765" s="4">
        <v>44815</v>
      </c>
      <c r="L2765" t="s">
        <v>23</v>
      </c>
      <c r="M2765" t="s">
        <v>85</v>
      </c>
      <c r="N2765">
        <v>2.5</v>
      </c>
      <c r="O2765">
        <v>838</v>
      </c>
      <c r="P2765">
        <v>2.63</v>
      </c>
      <c r="Q2765">
        <v>171</v>
      </c>
      <c r="R2765">
        <v>456</v>
      </c>
    </row>
    <row r="2766" spans="1:18" hidden="1" x14ac:dyDescent="0.2">
      <c r="A2766">
        <v>6</v>
      </c>
      <c r="B2766" t="s">
        <v>83</v>
      </c>
      <c r="E2766" t="s">
        <v>19</v>
      </c>
      <c r="F2766">
        <v>1631301</v>
      </c>
      <c r="G2766">
        <v>1</v>
      </c>
      <c r="H2766">
        <v>2</v>
      </c>
      <c r="I2766">
        <v>742</v>
      </c>
      <c r="J2766">
        <v>1970</v>
      </c>
      <c r="K2766" s="4">
        <v>45012</v>
      </c>
      <c r="L2766" t="s">
        <v>26</v>
      </c>
      <c r="M2766" t="s">
        <v>85</v>
      </c>
      <c r="N2766">
        <v>2.09</v>
      </c>
      <c r="O2766">
        <v>1221</v>
      </c>
      <c r="P2766">
        <v>3.07</v>
      </c>
      <c r="Q2766">
        <v>51</v>
      </c>
      <c r="R2766">
        <v>397</v>
      </c>
    </row>
    <row r="2767" spans="1:18" hidden="1" x14ac:dyDescent="0.2">
      <c r="A2767">
        <v>5</v>
      </c>
      <c r="B2767" t="s">
        <v>99</v>
      </c>
      <c r="E2767" t="s">
        <v>36</v>
      </c>
      <c r="F2767">
        <v>2937797</v>
      </c>
      <c r="G2767">
        <v>4</v>
      </c>
      <c r="H2767">
        <v>3</v>
      </c>
      <c r="I2767">
        <v>381</v>
      </c>
      <c r="J2767">
        <v>2003</v>
      </c>
      <c r="K2767" s="4">
        <v>45545</v>
      </c>
      <c r="L2767" t="s">
        <v>23</v>
      </c>
      <c r="M2767" t="s">
        <v>21</v>
      </c>
      <c r="N2767">
        <v>2.44</v>
      </c>
      <c r="O2767">
        <v>1618</v>
      </c>
      <c r="P2767">
        <v>2.31</v>
      </c>
      <c r="Q2767">
        <v>259</v>
      </c>
      <c r="R2767">
        <v>436</v>
      </c>
    </row>
    <row r="2768" spans="1:18" hidden="1" x14ac:dyDescent="0.2">
      <c r="A2768">
        <v>9</v>
      </c>
      <c r="B2768" t="s">
        <v>75</v>
      </c>
      <c r="E2768" t="s">
        <v>19</v>
      </c>
      <c r="F2768">
        <v>1923701</v>
      </c>
      <c r="G2768">
        <v>3</v>
      </c>
      <c r="H2768">
        <v>1</v>
      </c>
      <c r="I2768">
        <v>104</v>
      </c>
      <c r="J2768">
        <v>2009</v>
      </c>
      <c r="K2768" s="4">
        <v>44540</v>
      </c>
      <c r="L2768" t="s">
        <v>30</v>
      </c>
      <c r="M2768" t="s">
        <v>58</v>
      </c>
      <c r="N2768">
        <v>1.91</v>
      </c>
      <c r="O2768">
        <v>2402</v>
      </c>
      <c r="P2768">
        <v>3.36</v>
      </c>
      <c r="Q2768">
        <v>234</v>
      </c>
      <c r="R2768">
        <v>458</v>
      </c>
    </row>
    <row r="2769" spans="1:18" x14ac:dyDescent="0.2">
      <c r="A2769">
        <v>8</v>
      </c>
      <c r="B2769" t="s">
        <v>80</v>
      </c>
      <c r="C2769" t="str">
        <f>VLOOKUP(B2769, 'Council Area'!$A$2:$B$51, 2)</f>
        <v>Parramatta City Council</v>
      </c>
      <c r="D2769" t="str">
        <f>_xlfn.XLOOKUP(B2769, 'Council Area'!$A$2:$A$51, 'Council Area'!$B$2:$B$51)</f>
        <v>Parramatta City Council</v>
      </c>
      <c r="E2769" t="s">
        <v>29</v>
      </c>
      <c r="F2769">
        <v>2239962</v>
      </c>
      <c r="G2769">
        <v>2</v>
      </c>
      <c r="H2769">
        <v>1</v>
      </c>
      <c r="I2769">
        <v>684</v>
      </c>
      <c r="J2769">
        <v>2017</v>
      </c>
      <c r="K2769" s="4">
        <v>45033</v>
      </c>
      <c r="L2769" t="s">
        <v>26</v>
      </c>
      <c r="M2769" t="s">
        <v>70</v>
      </c>
      <c r="N2769">
        <v>1.97</v>
      </c>
      <c r="O2769">
        <v>2390</v>
      </c>
      <c r="P2769">
        <v>0.97</v>
      </c>
      <c r="Q2769">
        <v>235</v>
      </c>
      <c r="R2769">
        <v>564</v>
      </c>
    </row>
    <row r="2770" spans="1:18" hidden="1" x14ac:dyDescent="0.2">
      <c r="A2770">
        <v>7</v>
      </c>
      <c r="B2770" t="s">
        <v>44</v>
      </c>
      <c r="E2770" t="s">
        <v>29</v>
      </c>
      <c r="F2770">
        <v>2625829</v>
      </c>
      <c r="G2770">
        <v>3</v>
      </c>
      <c r="H2770">
        <v>3</v>
      </c>
      <c r="I2770">
        <v>465</v>
      </c>
      <c r="J2770">
        <v>1965</v>
      </c>
      <c r="K2770" s="4">
        <v>45356</v>
      </c>
      <c r="L2770" t="s">
        <v>20</v>
      </c>
      <c r="M2770" t="s">
        <v>45</v>
      </c>
      <c r="N2770">
        <v>2.5099999999999998</v>
      </c>
      <c r="O2770">
        <v>2059</v>
      </c>
      <c r="P2770">
        <v>0.15</v>
      </c>
      <c r="Q2770">
        <v>220</v>
      </c>
      <c r="R2770">
        <v>620</v>
      </c>
    </row>
    <row r="2771" spans="1:18" hidden="1" x14ac:dyDescent="0.2">
      <c r="A2771">
        <v>3</v>
      </c>
      <c r="B2771" t="s">
        <v>80</v>
      </c>
      <c r="E2771" t="s">
        <v>29</v>
      </c>
      <c r="F2771">
        <v>2715695</v>
      </c>
      <c r="G2771">
        <v>1</v>
      </c>
      <c r="H2771">
        <v>1</v>
      </c>
      <c r="I2771">
        <v>454</v>
      </c>
      <c r="J2771">
        <v>1998</v>
      </c>
      <c r="K2771" s="4">
        <v>45137</v>
      </c>
      <c r="L2771" t="s">
        <v>20</v>
      </c>
      <c r="M2771" t="s">
        <v>66</v>
      </c>
      <c r="N2771">
        <v>3.2</v>
      </c>
      <c r="O2771">
        <v>1016</v>
      </c>
      <c r="P2771">
        <v>4.8099999999999996</v>
      </c>
      <c r="Q2771">
        <v>112</v>
      </c>
      <c r="R2771">
        <v>691</v>
      </c>
    </row>
    <row r="2772" spans="1:18" hidden="1" x14ac:dyDescent="0.2">
      <c r="A2772">
        <v>4</v>
      </c>
      <c r="B2772" t="s">
        <v>71</v>
      </c>
      <c r="E2772" t="s">
        <v>19</v>
      </c>
      <c r="F2772">
        <v>735260</v>
      </c>
      <c r="G2772">
        <v>4</v>
      </c>
      <c r="H2772">
        <v>2</v>
      </c>
      <c r="I2772">
        <v>496</v>
      </c>
      <c r="J2772">
        <v>1993</v>
      </c>
      <c r="K2772" s="4">
        <v>45300</v>
      </c>
      <c r="L2772" t="s">
        <v>26</v>
      </c>
      <c r="M2772" t="s">
        <v>59</v>
      </c>
      <c r="N2772">
        <v>3.35</v>
      </c>
      <c r="O2772">
        <v>1184</v>
      </c>
      <c r="P2772">
        <v>0.99</v>
      </c>
      <c r="Q2772">
        <v>214</v>
      </c>
      <c r="R2772">
        <v>313</v>
      </c>
    </row>
    <row r="2773" spans="1:18" x14ac:dyDescent="0.2">
      <c r="A2773">
        <v>8</v>
      </c>
      <c r="B2773" t="s">
        <v>46</v>
      </c>
      <c r="C2773" t="str">
        <f>VLOOKUP(B2773, 'Council Area'!$A$2:$B$51, 2)</f>
        <v>Ku-ring-gai Council</v>
      </c>
      <c r="D2773" t="str">
        <f>_xlfn.XLOOKUP(B2773, 'Council Area'!$A$2:$A$51, 'Council Area'!$B$2:$B$51)</f>
        <v>Ku-ring-gai Council</v>
      </c>
      <c r="E2773" t="s">
        <v>29</v>
      </c>
      <c r="F2773">
        <v>1326513</v>
      </c>
      <c r="G2773">
        <v>3</v>
      </c>
      <c r="H2773">
        <v>2</v>
      </c>
      <c r="I2773">
        <v>728</v>
      </c>
      <c r="J2773">
        <v>1969</v>
      </c>
      <c r="K2773" s="4">
        <v>45557</v>
      </c>
      <c r="L2773" t="s">
        <v>26</v>
      </c>
      <c r="M2773" t="s">
        <v>37</v>
      </c>
      <c r="N2773">
        <v>2.13</v>
      </c>
      <c r="O2773">
        <v>1281</v>
      </c>
      <c r="P2773">
        <v>4.58</v>
      </c>
      <c r="Q2773">
        <v>114</v>
      </c>
      <c r="R2773">
        <v>392</v>
      </c>
    </row>
    <row r="2774" spans="1:18" hidden="1" x14ac:dyDescent="0.2">
      <c r="A2774">
        <v>6</v>
      </c>
      <c r="B2774" t="s">
        <v>105</v>
      </c>
      <c r="E2774" t="s">
        <v>19</v>
      </c>
      <c r="F2774">
        <v>2796033</v>
      </c>
      <c r="G2774">
        <v>3</v>
      </c>
      <c r="H2774">
        <v>3</v>
      </c>
      <c r="I2774">
        <v>826</v>
      </c>
      <c r="J2774">
        <v>1981</v>
      </c>
      <c r="K2774" s="4">
        <v>44516</v>
      </c>
      <c r="L2774" t="s">
        <v>26</v>
      </c>
      <c r="M2774" t="s">
        <v>60</v>
      </c>
      <c r="N2774">
        <v>1.57</v>
      </c>
      <c r="O2774">
        <v>1093</v>
      </c>
      <c r="P2774">
        <v>4.8</v>
      </c>
      <c r="Q2774">
        <v>168</v>
      </c>
      <c r="R2774">
        <v>651</v>
      </c>
    </row>
    <row r="2775" spans="1:18" hidden="1" x14ac:dyDescent="0.2">
      <c r="A2775">
        <v>2</v>
      </c>
      <c r="B2775" t="s">
        <v>102</v>
      </c>
      <c r="E2775" t="s">
        <v>29</v>
      </c>
      <c r="F2775">
        <v>2902173</v>
      </c>
      <c r="G2775">
        <v>2</v>
      </c>
      <c r="H2775">
        <v>3</v>
      </c>
      <c r="I2775">
        <v>240</v>
      </c>
      <c r="J2775">
        <v>1986</v>
      </c>
      <c r="K2775" s="4">
        <v>44078</v>
      </c>
      <c r="L2775" t="s">
        <v>26</v>
      </c>
      <c r="M2775" t="s">
        <v>40</v>
      </c>
      <c r="N2775">
        <v>2.2200000000000002</v>
      </c>
      <c r="O2775">
        <v>1203</v>
      </c>
      <c r="P2775">
        <v>3.12</v>
      </c>
      <c r="Q2775">
        <v>227</v>
      </c>
      <c r="R2775">
        <v>668</v>
      </c>
    </row>
    <row r="2776" spans="1:18" hidden="1" x14ac:dyDescent="0.2">
      <c r="A2776">
        <v>2</v>
      </c>
      <c r="B2776" t="s">
        <v>100</v>
      </c>
      <c r="E2776" t="s">
        <v>36</v>
      </c>
      <c r="F2776">
        <v>1581704</v>
      </c>
      <c r="G2776">
        <v>6</v>
      </c>
      <c r="H2776">
        <v>2</v>
      </c>
      <c r="I2776">
        <v>105</v>
      </c>
      <c r="J2776">
        <v>1958</v>
      </c>
      <c r="K2776" s="4">
        <v>44382</v>
      </c>
      <c r="L2776" t="s">
        <v>30</v>
      </c>
      <c r="M2776" t="s">
        <v>52</v>
      </c>
      <c r="N2776">
        <v>3.1</v>
      </c>
      <c r="O2776">
        <v>1007</v>
      </c>
      <c r="P2776">
        <v>2.48</v>
      </c>
      <c r="Q2776">
        <v>344</v>
      </c>
      <c r="R2776">
        <v>478</v>
      </c>
    </row>
    <row r="2777" spans="1:18" hidden="1" x14ac:dyDescent="0.2">
      <c r="A2777">
        <v>7</v>
      </c>
      <c r="B2777" t="s">
        <v>72</v>
      </c>
      <c r="E2777" t="s">
        <v>36</v>
      </c>
      <c r="F2777">
        <v>1812560</v>
      </c>
      <c r="G2777">
        <v>3</v>
      </c>
      <c r="H2777">
        <v>1</v>
      </c>
      <c r="I2777">
        <v>644</v>
      </c>
      <c r="J2777">
        <v>1980</v>
      </c>
      <c r="K2777" s="4">
        <v>44417</v>
      </c>
      <c r="L2777" t="s">
        <v>23</v>
      </c>
      <c r="M2777" t="s">
        <v>52</v>
      </c>
      <c r="N2777">
        <v>2.4500000000000002</v>
      </c>
      <c r="O2777">
        <v>1803</v>
      </c>
      <c r="P2777">
        <v>2.52</v>
      </c>
      <c r="Q2777">
        <v>88</v>
      </c>
      <c r="R2777">
        <v>671</v>
      </c>
    </row>
    <row r="2778" spans="1:18" x14ac:dyDescent="0.2">
      <c r="A2778">
        <v>8</v>
      </c>
      <c r="B2778" t="s">
        <v>99</v>
      </c>
      <c r="C2778" t="str">
        <f>VLOOKUP(B2778, 'Council Area'!$A$2:$B$51, 2)</f>
        <v>Canterbury-Bankstown Council</v>
      </c>
      <c r="D2778" t="str">
        <f>_xlfn.XLOOKUP(B2778, 'Council Area'!$A$2:$A$51, 'Council Area'!$B$2:$B$51)</f>
        <v>Canterbury-Bankstown Council</v>
      </c>
      <c r="E2778" t="s">
        <v>51</v>
      </c>
      <c r="F2778">
        <v>1727663</v>
      </c>
      <c r="G2778">
        <v>3</v>
      </c>
      <c r="H2778">
        <v>1</v>
      </c>
      <c r="I2778">
        <v>175</v>
      </c>
      <c r="J2778">
        <v>2015</v>
      </c>
      <c r="K2778" s="4">
        <v>44743</v>
      </c>
      <c r="L2778" t="s">
        <v>23</v>
      </c>
      <c r="M2778" t="s">
        <v>21</v>
      </c>
      <c r="N2778">
        <v>2.17</v>
      </c>
      <c r="O2778">
        <v>2159</v>
      </c>
      <c r="P2778">
        <v>1.04</v>
      </c>
      <c r="Q2778">
        <v>205</v>
      </c>
      <c r="R2778">
        <v>561</v>
      </c>
    </row>
    <row r="2779" spans="1:18" hidden="1" x14ac:dyDescent="0.2">
      <c r="A2779">
        <v>5</v>
      </c>
      <c r="B2779" t="s">
        <v>67</v>
      </c>
      <c r="E2779" t="s">
        <v>51</v>
      </c>
      <c r="F2779">
        <v>1896275</v>
      </c>
      <c r="G2779">
        <v>-2</v>
      </c>
      <c r="H2779">
        <v>2</v>
      </c>
      <c r="I2779">
        <v>692</v>
      </c>
      <c r="J2779">
        <v>1959</v>
      </c>
      <c r="K2779" s="4">
        <v>44210</v>
      </c>
      <c r="L2779" t="s">
        <v>20</v>
      </c>
      <c r="M2779" t="s">
        <v>40</v>
      </c>
      <c r="N2779">
        <v>3.01</v>
      </c>
      <c r="O2779">
        <v>2333</v>
      </c>
      <c r="P2779">
        <v>4.55</v>
      </c>
      <c r="Q2779">
        <v>229</v>
      </c>
      <c r="R2779">
        <v>668</v>
      </c>
    </row>
    <row r="2780" spans="1:18" hidden="1" x14ac:dyDescent="0.2">
      <c r="A2780">
        <v>9</v>
      </c>
      <c r="B2780" t="s">
        <v>99</v>
      </c>
      <c r="E2780" t="s">
        <v>19</v>
      </c>
      <c r="F2780">
        <v>1324849</v>
      </c>
      <c r="G2780">
        <v>5</v>
      </c>
      <c r="H2780">
        <v>2</v>
      </c>
      <c r="I2780">
        <v>321</v>
      </c>
      <c r="J2780">
        <v>2016</v>
      </c>
      <c r="K2780" s="4">
        <v>45768</v>
      </c>
      <c r="L2780" t="s">
        <v>23</v>
      </c>
      <c r="M2780" t="s">
        <v>52</v>
      </c>
      <c r="N2780">
        <v>3.27</v>
      </c>
      <c r="O2780">
        <v>1406</v>
      </c>
      <c r="P2780">
        <v>2.87</v>
      </c>
      <c r="Q2780">
        <v>310</v>
      </c>
      <c r="R2780">
        <v>661</v>
      </c>
    </row>
    <row r="2781" spans="1:18" x14ac:dyDescent="0.2">
      <c r="A2781">
        <v>8</v>
      </c>
      <c r="B2781" t="s">
        <v>73</v>
      </c>
      <c r="C2781" t="str">
        <f>VLOOKUP(B2781, 'Council Area'!$A$2:$B$51, 2)</f>
        <v>Ku-ring-gai Council</v>
      </c>
      <c r="D2781" t="str">
        <f>_xlfn.XLOOKUP(B2781, 'Council Area'!$A$2:$A$51, 'Council Area'!$B$2:$B$51)</f>
        <v>Ku-ring-gai Council</v>
      </c>
      <c r="E2781" t="s">
        <v>19</v>
      </c>
      <c r="F2781">
        <v>954316</v>
      </c>
      <c r="G2781">
        <v>2</v>
      </c>
      <c r="H2781">
        <v>2</v>
      </c>
      <c r="I2781">
        <v>491</v>
      </c>
      <c r="J2781">
        <v>1955</v>
      </c>
      <c r="K2781" s="4">
        <v>45726</v>
      </c>
      <c r="L2781" t="s">
        <v>26</v>
      </c>
      <c r="M2781" t="s">
        <v>76</v>
      </c>
      <c r="N2781">
        <v>1.84</v>
      </c>
      <c r="O2781">
        <v>1746</v>
      </c>
      <c r="P2781">
        <v>1.46</v>
      </c>
      <c r="Q2781">
        <v>107</v>
      </c>
      <c r="R2781">
        <v>487</v>
      </c>
    </row>
    <row r="2782" spans="1:18" hidden="1" x14ac:dyDescent="0.2">
      <c r="A2782">
        <v>7</v>
      </c>
      <c r="B2782" t="s">
        <v>55</v>
      </c>
      <c r="E2782" t="s">
        <v>51</v>
      </c>
      <c r="F2782">
        <v>2207449</v>
      </c>
      <c r="G2782">
        <v>3</v>
      </c>
      <c r="H2782">
        <v>2</v>
      </c>
      <c r="I2782">
        <v>96</v>
      </c>
      <c r="J2782">
        <v>2012</v>
      </c>
      <c r="K2782" s="4">
        <v>44520</v>
      </c>
      <c r="L2782" t="s">
        <v>26</v>
      </c>
      <c r="M2782" t="s">
        <v>45</v>
      </c>
      <c r="N2782">
        <v>3.17</v>
      </c>
      <c r="O2782">
        <v>921</v>
      </c>
      <c r="P2782">
        <v>4.0999999999999996</v>
      </c>
      <c r="Q2782">
        <v>232</v>
      </c>
      <c r="R2782">
        <v>317</v>
      </c>
    </row>
    <row r="2783" spans="1:18" hidden="1" x14ac:dyDescent="0.2">
      <c r="A2783">
        <v>9</v>
      </c>
      <c r="B2783" t="s">
        <v>46</v>
      </c>
      <c r="E2783" t="s">
        <v>36</v>
      </c>
      <c r="F2783">
        <v>2196772</v>
      </c>
      <c r="G2783">
        <v>0</v>
      </c>
      <c r="H2783">
        <v>1</v>
      </c>
      <c r="I2783">
        <v>532</v>
      </c>
      <c r="J2783">
        <v>1974</v>
      </c>
      <c r="K2783" s="4">
        <v>44350</v>
      </c>
      <c r="L2783" t="s">
        <v>26</v>
      </c>
      <c r="M2783" t="s">
        <v>40</v>
      </c>
      <c r="N2783">
        <v>3.36</v>
      </c>
      <c r="O2783">
        <v>954</v>
      </c>
      <c r="P2783">
        <v>2.19</v>
      </c>
      <c r="Q2783">
        <v>68</v>
      </c>
      <c r="R2783">
        <v>375</v>
      </c>
    </row>
    <row r="2784" spans="1:18" hidden="1" x14ac:dyDescent="0.2">
      <c r="A2784">
        <v>1</v>
      </c>
      <c r="B2784" t="s">
        <v>87</v>
      </c>
      <c r="E2784" t="s">
        <v>36</v>
      </c>
      <c r="F2784">
        <v>2631830</v>
      </c>
      <c r="G2784">
        <v>3</v>
      </c>
      <c r="H2784">
        <v>2</v>
      </c>
      <c r="I2784">
        <v>427</v>
      </c>
      <c r="J2784">
        <v>1979</v>
      </c>
      <c r="K2784" s="4">
        <v>45491</v>
      </c>
      <c r="L2784" t="s">
        <v>30</v>
      </c>
      <c r="M2784" t="s">
        <v>40</v>
      </c>
      <c r="N2784">
        <v>2.57</v>
      </c>
      <c r="O2784">
        <v>2488</v>
      </c>
      <c r="P2784">
        <v>0.9</v>
      </c>
      <c r="Q2784">
        <v>287</v>
      </c>
      <c r="R2784">
        <v>551</v>
      </c>
    </row>
    <row r="2785" spans="1:18" hidden="1" x14ac:dyDescent="0.2">
      <c r="A2785">
        <v>4</v>
      </c>
      <c r="B2785" t="s">
        <v>101</v>
      </c>
      <c r="E2785" t="s">
        <v>51</v>
      </c>
      <c r="F2785">
        <v>1935326</v>
      </c>
      <c r="G2785">
        <v>5</v>
      </c>
      <c r="H2785">
        <v>1</v>
      </c>
      <c r="I2785">
        <v>201</v>
      </c>
      <c r="J2785">
        <v>1990</v>
      </c>
      <c r="K2785" s="4">
        <v>44866</v>
      </c>
      <c r="L2785" t="s">
        <v>26</v>
      </c>
      <c r="M2785" t="s">
        <v>78</v>
      </c>
      <c r="N2785">
        <v>3.13</v>
      </c>
      <c r="O2785">
        <v>2128</v>
      </c>
      <c r="P2785">
        <v>1.38</v>
      </c>
      <c r="Q2785">
        <v>330</v>
      </c>
      <c r="R2785">
        <v>562</v>
      </c>
    </row>
    <row r="2786" spans="1:18" hidden="1" x14ac:dyDescent="0.2">
      <c r="A2786">
        <v>2</v>
      </c>
      <c r="B2786" t="s">
        <v>39</v>
      </c>
      <c r="E2786" t="s">
        <v>51</v>
      </c>
      <c r="F2786">
        <v>1560498</v>
      </c>
      <c r="G2786">
        <v>1</v>
      </c>
      <c r="H2786">
        <v>2</v>
      </c>
      <c r="I2786">
        <v>546</v>
      </c>
      <c r="J2786">
        <v>2012</v>
      </c>
      <c r="K2786" s="4">
        <v>44427</v>
      </c>
      <c r="L2786" t="s">
        <v>20</v>
      </c>
      <c r="M2786" t="s">
        <v>31</v>
      </c>
      <c r="N2786">
        <v>1.92</v>
      </c>
      <c r="O2786">
        <v>1712</v>
      </c>
      <c r="P2786">
        <v>0.25</v>
      </c>
      <c r="Q2786">
        <v>108</v>
      </c>
      <c r="R2786">
        <v>312</v>
      </c>
    </row>
    <row r="2787" spans="1:18" hidden="1" x14ac:dyDescent="0.2">
      <c r="A2787">
        <v>5</v>
      </c>
      <c r="B2787" t="s">
        <v>88</v>
      </c>
      <c r="E2787" t="s">
        <v>29</v>
      </c>
      <c r="F2787">
        <v>563206</v>
      </c>
      <c r="G2787">
        <v>5</v>
      </c>
      <c r="H2787">
        <v>3</v>
      </c>
      <c r="I2787">
        <v>216</v>
      </c>
      <c r="J2787">
        <v>1978</v>
      </c>
      <c r="K2787" s="4">
        <v>45621</v>
      </c>
      <c r="L2787" t="s">
        <v>30</v>
      </c>
      <c r="M2787" t="s">
        <v>21</v>
      </c>
      <c r="N2787">
        <v>2.54</v>
      </c>
      <c r="O2787">
        <v>1126</v>
      </c>
      <c r="P2787">
        <v>0.61</v>
      </c>
      <c r="Q2787">
        <v>368</v>
      </c>
      <c r="R2787">
        <v>516</v>
      </c>
    </row>
    <row r="2788" spans="1:18" hidden="1" x14ac:dyDescent="0.2">
      <c r="A2788">
        <v>1</v>
      </c>
      <c r="B2788" t="s">
        <v>90</v>
      </c>
      <c r="E2788" t="s">
        <v>19</v>
      </c>
      <c r="F2788">
        <v>1337557</v>
      </c>
      <c r="G2788">
        <v>4</v>
      </c>
      <c r="H2788">
        <v>1</v>
      </c>
      <c r="I2788">
        <v>271</v>
      </c>
      <c r="J2788">
        <v>1971</v>
      </c>
      <c r="K2788" s="4">
        <v>45615</v>
      </c>
      <c r="L2788" t="s">
        <v>20</v>
      </c>
      <c r="M2788" t="s">
        <v>59</v>
      </c>
      <c r="N2788">
        <v>3.46</v>
      </c>
      <c r="O2788">
        <v>1483</v>
      </c>
      <c r="P2788">
        <v>3.37</v>
      </c>
      <c r="Q2788">
        <v>213</v>
      </c>
      <c r="R2788">
        <v>621</v>
      </c>
    </row>
    <row r="2789" spans="1:18" hidden="1" x14ac:dyDescent="0.2">
      <c r="A2789">
        <v>4</v>
      </c>
      <c r="B2789" t="s">
        <v>88</v>
      </c>
      <c r="E2789" t="s">
        <v>29</v>
      </c>
      <c r="F2789">
        <v>590515</v>
      </c>
      <c r="G2789">
        <v>2</v>
      </c>
      <c r="H2789">
        <v>3</v>
      </c>
      <c r="I2789">
        <v>721</v>
      </c>
      <c r="J2789">
        <v>1977</v>
      </c>
      <c r="K2789" s="4">
        <v>45317</v>
      </c>
      <c r="L2789" t="s">
        <v>26</v>
      </c>
      <c r="M2789" t="s">
        <v>42</v>
      </c>
      <c r="N2789">
        <v>2.76</v>
      </c>
      <c r="O2789">
        <v>2050</v>
      </c>
      <c r="P2789">
        <v>4.5</v>
      </c>
      <c r="Q2789">
        <v>198</v>
      </c>
      <c r="R2789">
        <v>511</v>
      </c>
    </row>
    <row r="2790" spans="1:18" hidden="1" x14ac:dyDescent="0.2">
      <c r="A2790">
        <v>0</v>
      </c>
      <c r="B2790" t="s">
        <v>55</v>
      </c>
      <c r="E2790" t="s">
        <v>29</v>
      </c>
      <c r="F2790">
        <v>2169868</v>
      </c>
      <c r="G2790">
        <v>3</v>
      </c>
      <c r="H2790">
        <v>1</v>
      </c>
      <c r="I2790">
        <v>928</v>
      </c>
      <c r="J2790">
        <v>1990</v>
      </c>
      <c r="K2790" s="4">
        <v>44140</v>
      </c>
      <c r="L2790" t="s">
        <v>20</v>
      </c>
      <c r="M2790" t="s">
        <v>21</v>
      </c>
      <c r="N2790">
        <v>3.43</v>
      </c>
      <c r="O2790">
        <v>1896</v>
      </c>
      <c r="P2790">
        <v>2.23</v>
      </c>
      <c r="Q2790">
        <v>203</v>
      </c>
      <c r="R2790">
        <v>471</v>
      </c>
    </row>
    <row r="2791" spans="1:18" hidden="1" x14ac:dyDescent="0.2">
      <c r="A2791">
        <v>3</v>
      </c>
      <c r="B2791" t="s">
        <v>102</v>
      </c>
      <c r="E2791" t="s">
        <v>29</v>
      </c>
      <c r="F2791">
        <v>1638113</v>
      </c>
      <c r="G2791">
        <v>4</v>
      </c>
      <c r="H2791">
        <v>1</v>
      </c>
      <c r="I2791">
        <v>254</v>
      </c>
      <c r="J2791">
        <v>1967</v>
      </c>
      <c r="K2791" s="4">
        <v>45199</v>
      </c>
      <c r="L2791" t="s">
        <v>30</v>
      </c>
      <c r="M2791" t="s">
        <v>31</v>
      </c>
      <c r="N2791">
        <v>1.54</v>
      </c>
      <c r="O2791">
        <v>1294</v>
      </c>
      <c r="P2791">
        <v>2.87</v>
      </c>
      <c r="Q2791">
        <v>386</v>
      </c>
      <c r="R2791">
        <v>639</v>
      </c>
    </row>
    <row r="2792" spans="1:18" hidden="1" x14ac:dyDescent="0.2">
      <c r="A2792">
        <v>2</v>
      </c>
      <c r="B2792" t="s">
        <v>57</v>
      </c>
      <c r="E2792" t="s">
        <v>29</v>
      </c>
      <c r="F2792">
        <v>1423327</v>
      </c>
      <c r="G2792">
        <v>3</v>
      </c>
      <c r="H2792">
        <v>2</v>
      </c>
      <c r="I2792">
        <v>739</v>
      </c>
      <c r="J2792">
        <v>1964</v>
      </c>
      <c r="K2792" s="4">
        <v>44215</v>
      </c>
      <c r="L2792" t="s">
        <v>30</v>
      </c>
      <c r="M2792" t="s">
        <v>40</v>
      </c>
      <c r="N2792">
        <v>3.12</v>
      </c>
      <c r="O2792">
        <v>1240</v>
      </c>
      <c r="P2792">
        <v>4.13</v>
      </c>
      <c r="Q2792">
        <v>312</v>
      </c>
      <c r="R2792">
        <v>505</v>
      </c>
    </row>
    <row r="2793" spans="1:18" hidden="1" x14ac:dyDescent="0.2">
      <c r="A2793">
        <v>9</v>
      </c>
      <c r="B2793" t="s">
        <v>32</v>
      </c>
      <c r="E2793" t="s">
        <v>36</v>
      </c>
      <c r="F2793">
        <v>1371649</v>
      </c>
      <c r="G2793">
        <v>2</v>
      </c>
      <c r="H2793">
        <v>3</v>
      </c>
      <c r="I2793">
        <v>615</v>
      </c>
      <c r="J2793">
        <v>2016</v>
      </c>
      <c r="K2793" s="4">
        <v>45398</v>
      </c>
      <c r="L2793" t="s">
        <v>26</v>
      </c>
      <c r="M2793" t="s">
        <v>76</v>
      </c>
      <c r="N2793">
        <v>1.94</v>
      </c>
      <c r="O2793">
        <v>1547</v>
      </c>
      <c r="P2793">
        <v>0.85</v>
      </c>
      <c r="Q2793">
        <v>135</v>
      </c>
      <c r="R2793">
        <v>386</v>
      </c>
    </row>
    <row r="2794" spans="1:18" hidden="1" x14ac:dyDescent="0.2">
      <c r="A2794">
        <v>3</v>
      </c>
      <c r="B2794" t="s">
        <v>73</v>
      </c>
      <c r="E2794" t="s">
        <v>19</v>
      </c>
      <c r="F2794">
        <v>2321145</v>
      </c>
      <c r="G2794">
        <v>0</v>
      </c>
      <c r="H2794">
        <v>3</v>
      </c>
      <c r="I2794">
        <v>564</v>
      </c>
      <c r="J2794">
        <v>1961</v>
      </c>
      <c r="K2794" s="4">
        <v>44536</v>
      </c>
      <c r="L2794" t="s">
        <v>20</v>
      </c>
      <c r="M2794" t="s">
        <v>42</v>
      </c>
      <c r="N2794">
        <v>1.55</v>
      </c>
      <c r="O2794">
        <v>2309</v>
      </c>
      <c r="P2794">
        <v>2.41</v>
      </c>
      <c r="Q2794">
        <v>40</v>
      </c>
      <c r="R2794">
        <v>586</v>
      </c>
    </row>
    <row r="2795" spans="1:18" hidden="1" x14ac:dyDescent="0.2">
      <c r="A2795">
        <v>1</v>
      </c>
      <c r="B2795" t="s">
        <v>88</v>
      </c>
      <c r="E2795" t="s">
        <v>36</v>
      </c>
      <c r="F2795">
        <v>2721543</v>
      </c>
      <c r="G2795">
        <v>4</v>
      </c>
      <c r="H2795">
        <v>3</v>
      </c>
      <c r="I2795">
        <v>605</v>
      </c>
      <c r="J2795">
        <v>1972</v>
      </c>
      <c r="K2795" s="4">
        <v>44087</v>
      </c>
      <c r="L2795" t="s">
        <v>26</v>
      </c>
      <c r="M2795" t="s">
        <v>31</v>
      </c>
      <c r="N2795">
        <v>2.67</v>
      </c>
      <c r="O2795">
        <v>1073</v>
      </c>
      <c r="P2795">
        <v>2.74</v>
      </c>
      <c r="Q2795">
        <v>394</v>
      </c>
      <c r="R2795">
        <v>368</v>
      </c>
    </row>
    <row r="2796" spans="1:18" hidden="1" x14ac:dyDescent="0.2">
      <c r="A2796">
        <v>5</v>
      </c>
      <c r="B2796" t="s">
        <v>104</v>
      </c>
      <c r="E2796" t="s">
        <v>19</v>
      </c>
      <c r="F2796">
        <v>400816</v>
      </c>
      <c r="G2796">
        <v>3</v>
      </c>
      <c r="H2796">
        <v>3</v>
      </c>
      <c r="I2796">
        <v>967</v>
      </c>
      <c r="J2796">
        <v>1960</v>
      </c>
      <c r="K2796" s="4">
        <v>45872</v>
      </c>
      <c r="L2796" t="s">
        <v>26</v>
      </c>
      <c r="M2796" t="s">
        <v>97</v>
      </c>
      <c r="N2796">
        <v>3.26</v>
      </c>
      <c r="O2796">
        <v>2297</v>
      </c>
      <c r="P2796">
        <v>2.42</v>
      </c>
      <c r="Q2796">
        <v>309</v>
      </c>
      <c r="R2796">
        <v>323</v>
      </c>
    </row>
    <row r="2797" spans="1:18" hidden="1" x14ac:dyDescent="0.2">
      <c r="A2797">
        <v>0</v>
      </c>
      <c r="B2797" t="s">
        <v>61</v>
      </c>
      <c r="E2797" t="s">
        <v>29</v>
      </c>
      <c r="F2797">
        <v>1328680</v>
      </c>
      <c r="G2797">
        <v>6</v>
      </c>
      <c r="H2797">
        <v>3</v>
      </c>
      <c r="I2797">
        <v>867</v>
      </c>
      <c r="J2797">
        <v>2006</v>
      </c>
      <c r="K2797" s="4">
        <v>45177</v>
      </c>
      <c r="L2797" t="s">
        <v>20</v>
      </c>
      <c r="M2797" t="s">
        <v>47</v>
      </c>
      <c r="N2797">
        <v>2.84</v>
      </c>
      <c r="O2797">
        <v>836</v>
      </c>
      <c r="P2797">
        <v>3.51</v>
      </c>
      <c r="Q2797">
        <v>361</v>
      </c>
      <c r="R2797">
        <v>481</v>
      </c>
    </row>
    <row r="2798" spans="1:18" hidden="1" x14ac:dyDescent="0.2">
      <c r="A2798">
        <v>7</v>
      </c>
      <c r="B2798" t="s">
        <v>83</v>
      </c>
      <c r="E2798" t="s">
        <v>51</v>
      </c>
      <c r="F2798">
        <v>2236528</v>
      </c>
      <c r="G2798">
        <v>3</v>
      </c>
      <c r="H2798">
        <v>1</v>
      </c>
      <c r="I2798">
        <v>976</v>
      </c>
      <c r="J2798">
        <v>1982</v>
      </c>
      <c r="K2798" s="4">
        <v>44438</v>
      </c>
      <c r="L2798" t="s">
        <v>26</v>
      </c>
      <c r="M2798" t="s">
        <v>68</v>
      </c>
      <c r="N2798">
        <v>2.8</v>
      </c>
      <c r="O2798">
        <v>2132</v>
      </c>
      <c r="P2798">
        <v>4.29</v>
      </c>
      <c r="Q2798">
        <v>307</v>
      </c>
      <c r="R2798">
        <v>377</v>
      </c>
    </row>
    <row r="2799" spans="1:18" hidden="1" x14ac:dyDescent="0.2">
      <c r="A2799">
        <v>2</v>
      </c>
      <c r="B2799" t="s">
        <v>25</v>
      </c>
      <c r="E2799" t="s">
        <v>36</v>
      </c>
      <c r="F2799">
        <v>2805979</v>
      </c>
      <c r="G2799">
        <v>3</v>
      </c>
      <c r="H2799">
        <v>2</v>
      </c>
      <c r="I2799">
        <v>761</v>
      </c>
      <c r="J2799">
        <v>1976</v>
      </c>
      <c r="K2799" s="4">
        <v>45820</v>
      </c>
      <c r="L2799" t="s">
        <v>23</v>
      </c>
      <c r="M2799" t="s">
        <v>69</v>
      </c>
      <c r="N2799">
        <v>1.74</v>
      </c>
      <c r="O2799">
        <v>1115</v>
      </c>
      <c r="P2799">
        <v>1.96</v>
      </c>
      <c r="Q2799">
        <v>141</v>
      </c>
      <c r="R2799">
        <v>365</v>
      </c>
    </row>
    <row r="2800" spans="1:18" hidden="1" x14ac:dyDescent="0.2">
      <c r="A2800">
        <v>5</v>
      </c>
      <c r="B2800" t="s">
        <v>87</v>
      </c>
      <c r="E2800" t="s">
        <v>51</v>
      </c>
      <c r="F2800">
        <v>1481574</v>
      </c>
      <c r="G2800">
        <v>2</v>
      </c>
      <c r="H2800">
        <v>1</v>
      </c>
      <c r="I2800">
        <v>51</v>
      </c>
      <c r="J2800">
        <v>2005</v>
      </c>
      <c r="K2800" s="4">
        <v>45239</v>
      </c>
      <c r="L2800" t="s">
        <v>30</v>
      </c>
      <c r="M2800" t="s">
        <v>58</v>
      </c>
      <c r="N2800">
        <v>3.5</v>
      </c>
      <c r="O2800">
        <v>1715</v>
      </c>
      <c r="P2800">
        <v>2.4300000000000002</v>
      </c>
      <c r="Q2800">
        <v>90</v>
      </c>
      <c r="R2800">
        <v>516</v>
      </c>
    </row>
    <row r="2801" spans="1:18" hidden="1" x14ac:dyDescent="0.2">
      <c r="A2801">
        <v>7</v>
      </c>
      <c r="B2801" t="s">
        <v>49</v>
      </c>
      <c r="E2801" t="s">
        <v>51</v>
      </c>
      <c r="F2801">
        <v>2651584</v>
      </c>
      <c r="G2801">
        <v>0</v>
      </c>
      <c r="H2801">
        <v>2</v>
      </c>
      <c r="I2801">
        <v>146</v>
      </c>
      <c r="J2801">
        <v>1999</v>
      </c>
      <c r="K2801" s="4">
        <v>45636</v>
      </c>
      <c r="L2801" t="s">
        <v>23</v>
      </c>
      <c r="M2801" t="s">
        <v>97</v>
      </c>
      <c r="N2801">
        <v>3.32</v>
      </c>
      <c r="O2801">
        <v>1455</v>
      </c>
      <c r="P2801">
        <v>2.74</v>
      </c>
      <c r="Q2801">
        <v>57</v>
      </c>
      <c r="R2801">
        <v>308</v>
      </c>
    </row>
    <row r="2802" spans="1:18" hidden="1" x14ac:dyDescent="0.2">
      <c r="A2802">
        <v>1</v>
      </c>
      <c r="B2802" t="s">
        <v>38</v>
      </c>
      <c r="E2802" t="s">
        <v>19</v>
      </c>
      <c r="F2802">
        <v>1615213</v>
      </c>
      <c r="G2802">
        <v>0</v>
      </c>
      <c r="H2802">
        <v>3</v>
      </c>
      <c r="I2802">
        <v>391</v>
      </c>
      <c r="J2802">
        <v>2018</v>
      </c>
      <c r="K2802" s="4">
        <v>45579</v>
      </c>
      <c r="L2802" t="s">
        <v>20</v>
      </c>
      <c r="M2802" t="s">
        <v>66</v>
      </c>
      <c r="N2802">
        <v>2.5</v>
      </c>
      <c r="O2802">
        <v>1571</v>
      </c>
      <c r="P2802">
        <v>2.4500000000000002</v>
      </c>
      <c r="Q2802">
        <v>80</v>
      </c>
      <c r="R2802">
        <v>316</v>
      </c>
    </row>
    <row r="2803" spans="1:18" hidden="1" x14ac:dyDescent="0.2">
      <c r="A2803">
        <v>0</v>
      </c>
      <c r="B2803" t="s">
        <v>57</v>
      </c>
      <c r="E2803" t="s">
        <v>19</v>
      </c>
      <c r="F2803">
        <v>877309</v>
      </c>
      <c r="G2803">
        <v>3</v>
      </c>
      <c r="H2803">
        <v>3</v>
      </c>
      <c r="I2803">
        <v>861</v>
      </c>
      <c r="J2803">
        <v>2002</v>
      </c>
      <c r="K2803" s="4">
        <v>45364</v>
      </c>
      <c r="L2803" t="s">
        <v>26</v>
      </c>
      <c r="M2803" t="s">
        <v>31</v>
      </c>
      <c r="N2803">
        <v>2.8</v>
      </c>
      <c r="O2803">
        <v>2457</v>
      </c>
      <c r="P2803">
        <v>3.79</v>
      </c>
      <c r="Q2803">
        <v>264</v>
      </c>
      <c r="R2803">
        <v>503</v>
      </c>
    </row>
    <row r="2804" spans="1:18" hidden="1" x14ac:dyDescent="0.2">
      <c r="A2804">
        <v>7</v>
      </c>
      <c r="B2804" t="s">
        <v>105</v>
      </c>
      <c r="E2804" t="s">
        <v>29</v>
      </c>
      <c r="F2804">
        <v>2713571</v>
      </c>
      <c r="G2804">
        <v>3</v>
      </c>
      <c r="H2804">
        <v>1</v>
      </c>
      <c r="I2804">
        <v>551</v>
      </c>
      <c r="J2804">
        <v>2007</v>
      </c>
      <c r="K2804" s="4">
        <v>44736</v>
      </c>
      <c r="L2804" t="s">
        <v>30</v>
      </c>
      <c r="M2804" t="s">
        <v>97</v>
      </c>
      <c r="N2804">
        <v>1.74</v>
      </c>
      <c r="O2804">
        <v>2364</v>
      </c>
      <c r="P2804">
        <v>3.52</v>
      </c>
      <c r="Q2804">
        <v>285</v>
      </c>
      <c r="R2804">
        <v>499</v>
      </c>
    </row>
    <row r="2805" spans="1:18" hidden="1" x14ac:dyDescent="0.2">
      <c r="A2805">
        <v>3</v>
      </c>
      <c r="B2805" t="s">
        <v>99</v>
      </c>
      <c r="E2805" t="s">
        <v>29</v>
      </c>
      <c r="F2805">
        <v>2952659</v>
      </c>
      <c r="G2805">
        <v>1</v>
      </c>
      <c r="H2805">
        <v>1</v>
      </c>
      <c r="I2805">
        <v>129</v>
      </c>
      <c r="J2805">
        <v>1977</v>
      </c>
      <c r="K2805" s="4">
        <v>45012</v>
      </c>
      <c r="L2805" t="s">
        <v>26</v>
      </c>
      <c r="M2805" t="s">
        <v>42</v>
      </c>
      <c r="N2805">
        <v>1.94</v>
      </c>
      <c r="O2805">
        <v>887</v>
      </c>
      <c r="P2805">
        <v>2.83</v>
      </c>
      <c r="Q2805">
        <v>159</v>
      </c>
      <c r="R2805">
        <v>443</v>
      </c>
    </row>
    <row r="2806" spans="1:18" hidden="1" x14ac:dyDescent="0.2">
      <c r="A2806">
        <v>3</v>
      </c>
      <c r="B2806" t="s">
        <v>95</v>
      </c>
      <c r="E2806" t="s">
        <v>51</v>
      </c>
      <c r="F2806">
        <v>617728</v>
      </c>
      <c r="G2806">
        <v>5</v>
      </c>
      <c r="H2806">
        <v>1</v>
      </c>
      <c r="I2806">
        <v>473</v>
      </c>
      <c r="J2806">
        <v>1959</v>
      </c>
      <c r="K2806" s="4">
        <v>44582</v>
      </c>
      <c r="L2806" t="s">
        <v>30</v>
      </c>
      <c r="M2806" t="s">
        <v>52</v>
      </c>
      <c r="N2806">
        <v>1.67</v>
      </c>
      <c r="O2806">
        <v>2306</v>
      </c>
      <c r="P2806">
        <v>3.57</v>
      </c>
      <c r="Q2806">
        <v>297</v>
      </c>
      <c r="R2806">
        <v>487</v>
      </c>
    </row>
    <row r="2807" spans="1:18" hidden="1" x14ac:dyDescent="0.2">
      <c r="A2807">
        <v>9</v>
      </c>
      <c r="B2807" t="s">
        <v>86</v>
      </c>
      <c r="E2807" t="s">
        <v>29</v>
      </c>
      <c r="F2807">
        <v>933132</v>
      </c>
      <c r="G2807">
        <v>3</v>
      </c>
      <c r="H2807">
        <v>3</v>
      </c>
      <c r="I2807">
        <v>612</v>
      </c>
      <c r="J2807">
        <v>1956</v>
      </c>
      <c r="K2807" s="4">
        <v>45010</v>
      </c>
      <c r="L2807" t="s">
        <v>26</v>
      </c>
      <c r="M2807" t="s">
        <v>35</v>
      </c>
      <c r="N2807">
        <v>1.82</v>
      </c>
      <c r="O2807">
        <v>2323</v>
      </c>
      <c r="P2807">
        <v>0.18</v>
      </c>
      <c r="Q2807">
        <v>275</v>
      </c>
      <c r="R2807">
        <v>646</v>
      </c>
    </row>
    <row r="2808" spans="1:18" hidden="1" x14ac:dyDescent="0.2">
      <c r="A2808">
        <v>0</v>
      </c>
      <c r="B2808" t="s">
        <v>64</v>
      </c>
      <c r="E2808" t="s">
        <v>19</v>
      </c>
      <c r="F2808">
        <v>680876</v>
      </c>
      <c r="G2808">
        <v>3</v>
      </c>
      <c r="H2808">
        <v>1</v>
      </c>
      <c r="I2808">
        <v>144</v>
      </c>
      <c r="J2808">
        <v>1988</v>
      </c>
      <c r="K2808" s="4">
        <v>44459</v>
      </c>
      <c r="L2808" t="s">
        <v>20</v>
      </c>
      <c r="M2808" t="s">
        <v>31</v>
      </c>
      <c r="N2808">
        <v>1.79</v>
      </c>
      <c r="O2808">
        <v>2063</v>
      </c>
      <c r="P2808">
        <v>0.76</v>
      </c>
      <c r="Q2808">
        <v>280</v>
      </c>
      <c r="R2808">
        <v>459</v>
      </c>
    </row>
    <row r="2809" spans="1:18" hidden="1" x14ac:dyDescent="0.2">
      <c r="A2809">
        <v>0</v>
      </c>
      <c r="B2809" t="s">
        <v>46</v>
      </c>
      <c r="E2809" t="s">
        <v>36</v>
      </c>
      <c r="F2809">
        <v>1930768</v>
      </c>
      <c r="G2809">
        <v>1</v>
      </c>
      <c r="H2809">
        <v>2</v>
      </c>
      <c r="I2809">
        <v>288</v>
      </c>
      <c r="J2809">
        <v>1995</v>
      </c>
      <c r="K2809" s="4">
        <v>44409</v>
      </c>
      <c r="L2809" t="s">
        <v>30</v>
      </c>
      <c r="M2809" t="s">
        <v>21</v>
      </c>
      <c r="N2809">
        <v>2.66</v>
      </c>
      <c r="O2809">
        <v>1421</v>
      </c>
      <c r="P2809">
        <v>4.32</v>
      </c>
      <c r="Q2809">
        <v>58</v>
      </c>
      <c r="R2809">
        <v>587</v>
      </c>
    </row>
    <row r="2810" spans="1:18" hidden="1" x14ac:dyDescent="0.2">
      <c r="A2810">
        <v>7</v>
      </c>
      <c r="B2810" t="s">
        <v>106</v>
      </c>
      <c r="E2810" t="s">
        <v>36</v>
      </c>
      <c r="F2810">
        <v>2924841</v>
      </c>
      <c r="G2810">
        <v>2</v>
      </c>
      <c r="H2810">
        <v>1</v>
      </c>
      <c r="I2810">
        <v>758</v>
      </c>
      <c r="J2810">
        <v>1957</v>
      </c>
      <c r="K2810" s="4">
        <v>44531</v>
      </c>
      <c r="L2810" t="s">
        <v>20</v>
      </c>
      <c r="M2810" t="s">
        <v>69</v>
      </c>
      <c r="N2810">
        <v>3.12</v>
      </c>
      <c r="O2810">
        <v>1136</v>
      </c>
      <c r="P2810">
        <v>4.75</v>
      </c>
      <c r="Q2810">
        <v>42</v>
      </c>
      <c r="R2810">
        <v>389</v>
      </c>
    </row>
    <row r="2811" spans="1:18" hidden="1" x14ac:dyDescent="0.2">
      <c r="A2811">
        <v>3</v>
      </c>
      <c r="B2811" t="s">
        <v>105</v>
      </c>
      <c r="E2811" t="s">
        <v>51</v>
      </c>
      <c r="F2811">
        <v>2434890</v>
      </c>
      <c r="G2811">
        <v>4</v>
      </c>
      <c r="H2811">
        <v>3</v>
      </c>
      <c r="I2811">
        <v>94</v>
      </c>
      <c r="J2811">
        <v>1963</v>
      </c>
      <c r="K2811" s="4">
        <v>45607</v>
      </c>
      <c r="L2811" t="s">
        <v>26</v>
      </c>
      <c r="M2811" t="s">
        <v>76</v>
      </c>
      <c r="N2811">
        <v>3.12</v>
      </c>
      <c r="O2811">
        <v>2377</v>
      </c>
      <c r="P2811">
        <v>2.37</v>
      </c>
      <c r="Q2811">
        <v>283</v>
      </c>
      <c r="R2811">
        <v>301</v>
      </c>
    </row>
    <row r="2812" spans="1:18" hidden="1" x14ac:dyDescent="0.2">
      <c r="A2812">
        <v>2</v>
      </c>
      <c r="B2812" t="s">
        <v>102</v>
      </c>
      <c r="E2812" t="s">
        <v>36</v>
      </c>
      <c r="F2812">
        <v>1183330</v>
      </c>
      <c r="G2812">
        <v>3</v>
      </c>
      <c r="H2812">
        <v>1</v>
      </c>
      <c r="I2812">
        <v>894</v>
      </c>
      <c r="J2812">
        <v>2008</v>
      </c>
      <c r="K2812" s="4">
        <v>45309</v>
      </c>
      <c r="L2812" t="s">
        <v>30</v>
      </c>
      <c r="M2812" t="s">
        <v>31</v>
      </c>
      <c r="N2812">
        <v>3.44</v>
      </c>
      <c r="O2812">
        <v>1713</v>
      </c>
      <c r="P2812">
        <v>1.1200000000000001</v>
      </c>
      <c r="Q2812">
        <v>306</v>
      </c>
      <c r="R2812">
        <v>318</v>
      </c>
    </row>
    <row r="2813" spans="1:18" hidden="1" x14ac:dyDescent="0.2">
      <c r="A2813">
        <v>3</v>
      </c>
      <c r="B2813" t="s">
        <v>99</v>
      </c>
      <c r="E2813" t="s">
        <v>51</v>
      </c>
      <c r="F2813">
        <v>655352</v>
      </c>
      <c r="G2813">
        <v>3</v>
      </c>
      <c r="H2813">
        <v>1</v>
      </c>
      <c r="I2813">
        <v>500</v>
      </c>
      <c r="J2813">
        <v>1956</v>
      </c>
      <c r="K2813" s="4">
        <v>45083</v>
      </c>
      <c r="L2813" t="s">
        <v>26</v>
      </c>
      <c r="M2813" t="s">
        <v>97</v>
      </c>
      <c r="N2813">
        <v>2.87</v>
      </c>
      <c r="O2813">
        <v>2382</v>
      </c>
      <c r="P2813">
        <v>4.72</v>
      </c>
      <c r="Q2813">
        <v>273</v>
      </c>
      <c r="R2813">
        <v>583</v>
      </c>
    </row>
    <row r="2814" spans="1:18" hidden="1" x14ac:dyDescent="0.2">
      <c r="A2814">
        <v>6</v>
      </c>
      <c r="B2814" t="s">
        <v>91</v>
      </c>
      <c r="E2814" t="s">
        <v>19</v>
      </c>
      <c r="F2814">
        <v>2971911</v>
      </c>
      <c r="G2814">
        <v>2</v>
      </c>
      <c r="H2814">
        <v>1</v>
      </c>
      <c r="I2814">
        <v>217</v>
      </c>
      <c r="J2814">
        <v>2021</v>
      </c>
      <c r="K2814" s="4">
        <v>45797</v>
      </c>
      <c r="L2814" t="s">
        <v>30</v>
      </c>
      <c r="M2814" t="s">
        <v>54</v>
      </c>
      <c r="N2814">
        <v>2.2200000000000002</v>
      </c>
      <c r="O2814">
        <v>2307</v>
      </c>
      <c r="P2814">
        <v>2.15</v>
      </c>
      <c r="Q2814">
        <v>200</v>
      </c>
      <c r="R2814">
        <v>312</v>
      </c>
    </row>
    <row r="2815" spans="1:18" hidden="1" x14ac:dyDescent="0.2">
      <c r="A2815">
        <v>9</v>
      </c>
      <c r="B2815" t="s">
        <v>55</v>
      </c>
      <c r="E2815" t="s">
        <v>19</v>
      </c>
      <c r="F2815">
        <v>518131</v>
      </c>
      <c r="G2815">
        <v>2</v>
      </c>
      <c r="H2815">
        <v>2</v>
      </c>
      <c r="I2815">
        <v>257</v>
      </c>
      <c r="J2815">
        <v>1974</v>
      </c>
      <c r="K2815" s="4">
        <v>44110</v>
      </c>
      <c r="L2815" t="s">
        <v>30</v>
      </c>
      <c r="M2815" t="s">
        <v>70</v>
      </c>
      <c r="N2815">
        <v>2.2599999999999998</v>
      </c>
      <c r="O2815">
        <v>1055</v>
      </c>
      <c r="P2815">
        <v>3.62</v>
      </c>
      <c r="Q2815">
        <v>101</v>
      </c>
      <c r="R2815">
        <v>593</v>
      </c>
    </row>
    <row r="2816" spans="1:18" hidden="1" x14ac:dyDescent="0.2">
      <c r="A2816">
        <v>7</v>
      </c>
      <c r="B2816" t="s">
        <v>105</v>
      </c>
      <c r="E2816" t="s">
        <v>29</v>
      </c>
      <c r="F2816">
        <v>2316869</v>
      </c>
      <c r="G2816">
        <v>6</v>
      </c>
      <c r="H2816">
        <v>1</v>
      </c>
      <c r="I2816">
        <v>488</v>
      </c>
      <c r="J2816">
        <v>1964</v>
      </c>
      <c r="K2816" s="4">
        <v>44134</v>
      </c>
      <c r="L2816" t="s">
        <v>26</v>
      </c>
      <c r="M2816" t="s">
        <v>56</v>
      </c>
      <c r="N2816">
        <v>1.94</v>
      </c>
      <c r="O2816">
        <v>2245</v>
      </c>
      <c r="P2816">
        <v>4.1500000000000004</v>
      </c>
      <c r="Q2816">
        <v>343</v>
      </c>
      <c r="R2816">
        <v>387</v>
      </c>
    </row>
    <row r="2817" spans="1:18" hidden="1" x14ac:dyDescent="0.2">
      <c r="A2817">
        <v>4</v>
      </c>
      <c r="B2817" t="s">
        <v>34</v>
      </c>
      <c r="E2817" t="s">
        <v>51</v>
      </c>
      <c r="F2817">
        <v>2709668</v>
      </c>
      <c r="G2817">
        <v>1</v>
      </c>
      <c r="H2817">
        <v>3</v>
      </c>
      <c r="I2817">
        <v>265</v>
      </c>
      <c r="J2817">
        <v>2009</v>
      </c>
      <c r="K2817" s="4">
        <v>44146</v>
      </c>
      <c r="L2817" t="s">
        <v>26</v>
      </c>
      <c r="M2817" t="s">
        <v>54</v>
      </c>
      <c r="N2817">
        <v>1.94</v>
      </c>
      <c r="O2817">
        <v>1103</v>
      </c>
      <c r="P2817">
        <v>4.25</v>
      </c>
      <c r="Q2817">
        <v>101</v>
      </c>
      <c r="R2817">
        <v>601</v>
      </c>
    </row>
    <row r="2818" spans="1:18" hidden="1" x14ac:dyDescent="0.2">
      <c r="A2818">
        <v>2</v>
      </c>
      <c r="B2818" t="s">
        <v>72</v>
      </c>
      <c r="E2818" t="s">
        <v>51</v>
      </c>
      <c r="F2818">
        <v>2982635</v>
      </c>
      <c r="G2818">
        <v>3</v>
      </c>
      <c r="H2818">
        <v>2</v>
      </c>
      <c r="I2818">
        <v>829</v>
      </c>
      <c r="J2818">
        <v>1970</v>
      </c>
      <c r="K2818" s="4">
        <v>45682</v>
      </c>
      <c r="L2818" t="s">
        <v>20</v>
      </c>
      <c r="M2818" t="s">
        <v>33</v>
      </c>
      <c r="N2818">
        <v>2.34</v>
      </c>
      <c r="O2818">
        <v>876</v>
      </c>
      <c r="P2818">
        <v>4.8099999999999996</v>
      </c>
      <c r="Q2818">
        <v>82</v>
      </c>
      <c r="R2818">
        <v>326</v>
      </c>
    </row>
    <row r="2819" spans="1:18" hidden="1" x14ac:dyDescent="0.2">
      <c r="A2819">
        <v>7</v>
      </c>
      <c r="B2819" t="s">
        <v>34</v>
      </c>
      <c r="E2819" t="s">
        <v>19</v>
      </c>
      <c r="F2819">
        <v>461196</v>
      </c>
      <c r="G2819">
        <v>3</v>
      </c>
      <c r="H2819">
        <v>1</v>
      </c>
      <c r="I2819">
        <v>730</v>
      </c>
      <c r="J2819">
        <v>2005</v>
      </c>
      <c r="K2819" s="4">
        <v>44699</v>
      </c>
      <c r="L2819" t="s">
        <v>23</v>
      </c>
      <c r="M2819" t="s">
        <v>52</v>
      </c>
      <c r="N2819">
        <v>1.9</v>
      </c>
      <c r="O2819">
        <v>1667</v>
      </c>
      <c r="P2819">
        <v>3.84</v>
      </c>
      <c r="Q2819">
        <v>97</v>
      </c>
      <c r="R2819">
        <v>653</v>
      </c>
    </row>
    <row r="2820" spans="1:18" hidden="1" x14ac:dyDescent="0.2">
      <c r="A2820">
        <v>1</v>
      </c>
      <c r="B2820" t="s">
        <v>22</v>
      </c>
      <c r="E2820" t="s">
        <v>19</v>
      </c>
      <c r="F2820">
        <v>2821958</v>
      </c>
      <c r="G2820">
        <v>5</v>
      </c>
      <c r="H2820">
        <v>2</v>
      </c>
      <c r="I2820">
        <v>532</v>
      </c>
      <c r="J2820">
        <v>1951</v>
      </c>
      <c r="K2820" s="4">
        <v>44819</v>
      </c>
      <c r="L2820" t="s">
        <v>20</v>
      </c>
      <c r="M2820" t="s">
        <v>58</v>
      </c>
      <c r="N2820">
        <v>3.35</v>
      </c>
      <c r="O2820">
        <v>1034</v>
      </c>
      <c r="P2820">
        <v>2.17</v>
      </c>
      <c r="Q2820">
        <v>393</v>
      </c>
      <c r="R2820">
        <v>310</v>
      </c>
    </row>
    <row r="2821" spans="1:18" hidden="1" x14ac:dyDescent="0.2">
      <c r="A2821">
        <v>1</v>
      </c>
      <c r="B2821" t="s">
        <v>104</v>
      </c>
      <c r="E2821" t="s">
        <v>29</v>
      </c>
      <c r="F2821">
        <v>1240882</v>
      </c>
      <c r="G2821">
        <v>6</v>
      </c>
      <c r="H2821">
        <v>3</v>
      </c>
      <c r="I2821">
        <v>667</v>
      </c>
      <c r="J2821">
        <v>1962</v>
      </c>
      <c r="K2821" s="4">
        <v>44725</v>
      </c>
      <c r="L2821" t="s">
        <v>26</v>
      </c>
      <c r="M2821" t="s">
        <v>52</v>
      </c>
      <c r="N2821">
        <v>2.61</v>
      </c>
      <c r="O2821">
        <v>1682</v>
      </c>
      <c r="P2821">
        <v>3.09</v>
      </c>
      <c r="Q2821">
        <v>325</v>
      </c>
      <c r="R2821">
        <v>447</v>
      </c>
    </row>
    <row r="2822" spans="1:18" hidden="1" x14ac:dyDescent="0.2">
      <c r="A2822">
        <v>7</v>
      </c>
      <c r="B2822" t="s">
        <v>44</v>
      </c>
      <c r="E2822" t="s">
        <v>36</v>
      </c>
      <c r="F2822">
        <v>2929692</v>
      </c>
      <c r="G2822">
        <v>6</v>
      </c>
      <c r="H2822">
        <v>3</v>
      </c>
      <c r="I2822">
        <v>946</v>
      </c>
      <c r="J2822">
        <v>1995</v>
      </c>
      <c r="K2822" s="4">
        <v>44814</v>
      </c>
      <c r="L2822" t="s">
        <v>30</v>
      </c>
      <c r="M2822" t="s">
        <v>27</v>
      </c>
      <c r="N2822">
        <v>2.06</v>
      </c>
      <c r="O2822">
        <v>1579</v>
      </c>
      <c r="P2822">
        <v>4.28</v>
      </c>
      <c r="Q2822">
        <v>354</v>
      </c>
      <c r="R2822">
        <v>304</v>
      </c>
    </row>
    <row r="2823" spans="1:18" hidden="1" x14ac:dyDescent="0.2">
      <c r="A2823">
        <v>0</v>
      </c>
      <c r="B2823" t="s">
        <v>25</v>
      </c>
      <c r="E2823" t="s">
        <v>36</v>
      </c>
      <c r="F2823">
        <v>782077</v>
      </c>
      <c r="G2823">
        <v>4</v>
      </c>
      <c r="H2823">
        <v>2</v>
      </c>
      <c r="I2823">
        <v>293</v>
      </c>
      <c r="J2823">
        <v>2009</v>
      </c>
      <c r="K2823" s="4">
        <v>45214</v>
      </c>
      <c r="L2823" t="s">
        <v>30</v>
      </c>
      <c r="M2823" t="s">
        <v>74</v>
      </c>
      <c r="N2823">
        <v>2.84</v>
      </c>
      <c r="O2823">
        <v>847</v>
      </c>
      <c r="P2823">
        <v>1.96</v>
      </c>
      <c r="Q2823">
        <v>400</v>
      </c>
      <c r="R2823">
        <v>400</v>
      </c>
    </row>
    <row r="2824" spans="1:18" hidden="1" x14ac:dyDescent="0.2">
      <c r="A2824">
        <v>1</v>
      </c>
      <c r="B2824" t="s">
        <v>18</v>
      </c>
      <c r="E2824" t="s">
        <v>19</v>
      </c>
      <c r="F2824">
        <v>2723526</v>
      </c>
      <c r="G2824">
        <v>5</v>
      </c>
      <c r="H2824">
        <v>2</v>
      </c>
      <c r="I2824">
        <v>635</v>
      </c>
      <c r="J2824">
        <v>1995</v>
      </c>
      <c r="K2824" s="4">
        <v>44222</v>
      </c>
      <c r="L2824" t="s">
        <v>26</v>
      </c>
      <c r="M2824" t="s">
        <v>52</v>
      </c>
      <c r="N2824">
        <v>1.59</v>
      </c>
      <c r="O2824">
        <v>2096</v>
      </c>
      <c r="P2824">
        <v>2.11</v>
      </c>
      <c r="Q2824">
        <v>244</v>
      </c>
      <c r="R2824">
        <v>653</v>
      </c>
    </row>
    <row r="2825" spans="1:18" hidden="1" x14ac:dyDescent="0.2">
      <c r="A2825">
        <v>3</v>
      </c>
      <c r="B2825" t="s">
        <v>57</v>
      </c>
      <c r="E2825" t="s">
        <v>19</v>
      </c>
      <c r="F2825">
        <v>1052294</v>
      </c>
      <c r="G2825">
        <v>3</v>
      </c>
      <c r="H2825">
        <v>2</v>
      </c>
      <c r="I2825">
        <v>769</v>
      </c>
      <c r="J2825">
        <v>1991</v>
      </c>
      <c r="K2825" s="4">
        <v>45372</v>
      </c>
      <c r="L2825" t="s">
        <v>30</v>
      </c>
      <c r="M2825" t="s">
        <v>47</v>
      </c>
      <c r="N2825">
        <v>2.4500000000000002</v>
      </c>
      <c r="O2825">
        <v>2473</v>
      </c>
      <c r="P2825">
        <v>2</v>
      </c>
      <c r="Q2825">
        <v>120</v>
      </c>
      <c r="R2825">
        <v>637</v>
      </c>
    </row>
    <row r="2826" spans="1:18" hidden="1" x14ac:dyDescent="0.2">
      <c r="A2826">
        <v>4</v>
      </c>
      <c r="B2826" t="s">
        <v>75</v>
      </c>
      <c r="E2826" t="s">
        <v>29</v>
      </c>
      <c r="F2826">
        <v>2607259</v>
      </c>
      <c r="G2826">
        <v>0</v>
      </c>
      <c r="H2826">
        <v>3</v>
      </c>
      <c r="I2826">
        <v>378</v>
      </c>
      <c r="J2826">
        <v>2017</v>
      </c>
      <c r="K2826" s="4">
        <v>44438</v>
      </c>
      <c r="L2826" t="s">
        <v>20</v>
      </c>
      <c r="M2826" t="s">
        <v>42</v>
      </c>
      <c r="N2826">
        <v>1.75</v>
      </c>
      <c r="O2826">
        <v>1347</v>
      </c>
      <c r="P2826">
        <v>2.2999999999999998</v>
      </c>
      <c r="Q2826">
        <v>74</v>
      </c>
      <c r="R2826">
        <v>318</v>
      </c>
    </row>
    <row r="2827" spans="1:18" hidden="1" x14ac:dyDescent="0.2">
      <c r="A2827">
        <v>4</v>
      </c>
      <c r="B2827" t="s">
        <v>106</v>
      </c>
      <c r="E2827" t="s">
        <v>51</v>
      </c>
      <c r="F2827">
        <v>2462554</v>
      </c>
      <c r="G2827">
        <v>3</v>
      </c>
      <c r="H2827">
        <v>3</v>
      </c>
      <c r="I2827">
        <v>601</v>
      </c>
      <c r="J2827">
        <v>1990</v>
      </c>
      <c r="K2827" s="4">
        <v>44140</v>
      </c>
      <c r="L2827" t="s">
        <v>30</v>
      </c>
      <c r="M2827" t="s">
        <v>70</v>
      </c>
      <c r="N2827">
        <v>1.8</v>
      </c>
      <c r="O2827">
        <v>1520</v>
      </c>
      <c r="P2827">
        <v>1.35</v>
      </c>
      <c r="Q2827">
        <v>231</v>
      </c>
      <c r="R2827">
        <v>594</v>
      </c>
    </row>
    <row r="2828" spans="1:18" hidden="1" x14ac:dyDescent="0.2">
      <c r="A2828">
        <v>1</v>
      </c>
      <c r="B2828" t="s">
        <v>41</v>
      </c>
      <c r="E2828" t="s">
        <v>51</v>
      </c>
      <c r="F2828">
        <v>1416318</v>
      </c>
      <c r="G2828">
        <v>4</v>
      </c>
      <c r="H2828">
        <v>3</v>
      </c>
      <c r="I2828">
        <v>971</v>
      </c>
      <c r="J2828">
        <v>1961</v>
      </c>
      <c r="K2828" s="4">
        <v>45188</v>
      </c>
      <c r="L2828" t="s">
        <v>30</v>
      </c>
      <c r="M2828" t="s">
        <v>54</v>
      </c>
      <c r="N2828">
        <v>2.2000000000000002</v>
      </c>
      <c r="O2828">
        <v>2443</v>
      </c>
      <c r="P2828">
        <v>4.8499999999999996</v>
      </c>
      <c r="Q2828">
        <v>340</v>
      </c>
      <c r="R2828">
        <v>494</v>
      </c>
    </row>
    <row r="2829" spans="1:18" hidden="1" x14ac:dyDescent="0.2">
      <c r="A2829">
        <v>3</v>
      </c>
      <c r="B2829" t="s">
        <v>55</v>
      </c>
      <c r="E2829" t="s">
        <v>19</v>
      </c>
      <c r="F2829">
        <v>2117842</v>
      </c>
      <c r="G2829">
        <v>2</v>
      </c>
      <c r="H2829">
        <v>3</v>
      </c>
      <c r="I2829">
        <v>245</v>
      </c>
      <c r="J2829">
        <v>2002</v>
      </c>
      <c r="K2829" s="4">
        <v>45088</v>
      </c>
      <c r="L2829" t="s">
        <v>30</v>
      </c>
      <c r="M2829" t="s">
        <v>68</v>
      </c>
      <c r="N2829">
        <v>1.75</v>
      </c>
      <c r="O2829">
        <v>1037</v>
      </c>
      <c r="P2829">
        <v>2.74</v>
      </c>
      <c r="Q2829">
        <v>228</v>
      </c>
      <c r="R2829">
        <v>355</v>
      </c>
    </row>
    <row r="2830" spans="1:18" hidden="1" x14ac:dyDescent="0.2">
      <c r="A2830">
        <v>7</v>
      </c>
      <c r="B2830" t="s">
        <v>101</v>
      </c>
      <c r="E2830" t="s">
        <v>51</v>
      </c>
      <c r="F2830">
        <v>601541</v>
      </c>
      <c r="G2830">
        <v>1</v>
      </c>
      <c r="H2830">
        <v>1</v>
      </c>
      <c r="I2830">
        <v>843</v>
      </c>
      <c r="J2830">
        <v>2022</v>
      </c>
      <c r="K2830" s="4">
        <v>45301</v>
      </c>
      <c r="L2830" t="s">
        <v>26</v>
      </c>
      <c r="M2830" t="s">
        <v>42</v>
      </c>
      <c r="N2830">
        <v>2.88</v>
      </c>
      <c r="O2830">
        <v>2375</v>
      </c>
      <c r="P2830">
        <v>0.22</v>
      </c>
      <c r="Q2830">
        <v>144</v>
      </c>
      <c r="R2830">
        <v>612</v>
      </c>
    </row>
    <row r="2831" spans="1:18" hidden="1" x14ac:dyDescent="0.2">
      <c r="A2831">
        <v>4</v>
      </c>
      <c r="B2831" t="s">
        <v>84</v>
      </c>
      <c r="E2831" t="s">
        <v>36</v>
      </c>
      <c r="F2831">
        <v>1192305</v>
      </c>
      <c r="G2831">
        <v>4</v>
      </c>
      <c r="H2831">
        <v>1</v>
      </c>
      <c r="I2831">
        <v>864</v>
      </c>
      <c r="J2831">
        <v>2006</v>
      </c>
      <c r="K2831" s="4">
        <v>44098</v>
      </c>
      <c r="L2831" t="s">
        <v>30</v>
      </c>
      <c r="M2831" t="s">
        <v>58</v>
      </c>
      <c r="N2831">
        <v>1.87</v>
      </c>
      <c r="O2831">
        <v>1427</v>
      </c>
      <c r="P2831">
        <v>0.64</v>
      </c>
      <c r="Q2831">
        <v>316</v>
      </c>
      <c r="R2831">
        <v>356</v>
      </c>
    </row>
    <row r="2832" spans="1:18" hidden="1" x14ac:dyDescent="0.2">
      <c r="A2832">
        <v>4</v>
      </c>
      <c r="B2832" t="s">
        <v>99</v>
      </c>
      <c r="E2832" t="s">
        <v>19</v>
      </c>
      <c r="F2832">
        <v>647748</v>
      </c>
      <c r="G2832">
        <v>1</v>
      </c>
      <c r="H2832">
        <v>1</v>
      </c>
      <c r="I2832">
        <v>187</v>
      </c>
      <c r="J2832">
        <v>1952</v>
      </c>
      <c r="K2832" s="4">
        <v>44973</v>
      </c>
      <c r="L2832" t="s">
        <v>23</v>
      </c>
      <c r="M2832" t="s">
        <v>63</v>
      </c>
      <c r="N2832">
        <v>3.25</v>
      </c>
      <c r="O2832">
        <v>2031</v>
      </c>
      <c r="P2832">
        <v>4.16</v>
      </c>
      <c r="Q2832">
        <v>69</v>
      </c>
      <c r="R2832">
        <v>427</v>
      </c>
    </row>
    <row r="2833" spans="1:18" hidden="1" x14ac:dyDescent="0.2">
      <c r="A2833">
        <v>0</v>
      </c>
      <c r="B2833" t="s">
        <v>46</v>
      </c>
      <c r="E2833" t="s">
        <v>36</v>
      </c>
      <c r="F2833">
        <v>2504468</v>
      </c>
      <c r="G2833">
        <v>2</v>
      </c>
      <c r="H2833">
        <v>2</v>
      </c>
      <c r="I2833">
        <v>784</v>
      </c>
      <c r="J2833">
        <v>1985</v>
      </c>
      <c r="K2833" s="4">
        <v>45623</v>
      </c>
      <c r="L2833" t="s">
        <v>26</v>
      </c>
      <c r="M2833" t="s">
        <v>54</v>
      </c>
      <c r="N2833">
        <v>3.36</v>
      </c>
      <c r="O2833">
        <v>1493</v>
      </c>
      <c r="P2833">
        <v>1.89</v>
      </c>
      <c r="Q2833">
        <v>229</v>
      </c>
      <c r="R2833">
        <v>512</v>
      </c>
    </row>
    <row r="2834" spans="1:18" hidden="1" x14ac:dyDescent="0.2">
      <c r="A2834">
        <v>1</v>
      </c>
      <c r="B2834" t="s">
        <v>101</v>
      </c>
      <c r="E2834" t="s">
        <v>36</v>
      </c>
      <c r="F2834">
        <v>2287169</v>
      </c>
      <c r="G2834">
        <v>3</v>
      </c>
      <c r="H2834">
        <v>3</v>
      </c>
      <c r="I2834">
        <v>374</v>
      </c>
      <c r="J2834">
        <v>2008</v>
      </c>
      <c r="K2834" s="4">
        <v>45576</v>
      </c>
      <c r="L2834" t="s">
        <v>30</v>
      </c>
      <c r="M2834" t="s">
        <v>85</v>
      </c>
      <c r="N2834">
        <v>2.21</v>
      </c>
      <c r="O2834">
        <v>2108</v>
      </c>
      <c r="P2834">
        <v>3.09</v>
      </c>
      <c r="Q2834">
        <v>219</v>
      </c>
      <c r="R2834">
        <v>497</v>
      </c>
    </row>
    <row r="2835" spans="1:18" hidden="1" x14ac:dyDescent="0.2">
      <c r="A2835">
        <v>6</v>
      </c>
      <c r="B2835" t="s">
        <v>87</v>
      </c>
      <c r="E2835" t="s">
        <v>29</v>
      </c>
      <c r="F2835">
        <v>2945099</v>
      </c>
      <c r="G2835">
        <v>1</v>
      </c>
      <c r="H2835">
        <v>3</v>
      </c>
      <c r="I2835">
        <v>651</v>
      </c>
      <c r="J2835">
        <v>1967</v>
      </c>
      <c r="K2835" s="4">
        <v>44549</v>
      </c>
      <c r="L2835" t="s">
        <v>23</v>
      </c>
      <c r="M2835" t="s">
        <v>58</v>
      </c>
      <c r="N2835">
        <v>2.56</v>
      </c>
      <c r="O2835">
        <v>917</v>
      </c>
      <c r="P2835">
        <v>0.91</v>
      </c>
      <c r="Q2835">
        <v>63</v>
      </c>
      <c r="R2835">
        <v>646</v>
      </c>
    </row>
    <row r="2836" spans="1:18" hidden="1" x14ac:dyDescent="0.2">
      <c r="A2836">
        <v>5</v>
      </c>
      <c r="B2836" t="s">
        <v>83</v>
      </c>
      <c r="E2836" t="s">
        <v>36</v>
      </c>
      <c r="F2836">
        <v>420424</v>
      </c>
      <c r="G2836">
        <v>5</v>
      </c>
      <c r="H2836">
        <v>1</v>
      </c>
      <c r="I2836">
        <v>704</v>
      </c>
      <c r="J2836">
        <v>1996</v>
      </c>
      <c r="K2836" s="4">
        <v>45353</v>
      </c>
      <c r="L2836" t="s">
        <v>23</v>
      </c>
      <c r="M2836" t="s">
        <v>82</v>
      </c>
      <c r="N2836">
        <v>3.1</v>
      </c>
      <c r="O2836">
        <v>1926</v>
      </c>
      <c r="P2836">
        <v>4.17</v>
      </c>
      <c r="Q2836">
        <v>292</v>
      </c>
      <c r="R2836">
        <v>511</v>
      </c>
    </row>
    <row r="2837" spans="1:18" x14ac:dyDescent="0.2">
      <c r="A2837">
        <v>8</v>
      </c>
      <c r="B2837" t="s">
        <v>61</v>
      </c>
      <c r="C2837" t="str">
        <f>VLOOKUP(B2837, 'Council Area'!$A$2:$B$51, 2)</f>
        <v>Parramatta City Council</v>
      </c>
      <c r="D2837" t="str">
        <f>_xlfn.XLOOKUP(B2837, 'Council Area'!$A$2:$A$51, 'Council Area'!$B$2:$B$51)</f>
        <v>Parramatta City Council</v>
      </c>
      <c r="E2837" t="s">
        <v>51</v>
      </c>
      <c r="F2837">
        <v>837794</v>
      </c>
      <c r="G2837">
        <v>3</v>
      </c>
      <c r="H2837">
        <v>2</v>
      </c>
      <c r="I2837">
        <v>500</v>
      </c>
      <c r="J2837">
        <v>1970</v>
      </c>
      <c r="K2837" s="4">
        <v>45603</v>
      </c>
      <c r="L2837" t="s">
        <v>26</v>
      </c>
      <c r="M2837" t="s">
        <v>24</v>
      </c>
      <c r="N2837">
        <v>2.42</v>
      </c>
      <c r="O2837">
        <v>1709</v>
      </c>
      <c r="P2837">
        <v>3.39</v>
      </c>
      <c r="Q2837">
        <v>220</v>
      </c>
      <c r="R2837">
        <v>641</v>
      </c>
    </row>
    <row r="2838" spans="1:18" hidden="1" x14ac:dyDescent="0.2">
      <c r="A2838">
        <v>9</v>
      </c>
      <c r="B2838" t="s">
        <v>65</v>
      </c>
      <c r="E2838" t="s">
        <v>51</v>
      </c>
      <c r="F2838">
        <v>2496282</v>
      </c>
      <c r="G2838">
        <v>4</v>
      </c>
      <c r="H2838">
        <v>1</v>
      </c>
      <c r="I2838">
        <v>979</v>
      </c>
      <c r="J2838">
        <v>1980</v>
      </c>
      <c r="K2838" s="4">
        <v>45569</v>
      </c>
      <c r="L2838" t="s">
        <v>26</v>
      </c>
      <c r="M2838" t="s">
        <v>21</v>
      </c>
      <c r="N2838">
        <v>1.59</v>
      </c>
      <c r="O2838">
        <v>2436</v>
      </c>
      <c r="P2838">
        <v>4.22</v>
      </c>
      <c r="Q2838">
        <v>268</v>
      </c>
      <c r="R2838">
        <v>585</v>
      </c>
    </row>
    <row r="2839" spans="1:18" hidden="1" x14ac:dyDescent="0.2">
      <c r="A2839">
        <v>0</v>
      </c>
      <c r="B2839" t="s">
        <v>106</v>
      </c>
      <c r="E2839" t="s">
        <v>51</v>
      </c>
      <c r="F2839">
        <v>2277771</v>
      </c>
      <c r="G2839">
        <v>3</v>
      </c>
      <c r="H2839">
        <v>2</v>
      </c>
      <c r="I2839">
        <v>322</v>
      </c>
      <c r="J2839">
        <v>1981</v>
      </c>
      <c r="K2839" s="4">
        <v>44408</v>
      </c>
      <c r="L2839" t="s">
        <v>23</v>
      </c>
      <c r="M2839" t="s">
        <v>63</v>
      </c>
      <c r="N2839">
        <v>2.58</v>
      </c>
      <c r="O2839">
        <v>2171</v>
      </c>
      <c r="P2839">
        <v>2.62</v>
      </c>
      <c r="Q2839">
        <v>227</v>
      </c>
      <c r="R2839">
        <v>465</v>
      </c>
    </row>
    <row r="2840" spans="1:18" hidden="1" x14ac:dyDescent="0.2">
      <c r="A2840">
        <v>9</v>
      </c>
      <c r="B2840" t="s">
        <v>94</v>
      </c>
      <c r="E2840" t="s">
        <v>29</v>
      </c>
      <c r="F2840">
        <v>2813692</v>
      </c>
      <c r="G2840">
        <v>6</v>
      </c>
      <c r="H2840">
        <v>3</v>
      </c>
      <c r="I2840">
        <v>618</v>
      </c>
      <c r="J2840">
        <v>1994</v>
      </c>
      <c r="K2840" s="4">
        <v>44899</v>
      </c>
      <c r="L2840" t="s">
        <v>23</v>
      </c>
      <c r="M2840" t="s">
        <v>37</v>
      </c>
      <c r="N2840">
        <v>1.69</v>
      </c>
      <c r="O2840">
        <v>1642</v>
      </c>
      <c r="P2840">
        <v>0.38</v>
      </c>
      <c r="Q2840">
        <v>345</v>
      </c>
      <c r="R2840">
        <v>390</v>
      </c>
    </row>
    <row r="2841" spans="1:18" hidden="1" x14ac:dyDescent="0.2">
      <c r="A2841">
        <v>9</v>
      </c>
      <c r="B2841" t="s">
        <v>43</v>
      </c>
      <c r="E2841" t="s">
        <v>29</v>
      </c>
      <c r="F2841">
        <v>718872</v>
      </c>
      <c r="G2841">
        <v>5</v>
      </c>
      <c r="H2841">
        <v>2</v>
      </c>
      <c r="I2841">
        <v>689</v>
      </c>
      <c r="J2841">
        <v>1950</v>
      </c>
      <c r="K2841" s="4">
        <v>45697</v>
      </c>
      <c r="L2841" t="s">
        <v>23</v>
      </c>
      <c r="M2841" t="s">
        <v>85</v>
      </c>
      <c r="N2841">
        <v>2.34</v>
      </c>
      <c r="O2841">
        <v>1131</v>
      </c>
      <c r="P2841">
        <v>4.54</v>
      </c>
      <c r="Q2841">
        <v>382</v>
      </c>
      <c r="R2841">
        <v>652</v>
      </c>
    </row>
    <row r="2842" spans="1:18" hidden="1" x14ac:dyDescent="0.2">
      <c r="A2842">
        <v>1</v>
      </c>
      <c r="B2842" t="s">
        <v>44</v>
      </c>
      <c r="E2842" t="s">
        <v>51</v>
      </c>
      <c r="F2842">
        <v>510168</v>
      </c>
      <c r="G2842">
        <v>4</v>
      </c>
      <c r="H2842">
        <v>1</v>
      </c>
      <c r="I2842">
        <v>777</v>
      </c>
      <c r="J2842">
        <v>1950</v>
      </c>
      <c r="K2842" s="4">
        <v>44585</v>
      </c>
      <c r="L2842" t="s">
        <v>23</v>
      </c>
      <c r="M2842" t="s">
        <v>54</v>
      </c>
      <c r="N2842">
        <v>2.29</v>
      </c>
      <c r="O2842">
        <v>1754</v>
      </c>
      <c r="P2842">
        <v>0.7</v>
      </c>
      <c r="Q2842">
        <v>340</v>
      </c>
      <c r="R2842">
        <v>615</v>
      </c>
    </row>
    <row r="2843" spans="1:18" hidden="1" x14ac:dyDescent="0.2">
      <c r="A2843">
        <v>4</v>
      </c>
      <c r="B2843" t="s">
        <v>95</v>
      </c>
      <c r="E2843" t="s">
        <v>29</v>
      </c>
      <c r="F2843">
        <v>2501801</v>
      </c>
      <c r="G2843">
        <v>5</v>
      </c>
      <c r="H2843">
        <v>2</v>
      </c>
      <c r="I2843">
        <v>413</v>
      </c>
      <c r="J2843">
        <v>1986</v>
      </c>
      <c r="K2843" s="4">
        <v>44943</v>
      </c>
      <c r="L2843" t="s">
        <v>23</v>
      </c>
      <c r="M2843" t="s">
        <v>63</v>
      </c>
      <c r="N2843">
        <v>1.93</v>
      </c>
      <c r="O2843">
        <v>2499</v>
      </c>
      <c r="P2843">
        <v>0.22</v>
      </c>
      <c r="Q2843">
        <v>321</v>
      </c>
      <c r="R2843">
        <v>625</v>
      </c>
    </row>
    <row r="2844" spans="1:18" hidden="1" x14ac:dyDescent="0.2">
      <c r="A2844">
        <v>9</v>
      </c>
      <c r="B2844" t="s">
        <v>46</v>
      </c>
      <c r="E2844" t="s">
        <v>36</v>
      </c>
      <c r="F2844">
        <v>2860927</v>
      </c>
      <c r="G2844">
        <v>4</v>
      </c>
      <c r="H2844">
        <v>1</v>
      </c>
      <c r="I2844">
        <v>783</v>
      </c>
      <c r="J2844">
        <v>1991</v>
      </c>
      <c r="K2844" s="4">
        <v>44270</v>
      </c>
      <c r="L2844" t="s">
        <v>30</v>
      </c>
      <c r="M2844" t="s">
        <v>31</v>
      </c>
      <c r="N2844">
        <v>1.53</v>
      </c>
      <c r="O2844">
        <v>2053</v>
      </c>
      <c r="P2844">
        <v>1.42</v>
      </c>
      <c r="Q2844">
        <v>337</v>
      </c>
      <c r="R2844">
        <v>553</v>
      </c>
    </row>
    <row r="2845" spans="1:18" hidden="1" x14ac:dyDescent="0.2">
      <c r="A2845">
        <v>0</v>
      </c>
      <c r="B2845" t="s">
        <v>61</v>
      </c>
      <c r="E2845" t="s">
        <v>36</v>
      </c>
      <c r="F2845">
        <v>558833</v>
      </c>
      <c r="G2845">
        <v>0</v>
      </c>
      <c r="H2845">
        <v>2</v>
      </c>
      <c r="I2845">
        <v>178</v>
      </c>
      <c r="J2845">
        <v>1996</v>
      </c>
      <c r="K2845" s="4">
        <v>45373</v>
      </c>
      <c r="L2845" t="s">
        <v>20</v>
      </c>
      <c r="M2845" t="s">
        <v>31</v>
      </c>
      <c r="N2845">
        <v>2.0499999999999998</v>
      </c>
      <c r="O2845">
        <v>1596</v>
      </c>
      <c r="P2845">
        <v>1.43</v>
      </c>
      <c r="Q2845">
        <v>80</v>
      </c>
      <c r="R2845">
        <v>325</v>
      </c>
    </row>
    <row r="2846" spans="1:18" hidden="1" x14ac:dyDescent="0.2">
      <c r="A2846">
        <v>2</v>
      </c>
      <c r="B2846" t="s">
        <v>50</v>
      </c>
      <c r="E2846" t="s">
        <v>29</v>
      </c>
      <c r="F2846">
        <v>2153027</v>
      </c>
      <c r="G2846">
        <v>0</v>
      </c>
      <c r="H2846">
        <v>3</v>
      </c>
      <c r="I2846">
        <v>714</v>
      </c>
      <c r="J2846">
        <v>2008</v>
      </c>
      <c r="K2846" s="4">
        <v>44112</v>
      </c>
      <c r="L2846" t="s">
        <v>20</v>
      </c>
      <c r="M2846" t="s">
        <v>68</v>
      </c>
      <c r="N2846">
        <v>3.16</v>
      </c>
      <c r="O2846">
        <v>1045</v>
      </c>
      <c r="P2846">
        <v>3.74</v>
      </c>
      <c r="Q2846">
        <v>45</v>
      </c>
      <c r="R2846">
        <v>387</v>
      </c>
    </row>
    <row r="2847" spans="1:18" hidden="1" x14ac:dyDescent="0.2">
      <c r="A2847">
        <v>2</v>
      </c>
      <c r="B2847" t="s">
        <v>57</v>
      </c>
      <c r="E2847" t="s">
        <v>19</v>
      </c>
      <c r="F2847">
        <v>1979595</v>
      </c>
      <c r="G2847">
        <v>2</v>
      </c>
      <c r="H2847">
        <v>3</v>
      </c>
      <c r="I2847">
        <v>230</v>
      </c>
      <c r="J2847">
        <v>1985</v>
      </c>
      <c r="K2847" s="4">
        <v>45255</v>
      </c>
      <c r="L2847" t="s">
        <v>30</v>
      </c>
      <c r="M2847" t="s">
        <v>40</v>
      </c>
      <c r="N2847">
        <v>2.86</v>
      </c>
      <c r="O2847">
        <v>897</v>
      </c>
      <c r="P2847">
        <v>1.6</v>
      </c>
      <c r="Q2847">
        <v>239</v>
      </c>
      <c r="R2847">
        <v>582</v>
      </c>
    </row>
    <row r="2848" spans="1:18" hidden="1" x14ac:dyDescent="0.2">
      <c r="A2848">
        <v>1</v>
      </c>
      <c r="B2848" t="s">
        <v>28</v>
      </c>
      <c r="E2848" t="s">
        <v>51</v>
      </c>
      <c r="F2848">
        <v>2059125</v>
      </c>
      <c r="G2848">
        <v>2</v>
      </c>
      <c r="H2848">
        <v>3</v>
      </c>
      <c r="I2848">
        <v>849</v>
      </c>
      <c r="J2848">
        <v>1969</v>
      </c>
      <c r="K2848" s="4">
        <v>45384</v>
      </c>
      <c r="L2848" t="s">
        <v>23</v>
      </c>
      <c r="M2848" t="s">
        <v>21</v>
      </c>
      <c r="N2848">
        <v>2.61</v>
      </c>
      <c r="O2848">
        <v>1593</v>
      </c>
      <c r="P2848">
        <v>1.35</v>
      </c>
      <c r="Q2848">
        <v>127</v>
      </c>
      <c r="R2848">
        <v>506</v>
      </c>
    </row>
    <row r="2849" spans="1:18" hidden="1" x14ac:dyDescent="0.2">
      <c r="A2849">
        <v>0</v>
      </c>
      <c r="B2849" t="s">
        <v>88</v>
      </c>
      <c r="E2849" t="s">
        <v>51</v>
      </c>
      <c r="F2849">
        <v>1963858</v>
      </c>
      <c r="G2849">
        <v>2</v>
      </c>
      <c r="H2849">
        <v>3</v>
      </c>
      <c r="I2849">
        <v>153</v>
      </c>
      <c r="J2849">
        <v>1954</v>
      </c>
      <c r="K2849" s="4">
        <v>45614</v>
      </c>
      <c r="L2849" t="s">
        <v>20</v>
      </c>
      <c r="M2849" t="s">
        <v>42</v>
      </c>
      <c r="N2849">
        <v>1.89</v>
      </c>
      <c r="O2849">
        <v>1137</v>
      </c>
      <c r="P2849">
        <v>0.32</v>
      </c>
      <c r="Q2849">
        <v>229</v>
      </c>
      <c r="R2849">
        <v>436</v>
      </c>
    </row>
    <row r="2850" spans="1:18" hidden="1" x14ac:dyDescent="0.2">
      <c r="A2850">
        <v>9</v>
      </c>
      <c r="B2850" t="s">
        <v>83</v>
      </c>
      <c r="E2850" t="s">
        <v>51</v>
      </c>
      <c r="F2850">
        <v>623353</v>
      </c>
      <c r="G2850">
        <v>1</v>
      </c>
      <c r="H2850">
        <v>3</v>
      </c>
      <c r="I2850">
        <v>253</v>
      </c>
      <c r="J2850">
        <v>1972</v>
      </c>
      <c r="K2850" s="4">
        <v>45634</v>
      </c>
      <c r="L2850" t="s">
        <v>20</v>
      </c>
      <c r="M2850" t="s">
        <v>68</v>
      </c>
      <c r="N2850">
        <v>1.75</v>
      </c>
      <c r="O2850">
        <v>1061</v>
      </c>
      <c r="P2850">
        <v>0.24</v>
      </c>
      <c r="Q2850">
        <v>150</v>
      </c>
      <c r="R2850">
        <v>329</v>
      </c>
    </row>
    <row r="2851" spans="1:18" hidden="1" x14ac:dyDescent="0.2">
      <c r="A2851">
        <v>9</v>
      </c>
      <c r="B2851" t="s">
        <v>104</v>
      </c>
      <c r="E2851" t="s">
        <v>29</v>
      </c>
      <c r="F2851">
        <v>1931016</v>
      </c>
      <c r="G2851">
        <v>4</v>
      </c>
      <c r="H2851">
        <v>2</v>
      </c>
      <c r="I2851">
        <v>755</v>
      </c>
      <c r="J2851">
        <v>2020</v>
      </c>
      <c r="K2851" s="4">
        <v>45095</v>
      </c>
      <c r="L2851" t="s">
        <v>26</v>
      </c>
      <c r="M2851" t="s">
        <v>78</v>
      </c>
      <c r="N2851">
        <v>2.41</v>
      </c>
      <c r="O2851">
        <v>1777</v>
      </c>
      <c r="P2851">
        <v>4.91</v>
      </c>
      <c r="Q2851">
        <v>316</v>
      </c>
      <c r="R2851">
        <v>635</v>
      </c>
    </row>
    <row r="2852" spans="1:18" hidden="1" x14ac:dyDescent="0.2">
      <c r="A2852">
        <v>9</v>
      </c>
      <c r="B2852" t="s">
        <v>96</v>
      </c>
      <c r="E2852" t="s">
        <v>29</v>
      </c>
      <c r="F2852">
        <v>2069836</v>
      </c>
      <c r="G2852">
        <v>4</v>
      </c>
      <c r="H2852">
        <v>1</v>
      </c>
      <c r="I2852">
        <v>602</v>
      </c>
      <c r="J2852">
        <v>2020</v>
      </c>
      <c r="K2852" s="4">
        <v>44753</v>
      </c>
      <c r="L2852" t="s">
        <v>26</v>
      </c>
      <c r="M2852" t="s">
        <v>27</v>
      </c>
      <c r="N2852">
        <v>2.2000000000000002</v>
      </c>
      <c r="O2852">
        <v>1555</v>
      </c>
      <c r="P2852">
        <v>0.87</v>
      </c>
      <c r="Q2852">
        <v>234</v>
      </c>
      <c r="R2852">
        <v>358</v>
      </c>
    </row>
    <row r="2853" spans="1:18" hidden="1" x14ac:dyDescent="0.2">
      <c r="A2853">
        <v>2</v>
      </c>
      <c r="B2853" t="s">
        <v>73</v>
      </c>
      <c r="E2853" t="s">
        <v>29</v>
      </c>
      <c r="F2853">
        <v>2090236</v>
      </c>
      <c r="G2853">
        <v>5</v>
      </c>
      <c r="H2853">
        <v>3</v>
      </c>
      <c r="I2853">
        <v>359</v>
      </c>
      <c r="J2853">
        <v>1998</v>
      </c>
      <c r="K2853" s="4">
        <v>44267</v>
      </c>
      <c r="L2853" t="s">
        <v>20</v>
      </c>
      <c r="M2853" t="s">
        <v>60</v>
      </c>
      <c r="N2853">
        <v>2.41</v>
      </c>
      <c r="O2853">
        <v>2126</v>
      </c>
      <c r="P2853">
        <v>1.87</v>
      </c>
      <c r="Q2853">
        <v>385</v>
      </c>
      <c r="R2853">
        <v>388</v>
      </c>
    </row>
    <row r="2854" spans="1:18" hidden="1" x14ac:dyDescent="0.2">
      <c r="A2854">
        <v>0</v>
      </c>
      <c r="B2854" t="s">
        <v>62</v>
      </c>
      <c r="E2854" t="s">
        <v>36</v>
      </c>
      <c r="F2854">
        <v>2070090</v>
      </c>
      <c r="G2854">
        <v>1</v>
      </c>
      <c r="H2854">
        <v>3</v>
      </c>
      <c r="I2854">
        <v>73</v>
      </c>
      <c r="J2854">
        <v>2009</v>
      </c>
      <c r="K2854" s="4">
        <v>45216</v>
      </c>
      <c r="L2854" t="s">
        <v>26</v>
      </c>
      <c r="M2854" t="s">
        <v>40</v>
      </c>
      <c r="N2854">
        <v>1.94</v>
      </c>
      <c r="O2854">
        <v>834</v>
      </c>
      <c r="P2854">
        <v>3.07</v>
      </c>
      <c r="Q2854">
        <v>95</v>
      </c>
      <c r="R2854">
        <v>390</v>
      </c>
    </row>
    <row r="2855" spans="1:18" hidden="1" x14ac:dyDescent="0.2">
      <c r="A2855">
        <v>6</v>
      </c>
      <c r="B2855" t="s">
        <v>84</v>
      </c>
      <c r="E2855" t="s">
        <v>36</v>
      </c>
      <c r="F2855">
        <v>2878917</v>
      </c>
      <c r="G2855">
        <v>5</v>
      </c>
      <c r="H2855">
        <v>1</v>
      </c>
      <c r="I2855">
        <v>768</v>
      </c>
      <c r="J2855">
        <v>2021</v>
      </c>
      <c r="K2855" s="4">
        <v>45634</v>
      </c>
      <c r="L2855" t="s">
        <v>30</v>
      </c>
      <c r="M2855" t="s">
        <v>78</v>
      </c>
      <c r="N2855">
        <v>2.02</v>
      </c>
      <c r="O2855">
        <v>1634</v>
      </c>
      <c r="P2855">
        <v>0.96</v>
      </c>
      <c r="Q2855">
        <v>393</v>
      </c>
      <c r="R2855">
        <v>680</v>
      </c>
    </row>
    <row r="2856" spans="1:18" hidden="1" x14ac:dyDescent="0.2">
      <c r="A2856">
        <v>3</v>
      </c>
      <c r="B2856" t="s">
        <v>80</v>
      </c>
      <c r="E2856" t="s">
        <v>19</v>
      </c>
      <c r="F2856">
        <v>686076</v>
      </c>
      <c r="G2856">
        <v>3</v>
      </c>
      <c r="H2856">
        <v>1</v>
      </c>
      <c r="I2856">
        <v>126</v>
      </c>
      <c r="J2856">
        <v>1992</v>
      </c>
      <c r="K2856" s="4">
        <v>44116</v>
      </c>
      <c r="L2856" t="s">
        <v>30</v>
      </c>
      <c r="M2856" t="s">
        <v>33</v>
      </c>
      <c r="N2856">
        <v>2.85</v>
      </c>
      <c r="O2856">
        <v>1704</v>
      </c>
      <c r="P2856">
        <v>4.93</v>
      </c>
      <c r="Q2856">
        <v>120</v>
      </c>
      <c r="R2856">
        <v>495</v>
      </c>
    </row>
    <row r="2857" spans="1:18" x14ac:dyDescent="0.2">
      <c r="A2857">
        <v>8</v>
      </c>
      <c r="B2857" t="s">
        <v>18</v>
      </c>
      <c r="C2857" t="str">
        <f>VLOOKUP(B2857, 'Council Area'!$A$2:$B$51, 2)</f>
        <v>Blacktown City Council</v>
      </c>
      <c r="D2857" t="str">
        <f>_xlfn.XLOOKUP(B2857, 'Council Area'!$A$2:$A$51, 'Council Area'!$B$2:$B$51)</f>
        <v>Blacktown City Council</v>
      </c>
      <c r="E2857" t="s">
        <v>29</v>
      </c>
      <c r="F2857">
        <v>2477857</v>
      </c>
      <c r="G2857">
        <v>4</v>
      </c>
      <c r="H2857">
        <v>3</v>
      </c>
      <c r="I2857">
        <v>598</v>
      </c>
      <c r="J2857">
        <v>2015</v>
      </c>
      <c r="K2857" s="4">
        <v>45616</v>
      </c>
      <c r="L2857" t="s">
        <v>26</v>
      </c>
      <c r="M2857" t="s">
        <v>47</v>
      </c>
      <c r="N2857">
        <v>2.68</v>
      </c>
      <c r="O2857">
        <v>2448</v>
      </c>
      <c r="P2857">
        <v>4.4400000000000004</v>
      </c>
      <c r="Q2857">
        <v>171</v>
      </c>
      <c r="R2857">
        <v>430</v>
      </c>
    </row>
    <row r="2858" spans="1:18" hidden="1" x14ac:dyDescent="0.2">
      <c r="A2858">
        <v>1</v>
      </c>
      <c r="B2858" t="s">
        <v>93</v>
      </c>
      <c r="E2858" t="s">
        <v>29</v>
      </c>
      <c r="F2858">
        <v>2314958</v>
      </c>
      <c r="G2858">
        <v>3</v>
      </c>
      <c r="H2858">
        <v>3</v>
      </c>
      <c r="I2858">
        <v>816</v>
      </c>
      <c r="J2858">
        <v>1950</v>
      </c>
      <c r="K2858" s="4">
        <v>44460</v>
      </c>
      <c r="L2858" t="s">
        <v>23</v>
      </c>
      <c r="M2858" t="s">
        <v>82</v>
      </c>
      <c r="N2858">
        <v>3.26</v>
      </c>
      <c r="O2858">
        <v>1775</v>
      </c>
      <c r="P2858">
        <v>3.74</v>
      </c>
      <c r="Q2858">
        <v>142</v>
      </c>
      <c r="R2858">
        <v>520</v>
      </c>
    </row>
    <row r="2859" spans="1:18" hidden="1" x14ac:dyDescent="0.2">
      <c r="A2859">
        <v>2</v>
      </c>
      <c r="B2859" t="s">
        <v>106</v>
      </c>
      <c r="E2859" t="s">
        <v>29</v>
      </c>
      <c r="F2859">
        <v>2689869</v>
      </c>
      <c r="G2859">
        <v>3</v>
      </c>
      <c r="H2859">
        <v>2</v>
      </c>
      <c r="I2859">
        <v>590</v>
      </c>
      <c r="J2859">
        <v>2010</v>
      </c>
      <c r="K2859" s="4">
        <v>45485</v>
      </c>
      <c r="L2859" t="s">
        <v>20</v>
      </c>
      <c r="M2859" t="s">
        <v>27</v>
      </c>
      <c r="N2859">
        <v>3.45</v>
      </c>
      <c r="O2859">
        <v>1665</v>
      </c>
      <c r="P2859">
        <v>3.59</v>
      </c>
      <c r="Q2859">
        <v>113</v>
      </c>
      <c r="R2859">
        <v>523</v>
      </c>
    </row>
    <row r="2860" spans="1:18" hidden="1" x14ac:dyDescent="0.2">
      <c r="A2860">
        <v>3</v>
      </c>
      <c r="B2860" t="s">
        <v>106</v>
      </c>
      <c r="E2860" t="s">
        <v>51</v>
      </c>
      <c r="F2860">
        <v>1254254</v>
      </c>
      <c r="G2860">
        <v>5</v>
      </c>
      <c r="H2860">
        <v>1</v>
      </c>
      <c r="I2860">
        <v>635</v>
      </c>
      <c r="J2860">
        <v>1986</v>
      </c>
      <c r="K2860" s="4">
        <v>45564</v>
      </c>
      <c r="L2860" t="s">
        <v>20</v>
      </c>
      <c r="M2860" t="s">
        <v>85</v>
      </c>
      <c r="N2860">
        <v>3.43</v>
      </c>
      <c r="O2860">
        <v>1780</v>
      </c>
      <c r="P2860">
        <v>3.12</v>
      </c>
      <c r="Q2860">
        <v>329</v>
      </c>
      <c r="R2860">
        <v>467</v>
      </c>
    </row>
    <row r="2861" spans="1:18" hidden="1" x14ac:dyDescent="0.2">
      <c r="A2861">
        <v>4</v>
      </c>
      <c r="B2861" t="s">
        <v>34</v>
      </c>
      <c r="E2861" t="s">
        <v>29</v>
      </c>
      <c r="F2861">
        <v>2765761</v>
      </c>
      <c r="G2861">
        <v>4</v>
      </c>
      <c r="H2861">
        <v>1</v>
      </c>
      <c r="I2861">
        <v>210</v>
      </c>
      <c r="J2861">
        <v>1978</v>
      </c>
      <c r="K2861" s="4">
        <v>45318</v>
      </c>
      <c r="L2861" t="s">
        <v>30</v>
      </c>
      <c r="M2861" t="s">
        <v>56</v>
      </c>
      <c r="N2861">
        <v>2.41</v>
      </c>
      <c r="O2861">
        <v>1312</v>
      </c>
      <c r="P2861">
        <v>3.98</v>
      </c>
      <c r="Q2861">
        <v>164</v>
      </c>
      <c r="R2861">
        <v>537</v>
      </c>
    </row>
    <row r="2862" spans="1:18" hidden="1" x14ac:dyDescent="0.2">
      <c r="A2862">
        <v>9</v>
      </c>
      <c r="B2862" t="s">
        <v>102</v>
      </c>
      <c r="E2862" t="s">
        <v>29</v>
      </c>
      <c r="F2862">
        <v>488593</v>
      </c>
      <c r="G2862">
        <v>4</v>
      </c>
      <c r="H2862">
        <v>2</v>
      </c>
      <c r="I2862">
        <v>325</v>
      </c>
      <c r="J2862">
        <v>1991</v>
      </c>
      <c r="K2862" s="4">
        <v>44980</v>
      </c>
      <c r="L2862" t="s">
        <v>30</v>
      </c>
      <c r="M2862" t="s">
        <v>60</v>
      </c>
      <c r="N2862">
        <v>1.84</v>
      </c>
      <c r="O2862">
        <v>2278</v>
      </c>
      <c r="P2862">
        <v>4.7</v>
      </c>
      <c r="Q2862">
        <v>282</v>
      </c>
      <c r="R2862">
        <v>636</v>
      </c>
    </row>
    <row r="2863" spans="1:18" hidden="1" x14ac:dyDescent="0.2">
      <c r="A2863">
        <v>0</v>
      </c>
      <c r="B2863" t="s">
        <v>32</v>
      </c>
      <c r="E2863" t="s">
        <v>29</v>
      </c>
      <c r="F2863">
        <v>2218512</v>
      </c>
      <c r="G2863">
        <v>3</v>
      </c>
      <c r="H2863">
        <v>3</v>
      </c>
      <c r="I2863">
        <v>762</v>
      </c>
      <c r="J2863">
        <v>1998</v>
      </c>
      <c r="K2863" s="4">
        <v>45001</v>
      </c>
      <c r="L2863" t="s">
        <v>30</v>
      </c>
      <c r="M2863" t="s">
        <v>89</v>
      </c>
      <c r="N2863">
        <v>1.76</v>
      </c>
      <c r="O2863">
        <v>1934</v>
      </c>
      <c r="P2863">
        <v>1.54</v>
      </c>
      <c r="Q2863">
        <v>89</v>
      </c>
      <c r="R2863">
        <v>700</v>
      </c>
    </row>
    <row r="2864" spans="1:18" hidden="1" x14ac:dyDescent="0.2">
      <c r="A2864">
        <v>7</v>
      </c>
      <c r="B2864" t="s">
        <v>34</v>
      </c>
      <c r="E2864" t="s">
        <v>51</v>
      </c>
      <c r="F2864">
        <v>708450</v>
      </c>
      <c r="G2864">
        <v>1</v>
      </c>
      <c r="H2864">
        <v>3</v>
      </c>
      <c r="I2864">
        <v>399</v>
      </c>
      <c r="J2864">
        <v>2002</v>
      </c>
      <c r="K2864" s="4">
        <v>45806</v>
      </c>
      <c r="L2864" t="s">
        <v>20</v>
      </c>
      <c r="M2864" t="s">
        <v>40</v>
      </c>
      <c r="N2864">
        <v>2.15</v>
      </c>
      <c r="O2864">
        <v>1504</v>
      </c>
      <c r="P2864">
        <v>2.85</v>
      </c>
      <c r="Q2864">
        <v>118</v>
      </c>
      <c r="R2864">
        <v>439</v>
      </c>
    </row>
    <row r="2865" spans="1:18" hidden="1" x14ac:dyDescent="0.2">
      <c r="A2865">
        <v>2</v>
      </c>
      <c r="B2865" t="s">
        <v>101</v>
      </c>
      <c r="E2865" t="s">
        <v>36</v>
      </c>
      <c r="F2865">
        <v>2545226</v>
      </c>
      <c r="G2865">
        <v>1</v>
      </c>
      <c r="H2865">
        <v>1</v>
      </c>
      <c r="I2865">
        <v>677</v>
      </c>
      <c r="J2865">
        <v>2021</v>
      </c>
      <c r="K2865" s="4">
        <v>44389</v>
      </c>
      <c r="L2865" t="s">
        <v>30</v>
      </c>
      <c r="M2865" t="s">
        <v>66</v>
      </c>
      <c r="N2865">
        <v>1.83</v>
      </c>
      <c r="O2865">
        <v>1643</v>
      </c>
      <c r="P2865">
        <v>4.68</v>
      </c>
      <c r="Q2865">
        <v>133</v>
      </c>
      <c r="R2865">
        <v>603</v>
      </c>
    </row>
    <row r="2866" spans="1:18" hidden="1" x14ac:dyDescent="0.2">
      <c r="A2866">
        <v>6</v>
      </c>
      <c r="B2866" t="s">
        <v>50</v>
      </c>
      <c r="E2866" t="s">
        <v>36</v>
      </c>
      <c r="F2866">
        <v>990435</v>
      </c>
      <c r="G2866">
        <v>1</v>
      </c>
      <c r="H2866">
        <v>1</v>
      </c>
      <c r="I2866">
        <v>71</v>
      </c>
      <c r="J2866">
        <v>1955</v>
      </c>
      <c r="K2866" s="4">
        <v>44874</v>
      </c>
      <c r="L2866" t="s">
        <v>30</v>
      </c>
      <c r="M2866" t="s">
        <v>40</v>
      </c>
      <c r="N2866">
        <v>1.81</v>
      </c>
      <c r="O2866">
        <v>1418</v>
      </c>
      <c r="P2866">
        <v>0.7</v>
      </c>
      <c r="Q2866">
        <v>158</v>
      </c>
      <c r="R2866">
        <v>338</v>
      </c>
    </row>
    <row r="2867" spans="1:18" x14ac:dyDescent="0.2">
      <c r="A2867">
        <v>8</v>
      </c>
      <c r="B2867" t="s">
        <v>92</v>
      </c>
      <c r="C2867" t="str">
        <f>VLOOKUP(B2867, 'Council Area'!$A$2:$B$51, 2)</f>
        <v>Randwick City Council</v>
      </c>
      <c r="D2867" t="str">
        <f>_xlfn.XLOOKUP(B2867, 'Council Area'!$A$2:$A$51, 'Council Area'!$B$2:$B$51)</f>
        <v>Randwick City Council</v>
      </c>
      <c r="E2867" t="s">
        <v>51</v>
      </c>
      <c r="F2867">
        <v>1776972</v>
      </c>
      <c r="G2867">
        <v>5</v>
      </c>
      <c r="H2867">
        <v>2</v>
      </c>
      <c r="I2867">
        <v>330</v>
      </c>
      <c r="J2867">
        <v>2004</v>
      </c>
      <c r="K2867" s="4">
        <v>44977</v>
      </c>
      <c r="L2867" t="s">
        <v>20</v>
      </c>
      <c r="M2867" t="s">
        <v>33</v>
      </c>
      <c r="N2867">
        <v>2.4900000000000002</v>
      </c>
      <c r="O2867">
        <v>1140</v>
      </c>
      <c r="P2867">
        <v>0.31</v>
      </c>
      <c r="Q2867">
        <v>271</v>
      </c>
      <c r="R2867">
        <v>457</v>
      </c>
    </row>
    <row r="2868" spans="1:18" hidden="1" x14ac:dyDescent="0.2">
      <c r="A2868">
        <v>1</v>
      </c>
      <c r="B2868" t="s">
        <v>18</v>
      </c>
      <c r="E2868" t="s">
        <v>36</v>
      </c>
      <c r="F2868">
        <v>1767202</v>
      </c>
      <c r="G2868">
        <v>3</v>
      </c>
      <c r="H2868">
        <v>3</v>
      </c>
      <c r="I2868">
        <v>903</v>
      </c>
      <c r="J2868">
        <v>1974</v>
      </c>
      <c r="K2868" s="4">
        <v>45810</v>
      </c>
      <c r="L2868" t="s">
        <v>23</v>
      </c>
      <c r="M2868" t="s">
        <v>21</v>
      </c>
      <c r="N2868">
        <v>3.33</v>
      </c>
      <c r="O2868">
        <v>1936</v>
      </c>
      <c r="P2868">
        <v>4.1900000000000004</v>
      </c>
      <c r="Q2868">
        <v>161</v>
      </c>
      <c r="R2868">
        <v>672</v>
      </c>
    </row>
    <row r="2869" spans="1:18" hidden="1" x14ac:dyDescent="0.2">
      <c r="A2869">
        <v>4</v>
      </c>
      <c r="B2869" t="s">
        <v>48</v>
      </c>
      <c r="E2869" t="s">
        <v>51</v>
      </c>
      <c r="F2869">
        <v>1142059</v>
      </c>
      <c r="G2869">
        <v>2</v>
      </c>
      <c r="H2869">
        <v>2</v>
      </c>
      <c r="I2869">
        <v>922</v>
      </c>
      <c r="J2869">
        <v>2003</v>
      </c>
      <c r="K2869" s="4">
        <v>45460</v>
      </c>
      <c r="L2869" t="s">
        <v>30</v>
      </c>
      <c r="M2869" t="s">
        <v>68</v>
      </c>
      <c r="N2869">
        <v>2.0099999999999998</v>
      </c>
      <c r="O2869">
        <v>1754</v>
      </c>
      <c r="P2869">
        <v>3.64</v>
      </c>
      <c r="Q2869">
        <v>206</v>
      </c>
      <c r="R2869">
        <v>478</v>
      </c>
    </row>
    <row r="2870" spans="1:18" hidden="1" x14ac:dyDescent="0.2">
      <c r="A2870">
        <v>2</v>
      </c>
      <c r="B2870" t="s">
        <v>25</v>
      </c>
      <c r="E2870" t="s">
        <v>29</v>
      </c>
      <c r="F2870">
        <v>1422580</v>
      </c>
      <c r="G2870">
        <v>6</v>
      </c>
      <c r="H2870">
        <v>3</v>
      </c>
      <c r="I2870">
        <v>370</v>
      </c>
      <c r="J2870">
        <v>1975</v>
      </c>
      <c r="K2870" s="4">
        <v>44516</v>
      </c>
      <c r="L2870" t="s">
        <v>20</v>
      </c>
      <c r="M2870" t="s">
        <v>82</v>
      </c>
      <c r="N2870">
        <v>2.89</v>
      </c>
      <c r="O2870">
        <v>2265</v>
      </c>
      <c r="P2870">
        <v>3.71</v>
      </c>
      <c r="Q2870">
        <v>380</v>
      </c>
      <c r="R2870">
        <v>560</v>
      </c>
    </row>
    <row r="2871" spans="1:18" hidden="1" x14ac:dyDescent="0.2">
      <c r="A2871">
        <v>4</v>
      </c>
      <c r="B2871" t="s">
        <v>71</v>
      </c>
      <c r="E2871" t="s">
        <v>51</v>
      </c>
      <c r="F2871">
        <v>2372467</v>
      </c>
      <c r="G2871">
        <v>3</v>
      </c>
      <c r="H2871">
        <v>2</v>
      </c>
      <c r="I2871">
        <v>183</v>
      </c>
      <c r="J2871">
        <v>1987</v>
      </c>
      <c r="K2871" s="4">
        <v>44264</v>
      </c>
      <c r="L2871" t="s">
        <v>30</v>
      </c>
      <c r="M2871" t="s">
        <v>59</v>
      </c>
      <c r="N2871">
        <v>2.4</v>
      </c>
      <c r="O2871">
        <v>2332</v>
      </c>
      <c r="P2871">
        <v>3.88</v>
      </c>
      <c r="Q2871">
        <v>140</v>
      </c>
      <c r="R2871">
        <v>360</v>
      </c>
    </row>
    <row r="2872" spans="1:18" hidden="1" x14ac:dyDescent="0.2">
      <c r="A2872">
        <v>7</v>
      </c>
      <c r="B2872" t="s">
        <v>61</v>
      </c>
      <c r="E2872" t="s">
        <v>19</v>
      </c>
      <c r="F2872">
        <v>460033</v>
      </c>
      <c r="G2872">
        <v>2</v>
      </c>
      <c r="H2872">
        <v>1</v>
      </c>
      <c r="I2872">
        <v>820</v>
      </c>
      <c r="J2872">
        <v>1981</v>
      </c>
      <c r="K2872" s="4">
        <v>45406</v>
      </c>
      <c r="L2872" t="s">
        <v>20</v>
      </c>
      <c r="M2872" t="s">
        <v>24</v>
      </c>
      <c r="N2872">
        <v>1.97</v>
      </c>
      <c r="O2872">
        <v>2282</v>
      </c>
      <c r="P2872">
        <v>1.44</v>
      </c>
      <c r="Q2872">
        <v>112</v>
      </c>
      <c r="R2872">
        <v>525</v>
      </c>
    </row>
    <row r="2873" spans="1:18" hidden="1" x14ac:dyDescent="0.2">
      <c r="A2873">
        <v>0</v>
      </c>
      <c r="B2873" t="s">
        <v>72</v>
      </c>
      <c r="E2873" t="s">
        <v>19</v>
      </c>
      <c r="F2873">
        <v>2421779</v>
      </c>
      <c r="G2873">
        <v>3</v>
      </c>
      <c r="H2873">
        <v>1</v>
      </c>
      <c r="I2873">
        <v>870</v>
      </c>
      <c r="J2873">
        <v>2015</v>
      </c>
      <c r="K2873" s="4">
        <v>45450</v>
      </c>
      <c r="L2873" t="s">
        <v>20</v>
      </c>
      <c r="M2873" t="s">
        <v>63</v>
      </c>
      <c r="N2873">
        <v>3.04</v>
      </c>
      <c r="O2873">
        <v>2181</v>
      </c>
      <c r="P2873">
        <v>1.02</v>
      </c>
      <c r="Q2873">
        <v>174</v>
      </c>
      <c r="R2873">
        <v>525</v>
      </c>
    </row>
    <row r="2874" spans="1:18" hidden="1" x14ac:dyDescent="0.2">
      <c r="A2874">
        <v>3</v>
      </c>
      <c r="B2874" t="s">
        <v>94</v>
      </c>
      <c r="E2874" t="s">
        <v>51</v>
      </c>
      <c r="F2874">
        <v>624801</v>
      </c>
      <c r="G2874">
        <v>4</v>
      </c>
      <c r="H2874">
        <v>2</v>
      </c>
      <c r="I2874">
        <v>915</v>
      </c>
      <c r="J2874">
        <v>1959</v>
      </c>
      <c r="K2874" s="4">
        <v>44260</v>
      </c>
      <c r="L2874" t="s">
        <v>30</v>
      </c>
      <c r="M2874" t="s">
        <v>70</v>
      </c>
      <c r="N2874">
        <v>3.06</v>
      </c>
      <c r="O2874">
        <v>989</v>
      </c>
      <c r="P2874">
        <v>2.04</v>
      </c>
      <c r="Q2874">
        <v>257</v>
      </c>
      <c r="R2874">
        <v>610</v>
      </c>
    </row>
    <row r="2875" spans="1:18" hidden="1" x14ac:dyDescent="0.2">
      <c r="A2875">
        <v>2</v>
      </c>
      <c r="B2875" t="s">
        <v>49</v>
      </c>
      <c r="E2875" t="s">
        <v>19</v>
      </c>
      <c r="F2875">
        <v>2112673</v>
      </c>
      <c r="G2875">
        <v>5</v>
      </c>
      <c r="H2875">
        <v>1</v>
      </c>
      <c r="I2875">
        <v>602</v>
      </c>
      <c r="J2875">
        <v>2012</v>
      </c>
      <c r="K2875" s="4">
        <v>45883</v>
      </c>
      <c r="L2875" t="s">
        <v>20</v>
      </c>
      <c r="M2875" t="s">
        <v>59</v>
      </c>
      <c r="N2875">
        <v>2.0699999999999998</v>
      </c>
      <c r="O2875">
        <v>1282</v>
      </c>
      <c r="P2875">
        <v>4.59</v>
      </c>
      <c r="Q2875">
        <v>266</v>
      </c>
      <c r="R2875">
        <v>328</v>
      </c>
    </row>
    <row r="2876" spans="1:18" hidden="1" x14ac:dyDescent="0.2">
      <c r="A2876">
        <v>0</v>
      </c>
      <c r="B2876" t="s">
        <v>64</v>
      </c>
      <c r="E2876" t="s">
        <v>51</v>
      </c>
      <c r="F2876">
        <v>1290349</v>
      </c>
      <c r="G2876">
        <v>1</v>
      </c>
      <c r="H2876">
        <v>2</v>
      </c>
      <c r="I2876">
        <v>492</v>
      </c>
      <c r="J2876">
        <v>2022</v>
      </c>
      <c r="K2876" s="4">
        <v>44716</v>
      </c>
      <c r="L2876" t="s">
        <v>20</v>
      </c>
      <c r="M2876" t="s">
        <v>45</v>
      </c>
      <c r="N2876">
        <v>2.54</v>
      </c>
      <c r="O2876">
        <v>902</v>
      </c>
      <c r="P2876">
        <v>4.17</v>
      </c>
      <c r="Q2876">
        <v>60</v>
      </c>
      <c r="R2876">
        <v>436</v>
      </c>
    </row>
    <row r="2877" spans="1:18" hidden="1" x14ac:dyDescent="0.2">
      <c r="A2877">
        <v>1</v>
      </c>
      <c r="B2877" t="s">
        <v>49</v>
      </c>
      <c r="E2877" t="s">
        <v>19</v>
      </c>
      <c r="F2877">
        <v>2047793</v>
      </c>
      <c r="G2877">
        <v>1</v>
      </c>
      <c r="H2877">
        <v>2</v>
      </c>
      <c r="I2877">
        <v>853</v>
      </c>
      <c r="J2877">
        <v>2019</v>
      </c>
      <c r="K2877" s="4">
        <v>45864</v>
      </c>
      <c r="L2877" t="s">
        <v>26</v>
      </c>
      <c r="M2877" t="s">
        <v>68</v>
      </c>
      <c r="N2877">
        <v>2.3199999999999998</v>
      </c>
      <c r="O2877">
        <v>1425</v>
      </c>
      <c r="P2877">
        <v>3.83</v>
      </c>
      <c r="Q2877">
        <v>111</v>
      </c>
      <c r="R2877">
        <v>490</v>
      </c>
    </row>
    <row r="2878" spans="1:18" hidden="1" x14ac:dyDescent="0.2">
      <c r="A2878">
        <v>1</v>
      </c>
      <c r="B2878" t="s">
        <v>106</v>
      </c>
      <c r="E2878" t="s">
        <v>36</v>
      </c>
      <c r="F2878">
        <v>2161412</v>
      </c>
      <c r="G2878">
        <v>1</v>
      </c>
      <c r="H2878">
        <v>2</v>
      </c>
      <c r="I2878">
        <v>399</v>
      </c>
      <c r="J2878">
        <v>1971</v>
      </c>
      <c r="K2878" s="4">
        <v>44716</v>
      </c>
      <c r="L2878" t="s">
        <v>20</v>
      </c>
      <c r="M2878" t="s">
        <v>31</v>
      </c>
      <c r="N2878">
        <v>2.82</v>
      </c>
      <c r="O2878">
        <v>1452</v>
      </c>
      <c r="P2878">
        <v>2.41</v>
      </c>
      <c r="Q2878">
        <v>81</v>
      </c>
      <c r="R2878">
        <v>473</v>
      </c>
    </row>
    <row r="2879" spans="1:18" hidden="1" x14ac:dyDescent="0.2">
      <c r="A2879">
        <v>3</v>
      </c>
      <c r="B2879" t="s">
        <v>71</v>
      </c>
      <c r="E2879" t="s">
        <v>19</v>
      </c>
      <c r="F2879">
        <v>1728168</v>
      </c>
      <c r="G2879">
        <v>5</v>
      </c>
      <c r="H2879">
        <v>2</v>
      </c>
      <c r="I2879">
        <v>308</v>
      </c>
      <c r="J2879">
        <v>1951</v>
      </c>
      <c r="K2879" s="4">
        <v>44903</v>
      </c>
      <c r="L2879" t="s">
        <v>26</v>
      </c>
      <c r="M2879" t="s">
        <v>45</v>
      </c>
      <c r="N2879">
        <v>1.97</v>
      </c>
      <c r="O2879">
        <v>1574</v>
      </c>
      <c r="P2879">
        <v>3.77</v>
      </c>
      <c r="Q2879">
        <v>396</v>
      </c>
      <c r="R2879">
        <v>686</v>
      </c>
    </row>
    <row r="2880" spans="1:18" hidden="1" x14ac:dyDescent="0.2">
      <c r="A2880">
        <v>6</v>
      </c>
      <c r="B2880" t="s">
        <v>80</v>
      </c>
      <c r="E2880" t="s">
        <v>29</v>
      </c>
      <c r="F2880">
        <v>1962936</v>
      </c>
      <c r="G2880">
        <v>2</v>
      </c>
      <c r="H2880">
        <v>3</v>
      </c>
      <c r="I2880">
        <v>494</v>
      </c>
      <c r="J2880">
        <v>1984</v>
      </c>
      <c r="K2880" s="4">
        <v>45428</v>
      </c>
      <c r="L2880" t="s">
        <v>26</v>
      </c>
      <c r="M2880" t="s">
        <v>68</v>
      </c>
      <c r="N2880">
        <v>3.46</v>
      </c>
      <c r="O2880">
        <v>2177</v>
      </c>
      <c r="P2880">
        <v>3.88</v>
      </c>
      <c r="Q2880">
        <v>165</v>
      </c>
      <c r="R2880">
        <v>437</v>
      </c>
    </row>
    <row r="2881" spans="1:18" hidden="1" x14ac:dyDescent="0.2">
      <c r="A2881">
        <v>1</v>
      </c>
      <c r="B2881" t="s">
        <v>105</v>
      </c>
      <c r="E2881" t="s">
        <v>51</v>
      </c>
      <c r="F2881">
        <v>2137600</v>
      </c>
      <c r="G2881">
        <v>1</v>
      </c>
      <c r="H2881">
        <v>3</v>
      </c>
      <c r="I2881">
        <v>953</v>
      </c>
      <c r="J2881">
        <v>1954</v>
      </c>
      <c r="K2881" s="4">
        <v>45031</v>
      </c>
      <c r="L2881" t="s">
        <v>30</v>
      </c>
      <c r="M2881" t="s">
        <v>31</v>
      </c>
      <c r="N2881">
        <v>1.78</v>
      </c>
      <c r="O2881">
        <v>919</v>
      </c>
      <c r="P2881">
        <v>0.15</v>
      </c>
      <c r="Q2881">
        <v>116</v>
      </c>
      <c r="R2881">
        <v>496</v>
      </c>
    </row>
    <row r="2882" spans="1:18" hidden="1" x14ac:dyDescent="0.2">
      <c r="A2882">
        <v>9</v>
      </c>
      <c r="B2882" t="s">
        <v>48</v>
      </c>
      <c r="E2882" t="s">
        <v>51</v>
      </c>
      <c r="F2882">
        <v>1438676</v>
      </c>
      <c r="G2882">
        <v>5</v>
      </c>
      <c r="H2882">
        <v>2</v>
      </c>
      <c r="I2882">
        <v>977</v>
      </c>
      <c r="J2882">
        <v>1976</v>
      </c>
      <c r="K2882" s="4">
        <v>44547</v>
      </c>
      <c r="L2882" t="s">
        <v>20</v>
      </c>
      <c r="M2882" t="s">
        <v>89</v>
      </c>
      <c r="N2882">
        <v>1.83</v>
      </c>
      <c r="O2882">
        <v>2075</v>
      </c>
      <c r="P2882">
        <v>3.24</v>
      </c>
      <c r="Q2882">
        <v>251</v>
      </c>
      <c r="R2882">
        <v>348</v>
      </c>
    </row>
    <row r="2883" spans="1:18" hidden="1" x14ac:dyDescent="0.2">
      <c r="A2883">
        <v>1</v>
      </c>
      <c r="B2883" t="s">
        <v>101</v>
      </c>
      <c r="E2883" t="s">
        <v>51</v>
      </c>
      <c r="F2883">
        <v>2966667</v>
      </c>
      <c r="G2883">
        <v>3</v>
      </c>
      <c r="H2883">
        <v>2</v>
      </c>
      <c r="I2883">
        <v>190</v>
      </c>
      <c r="J2883">
        <v>1951</v>
      </c>
      <c r="K2883" s="4">
        <v>44669</v>
      </c>
      <c r="L2883" t="s">
        <v>26</v>
      </c>
      <c r="M2883" t="s">
        <v>85</v>
      </c>
      <c r="N2883">
        <v>3.14</v>
      </c>
      <c r="O2883">
        <v>2275</v>
      </c>
      <c r="P2883">
        <v>4.55</v>
      </c>
      <c r="Q2883">
        <v>176</v>
      </c>
      <c r="R2883">
        <v>540</v>
      </c>
    </row>
    <row r="2884" spans="1:18" hidden="1" x14ac:dyDescent="0.2">
      <c r="A2884">
        <v>3</v>
      </c>
      <c r="B2884" t="s">
        <v>34</v>
      </c>
      <c r="E2884" t="s">
        <v>29</v>
      </c>
      <c r="F2884">
        <v>2760302</v>
      </c>
      <c r="G2884">
        <v>3</v>
      </c>
      <c r="H2884">
        <v>1</v>
      </c>
      <c r="I2884">
        <v>433</v>
      </c>
      <c r="J2884">
        <v>1960</v>
      </c>
      <c r="K2884" s="4">
        <v>44912</v>
      </c>
      <c r="L2884" t="s">
        <v>23</v>
      </c>
      <c r="M2884" t="s">
        <v>76</v>
      </c>
      <c r="N2884">
        <v>1.91</v>
      </c>
      <c r="O2884">
        <v>1536</v>
      </c>
      <c r="P2884">
        <v>2.0299999999999998</v>
      </c>
      <c r="Q2884">
        <v>195</v>
      </c>
      <c r="R2884">
        <v>362</v>
      </c>
    </row>
    <row r="2885" spans="1:18" hidden="1" x14ac:dyDescent="0.2">
      <c r="A2885">
        <v>7</v>
      </c>
      <c r="B2885" t="s">
        <v>92</v>
      </c>
      <c r="E2885" t="s">
        <v>19</v>
      </c>
      <c r="F2885">
        <v>2829562</v>
      </c>
      <c r="G2885">
        <v>6</v>
      </c>
      <c r="H2885">
        <v>1</v>
      </c>
      <c r="I2885">
        <v>782</v>
      </c>
      <c r="J2885">
        <v>1985</v>
      </c>
      <c r="K2885" s="4">
        <v>45367</v>
      </c>
      <c r="L2885" t="s">
        <v>20</v>
      </c>
      <c r="M2885" t="s">
        <v>37</v>
      </c>
      <c r="N2885">
        <v>2.08</v>
      </c>
      <c r="O2885">
        <v>1053</v>
      </c>
      <c r="P2885">
        <v>2.06</v>
      </c>
      <c r="Q2885">
        <v>347</v>
      </c>
      <c r="R2885">
        <v>535</v>
      </c>
    </row>
    <row r="2886" spans="1:18" hidden="1" x14ac:dyDescent="0.2">
      <c r="A2886">
        <v>3</v>
      </c>
      <c r="B2886" t="s">
        <v>25</v>
      </c>
      <c r="E2886" t="s">
        <v>29</v>
      </c>
      <c r="F2886">
        <v>456263</v>
      </c>
      <c r="G2886">
        <v>3</v>
      </c>
      <c r="H2886">
        <v>1</v>
      </c>
      <c r="I2886">
        <v>933</v>
      </c>
      <c r="J2886">
        <v>1986</v>
      </c>
      <c r="K2886" s="4">
        <v>44117</v>
      </c>
      <c r="L2886" t="s">
        <v>23</v>
      </c>
      <c r="M2886" t="s">
        <v>89</v>
      </c>
      <c r="N2886">
        <v>2.85</v>
      </c>
      <c r="O2886">
        <v>2109</v>
      </c>
      <c r="P2886">
        <v>3.54</v>
      </c>
      <c r="Q2886">
        <v>95</v>
      </c>
      <c r="R2886">
        <v>585</v>
      </c>
    </row>
    <row r="2887" spans="1:18" hidden="1" x14ac:dyDescent="0.2">
      <c r="A2887">
        <v>9</v>
      </c>
      <c r="B2887" t="s">
        <v>65</v>
      </c>
      <c r="E2887" t="s">
        <v>29</v>
      </c>
      <c r="F2887">
        <v>995515</v>
      </c>
      <c r="G2887">
        <v>4</v>
      </c>
      <c r="H2887">
        <v>2</v>
      </c>
      <c r="I2887">
        <v>747</v>
      </c>
      <c r="J2887">
        <v>1951</v>
      </c>
      <c r="K2887" s="4">
        <v>44242</v>
      </c>
      <c r="L2887" t="s">
        <v>20</v>
      </c>
      <c r="M2887" t="s">
        <v>69</v>
      </c>
      <c r="N2887">
        <v>3</v>
      </c>
      <c r="O2887">
        <v>1220</v>
      </c>
      <c r="P2887">
        <v>2.39</v>
      </c>
      <c r="Q2887">
        <v>225</v>
      </c>
      <c r="R2887">
        <v>490</v>
      </c>
    </row>
    <row r="2888" spans="1:18" hidden="1" x14ac:dyDescent="0.2">
      <c r="A2888">
        <v>4</v>
      </c>
      <c r="B2888" t="s">
        <v>22</v>
      </c>
      <c r="E2888" t="s">
        <v>29</v>
      </c>
      <c r="F2888">
        <v>920560</v>
      </c>
      <c r="G2888">
        <v>2</v>
      </c>
      <c r="H2888">
        <v>1</v>
      </c>
      <c r="I2888">
        <v>115</v>
      </c>
      <c r="J2888">
        <v>2014</v>
      </c>
      <c r="K2888" s="4">
        <v>45544</v>
      </c>
      <c r="L2888" t="s">
        <v>20</v>
      </c>
      <c r="M2888" t="s">
        <v>35</v>
      </c>
      <c r="N2888">
        <v>2.14</v>
      </c>
      <c r="O2888">
        <v>1573</v>
      </c>
      <c r="P2888">
        <v>0.21</v>
      </c>
      <c r="Q2888">
        <v>229</v>
      </c>
      <c r="R2888">
        <v>531</v>
      </c>
    </row>
    <row r="2889" spans="1:18" hidden="1" x14ac:dyDescent="0.2">
      <c r="A2889">
        <v>5</v>
      </c>
      <c r="B2889" t="s">
        <v>34</v>
      </c>
      <c r="E2889" t="s">
        <v>36</v>
      </c>
      <c r="F2889">
        <v>606222</v>
      </c>
      <c r="G2889">
        <v>3</v>
      </c>
      <c r="H2889">
        <v>2</v>
      </c>
      <c r="I2889">
        <v>291</v>
      </c>
      <c r="J2889">
        <v>2011</v>
      </c>
      <c r="K2889" s="4">
        <v>44541</v>
      </c>
      <c r="L2889" t="s">
        <v>23</v>
      </c>
      <c r="M2889" t="s">
        <v>40</v>
      </c>
      <c r="N2889">
        <v>1.72</v>
      </c>
      <c r="O2889">
        <v>1264</v>
      </c>
      <c r="P2889">
        <v>2.19</v>
      </c>
      <c r="Q2889">
        <v>263</v>
      </c>
      <c r="R2889">
        <v>564</v>
      </c>
    </row>
    <row r="2890" spans="1:18" hidden="1" x14ac:dyDescent="0.2">
      <c r="A2890">
        <v>0</v>
      </c>
      <c r="B2890" t="s">
        <v>61</v>
      </c>
      <c r="E2890" t="s">
        <v>36</v>
      </c>
      <c r="F2890">
        <v>1703076</v>
      </c>
      <c r="G2890">
        <v>5</v>
      </c>
      <c r="H2890">
        <v>1</v>
      </c>
      <c r="I2890">
        <v>899</v>
      </c>
      <c r="J2890">
        <v>1955</v>
      </c>
      <c r="K2890" s="4">
        <v>45283</v>
      </c>
      <c r="L2890" t="s">
        <v>20</v>
      </c>
      <c r="M2890" t="s">
        <v>24</v>
      </c>
      <c r="N2890">
        <v>2.89</v>
      </c>
      <c r="O2890">
        <v>1835</v>
      </c>
      <c r="P2890">
        <v>4</v>
      </c>
      <c r="Q2890">
        <v>334</v>
      </c>
      <c r="R2890">
        <v>384</v>
      </c>
    </row>
    <row r="2891" spans="1:18" hidden="1" x14ac:dyDescent="0.2">
      <c r="A2891">
        <v>7</v>
      </c>
      <c r="B2891" t="s">
        <v>73</v>
      </c>
      <c r="E2891" t="s">
        <v>51</v>
      </c>
      <c r="F2891">
        <v>2916923</v>
      </c>
      <c r="G2891">
        <v>3</v>
      </c>
      <c r="H2891">
        <v>3</v>
      </c>
      <c r="I2891">
        <v>1000</v>
      </c>
      <c r="J2891">
        <v>1982</v>
      </c>
      <c r="K2891" s="4">
        <v>44161</v>
      </c>
      <c r="L2891" t="s">
        <v>20</v>
      </c>
      <c r="M2891" t="s">
        <v>69</v>
      </c>
      <c r="N2891">
        <v>2.39</v>
      </c>
      <c r="O2891">
        <v>1861</v>
      </c>
      <c r="P2891">
        <v>1.99</v>
      </c>
      <c r="Q2891">
        <v>144</v>
      </c>
      <c r="R2891">
        <v>367</v>
      </c>
    </row>
    <row r="2892" spans="1:18" hidden="1" x14ac:dyDescent="0.2">
      <c r="A2892">
        <v>7</v>
      </c>
      <c r="B2892" t="s">
        <v>53</v>
      </c>
      <c r="E2892" t="s">
        <v>29</v>
      </c>
      <c r="F2892">
        <v>2517879</v>
      </c>
      <c r="G2892">
        <v>4</v>
      </c>
      <c r="H2892">
        <v>2</v>
      </c>
      <c r="I2892">
        <v>738</v>
      </c>
      <c r="J2892">
        <v>1985</v>
      </c>
      <c r="K2892" s="4">
        <v>44510</v>
      </c>
      <c r="L2892" t="s">
        <v>26</v>
      </c>
      <c r="M2892" t="s">
        <v>42</v>
      </c>
      <c r="N2892">
        <v>3.33</v>
      </c>
      <c r="O2892">
        <v>1184</v>
      </c>
      <c r="P2892">
        <v>3.7</v>
      </c>
      <c r="Q2892">
        <v>386</v>
      </c>
      <c r="R2892">
        <v>626</v>
      </c>
    </row>
    <row r="2893" spans="1:18" hidden="1" x14ac:dyDescent="0.2">
      <c r="A2893">
        <v>4</v>
      </c>
      <c r="B2893" t="s">
        <v>94</v>
      </c>
      <c r="E2893" t="s">
        <v>51</v>
      </c>
      <c r="F2893">
        <v>574719</v>
      </c>
      <c r="G2893">
        <v>5</v>
      </c>
      <c r="H2893">
        <v>2</v>
      </c>
      <c r="I2893">
        <v>709</v>
      </c>
      <c r="J2893">
        <v>2004</v>
      </c>
      <c r="K2893" s="4">
        <v>44814</v>
      </c>
      <c r="L2893" t="s">
        <v>30</v>
      </c>
      <c r="M2893" t="s">
        <v>89</v>
      </c>
      <c r="N2893">
        <v>3</v>
      </c>
      <c r="O2893">
        <v>2092</v>
      </c>
      <c r="P2893">
        <v>1.64</v>
      </c>
      <c r="Q2893">
        <v>320</v>
      </c>
      <c r="R2893">
        <v>443</v>
      </c>
    </row>
    <row r="2894" spans="1:18" hidden="1" x14ac:dyDescent="0.2">
      <c r="A2894">
        <v>0</v>
      </c>
      <c r="B2894" t="s">
        <v>41</v>
      </c>
      <c r="E2894" t="s">
        <v>36</v>
      </c>
      <c r="F2894">
        <v>1993593</v>
      </c>
      <c r="G2894">
        <v>4</v>
      </c>
      <c r="H2894">
        <v>3</v>
      </c>
      <c r="I2894">
        <v>579</v>
      </c>
      <c r="J2894">
        <v>2015</v>
      </c>
      <c r="K2894" s="4">
        <v>45860</v>
      </c>
      <c r="L2894" t="s">
        <v>23</v>
      </c>
      <c r="M2894" t="s">
        <v>76</v>
      </c>
      <c r="N2894">
        <v>2.1</v>
      </c>
      <c r="O2894">
        <v>1243</v>
      </c>
      <c r="P2894">
        <v>1.91</v>
      </c>
      <c r="Q2894">
        <v>304</v>
      </c>
      <c r="R2894">
        <v>658</v>
      </c>
    </row>
    <row r="2895" spans="1:18" hidden="1" x14ac:dyDescent="0.2">
      <c r="A2895">
        <v>9</v>
      </c>
      <c r="B2895" t="s">
        <v>43</v>
      </c>
      <c r="E2895" t="s">
        <v>29</v>
      </c>
      <c r="F2895">
        <v>1846078</v>
      </c>
      <c r="G2895">
        <v>4</v>
      </c>
      <c r="H2895">
        <v>1</v>
      </c>
      <c r="I2895">
        <v>709</v>
      </c>
      <c r="J2895">
        <v>1993</v>
      </c>
      <c r="K2895" s="4">
        <v>45277</v>
      </c>
      <c r="L2895" t="s">
        <v>30</v>
      </c>
      <c r="M2895" t="s">
        <v>31</v>
      </c>
      <c r="N2895">
        <v>2.0699999999999998</v>
      </c>
      <c r="O2895">
        <v>1520</v>
      </c>
      <c r="P2895">
        <v>4.13</v>
      </c>
      <c r="Q2895">
        <v>326</v>
      </c>
      <c r="R2895">
        <v>582</v>
      </c>
    </row>
    <row r="2896" spans="1:18" hidden="1" x14ac:dyDescent="0.2">
      <c r="A2896">
        <v>1</v>
      </c>
      <c r="B2896" t="s">
        <v>65</v>
      </c>
      <c r="E2896" t="s">
        <v>51</v>
      </c>
      <c r="F2896">
        <v>2665041</v>
      </c>
      <c r="G2896">
        <v>5</v>
      </c>
      <c r="H2896">
        <v>2</v>
      </c>
      <c r="I2896">
        <v>74</v>
      </c>
      <c r="J2896">
        <v>1994</v>
      </c>
      <c r="K2896" s="4">
        <v>44258</v>
      </c>
      <c r="L2896" t="s">
        <v>26</v>
      </c>
      <c r="M2896" t="s">
        <v>78</v>
      </c>
      <c r="N2896">
        <v>3.29</v>
      </c>
      <c r="O2896">
        <v>1178</v>
      </c>
      <c r="P2896">
        <v>0.99</v>
      </c>
      <c r="Q2896">
        <v>327</v>
      </c>
      <c r="R2896">
        <v>359</v>
      </c>
    </row>
    <row r="2897" spans="1:18" hidden="1" x14ac:dyDescent="0.2">
      <c r="A2897">
        <v>2</v>
      </c>
      <c r="B2897" t="s">
        <v>39</v>
      </c>
      <c r="E2897" t="s">
        <v>19</v>
      </c>
      <c r="F2897">
        <v>817900</v>
      </c>
      <c r="G2897">
        <v>6</v>
      </c>
      <c r="H2897">
        <v>1</v>
      </c>
      <c r="I2897">
        <v>292</v>
      </c>
      <c r="J2897">
        <v>2021</v>
      </c>
      <c r="K2897" s="4">
        <v>45435</v>
      </c>
      <c r="L2897" t="s">
        <v>23</v>
      </c>
      <c r="M2897" t="s">
        <v>69</v>
      </c>
      <c r="N2897">
        <v>2.2799999999999998</v>
      </c>
      <c r="O2897">
        <v>1457</v>
      </c>
      <c r="P2897">
        <v>2.4500000000000002</v>
      </c>
      <c r="Q2897">
        <v>328</v>
      </c>
      <c r="R2897">
        <v>560</v>
      </c>
    </row>
    <row r="2898" spans="1:18" hidden="1" x14ac:dyDescent="0.2">
      <c r="A2898">
        <v>4</v>
      </c>
      <c r="B2898" t="s">
        <v>49</v>
      </c>
      <c r="E2898" t="s">
        <v>51</v>
      </c>
      <c r="F2898">
        <v>1283473</v>
      </c>
      <c r="G2898">
        <v>4</v>
      </c>
      <c r="H2898">
        <v>2</v>
      </c>
      <c r="I2898">
        <v>77</v>
      </c>
      <c r="J2898">
        <v>1964</v>
      </c>
      <c r="K2898" s="4">
        <v>44474</v>
      </c>
      <c r="L2898" t="s">
        <v>26</v>
      </c>
      <c r="M2898" t="s">
        <v>52</v>
      </c>
      <c r="N2898">
        <v>1.65</v>
      </c>
      <c r="O2898">
        <v>1763</v>
      </c>
      <c r="P2898">
        <v>4.49</v>
      </c>
      <c r="Q2898">
        <v>202</v>
      </c>
      <c r="R2898">
        <v>647</v>
      </c>
    </row>
    <row r="2899" spans="1:18" x14ac:dyDescent="0.2">
      <c r="A2899">
        <v>8</v>
      </c>
      <c r="B2899" t="s">
        <v>98</v>
      </c>
      <c r="C2899" t="str">
        <f>VLOOKUP(B2899, 'Council Area'!$A$2:$B$51, 2)</f>
        <v>Parramatta City Council</v>
      </c>
      <c r="D2899" t="str">
        <f>_xlfn.XLOOKUP(B2899, 'Council Area'!$A$2:$A$51, 'Council Area'!$B$2:$B$51)</f>
        <v>Parramatta City Council</v>
      </c>
      <c r="E2899" t="s">
        <v>29</v>
      </c>
      <c r="F2899">
        <v>2179934</v>
      </c>
      <c r="G2899">
        <v>2</v>
      </c>
      <c r="H2899">
        <v>2</v>
      </c>
      <c r="I2899">
        <v>667</v>
      </c>
      <c r="J2899">
        <v>1994</v>
      </c>
      <c r="K2899" s="4">
        <v>44739</v>
      </c>
      <c r="L2899" t="s">
        <v>30</v>
      </c>
      <c r="M2899" t="s">
        <v>69</v>
      </c>
      <c r="N2899">
        <v>1.9</v>
      </c>
      <c r="O2899">
        <v>2476</v>
      </c>
      <c r="P2899">
        <v>0.65</v>
      </c>
      <c r="Q2899">
        <v>51</v>
      </c>
      <c r="R2899">
        <v>499</v>
      </c>
    </row>
    <row r="2900" spans="1:18" hidden="1" x14ac:dyDescent="0.2">
      <c r="A2900">
        <v>2</v>
      </c>
      <c r="B2900" t="s">
        <v>72</v>
      </c>
      <c r="E2900" t="s">
        <v>19</v>
      </c>
      <c r="F2900">
        <v>1892118</v>
      </c>
      <c r="G2900">
        <v>3</v>
      </c>
      <c r="H2900">
        <v>2</v>
      </c>
      <c r="I2900">
        <v>370</v>
      </c>
      <c r="J2900">
        <v>2013</v>
      </c>
      <c r="K2900" s="4">
        <v>45082</v>
      </c>
      <c r="L2900" t="s">
        <v>30</v>
      </c>
      <c r="M2900" t="s">
        <v>97</v>
      </c>
      <c r="N2900">
        <v>1.76</v>
      </c>
      <c r="O2900">
        <v>1448</v>
      </c>
      <c r="P2900">
        <v>1.94</v>
      </c>
      <c r="Q2900">
        <v>304</v>
      </c>
      <c r="R2900">
        <v>420</v>
      </c>
    </row>
    <row r="2901" spans="1:18" x14ac:dyDescent="0.2">
      <c r="A2901">
        <v>8</v>
      </c>
      <c r="B2901" t="s">
        <v>61</v>
      </c>
      <c r="C2901" t="str">
        <f>VLOOKUP(B2901, 'Council Area'!$A$2:$B$51, 2)</f>
        <v>Parramatta City Council</v>
      </c>
      <c r="D2901" t="str">
        <f>_xlfn.XLOOKUP(B2901, 'Council Area'!$A$2:$A$51, 'Council Area'!$B$2:$B$51)</f>
        <v>Parramatta City Council</v>
      </c>
      <c r="E2901" t="s">
        <v>51</v>
      </c>
      <c r="F2901">
        <v>2442992</v>
      </c>
      <c r="G2901">
        <v>1</v>
      </c>
      <c r="H2901">
        <v>3</v>
      </c>
      <c r="I2901">
        <v>770</v>
      </c>
      <c r="J2901">
        <v>2017</v>
      </c>
      <c r="K2901" s="4">
        <v>44500</v>
      </c>
      <c r="L2901" t="s">
        <v>30</v>
      </c>
      <c r="M2901" t="s">
        <v>35</v>
      </c>
      <c r="N2901">
        <v>1.84</v>
      </c>
      <c r="O2901">
        <v>2019</v>
      </c>
      <c r="P2901">
        <v>1.21</v>
      </c>
      <c r="Q2901">
        <v>83</v>
      </c>
      <c r="R2901">
        <v>454</v>
      </c>
    </row>
    <row r="2902" spans="1:18" hidden="1" x14ac:dyDescent="0.2">
      <c r="A2902">
        <v>4</v>
      </c>
      <c r="B2902" t="s">
        <v>96</v>
      </c>
      <c r="E2902" t="s">
        <v>29</v>
      </c>
      <c r="F2902">
        <v>1579520</v>
      </c>
      <c r="G2902">
        <v>4</v>
      </c>
      <c r="H2902">
        <v>3</v>
      </c>
      <c r="I2902">
        <v>785</v>
      </c>
      <c r="J2902">
        <v>2013</v>
      </c>
      <c r="K2902" s="4">
        <v>45135</v>
      </c>
      <c r="L2902" t="s">
        <v>23</v>
      </c>
      <c r="M2902" t="s">
        <v>68</v>
      </c>
      <c r="N2902">
        <v>3.34</v>
      </c>
      <c r="O2902">
        <v>1147</v>
      </c>
      <c r="P2902">
        <v>3.57</v>
      </c>
      <c r="Q2902">
        <v>325</v>
      </c>
      <c r="R2902">
        <v>313</v>
      </c>
    </row>
    <row r="2903" spans="1:18" hidden="1" x14ac:dyDescent="0.2">
      <c r="A2903">
        <v>6</v>
      </c>
      <c r="B2903" t="s">
        <v>84</v>
      </c>
      <c r="E2903" t="s">
        <v>29</v>
      </c>
      <c r="F2903">
        <v>2549534</v>
      </c>
      <c r="G2903">
        <v>4</v>
      </c>
      <c r="H2903">
        <v>2</v>
      </c>
      <c r="I2903">
        <v>495</v>
      </c>
      <c r="J2903">
        <v>2001</v>
      </c>
      <c r="K2903" s="4">
        <v>44117</v>
      </c>
      <c r="L2903" t="s">
        <v>26</v>
      </c>
      <c r="M2903" t="s">
        <v>70</v>
      </c>
      <c r="N2903">
        <v>2.82</v>
      </c>
      <c r="O2903">
        <v>973</v>
      </c>
      <c r="P2903">
        <v>3.15</v>
      </c>
      <c r="Q2903">
        <v>303</v>
      </c>
      <c r="R2903">
        <v>653</v>
      </c>
    </row>
    <row r="2904" spans="1:18" hidden="1" x14ac:dyDescent="0.2">
      <c r="A2904">
        <v>4</v>
      </c>
      <c r="B2904" t="s">
        <v>80</v>
      </c>
      <c r="E2904" t="s">
        <v>36</v>
      </c>
      <c r="F2904">
        <v>629146</v>
      </c>
      <c r="G2904">
        <v>4</v>
      </c>
      <c r="H2904">
        <v>2</v>
      </c>
      <c r="I2904">
        <v>326</v>
      </c>
      <c r="J2904">
        <v>1987</v>
      </c>
      <c r="K2904" s="4">
        <v>44522</v>
      </c>
      <c r="L2904" t="s">
        <v>26</v>
      </c>
      <c r="M2904" t="s">
        <v>78</v>
      </c>
      <c r="N2904">
        <v>2.5299999999999998</v>
      </c>
      <c r="O2904">
        <v>944</v>
      </c>
      <c r="P2904">
        <v>1.26</v>
      </c>
      <c r="Q2904">
        <v>296</v>
      </c>
      <c r="R2904">
        <v>311</v>
      </c>
    </row>
    <row r="2905" spans="1:18" hidden="1" x14ac:dyDescent="0.2">
      <c r="A2905">
        <v>4</v>
      </c>
      <c r="B2905" t="s">
        <v>34</v>
      </c>
      <c r="E2905" t="s">
        <v>51</v>
      </c>
      <c r="F2905">
        <v>968888</v>
      </c>
      <c r="G2905">
        <v>3</v>
      </c>
      <c r="H2905">
        <v>2</v>
      </c>
      <c r="I2905">
        <v>633</v>
      </c>
      <c r="J2905">
        <v>1953</v>
      </c>
      <c r="K2905" s="4">
        <v>45660</v>
      </c>
      <c r="L2905" t="s">
        <v>26</v>
      </c>
      <c r="M2905" t="s">
        <v>52</v>
      </c>
      <c r="N2905">
        <v>2.0099999999999998</v>
      </c>
      <c r="O2905">
        <v>1051</v>
      </c>
      <c r="P2905">
        <v>1.36</v>
      </c>
      <c r="Q2905">
        <v>100</v>
      </c>
      <c r="R2905">
        <v>506</v>
      </c>
    </row>
    <row r="2906" spans="1:18" x14ac:dyDescent="0.2">
      <c r="A2906">
        <v>8</v>
      </c>
      <c r="B2906" t="s">
        <v>49</v>
      </c>
      <c r="C2906" t="str">
        <f>VLOOKUP(B2906, 'Council Area'!$A$2:$B$51, 2)</f>
        <v>Inner West Council</v>
      </c>
      <c r="D2906" t="str">
        <f>_xlfn.XLOOKUP(B2906, 'Council Area'!$A$2:$A$51, 'Council Area'!$B$2:$B$51)</f>
        <v>Inner West Council</v>
      </c>
      <c r="E2906" t="s">
        <v>29</v>
      </c>
      <c r="F2906">
        <v>436659</v>
      </c>
      <c r="G2906">
        <v>3</v>
      </c>
      <c r="H2906">
        <v>2</v>
      </c>
      <c r="I2906">
        <v>834</v>
      </c>
      <c r="J2906">
        <v>1954</v>
      </c>
      <c r="K2906" s="4">
        <v>44999</v>
      </c>
      <c r="L2906" t="s">
        <v>23</v>
      </c>
      <c r="M2906" t="s">
        <v>27</v>
      </c>
      <c r="N2906">
        <v>2.42</v>
      </c>
      <c r="O2906">
        <v>2322</v>
      </c>
      <c r="P2906">
        <v>2.81</v>
      </c>
      <c r="Q2906">
        <v>140</v>
      </c>
      <c r="R2906">
        <v>391</v>
      </c>
    </row>
    <row r="2907" spans="1:18" hidden="1" x14ac:dyDescent="0.2">
      <c r="A2907">
        <v>5</v>
      </c>
      <c r="B2907" t="s">
        <v>98</v>
      </c>
      <c r="E2907" t="s">
        <v>51</v>
      </c>
      <c r="F2907">
        <v>1586670</v>
      </c>
      <c r="G2907">
        <v>4</v>
      </c>
      <c r="H2907">
        <v>3</v>
      </c>
      <c r="I2907">
        <v>792</v>
      </c>
      <c r="J2907">
        <v>2007</v>
      </c>
      <c r="K2907" s="4">
        <v>44915</v>
      </c>
      <c r="L2907" t="s">
        <v>20</v>
      </c>
      <c r="M2907" t="s">
        <v>63</v>
      </c>
      <c r="N2907">
        <v>1.8</v>
      </c>
      <c r="O2907">
        <v>1738</v>
      </c>
      <c r="P2907">
        <v>2.75</v>
      </c>
      <c r="Q2907">
        <v>263</v>
      </c>
      <c r="R2907">
        <v>307</v>
      </c>
    </row>
    <row r="2908" spans="1:18" hidden="1" x14ac:dyDescent="0.2">
      <c r="A2908">
        <v>7</v>
      </c>
      <c r="B2908" t="s">
        <v>18</v>
      </c>
      <c r="E2908" t="s">
        <v>29</v>
      </c>
      <c r="F2908">
        <v>1828954</v>
      </c>
      <c r="G2908">
        <v>5</v>
      </c>
      <c r="H2908">
        <v>3</v>
      </c>
      <c r="I2908">
        <v>107</v>
      </c>
      <c r="J2908">
        <v>1951</v>
      </c>
      <c r="K2908" s="4">
        <v>44129</v>
      </c>
      <c r="L2908" t="s">
        <v>26</v>
      </c>
      <c r="M2908" t="s">
        <v>85</v>
      </c>
      <c r="N2908">
        <v>1.94</v>
      </c>
      <c r="O2908">
        <v>2410</v>
      </c>
      <c r="P2908">
        <v>1.74</v>
      </c>
      <c r="Q2908">
        <v>398</v>
      </c>
      <c r="R2908">
        <v>467</v>
      </c>
    </row>
    <row r="2909" spans="1:18" hidden="1" x14ac:dyDescent="0.2">
      <c r="A2909">
        <v>4</v>
      </c>
      <c r="B2909" t="s">
        <v>91</v>
      </c>
      <c r="E2909" t="s">
        <v>29</v>
      </c>
      <c r="F2909">
        <v>2134388</v>
      </c>
      <c r="G2909">
        <v>6</v>
      </c>
      <c r="H2909">
        <v>3</v>
      </c>
      <c r="I2909">
        <v>69</v>
      </c>
      <c r="J2909">
        <v>2011</v>
      </c>
      <c r="K2909" s="4">
        <v>44227</v>
      </c>
      <c r="L2909" t="s">
        <v>26</v>
      </c>
      <c r="M2909" t="s">
        <v>59</v>
      </c>
      <c r="N2909">
        <v>2.29</v>
      </c>
      <c r="O2909">
        <v>1594</v>
      </c>
      <c r="P2909">
        <v>1.89</v>
      </c>
      <c r="Q2909">
        <v>341</v>
      </c>
      <c r="R2909">
        <v>625</v>
      </c>
    </row>
    <row r="2910" spans="1:18" hidden="1" x14ac:dyDescent="0.2">
      <c r="A2910">
        <v>9</v>
      </c>
      <c r="B2910" t="s">
        <v>91</v>
      </c>
      <c r="E2910" t="s">
        <v>51</v>
      </c>
      <c r="F2910">
        <v>1904697</v>
      </c>
      <c r="G2910">
        <v>4</v>
      </c>
      <c r="H2910">
        <v>3</v>
      </c>
      <c r="I2910">
        <v>667</v>
      </c>
      <c r="J2910">
        <v>1967</v>
      </c>
      <c r="K2910" s="4">
        <v>45339</v>
      </c>
      <c r="L2910" t="s">
        <v>20</v>
      </c>
      <c r="M2910" t="s">
        <v>68</v>
      </c>
      <c r="N2910">
        <v>2.11</v>
      </c>
      <c r="O2910">
        <v>1346</v>
      </c>
      <c r="P2910">
        <v>0.34</v>
      </c>
      <c r="Q2910">
        <v>342</v>
      </c>
      <c r="R2910">
        <v>332</v>
      </c>
    </row>
    <row r="2911" spans="1:18" hidden="1" x14ac:dyDescent="0.2">
      <c r="A2911">
        <v>4</v>
      </c>
      <c r="B2911" t="s">
        <v>55</v>
      </c>
      <c r="E2911" t="s">
        <v>19</v>
      </c>
      <c r="F2911">
        <v>853985</v>
      </c>
      <c r="G2911">
        <v>5</v>
      </c>
      <c r="H2911">
        <v>2</v>
      </c>
      <c r="I2911">
        <v>467</v>
      </c>
      <c r="J2911">
        <v>1970</v>
      </c>
      <c r="K2911" s="4">
        <v>45770</v>
      </c>
      <c r="L2911" t="s">
        <v>26</v>
      </c>
      <c r="M2911" t="s">
        <v>21</v>
      </c>
      <c r="N2911">
        <v>3.06</v>
      </c>
      <c r="O2911">
        <v>945</v>
      </c>
      <c r="P2911">
        <v>4.34</v>
      </c>
      <c r="Q2911">
        <v>389</v>
      </c>
      <c r="R2911">
        <v>562</v>
      </c>
    </row>
    <row r="2912" spans="1:18" hidden="1" x14ac:dyDescent="0.2">
      <c r="A2912">
        <v>4</v>
      </c>
      <c r="B2912" t="s">
        <v>90</v>
      </c>
      <c r="E2912" t="s">
        <v>29</v>
      </c>
      <c r="F2912">
        <v>642107</v>
      </c>
      <c r="G2912">
        <v>5</v>
      </c>
      <c r="H2912">
        <v>3</v>
      </c>
      <c r="I2912">
        <v>291</v>
      </c>
      <c r="J2912">
        <v>1983</v>
      </c>
      <c r="K2912" s="4">
        <v>44507</v>
      </c>
      <c r="L2912" t="s">
        <v>26</v>
      </c>
      <c r="M2912" t="s">
        <v>76</v>
      </c>
      <c r="N2912">
        <v>2.46</v>
      </c>
      <c r="O2912">
        <v>915</v>
      </c>
      <c r="P2912">
        <v>3.32</v>
      </c>
      <c r="Q2912">
        <v>353</v>
      </c>
      <c r="R2912">
        <v>483</v>
      </c>
    </row>
    <row r="2913" spans="1:18" hidden="1" x14ac:dyDescent="0.2">
      <c r="A2913">
        <v>2</v>
      </c>
      <c r="B2913" t="s">
        <v>98</v>
      </c>
      <c r="E2913" t="s">
        <v>19</v>
      </c>
      <c r="F2913">
        <v>2126676</v>
      </c>
      <c r="G2913">
        <v>2</v>
      </c>
      <c r="H2913">
        <v>3</v>
      </c>
      <c r="I2913">
        <v>314</v>
      </c>
      <c r="J2913">
        <v>1968</v>
      </c>
      <c r="K2913" s="4">
        <v>45442</v>
      </c>
      <c r="L2913" t="s">
        <v>26</v>
      </c>
      <c r="M2913" t="s">
        <v>70</v>
      </c>
      <c r="N2913">
        <v>3.06</v>
      </c>
      <c r="O2913">
        <v>1883</v>
      </c>
      <c r="P2913">
        <v>2.2000000000000002</v>
      </c>
      <c r="Q2913">
        <v>191</v>
      </c>
      <c r="R2913">
        <v>361</v>
      </c>
    </row>
    <row r="2914" spans="1:18" hidden="1" x14ac:dyDescent="0.2">
      <c r="A2914">
        <v>6</v>
      </c>
      <c r="B2914" t="s">
        <v>99</v>
      </c>
      <c r="E2914" t="s">
        <v>51</v>
      </c>
      <c r="F2914">
        <v>1218526</v>
      </c>
      <c r="G2914">
        <v>3</v>
      </c>
      <c r="H2914">
        <v>2</v>
      </c>
      <c r="I2914">
        <v>211</v>
      </c>
      <c r="J2914">
        <v>2000</v>
      </c>
      <c r="K2914" s="4">
        <v>45086</v>
      </c>
      <c r="L2914" t="s">
        <v>20</v>
      </c>
      <c r="M2914" t="s">
        <v>40</v>
      </c>
      <c r="N2914">
        <v>2.77</v>
      </c>
      <c r="O2914">
        <v>1586</v>
      </c>
      <c r="P2914">
        <v>0.52</v>
      </c>
      <c r="Q2914">
        <v>253</v>
      </c>
      <c r="R2914">
        <v>373</v>
      </c>
    </row>
    <row r="2915" spans="1:18" hidden="1" x14ac:dyDescent="0.2">
      <c r="A2915">
        <v>5</v>
      </c>
      <c r="B2915" t="s">
        <v>79</v>
      </c>
      <c r="E2915" t="s">
        <v>29</v>
      </c>
      <c r="F2915">
        <v>417792</v>
      </c>
      <c r="G2915">
        <v>3</v>
      </c>
      <c r="H2915">
        <v>1</v>
      </c>
      <c r="I2915">
        <v>278</v>
      </c>
      <c r="J2915">
        <v>2020</v>
      </c>
      <c r="K2915" s="4">
        <v>45253</v>
      </c>
      <c r="L2915" t="s">
        <v>30</v>
      </c>
      <c r="M2915" t="s">
        <v>52</v>
      </c>
      <c r="N2915">
        <v>3</v>
      </c>
      <c r="O2915">
        <v>1225</v>
      </c>
      <c r="P2915">
        <v>3.42</v>
      </c>
      <c r="Q2915">
        <v>134</v>
      </c>
      <c r="R2915">
        <v>487</v>
      </c>
    </row>
    <row r="2916" spans="1:18" hidden="1" x14ac:dyDescent="0.2">
      <c r="A2916">
        <v>9</v>
      </c>
      <c r="B2916" t="s">
        <v>61</v>
      </c>
      <c r="E2916" t="s">
        <v>29</v>
      </c>
      <c r="F2916">
        <v>2145859</v>
      </c>
      <c r="G2916">
        <v>1</v>
      </c>
      <c r="H2916">
        <v>1</v>
      </c>
      <c r="I2916">
        <v>204</v>
      </c>
      <c r="J2916">
        <v>1999</v>
      </c>
      <c r="K2916" s="4">
        <v>44088</v>
      </c>
      <c r="L2916" t="s">
        <v>23</v>
      </c>
      <c r="M2916" t="s">
        <v>77</v>
      </c>
      <c r="N2916">
        <v>1.98</v>
      </c>
      <c r="O2916">
        <v>1230</v>
      </c>
      <c r="P2916">
        <v>1.95</v>
      </c>
      <c r="Q2916">
        <v>41</v>
      </c>
      <c r="R2916">
        <v>441</v>
      </c>
    </row>
    <row r="2917" spans="1:18" x14ac:dyDescent="0.2">
      <c r="A2917">
        <v>8</v>
      </c>
      <c r="B2917" t="s">
        <v>49</v>
      </c>
      <c r="C2917" t="str">
        <f>VLOOKUP(B2917, 'Council Area'!$A$2:$B$51, 2)</f>
        <v>Inner West Council</v>
      </c>
      <c r="D2917" t="str">
        <f>_xlfn.XLOOKUP(B2917, 'Council Area'!$A$2:$A$51, 'Council Area'!$B$2:$B$51)</f>
        <v>Inner West Council</v>
      </c>
      <c r="E2917" t="s">
        <v>19</v>
      </c>
      <c r="F2917">
        <v>2578474</v>
      </c>
      <c r="G2917">
        <v>2</v>
      </c>
      <c r="H2917">
        <v>2</v>
      </c>
      <c r="I2917">
        <v>613</v>
      </c>
      <c r="J2917">
        <v>1963</v>
      </c>
      <c r="K2917" s="4">
        <v>45375</v>
      </c>
      <c r="L2917" t="s">
        <v>26</v>
      </c>
      <c r="M2917" t="s">
        <v>85</v>
      </c>
      <c r="N2917">
        <v>2.61</v>
      </c>
      <c r="O2917">
        <v>1375</v>
      </c>
      <c r="P2917">
        <v>0.88</v>
      </c>
      <c r="Q2917">
        <v>108</v>
      </c>
      <c r="R2917">
        <v>598</v>
      </c>
    </row>
    <row r="2918" spans="1:18" hidden="1" x14ac:dyDescent="0.2">
      <c r="A2918">
        <v>4</v>
      </c>
      <c r="B2918" t="s">
        <v>79</v>
      </c>
      <c r="E2918" t="s">
        <v>51</v>
      </c>
      <c r="F2918">
        <v>1241391</v>
      </c>
      <c r="G2918">
        <v>5</v>
      </c>
      <c r="H2918">
        <v>2</v>
      </c>
      <c r="I2918">
        <v>745</v>
      </c>
      <c r="J2918">
        <v>2003</v>
      </c>
      <c r="K2918" s="4">
        <v>45305</v>
      </c>
      <c r="L2918" t="s">
        <v>20</v>
      </c>
      <c r="M2918" t="s">
        <v>63</v>
      </c>
      <c r="N2918">
        <v>2.84</v>
      </c>
      <c r="O2918">
        <v>829</v>
      </c>
      <c r="P2918">
        <v>1.75</v>
      </c>
      <c r="Q2918">
        <v>368</v>
      </c>
      <c r="R2918">
        <v>690</v>
      </c>
    </row>
    <row r="2919" spans="1:18" hidden="1" x14ac:dyDescent="0.2">
      <c r="A2919">
        <v>5</v>
      </c>
      <c r="B2919" t="s">
        <v>84</v>
      </c>
      <c r="E2919" t="s">
        <v>19</v>
      </c>
      <c r="F2919">
        <v>1839618</v>
      </c>
      <c r="G2919">
        <v>6</v>
      </c>
      <c r="H2919">
        <v>3</v>
      </c>
      <c r="I2919">
        <v>331</v>
      </c>
      <c r="J2919">
        <v>2019</v>
      </c>
      <c r="K2919" s="4">
        <v>44245</v>
      </c>
      <c r="L2919" t="s">
        <v>23</v>
      </c>
      <c r="M2919" t="s">
        <v>89</v>
      </c>
      <c r="N2919">
        <v>1.53</v>
      </c>
      <c r="O2919">
        <v>987</v>
      </c>
      <c r="P2919">
        <v>2.37</v>
      </c>
      <c r="Q2919">
        <v>358</v>
      </c>
      <c r="R2919">
        <v>597</v>
      </c>
    </row>
    <row r="2920" spans="1:18" hidden="1" x14ac:dyDescent="0.2">
      <c r="A2920">
        <v>9</v>
      </c>
      <c r="B2920" t="s">
        <v>22</v>
      </c>
      <c r="E2920" t="s">
        <v>36</v>
      </c>
      <c r="F2920">
        <v>2436319</v>
      </c>
      <c r="G2920">
        <v>2</v>
      </c>
      <c r="H2920">
        <v>3</v>
      </c>
      <c r="I2920">
        <v>0</v>
      </c>
      <c r="J2920">
        <v>1965</v>
      </c>
      <c r="K2920" s="4">
        <v>45737</v>
      </c>
      <c r="L2920" t="s">
        <v>30</v>
      </c>
      <c r="M2920" t="s">
        <v>37</v>
      </c>
      <c r="N2920">
        <v>2.36</v>
      </c>
      <c r="O2920">
        <v>984</v>
      </c>
      <c r="P2920">
        <v>0.37</v>
      </c>
      <c r="Q2920">
        <v>195</v>
      </c>
      <c r="R2920">
        <v>534</v>
      </c>
    </row>
    <row r="2921" spans="1:18" hidden="1" x14ac:dyDescent="0.2">
      <c r="A2921">
        <v>3</v>
      </c>
      <c r="B2921" t="s">
        <v>34</v>
      </c>
      <c r="E2921" t="s">
        <v>36</v>
      </c>
      <c r="F2921">
        <v>2521777</v>
      </c>
      <c r="G2921">
        <v>3</v>
      </c>
      <c r="H2921">
        <v>3</v>
      </c>
      <c r="I2921">
        <v>933</v>
      </c>
      <c r="J2921">
        <v>1974</v>
      </c>
      <c r="K2921" s="4">
        <v>45058</v>
      </c>
      <c r="L2921" t="s">
        <v>23</v>
      </c>
      <c r="M2921" t="s">
        <v>56</v>
      </c>
      <c r="N2921">
        <v>2.57</v>
      </c>
      <c r="O2921">
        <v>1225</v>
      </c>
      <c r="P2921">
        <v>4.1100000000000003</v>
      </c>
      <c r="Q2921">
        <v>152</v>
      </c>
      <c r="R2921">
        <v>357</v>
      </c>
    </row>
    <row r="2922" spans="1:18" hidden="1" x14ac:dyDescent="0.2">
      <c r="A2922">
        <v>2</v>
      </c>
      <c r="B2922" t="s">
        <v>64</v>
      </c>
      <c r="E2922" t="s">
        <v>19</v>
      </c>
      <c r="F2922">
        <v>1023055</v>
      </c>
      <c r="G2922">
        <v>6</v>
      </c>
      <c r="H2922">
        <v>2</v>
      </c>
      <c r="I2922">
        <v>998</v>
      </c>
      <c r="J2922">
        <v>2013</v>
      </c>
      <c r="K2922" s="4">
        <v>45682</v>
      </c>
      <c r="L2922" t="s">
        <v>23</v>
      </c>
      <c r="M2922" t="s">
        <v>47</v>
      </c>
      <c r="N2922">
        <v>3.49</v>
      </c>
      <c r="O2922">
        <v>2460</v>
      </c>
      <c r="P2922">
        <v>3.5</v>
      </c>
      <c r="Q2922">
        <v>359</v>
      </c>
      <c r="R2922">
        <v>329</v>
      </c>
    </row>
    <row r="2923" spans="1:18" hidden="1" x14ac:dyDescent="0.2">
      <c r="A2923">
        <v>4</v>
      </c>
      <c r="B2923" t="s">
        <v>104</v>
      </c>
      <c r="E2923" t="s">
        <v>51</v>
      </c>
      <c r="F2923">
        <v>2718744</v>
      </c>
      <c r="G2923">
        <v>2</v>
      </c>
      <c r="H2923">
        <v>3</v>
      </c>
      <c r="I2923">
        <v>580</v>
      </c>
      <c r="J2923">
        <v>1973</v>
      </c>
      <c r="K2923" s="4">
        <v>44066</v>
      </c>
      <c r="L2923" t="s">
        <v>30</v>
      </c>
      <c r="M2923" t="s">
        <v>58</v>
      </c>
      <c r="N2923">
        <v>2.73</v>
      </c>
      <c r="O2923">
        <v>1520</v>
      </c>
      <c r="P2923">
        <v>1.93</v>
      </c>
      <c r="Q2923">
        <v>156</v>
      </c>
      <c r="R2923">
        <v>686</v>
      </c>
    </row>
    <row r="2924" spans="1:18" hidden="1" x14ac:dyDescent="0.2">
      <c r="A2924">
        <v>0</v>
      </c>
      <c r="B2924" t="s">
        <v>90</v>
      </c>
      <c r="E2924" t="s">
        <v>29</v>
      </c>
      <c r="F2924">
        <v>1007715</v>
      </c>
      <c r="G2924">
        <v>1</v>
      </c>
      <c r="H2924">
        <v>2</v>
      </c>
      <c r="I2924">
        <v>664</v>
      </c>
      <c r="J2924">
        <v>2009</v>
      </c>
      <c r="K2924" s="4">
        <v>44876</v>
      </c>
      <c r="L2924" t="s">
        <v>20</v>
      </c>
      <c r="M2924" t="s">
        <v>35</v>
      </c>
      <c r="N2924">
        <v>1.95</v>
      </c>
      <c r="O2924">
        <v>1674</v>
      </c>
      <c r="P2924">
        <v>4.08</v>
      </c>
      <c r="Q2924">
        <v>151</v>
      </c>
      <c r="R2924">
        <v>631</v>
      </c>
    </row>
    <row r="2925" spans="1:18" hidden="1" x14ac:dyDescent="0.2">
      <c r="A2925">
        <v>4</v>
      </c>
      <c r="B2925" t="s">
        <v>62</v>
      </c>
      <c r="E2925" t="s">
        <v>29</v>
      </c>
      <c r="F2925">
        <v>1327723</v>
      </c>
      <c r="G2925">
        <v>1</v>
      </c>
      <c r="H2925">
        <v>3</v>
      </c>
      <c r="I2925">
        <v>777</v>
      </c>
      <c r="J2925">
        <v>1975</v>
      </c>
      <c r="K2925" s="4">
        <v>45254</v>
      </c>
      <c r="L2925" t="s">
        <v>26</v>
      </c>
      <c r="M2925" t="s">
        <v>70</v>
      </c>
      <c r="N2925">
        <v>2.6</v>
      </c>
      <c r="O2925">
        <v>1118</v>
      </c>
      <c r="P2925">
        <v>4.6900000000000004</v>
      </c>
      <c r="Q2925">
        <v>95</v>
      </c>
      <c r="R2925">
        <v>481</v>
      </c>
    </row>
    <row r="2926" spans="1:18" hidden="1" x14ac:dyDescent="0.2">
      <c r="A2926">
        <v>2</v>
      </c>
      <c r="B2926" t="s">
        <v>50</v>
      </c>
      <c r="E2926" t="s">
        <v>51</v>
      </c>
      <c r="F2926">
        <v>2805809</v>
      </c>
      <c r="G2926">
        <v>2</v>
      </c>
      <c r="H2926">
        <v>3</v>
      </c>
      <c r="I2926">
        <v>563</v>
      </c>
      <c r="J2926">
        <v>2021</v>
      </c>
      <c r="K2926" s="4">
        <v>45849</v>
      </c>
      <c r="L2926" t="s">
        <v>20</v>
      </c>
      <c r="M2926" t="s">
        <v>40</v>
      </c>
      <c r="N2926">
        <v>2.91</v>
      </c>
      <c r="O2926">
        <v>2214</v>
      </c>
      <c r="P2926">
        <v>0.16</v>
      </c>
      <c r="Q2926">
        <v>210</v>
      </c>
      <c r="R2926">
        <v>359</v>
      </c>
    </row>
    <row r="2927" spans="1:18" hidden="1" x14ac:dyDescent="0.2">
      <c r="A2927">
        <v>9</v>
      </c>
      <c r="B2927" t="s">
        <v>64</v>
      </c>
      <c r="E2927" t="s">
        <v>19</v>
      </c>
      <c r="F2927">
        <v>2377951</v>
      </c>
      <c r="G2927">
        <v>1</v>
      </c>
      <c r="H2927">
        <v>2</v>
      </c>
      <c r="I2927">
        <v>133</v>
      </c>
      <c r="J2927">
        <v>1979</v>
      </c>
      <c r="K2927" s="4">
        <v>44101</v>
      </c>
      <c r="L2927" t="s">
        <v>20</v>
      </c>
      <c r="M2927" t="s">
        <v>70</v>
      </c>
      <c r="N2927">
        <v>2.66</v>
      </c>
      <c r="O2927">
        <v>1996</v>
      </c>
      <c r="P2927">
        <v>4.22</v>
      </c>
      <c r="Q2927">
        <v>71</v>
      </c>
      <c r="R2927">
        <v>453</v>
      </c>
    </row>
    <row r="2928" spans="1:18" hidden="1" x14ac:dyDescent="0.2">
      <c r="A2928">
        <v>7</v>
      </c>
      <c r="B2928" t="s">
        <v>48</v>
      </c>
      <c r="E2928" t="s">
        <v>36</v>
      </c>
      <c r="F2928">
        <v>1242533</v>
      </c>
      <c r="G2928">
        <v>5</v>
      </c>
      <c r="H2928">
        <v>1</v>
      </c>
      <c r="I2928">
        <v>270</v>
      </c>
      <c r="J2928">
        <v>2021</v>
      </c>
      <c r="K2928" s="4">
        <v>45382</v>
      </c>
      <c r="L2928" t="s">
        <v>20</v>
      </c>
      <c r="M2928" t="s">
        <v>27</v>
      </c>
      <c r="N2928">
        <v>3.39</v>
      </c>
      <c r="O2928">
        <v>1034</v>
      </c>
      <c r="P2928">
        <v>4.88</v>
      </c>
      <c r="Q2928">
        <v>248</v>
      </c>
      <c r="R2928">
        <v>535</v>
      </c>
    </row>
    <row r="2929" spans="1:18" hidden="1" x14ac:dyDescent="0.2">
      <c r="A2929">
        <v>0</v>
      </c>
      <c r="B2929" t="s">
        <v>92</v>
      </c>
      <c r="E2929" t="s">
        <v>19</v>
      </c>
      <c r="F2929">
        <v>1070285</v>
      </c>
      <c r="G2929">
        <v>3</v>
      </c>
      <c r="H2929">
        <v>3</v>
      </c>
      <c r="I2929">
        <v>764</v>
      </c>
      <c r="J2929">
        <v>1977</v>
      </c>
      <c r="K2929" s="4">
        <v>44382</v>
      </c>
      <c r="L2929" t="s">
        <v>23</v>
      </c>
      <c r="M2929" t="s">
        <v>59</v>
      </c>
      <c r="N2929">
        <v>3.37</v>
      </c>
      <c r="O2929">
        <v>1143</v>
      </c>
      <c r="P2929">
        <v>4.4000000000000004</v>
      </c>
      <c r="Q2929">
        <v>136</v>
      </c>
      <c r="R2929">
        <v>331</v>
      </c>
    </row>
    <row r="2930" spans="1:18" hidden="1" x14ac:dyDescent="0.2">
      <c r="A2930">
        <v>7</v>
      </c>
      <c r="B2930" t="s">
        <v>100</v>
      </c>
      <c r="E2930" t="s">
        <v>36</v>
      </c>
      <c r="F2930">
        <v>538167</v>
      </c>
      <c r="G2930">
        <v>6</v>
      </c>
      <c r="H2930">
        <v>2</v>
      </c>
      <c r="I2930">
        <v>177</v>
      </c>
      <c r="J2930">
        <v>1970</v>
      </c>
      <c r="K2930" s="4">
        <v>44465</v>
      </c>
      <c r="L2930" t="s">
        <v>20</v>
      </c>
      <c r="M2930" t="s">
        <v>47</v>
      </c>
      <c r="N2930">
        <v>3.02</v>
      </c>
      <c r="O2930">
        <v>2006</v>
      </c>
      <c r="P2930">
        <v>0.61</v>
      </c>
      <c r="Q2930">
        <v>388</v>
      </c>
      <c r="R2930">
        <v>654</v>
      </c>
    </row>
    <row r="2931" spans="1:18" hidden="1" x14ac:dyDescent="0.2">
      <c r="A2931">
        <v>6</v>
      </c>
      <c r="B2931" t="s">
        <v>104</v>
      </c>
      <c r="E2931" t="s">
        <v>19</v>
      </c>
      <c r="F2931">
        <v>2904862</v>
      </c>
      <c r="G2931">
        <v>4</v>
      </c>
      <c r="H2931">
        <v>1</v>
      </c>
      <c r="I2931">
        <v>958</v>
      </c>
      <c r="J2931">
        <v>1984</v>
      </c>
      <c r="K2931" s="4">
        <v>44299</v>
      </c>
      <c r="L2931" t="s">
        <v>23</v>
      </c>
      <c r="M2931" t="s">
        <v>27</v>
      </c>
      <c r="N2931">
        <v>1.8</v>
      </c>
      <c r="O2931">
        <v>1642</v>
      </c>
      <c r="P2931">
        <v>1.77</v>
      </c>
      <c r="Q2931">
        <v>184</v>
      </c>
      <c r="R2931">
        <v>462</v>
      </c>
    </row>
    <row r="2932" spans="1:18" hidden="1" x14ac:dyDescent="0.2">
      <c r="A2932">
        <v>5</v>
      </c>
      <c r="B2932" t="s">
        <v>105</v>
      </c>
      <c r="E2932" t="s">
        <v>51</v>
      </c>
      <c r="F2932">
        <v>2161793</v>
      </c>
      <c r="G2932">
        <v>4</v>
      </c>
      <c r="H2932">
        <v>1</v>
      </c>
      <c r="I2932">
        <v>312</v>
      </c>
      <c r="J2932">
        <v>1961</v>
      </c>
      <c r="K2932" s="4">
        <v>44108</v>
      </c>
      <c r="L2932" t="s">
        <v>26</v>
      </c>
      <c r="M2932" t="s">
        <v>63</v>
      </c>
      <c r="N2932">
        <v>2.4500000000000002</v>
      </c>
      <c r="O2932">
        <v>1462</v>
      </c>
      <c r="P2932">
        <v>2.79</v>
      </c>
      <c r="Q2932">
        <v>244</v>
      </c>
      <c r="R2932">
        <v>534</v>
      </c>
    </row>
    <row r="2933" spans="1:18" hidden="1" x14ac:dyDescent="0.2">
      <c r="A2933">
        <v>9</v>
      </c>
      <c r="B2933" t="s">
        <v>38</v>
      </c>
      <c r="E2933" t="s">
        <v>19</v>
      </c>
      <c r="F2933">
        <v>1204104</v>
      </c>
      <c r="G2933">
        <v>4</v>
      </c>
      <c r="H2933">
        <v>3</v>
      </c>
      <c r="I2933">
        <v>857</v>
      </c>
      <c r="J2933">
        <v>1978</v>
      </c>
      <c r="K2933" s="4">
        <v>44457</v>
      </c>
      <c r="L2933" t="s">
        <v>23</v>
      </c>
      <c r="M2933" t="s">
        <v>74</v>
      </c>
      <c r="N2933">
        <v>1.72</v>
      </c>
      <c r="O2933">
        <v>1806</v>
      </c>
      <c r="P2933">
        <v>4.18</v>
      </c>
      <c r="Q2933">
        <v>348</v>
      </c>
      <c r="R2933">
        <v>433</v>
      </c>
    </row>
    <row r="2934" spans="1:18" hidden="1" x14ac:dyDescent="0.2">
      <c r="A2934">
        <v>7</v>
      </c>
      <c r="B2934" t="s">
        <v>50</v>
      </c>
      <c r="E2934" t="s">
        <v>29</v>
      </c>
      <c r="F2934">
        <v>1285907</v>
      </c>
      <c r="G2934">
        <v>2</v>
      </c>
      <c r="H2934">
        <v>2</v>
      </c>
      <c r="I2934">
        <v>164</v>
      </c>
      <c r="J2934">
        <v>1984</v>
      </c>
      <c r="K2934" s="4">
        <v>44986</v>
      </c>
      <c r="L2934" t="s">
        <v>23</v>
      </c>
      <c r="M2934" t="s">
        <v>27</v>
      </c>
      <c r="N2934">
        <v>3.43</v>
      </c>
      <c r="O2934">
        <v>2080</v>
      </c>
      <c r="P2934">
        <v>1.36</v>
      </c>
      <c r="Q2934">
        <v>47</v>
      </c>
      <c r="R2934">
        <v>569</v>
      </c>
    </row>
    <row r="2935" spans="1:18" hidden="1" x14ac:dyDescent="0.2">
      <c r="A2935">
        <v>6</v>
      </c>
      <c r="B2935" t="s">
        <v>92</v>
      </c>
      <c r="E2935" t="s">
        <v>29</v>
      </c>
      <c r="F2935">
        <v>1750096</v>
      </c>
      <c r="G2935">
        <v>2</v>
      </c>
      <c r="H2935">
        <v>2</v>
      </c>
      <c r="I2935">
        <v>437</v>
      </c>
      <c r="J2935">
        <v>2022</v>
      </c>
      <c r="K2935" s="4">
        <v>44756</v>
      </c>
      <c r="L2935" t="s">
        <v>30</v>
      </c>
      <c r="M2935" t="s">
        <v>35</v>
      </c>
      <c r="N2935">
        <v>2.17</v>
      </c>
      <c r="O2935">
        <v>2487</v>
      </c>
      <c r="P2935">
        <v>2.52</v>
      </c>
      <c r="Q2935">
        <v>165</v>
      </c>
      <c r="R2935">
        <v>593</v>
      </c>
    </row>
    <row r="2936" spans="1:18" hidden="1" x14ac:dyDescent="0.2">
      <c r="A2936">
        <v>1</v>
      </c>
      <c r="B2936" t="s">
        <v>44</v>
      </c>
      <c r="E2936" t="s">
        <v>19</v>
      </c>
      <c r="F2936">
        <v>511597</v>
      </c>
      <c r="G2936">
        <v>3</v>
      </c>
      <c r="H2936">
        <v>2</v>
      </c>
      <c r="I2936">
        <v>65</v>
      </c>
      <c r="J2936">
        <v>1994</v>
      </c>
      <c r="K2936" s="4">
        <v>44266</v>
      </c>
      <c r="L2936" t="s">
        <v>30</v>
      </c>
      <c r="M2936" t="s">
        <v>59</v>
      </c>
      <c r="N2936">
        <v>3.29</v>
      </c>
      <c r="O2936">
        <v>1181</v>
      </c>
      <c r="P2936">
        <v>4.2699999999999996</v>
      </c>
      <c r="Q2936">
        <v>103</v>
      </c>
      <c r="R2936">
        <v>462</v>
      </c>
    </row>
    <row r="2937" spans="1:18" hidden="1" x14ac:dyDescent="0.2">
      <c r="A2937">
        <v>5</v>
      </c>
      <c r="B2937" t="s">
        <v>93</v>
      </c>
      <c r="E2937" t="s">
        <v>29</v>
      </c>
      <c r="F2937">
        <v>826594</v>
      </c>
      <c r="G2937">
        <v>3</v>
      </c>
      <c r="H2937">
        <v>1</v>
      </c>
      <c r="I2937">
        <v>564</v>
      </c>
      <c r="J2937">
        <v>1963</v>
      </c>
      <c r="K2937" s="4">
        <v>44885</v>
      </c>
      <c r="L2937" t="s">
        <v>23</v>
      </c>
      <c r="M2937" t="s">
        <v>42</v>
      </c>
      <c r="N2937">
        <v>2.36</v>
      </c>
      <c r="O2937">
        <v>1420</v>
      </c>
      <c r="P2937">
        <v>1.66</v>
      </c>
      <c r="Q2937">
        <v>293</v>
      </c>
      <c r="R2937">
        <v>685</v>
      </c>
    </row>
    <row r="2938" spans="1:18" hidden="1" x14ac:dyDescent="0.2">
      <c r="A2938">
        <v>5</v>
      </c>
      <c r="B2938" t="s">
        <v>87</v>
      </c>
      <c r="E2938" t="s">
        <v>19</v>
      </c>
      <c r="F2938">
        <v>1998449</v>
      </c>
      <c r="G2938">
        <v>1</v>
      </c>
      <c r="H2938">
        <v>3</v>
      </c>
      <c r="I2938">
        <v>911</v>
      </c>
      <c r="J2938">
        <v>1978</v>
      </c>
      <c r="K2938" s="4">
        <v>44203</v>
      </c>
      <c r="L2938" t="s">
        <v>20</v>
      </c>
      <c r="M2938" t="s">
        <v>85</v>
      </c>
      <c r="N2938">
        <v>1.74</v>
      </c>
      <c r="O2938">
        <v>1612</v>
      </c>
      <c r="P2938">
        <v>3.99</v>
      </c>
      <c r="Q2938">
        <v>71</v>
      </c>
      <c r="R2938">
        <v>667</v>
      </c>
    </row>
    <row r="2939" spans="1:18" hidden="1" x14ac:dyDescent="0.2">
      <c r="A2939">
        <v>4</v>
      </c>
      <c r="B2939" t="s">
        <v>46</v>
      </c>
      <c r="E2939" t="s">
        <v>36</v>
      </c>
      <c r="F2939">
        <v>2433010</v>
      </c>
      <c r="G2939">
        <v>2</v>
      </c>
      <c r="H2939">
        <v>3</v>
      </c>
      <c r="I2939">
        <v>646</v>
      </c>
      <c r="J2939">
        <v>2001</v>
      </c>
      <c r="K2939" s="4">
        <v>44781</v>
      </c>
      <c r="L2939" t="s">
        <v>20</v>
      </c>
      <c r="M2939" t="s">
        <v>59</v>
      </c>
      <c r="N2939">
        <v>1.73</v>
      </c>
      <c r="O2939">
        <v>862</v>
      </c>
      <c r="P2939">
        <v>1.56</v>
      </c>
      <c r="Q2939">
        <v>64</v>
      </c>
      <c r="R2939">
        <v>546</v>
      </c>
    </row>
    <row r="2940" spans="1:18" hidden="1" x14ac:dyDescent="0.2">
      <c r="A2940">
        <v>7</v>
      </c>
      <c r="B2940" t="s">
        <v>43</v>
      </c>
      <c r="E2940" t="s">
        <v>51</v>
      </c>
      <c r="F2940">
        <v>2992323</v>
      </c>
      <c r="G2940">
        <v>4</v>
      </c>
      <c r="H2940">
        <v>2</v>
      </c>
      <c r="I2940">
        <v>59</v>
      </c>
      <c r="J2940">
        <v>2014</v>
      </c>
      <c r="K2940" s="4">
        <v>45580</v>
      </c>
      <c r="L2940" t="s">
        <v>30</v>
      </c>
      <c r="M2940" t="s">
        <v>12</v>
      </c>
      <c r="N2940">
        <v>1.91</v>
      </c>
      <c r="O2940">
        <v>2188</v>
      </c>
      <c r="P2940">
        <v>0.3</v>
      </c>
      <c r="Q2940">
        <v>231</v>
      </c>
      <c r="R2940">
        <v>426</v>
      </c>
    </row>
    <row r="2941" spans="1:18" hidden="1" x14ac:dyDescent="0.2">
      <c r="A2941">
        <v>1</v>
      </c>
      <c r="B2941" t="s">
        <v>62</v>
      </c>
      <c r="E2941" t="s">
        <v>51</v>
      </c>
      <c r="F2941">
        <v>2065707</v>
      </c>
      <c r="G2941">
        <v>2</v>
      </c>
      <c r="H2941">
        <v>1</v>
      </c>
      <c r="I2941">
        <v>443</v>
      </c>
      <c r="J2941">
        <v>1988</v>
      </c>
      <c r="K2941" s="4">
        <v>45221</v>
      </c>
      <c r="L2941" t="s">
        <v>23</v>
      </c>
      <c r="M2941" t="s">
        <v>54</v>
      </c>
      <c r="N2941">
        <v>2.52</v>
      </c>
      <c r="O2941">
        <v>1918</v>
      </c>
      <c r="P2941">
        <v>4.7</v>
      </c>
      <c r="Q2941">
        <v>214</v>
      </c>
      <c r="R2941">
        <v>345</v>
      </c>
    </row>
    <row r="2942" spans="1:18" hidden="1" x14ac:dyDescent="0.2">
      <c r="A2942">
        <v>4</v>
      </c>
      <c r="B2942" t="s">
        <v>102</v>
      </c>
      <c r="E2942" t="s">
        <v>51</v>
      </c>
      <c r="F2942">
        <v>2804205</v>
      </c>
      <c r="G2942">
        <v>4</v>
      </c>
      <c r="H2942">
        <v>2</v>
      </c>
      <c r="I2942">
        <v>906</v>
      </c>
      <c r="J2942">
        <v>1964</v>
      </c>
      <c r="K2942" s="4">
        <v>44314</v>
      </c>
      <c r="L2942" t="s">
        <v>20</v>
      </c>
      <c r="M2942" t="s">
        <v>78</v>
      </c>
      <c r="N2942">
        <v>2.83</v>
      </c>
      <c r="O2942">
        <v>1748</v>
      </c>
      <c r="P2942">
        <v>1.3</v>
      </c>
      <c r="Q2942">
        <v>301</v>
      </c>
      <c r="R2942">
        <v>632</v>
      </c>
    </row>
    <row r="2943" spans="1:18" hidden="1" x14ac:dyDescent="0.2">
      <c r="A2943">
        <v>2</v>
      </c>
      <c r="B2943" t="s">
        <v>18</v>
      </c>
      <c r="E2943" t="s">
        <v>29</v>
      </c>
      <c r="F2943">
        <v>2284816</v>
      </c>
      <c r="G2943">
        <v>4</v>
      </c>
      <c r="H2943">
        <v>1</v>
      </c>
      <c r="I2943">
        <v>582</v>
      </c>
      <c r="J2943">
        <v>1952</v>
      </c>
      <c r="K2943" s="4">
        <v>44332</v>
      </c>
      <c r="L2943" t="s">
        <v>20</v>
      </c>
      <c r="M2943" t="s">
        <v>33</v>
      </c>
      <c r="N2943">
        <v>2.29</v>
      </c>
      <c r="O2943">
        <v>1133</v>
      </c>
      <c r="P2943">
        <v>0.27</v>
      </c>
      <c r="Q2943">
        <v>227</v>
      </c>
      <c r="R2943">
        <v>587</v>
      </c>
    </row>
    <row r="2944" spans="1:18" hidden="1" x14ac:dyDescent="0.2">
      <c r="A2944">
        <v>9</v>
      </c>
      <c r="B2944" t="s">
        <v>75</v>
      </c>
      <c r="E2944" t="s">
        <v>51</v>
      </c>
      <c r="F2944">
        <v>2473689</v>
      </c>
      <c r="G2944">
        <v>5</v>
      </c>
      <c r="H2944">
        <v>1</v>
      </c>
      <c r="I2944">
        <v>708</v>
      </c>
      <c r="J2944">
        <v>2008</v>
      </c>
      <c r="K2944" s="4">
        <v>45275</v>
      </c>
      <c r="L2944" t="s">
        <v>26</v>
      </c>
      <c r="M2944" t="s">
        <v>37</v>
      </c>
      <c r="N2944">
        <v>2.4300000000000002</v>
      </c>
      <c r="O2944">
        <v>1424</v>
      </c>
      <c r="P2944">
        <v>2.34</v>
      </c>
      <c r="Q2944">
        <v>311</v>
      </c>
      <c r="R2944">
        <v>442</v>
      </c>
    </row>
    <row r="2945" spans="1:18" hidden="1" x14ac:dyDescent="0.2">
      <c r="A2945">
        <v>9</v>
      </c>
      <c r="B2945" t="s">
        <v>34</v>
      </c>
      <c r="E2945" t="s">
        <v>29</v>
      </c>
      <c r="F2945">
        <v>1920219</v>
      </c>
      <c r="G2945">
        <v>5</v>
      </c>
      <c r="H2945">
        <v>2</v>
      </c>
      <c r="I2945">
        <v>72</v>
      </c>
      <c r="J2945">
        <v>1962</v>
      </c>
      <c r="K2945" s="4">
        <v>44260</v>
      </c>
      <c r="L2945" t="s">
        <v>20</v>
      </c>
      <c r="M2945" t="s">
        <v>70</v>
      </c>
      <c r="N2945">
        <v>1.95</v>
      </c>
      <c r="O2945">
        <v>1234</v>
      </c>
      <c r="P2945">
        <v>1.56</v>
      </c>
      <c r="Q2945">
        <v>380</v>
      </c>
      <c r="R2945">
        <v>474</v>
      </c>
    </row>
    <row r="2946" spans="1:18" hidden="1" x14ac:dyDescent="0.2">
      <c r="A2946">
        <v>1</v>
      </c>
      <c r="B2946" t="s">
        <v>53</v>
      </c>
      <c r="E2946" t="s">
        <v>51</v>
      </c>
      <c r="F2946">
        <v>1790250</v>
      </c>
      <c r="G2946">
        <v>2</v>
      </c>
      <c r="H2946">
        <v>3</v>
      </c>
      <c r="I2946">
        <v>65</v>
      </c>
      <c r="J2946">
        <v>1990</v>
      </c>
      <c r="K2946" s="4">
        <v>44653</v>
      </c>
      <c r="L2946" t="s">
        <v>30</v>
      </c>
      <c r="M2946" t="s">
        <v>24</v>
      </c>
      <c r="N2946">
        <v>1.92</v>
      </c>
      <c r="O2946">
        <v>2258</v>
      </c>
      <c r="P2946">
        <v>2.34</v>
      </c>
      <c r="Q2946">
        <v>88</v>
      </c>
      <c r="R2946">
        <v>369</v>
      </c>
    </row>
    <row r="2947" spans="1:18" hidden="1" x14ac:dyDescent="0.2">
      <c r="A2947">
        <v>7</v>
      </c>
      <c r="B2947" t="s">
        <v>39</v>
      </c>
      <c r="E2947" t="s">
        <v>51</v>
      </c>
      <c r="F2947">
        <v>2186289</v>
      </c>
      <c r="G2947">
        <v>2</v>
      </c>
      <c r="H2947">
        <v>1</v>
      </c>
      <c r="I2947">
        <v>633</v>
      </c>
      <c r="J2947">
        <v>1991</v>
      </c>
      <c r="K2947" s="4">
        <v>44490</v>
      </c>
      <c r="L2947" t="s">
        <v>20</v>
      </c>
      <c r="M2947" t="s">
        <v>56</v>
      </c>
      <c r="N2947">
        <v>2.2599999999999998</v>
      </c>
      <c r="O2947">
        <v>1715</v>
      </c>
      <c r="P2947">
        <v>4.8</v>
      </c>
      <c r="Q2947">
        <v>46</v>
      </c>
      <c r="R2947">
        <v>643</v>
      </c>
    </row>
    <row r="2948" spans="1:18" hidden="1" x14ac:dyDescent="0.2">
      <c r="A2948">
        <v>6</v>
      </c>
      <c r="B2948" t="s">
        <v>34</v>
      </c>
      <c r="E2948" t="s">
        <v>51</v>
      </c>
      <c r="F2948">
        <v>2182172</v>
      </c>
      <c r="G2948">
        <v>0</v>
      </c>
      <c r="H2948">
        <v>1</v>
      </c>
      <c r="I2948">
        <v>445</v>
      </c>
      <c r="J2948">
        <v>1974</v>
      </c>
      <c r="K2948" s="4">
        <v>44129</v>
      </c>
      <c r="L2948" t="s">
        <v>20</v>
      </c>
      <c r="M2948" t="s">
        <v>40</v>
      </c>
      <c r="N2948">
        <v>3.09</v>
      </c>
      <c r="O2948">
        <v>2393</v>
      </c>
      <c r="P2948">
        <v>1.24</v>
      </c>
      <c r="Q2948">
        <v>78</v>
      </c>
      <c r="R2948">
        <v>665</v>
      </c>
    </row>
    <row r="2949" spans="1:18" hidden="1" x14ac:dyDescent="0.2">
      <c r="A2949">
        <v>0</v>
      </c>
      <c r="B2949" t="s">
        <v>81</v>
      </c>
      <c r="E2949" t="s">
        <v>19</v>
      </c>
      <c r="F2949">
        <v>2678467</v>
      </c>
      <c r="G2949">
        <v>3</v>
      </c>
      <c r="H2949">
        <v>3</v>
      </c>
      <c r="I2949">
        <v>712</v>
      </c>
      <c r="J2949">
        <v>1986</v>
      </c>
      <c r="K2949" s="4">
        <v>44154</v>
      </c>
      <c r="L2949" t="s">
        <v>30</v>
      </c>
      <c r="M2949" t="s">
        <v>69</v>
      </c>
      <c r="N2949">
        <v>3.35</v>
      </c>
      <c r="O2949">
        <v>824</v>
      </c>
      <c r="P2949">
        <v>2.39</v>
      </c>
      <c r="Q2949">
        <v>126</v>
      </c>
      <c r="R2949">
        <v>470</v>
      </c>
    </row>
    <row r="2950" spans="1:18" hidden="1" x14ac:dyDescent="0.2">
      <c r="A2950">
        <v>1</v>
      </c>
      <c r="B2950" t="s">
        <v>90</v>
      </c>
      <c r="E2950" t="s">
        <v>29</v>
      </c>
      <c r="F2950">
        <v>2165352</v>
      </c>
      <c r="G2950">
        <v>2</v>
      </c>
      <c r="H2950">
        <v>2</v>
      </c>
      <c r="I2950">
        <v>396</v>
      </c>
      <c r="J2950">
        <v>2017</v>
      </c>
      <c r="K2950" s="4">
        <v>44470</v>
      </c>
      <c r="L2950" t="s">
        <v>20</v>
      </c>
      <c r="M2950" t="s">
        <v>21</v>
      </c>
      <c r="N2950">
        <v>2.2999999999999998</v>
      </c>
      <c r="O2950">
        <v>2291</v>
      </c>
      <c r="P2950">
        <v>1.53</v>
      </c>
      <c r="Q2950">
        <v>141</v>
      </c>
      <c r="R2950">
        <v>506</v>
      </c>
    </row>
    <row r="2951" spans="1:18" x14ac:dyDescent="0.2">
      <c r="A2951">
        <v>8</v>
      </c>
      <c r="B2951" t="s">
        <v>94</v>
      </c>
      <c r="C2951" t="str">
        <f>VLOOKUP(B2951, 'Council Area'!$A$2:$B$51, 2)</f>
        <v>Sutherland Shire Council</v>
      </c>
      <c r="D2951" t="str">
        <f>_xlfn.XLOOKUP(B2951, 'Council Area'!$A$2:$A$51, 'Council Area'!$B$2:$B$51)</f>
        <v>Sutherland Shire Council</v>
      </c>
      <c r="E2951" t="s">
        <v>29</v>
      </c>
      <c r="F2951">
        <v>751690</v>
      </c>
      <c r="G2951">
        <v>4</v>
      </c>
      <c r="H2951">
        <v>1</v>
      </c>
      <c r="I2951">
        <v>257</v>
      </c>
      <c r="J2951">
        <v>1974</v>
      </c>
      <c r="K2951" s="4">
        <v>45590</v>
      </c>
      <c r="L2951" t="s">
        <v>26</v>
      </c>
      <c r="M2951" t="s">
        <v>70</v>
      </c>
      <c r="N2951">
        <v>2.91</v>
      </c>
      <c r="O2951">
        <v>1951</v>
      </c>
      <c r="P2951">
        <v>0.4</v>
      </c>
      <c r="Q2951">
        <v>396</v>
      </c>
      <c r="R2951">
        <v>607</v>
      </c>
    </row>
    <row r="2952" spans="1:18" hidden="1" x14ac:dyDescent="0.2">
      <c r="A2952">
        <v>3</v>
      </c>
      <c r="B2952" t="s">
        <v>39</v>
      </c>
      <c r="E2952" t="s">
        <v>36</v>
      </c>
      <c r="F2952">
        <v>1785854</v>
      </c>
      <c r="G2952">
        <v>3</v>
      </c>
      <c r="H2952">
        <v>3</v>
      </c>
      <c r="I2952">
        <v>595</v>
      </c>
      <c r="J2952">
        <v>1986</v>
      </c>
      <c r="K2952" s="4">
        <v>45534</v>
      </c>
      <c r="L2952" t="s">
        <v>30</v>
      </c>
      <c r="M2952" t="s">
        <v>60</v>
      </c>
      <c r="N2952">
        <v>2.17</v>
      </c>
      <c r="O2952">
        <v>1351</v>
      </c>
      <c r="P2952">
        <v>1.06</v>
      </c>
      <c r="Q2952">
        <v>239</v>
      </c>
      <c r="R2952">
        <v>325</v>
      </c>
    </row>
    <row r="2953" spans="1:18" hidden="1" x14ac:dyDescent="0.2">
      <c r="A2953">
        <v>9</v>
      </c>
      <c r="B2953" t="s">
        <v>61</v>
      </c>
      <c r="E2953" t="s">
        <v>29</v>
      </c>
      <c r="F2953">
        <v>417650</v>
      </c>
      <c r="G2953">
        <v>0</v>
      </c>
      <c r="H2953">
        <v>2</v>
      </c>
      <c r="I2953">
        <v>869</v>
      </c>
      <c r="J2953">
        <v>1958</v>
      </c>
      <c r="K2953" s="4">
        <v>44981</v>
      </c>
      <c r="L2953" t="s">
        <v>20</v>
      </c>
      <c r="M2953" t="s">
        <v>54</v>
      </c>
      <c r="N2953">
        <v>2.11</v>
      </c>
      <c r="O2953">
        <v>1785</v>
      </c>
      <c r="P2953">
        <v>2.2999999999999998</v>
      </c>
      <c r="Q2953">
        <v>63</v>
      </c>
      <c r="R2953">
        <v>645</v>
      </c>
    </row>
    <row r="2954" spans="1:18" hidden="1" x14ac:dyDescent="0.2">
      <c r="A2954">
        <v>9</v>
      </c>
      <c r="B2954" t="s">
        <v>96</v>
      </c>
      <c r="E2954" t="s">
        <v>51</v>
      </c>
      <c r="F2954">
        <v>2280575</v>
      </c>
      <c r="G2954">
        <v>4</v>
      </c>
      <c r="H2954">
        <v>3</v>
      </c>
      <c r="I2954">
        <v>930</v>
      </c>
      <c r="J2954">
        <v>1955</v>
      </c>
      <c r="K2954" s="4">
        <v>44999</v>
      </c>
      <c r="L2954" t="s">
        <v>23</v>
      </c>
      <c r="M2954" t="s">
        <v>24</v>
      </c>
      <c r="N2954">
        <v>3.12</v>
      </c>
      <c r="O2954">
        <v>1433</v>
      </c>
      <c r="P2954">
        <v>2.35</v>
      </c>
      <c r="Q2954">
        <v>293</v>
      </c>
      <c r="R2954">
        <v>368</v>
      </c>
    </row>
    <row r="2955" spans="1:18" hidden="1" x14ac:dyDescent="0.2">
      <c r="A2955">
        <v>2</v>
      </c>
      <c r="B2955" t="s">
        <v>83</v>
      </c>
      <c r="E2955" t="s">
        <v>51</v>
      </c>
      <c r="F2955">
        <v>1284925</v>
      </c>
      <c r="G2955">
        <v>1</v>
      </c>
      <c r="H2955">
        <v>3</v>
      </c>
      <c r="I2955">
        <v>886</v>
      </c>
      <c r="J2955">
        <v>1956</v>
      </c>
      <c r="K2955" s="4">
        <v>44520</v>
      </c>
      <c r="L2955" t="s">
        <v>23</v>
      </c>
      <c r="M2955" t="s">
        <v>85</v>
      </c>
      <c r="N2955">
        <v>1.64</v>
      </c>
      <c r="O2955">
        <v>2051</v>
      </c>
      <c r="P2955">
        <v>0.87</v>
      </c>
      <c r="Q2955">
        <v>43</v>
      </c>
      <c r="R2955">
        <v>561</v>
      </c>
    </row>
    <row r="2956" spans="1:18" hidden="1" x14ac:dyDescent="0.2">
      <c r="A2956">
        <v>2</v>
      </c>
      <c r="B2956" t="s">
        <v>94</v>
      </c>
      <c r="E2956" t="s">
        <v>19</v>
      </c>
      <c r="F2956">
        <v>567058</v>
      </c>
      <c r="G2956">
        <v>4</v>
      </c>
      <c r="H2956">
        <v>2</v>
      </c>
      <c r="I2956">
        <v>547</v>
      </c>
      <c r="J2956">
        <v>2026</v>
      </c>
      <c r="K2956" s="4">
        <v>45759</v>
      </c>
      <c r="L2956" t="s">
        <v>23</v>
      </c>
      <c r="M2956" t="s">
        <v>33</v>
      </c>
      <c r="N2956">
        <v>2.33</v>
      </c>
      <c r="O2956">
        <v>1524</v>
      </c>
      <c r="P2956">
        <v>1.4</v>
      </c>
      <c r="Q2956">
        <v>211</v>
      </c>
      <c r="R2956">
        <v>551</v>
      </c>
    </row>
    <row r="2957" spans="1:18" hidden="1" x14ac:dyDescent="0.2">
      <c r="A2957">
        <v>5</v>
      </c>
      <c r="B2957" t="s">
        <v>48</v>
      </c>
      <c r="E2957" t="s">
        <v>29</v>
      </c>
      <c r="F2957">
        <v>418871</v>
      </c>
      <c r="G2957">
        <v>4</v>
      </c>
      <c r="H2957">
        <v>3</v>
      </c>
      <c r="I2957">
        <v>186</v>
      </c>
      <c r="J2957">
        <v>2007</v>
      </c>
      <c r="K2957" s="4">
        <v>45224</v>
      </c>
      <c r="L2957" t="s">
        <v>30</v>
      </c>
      <c r="M2957" t="s">
        <v>85</v>
      </c>
      <c r="N2957">
        <v>2.84</v>
      </c>
      <c r="O2957">
        <v>2399</v>
      </c>
      <c r="P2957">
        <v>3.08</v>
      </c>
      <c r="Q2957">
        <v>250</v>
      </c>
      <c r="R2957">
        <v>370</v>
      </c>
    </row>
    <row r="2958" spans="1:18" hidden="1" x14ac:dyDescent="0.2">
      <c r="A2958">
        <v>4</v>
      </c>
      <c r="B2958" t="s">
        <v>55</v>
      </c>
      <c r="E2958" t="s">
        <v>36</v>
      </c>
      <c r="F2958">
        <v>2238698</v>
      </c>
      <c r="G2958">
        <v>6</v>
      </c>
      <c r="H2958">
        <v>2</v>
      </c>
      <c r="I2958">
        <v>700</v>
      </c>
      <c r="J2958">
        <v>1991</v>
      </c>
      <c r="K2958" s="4">
        <v>44746</v>
      </c>
      <c r="L2958" t="s">
        <v>30</v>
      </c>
      <c r="M2958" t="s">
        <v>52</v>
      </c>
      <c r="N2958">
        <v>1.98</v>
      </c>
      <c r="O2958">
        <v>1667</v>
      </c>
      <c r="P2958">
        <v>1.56</v>
      </c>
      <c r="Q2958">
        <v>373</v>
      </c>
      <c r="R2958">
        <v>640</v>
      </c>
    </row>
    <row r="2959" spans="1:18" hidden="1" x14ac:dyDescent="0.2">
      <c r="A2959">
        <v>5</v>
      </c>
      <c r="B2959" t="s">
        <v>65</v>
      </c>
      <c r="E2959" t="s">
        <v>19</v>
      </c>
      <c r="F2959">
        <v>873994</v>
      </c>
      <c r="G2959">
        <v>4</v>
      </c>
      <c r="H2959">
        <v>3</v>
      </c>
      <c r="I2959">
        <v>783</v>
      </c>
      <c r="J2959">
        <v>1992</v>
      </c>
      <c r="K2959" s="4">
        <v>44860</v>
      </c>
      <c r="L2959" t="s">
        <v>30</v>
      </c>
      <c r="M2959" t="s">
        <v>12</v>
      </c>
      <c r="N2959">
        <v>3.29</v>
      </c>
      <c r="O2959">
        <v>1571</v>
      </c>
      <c r="P2959">
        <v>4.13</v>
      </c>
      <c r="Q2959">
        <v>239</v>
      </c>
      <c r="R2959">
        <v>672</v>
      </c>
    </row>
    <row r="2960" spans="1:18" hidden="1" x14ac:dyDescent="0.2">
      <c r="A2960">
        <v>4</v>
      </c>
      <c r="B2960" t="s">
        <v>83</v>
      </c>
      <c r="E2960" t="s">
        <v>19</v>
      </c>
      <c r="F2960">
        <v>2825173</v>
      </c>
      <c r="G2960">
        <v>0</v>
      </c>
      <c r="H2960">
        <v>3</v>
      </c>
      <c r="I2960">
        <v>158</v>
      </c>
      <c r="J2960">
        <v>1979</v>
      </c>
      <c r="K2960" s="4">
        <v>45699</v>
      </c>
      <c r="L2960" t="s">
        <v>23</v>
      </c>
      <c r="M2960" t="s">
        <v>74</v>
      </c>
      <c r="N2960">
        <v>2.73</v>
      </c>
      <c r="O2960">
        <v>1570</v>
      </c>
      <c r="P2960">
        <v>2.61</v>
      </c>
      <c r="Q2960">
        <v>49</v>
      </c>
      <c r="R2960">
        <v>312</v>
      </c>
    </row>
    <row r="2961" spans="1:18" hidden="1" x14ac:dyDescent="0.2">
      <c r="A2961">
        <v>1</v>
      </c>
      <c r="B2961" t="s">
        <v>102</v>
      </c>
      <c r="E2961" t="s">
        <v>29</v>
      </c>
      <c r="F2961">
        <v>2336427</v>
      </c>
      <c r="G2961">
        <v>4</v>
      </c>
      <c r="H2961">
        <v>1</v>
      </c>
      <c r="I2961">
        <v>59</v>
      </c>
      <c r="J2961">
        <v>1999</v>
      </c>
      <c r="K2961" s="4">
        <v>45596</v>
      </c>
      <c r="L2961" t="s">
        <v>23</v>
      </c>
      <c r="M2961" t="s">
        <v>89</v>
      </c>
      <c r="N2961">
        <v>2.41</v>
      </c>
      <c r="O2961">
        <v>922</v>
      </c>
      <c r="P2961">
        <v>4.8499999999999996</v>
      </c>
      <c r="Q2961">
        <v>215</v>
      </c>
      <c r="R2961">
        <v>488</v>
      </c>
    </row>
    <row r="2962" spans="1:18" hidden="1" x14ac:dyDescent="0.2">
      <c r="A2962">
        <v>9</v>
      </c>
      <c r="B2962" t="s">
        <v>34</v>
      </c>
      <c r="E2962" t="s">
        <v>19</v>
      </c>
      <c r="F2962">
        <v>798407</v>
      </c>
      <c r="G2962">
        <v>5</v>
      </c>
      <c r="H2962">
        <v>1</v>
      </c>
      <c r="I2962">
        <v>736</v>
      </c>
      <c r="J2962">
        <v>1990</v>
      </c>
      <c r="K2962" s="4">
        <v>44277</v>
      </c>
      <c r="L2962" t="s">
        <v>23</v>
      </c>
      <c r="M2962" t="s">
        <v>21</v>
      </c>
      <c r="N2962">
        <v>1.9</v>
      </c>
      <c r="O2962">
        <v>1542</v>
      </c>
      <c r="P2962">
        <v>1.33</v>
      </c>
      <c r="Q2962">
        <v>341</v>
      </c>
      <c r="R2962">
        <v>364</v>
      </c>
    </row>
    <row r="2963" spans="1:18" hidden="1" x14ac:dyDescent="0.2">
      <c r="A2963">
        <v>5</v>
      </c>
      <c r="B2963" t="s">
        <v>67</v>
      </c>
      <c r="E2963" t="s">
        <v>51</v>
      </c>
      <c r="F2963">
        <v>2163348</v>
      </c>
      <c r="G2963">
        <v>2</v>
      </c>
      <c r="H2963">
        <v>3</v>
      </c>
      <c r="I2963">
        <v>761</v>
      </c>
      <c r="J2963">
        <v>1995</v>
      </c>
      <c r="K2963" s="4">
        <v>45247</v>
      </c>
      <c r="L2963" t="s">
        <v>26</v>
      </c>
      <c r="M2963" t="s">
        <v>66</v>
      </c>
      <c r="N2963">
        <v>1.97</v>
      </c>
      <c r="O2963">
        <v>1519</v>
      </c>
      <c r="P2963">
        <v>2.86</v>
      </c>
      <c r="Q2963">
        <v>216</v>
      </c>
      <c r="R2963">
        <v>641</v>
      </c>
    </row>
    <row r="2964" spans="1:18" hidden="1" x14ac:dyDescent="0.2">
      <c r="A2964">
        <v>5</v>
      </c>
      <c r="B2964" t="s">
        <v>94</v>
      </c>
      <c r="E2964" t="s">
        <v>36</v>
      </c>
      <c r="F2964">
        <v>1502974</v>
      </c>
      <c r="G2964">
        <v>3</v>
      </c>
      <c r="H2964">
        <v>2</v>
      </c>
      <c r="I2964">
        <v>801</v>
      </c>
      <c r="J2964">
        <v>1995</v>
      </c>
      <c r="K2964" s="4">
        <v>45755</v>
      </c>
      <c r="L2964" t="s">
        <v>20</v>
      </c>
      <c r="M2964" t="s">
        <v>47</v>
      </c>
      <c r="N2964">
        <v>2.98</v>
      </c>
      <c r="O2964">
        <v>891</v>
      </c>
      <c r="P2964">
        <v>4.46</v>
      </c>
      <c r="Q2964">
        <v>124</v>
      </c>
      <c r="R2964">
        <v>410</v>
      </c>
    </row>
    <row r="2965" spans="1:18" x14ac:dyDescent="0.2">
      <c r="A2965">
        <v>8</v>
      </c>
      <c r="B2965" t="s">
        <v>41</v>
      </c>
      <c r="C2965" t="str">
        <f>VLOOKUP(B2965, 'Council Area'!$A$2:$B$51, 2)</f>
        <v>Parramatta City Council</v>
      </c>
      <c r="D2965" t="str">
        <f>_xlfn.XLOOKUP(B2965, 'Council Area'!$A$2:$A$51, 'Council Area'!$B$2:$B$51)</f>
        <v>Parramatta City Council</v>
      </c>
      <c r="E2965" t="s">
        <v>36</v>
      </c>
      <c r="F2965">
        <v>1415642</v>
      </c>
      <c r="G2965">
        <v>6</v>
      </c>
      <c r="H2965">
        <v>1</v>
      </c>
      <c r="I2965">
        <v>710</v>
      </c>
      <c r="J2965">
        <v>2014</v>
      </c>
      <c r="K2965" s="4">
        <v>44862</v>
      </c>
      <c r="L2965" t="s">
        <v>30</v>
      </c>
      <c r="M2965" t="s">
        <v>69</v>
      </c>
      <c r="N2965">
        <v>2.2999999999999998</v>
      </c>
      <c r="O2965">
        <v>1385</v>
      </c>
      <c r="P2965">
        <v>2.1</v>
      </c>
      <c r="Q2965">
        <v>387</v>
      </c>
      <c r="R2965">
        <v>371</v>
      </c>
    </row>
    <row r="2966" spans="1:18" hidden="1" x14ac:dyDescent="0.2">
      <c r="A2966">
        <v>0</v>
      </c>
      <c r="B2966" t="s">
        <v>65</v>
      </c>
      <c r="E2966" t="s">
        <v>19</v>
      </c>
      <c r="F2966">
        <v>2033513</v>
      </c>
      <c r="G2966">
        <v>2</v>
      </c>
      <c r="H2966">
        <v>1</v>
      </c>
      <c r="I2966">
        <v>528</v>
      </c>
      <c r="J2966">
        <v>2007</v>
      </c>
      <c r="K2966" s="4">
        <v>44132</v>
      </c>
      <c r="L2966" t="s">
        <v>26</v>
      </c>
      <c r="M2966" t="s">
        <v>68</v>
      </c>
      <c r="N2966">
        <v>3.38</v>
      </c>
      <c r="O2966">
        <v>2149</v>
      </c>
      <c r="P2966">
        <v>0.12</v>
      </c>
      <c r="Q2966">
        <v>177</v>
      </c>
      <c r="R2966">
        <v>568</v>
      </c>
    </row>
    <row r="2967" spans="1:18" hidden="1" x14ac:dyDescent="0.2">
      <c r="A2967">
        <v>3</v>
      </c>
      <c r="B2967" t="s">
        <v>44</v>
      </c>
      <c r="E2967" t="s">
        <v>51</v>
      </c>
      <c r="F2967">
        <v>2912543</v>
      </c>
      <c r="G2967">
        <v>4</v>
      </c>
      <c r="H2967">
        <v>3</v>
      </c>
      <c r="I2967">
        <v>577</v>
      </c>
      <c r="J2967">
        <v>1953</v>
      </c>
      <c r="K2967" s="4">
        <v>45364</v>
      </c>
      <c r="L2967" t="s">
        <v>30</v>
      </c>
      <c r="M2967" t="s">
        <v>58</v>
      </c>
      <c r="N2967">
        <v>1.52</v>
      </c>
      <c r="O2967">
        <v>1907</v>
      </c>
      <c r="P2967">
        <v>3.39</v>
      </c>
      <c r="Q2967">
        <v>277</v>
      </c>
      <c r="R2967">
        <v>349</v>
      </c>
    </row>
    <row r="2968" spans="1:18" x14ac:dyDescent="0.2">
      <c r="A2968">
        <v>8</v>
      </c>
      <c r="B2968" t="s">
        <v>105</v>
      </c>
      <c r="C2968" t="str">
        <f>VLOOKUP(B2968, 'Council Area'!$A$2:$B$51, 2)</f>
        <v>Northern Beaches Council</v>
      </c>
      <c r="D2968" t="str">
        <f>_xlfn.XLOOKUP(B2968, 'Council Area'!$A$2:$A$51, 'Council Area'!$B$2:$B$51)</f>
        <v>Northern Beaches Council</v>
      </c>
      <c r="E2968" t="s">
        <v>51</v>
      </c>
      <c r="F2968">
        <v>1079105</v>
      </c>
      <c r="G2968">
        <v>3</v>
      </c>
      <c r="H2968">
        <v>1</v>
      </c>
      <c r="I2968">
        <v>228</v>
      </c>
      <c r="J2968">
        <v>2009</v>
      </c>
      <c r="K2968" s="4">
        <v>44759</v>
      </c>
      <c r="L2968" t="s">
        <v>23</v>
      </c>
      <c r="M2968" t="s">
        <v>24</v>
      </c>
      <c r="N2968">
        <v>1.77</v>
      </c>
      <c r="O2968">
        <v>2389</v>
      </c>
      <c r="P2968">
        <v>0.37</v>
      </c>
      <c r="Q2968">
        <v>234</v>
      </c>
      <c r="R2968">
        <v>317</v>
      </c>
    </row>
    <row r="2969" spans="1:18" x14ac:dyDescent="0.2">
      <c r="A2969">
        <v>8</v>
      </c>
      <c r="B2969" t="s">
        <v>106</v>
      </c>
      <c r="C2969" t="str">
        <f>VLOOKUP(B2969, 'Council Area'!$A$2:$B$51, 2)</f>
        <v>Hornsby Shire Council</v>
      </c>
      <c r="D2969" t="str">
        <f>_xlfn.XLOOKUP(B2969, 'Council Area'!$A$2:$A$51, 'Council Area'!$B$2:$B$51)</f>
        <v>Hornsby Shire Council</v>
      </c>
      <c r="E2969" t="s">
        <v>29</v>
      </c>
      <c r="F2969">
        <v>1793484</v>
      </c>
      <c r="G2969">
        <v>2</v>
      </c>
      <c r="H2969">
        <v>2</v>
      </c>
      <c r="I2969">
        <v>485</v>
      </c>
      <c r="J2969">
        <v>2005</v>
      </c>
      <c r="K2969" s="4">
        <v>45793</v>
      </c>
      <c r="L2969" t="s">
        <v>30</v>
      </c>
      <c r="M2969" t="s">
        <v>45</v>
      </c>
      <c r="N2969">
        <v>3.45</v>
      </c>
      <c r="O2969">
        <v>2252</v>
      </c>
      <c r="P2969">
        <v>2.9</v>
      </c>
      <c r="Q2969">
        <v>133</v>
      </c>
      <c r="R2969">
        <v>615</v>
      </c>
    </row>
    <row r="2970" spans="1:18" x14ac:dyDescent="0.2">
      <c r="A2970">
        <v>8</v>
      </c>
      <c r="B2970" t="s">
        <v>22</v>
      </c>
      <c r="C2970" t="str">
        <f>VLOOKUP(B2970, 'Council Area'!$A$2:$B$51, 2)</f>
        <v>Sutherland Shire Council</v>
      </c>
      <c r="D2970" t="str">
        <f>_xlfn.XLOOKUP(B2970, 'Council Area'!$A$2:$A$51, 'Council Area'!$B$2:$B$51)</f>
        <v>Sutherland Shire Council</v>
      </c>
      <c r="E2970" t="s">
        <v>36</v>
      </c>
      <c r="F2970">
        <v>553402</v>
      </c>
      <c r="G2970">
        <v>5</v>
      </c>
      <c r="H2970">
        <v>2</v>
      </c>
      <c r="I2970">
        <v>618</v>
      </c>
      <c r="J2970">
        <v>1980</v>
      </c>
      <c r="K2970" s="4">
        <v>44148</v>
      </c>
      <c r="L2970" t="s">
        <v>30</v>
      </c>
      <c r="M2970" t="s">
        <v>47</v>
      </c>
      <c r="N2970">
        <v>2.02</v>
      </c>
      <c r="O2970">
        <v>1652</v>
      </c>
      <c r="P2970">
        <v>4.38</v>
      </c>
      <c r="Q2970">
        <v>268</v>
      </c>
      <c r="R2970">
        <v>407</v>
      </c>
    </row>
    <row r="2971" spans="1:18" hidden="1" x14ac:dyDescent="0.2">
      <c r="A2971">
        <v>2</v>
      </c>
      <c r="B2971" t="s">
        <v>73</v>
      </c>
      <c r="E2971" t="s">
        <v>29</v>
      </c>
      <c r="F2971">
        <v>2790132</v>
      </c>
      <c r="G2971">
        <v>5</v>
      </c>
      <c r="H2971">
        <v>1</v>
      </c>
      <c r="I2971">
        <v>1000</v>
      </c>
      <c r="J2971">
        <v>1988</v>
      </c>
      <c r="K2971" s="4">
        <v>44611</v>
      </c>
      <c r="L2971" t="s">
        <v>20</v>
      </c>
      <c r="M2971" t="s">
        <v>21</v>
      </c>
      <c r="N2971">
        <v>1.53</v>
      </c>
      <c r="O2971">
        <v>1947</v>
      </c>
      <c r="P2971">
        <v>2.2599999999999998</v>
      </c>
      <c r="Q2971">
        <v>329</v>
      </c>
      <c r="R2971">
        <v>363</v>
      </c>
    </row>
    <row r="2972" spans="1:18" hidden="1" x14ac:dyDescent="0.2">
      <c r="A2972">
        <v>7</v>
      </c>
      <c r="B2972" t="s">
        <v>55</v>
      </c>
      <c r="E2972" t="s">
        <v>29</v>
      </c>
      <c r="F2972">
        <v>1268043</v>
      </c>
      <c r="G2972">
        <v>4</v>
      </c>
      <c r="H2972">
        <v>1</v>
      </c>
      <c r="I2972">
        <v>641</v>
      </c>
      <c r="J2972">
        <v>1988</v>
      </c>
      <c r="K2972" s="4">
        <v>45211</v>
      </c>
      <c r="L2972" t="s">
        <v>20</v>
      </c>
      <c r="M2972" t="s">
        <v>63</v>
      </c>
      <c r="N2972">
        <v>2.69</v>
      </c>
      <c r="O2972">
        <v>1471</v>
      </c>
      <c r="P2972">
        <v>2.4</v>
      </c>
      <c r="Q2972">
        <v>276</v>
      </c>
      <c r="R2972">
        <v>384</v>
      </c>
    </row>
    <row r="2973" spans="1:18" hidden="1" x14ac:dyDescent="0.2">
      <c r="A2973">
        <v>0</v>
      </c>
      <c r="B2973" t="s">
        <v>43</v>
      </c>
      <c r="E2973" t="s">
        <v>36</v>
      </c>
      <c r="F2973">
        <v>1997972</v>
      </c>
      <c r="G2973">
        <v>3</v>
      </c>
      <c r="H2973">
        <v>1</v>
      </c>
      <c r="I2973">
        <v>953</v>
      </c>
      <c r="J2973">
        <v>1955</v>
      </c>
      <c r="K2973" s="4">
        <v>44760</v>
      </c>
      <c r="L2973" t="s">
        <v>30</v>
      </c>
      <c r="M2973" t="s">
        <v>35</v>
      </c>
      <c r="N2973">
        <v>2.88</v>
      </c>
      <c r="O2973">
        <v>994</v>
      </c>
      <c r="P2973">
        <v>4.92</v>
      </c>
      <c r="Q2973">
        <v>315</v>
      </c>
      <c r="R2973">
        <v>497</v>
      </c>
    </row>
    <row r="2974" spans="1:18" hidden="1" x14ac:dyDescent="0.2">
      <c r="A2974">
        <v>7</v>
      </c>
      <c r="B2974" t="s">
        <v>105</v>
      </c>
      <c r="E2974" t="s">
        <v>19</v>
      </c>
      <c r="F2974">
        <v>488290</v>
      </c>
      <c r="G2974">
        <v>3</v>
      </c>
      <c r="H2974">
        <v>2</v>
      </c>
      <c r="I2974">
        <v>79</v>
      </c>
      <c r="J2974">
        <v>1977</v>
      </c>
      <c r="K2974" s="4">
        <v>44351</v>
      </c>
      <c r="L2974" t="s">
        <v>20</v>
      </c>
      <c r="M2974" t="s">
        <v>63</v>
      </c>
      <c r="N2974">
        <v>2.84</v>
      </c>
      <c r="O2974">
        <v>2433</v>
      </c>
      <c r="P2974">
        <v>3.59</v>
      </c>
      <c r="Q2974">
        <v>213</v>
      </c>
      <c r="R2974">
        <v>408</v>
      </c>
    </row>
    <row r="2975" spans="1:18" hidden="1" x14ac:dyDescent="0.2">
      <c r="A2975">
        <v>0</v>
      </c>
      <c r="B2975" t="s">
        <v>28</v>
      </c>
      <c r="E2975" t="s">
        <v>29</v>
      </c>
      <c r="F2975">
        <v>2035581</v>
      </c>
      <c r="G2975">
        <v>3</v>
      </c>
      <c r="H2975">
        <v>1</v>
      </c>
      <c r="I2975">
        <v>983</v>
      </c>
      <c r="J2975">
        <v>1972</v>
      </c>
      <c r="K2975" s="4">
        <v>45544</v>
      </c>
      <c r="L2975" t="s">
        <v>30</v>
      </c>
      <c r="M2975" t="s">
        <v>31</v>
      </c>
      <c r="N2975">
        <v>2.65</v>
      </c>
      <c r="O2975">
        <v>1177</v>
      </c>
      <c r="P2975">
        <v>1.63</v>
      </c>
      <c r="Q2975">
        <v>254</v>
      </c>
      <c r="R2975">
        <v>514</v>
      </c>
    </row>
    <row r="2976" spans="1:18" x14ac:dyDescent="0.2">
      <c r="A2976">
        <v>8</v>
      </c>
      <c r="B2976" t="s">
        <v>57</v>
      </c>
      <c r="C2976" t="str">
        <f>VLOOKUP(B2976, 'Council Area'!$A$2:$B$51, 2)</f>
        <v>Blacktown City Council</v>
      </c>
      <c r="D2976" t="str">
        <f>_xlfn.XLOOKUP(B2976, 'Council Area'!$A$2:$A$51, 'Council Area'!$B$2:$B$51)</f>
        <v>Blacktown City Council</v>
      </c>
      <c r="E2976" t="s">
        <v>29</v>
      </c>
      <c r="F2976">
        <v>1753720</v>
      </c>
      <c r="G2976">
        <v>2</v>
      </c>
      <c r="H2976">
        <v>1</v>
      </c>
      <c r="I2976">
        <v>507</v>
      </c>
      <c r="J2976">
        <v>1973</v>
      </c>
      <c r="K2976" s="4">
        <v>45785</v>
      </c>
      <c r="L2976" t="s">
        <v>30</v>
      </c>
      <c r="M2976" t="s">
        <v>74</v>
      </c>
      <c r="N2976">
        <v>2.19</v>
      </c>
      <c r="O2976">
        <v>2257</v>
      </c>
      <c r="P2976">
        <v>0.75</v>
      </c>
      <c r="Q2976">
        <v>187</v>
      </c>
      <c r="R2976">
        <v>302</v>
      </c>
    </row>
    <row r="2977" spans="1:18" hidden="1" x14ac:dyDescent="0.2">
      <c r="A2977">
        <v>7</v>
      </c>
      <c r="B2977" t="s">
        <v>49</v>
      </c>
      <c r="E2977" t="s">
        <v>36</v>
      </c>
      <c r="F2977">
        <v>970784</v>
      </c>
      <c r="G2977">
        <v>3</v>
      </c>
      <c r="H2977">
        <v>1</v>
      </c>
      <c r="I2977">
        <v>224</v>
      </c>
      <c r="J2977">
        <v>1994</v>
      </c>
      <c r="K2977" s="4">
        <v>45773</v>
      </c>
      <c r="L2977" t="s">
        <v>30</v>
      </c>
      <c r="M2977" t="s">
        <v>56</v>
      </c>
      <c r="N2977">
        <v>2.2999999999999998</v>
      </c>
      <c r="O2977">
        <v>1328</v>
      </c>
      <c r="P2977">
        <v>0.51</v>
      </c>
      <c r="Q2977">
        <v>211</v>
      </c>
      <c r="R2977">
        <v>401</v>
      </c>
    </row>
    <row r="2978" spans="1:18" hidden="1" x14ac:dyDescent="0.2">
      <c r="A2978">
        <v>1</v>
      </c>
      <c r="B2978" t="s">
        <v>105</v>
      </c>
      <c r="E2978" t="s">
        <v>51</v>
      </c>
      <c r="F2978">
        <v>2268796</v>
      </c>
      <c r="G2978">
        <v>2</v>
      </c>
      <c r="H2978">
        <v>1</v>
      </c>
      <c r="I2978">
        <v>96</v>
      </c>
      <c r="J2978">
        <v>1972</v>
      </c>
      <c r="K2978" s="4">
        <v>44333</v>
      </c>
      <c r="L2978" t="s">
        <v>30</v>
      </c>
      <c r="M2978" t="s">
        <v>24</v>
      </c>
      <c r="N2978">
        <v>3.3</v>
      </c>
      <c r="O2978">
        <v>1814</v>
      </c>
      <c r="P2978">
        <v>1.79</v>
      </c>
      <c r="Q2978">
        <v>111</v>
      </c>
      <c r="R2978">
        <v>466</v>
      </c>
    </row>
    <row r="2979" spans="1:18" hidden="1" x14ac:dyDescent="0.2">
      <c r="A2979">
        <v>0</v>
      </c>
      <c r="B2979" t="s">
        <v>81</v>
      </c>
      <c r="E2979" t="s">
        <v>36</v>
      </c>
      <c r="F2979">
        <v>2198996</v>
      </c>
      <c r="G2979">
        <v>5</v>
      </c>
      <c r="H2979">
        <v>1</v>
      </c>
      <c r="I2979">
        <v>482</v>
      </c>
      <c r="J2979">
        <v>2022</v>
      </c>
      <c r="K2979" s="4">
        <v>45766</v>
      </c>
      <c r="L2979" t="s">
        <v>20</v>
      </c>
      <c r="M2979" t="s">
        <v>33</v>
      </c>
      <c r="N2979">
        <v>2.9</v>
      </c>
      <c r="O2979">
        <v>2003</v>
      </c>
      <c r="P2979">
        <v>1.82</v>
      </c>
      <c r="Q2979">
        <v>266</v>
      </c>
      <c r="R2979">
        <v>585</v>
      </c>
    </row>
    <row r="2980" spans="1:18" hidden="1" x14ac:dyDescent="0.2">
      <c r="A2980">
        <v>7</v>
      </c>
      <c r="B2980" t="s">
        <v>57</v>
      </c>
      <c r="E2980" t="s">
        <v>19</v>
      </c>
      <c r="F2980">
        <v>2131518</v>
      </c>
      <c r="G2980">
        <v>4</v>
      </c>
      <c r="H2980">
        <v>1</v>
      </c>
      <c r="I2980">
        <v>992</v>
      </c>
      <c r="J2980">
        <v>2018</v>
      </c>
      <c r="K2980" s="4">
        <v>45680</v>
      </c>
      <c r="L2980" t="s">
        <v>23</v>
      </c>
      <c r="M2980" t="s">
        <v>82</v>
      </c>
      <c r="N2980">
        <v>2.14</v>
      </c>
      <c r="O2980">
        <v>1751</v>
      </c>
      <c r="P2980">
        <v>0.32</v>
      </c>
      <c r="Q2980">
        <v>173</v>
      </c>
      <c r="R2980">
        <v>485</v>
      </c>
    </row>
    <row r="2981" spans="1:18" hidden="1" x14ac:dyDescent="0.2">
      <c r="A2981">
        <v>3</v>
      </c>
      <c r="B2981" t="s">
        <v>99</v>
      </c>
      <c r="E2981" t="s">
        <v>29</v>
      </c>
      <c r="F2981">
        <v>2063984</v>
      </c>
      <c r="G2981">
        <v>1</v>
      </c>
      <c r="H2981">
        <v>2</v>
      </c>
      <c r="I2981">
        <v>574</v>
      </c>
      <c r="J2981">
        <v>2000</v>
      </c>
      <c r="K2981" s="4">
        <v>44879</v>
      </c>
      <c r="L2981" t="s">
        <v>23</v>
      </c>
      <c r="M2981" t="s">
        <v>42</v>
      </c>
      <c r="N2981">
        <v>3.04</v>
      </c>
      <c r="O2981">
        <v>2464</v>
      </c>
      <c r="P2981">
        <v>0.47</v>
      </c>
      <c r="Q2981">
        <v>154</v>
      </c>
      <c r="R2981">
        <v>466</v>
      </c>
    </row>
    <row r="2982" spans="1:18" hidden="1" x14ac:dyDescent="0.2">
      <c r="A2982">
        <v>7</v>
      </c>
      <c r="B2982" t="s">
        <v>80</v>
      </c>
      <c r="E2982" t="s">
        <v>19</v>
      </c>
      <c r="F2982">
        <v>1085488</v>
      </c>
      <c r="G2982">
        <v>4</v>
      </c>
      <c r="H2982">
        <v>2</v>
      </c>
      <c r="I2982">
        <v>241</v>
      </c>
      <c r="J2982">
        <v>1987</v>
      </c>
      <c r="K2982" s="4">
        <v>44076</v>
      </c>
      <c r="L2982" t="s">
        <v>26</v>
      </c>
      <c r="M2982" t="s">
        <v>54</v>
      </c>
      <c r="N2982">
        <v>2.87</v>
      </c>
      <c r="O2982">
        <v>1845</v>
      </c>
      <c r="P2982">
        <v>3.89</v>
      </c>
      <c r="Q2982">
        <v>369</v>
      </c>
      <c r="R2982">
        <v>552</v>
      </c>
    </row>
    <row r="2983" spans="1:18" hidden="1" x14ac:dyDescent="0.2">
      <c r="A2983">
        <v>6</v>
      </c>
      <c r="B2983" t="s">
        <v>104</v>
      </c>
      <c r="E2983" t="s">
        <v>51</v>
      </c>
      <c r="F2983">
        <v>1236186</v>
      </c>
      <c r="G2983">
        <v>1</v>
      </c>
      <c r="H2983">
        <v>2</v>
      </c>
      <c r="I2983">
        <v>855</v>
      </c>
      <c r="J2983">
        <v>2002</v>
      </c>
      <c r="K2983" s="4">
        <v>45345</v>
      </c>
      <c r="L2983" t="s">
        <v>26</v>
      </c>
      <c r="M2983" t="s">
        <v>74</v>
      </c>
      <c r="N2983">
        <v>2.8</v>
      </c>
      <c r="O2983">
        <v>1862</v>
      </c>
      <c r="P2983">
        <v>1.81</v>
      </c>
      <c r="Q2983">
        <v>93</v>
      </c>
      <c r="R2983">
        <v>433</v>
      </c>
    </row>
    <row r="2984" spans="1:18" hidden="1" x14ac:dyDescent="0.2">
      <c r="A2984">
        <v>0</v>
      </c>
      <c r="B2984" t="s">
        <v>91</v>
      </c>
      <c r="E2984" t="s">
        <v>29</v>
      </c>
      <c r="F2984">
        <v>965963</v>
      </c>
      <c r="G2984">
        <v>4</v>
      </c>
      <c r="H2984">
        <v>3</v>
      </c>
      <c r="I2984">
        <v>528</v>
      </c>
      <c r="J2984">
        <v>1965</v>
      </c>
      <c r="K2984" s="4">
        <v>44677</v>
      </c>
      <c r="L2984" t="s">
        <v>20</v>
      </c>
      <c r="M2984" t="s">
        <v>68</v>
      </c>
      <c r="N2984">
        <v>2.82</v>
      </c>
      <c r="O2984">
        <v>1958</v>
      </c>
      <c r="P2984">
        <v>1.35</v>
      </c>
      <c r="Q2984">
        <v>348</v>
      </c>
      <c r="R2984">
        <v>433</v>
      </c>
    </row>
    <row r="2985" spans="1:18" x14ac:dyDescent="0.2">
      <c r="A2985">
        <v>8</v>
      </c>
      <c r="B2985" t="s">
        <v>96</v>
      </c>
      <c r="C2985" t="str">
        <f>VLOOKUP(B2985, 'Council Area'!$A$2:$B$51, 2)</f>
        <v>Ku-ring-gai Council</v>
      </c>
      <c r="D2985" t="str">
        <f>_xlfn.XLOOKUP(B2985, 'Council Area'!$A$2:$A$51, 'Council Area'!$B$2:$B$51)</f>
        <v>Ku-ring-gai Council</v>
      </c>
      <c r="E2985" t="s">
        <v>29</v>
      </c>
      <c r="F2985">
        <v>902610</v>
      </c>
      <c r="G2985">
        <v>1</v>
      </c>
      <c r="H2985">
        <v>2</v>
      </c>
      <c r="I2985">
        <v>656</v>
      </c>
      <c r="J2985">
        <v>1992</v>
      </c>
      <c r="K2985" s="4">
        <v>44326</v>
      </c>
      <c r="L2985" t="s">
        <v>30</v>
      </c>
      <c r="M2985" t="s">
        <v>66</v>
      </c>
      <c r="N2985">
        <v>2.86</v>
      </c>
      <c r="O2985">
        <v>1079</v>
      </c>
      <c r="P2985">
        <v>3.02</v>
      </c>
      <c r="Q2985">
        <v>149</v>
      </c>
      <c r="R2985">
        <v>696</v>
      </c>
    </row>
    <row r="2986" spans="1:18" hidden="1" x14ac:dyDescent="0.2">
      <c r="A2986">
        <v>6</v>
      </c>
      <c r="B2986" t="s">
        <v>62</v>
      </c>
      <c r="E2986" t="s">
        <v>51</v>
      </c>
      <c r="F2986">
        <v>2832726</v>
      </c>
      <c r="G2986">
        <v>5</v>
      </c>
      <c r="H2986">
        <v>2</v>
      </c>
      <c r="I2986">
        <v>860</v>
      </c>
      <c r="J2986">
        <v>2015</v>
      </c>
      <c r="K2986" s="4">
        <v>45768</v>
      </c>
      <c r="L2986" t="s">
        <v>20</v>
      </c>
      <c r="M2986" t="s">
        <v>78</v>
      </c>
      <c r="N2986">
        <v>2.87</v>
      </c>
      <c r="O2986">
        <v>1693</v>
      </c>
      <c r="P2986">
        <v>3.96</v>
      </c>
      <c r="Q2986">
        <v>328</v>
      </c>
      <c r="R2986">
        <v>693</v>
      </c>
    </row>
    <row r="2987" spans="1:18" hidden="1" x14ac:dyDescent="0.2">
      <c r="A2987">
        <v>6</v>
      </c>
      <c r="B2987" t="s">
        <v>43</v>
      </c>
      <c r="E2987" t="s">
        <v>29</v>
      </c>
      <c r="F2987">
        <v>1249071</v>
      </c>
      <c r="G2987">
        <v>4</v>
      </c>
      <c r="H2987">
        <v>3</v>
      </c>
      <c r="I2987">
        <v>824</v>
      </c>
      <c r="J2987">
        <v>1952</v>
      </c>
      <c r="K2987" s="4">
        <v>45823</v>
      </c>
      <c r="L2987" t="s">
        <v>26</v>
      </c>
      <c r="M2987" t="s">
        <v>59</v>
      </c>
      <c r="N2987">
        <v>2.23</v>
      </c>
      <c r="O2987">
        <v>1912</v>
      </c>
      <c r="P2987">
        <v>4.54</v>
      </c>
      <c r="Q2987">
        <v>171</v>
      </c>
      <c r="R2987">
        <v>577</v>
      </c>
    </row>
    <row r="2988" spans="1:18" x14ac:dyDescent="0.2">
      <c r="A2988">
        <v>8</v>
      </c>
      <c r="B2988" t="s">
        <v>101</v>
      </c>
      <c r="C2988" t="str">
        <f>VLOOKUP(B2988, 'Council Area'!$A$2:$B$51, 2)</f>
        <v>City of Sydney</v>
      </c>
      <c r="D2988" t="str">
        <f>_xlfn.XLOOKUP(B2988, 'Council Area'!$A$2:$A$51, 'Council Area'!$B$2:$B$51)</f>
        <v>City of Sydney</v>
      </c>
      <c r="E2988" t="s">
        <v>51</v>
      </c>
      <c r="F2988">
        <v>1211415</v>
      </c>
      <c r="G2988">
        <v>5</v>
      </c>
      <c r="H2988">
        <v>1</v>
      </c>
      <c r="I2988">
        <v>411</v>
      </c>
      <c r="J2988">
        <v>1980</v>
      </c>
      <c r="K2988" s="4">
        <v>44231</v>
      </c>
      <c r="L2988" t="s">
        <v>26</v>
      </c>
      <c r="M2988" t="s">
        <v>85</v>
      </c>
      <c r="N2988">
        <v>1.68</v>
      </c>
      <c r="O2988">
        <v>1903</v>
      </c>
      <c r="P2988">
        <v>2.81</v>
      </c>
      <c r="Q2988">
        <v>353</v>
      </c>
      <c r="R2988">
        <v>585</v>
      </c>
    </row>
    <row r="2989" spans="1:18" x14ac:dyDescent="0.2">
      <c r="A2989">
        <v>8</v>
      </c>
      <c r="B2989" t="s">
        <v>61</v>
      </c>
      <c r="C2989" t="str">
        <f>VLOOKUP(B2989, 'Council Area'!$A$2:$B$51, 2)</f>
        <v>Parramatta City Council</v>
      </c>
      <c r="D2989" t="str">
        <f>_xlfn.XLOOKUP(B2989, 'Council Area'!$A$2:$A$51, 'Council Area'!$B$2:$B$51)</f>
        <v>Parramatta City Council</v>
      </c>
      <c r="E2989" t="s">
        <v>19</v>
      </c>
      <c r="F2989">
        <v>666648</v>
      </c>
      <c r="G2989">
        <v>5</v>
      </c>
      <c r="H2989">
        <v>3</v>
      </c>
      <c r="I2989">
        <v>951</v>
      </c>
      <c r="J2989">
        <v>1989</v>
      </c>
      <c r="K2989" s="4">
        <v>45409</v>
      </c>
      <c r="L2989" t="s">
        <v>26</v>
      </c>
      <c r="M2989" t="s">
        <v>58</v>
      </c>
      <c r="N2989">
        <v>1.68</v>
      </c>
      <c r="O2989">
        <v>1350</v>
      </c>
      <c r="P2989">
        <v>0.28000000000000003</v>
      </c>
      <c r="Q2989">
        <v>372</v>
      </c>
      <c r="R2989">
        <v>459</v>
      </c>
    </row>
    <row r="2990" spans="1:18" hidden="1" x14ac:dyDescent="0.2">
      <c r="A2990">
        <v>0</v>
      </c>
      <c r="B2990" t="s">
        <v>88</v>
      </c>
      <c r="E2990" t="s">
        <v>51</v>
      </c>
      <c r="F2990">
        <v>1411410</v>
      </c>
      <c r="G2990">
        <v>2</v>
      </c>
      <c r="H2990">
        <v>3</v>
      </c>
      <c r="I2990">
        <v>531</v>
      </c>
      <c r="J2990">
        <v>2011</v>
      </c>
      <c r="K2990" s="4">
        <v>45069</v>
      </c>
      <c r="L2990" t="s">
        <v>20</v>
      </c>
      <c r="M2990" t="s">
        <v>35</v>
      </c>
      <c r="N2990">
        <v>1.61</v>
      </c>
      <c r="O2990">
        <v>2207</v>
      </c>
      <c r="P2990">
        <v>3.16</v>
      </c>
      <c r="Q2990">
        <v>196</v>
      </c>
      <c r="R2990">
        <v>668</v>
      </c>
    </row>
    <row r="2991" spans="1:18" hidden="1" x14ac:dyDescent="0.2">
      <c r="A2991">
        <v>6</v>
      </c>
      <c r="B2991" t="s">
        <v>91</v>
      </c>
      <c r="E2991" t="s">
        <v>29</v>
      </c>
      <c r="F2991">
        <v>1749370</v>
      </c>
      <c r="G2991">
        <v>6</v>
      </c>
      <c r="H2991">
        <v>2</v>
      </c>
      <c r="I2991">
        <v>100</v>
      </c>
      <c r="J2991">
        <v>2006</v>
      </c>
      <c r="K2991" s="4">
        <v>45635</v>
      </c>
      <c r="L2991" t="s">
        <v>23</v>
      </c>
      <c r="M2991" t="s">
        <v>47</v>
      </c>
      <c r="N2991">
        <v>3.48</v>
      </c>
      <c r="O2991">
        <v>1720</v>
      </c>
      <c r="P2991">
        <v>0.37</v>
      </c>
      <c r="Q2991">
        <v>363</v>
      </c>
      <c r="R2991">
        <v>696</v>
      </c>
    </row>
    <row r="2992" spans="1:18" hidden="1" x14ac:dyDescent="0.2">
      <c r="A2992">
        <v>9</v>
      </c>
      <c r="B2992" t="s">
        <v>91</v>
      </c>
      <c r="E2992" t="s">
        <v>19</v>
      </c>
      <c r="F2992">
        <v>1459974</v>
      </c>
      <c r="G2992">
        <v>4</v>
      </c>
      <c r="H2992">
        <v>1</v>
      </c>
      <c r="I2992">
        <v>94</v>
      </c>
      <c r="J2992">
        <v>2004</v>
      </c>
      <c r="K2992" s="4">
        <v>44614</v>
      </c>
      <c r="L2992" t="s">
        <v>26</v>
      </c>
      <c r="M2992" t="s">
        <v>63</v>
      </c>
      <c r="N2992">
        <v>2.0099999999999998</v>
      </c>
      <c r="O2992">
        <v>1414</v>
      </c>
      <c r="P2992">
        <v>1.1399999999999999</v>
      </c>
      <c r="Q2992">
        <v>304</v>
      </c>
      <c r="R2992">
        <v>568</v>
      </c>
    </row>
    <row r="2993" spans="1:18" hidden="1" x14ac:dyDescent="0.2">
      <c r="A2993">
        <v>2</v>
      </c>
      <c r="B2993" t="s">
        <v>79</v>
      </c>
      <c r="E2993" t="s">
        <v>51</v>
      </c>
      <c r="F2993">
        <v>1506636</v>
      </c>
      <c r="G2993">
        <v>4</v>
      </c>
      <c r="H2993">
        <v>1</v>
      </c>
      <c r="I2993">
        <v>177</v>
      </c>
      <c r="J2993">
        <v>2009</v>
      </c>
      <c r="K2993" s="4">
        <v>45257</v>
      </c>
      <c r="L2993" t="s">
        <v>20</v>
      </c>
      <c r="M2993" t="s">
        <v>40</v>
      </c>
      <c r="N2993">
        <v>2.5299999999999998</v>
      </c>
      <c r="O2993">
        <v>2059</v>
      </c>
      <c r="P2993">
        <v>0.69</v>
      </c>
      <c r="Q2993">
        <v>338</v>
      </c>
      <c r="R2993">
        <v>459</v>
      </c>
    </row>
    <row r="2994" spans="1:18" hidden="1" x14ac:dyDescent="0.2">
      <c r="A2994">
        <v>7</v>
      </c>
      <c r="B2994" t="s">
        <v>90</v>
      </c>
      <c r="E2994" t="s">
        <v>19</v>
      </c>
      <c r="F2994">
        <v>524670</v>
      </c>
      <c r="G2994">
        <v>0</v>
      </c>
      <c r="H2994">
        <v>2</v>
      </c>
      <c r="I2994">
        <v>338</v>
      </c>
      <c r="J2994">
        <v>1966</v>
      </c>
      <c r="K2994" s="4">
        <v>45463</v>
      </c>
      <c r="L2994" t="s">
        <v>23</v>
      </c>
      <c r="M2994" t="s">
        <v>42</v>
      </c>
      <c r="N2994">
        <v>1.74</v>
      </c>
      <c r="O2994">
        <v>2449</v>
      </c>
      <c r="P2994">
        <v>2.92</v>
      </c>
      <c r="Q2994">
        <v>61</v>
      </c>
      <c r="R2994">
        <v>405</v>
      </c>
    </row>
    <row r="2995" spans="1:18" hidden="1" x14ac:dyDescent="0.2">
      <c r="A2995">
        <v>2</v>
      </c>
      <c r="B2995" t="s">
        <v>83</v>
      </c>
      <c r="E2995" t="s">
        <v>51</v>
      </c>
      <c r="F2995">
        <v>1711008</v>
      </c>
      <c r="G2995">
        <v>5</v>
      </c>
      <c r="H2995">
        <v>1</v>
      </c>
      <c r="I2995">
        <v>606</v>
      </c>
      <c r="J2995">
        <v>1988</v>
      </c>
      <c r="K2995" s="4">
        <v>45506</v>
      </c>
      <c r="L2995" t="s">
        <v>30</v>
      </c>
      <c r="M2995" t="s">
        <v>52</v>
      </c>
      <c r="N2995">
        <v>2.89</v>
      </c>
      <c r="O2995">
        <v>997</v>
      </c>
      <c r="P2995">
        <v>2.65</v>
      </c>
      <c r="Q2995">
        <v>316</v>
      </c>
      <c r="R2995">
        <v>509</v>
      </c>
    </row>
    <row r="2996" spans="1:18" hidden="1" x14ac:dyDescent="0.2">
      <c r="A2996">
        <v>0</v>
      </c>
      <c r="B2996" t="s">
        <v>98</v>
      </c>
      <c r="E2996" t="s">
        <v>51</v>
      </c>
      <c r="F2996">
        <v>849482</v>
      </c>
      <c r="G2996">
        <v>1</v>
      </c>
      <c r="H2996">
        <v>1</v>
      </c>
      <c r="I2996">
        <v>651</v>
      </c>
      <c r="J2996">
        <v>2008</v>
      </c>
      <c r="K2996" s="4">
        <v>45793</v>
      </c>
      <c r="L2996" t="s">
        <v>20</v>
      </c>
      <c r="M2996" t="s">
        <v>66</v>
      </c>
      <c r="N2996">
        <v>2.75</v>
      </c>
      <c r="O2996">
        <v>1035</v>
      </c>
      <c r="P2996">
        <v>2.81</v>
      </c>
      <c r="Q2996">
        <v>147</v>
      </c>
      <c r="R2996">
        <v>692</v>
      </c>
    </row>
    <row r="3001" spans="1:18" x14ac:dyDescent="0.2">
      <c r="A3001" s="5"/>
    </row>
    <row r="3002" spans="1:18" x14ac:dyDescent="0.2">
      <c r="A3002" s="5"/>
    </row>
    <row r="3003" spans="1:18" x14ac:dyDescent="0.2">
      <c r="B3003" s="6"/>
    </row>
    <row r="3009" spans="2:2" x14ac:dyDescent="0.2">
      <c r="B3009" s="6"/>
    </row>
    <row r="3010" spans="2:2" x14ac:dyDescent="0.2">
      <c r="B3010" s="6"/>
    </row>
  </sheetData>
  <autoFilter ref="A1:R2996" xr:uid="{00000000-0001-0000-0000-000000000000}">
    <filterColumn colId="0">
      <filters>
        <filter val="8"/>
      </filters>
    </filterColumn>
  </autoFilter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2EA8C-94E0-40D2-93E2-28566A24F78B}">
  <sheetPr>
    <tabColor theme="6" tint="0.39997558519241921"/>
  </sheetPr>
  <dimension ref="A1:D296"/>
  <sheetViews>
    <sheetView zoomScale="92" workbookViewId="0">
      <selection activeCell="D2" sqref="D2"/>
    </sheetView>
  </sheetViews>
  <sheetFormatPr baseColWidth="10" defaultColWidth="8.83203125" defaultRowHeight="15" x14ac:dyDescent="0.2"/>
  <cols>
    <col min="3" max="3" width="23.6640625" customWidth="1"/>
    <col min="4" max="4" width="20" customWidth="1"/>
    <col min="5" max="5" width="18.6640625" customWidth="1"/>
  </cols>
  <sheetData>
    <row r="1" spans="1:4" x14ac:dyDescent="0.2">
      <c r="A1" t="s">
        <v>5</v>
      </c>
    </row>
    <row r="2" spans="1:4" ht="16" x14ac:dyDescent="0.2">
      <c r="A2">
        <v>538096</v>
      </c>
      <c r="C2" s="92" t="s">
        <v>118</v>
      </c>
      <c r="D2" s="96">
        <f>AVERAGE(A2:A296)</f>
        <v>1646657.1220338983</v>
      </c>
    </row>
    <row r="3" spans="1:4" ht="16" x14ac:dyDescent="0.2">
      <c r="A3">
        <v>2488052</v>
      </c>
      <c r="C3" s="93" t="s">
        <v>119</v>
      </c>
      <c r="D3" s="99">
        <f>MEDIAN(A2:A296)</f>
        <v>1609946</v>
      </c>
    </row>
    <row r="4" spans="1:4" ht="16" x14ac:dyDescent="0.2">
      <c r="A4">
        <v>1256488</v>
      </c>
      <c r="C4" s="93" t="s">
        <v>120</v>
      </c>
      <c r="D4" s="95" t="e" cm="1">
        <f t="array" ref="D4">_xlfn.MODE.MULT(A2:A296)</f>
        <v>#N/A</v>
      </c>
    </row>
    <row r="5" spans="1:4" ht="16" x14ac:dyDescent="0.2">
      <c r="A5">
        <v>1778980</v>
      </c>
      <c r="C5" s="93" t="s">
        <v>121</v>
      </c>
      <c r="D5" s="99">
        <f>MAX(A2:A296)-MIN(A2:A296)</f>
        <v>2586268</v>
      </c>
    </row>
    <row r="6" spans="1:4" ht="16" x14ac:dyDescent="0.2">
      <c r="A6">
        <v>2085921</v>
      </c>
      <c r="C6" s="93" t="s">
        <v>180</v>
      </c>
      <c r="D6" s="99">
        <f>_xlfn.QUARTILE.INC(A2:A296, 3) - _xlfn.QUARTILE.INC(A2:A296, 1)</f>
        <v>1188088</v>
      </c>
    </row>
    <row r="7" spans="1:4" ht="16" x14ac:dyDescent="0.2">
      <c r="A7">
        <v>1484200</v>
      </c>
      <c r="C7" s="93" t="s">
        <v>122</v>
      </c>
      <c r="D7" s="95">
        <f>_xlfn.VAR.S(A2:A296)</f>
        <v>524117227167.4613</v>
      </c>
    </row>
    <row r="8" spans="1:4" ht="16" x14ac:dyDescent="0.2">
      <c r="A8">
        <v>1226492</v>
      </c>
      <c r="C8" s="93" t="s">
        <v>123</v>
      </c>
      <c r="D8" s="95">
        <f>_xlfn.STDEV.S(A2:A296)</f>
        <v>723959.40988943668</v>
      </c>
    </row>
    <row r="9" spans="1:4" ht="16" x14ac:dyDescent="0.2">
      <c r="A9">
        <v>2518595</v>
      </c>
      <c r="C9" s="94" t="s">
        <v>181</v>
      </c>
      <c r="D9" s="97">
        <f>D8/D2</f>
        <v>0.4396540118778493</v>
      </c>
    </row>
    <row r="10" spans="1:4" x14ac:dyDescent="0.2">
      <c r="A10">
        <v>2729157</v>
      </c>
    </row>
    <row r="11" spans="1:4" x14ac:dyDescent="0.2">
      <c r="A11">
        <v>2340435</v>
      </c>
    </row>
    <row r="12" spans="1:4" x14ac:dyDescent="0.2">
      <c r="A12">
        <v>2162008</v>
      </c>
    </row>
    <row r="13" spans="1:4" x14ac:dyDescent="0.2">
      <c r="A13">
        <v>517794</v>
      </c>
    </row>
    <row r="14" spans="1:4" x14ac:dyDescent="0.2">
      <c r="A14">
        <v>551879</v>
      </c>
    </row>
    <row r="15" spans="1:4" x14ac:dyDescent="0.2">
      <c r="A15">
        <v>2630926</v>
      </c>
    </row>
    <row r="16" spans="1:4" x14ac:dyDescent="0.2">
      <c r="A16">
        <v>530849</v>
      </c>
    </row>
    <row r="17" spans="1:1" x14ac:dyDescent="0.2">
      <c r="A17">
        <v>912151</v>
      </c>
    </row>
    <row r="18" spans="1:1" x14ac:dyDescent="0.2">
      <c r="A18">
        <v>2358256</v>
      </c>
    </row>
    <row r="19" spans="1:1" x14ac:dyDescent="0.2">
      <c r="A19">
        <v>1715874</v>
      </c>
    </row>
    <row r="20" spans="1:1" x14ac:dyDescent="0.2">
      <c r="A20">
        <v>2391665</v>
      </c>
    </row>
    <row r="21" spans="1:1" x14ac:dyDescent="0.2">
      <c r="A21">
        <v>1752561</v>
      </c>
    </row>
    <row r="22" spans="1:1" x14ac:dyDescent="0.2">
      <c r="A22">
        <v>1185465</v>
      </c>
    </row>
    <row r="23" spans="1:1" x14ac:dyDescent="0.2">
      <c r="A23">
        <v>567597</v>
      </c>
    </row>
    <row r="24" spans="1:1" x14ac:dyDescent="0.2">
      <c r="A24">
        <v>679961</v>
      </c>
    </row>
    <row r="25" spans="1:1" x14ac:dyDescent="0.2">
      <c r="A25">
        <v>556626</v>
      </c>
    </row>
    <row r="26" spans="1:1" x14ac:dyDescent="0.2">
      <c r="A26">
        <v>1729801</v>
      </c>
    </row>
    <row r="27" spans="1:1" x14ac:dyDescent="0.2">
      <c r="A27">
        <v>2966416</v>
      </c>
    </row>
    <row r="28" spans="1:1" x14ac:dyDescent="0.2">
      <c r="A28">
        <v>1308029</v>
      </c>
    </row>
    <row r="29" spans="1:1" x14ac:dyDescent="0.2">
      <c r="A29">
        <v>2124077</v>
      </c>
    </row>
    <row r="30" spans="1:1" x14ac:dyDescent="0.2">
      <c r="A30">
        <v>885651</v>
      </c>
    </row>
    <row r="31" spans="1:1" x14ac:dyDescent="0.2">
      <c r="A31">
        <v>2518011</v>
      </c>
    </row>
    <row r="32" spans="1:1" x14ac:dyDescent="0.2">
      <c r="A32">
        <v>765646</v>
      </c>
    </row>
    <row r="33" spans="1:1" x14ac:dyDescent="0.2">
      <c r="A33">
        <v>533729</v>
      </c>
    </row>
    <row r="34" spans="1:1" x14ac:dyDescent="0.2">
      <c r="A34">
        <v>568454</v>
      </c>
    </row>
    <row r="35" spans="1:1" x14ac:dyDescent="0.2">
      <c r="A35">
        <v>1562336</v>
      </c>
    </row>
    <row r="36" spans="1:1" x14ac:dyDescent="0.2">
      <c r="A36">
        <v>2413424</v>
      </c>
    </row>
    <row r="37" spans="1:1" x14ac:dyDescent="0.2">
      <c r="A37">
        <v>665192</v>
      </c>
    </row>
    <row r="38" spans="1:1" x14ac:dyDescent="0.2">
      <c r="A38">
        <v>1041720</v>
      </c>
    </row>
    <row r="39" spans="1:1" x14ac:dyDescent="0.2">
      <c r="A39">
        <v>580179</v>
      </c>
    </row>
    <row r="40" spans="1:1" x14ac:dyDescent="0.2">
      <c r="A40">
        <v>2170715</v>
      </c>
    </row>
    <row r="41" spans="1:1" x14ac:dyDescent="0.2">
      <c r="A41">
        <v>987676</v>
      </c>
    </row>
    <row r="42" spans="1:1" x14ac:dyDescent="0.2">
      <c r="A42">
        <v>2755253</v>
      </c>
    </row>
    <row r="43" spans="1:1" x14ac:dyDescent="0.2">
      <c r="A43">
        <v>1388611</v>
      </c>
    </row>
    <row r="44" spans="1:1" x14ac:dyDescent="0.2">
      <c r="A44">
        <v>1573906</v>
      </c>
    </row>
    <row r="45" spans="1:1" x14ac:dyDescent="0.2">
      <c r="A45">
        <v>1340353</v>
      </c>
    </row>
    <row r="46" spans="1:1" x14ac:dyDescent="0.2">
      <c r="A46">
        <v>2596099</v>
      </c>
    </row>
    <row r="47" spans="1:1" x14ac:dyDescent="0.2">
      <c r="A47">
        <v>1272387</v>
      </c>
    </row>
    <row r="48" spans="1:1" x14ac:dyDescent="0.2">
      <c r="A48">
        <v>1468035</v>
      </c>
    </row>
    <row r="49" spans="1:1" x14ac:dyDescent="0.2">
      <c r="A49">
        <v>2043730</v>
      </c>
    </row>
    <row r="50" spans="1:1" x14ac:dyDescent="0.2">
      <c r="A50">
        <v>1528674</v>
      </c>
    </row>
    <row r="51" spans="1:1" x14ac:dyDescent="0.2">
      <c r="A51">
        <v>2402702</v>
      </c>
    </row>
    <row r="52" spans="1:1" x14ac:dyDescent="0.2">
      <c r="A52">
        <v>2623285</v>
      </c>
    </row>
    <row r="53" spans="1:1" x14ac:dyDescent="0.2">
      <c r="A53">
        <v>2746789</v>
      </c>
    </row>
    <row r="54" spans="1:1" x14ac:dyDescent="0.2">
      <c r="A54">
        <v>1114283</v>
      </c>
    </row>
    <row r="55" spans="1:1" x14ac:dyDescent="0.2">
      <c r="A55">
        <v>1152022</v>
      </c>
    </row>
    <row r="56" spans="1:1" x14ac:dyDescent="0.2">
      <c r="A56">
        <v>2596536</v>
      </c>
    </row>
    <row r="57" spans="1:1" x14ac:dyDescent="0.2">
      <c r="A57">
        <v>1396903</v>
      </c>
    </row>
    <row r="58" spans="1:1" x14ac:dyDescent="0.2">
      <c r="A58">
        <v>1224555</v>
      </c>
    </row>
    <row r="59" spans="1:1" x14ac:dyDescent="0.2">
      <c r="A59">
        <v>1722194</v>
      </c>
    </row>
    <row r="60" spans="1:1" x14ac:dyDescent="0.2">
      <c r="A60">
        <v>2748095</v>
      </c>
    </row>
    <row r="61" spans="1:1" x14ac:dyDescent="0.2">
      <c r="A61">
        <v>1999873</v>
      </c>
    </row>
    <row r="62" spans="1:1" x14ac:dyDescent="0.2">
      <c r="A62">
        <v>1829169</v>
      </c>
    </row>
    <row r="63" spans="1:1" x14ac:dyDescent="0.2">
      <c r="A63">
        <v>1912787</v>
      </c>
    </row>
    <row r="64" spans="1:1" x14ac:dyDescent="0.2">
      <c r="A64">
        <v>1993191</v>
      </c>
    </row>
    <row r="65" spans="1:1" x14ac:dyDescent="0.2">
      <c r="A65">
        <v>1609946</v>
      </c>
    </row>
    <row r="66" spans="1:1" x14ac:dyDescent="0.2">
      <c r="A66">
        <v>2727723</v>
      </c>
    </row>
    <row r="67" spans="1:1" x14ac:dyDescent="0.2">
      <c r="A67">
        <v>1709116</v>
      </c>
    </row>
    <row r="68" spans="1:1" x14ac:dyDescent="0.2">
      <c r="A68">
        <v>1543508</v>
      </c>
    </row>
    <row r="69" spans="1:1" x14ac:dyDescent="0.2">
      <c r="A69">
        <v>1305593</v>
      </c>
    </row>
    <row r="70" spans="1:1" x14ac:dyDescent="0.2">
      <c r="A70">
        <v>2807269</v>
      </c>
    </row>
    <row r="71" spans="1:1" x14ac:dyDescent="0.2">
      <c r="A71">
        <v>2368590</v>
      </c>
    </row>
    <row r="72" spans="1:1" x14ac:dyDescent="0.2">
      <c r="A72">
        <v>2475314</v>
      </c>
    </row>
    <row r="73" spans="1:1" x14ac:dyDescent="0.2">
      <c r="A73">
        <v>2614176</v>
      </c>
    </row>
    <row r="74" spans="1:1" x14ac:dyDescent="0.2">
      <c r="A74">
        <v>1746840</v>
      </c>
    </row>
    <row r="75" spans="1:1" x14ac:dyDescent="0.2">
      <c r="A75">
        <v>626405</v>
      </c>
    </row>
    <row r="76" spans="1:1" x14ac:dyDescent="0.2">
      <c r="A76">
        <v>1285009</v>
      </c>
    </row>
    <row r="77" spans="1:1" x14ac:dyDescent="0.2">
      <c r="A77">
        <v>552627</v>
      </c>
    </row>
    <row r="78" spans="1:1" x14ac:dyDescent="0.2">
      <c r="A78">
        <v>2284048</v>
      </c>
    </row>
    <row r="79" spans="1:1" x14ac:dyDescent="0.2">
      <c r="A79">
        <v>1315915</v>
      </c>
    </row>
    <row r="80" spans="1:1" x14ac:dyDescent="0.2">
      <c r="A80">
        <v>1939588</v>
      </c>
    </row>
    <row r="81" spans="1:1" x14ac:dyDescent="0.2">
      <c r="A81">
        <v>1320577</v>
      </c>
    </row>
    <row r="82" spans="1:1" x14ac:dyDescent="0.2">
      <c r="A82">
        <v>2626318</v>
      </c>
    </row>
    <row r="83" spans="1:1" x14ac:dyDescent="0.2">
      <c r="A83">
        <v>889504</v>
      </c>
    </row>
    <row r="84" spans="1:1" x14ac:dyDescent="0.2">
      <c r="A84">
        <v>2685724</v>
      </c>
    </row>
    <row r="85" spans="1:1" x14ac:dyDescent="0.2">
      <c r="A85">
        <v>2185537</v>
      </c>
    </row>
    <row r="86" spans="1:1" x14ac:dyDescent="0.2">
      <c r="A86">
        <v>522380</v>
      </c>
    </row>
    <row r="87" spans="1:1" x14ac:dyDescent="0.2">
      <c r="A87">
        <v>638495</v>
      </c>
    </row>
    <row r="88" spans="1:1" x14ac:dyDescent="0.2">
      <c r="A88">
        <v>1671063</v>
      </c>
    </row>
    <row r="89" spans="1:1" x14ac:dyDescent="0.2">
      <c r="A89">
        <v>452515</v>
      </c>
    </row>
    <row r="90" spans="1:1" x14ac:dyDescent="0.2">
      <c r="A90">
        <v>2983596</v>
      </c>
    </row>
    <row r="91" spans="1:1" x14ac:dyDescent="0.2">
      <c r="A91">
        <v>1048416</v>
      </c>
    </row>
    <row r="92" spans="1:1" x14ac:dyDescent="0.2">
      <c r="A92">
        <v>1150822</v>
      </c>
    </row>
    <row r="93" spans="1:1" x14ac:dyDescent="0.2">
      <c r="A93">
        <v>1358231</v>
      </c>
    </row>
    <row r="94" spans="1:1" x14ac:dyDescent="0.2">
      <c r="A94">
        <v>1301498</v>
      </c>
    </row>
    <row r="95" spans="1:1" x14ac:dyDescent="0.2">
      <c r="A95">
        <v>1755361</v>
      </c>
    </row>
    <row r="96" spans="1:1" x14ac:dyDescent="0.2">
      <c r="A96">
        <v>2541458</v>
      </c>
    </row>
    <row r="97" spans="1:1" x14ac:dyDescent="0.2">
      <c r="A97">
        <v>2840451</v>
      </c>
    </row>
    <row r="98" spans="1:1" x14ac:dyDescent="0.2">
      <c r="A98">
        <v>2117875</v>
      </c>
    </row>
    <row r="99" spans="1:1" x14ac:dyDescent="0.2">
      <c r="A99">
        <v>2285903</v>
      </c>
    </row>
    <row r="100" spans="1:1" x14ac:dyDescent="0.2">
      <c r="A100">
        <v>2295373</v>
      </c>
    </row>
    <row r="101" spans="1:1" x14ac:dyDescent="0.2">
      <c r="A101">
        <v>2219875</v>
      </c>
    </row>
    <row r="102" spans="1:1" x14ac:dyDescent="0.2">
      <c r="A102">
        <v>2565825</v>
      </c>
    </row>
    <row r="103" spans="1:1" x14ac:dyDescent="0.2">
      <c r="A103">
        <v>1324794</v>
      </c>
    </row>
    <row r="104" spans="1:1" x14ac:dyDescent="0.2">
      <c r="A104">
        <v>2749545</v>
      </c>
    </row>
    <row r="105" spans="1:1" x14ac:dyDescent="0.2">
      <c r="A105">
        <v>713648</v>
      </c>
    </row>
    <row r="106" spans="1:1" x14ac:dyDescent="0.2">
      <c r="A106">
        <v>890587</v>
      </c>
    </row>
    <row r="107" spans="1:1" x14ac:dyDescent="0.2">
      <c r="A107">
        <v>834664</v>
      </c>
    </row>
    <row r="108" spans="1:1" x14ac:dyDescent="0.2">
      <c r="A108">
        <v>1659623</v>
      </c>
    </row>
    <row r="109" spans="1:1" x14ac:dyDescent="0.2">
      <c r="A109">
        <v>1208118</v>
      </c>
    </row>
    <row r="110" spans="1:1" x14ac:dyDescent="0.2">
      <c r="A110">
        <v>1840949</v>
      </c>
    </row>
    <row r="111" spans="1:1" x14ac:dyDescent="0.2">
      <c r="A111">
        <v>879288</v>
      </c>
    </row>
    <row r="112" spans="1:1" x14ac:dyDescent="0.2">
      <c r="A112">
        <v>1234229</v>
      </c>
    </row>
    <row r="113" spans="1:1" x14ac:dyDescent="0.2">
      <c r="A113">
        <v>1122563</v>
      </c>
    </row>
    <row r="114" spans="1:1" x14ac:dyDescent="0.2">
      <c r="A114">
        <v>1879180</v>
      </c>
    </row>
    <row r="115" spans="1:1" x14ac:dyDescent="0.2">
      <c r="A115">
        <v>455574</v>
      </c>
    </row>
    <row r="116" spans="1:1" x14ac:dyDescent="0.2">
      <c r="A116">
        <v>1217885</v>
      </c>
    </row>
    <row r="117" spans="1:1" x14ac:dyDescent="0.2">
      <c r="A117">
        <v>821330</v>
      </c>
    </row>
    <row r="118" spans="1:1" x14ac:dyDescent="0.2">
      <c r="A118">
        <v>1612427</v>
      </c>
    </row>
    <row r="119" spans="1:1" x14ac:dyDescent="0.2">
      <c r="A119">
        <v>2459040</v>
      </c>
    </row>
    <row r="120" spans="1:1" x14ac:dyDescent="0.2">
      <c r="A120">
        <v>927176</v>
      </c>
    </row>
    <row r="121" spans="1:1" x14ac:dyDescent="0.2">
      <c r="A121">
        <v>2677009</v>
      </c>
    </row>
    <row r="122" spans="1:1" x14ac:dyDescent="0.2">
      <c r="A122">
        <v>617768</v>
      </c>
    </row>
    <row r="123" spans="1:1" x14ac:dyDescent="0.2">
      <c r="A123">
        <v>2381021</v>
      </c>
    </row>
    <row r="124" spans="1:1" x14ac:dyDescent="0.2">
      <c r="A124">
        <v>778488</v>
      </c>
    </row>
    <row r="125" spans="1:1" x14ac:dyDescent="0.2">
      <c r="A125">
        <v>2783962</v>
      </c>
    </row>
    <row r="126" spans="1:1" x14ac:dyDescent="0.2">
      <c r="A126">
        <v>2495977</v>
      </c>
    </row>
    <row r="127" spans="1:1" x14ac:dyDescent="0.2">
      <c r="A127">
        <v>2722791</v>
      </c>
    </row>
    <row r="128" spans="1:1" x14ac:dyDescent="0.2">
      <c r="A128">
        <v>866777</v>
      </c>
    </row>
    <row r="129" spans="1:1" x14ac:dyDescent="0.2">
      <c r="A129">
        <v>1397786</v>
      </c>
    </row>
    <row r="130" spans="1:1" x14ac:dyDescent="0.2">
      <c r="A130">
        <v>2925161</v>
      </c>
    </row>
    <row r="131" spans="1:1" x14ac:dyDescent="0.2">
      <c r="A131">
        <v>1750291</v>
      </c>
    </row>
    <row r="132" spans="1:1" x14ac:dyDescent="0.2">
      <c r="A132">
        <v>2504627</v>
      </c>
    </row>
    <row r="133" spans="1:1" x14ac:dyDescent="0.2">
      <c r="A133">
        <v>1584463</v>
      </c>
    </row>
    <row r="134" spans="1:1" x14ac:dyDescent="0.2">
      <c r="A134">
        <v>1027607</v>
      </c>
    </row>
    <row r="135" spans="1:1" x14ac:dyDescent="0.2">
      <c r="A135">
        <v>1928584</v>
      </c>
    </row>
    <row r="136" spans="1:1" x14ac:dyDescent="0.2">
      <c r="A136">
        <v>1727068</v>
      </c>
    </row>
    <row r="137" spans="1:1" x14ac:dyDescent="0.2">
      <c r="A137">
        <v>752101</v>
      </c>
    </row>
    <row r="138" spans="1:1" x14ac:dyDescent="0.2">
      <c r="A138">
        <v>2959291</v>
      </c>
    </row>
    <row r="139" spans="1:1" x14ac:dyDescent="0.2">
      <c r="A139">
        <v>2077138</v>
      </c>
    </row>
    <row r="140" spans="1:1" x14ac:dyDescent="0.2">
      <c r="A140">
        <v>817935</v>
      </c>
    </row>
    <row r="141" spans="1:1" x14ac:dyDescent="0.2">
      <c r="A141">
        <v>1748043</v>
      </c>
    </row>
    <row r="142" spans="1:1" x14ac:dyDescent="0.2">
      <c r="A142">
        <v>2371277</v>
      </c>
    </row>
    <row r="143" spans="1:1" x14ac:dyDescent="0.2">
      <c r="A143">
        <v>2861761</v>
      </c>
    </row>
    <row r="144" spans="1:1" x14ac:dyDescent="0.2">
      <c r="A144">
        <v>1473454</v>
      </c>
    </row>
    <row r="145" spans="1:1" x14ac:dyDescent="0.2">
      <c r="A145">
        <v>2260335</v>
      </c>
    </row>
    <row r="146" spans="1:1" x14ac:dyDescent="0.2">
      <c r="A146">
        <v>1369360</v>
      </c>
    </row>
    <row r="147" spans="1:1" x14ac:dyDescent="0.2">
      <c r="A147">
        <v>738346</v>
      </c>
    </row>
    <row r="148" spans="1:1" x14ac:dyDescent="0.2">
      <c r="A148">
        <v>1158395</v>
      </c>
    </row>
    <row r="149" spans="1:1" x14ac:dyDescent="0.2">
      <c r="A149">
        <v>413596</v>
      </c>
    </row>
    <row r="150" spans="1:1" x14ac:dyDescent="0.2">
      <c r="A150">
        <v>1477525</v>
      </c>
    </row>
    <row r="151" spans="1:1" x14ac:dyDescent="0.2">
      <c r="A151">
        <v>2187034</v>
      </c>
    </row>
    <row r="152" spans="1:1" x14ac:dyDescent="0.2">
      <c r="A152">
        <v>2432390</v>
      </c>
    </row>
    <row r="153" spans="1:1" x14ac:dyDescent="0.2">
      <c r="A153">
        <v>1041941</v>
      </c>
    </row>
    <row r="154" spans="1:1" x14ac:dyDescent="0.2">
      <c r="A154">
        <v>2121859</v>
      </c>
    </row>
    <row r="155" spans="1:1" x14ac:dyDescent="0.2">
      <c r="A155">
        <v>1777008</v>
      </c>
    </row>
    <row r="156" spans="1:1" x14ac:dyDescent="0.2">
      <c r="A156">
        <v>1682397</v>
      </c>
    </row>
    <row r="157" spans="1:1" x14ac:dyDescent="0.2">
      <c r="A157">
        <v>1466220</v>
      </c>
    </row>
    <row r="158" spans="1:1" x14ac:dyDescent="0.2">
      <c r="A158">
        <v>1606604</v>
      </c>
    </row>
    <row r="159" spans="1:1" x14ac:dyDescent="0.2">
      <c r="A159">
        <v>1697146</v>
      </c>
    </row>
    <row r="160" spans="1:1" x14ac:dyDescent="0.2">
      <c r="A160">
        <v>2762094</v>
      </c>
    </row>
    <row r="161" spans="1:1" x14ac:dyDescent="0.2">
      <c r="A161">
        <v>1126904</v>
      </c>
    </row>
    <row r="162" spans="1:1" x14ac:dyDescent="0.2">
      <c r="A162">
        <v>766730</v>
      </c>
    </row>
    <row r="163" spans="1:1" x14ac:dyDescent="0.2">
      <c r="A163">
        <v>2812581</v>
      </c>
    </row>
    <row r="164" spans="1:1" x14ac:dyDescent="0.2">
      <c r="A164">
        <v>1968020</v>
      </c>
    </row>
    <row r="165" spans="1:1" x14ac:dyDescent="0.2">
      <c r="A165">
        <v>2978886</v>
      </c>
    </row>
    <row r="166" spans="1:1" x14ac:dyDescent="0.2">
      <c r="A166">
        <v>462412</v>
      </c>
    </row>
    <row r="167" spans="1:1" x14ac:dyDescent="0.2">
      <c r="A167">
        <v>2676755</v>
      </c>
    </row>
    <row r="168" spans="1:1" x14ac:dyDescent="0.2">
      <c r="A168">
        <v>1499966</v>
      </c>
    </row>
    <row r="169" spans="1:1" x14ac:dyDescent="0.2">
      <c r="A169">
        <v>1526099</v>
      </c>
    </row>
    <row r="170" spans="1:1" x14ac:dyDescent="0.2">
      <c r="A170">
        <v>1982374</v>
      </c>
    </row>
    <row r="171" spans="1:1" x14ac:dyDescent="0.2">
      <c r="A171">
        <v>838292</v>
      </c>
    </row>
    <row r="172" spans="1:1" x14ac:dyDescent="0.2">
      <c r="A172">
        <v>827508</v>
      </c>
    </row>
    <row r="173" spans="1:1" x14ac:dyDescent="0.2">
      <c r="A173">
        <v>686700</v>
      </c>
    </row>
    <row r="174" spans="1:1" x14ac:dyDescent="0.2">
      <c r="A174">
        <v>1513624</v>
      </c>
    </row>
    <row r="175" spans="1:1" x14ac:dyDescent="0.2">
      <c r="A175">
        <v>2504956</v>
      </c>
    </row>
    <row r="176" spans="1:1" x14ac:dyDescent="0.2">
      <c r="A176">
        <v>944979</v>
      </c>
    </row>
    <row r="177" spans="1:1" x14ac:dyDescent="0.2">
      <c r="A177">
        <v>1394949</v>
      </c>
    </row>
    <row r="178" spans="1:1" x14ac:dyDescent="0.2">
      <c r="A178">
        <v>2569606</v>
      </c>
    </row>
    <row r="179" spans="1:1" x14ac:dyDescent="0.2">
      <c r="A179">
        <v>2573825</v>
      </c>
    </row>
    <row r="180" spans="1:1" x14ac:dyDescent="0.2">
      <c r="A180">
        <v>457197</v>
      </c>
    </row>
    <row r="181" spans="1:1" x14ac:dyDescent="0.2">
      <c r="A181">
        <v>869046</v>
      </c>
    </row>
    <row r="182" spans="1:1" x14ac:dyDescent="0.2">
      <c r="A182">
        <v>1368586</v>
      </c>
    </row>
    <row r="183" spans="1:1" x14ac:dyDescent="0.2">
      <c r="A183">
        <v>2204819</v>
      </c>
    </row>
    <row r="184" spans="1:1" x14ac:dyDescent="0.2">
      <c r="A184">
        <v>1006014</v>
      </c>
    </row>
    <row r="185" spans="1:1" x14ac:dyDescent="0.2">
      <c r="A185">
        <v>1871325</v>
      </c>
    </row>
    <row r="186" spans="1:1" x14ac:dyDescent="0.2">
      <c r="A186">
        <v>1790483</v>
      </c>
    </row>
    <row r="187" spans="1:1" x14ac:dyDescent="0.2">
      <c r="A187">
        <v>2036735</v>
      </c>
    </row>
    <row r="188" spans="1:1" x14ac:dyDescent="0.2">
      <c r="A188">
        <v>676095</v>
      </c>
    </row>
    <row r="189" spans="1:1" x14ac:dyDescent="0.2">
      <c r="A189">
        <v>2067542</v>
      </c>
    </row>
    <row r="190" spans="1:1" x14ac:dyDescent="0.2">
      <c r="A190">
        <v>1077045</v>
      </c>
    </row>
    <row r="191" spans="1:1" x14ac:dyDescent="0.2">
      <c r="A191">
        <v>1939693</v>
      </c>
    </row>
    <row r="192" spans="1:1" x14ac:dyDescent="0.2">
      <c r="A192">
        <v>1485470</v>
      </c>
    </row>
    <row r="193" spans="1:1" x14ac:dyDescent="0.2">
      <c r="A193">
        <v>1776235</v>
      </c>
    </row>
    <row r="194" spans="1:1" x14ac:dyDescent="0.2">
      <c r="A194">
        <v>825605</v>
      </c>
    </row>
    <row r="195" spans="1:1" x14ac:dyDescent="0.2">
      <c r="A195">
        <v>1404350</v>
      </c>
    </row>
    <row r="196" spans="1:1" x14ac:dyDescent="0.2">
      <c r="A196">
        <v>1819559</v>
      </c>
    </row>
    <row r="197" spans="1:1" x14ac:dyDescent="0.2">
      <c r="A197">
        <v>848715</v>
      </c>
    </row>
    <row r="198" spans="1:1" x14ac:dyDescent="0.2">
      <c r="A198">
        <v>2099007</v>
      </c>
    </row>
    <row r="199" spans="1:1" x14ac:dyDescent="0.2">
      <c r="A199">
        <v>2749464</v>
      </c>
    </row>
    <row r="200" spans="1:1" x14ac:dyDescent="0.2">
      <c r="A200">
        <v>1974320</v>
      </c>
    </row>
    <row r="201" spans="1:1" x14ac:dyDescent="0.2">
      <c r="A201">
        <v>857448</v>
      </c>
    </row>
    <row r="202" spans="1:1" x14ac:dyDescent="0.2">
      <c r="A202">
        <v>983398</v>
      </c>
    </row>
    <row r="203" spans="1:1" x14ac:dyDescent="0.2">
      <c r="A203">
        <v>2145433</v>
      </c>
    </row>
    <row r="204" spans="1:1" x14ac:dyDescent="0.2">
      <c r="A204">
        <v>1541902</v>
      </c>
    </row>
    <row r="205" spans="1:1" x14ac:dyDescent="0.2">
      <c r="A205">
        <v>1751035</v>
      </c>
    </row>
    <row r="206" spans="1:1" x14ac:dyDescent="0.2">
      <c r="A206">
        <v>882400</v>
      </c>
    </row>
    <row r="207" spans="1:1" x14ac:dyDescent="0.2">
      <c r="A207">
        <v>855772</v>
      </c>
    </row>
    <row r="208" spans="1:1" x14ac:dyDescent="0.2">
      <c r="A208">
        <v>1639685</v>
      </c>
    </row>
    <row r="209" spans="1:1" x14ac:dyDescent="0.2">
      <c r="A209">
        <v>1278005</v>
      </c>
    </row>
    <row r="210" spans="1:1" x14ac:dyDescent="0.2">
      <c r="A210">
        <v>2006391</v>
      </c>
    </row>
    <row r="211" spans="1:1" x14ac:dyDescent="0.2">
      <c r="A211">
        <v>1060185</v>
      </c>
    </row>
    <row r="212" spans="1:1" x14ac:dyDescent="0.2">
      <c r="A212">
        <v>2930608</v>
      </c>
    </row>
    <row r="213" spans="1:1" x14ac:dyDescent="0.2">
      <c r="A213">
        <v>1468091</v>
      </c>
    </row>
    <row r="214" spans="1:1" x14ac:dyDescent="0.2">
      <c r="A214">
        <v>2406211</v>
      </c>
    </row>
    <row r="215" spans="1:1" x14ac:dyDescent="0.2">
      <c r="A215">
        <v>908420</v>
      </c>
    </row>
    <row r="216" spans="1:1" x14ac:dyDescent="0.2">
      <c r="A216">
        <v>1735513</v>
      </c>
    </row>
    <row r="217" spans="1:1" x14ac:dyDescent="0.2">
      <c r="A217">
        <v>1178340</v>
      </c>
    </row>
    <row r="218" spans="1:1" x14ac:dyDescent="0.2">
      <c r="A218">
        <v>890418</v>
      </c>
    </row>
    <row r="219" spans="1:1" x14ac:dyDescent="0.2">
      <c r="A219">
        <v>577622</v>
      </c>
    </row>
    <row r="220" spans="1:1" x14ac:dyDescent="0.2">
      <c r="A220">
        <v>1839764</v>
      </c>
    </row>
    <row r="221" spans="1:1" x14ac:dyDescent="0.2">
      <c r="A221">
        <v>1779935</v>
      </c>
    </row>
    <row r="222" spans="1:1" x14ac:dyDescent="0.2">
      <c r="A222">
        <v>1569949</v>
      </c>
    </row>
    <row r="223" spans="1:1" x14ac:dyDescent="0.2">
      <c r="A223">
        <v>1833772</v>
      </c>
    </row>
    <row r="224" spans="1:1" x14ac:dyDescent="0.2">
      <c r="A224">
        <v>1514593</v>
      </c>
    </row>
    <row r="225" spans="1:1" x14ac:dyDescent="0.2">
      <c r="A225">
        <v>1514992</v>
      </c>
    </row>
    <row r="226" spans="1:1" x14ac:dyDescent="0.2">
      <c r="A226">
        <v>1382296</v>
      </c>
    </row>
    <row r="227" spans="1:1" x14ac:dyDescent="0.2">
      <c r="A227">
        <v>712589</v>
      </c>
    </row>
    <row r="228" spans="1:1" x14ac:dyDescent="0.2">
      <c r="A228">
        <v>2473004</v>
      </c>
    </row>
    <row r="229" spans="1:1" x14ac:dyDescent="0.2">
      <c r="A229">
        <v>436359</v>
      </c>
    </row>
    <row r="230" spans="1:1" x14ac:dyDescent="0.2">
      <c r="A230">
        <v>2939794</v>
      </c>
    </row>
    <row r="231" spans="1:1" x14ac:dyDescent="0.2">
      <c r="A231">
        <v>2873122</v>
      </c>
    </row>
    <row r="232" spans="1:1" x14ac:dyDescent="0.2">
      <c r="A232">
        <v>1195927</v>
      </c>
    </row>
    <row r="233" spans="1:1" x14ac:dyDescent="0.2">
      <c r="A233">
        <v>2789766</v>
      </c>
    </row>
    <row r="234" spans="1:1" x14ac:dyDescent="0.2">
      <c r="A234">
        <v>2928592</v>
      </c>
    </row>
    <row r="235" spans="1:1" x14ac:dyDescent="0.2">
      <c r="A235">
        <v>2941339</v>
      </c>
    </row>
    <row r="236" spans="1:1" x14ac:dyDescent="0.2">
      <c r="A236">
        <v>1502429</v>
      </c>
    </row>
    <row r="237" spans="1:1" x14ac:dyDescent="0.2">
      <c r="A237">
        <v>1000995</v>
      </c>
    </row>
    <row r="238" spans="1:1" x14ac:dyDescent="0.2">
      <c r="A238">
        <v>2762218</v>
      </c>
    </row>
    <row r="239" spans="1:1" x14ac:dyDescent="0.2">
      <c r="A239">
        <v>1737745</v>
      </c>
    </row>
    <row r="240" spans="1:1" x14ac:dyDescent="0.2">
      <c r="A240">
        <v>2958640</v>
      </c>
    </row>
    <row r="241" spans="1:1" x14ac:dyDescent="0.2">
      <c r="A241">
        <v>2103217</v>
      </c>
    </row>
    <row r="242" spans="1:1" x14ac:dyDescent="0.2">
      <c r="A242">
        <v>1024036</v>
      </c>
    </row>
    <row r="243" spans="1:1" x14ac:dyDescent="0.2">
      <c r="A243">
        <v>1186652</v>
      </c>
    </row>
    <row r="244" spans="1:1" x14ac:dyDescent="0.2">
      <c r="A244">
        <v>2141381</v>
      </c>
    </row>
    <row r="245" spans="1:1" x14ac:dyDescent="0.2">
      <c r="A245">
        <v>2360731</v>
      </c>
    </row>
    <row r="246" spans="1:1" x14ac:dyDescent="0.2">
      <c r="A246">
        <v>1067485</v>
      </c>
    </row>
    <row r="247" spans="1:1" x14ac:dyDescent="0.2">
      <c r="A247">
        <v>969289</v>
      </c>
    </row>
    <row r="248" spans="1:1" x14ac:dyDescent="0.2">
      <c r="A248">
        <v>900847</v>
      </c>
    </row>
    <row r="249" spans="1:1" x14ac:dyDescent="0.2">
      <c r="A249">
        <v>1423367</v>
      </c>
    </row>
    <row r="250" spans="1:1" x14ac:dyDescent="0.2">
      <c r="A250">
        <v>1291854</v>
      </c>
    </row>
    <row r="251" spans="1:1" x14ac:dyDescent="0.2">
      <c r="A251">
        <v>2695910</v>
      </c>
    </row>
    <row r="252" spans="1:1" x14ac:dyDescent="0.2">
      <c r="A252">
        <v>738005</v>
      </c>
    </row>
    <row r="253" spans="1:1" x14ac:dyDescent="0.2">
      <c r="A253">
        <v>2740393</v>
      </c>
    </row>
    <row r="254" spans="1:1" x14ac:dyDescent="0.2">
      <c r="A254">
        <v>1196532</v>
      </c>
    </row>
    <row r="255" spans="1:1" x14ac:dyDescent="0.2">
      <c r="A255">
        <v>1293665</v>
      </c>
    </row>
    <row r="256" spans="1:1" x14ac:dyDescent="0.2">
      <c r="A256">
        <v>2992802</v>
      </c>
    </row>
    <row r="257" spans="1:1" x14ac:dyDescent="0.2">
      <c r="A257">
        <v>1218717</v>
      </c>
    </row>
    <row r="258" spans="1:1" x14ac:dyDescent="0.2">
      <c r="A258">
        <v>964196</v>
      </c>
    </row>
    <row r="259" spans="1:1" x14ac:dyDescent="0.2">
      <c r="A259">
        <v>753320</v>
      </c>
    </row>
    <row r="260" spans="1:1" x14ac:dyDescent="0.2">
      <c r="A260">
        <v>1457235</v>
      </c>
    </row>
    <row r="261" spans="1:1" x14ac:dyDescent="0.2">
      <c r="A261">
        <v>406534</v>
      </c>
    </row>
    <row r="262" spans="1:1" x14ac:dyDescent="0.2">
      <c r="A262">
        <v>1810657</v>
      </c>
    </row>
    <row r="263" spans="1:1" x14ac:dyDescent="0.2">
      <c r="A263">
        <v>1625109</v>
      </c>
    </row>
    <row r="264" spans="1:1" x14ac:dyDescent="0.2">
      <c r="A264">
        <v>1153631</v>
      </c>
    </row>
    <row r="265" spans="1:1" x14ac:dyDescent="0.2">
      <c r="A265">
        <v>2542351</v>
      </c>
    </row>
    <row r="266" spans="1:1" x14ac:dyDescent="0.2">
      <c r="A266">
        <v>419669</v>
      </c>
    </row>
    <row r="267" spans="1:1" x14ac:dyDescent="0.2">
      <c r="A267">
        <v>1112507</v>
      </c>
    </row>
    <row r="268" spans="1:1" x14ac:dyDescent="0.2">
      <c r="A268">
        <v>2068093</v>
      </c>
    </row>
    <row r="269" spans="1:1" x14ac:dyDescent="0.2">
      <c r="A269">
        <v>1924012</v>
      </c>
    </row>
    <row r="270" spans="1:1" x14ac:dyDescent="0.2">
      <c r="A270">
        <v>1652030</v>
      </c>
    </row>
    <row r="271" spans="1:1" x14ac:dyDescent="0.2">
      <c r="A271">
        <v>2142229</v>
      </c>
    </row>
    <row r="272" spans="1:1" x14ac:dyDescent="0.2">
      <c r="A272">
        <v>1674285</v>
      </c>
    </row>
    <row r="273" spans="1:1" x14ac:dyDescent="0.2">
      <c r="A273">
        <v>2055041</v>
      </c>
    </row>
    <row r="274" spans="1:1" x14ac:dyDescent="0.2">
      <c r="A274">
        <v>2282680</v>
      </c>
    </row>
    <row r="275" spans="1:1" x14ac:dyDescent="0.2">
      <c r="A275">
        <v>1681441</v>
      </c>
    </row>
    <row r="276" spans="1:1" x14ac:dyDescent="0.2">
      <c r="A276">
        <v>2967698</v>
      </c>
    </row>
    <row r="277" spans="1:1" x14ac:dyDescent="0.2">
      <c r="A277">
        <v>2239962</v>
      </c>
    </row>
    <row r="278" spans="1:1" x14ac:dyDescent="0.2">
      <c r="A278">
        <v>1326513</v>
      </c>
    </row>
    <row r="279" spans="1:1" x14ac:dyDescent="0.2">
      <c r="A279">
        <v>1727663</v>
      </c>
    </row>
    <row r="280" spans="1:1" x14ac:dyDescent="0.2">
      <c r="A280">
        <v>954316</v>
      </c>
    </row>
    <row r="281" spans="1:1" x14ac:dyDescent="0.2">
      <c r="A281">
        <v>837794</v>
      </c>
    </row>
    <row r="282" spans="1:1" x14ac:dyDescent="0.2">
      <c r="A282">
        <v>2477857</v>
      </c>
    </row>
    <row r="283" spans="1:1" x14ac:dyDescent="0.2">
      <c r="A283">
        <v>1776972</v>
      </c>
    </row>
    <row r="284" spans="1:1" x14ac:dyDescent="0.2">
      <c r="A284">
        <v>2179934</v>
      </c>
    </row>
    <row r="285" spans="1:1" x14ac:dyDescent="0.2">
      <c r="A285">
        <v>2442992</v>
      </c>
    </row>
    <row r="286" spans="1:1" x14ac:dyDescent="0.2">
      <c r="A286">
        <v>436659</v>
      </c>
    </row>
    <row r="287" spans="1:1" x14ac:dyDescent="0.2">
      <c r="A287">
        <v>2578474</v>
      </c>
    </row>
    <row r="288" spans="1:1" x14ac:dyDescent="0.2">
      <c r="A288">
        <v>751690</v>
      </c>
    </row>
    <row r="289" spans="1:1" x14ac:dyDescent="0.2">
      <c r="A289">
        <v>1415642</v>
      </c>
    </row>
    <row r="290" spans="1:1" x14ac:dyDescent="0.2">
      <c r="A290">
        <v>1079105</v>
      </c>
    </row>
    <row r="291" spans="1:1" x14ac:dyDescent="0.2">
      <c r="A291">
        <v>1793484</v>
      </c>
    </row>
    <row r="292" spans="1:1" x14ac:dyDescent="0.2">
      <c r="A292">
        <v>553402</v>
      </c>
    </row>
    <row r="293" spans="1:1" x14ac:dyDescent="0.2">
      <c r="A293">
        <v>1753720</v>
      </c>
    </row>
    <row r="294" spans="1:1" x14ac:dyDescent="0.2">
      <c r="A294">
        <v>902610</v>
      </c>
    </row>
    <row r="295" spans="1:1" x14ac:dyDescent="0.2">
      <c r="A295">
        <v>1211415</v>
      </c>
    </row>
    <row r="296" spans="1:1" x14ac:dyDescent="0.2">
      <c r="A296">
        <v>666648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09BB1-C33F-4CD4-8E1A-1464F3798590}">
  <sheetPr>
    <tabColor theme="6" tint="0.39997558519241921"/>
  </sheetPr>
  <dimension ref="A1:J296"/>
  <sheetViews>
    <sheetView zoomScale="70" workbookViewId="0">
      <selection activeCell="S61" sqref="S61"/>
    </sheetView>
  </sheetViews>
  <sheetFormatPr baseColWidth="10" defaultColWidth="8.83203125" defaultRowHeight="15" x14ac:dyDescent="0.2"/>
  <cols>
    <col min="1" max="1" width="12.83203125" bestFit="1" customWidth="1"/>
    <col min="4" max="4" width="14" bestFit="1" customWidth="1"/>
  </cols>
  <sheetData>
    <row r="1" spans="1:5" ht="16" x14ac:dyDescent="0.2">
      <c r="A1" t="s">
        <v>5</v>
      </c>
      <c r="B1" s="3" t="s">
        <v>125</v>
      </c>
    </row>
    <row r="2" spans="1:5" x14ac:dyDescent="0.2">
      <c r="A2" s="9">
        <v>538096</v>
      </c>
      <c r="B2">
        <v>600000</v>
      </c>
    </row>
    <row r="3" spans="1:5" x14ac:dyDescent="0.2">
      <c r="A3" s="9">
        <v>2488052</v>
      </c>
      <c r="B3">
        <v>800000</v>
      </c>
    </row>
    <row r="4" spans="1:5" x14ac:dyDescent="0.2">
      <c r="A4" s="9">
        <v>1256488</v>
      </c>
      <c r="B4">
        <v>1000000</v>
      </c>
    </row>
    <row r="5" spans="1:5" x14ac:dyDescent="0.2">
      <c r="A5" s="9">
        <v>1778980</v>
      </c>
      <c r="B5">
        <v>1200000</v>
      </c>
    </row>
    <row r="6" spans="1:5" ht="16" thickBot="1" x14ac:dyDescent="0.25">
      <c r="A6" s="9">
        <v>2085921</v>
      </c>
      <c r="B6">
        <v>1400000</v>
      </c>
    </row>
    <row r="7" spans="1:5" x14ac:dyDescent="0.2">
      <c r="A7" s="9">
        <v>1484200</v>
      </c>
      <c r="B7">
        <v>1600000</v>
      </c>
      <c r="D7" s="8" t="s">
        <v>125</v>
      </c>
      <c r="E7" s="8" t="s">
        <v>127</v>
      </c>
    </row>
    <row r="8" spans="1:5" x14ac:dyDescent="0.2">
      <c r="A8" s="9">
        <v>1226492</v>
      </c>
      <c r="B8">
        <v>1800000</v>
      </c>
      <c r="D8" s="9">
        <v>600000</v>
      </c>
      <c r="E8">
        <v>22</v>
      </c>
    </row>
    <row r="9" spans="1:5" x14ac:dyDescent="0.2">
      <c r="A9" s="9">
        <v>2518595</v>
      </c>
      <c r="B9">
        <v>2000000</v>
      </c>
      <c r="D9" s="9">
        <v>800000</v>
      </c>
      <c r="E9">
        <v>18</v>
      </c>
    </row>
    <row r="10" spans="1:5" x14ac:dyDescent="0.2">
      <c r="A10" s="9">
        <v>2729157</v>
      </c>
      <c r="B10">
        <v>2200000</v>
      </c>
      <c r="D10" s="9">
        <v>1000000</v>
      </c>
      <c r="E10">
        <v>29</v>
      </c>
    </row>
    <row r="11" spans="1:5" x14ac:dyDescent="0.2">
      <c r="A11" s="9">
        <v>2340435</v>
      </c>
      <c r="B11">
        <v>2400000</v>
      </c>
      <c r="D11" s="9">
        <v>1200000</v>
      </c>
      <c r="E11">
        <v>24</v>
      </c>
    </row>
    <row r="12" spans="1:5" x14ac:dyDescent="0.2">
      <c r="A12" s="9">
        <v>2162008</v>
      </c>
      <c r="B12">
        <v>2600000</v>
      </c>
      <c r="D12" s="9">
        <v>1400000</v>
      </c>
      <c r="E12">
        <v>29</v>
      </c>
    </row>
    <row r="13" spans="1:5" x14ac:dyDescent="0.2">
      <c r="A13" s="9">
        <v>517794</v>
      </c>
      <c r="B13">
        <v>2800000</v>
      </c>
      <c r="D13" s="9">
        <v>1600000</v>
      </c>
      <c r="E13">
        <v>24</v>
      </c>
    </row>
    <row r="14" spans="1:5" x14ac:dyDescent="0.2">
      <c r="A14" s="9">
        <v>551879</v>
      </c>
      <c r="B14">
        <v>3000000</v>
      </c>
      <c r="D14" s="9">
        <v>1800000</v>
      </c>
      <c r="E14">
        <v>34</v>
      </c>
    </row>
    <row r="15" spans="1:5" x14ac:dyDescent="0.2">
      <c r="A15" s="9">
        <v>2630926</v>
      </c>
      <c r="D15" s="9">
        <v>2000000</v>
      </c>
      <c r="E15">
        <v>18</v>
      </c>
    </row>
    <row r="16" spans="1:5" x14ac:dyDescent="0.2">
      <c r="A16" s="9">
        <v>530849</v>
      </c>
      <c r="D16" s="9">
        <v>2200000</v>
      </c>
      <c r="E16">
        <v>21</v>
      </c>
    </row>
    <row r="17" spans="1:10" x14ac:dyDescent="0.2">
      <c r="A17" s="9">
        <v>912151</v>
      </c>
      <c r="D17" s="9">
        <v>2400000</v>
      </c>
      <c r="E17">
        <v>15</v>
      </c>
    </row>
    <row r="18" spans="1:10" x14ac:dyDescent="0.2">
      <c r="A18" s="9">
        <v>2358256</v>
      </c>
      <c r="D18" s="9">
        <v>2600000</v>
      </c>
      <c r="E18">
        <v>23</v>
      </c>
    </row>
    <row r="19" spans="1:10" x14ac:dyDescent="0.2">
      <c r="A19" s="9">
        <v>1715874</v>
      </c>
      <c r="D19" s="9">
        <v>2800000</v>
      </c>
      <c r="E19">
        <v>21</v>
      </c>
    </row>
    <row r="20" spans="1:10" x14ac:dyDescent="0.2">
      <c r="A20" s="9">
        <v>2391665</v>
      </c>
      <c r="D20" s="9">
        <v>3000000</v>
      </c>
      <c r="E20">
        <v>17</v>
      </c>
    </row>
    <row r="21" spans="1:10" ht="16" thickBot="1" x14ac:dyDescent="0.25">
      <c r="A21" s="9">
        <v>1752561</v>
      </c>
      <c r="D21" s="7" t="s">
        <v>126</v>
      </c>
      <c r="E21" s="7">
        <v>0</v>
      </c>
    </row>
    <row r="22" spans="1:10" x14ac:dyDescent="0.2">
      <c r="A22" s="9">
        <v>1185465</v>
      </c>
    </row>
    <row r="23" spans="1:10" x14ac:dyDescent="0.2">
      <c r="A23" s="9">
        <v>567597</v>
      </c>
    </row>
    <row r="24" spans="1:10" x14ac:dyDescent="0.2">
      <c r="A24" s="9">
        <v>679961</v>
      </c>
    </row>
    <row r="25" spans="1:10" x14ac:dyDescent="0.2">
      <c r="A25" s="9">
        <v>556626</v>
      </c>
    </row>
    <row r="26" spans="1:10" x14ac:dyDescent="0.2">
      <c r="A26" s="9">
        <v>1729801</v>
      </c>
    </row>
    <row r="27" spans="1:10" x14ac:dyDescent="0.2">
      <c r="A27" s="9">
        <v>2966416</v>
      </c>
      <c r="J27" s="10"/>
    </row>
    <row r="28" spans="1:10" x14ac:dyDescent="0.2">
      <c r="A28" s="9">
        <v>1308029</v>
      </c>
    </row>
    <row r="29" spans="1:10" x14ac:dyDescent="0.2">
      <c r="A29" s="9">
        <v>2124077</v>
      </c>
    </row>
    <row r="30" spans="1:10" x14ac:dyDescent="0.2">
      <c r="A30" s="9">
        <v>885651</v>
      </c>
    </row>
    <row r="31" spans="1:10" x14ac:dyDescent="0.2">
      <c r="A31" s="9">
        <v>2518011</v>
      </c>
    </row>
    <row r="32" spans="1:10" x14ac:dyDescent="0.2">
      <c r="A32" s="9">
        <v>765646</v>
      </c>
    </row>
    <row r="33" spans="1:1" x14ac:dyDescent="0.2">
      <c r="A33" s="9">
        <v>533729</v>
      </c>
    </row>
    <row r="34" spans="1:1" x14ac:dyDescent="0.2">
      <c r="A34" s="9">
        <v>568454</v>
      </c>
    </row>
    <row r="35" spans="1:1" x14ac:dyDescent="0.2">
      <c r="A35" s="9">
        <v>1562336</v>
      </c>
    </row>
    <row r="36" spans="1:1" x14ac:dyDescent="0.2">
      <c r="A36" s="9">
        <v>2413424</v>
      </c>
    </row>
    <row r="37" spans="1:1" x14ac:dyDescent="0.2">
      <c r="A37" s="9">
        <v>665192</v>
      </c>
    </row>
    <row r="38" spans="1:1" x14ac:dyDescent="0.2">
      <c r="A38" s="9">
        <v>1041720</v>
      </c>
    </row>
    <row r="39" spans="1:1" x14ac:dyDescent="0.2">
      <c r="A39" s="9">
        <v>580179</v>
      </c>
    </row>
    <row r="40" spans="1:1" x14ac:dyDescent="0.2">
      <c r="A40" s="9">
        <v>2170715</v>
      </c>
    </row>
    <row r="41" spans="1:1" x14ac:dyDescent="0.2">
      <c r="A41" s="9">
        <v>987676</v>
      </c>
    </row>
    <row r="42" spans="1:1" x14ac:dyDescent="0.2">
      <c r="A42" s="9">
        <v>2755253</v>
      </c>
    </row>
    <row r="43" spans="1:1" x14ac:dyDescent="0.2">
      <c r="A43" s="9">
        <v>1388611</v>
      </c>
    </row>
    <row r="44" spans="1:1" x14ac:dyDescent="0.2">
      <c r="A44" s="9">
        <v>1573906</v>
      </c>
    </row>
    <row r="45" spans="1:1" x14ac:dyDescent="0.2">
      <c r="A45" s="9">
        <v>1340353</v>
      </c>
    </row>
    <row r="46" spans="1:1" x14ac:dyDescent="0.2">
      <c r="A46" s="9">
        <v>2596099</v>
      </c>
    </row>
    <row r="47" spans="1:1" x14ac:dyDescent="0.2">
      <c r="A47" s="9">
        <v>1272387</v>
      </c>
    </row>
    <row r="48" spans="1:1" x14ac:dyDescent="0.2">
      <c r="A48" s="9">
        <v>1468035</v>
      </c>
    </row>
    <row r="49" spans="1:1" x14ac:dyDescent="0.2">
      <c r="A49" s="9">
        <v>2043730</v>
      </c>
    </row>
    <row r="50" spans="1:1" x14ac:dyDescent="0.2">
      <c r="A50" s="9">
        <v>1528674</v>
      </c>
    </row>
    <row r="51" spans="1:1" x14ac:dyDescent="0.2">
      <c r="A51" s="9">
        <v>2402702</v>
      </c>
    </row>
    <row r="52" spans="1:1" x14ac:dyDescent="0.2">
      <c r="A52" s="9">
        <v>2623285</v>
      </c>
    </row>
    <row r="53" spans="1:1" x14ac:dyDescent="0.2">
      <c r="A53" s="9">
        <v>2746789</v>
      </c>
    </row>
    <row r="54" spans="1:1" x14ac:dyDescent="0.2">
      <c r="A54" s="9">
        <v>1114283</v>
      </c>
    </row>
    <row r="55" spans="1:1" x14ac:dyDescent="0.2">
      <c r="A55" s="9">
        <v>1152022</v>
      </c>
    </row>
    <row r="56" spans="1:1" x14ac:dyDescent="0.2">
      <c r="A56" s="9">
        <v>2596536</v>
      </c>
    </row>
    <row r="57" spans="1:1" x14ac:dyDescent="0.2">
      <c r="A57" s="9">
        <v>1396903</v>
      </c>
    </row>
    <row r="58" spans="1:1" x14ac:dyDescent="0.2">
      <c r="A58" s="9">
        <v>1224555</v>
      </c>
    </row>
    <row r="59" spans="1:1" x14ac:dyDescent="0.2">
      <c r="A59" s="9">
        <v>1722194</v>
      </c>
    </row>
    <row r="60" spans="1:1" x14ac:dyDescent="0.2">
      <c r="A60" s="9">
        <v>2748095</v>
      </c>
    </row>
    <row r="61" spans="1:1" x14ac:dyDescent="0.2">
      <c r="A61" s="9">
        <v>1999873</v>
      </c>
    </row>
    <row r="62" spans="1:1" x14ac:dyDescent="0.2">
      <c r="A62" s="9">
        <v>1829169</v>
      </c>
    </row>
    <row r="63" spans="1:1" x14ac:dyDescent="0.2">
      <c r="A63" s="9">
        <v>1912787</v>
      </c>
    </row>
    <row r="64" spans="1:1" x14ac:dyDescent="0.2">
      <c r="A64" s="9">
        <v>1993191</v>
      </c>
    </row>
    <row r="65" spans="1:1" x14ac:dyDescent="0.2">
      <c r="A65" s="9">
        <v>1609946</v>
      </c>
    </row>
    <row r="66" spans="1:1" x14ac:dyDescent="0.2">
      <c r="A66" s="9">
        <v>2727723</v>
      </c>
    </row>
    <row r="67" spans="1:1" x14ac:dyDescent="0.2">
      <c r="A67" s="9">
        <v>1709116</v>
      </c>
    </row>
    <row r="68" spans="1:1" x14ac:dyDescent="0.2">
      <c r="A68" s="9">
        <v>1543508</v>
      </c>
    </row>
    <row r="69" spans="1:1" x14ac:dyDescent="0.2">
      <c r="A69" s="9">
        <v>1305593</v>
      </c>
    </row>
    <row r="70" spans="1:1" x14ac:dyDescent="0.2">
      <c r="A70" s="9">
        <v>2807269</v>
      </c>
    </row>
    <row r="71" spans="1:1" x14ac:dyDescent="0.2">
      <c r="A71" s="9">
        <v>2368590</v>
      </c>
    </row>
    <row r="72" spans="1:1" x14ac:dyDescent="0.2">
      <c r="A72" s="9">
        <v>2475314</v>
      </c>
    </row>
    <row r="73" spans="1:1" x14ac:dyDescent="0.2">
      <c r="A73" s="9">
        <v>2614176</v>
      </c>
    </row>
    <row r="74" spans="1:1" x14ac:dyDescent="0.2">
      <c r="A74" s="9">
        <v>1746840</v>
      </c>
    </row>
    <row r="75" spans="1:1" x14ac:dyDescent="0.2">
      <c r="A75" s="9">
        <v>626405</v>
      </c>
    </row>
    <row r="76" spans="1:1" x14ac:dyDescent="0.2">
      <c r="A76" s="9">
        <v>1285009</v>
      </c>
    </row>
    <row r="77" spans="1:1" x14ac:dyDescent="0.2">
      <c r="A77" s="9">
        <v>552627</v>
      </c>
    </row>
    <row r="78" spans="1:1" x14ac:dyDescent="0.2">
      <c r="A78" s="9">
        <v>2284048</v>
      </c>
    </row>
    <row r="79" spans="1:1" x14ac:dyDescent="0.2">
      <c r="A79" s="9">
        <v>1315915</v>
      </c>
    </row>
    <row r="80" spans="1:1" x14ac:dyDescent="0.2">
      <c r="A80" s="9">
        <v>1939588</v>
      </c>
    </row>
    <row r="81" spans="1:1" x14ac:dyDescent="0.2">
      <c r="A81" s="9">
        <v>1320577</v>
      </c>
    </row>
    <row r="82" spans="1:1" x14ac:dyDescent="0.2">
      <c r="A82" s="9">
        <v>2626318</v>
      </c>
    </row>
    <row r="83" spans="1:1" x14ac:dyDescent="0.2">
      <c r="A83" s="9">
        <v>889504</v>
      </c>
    </row>
    <row r="84" spans="1:1" x14ac:dyDescent="0.2">
      <c r="A84" s="9">
        <v>2685724</v>
      </c>
    </row>
    <row r="85" spans="1:1" x14ac:dyDescent="0.2">
      <c r="A85" s="9">
        <v>2185537</v>
      </c>
    </row>
    <row r="86" spans="1:1" x14ac:dyDescent="0.2">
      <c r="A86" s="9">
        <v>522380</v>
      </c>
    </row>
    <row r="87" spans="1:1" x14ac:dyDescent="0.2">
      <c r="A87" s="9">
        <v>638495</v>
      </c>
    </row>
    <row r="88" spans="1:1" x14ac:dyDescent="0.2">
      <c r="A88" s="9">
        <v>1671063</v>
      </c>
    </row>
    <row r="89" spans="1:1" x14ac:dyDescent="0.2">
      <c r="A89" s="9">
        <v>452515</v>
      </c>
    </row>
    <row r="90" spans="1:1" x14ac:dyDescent="0.2">
      <c r="A90" s="9">
        <v>2983596</v>
      </c>
    </row>
    <row r="91" spans="1:1" x14ac:dyDescent="0.2">
      <c r="A91" s="9">
        <v>1048416</v>
      </c>
    </row>
    <row r="92" spans="1:1" x14ac:dyDescent="0.2">
      <c r="A92" s="9">
        <v>1150822</v>
      </c>
    </row>
    <row r="93" spans="1:1" x14ac:dyDescent="0.2">
      <c r="A93" s="9">
        <v>1358231</v>
      </c>
    </row>
    <row r="94" spans="1:1" x14ac:dyDescent="0.2">
      <c r="A94" s="9">
        <v>1301498</v>
      </c>
    </row>
    <row r="95" spans="1:1" x14ac:dyDescent="0.2">
      <c r="A95" s="9">
        <v>1755361</v>
      </c>
    </row>
    <row r="96" spans="1:1" x14ac:dyDescent="0.2">
      <c r="A96" s="9">
        <v>2541458</v>
      </c>
    </row>
    <row r="97" spans="1:1" x14ac:dyDescent="0.2">
      <c r="A97" s="9">
        <v>2840451</v>
      </c>
    </row>
    <row r="98" spans="1:1" x14ac:dyDescent="0.2">
      <c r="A98" s="9">
        <v>2117875</v>
      </c>
    </row>
    <row r="99" spans="1:1" x14ac:dyDescent="0.2">
      <c r="A99" s="9">
        <v>2285903</v>
      </c>
    </row>
    <row r="100" spans="1:1" x14ac:dyDescent="0.2">
      <c r="A100" s="9">
        <v>2295373</v>
      </c>
    </row>
    <row r="101" spans="1:1" x14ac:dyDescent="0.2">
      <c r="A101" s="9">
        <v>2219875</v>
      </c>
    </row>
    <row r="102" spans="1:1" x14ac:dyDescent="0.2">
      <c r="A102" s="9">
        <v>2565825</v>
      </c>
    </row>
    <row r="103" spans="1:1" x14ac:dyDescent="0.2">
      <c r="A103" s="9">
        <v>1324794</v>
      </c>
    </row>
    <row r="104" spans="1:1" x14ac:dyDescent="0.2">
      <c r="A104" s="9">
        <v>2749545</v>
      </c>
    </row>
    <row r="105" spans="1:1" x14ac:dyDescent="0.2">
      <c r="A105" s="9">
        <v>713648</v>
      </c>
    </row>
    <row r="106" spans="1:1" x14ac:dyDescent="0.2">
      <c r="A106" s="9">
        <v>890587</v>
      </c>
    </row>
    <row r="107" spans="1:1" x14ac:dyDescent="0.2">
      <c r="A107" s="9">
        <v>834664</v>
      </c>
    </row>
    <row r="108" spans="1:1" x14ac:dyDescent="0.2">
      <c r="A108" s="9">
        <v>1659623</v>
      </c>
    </row>
    <row r="109" spans="1:1" x14ac:dyDescent="0.2">
      <c r="A109" s="9">
        <v>1208118</v>
      </c>
    </row>
    <row r="110" spans="1:1" x14ac:dyDescent="0.2">
      <c r="A110" s="9">
        <v>1840949</v>
      </c>
    </row>
    <row r="111" spans="1:1" x14ac:dyDescent="0.2">
      <c r="A111" s="9">
        <v>879288</v>
      </c>
    </row>
    <row r="112" spans="1:1" x14ac:dyDescent="0.2">
      <c r="A112" s="9">
        <v>1234229</v>
      </c>
    </row>
    <row r="113" spans="1:1" x14ac:dyDescent="0.2">
      <c r="A113" s="9">
        <v>1122563</v>
      </c>
    </row>
    <row r="114" spans="1:1" x14ac:dyDescent="0.2">
      <c r="A114" s="9">
        <v>1879180</v>
      </c>
    </row>
    <row r="115" spans="1:1" x14ac:dyDescent="0.2">
      <c r="A115" s="9">
        <v>455574</v>
      </c>
    </row>
    <row r="116" spans="1:1" x14ac:dyDescent="0.2">
      <c r="A116" s="9">
        <v>1217885</v>
      </c>
    </row>
    <row r="117" spans="1:1" x14ac:dyDescent="0.2">
      <c r="A117" s="9">
        <v>821330</v>
      </c>
    </row>
    <row r="118" spans="1:1" x14ac:dyDescent="0.2">
      <c r="A118" s="9">
        <v>1612427</v>
      </c>
    </row>
    <row r="119" spans="1:1" x14ac:dyDescent="0.2">
      <c r="A119" s="9">
        <v>2459040</v>
      </c>
    </row>
    <row r="120" spans="1:1" x14ac:dyDescent="0.2">
      <c r="A120" s="9">
        <v>927176</v>
      </c>
    </row>
    <row r="121" spans="1:1" x14ac:dyDescent="0.2">
      <c r="A121" s="9">
        <v>2677009</v>
      </c>
    </row>
    <row r="122" spans="1:1" x14ac:dyDescent="0.2">
      <c r="A122" s="9">
        <v>617768</v>
      </c>
    </row>
    <row r="123" spans="1:1" x14ac:dyDescent="0.2">
      <c r="A123" s="9">
        <v>2381021</v>
      </c>
    </row>
    <row r="124" spans="1:1" x14ac:dyDescent="0.2">
      <c r="A124" s="9">
        <v>778488</v>
      </c>
    </row>
    <row r="125" spans="1:1" x14ac:dyDescent="0.2">
      <c r="A125" s="9">
        <v>2783962</v>
      </c>
    </row>
    <row r="126" spans="1:1" x14ac:dyDescent="0.2">
      <c r="A126" s="9">
        <v>2495977</v>
      </c>
    </row>
    <row r="127" spans="1:1" x14ac:dyDescent="0.2">
      <c r="A127" s="9">
        <v>2722791</v>
      </c>
    </row>
    <row r="128" spans="1:1" x14ac:dyDescent="0.2">
      <c r="A128" s="9">
        <v>866777</v>
      </c>
    </row>
    <row r="129" spans="1:1" x14ac:dyDescent="0.2">
      <c r="A129" s="9">
        <v>1397786</v>
      </c>
    </row>
    <row r="130" spans="1:1" x14ac:dyDescent="0.2">
      <c r="A130" s="9">
        <v>2925161</v>
      </c>
    </row>
    <row r="131" spans="1:1" x14ac:dyDescent="0.2">
      <c r="A131" s="9">
        <v>1750291</v>
      </c>
    </row>
    <row r="132" spans="1:1" x14ac:dyDescent="0.2">
      <c r="A132" s="9">
        <v>2504627</v>
      </c>
    </row>
    <row r="133" spans="1:1" x14ac:dyDescent="0.2">
      <c r="A133" s="9">
        <v>1584463</v>
      </c>
    </row>
    <row r="134" spans="1:1" x14ac:dyDescent="0.2">
      <c r="A134" s="9">
        <v>1027607</v>
      </c>
    </row>
    <row r="135" spans="1:1" x14ac:dyDescent="0.2">
      <c r="A135" s="9">
        <v>1928584</v>
      </c>
    </row>
    <row r="136" spans="1:1" x14ac:dyDescent="0.2">
      <c r="A136" s="9">
        <v>1727068</v>
      </c>
    </row>
    <row r="137" spans="1:1" x14ac:dyDescent="0.2">
      <c r="A137" s="9">
        <v>752101</v>
      </c>
    </row>
    <row r="138" spans="1:1" x14ac:dyDescent="0.2">
      <c r="A138" s="9">
        <v>2959291</v>
      </c>
    </row>
    <row r="139" spans="1:1" x14ac:dyDescent="0.2">
      <c r="A139" s="9">
        <v>2077138</v>
      </c>
    </row>
    <row r="140" spans="1:1" x14ac:dyDescent="0.2">
      <c r="A140" s="9">
        <v>817935</v>
      </c>
    </row>
    <row r="141" spans="1:1" x14ac:dyDescent="0.2">
      <c r="A141" s="9">
        <v>1748043</v>
      </c>
    </row>
    <row r="142" spans="1:1" x14ac:dyDescent="0.2">
      <c r="A142" s="9">
        <v>2371277</v>
      </c>
    </row>
    <row r="143" spans="1:1" x14ac:dyDescent="0.2">
      <c r="A143" s="9">
        <v>2861761</v>
      </c>
    </row>
    <row r="144" spans="1:1" x14ac:dyDescent="0.2">
      <c r="A144" s="9">
        <v>1473454</v>
      </c>
    </row>
    <row r="145" spans="1:1" x14ac:dyDescent="0.2">
      <c r="A145" s="9">
        <v>2260335</v>
      </c>
    </row>
    <row r="146" spans="1:1" x14ac:dyDescent="0.2">
      <c r="A146" s="9">
        <v>1369360</v>
      </c>
    </row>
    <row r="147" spans="1:1" x14ac:dyDescent="0.2">
      <c r="A147" s="9">
        <v>738346</v>
      </c>
    </row>
    <row r="148" spans="1:1" x14ac:dyDescent="0.2">
      <c r="A148" s="9">
        <v>1158395</v>
      </c>
    </row>
    <row r="149" spans="1:1" x14ac:dyDescent="0.2">
      <c r="A149" s="9">
        <v>413596</v>
      </c>
    </row>
    <row r="150" spans="1:1" x14ac:dyDescent="0.2">
      <c r="A150" s="9">
        <v>1477525</v>
      </c>
    </row>
    <row r="151" spans="1:1" x14ac:dyDescent="0.2">
      <c r="A151" s="9">
        <v>2187034</v>
      </c>
    </row>
    <row r="152" spans="1:1" x14ac:dyDescent="0.2">
      <c r="A152" s="9">
        <v>2432390</v>
      </c>
    </row>
    <row r="153" spans="1:1" x14ac:dyDescent="0.2">
      <c r="A153" s="9">
        <v>1041941</v>
      </c>
    </row>
    <row r="154" spans="1:1" x14ac:dyDescent="0.2">
      <c r="A154" s="9">
        <v>2121859</v>
      </c>
    </row>
    <row r="155" spans="1:1" x14ac:dyDescent="0.2">
      <c r="A155" s="9">
        <v>1777008</v>
      </c>
    </row>
    <row r="156" spans="1:1" x14ac:dyDescent="0.2">
      <c r="A156" s="9">
        <v>1682397</v>
      </c>
    </row>
    <row r="157" spans="1:1" x14ac:dyDescent="0.2">
      <c r="A157" s="9">
        <v>1466220</v>
      </c>
    </row>
    <row r="158" spans="1:1" x14ac:dyDescent="0.2">
      <c r="A158" s="9">
        <v>1606604</v>
      </c>
    </row>
    <row r="159" spans="1:1" x14ac:dyDescent="0.2">
      <c r="A159" s="9">
        <v>1697146</v>
      </c>
    </row>
    <row r="160" spans="1:1" x14ac:dyDescent="0.2">
      <c r="A160" s="9">
        <v>2762094</v>
      </c>
    </row>
    <row r="161" spans="1:1" x14ac:dyDescent="0.2">
      <c r="A161" s="9">
        <v>1126904</v>
      </c>
    </row>
    <row r="162" spans="1:1" x14ac:dyDescent="0.2">
      <c r="A162" s="9">
        <v>766730</v>
      </c>
    </row>
    <row r="163" spans="1:1" x14ac:dyDescent="0.2">
      <c r="A163" s="9">
        <v>2812581</v>
      </c>
    </row>
    <row r="164" spans="1:1" x14ac:dyDescent="0.2">
      <c r="A164" s="9">
        <v>1968020</v>
      </c>
    </row>
    <row r="165" spans="1:1" x14ac:dyDescent="0.2">
      <c r="A165" s="9">
        <v>2978886</v>
      </c>
    </row>
    <row r="166" spans="1:1" x14ac:dyDescent="0.2">
      <c r="A166" s="9">
        <v>462412</v>
      </c>
    </row>
    <row r="167" spans="1:1" x14ac:dyDescent="0.2">
      <c r="A167" s="9">
        <v>2676755</v>
      </c>
    </row>
    <row r="168" spans="1:1" x14ac:dyDescent="0.2">
      <c r="A168" s="9">
        <v>1499966</v>
      </c>
    </row>
    <row r="169" spans="1:1" x14ac:dyDescent="0.2">
      <c r="A169" s="9">
        <v>1526099</v>
      </c>
    </row>
    <row r="170" spans="1:1" x14ac:dyDescent="0.2">
      <c r="A170" s="9">
        <v>1982374</v>
      </c>
    </row>
    <row r="171" spans="1:1" x14ac:dyDescent="0.2">
      <c r="A171" s="9">
        <v>838292</v>
      </c>
    </row>
    <row r="172" spans="1:1" x14ac:dyDescent="0.2">
      <c r="A172" s="9">
        <v>827508</v>
      </c>
    </row>
    <row r="173" spans="1:1" x14ac:dyDescent="0.2">
      <c r="A173" s="9">
        <v>686700</v>
      </c>
    </row>
    <row r="174" spans="1:1" x14ac:dyDescent="0.2">
      <c r="A174" s="9">
        <v>1513624</v>
      </c>
    </row>
    <row r="175" spans="1:1" x14ac:dyDescent="0.2">
      <c r="A175" s="9">
        <v>2504956</v>
      </c>
    </row>
    <row r="176" spans="1:1" x14ac:dyDescent="0.2">
      <c r="A176" s="9">
        <v>944979</v>
      </c>
    </row>
    <row r="177" spans="1:1" x14ac:dyDescent="0.2">
      <c r="A177" s="9">
        <v>1394949</v>
      </c>
    </row>
    <row r="178" spans="1:1" x14ac:dyDescent="0.2">
      <c r="A178" s="9">
        <v>2569606</v>
      </c>
    </row>
    <row r="179" spans="1:1" x14ac:dyDescent="0.2">
      <c r="A179" s="9">
        <v>2573825</v>
      </c>
    </row>
    <row r="180" spans="1:1" x14ac:dyDescent="0.2">
      <c r="A180" s="9">
        <v>457197</v>
      </c>
    </row>
    <row r="181" spans="1:1" x14ac:dyDescent="0.2">
      <c r="A181" s="9">
        <v>869046</v>
      </c>
    </row>
    <row r="182" spans="1:1" x14ac:dyDescent="0.2">
      <c r="A182" s="9">
        <v>1368586</v>
      </c>
    </row>
    <row r="183" spans="1:1" x14ac:dyDescent="0.2">
      <c r="A183" s="9">
        <v>2204819</v>
      </c>
    </row>
    <row r="184" spans="1:1" x14ac:dyDescent="0.2">
      <c r="A184" s="9">
        <v>1006014</v>
      </c>
    </row>
    <row r="185" spans="1:1" x14ac:dyDescent="0.2">
      <c r="A185" s="9">
        <v>1871325</v>
      </c>
    </row>
    <row r="186" spans="1:1" x14ac:dyDescent="0.2">
      <c r="A186" s="9">
        <v>1790483</v>
      </c>
    </row>
    <row r="187" spans="1:1" x14ac:dyDescent="0.2">
      <c r="A187" s="9">
        <v>2036735</v>
      </c>
    </row>
    <row r="188" spans="1:1" x14ac:dyDescent="0.2">
      <c r="A188" s="9">
        <v>676095</v>
      </c>
    </row>
    <row r="189" spans="1:1" x14ac:dyDescent="0.2">
      <c r="A189" s="9">
        <v>2067542</v>
      </c>
    </row>
    <row r="190" spans="1:1" x14ac:dyDescent="0.2">
      <c r="A190" s="9">
        <v>1077045</v>
      </c>
    </row>
    <row r="191" spans="1:1" x14ac:dyDescent="0.2">
      <c r="A191" s="9">
        <v>1939693</v>
      </c>
    </row>
    <row r="192" spans="1:1" x14ac:dyDescent="0.2">
      <c r="A192" s="9">
        <v>1485470</v>
      </c>
    </row>
    <row r="193" spans="1:1" x14ac:dyDescent="0.2">
      <c r="A193" s="9">
        <v>1776235</v>
      </c>
    </row>
    <row r="194" spans="1:1" x14ac:dyDescent="0.2">
      <c r="A194" s="9">
        <v>825605</v>
      </c>
    </row>
    <row r="195" spans="1:1" x14ac:dyDescent="0.2">
      <c r="A195" s="9">
        <v>1404350</v>
      </c>
    </row>
    <row r="196" spans="1:1" x14ac:dyDescent="0.2">
      <c r="A196" s="9">
        <v>1819559</v>
      </c>
    </row>
    <row r="197" spans="1:1" x14ac:dyDescent="0.2">
      <c r="A197" s="9">
        <v>848715</v>
      </c>
    </row>
    <row r="198" spans="1:1" x14ac:dyDescent="0.2">
      <c r="A198" s="9">
        <v>2099007</v>
      </c>
    </row>
    <row r="199" spans="1:1" x14ac:dyDescent="0.2">
      <c r="A199" s="9">
        <v>2749464</v>
      </c>
    </row>
    <row r="200" spans="1:1" x14ac:dyDescent="0.2">
      <c r="A200" s="9">
        <v>1974320</v>
      </c>
    </row>
    <row r="201" spans="1:1" x14ac:dyDescent="0.2">
      <c r="A201" s="9">
        <v>857448</v>
      </c>
    </row>
    <row r="202" spans="1:1" x14ac:dyDescent="0.2">
      <c r="A202" s="9">
        <v>983398</v>
      </c>
    </row>
    <row r="203" spans="1:1" x14ac:dyDescent="0.2">
      <c r="A203" s="9">
        <v>2145433</v>
      </c>
    </row>
    <row r="204" spans="1:1" x14ac:dyDescent="0.2">
      <c r="A204" s="9">
        <v>1541902</v>
      </c>
    </row>
    <row r="205" spans="1:1" x14ac:dyDescent="0.2">
      <c r="A205" s="9">
        <v>1751035</v>
      </c>
    </row>
    <row r="206" spans="1:1" x14ac:dyDescent="0.2">
      <c r="A206" s="9">
        <v>882400</v>
      </c>
    </row>
    <row r="207" spans="1:1" x14ac:dyDescent="0.2">
      <c r="A207" s="9">
        <v>855772</v>
      </c>
    </row>
    <row r="208" spans="1:1" x14ac:dyDescent="0.2">
      <c r="A208" s="9">
        <v>1639685</v>
      </c>
    </row>
    <row r="209" spans="1:1" x14ac:dyDescent="0.2">
      <c r="A209" s="9">
        <v>1278005</v>
      </c>
    </row>
    <row r="210" spans="1:1" x14ac:dyDescent="0.2">
      <c r="A210" s="9">
        <v>2006391</v>
      </c>
    </row>
    <row r="211" spans="1:1" x14ac:dyDescent="0.2">
      <c r="A211" s="9">
        <v>1060185</v>
      </c>
    </row>
    <row r="212" spans="1:1" x14ac:dyDescent="0.2">
      <c r="A212" s="9">
        <v>2930608</v>
      </c>
    </row>
    <row r="213" spans="1:1" x14ac:dyDescent="0.2">
      <c r="A213" s="9">
        <v>1468091</v>
      </c>
    </row>
    <row r="214" spans="1:1" x14ac:dyDescent="0.2">
      <c r="A214" s="9">
        <v>2406211</v>
      </c>
    </row>
    <row r="215" spans="1:1" x14ac:dyDescent="0.2">
      <c r="A215" s="9">
        <v>908420</v>
      </c>
    </row>
    <row r="216" spans="1:1" x14ac:dyDescent="0.2">
      <c r="A216" s="9">
        <v>1735513</v>
      </c>
    </row>
    <row r="217" spans="1:1" x14ac:dyDescent="0.2">
      <c r="A217" s="9">
        <v>1178340</v>
      </c>
    </row>
    <row r="218" spans="1:1" x14ac:dyDescent="0.2">
      <c r="A218" s="9">
        <v>890418</v>
      </c>
    </row>
    <row r="219" spans="1:1" x14ac:dyDescent="0.2">
      <c r="A219" s="9">
        <v>577622</v>
      </c>
    </row>
    <row r="220" spans="1:1" x14ac:dyDescent="0.2">
      <c r="A220" s="9">
        <v>1839764</v>
      </c>
    </row>
    <row r="221" spans="1:1" x14ac:dyDescent="0.2">
      <c r="A221" s="9">
        <v>1779935</v>
      </c>
    </row>
    <row r="222" spans="1:1" x14ac:dyDescent="0.2">
      <c r="A222" s="9">
        <v>1569949</v>
      </c>
    </row>
    <row r="223" spans="1:1" x14ac:dyDescent="0.2">
      <c r="A223" s="9">
        <v>1833772</v>
      </c>
    </row>
    <row r="224" spans="1:1" x14ac:dyDescent="0.2">
      <c r="A224" s="9">
        <v>1514593</v>
      </c>
    </row>
    <row r="225" spans="1:1" x14ac:dyDescent="0.2">
      <c r="A225" s="9">
        <v>1514992</v>
      </c>
    </row>
    <row r="226" spans="1:1" x14ac:dyDescent="0.2">
      <c r="A226" s="9">
        <v>1382296</v>
      </c>
    </row>
    <row r="227" spans="1:1" x14ac:dyDescent="0.2">
      <c r="A227" s="9">
        <v>712589</v>
      </c>
    </row>
    <row r="228" spans="1:1" x14ac:dyDescent="0.2">
      <c r="A228" s="9">
        <v>2473004</v>
      </c>
    </row>
    <row r="229" spans="1:1" x14ac:dyDescent="0.2">
      <c r="A229" s="9">
        <v>436359</v>
      </c>
    </row>
    <row r="230" spans="1:1" x14ac:dyDescent="0.2">
      <c r="A230" s="9">
        <v>2939794</v>
      </c>
    </row>
    <row r="231" spans="1:1" x14ac:dyDescent="0.2">
      <c r="A231" s="9">
        <v>2873122</v>
      </c>
    </row>
    <row r="232" spans="1:1" x14ac:dyDescent="0.2">
      <c r="A232" s="9">
        <v>1195927</v>
      </c>
    </row>
    <row r="233" spans="1:1" x14ac:dyDescent="0.2">
      <c r="A233" s="9">
        <v>2789766</v>
      </c>
    </row>
    <row r="234" spans="1:1" x14ac:dyDescent="0.2">
      <c r="A234" s="9">
        <v>2928592</v>
      </c>
    </row>
    <row r="235" spans="1:1" x14ac:dyDescent="0.2">
      <c r="A235" s="9">
        <v>2941339</v>
      </c>
    </row>
    <row r="236" spans="1:1" x14ac:dyDescent="0.2">
      <c r="A236" s="9">
        <v>1502429</v>
      </c>
    </row>
    <row r="237" spans="1:1" x14ac:dyDescent="0.2">
      <c r="A237" s="9">
        <v>1000995</v>
      </c>
    </row>
    <row r="238" spans="1:1" x14ac:dyDescent="0.2">
      <c r="A238" s="9">
        <v>2762218</v>
      </c>
    </row>
    <row r="239" spans="1:1" x14ac:dyDescent="0.2">
      <c r="A239" s="9">
        <v>1737745</v>
      </c>
    </row>
    <row r="240" spans="1:1" x14ac:dyDescent="0.2">
      <c r="A240" s="9">
        <v>2958640</v>
      </c>
    </row>
    <row r="241" spans="1:1" x14ac:dyDescent="0.2">
      <c r="A241" s="9">
        <v>2103217</v>
      </c>
    </row>
    <row r="242" spans="1:1" x14ac:dyDescent="0.2">
      <c r="A242" s="9">
        <v>1024036</v>
      </c>
    </row>
    <row r="243" spans="1:1" x14ac:dyDescent="0.2">
      <c r="A243" s="9">
        <v>1186652</v>
      </c>
    </row>
    <row r="244" spans="1:1" x14ac:dyDescent="0.2">
      <c r="A244" s="9">
        <v>2141381</v>
      </c>
    </row>
    <row r="245" spans="1:1" x14ac:dyDescent="0.2">
      <c r="A245" s="9">
        <v>2360731</v>
      </c>
    </row>
    <row r="246" spans="1:1" x14ac:dyDescent="0.2">
      <c r="A246" s="9">
        <v>1067485</v>
      </c>
    </row>
    <row r="247" spans="1:1" x14ac:dyDescent="0.2">
      <c r="A247" s="9">
        <v>969289</v>
      </c>
    </row>
    <row r="248" spans="1:1" x14ac:dyDescent="0.2">
      <c r="A248" s="9">
        <v>900847</v>
      </c>
    </row>
    <row r="249" spans="1:1" x14ac:dyDescent="0.2">
      <c r="A249" s="9">
        <v>1423367</v>
      </c>
    </row>
    <row r="250" spans="1:1" x14ac:dyDescent="0.2">
      <c r="A250" s="9">
        <v>1291854</v>
      </c>
    </row>
    <row r="251" spans="1:1" x14ac:dyDescent="0.2">
      <c r="A251" s="9">
        <v>2695910</v>
      </c>
    </row>
    <row r="252" spans="1:1" x14ac:dyDescent="0.2">
      <c r="A252" s="9">
        <v>738005</v>
      </c>
    </row>
    <row r="253" spans="1:1" x14ac:dyDescent="0.2">
      <c r="A253" s="9">
        <v>2740393</v>
      </c>
    </row>
    <row r="254" spans="1:1" x14ac:dyDescent="0.2">
      <c r="A254" s="9">
        <v>1196532</v>
      </c>
    </row>
    <row r="255" spans="1:1" x14ac:dyDescent="0.2">
      <c r="A255" s="9">
        <v>1293665</v>
      </c>
    </row>
    <row r="256" spans="1:1" x14ac:dyDescent="0.2">
      <c r="A256" s="9">
        <v>2992802</v>
      </c>
    </row>
    <row r="257" spans="1:1" x14ac:dyDescent="0.2">
      <c r="A257" s="9">
        <v>1218717</v>
      </c>
    </row>
    <row r="258" spans="1:1" x14ac:dyDescent="0.2">
      <c r="A258" s="9">
        <v>964196</v>
      </c>
    </row>
    <row r="259" spans="1:1" x14ac:dyDescent="0.2">
      <c r="A259" s="9">
        <v>753320</v>
      </c>
    </row>
    <row r="260" spans="1:1" x14ac:dyDescent="0.2">
      <c r="A260" s="9">
        <v>1457235</v>
      </c>
    </row>
    <row r="261" spans="1:1" x14ac:dyDescent="0.2">
      <c r="A261" s="9">
        <v>406534</v>
      </c>
    </row>
    <row r="262" spans="1:1" x14ac:dyDescent="0.2">
      <c r="A262" s="9">
        <v>1810657</v>
      </c>
    </row>
    <row r="263" spans="1:1" x14ac:dyDescent="0.2">
      <c r="A263" s="9">
        <v>1625109</v>
      </c>
    </row>
    <row r="264" spans="1:1" x14ac:dyDescent="0.2">
      <c r="A264" s="9">
        <v>1153631</v>
      </c>
    </row>
    <row r="265" spans="1:1" x14ac:dyDescent="0.2">
      <c r="A265" s="9">
        <v>2542351</v>
      </c>
    </row>
    <row r="266" spans="1:1" x14ac:dyDescent="0.2">
      <c r="A266" s="9">
        <v>419669</v>
      </c>
    </row>
    <row r="267" spans="1:1" x14ac:dyDescent="0.2">
      <c r="A267" s="9">
        <v>1112507</v>
      </c>
    </row>
    <row r="268" spans="1:1" x14ac:dyDescent="0.2">
      <c r="A268" s="9">
        <v>2068093</v>
      </c>
    </row>
    <row r="269" spans="1:1" x14ac:dyDescent="0.2">
      <c r="A269" s="9">
        <v>1924012</v>
      </c>
    </row>
    <row r="270" spans="1:1" x14ac:dyDescent="0.2">
      <c r="A270" s="9">
        <v>1652030</v>
      </c>
    </row>
    <row r="271" spans="1:1" x14ac:dyDescent="0.2">
      <c r="A271" s="9">
        <v>2142229</v>
      </c>
    </row>
    <row r="272" spans="1:1" x14ac:dyDescent="0.2">
      <c r="A272" s="9">
        <v>1674285</v>
      </c>
    </row>
    <row r="273" spans="1:1" x14ac:dyDescent="0.2">
      <c r="A273" s="9">
        <v>2055041</v>
      </c>
    </row>
    <row r="274" spans="1:1" x14ac:dyDescent="0.2">
      <c r="A274" s="9">
        <v>2282680</v>
      </c>
    </row>
    <row r="275" spans="1:1" x14ac:dyDescent="0.2">
      <c r="A275" s="9">
        <v>1681441</v>
      </c>
    </row>
    <row r="276" spans="1:1" x14ac:dyDescent="0.2">
      <c r="A276" s="9">
        <v>2967698</v>
      </c>
    </row>
    <row r="277" spans="1:1" x14ac:dyDescent="0.2">
      <c r="A277" s="9">
        <v>2239962</v>
      </c>
    </row>
    <row r="278" spans="1:1" x14ac:dyDescent="0.2">
      <c r="A278" s="9">
        <v>1326513</v>
      </c>
    </row>
    <row r="279" spans="1:1" x14ac:dyDescent="0.2">
      <c r="A279" s="9">
        <v>1727663</v>
      </c>
    </row>
    <row r="280" spans="1:1" x14ac:dyDescent="0.2">
      <c r="A280" s="9">
        <v>954316</v>
      </c>
    </row>
    <row r="281" spans="1:1" x14ac:dyDescent="0.2">
      <c r="A281" s="9">
        <v>837794</v>
      </c>
    </row>
    <row r="282" spans="1:1" x14ac:dyDescent="0.2">
      <c r="A282" s="9">
        <v>2477857</v>
      </c>
    </row>
    <row r="283" spans="1:1" x14ac:dyDescent="0.2">
      <c r="A283" s="9">
        <v>1776972</v>
      </c>
    </row>
    <row r="284" spans="1:1" x14ac:dyDescent="0.2">
      <c r="A284" s="9">
        <v>2179934</v>
      </c>
    </row>
    <row r="285" spans="1:1" x14ac:dyDescent="0.2">
      <c r="A285" s="9">
        <v>2442992</v>
      </c>
    </row>
    <row r="286" spans="1:1" x14ac:dyDescent="0.2">
      <c r="A286" s="9">
        <v>436659</v>
      </c>
    </row>
    <row r="287" spans="1:1" x14ac:dyDescent="0.2">
      <c r="A287" s="9">
        <v>2578474</v>
      </c>
    </row>
    <row r="288" spans="1:1" x14ac:dyDescent="0.2">
      <c r="A288" s="9">
        <v>751690</v>
      </c>
    </row>
    <row r="289" spans="1:1" x14ac:dyDescent="0.2">
      <c r="A289" s="9">
        <v>1415642</v>
      </c>
    </row>
    <row r="290" spans="1:1" x14ac:dyDescent="0.2">
      <c r="A290" s="9">
        <v>1079105</v>
      </c>
    </row>
    <row r="291" spans="1:1" x14ac:dyDescent="0.2">
      <c r="A291" s="9">
        <v>1793484</v>
      </c>
    </row>
    <row r="292" spans="1:1" x14ac:dyDescent="0.2">
      <c r="A292" s="9">
        <v>553402</v>
      </c>
    </row>
    <row r="293" spans="1:1" x14ac:dyDescent="0.2">
      <c r="A293" s="9">
        <v>1753720</v>
      </c>
    </row>
    <row r="294" spans="1:1" x14ac:dyDescent="0.2">
      <c r="A294" s="9">
        <v>902610</v>
      </c>
    </row>
    <row r="295" spans="1:1" x14ac:dyDescent="0.2">
      <c r="A295" s="9">
        <v>1211415</v>
      </c>
    </row>
    <row r="296" spans="1:1" x14ac:dyDescent="0.2">
      <c r="A296" s="9">
        <v>666648</v>
      </c>
    </row>
  </sheetData>
  <sortState xmlns:xlrd2="http://schemas.microsoft.com/office/spreadsheetml/2017/richdata2" ref="D8:D20">
    <sortCondition ref="D8"/>
  </sortState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19AF1-8B91-40EA-9EA8-913DF0C30E91}">
  <sheetPr>
    <tabColor theme="6" tint="0.39997558519241921"/>
  </sheetPr>
  <dimension ref="A1:D726"/>
  <sheetViews>
    <sheetView zoomScale="133" workbookViewId="0">
      <selection activeCell="D3" sqref="D3"/>
    </sheetView>
  </sheetViews>
  <sheetFormatPr baseColWidth="10" defaultColWidth="8.83203125" defaultRowHeight="15" x14ac:dyDescent="0.2"/>
  <cols>
    <col min="3" max="4" width="17.6640625" customWidth="1"/>
  </cols>
  <sheetData>
    <row r="1" spans="1:4" x14ac:dyDescent="0.2">
      <c r="A1" t="s">
        <v>5</v>
      </c>
    </row>
    <row r="2" spans="1:4" x14ac:dyDescent="0.2">
      <c r="A2">
        <v>884945</v>
      </c>
    </row>
    <row r="3" spans="1:4" x14ac:dyDescent="0.2">
      <c r="A3">
        <v>2373955</v>
      </c>
      <c r="C3" t="s">
        <v>182</v>
      </c>
      <c r="D3" s="6">
        <f>AVERAGE(A2:A726)</f>
        <v>1687142.0537931034</v>
      </c>
    </row>
    <row r="4" spans="1:4" x14ac:dyDescent="0.2">
      <c r="A4">
        <v>2744360</v>
      </c>
      <c r="C4" t="s">
        <v>183</v>
      </c>
      <c r="D4" s="6">
        <f>_xlfn.STDEV.S(A2:A726)</f>
        <v>774484.38331068261</v>
      </c>
    </row>
    <row r="5" spans="1:4" x14ac:dyDescent="0.2">
      <c r="A5">
        <v>1745804</v>
      </c>
      <c r="C5" t="s">
        <v>184</v>
      </c>
      <c r="D5">
        <v>725</v>
      </c>
    </row>
    <row r="6" spans="1:4" x14ac:dyDescent="0.2">
      <c r="A6">
        <v>523033</v>
      </c>
      <c r="C6" t="s">
        <v>124</v>
      </c>
      <c r="D6" s="6">
        <f>(D3-1675000)/(D4/SQRT(D5))</f>
        <v>0.42213220938971985</v>
      </c>
    </row>
    <row r="7" spans="1:4" x14ac:dyDescent="0.2">
      <c r="A7">
        <v>1151269</v>
      </c>
    </row>
    <row r="8" spans="1:4" x14ac:dyDescent="0.2">
      <c r="A8">
        <v>2662784</v>
      </c>
    </row>
    <row r="9" spans="1:4" x14ac:dyDescent="0.2">
      <c r="A9">
        <v>2140120</v>
      </c>
    </row>
    <row r="10" spans="1:4" x14ac:dyDescent="0.2">
      <c r="A10">
        <v>1711359</v>
      </c>
    </row>
    <row r="11" spans="1:4" x14ac:dyDescent="0.2">
      <c r="A11">
        <v>1256488</v>
      </c>
    </row>
    <row r="12" spans="1:4" x14ac:dyDescent="0.2">
      <c r="A12">
        <v>2524763</v>
      </c>
    </row>
    <row r="13" spans="1:4" x14ac:dyDescent="0.2">
      <c r="A13">
        <v>2735765</v>
      </c>
    </row>
    <row r="14" spans="1:4" x14ac:dyDescent="0.2">
      <c r="A14">
        <v>1579632</v>
      </c>
    </row>
    <row r="15" spans="1:4" x14ac:dyDescent="0.2">
      <c r="A15">
        <v>1995915</v>
      </c>
    </row>
    <row r="16" spans="1:4" x14ac:dyDescent="0.2">
      <c r="A16">
        <v>1833385</v>
      </c>
    </row>
    <row r="17" spans="1:1" x14ac:dyDescent="0.2">
      <c r="A17">
        <v>2914399</v>
      </c>
    </row>
    <row r="18" spans="1:1" x14ac:dyDescent="0.2">
      <c r="A18">
        <v>2376880</v>
      </c>
    </row>
    <row r="19" spans="1:1" x14ac:dyDescent="0.2">
      <c r="A19">
        <v>990663</v>
      </c>
    </row>
    <row r="20" spans="1:1" x14ac:dyDescent="0.2">
      <c r="A20">
        <v>1212119</v>
      </c>
    </row>
    <row r="21" spans="1:1" x14ac:dyDescent="0.2">
      <c r="A21">
        <v>755550</v>
      </c>
    </row>
    <row r="22" spans="1:1" x14ac:dyDescent="0.2">
      <c r="A22">
        <v>2713954</v>
      </c>
    </row>
    <row r="23" spans="1:1" x14ac:dyDescent="0.2">
      <c r="A23">
        <v>2848223</v>
      </c>
    </row>
    <row r="24" spans="1:1" x14ac:dyDescent="0.2">
      <c r="A24">
        <v>2465986</v>
      </c>
    </row>
    <row r="25" spans="1:1" x14ac:dyDescent="0.2">
      <c r="A25">
        <v>2672341</v>
      </c>
    </row>
    <row r="26" spans="1:1" x14ac:dyDescent="0.2">
      <c r="A26">
        <v>1104181</v>
      </c>
    </row>
    <row r="27" spans="1:1" x14ac:dyDescent="0.2">
      <c r="A27">
        <v>1854747</v>
      </c>
    </row>
    <row r="28" spans="1:1" x14ac:dyDescent="0.2">
      <c r="A28">
        <v>2807812</v>
      </c>
    </row>
    <row r="29" spans="1:1" x14ac:dyDescent="0.2">
      <c r="A29">
        <v>883300</v>
      </c>
    </row>
    <row r="30" spans="1:1" x14ac:dyDescent="0.2">
      <c r="A30">
        <v>521710</v>
      </c>
    </row>
    <row r="31" spans="1:1" x14ac:dyDescent="0.2">
      <c r="A31">
        <v>2550682</v>
      </c>
    </row>
    <row r="32" spans="1:1" x14ac:dyDescent="0.2">
      <c r="A32">
        <v>1591866</v>
      </c>
    </row>
    <row r="33" spans="1:1" x14ac:dyDescent="0.2">
      <c r="A33">
        <v>1476385</v>
      </c>
    </row>
    <row r="34" spans="1:1" x14ac:dyDescent="0.2">
      <c r="A34">
        <v>2330245</v>
      </c>
    </row>
    <row r="35" spans="1:1" x14ac:dyDescent="0.2">
      <c r="A35">
        <v>819079</v>
      </c>
    </row>
    <row r="36" spans="1:1" x14ac:dyDescent="0.2">
      <c r="A36">
        <v>2365948</v>
      </c>
    </row>
    <row r="37" spans="1:1" x14ac:dyDescent="0.2">
      <c r="A37">
        <v>2555382</v>
      </c>
    </row>
    <row r="38" spans="1:1" x14ac:dyDescent="0.2">
      <c r="A38">
        <v>2805843</v>
      </c>
    </row>
    <row r="39" spans="1:1" x14ac:dyDescent="0.2">
      <c r="A39">
        <v>886381</v>
      </c>
    </row>
    <row r="40" spans="1:1" x14ac:dyDescent="0.2">
      <c r="A40">
        <v>2375223</v>
      </c>
    </row>
    <row r="41" spans="1:1" x14ac:dyDescent="0.2">
      <c r="A41">
        <v>947995</v>
      </c>
    </row>
    <row r="42" spans="1:1" x14ac:dyDescent="0.2">
      <c r="A42">
        <v>425034</v>
      </c>
    </row>
    <row r="43" spans="1:1" x14ac:dyDescent="0.2">
      <c r="A43">
        <v>1598267</v>
      </c>
    </row>
    <row r="44" spans="1:1" x14ac:dyDescent="0.2">
      <c r="A44">
        <v>847509</v>
      </c>
    </row>
    <row r="45" spans="1:1" x14ac:dyDescent="0.2">
      <c r="A45">
        <v>517794</v>
      </c>
    </row>
    <row r="46" spans="1:1" x14ac:dyDescent="0.2">
      <c r="A46">
        <v>404257</v>
      </c>
    </row>
    <row r="47" spans="1:1" x14ac:dyDescent="0.2">
      <c r="A47">
        <v>551879</v>
      </c>
    </row>
    <row r="48" spans="1:1" x14ac:dyDescent="0.2">
      <c r="A48">
        <v>1651904</v>
      </c>
    </row>
    <row r="49" spans="1:1" x14ac:dyDescent="0.2">
      <c r="A49">
        <v>955427</v>
      </c>
    </row>
    <row r="50" spans="1:1" x14ac:dyDescent="0.2">
      <c r="A50">
        <v>1147607</v>
      </c>
    </row>
    <row r="51" spans="1:1" x14ac:dyDescent="0.2">
      <c r="A51">
        <v>2563010</v>
      </c>
    </row>
    <row r="52" spans="1:1" x14ac:dyDescent="0.2">
      <c r="A52">
        <v>1185465</v>
      </c>
    </row>
    <row r="53" spans="1:1" x14ac:dyDescent="0.2">
      <c r="A53">
        <v>555236</v>
      </c>
    </row>
    <row r="54" spans="1:1" x14ac:dyDescent="0.2">
      <c r="A54">
        <v>1813749</v>
      </c>
    </row>
    <row r="55" spans="1:1" x14ac:dyDescent="0.2">
      <c r="A55">
        <v>1441532</v>
      </c>
    </row>
    <row r="56" spans="1:1" x14ac:dyDescent="0.2">
      <c r="A56">
        <v>2091614</v>
      </c>
    </row>
    <row r="57" spans="1:1" x14ac:dyDescent="0.2">
      <c r="A57">
        <v>2065293</v>
      </c>
    </row>
    <row r="58" spans="1:1" x14ac:dyDescent="0.2">
      <c r="A58">
        <v>2435854</v>
      </c>
    </row>
    <row r="59" spans="1:1" x14ac:dyDescent="0.2">
      <c r="A59">
        <v>1769417</v>
      </c>
    </row>
    <row r="60" spans="1:1" x14ac:dyDescent="0.2">
      <c r="A60">
        <v>2482071</v>
      </c>
    </row>
    <row r="61" spans="1:1" x14ac:dyDescent="0.2">
      <c r="A61">
        <v>1729801</v>
      </c>
    </row>
    <row r="62" spans="1:1" x14ac:dyDescent="0.2">
      <c r="A62">
        <v>1390764</v>
      </c>
    </row>
    <row r="63" spans="1:1" x14ac:dyDescent="0.2">
      <c r="A63">
        <v>2170452</v>
      </c>
    </row>
    <row r="64" spans="1:1" x14ac:dyDescent="0.2">
      <c r="A64">
        <v>2966416</v>
      </c>
    </row>
    <row r="65" spans="1:1" x14ac:dyDescent="0.2">
      <c r="A65">
        <v>950728</v>
      </c>
    </row>
    <row r="66" spans="1:1" x14ac:dyDescent="0.2">
      <c r="A66">
        <v>2131406</v>
      </c>
    </row>
    <row r="67" spans="1:1" x14ac:dyDescent="0.2">
      <c r="A67">
        <v>1746293</v>
      </c>
    </row>
    <row r="68" spans="1:1" x14ac:dyDescent="0.2">
      <c r="A68">
        <v>1060606</v>
      </c>
    </row>
    <row r="69" spans="1:1" x14ac:dyDescent="0.2">
      <c r="A69">
        <v>805140</v>
      </c>
    </row>
    <row r="70" spans="1:1" x14ac:dyDescent="0.2">
      <c r="A70">
        <v>2719810</v>
      </c>
    </row>
    <row r="71" spans="1:1" x14ac:dyDescent="0.2">
      <c r="A71">
        <v>1775274</v>
      </c>
    </row>
    <row r="72" spans="1:1" x14ac:dyDescent="0.2">
      <c r="A72">
        <v>2958791</v>
      </c>
    </row>
    <row r="73" spans="1:1" x14ac:dyDescent="0.2">
      <c r="A73">
        <v>1946904</v>
      </c>
    </row>
    <row r="74" spans="1:1" x14ac:dyDescent="0.2">
      <c r="A74">
        <v>2096844</v>
      </c>
    </row>
    <row r="75" spans="1:1" x14ac:dyDescent="0.2">
      <c r="A75">
        <v>2086468</v>
      </c>
    </row>
    <row r="76" spans="1:1" x14ac:dyDescent="0.2">
      <c r="A76">
        <v>2319876</v>
      </c>
    </row>
    <row r="77" spans="1:1" x14ac:dyDescent="0.2">
      <c r="A77">
        <v>2462779</v>
      </c>
    </row>
    <row r="78" spans="1:1" x14ac:dyDescent="0.2">
      <c r="A78">
        <v>765646</v>
      </c>
    </row>
    <row r="79" spans="1:1" x14ac:dyDescent="0.2">
      <c r="A79">
        <v>668018</v>
      </c>
    </row>
    <row r="80" spans="1:1" x14ac:dyDescent="0.2">
      <c r="A80">
        <v>2690265</v>
      </c>
    </row>
    <row r="81" spans="1:1" x14ac:dyDescent="0.2">
      <c r="A81">
        <v>2525698</v>
      </c>
    </row>
    <row r="82" spans="1:1" x14ac:dyDescent="0.2">
      <c r="A82">
        <v>2854342</v>
      </c>
    </row>
    <row r="83" spans="1:1" x14ac:dyDescent="0.2">
      <c r="A83">
        <v>823817</v>
      </c>
    </row>
    <row r="84" spans="1:1" x14ac:dyDescent="0.2">
      <c r="A84">
        <v>1414764</v>
      </c>
    </row>
    <row r="85" spans="1:1" x14ac:dyDescent="0.2">
      <c r="A85">
        <v>2785177</v>
      </c>
    </row>
    <row r="86" spans="1:1" x14ac:dyDescent="0.2">
      <c r="A86">
        <v>482226</v>
      </c>
    </row>
    <row r="87" spans="1:1" x14ac:dyDescent="0.2">
      <c r="A87">
        <v>587519</v>
      </c>
    </row>
    <row r="88" spans="1:1" x14ac:dyDescent="0.2">
      <c r="A88">
        <v>2301833</v>
      </c>
    </row>
    <row r="89" spans="1:1" x14ac:dyDescent="0.2">
      <c r="A89">
        <v>1979091</v>
      </c>
    </row>
    <row r="90" spans="1:1" x14ac:dyDescent="0.2">
      <c r="A90">
        <v>1950170</v>
      </c>
    </row>
    <row r="91" spans="1:1" x14ac:dyDescent="0.2">
      <c r="A91">
        <v>1638595</v>
      </c>
    </row>
    <row r="92" spans="1:1" x14ac:dyDescent="0.2">
      <c r="A92">
        <v>2661079</v>
      </c>
    </row>
    <row r="93" spans="1:1" x14ac:dyDescent="0.2">
      <c r="A93">
        <v>1868962</v>
      </c>
    </row>
    <row r="94" spans="1:1" x14ac:dyDescent="0.2">
      <c r="A94">
        <v>1551084</v>
      </c>
    </row>
    <row r="95" spans="1:1" x14ac:dyDescent="0.2">
      <c r="A95">
        <v>2413424</v>
      </c>
    </row>
    <row r="96" spans="1:1" x14ac:dyDescent="0.2">
      <c r="A96">
        <v>2555960</v>
      </c>
    </row>
    <row r="97" spans="1:1" x14ac:dyDescent="0.2">
      <c r="A97">
        <v>831767</v>
      </c>
    </row>
    <row r="98" spans="1:1" x14ac:dyDescent="0.2">
      <c r="A98">
        <v>1605352</v>
      </c>
    </row>
    <row r="99" spans="1:1" x14ac:dyDescent="0.2">
      <c r="A99">
        <v>2710868</v>
      </c>
    </row>
    <row r="100" spans="1:1" x14ac:dyDescent="0.2">
      <c r="A100">
        <v>2645953</v>
      </c>
    </row>
    <row r="101" spans="1:1" x14ac:dyDescent="0.2">
      <c r="A101">
        <v>2125292</v>
      </c>
    </row>
    <row r="102" spans="1:1" x14ac:dyDescent="0.2">
      <c r="A102">
        <v>2565970</v>
      </c>
    </row>
    <row r="103" spans="1:1" x14ac:dyDescent="0.2">
      <c r="A103">
        <v>1493488</v>
      </c>
    </row>
    <row r="104" spans="1:1" x14ac:dyDescent="0.2">
      <c r="A104">
        <v>536044</v>
      </c>
    </row>
    <row r="105" spans="1:1" x14ac:dyDescent="0.2">
      <c r="A105">
        <v>811032</v>
      </c>
    </row>
    <row r="106" spans="1:1" x14ac:dyDescent="0.2">
      <c r="A106">
        <v>2284746</v>
      </c>
    </row>
    <row r="107" spans="1:1" x14ac:dyDescent="0.2">
      <c r="A107">
        <v>2291317</v>
      </c>
    </row>
    <row r="108" spans="1:1" x14ac:dyDescent="0.2">
      <c r="A108">
        <v>1703536</v>
      </c>
    </row>
    <row r="109" spans="1:1" x14ac:dyDescent="0.2">
      <c r="A109">
        <v>650005</v>
      </c>
    </row>
    <row r="110" spans="1:1" x14ac:dyDescent="0.2">
      <c r="A110">
        <v>1628844</v>
      </c>
    </row>
    <row r="111" spans="1:1" x14ac:dyDescent="0.2">
      <c r="A111">
        <v>1330115</v>
      </c>
    </row>
    <row r="112" spans="1:1" x14ac:dyDescent="0.2">
      <c r="A112">
        <v>1847095</v>
      </c>
    </row>
    <row r="113" spans="1:1" x14ac:dyDescent="0.2">
      <c r="A113">
        <v>2941171</v>
      </c>
    </row>
    <row r="114" spans="1:1" x14ac:dyDescent="0.2">
      <c r="A114">
        <v>2815359</v>
      </c>
    </row>
    <row r="115" spans="1:1" x14ac:dyDescent="0.2">
      <c r="A115">
        <v>1590250</v>
      </c>
    </row>
    <row r="116" spans="1:1" x14ac:dyDescent="0.2">
      <c r="A116">
        <v>1642308</v>
      </c>
    </row>
    <row r="117" spans="1:1" x14ac:dyDescent="0.2">
      <c r="A117">
        <v>2596099</v>
      </c>
    </row>
    <row r="118" spans="1:1" x14ac:dyDescent="0.2">
      <c r="A118">
        <v>2614625</v>
      </c>
    </row>
    <row r="119" spans="1:1" x14ac:dyDescent="0.2">
      <c r="A119">
        <v>2734057</v>
      </c>
    </row>
    <row r="120" spans="1:1" x14ac:dyDescent="0.2">
      <c r="A120">
        <v>1272387</v>
      </c>
    </row>
    <row r="121" spans="1:1" x14ac:dyDescent="0.2">
      <c r="A121">
        <v>2460996</v>
      </c>
    </row>
    <row r="122" spans="1:1" x14ac:dyDescent="0.2">
      <c r="A122">
        <v>2546281</v>
      </c>
    </row>
    <row r="123" spans="1:1" x14ac:dyDescent="0.2">
      <c r="A123">
        <v>1528674</v>
      </c>
    </row>
    <row r="124" spans="1:1" x14ac:dyDescent="0.2">
      <c r="A124">
        <v>2938780</v>
      </c>
    </row>
    <row r="125" spans="1:1" x14ac:dyDescent="0.2">
      <c r="A125">
        <v>2910046</v>
      </c>
    </row>
    <row r="126" spans="1:1" x14ac:dyDescent="0.2">
      <c r="A126">
        <v>742496</v>
      </c>
    </row>
    <row r="127" spans="1:1" x14ac:dyDescent="0.2">
      <c r="A127">
        <v>823011</v>
      </c>
    </row>
    <row r="128" spans="1:1" x14ac:dyDescent="0.2">
      <c r="A128">
        <v>2437849</v>
      </c>
    </row>
    <row r="129" spans="1:1" x14ac:dyDescent="0.2">
      <c r="A129">
        <v>1947581</v>
      </c>
    </row>
    <row r="130" spans="1:1" x14ac:dyDescent="0.2">
      <c r="A130">
        <v>2185796</v>
      </c>
    </row>
    <row r="131" spans="1:1" x14ac:dyDescent="0.2">
      <c r="A131">
        <v>712937</v>
      </c>
    </row>
    <row r="132" spans="1:1" x14ac:dyDescent="0.2">
      <c r="A132">
        <v>2623285</v>
      </c>
    </row>
    <row r="133" spans="1:1" x14ac:dyDescent="0.2">
      <c r="A133">
        <v>980465</v>
      </c>
    </row>
    <row r="134" spans="1:1" x14ac:dyDescent="0.2">
      <c r="A134">
        <v>558964</v>
      </c>
    </row>
    <row r="135" spans="1:1" x14ac:dyDescent="0.2">
      <c r="A135">
        <v>2456366</v>
      </c>
    </row>
    <row r="136" spans="1:1" x14ac:dyDescent="0.2">
      <c r="A136">
        <v>1337273</v>
      </c>
    </row>
    <row r="137" spans="1:1" x14ac:dyDescent="0.2">
      <c r="A137">
        <v>1095060</v>
      </c>
    </row>
    <row r="138" spans="1:1" x14ac:dyDescent="0.2">
      <c r="A138">
        <v>2617496</v>
      </c>
    </row>
    <row r="139" spans="1:1" x14ac:dyDescent="0.2">
      <c r="A139">
        <v>2883705</v>
      </c>
    </row>
    <row r="140" spans="1:1" x14ac:dyDescent="0.2">
      <c r="A140">
        <v>2577432</v>
      </c>
    </row>
    <row r="141" spans="1:1" x14ac:dyDescent="0.2">
      <c r="A141">
        <v>2897883</v>
      </c>
    </row>
    <row r="142" spans="1:1" x14ac:dyDescent="0.2">
      <c r="A142">
        <v>1121757</v>
      </c>
    </row>
    <row r="143" spans="1:1" x14ac:dyDescent="0.2">
      <c r="A143">
        <v>2795327</v>
      </c>
    </row>
    <row r="144" spans="1:1" x14ac:dyDescent="0.2">
      <c r="A144">
        <v>1752053</v>
      </c>
    </row>
    <row r="145" spans="1:1" x14ac:dyDescent="0.2">
      <c r="A145">
        <v>767738</v>
      </c>
    </row>
    <row r="146" spans="1:1" x14ac:dyDescent="0.2">
      <c r="A146">
        <v>496764</v>
      </c>
    </row>
    <row r="147" spans="1:1" x14ac:dyDescent="0.2">
      <c r="A147">
        <v>1491961</v>
      </c>
    </row>
    <row r="148" spans="1:1" x14ac:dyDescent="0.2">
      <c r="A148">
        <v>1593950</v>
      </c>
    </row>
    <row r="149" spans="1:1" x14ac:dyDescent="0.2">
      <c r="A149">
        <v>953999</v>
      </c>
    </row>
    <row r="150" spans="1:1" x14ac:dyDescent="0.2">
      <c r="A150">
        <v>1473476</v>
      </c>
    </row>
    <row r="151" spans="1:1" x14ac:dyDescent="0.2">
      <c r="A151">
        <v>1595280</v>
      </c>
    </row>
    <row r="152" spans="1:1" x14ac:dyDescent="0.2">
      <c r="A152">
        <v>862084</v>
      </c>
    </row>
    <row r="153" spans="1:1" x14ac:dyDescent="0.2">
      <c r="A153">
        <v>724202</v>
      </c>
    </row>
    <row r="154" spans="1:1" x14ac:dyDescent="0.2">
      <c r="A154">
        <v>2367642</v>
      </c>
    </row>
    <row r="155" spans="1:1" x14ac:dyDescent="0.2">
      <c r="A155">
        <v>1370245</v>
      </c>
    </row>
    <row r="156" spans="1:1" x14ac:dyDescent="0.2">
      <c r="A156">
        <v>1336528</v>
      </c>
    </row>
    <row r="157" spans="1:1" x14ac:dyDescent="0.2">
      <c r="A157">
        <v>2921330</v>
      </c>
    </row>
    <row r="158" spans="1:1" x14ac:dyDescent="0.2">
      <c r="A158">
        <v>2894152</v>
      </c>
    </row>
    <row r="159" spans="1:1" x14ac:dyDescent="0.2">
      <c r="A159">
        <v>1999873</v>
      </c>
    </row>
    <row r="160" spans="1:1" x14ac:dyDescent="0.2">
      <c r="A160">
        <v>1829169</v>
      </c>
    </row>
    <row r="161" spans="1:1" x14ac:dyDescent="0.2">
      <c r="A161">
        <v>2255897</v>
      </c>
    </row>
    <row r="162" spans="1:1" x14ac:dyDescent="0.2">
      <c r="A162">
        <v>2565808</v>
      </c>
    </row>
    <row r="163" spans="1:1" x14ac:dyDescent="0.2">
      <c r="A163">
        <v>908155</v>
      </c>
    </row>
    <row r="164" spans="1:1" x14ac:dyDescent="0.2">
      <c r="A164">
        <v>910620</v>
      </c>
    </row>
    <row r="165" spans="1:1" x14ac:dyDescent="0.2">
      <c r="A165">
        <v>532206</v>
      </c>
    </row>
    <row r="166" spans="1:1" x14ac:dyDescent="0.2">
      <c r="A166">
        <v>1993191</v>
      </c>
    </row>
    <row r="167" spans="1:1" x14ac:dyDescent="0.2">
      <c r="A167">
        <v>1221028</v>
      </c>
    </row>
    <row r="168" spans="1:1" x14ac:dyDescent="0.2">
      <c r="A168">
        <v>1709116</v>
      </c>
    </row>
    <row r="169" spans="1:1" x14ac:dyDescent="0.2">
      <c r="A169">
        <v>685569</v>
      </c>
    </row>
    <row r="170" spans="1:1" x14ac:dyDescent="0.2">
      <c r="A170">
        <v>1543508</v>
      </c>
    </row>
    <row r="171" spans="1:1" x14ac:dyDescent="0.2">
      <c r="A171">
        <v>414068</v>
      </c>
    </row>
    <row r="172" spans="1:1" x14ac:dyDescent="0.2">
      <c r="A172">
        <v>1763825</v>
      </c>
    </row>
    <row r="173" spans="1:1" x14ac:dyDescent="0.2">
      <c r="A173">
        <v>2118616</v>
      </c>
    </row>
    <row r="174" spans="1:1" x14ac:dyDescent="0.2">
      <c r="A174">
        <v>2996646</v>
      </c>
    </row>
    <row r="175" spans="1:1" x14ac:dyDescent="0.2">
      <c r="A175">
        <v>2533958</v>
      </c>
    </row>
    <row r="176" spans="1:1" x14ac:dyDescent="0.2">
      <c r="A176">
        <v>426793</v>
      </c>
    </row>
    <row r="177" spans="1:1" x14ac:dyDescent="0.2">
      <c r="A177">
        <v>2892171</v>
      </c>
    </row>
    <row r="178" spans="1:1" x14ac:dyDescent="0.2">
      <c r="A178">
        <v>1498162</v>
      </c>
    </row>
    <row r="179" spans="1:1" x14ac:dyDescent="0.2">
      <c r="A179">
        <v>2807269</v>
      </c>
    </row>
    <row r="180" spans="1:1" x14ac:dyDescent="0.2">
      <c r="A180">
        <v>2368590</v>
      </c>
    </row>
    <row r="181" spans="1:1" x14ac:dyDescent="0.2">
      <c r="A181">
        <v>1994106</v>
      </c>
    </row>
    <row r="182" spans="1:1" x14ac:dyDescent="0.2">
      <c r="A182">
        <v>589377</v>
      </c>
    </row>
    <row r="183" spans="1:1" x14ac:dyDescent="0.2">
      <c r="A183">
        <v>1549610</v>
      </c>
    </row>
    <row r="184" spans="1:1" x14ac:dyDescent="0.2">
      <c r="A184">
        <v>1607751</v>
      </c>
    </row>
    <row r="185" spans="1:1" x14ac:dyDescent="0.2">
      <c r="A185">
        <v>2540038</v>
      </c>
    </row>
    <row r="186" spans="1:1" x14ac:dyDescent="0.2">
      <c r="A186">
        <v>599369</v>
      </c>
    </row>
    <row r="187" spans="1:1" x14ac:dyDescent="0.2">
      <c r="A187">
        <v>910711</v>
      </c>
    </row>
    <row r="188" spans="1:1" x14ac:dyDescent="0.2">
      <c r="A188">
        <v>2480109</v>
      </c>
    </row>
    <row r="189" spans="1:1" x14ac:dyDescent="0.2">
      <c r="A189">
        <v>2342295</v>
      </c>
    </row>
    <row r="190" spans="1:1" x14ac:dyDescent="0.2">
      <c r="A190">
        <v>552627</v>
      </c>
    </row>
    <row r="191" spans="1:1" x14ac:dyDescent="0.2">
      <c r="A191">
        <v>2086203</v>
      </c>
    </row>
    <row r="192" spans="1:1" x14ac:dyDescent="0.2">
      <c r="A192">
        <v>1671339</v>
      </c>
    </row>
    <row r="193" spans="1:1" x14ac:dyDescent="0.2">
      <c r="A193">
        <v>1322693</v>
      </c>
    </row>
    <row r="194" spans="1:1" x14ac:dyDescent="0.2">
      <c r="A194">
        <v>664083</v>
      </c>
    </row>
    <row r="195" spans="1:1" x14ac:dyDescent="0.2">
      <c r="A195">
        <v>1690220</v>
      </c>
    </row>
    <row r="196" spans="1:1" x14ac:dyDescent="0.2">
      <c r="A196">
        <v>2772524</v>
      </c>
    </row>
    <row r="197" spans="1:1" x14ac:dyDescent="0.2">
      <c r="A197">
        <v>2631733</v>
      </c>
    </row>
    <row r="198" spans="1:1" x14ac:dyDescent="0.2">
      <c r="A198">
        <v>1165331</v>
      </c>
    </row>
    <row r="199" spans="1:1" x14ac:dyDescent="0.2">
      <c r="A199">
        <v>2675112</v>
      </c>
    </row>
    <row r="200" spans="1:1" x14ac:dyDescent="0.2">
      <c r="A200">
        <v>562083</v>
      </c>
    </row>
    <row r="201" spans="1:1" x14ac:dyDescent="0.2">
      <c r="A201">
        <v>872956</v>
      </c>
    </row>
    <row r="202" spans="1:1" x14ac:dyDescent="0.2">
      <c r="A202">
        <v>941693</v>
      </c>
    </row>
    <row r="203" spans="1:1" x14ac:dyDescent="0.2">
      <c r="A203">
        <v>1082853</v>
      </c>
    </row>
    <row r="204" spans="1:1" x14ac:dyDescent="0.2">
      <c r="A204">
        <v>577587</v>
      </c>
    </row>
    <row r="205" spans="1:1" x14ac:dyDescent="0.2">
      <c r="A205">
        <v>2950092</v>
      </c>
    </row>
    <row r="206" spans="1:1" x14ac:dyDescent="0.2">
      <c r="A206">
        <v>411759</v>
      </c>
    </row>
    <row r="207" spans="1:1" x14ac:dyDescent="0.2">
      <c r="A207">
        <v>2671143</v>
      </c>
    </row>
    <row r="208" spans="1:1" x14ac:dyDescent="0.2">
      <c r="A208">
        <v>1537670</v>
      </c>
    </row>
    <row r="209" spans="1:1" x14ac:dyDescent="0.2">
      <c r="A209">
        <v>1399943</v>
      </c>
    </row>
    <row r="210" spans="1:1" x14ac:dyDescent="0.2">
      <c r="A210">
        <v>1353275</v>
      </c>
    </row>
    <row r="211" spans="1:1" x14ac:dyDescent="0.2">
      <c r="A211">
        <v>2975270</v>
      </c>
    </row>
    <row r="212" spans="1:1" x14ac:dyDescent="0.2">
      <c r="A212">
        <v>1137675</v>
      </c>
    </row>
    <row r="213" spans="1:1" x14ac:dyDescent="0.2">
      <c r="A213">
        <v>2306214</v>
      </c>
    </row>
    <row r="214" spans="1:1" x14ac:dyDescent="0.2">
      <c r="A214">
        <v>1789194</v>
      </c>
    </row>
    <row r="215" spans="1:1" x14ac:dyDescent="0.2">
      <c r="A215">
        <v>577976</v>
      </c>
    </row>
    <row r="216" spans="1:1" x14ac:dyDescent="0.2">
      <c r="A216">
        <v>2185537</v>
      </c>
    </row>
    <row r="217" spans="1:1" x14ac:dyDescent="0.2">
      <c r="A217">
        <v>1083279</v>
      </c>
    </row>
    <row r="218" spans="1:1" x14ac:dyDescent="0.2">
      <c r="A218">
        <v>1191396</v>
      </c>
    </row>
    <row r="219" spans="1:1" x14ac:dyDescent="0.2">
      <c r="A219">
        <v>777796</v>
      </c>
    </row>
    <row r="220" spans="1:1" x14ac:dyDescent="0.2">
      <c r="A220">
        <v>1574559</v>
      </c>
    </row>
    <row r="221" spans="1:1" x14ac:dyDescent="0.2">
      <c r="A221">
        <v>522380</v>
      </c>
    </row>
    <row r="222" spans="1:1" x14ac:dyDescent="0.2">
      <c r="A222">
        <v>2763539</v>
      </c>
    </row>
    <row r="223" spans="1:1" x14ac:dyDescent="0.2">
      <c r="A223">
        <v>2993412</v>
      </c>
    </row>
    <row r="224" spans="1:1" x14ac:dyDescent="0.2">
      <c r="A224">
        <v>2108124</v>
      </c>
    </row>
    <row r="225" spans="1:1" x14ac:dyDescent="0.2">
      <c r="A225">
        <v>1910274</v>
      </c>
    </row>
    <row r="226" spans="1:1" x14ac:dyDescent="0.2">
      <c r="A226">
        <v>804463</v>
      </c>
    </row>
    <row r="227" spans="1:1" x14ac:dyDescent="0.2">
      <c r="A227">
        <v>2293007</v>
      </c>
    </row>
    <row r="228" spans="1:1" x14ac:dyDescent="0.2">
      <c r="A228">
        <v>1956930</v>
      </c>
    </row>
    <row r="229" spans="1:1" x14ac:dyDescent="0.2">
      <c r="A229">
        <v>1245710</v>
      </c>
    </row>
    <row r="230" spans="1:1" x14ac:dyDescent="0.2">
      <c r="A230">
        <v>959137</v>
      </c>
    </row>
    <row r="231" spans="1:1" x14ac:dyDescent="0.2">
      <c r="A231">
        <v>452515</v>
      </c>
    </row>
    <row r="232" spans="1:1" x14ac:dyDescent="0.2">
      <c r="A232">
        <v>1301444</v>
      </c>
    </row>
    <row r="233" spans="1:1" x14ac:dyDescent="0.2">
      <c r="A233">
        <v>439003</v>
      </c>
    </row>
    <row r="234" spans="1:1" x14ac:dyDescent="0.2">
      <c r="A234">
        <v>2594860</v>
      </c>
    </row>
    <row r="235" spans="1:1" x14ac:dyDescent="0.2">
      <c r="A235">
        <v>2078224</v>
      </c>
    </row>
    <row r="236" spans="1:1" x14ac:dyDescent="0.2">
      <c r="A236">
        <v>1048416</v>
      </c>
    </row>
    <row r="237" spans="1:1" x14ac:dyDescent="0.2">
      <c r="A237">
        <v>2492041</v>
      </c>
    </row>
    <row r="238" spans="1:1" x14ac:dyDescent="0.2">
      <c r="A238">
        <v>2329244</v>
      </c>
    </row>
    <row r="239" spans="1:1" x14ac:dyDescent="0.2">
      <c r="A239">
        <v>2404057</v>
      </c>
    </row>
    <row r="240" spans="1:1" x14ac:dyDescent="0.2">
      <c r="A240">
        <v>1150822</v>
      </c>
    </row>
    <row r="241" spans="1:1" x14ac:dyDescent="0.2">
      <c r="A241">
        <v>808062</v>
      </c>
    </row>
    <row r="242" spans="1:1" x14ac:dyDescent="0.2">
      <c r="A242">
        <v>1748107</v>
      </c>
    </row>
    <row r="243" spans="1:1" x14ac:dyDescent="0.2">
      <c r="A243">
        <v>2191314</v>
      </c>
    </row>
    <row r="244" spans="1:1" x14ac:dyDescent="0.2">
      <c r="A244">
        <v>1498522</v>
      </c>
    </row>
    <row r="245" spans="1:1" x14ac:dyDescent="0.2">
      <c r="A245">
        <v>2492855</v>
      </c>
    </row>
    <row r="246" spans="1:1" x14ac:dyDescent="0.2">
      <c r="A246">
        <v>2392629</v>
      </c>
    </row>
    <row r="247" spans="1:1" x14ac:dyDescent="0.2">
      <c r="A247">
        <v>2326000</v>
      </c>
    </row>
    <row r="248" spans="1:1" x14ac:dyDescent="0.2">
      <c r="A248">
        <v>2285903</v>
      </c>
    </row>
    <row r="249" spans="1:1" x14ac:dyDescent="0.2">
      <c r="A249">
        <v>2381061</v>
      </c>
    </row>
    <row r="250" spans="1:1" x14ac:dyDescent="0.2">
      <c r="A250">
        <v>2219875</v>
      </c>
    </row>
    <row r="251" spans="1:1" x14ac:dyDescent="0.2">
      <c r="A251">
        <v>1664724</v>
      </c>
    </row>
    <row r="252" spans="1:1" x14ac:dyDescent="0.2">
      <c r="A252">
        <v>866587</v>
      </c>
    </row>
    <row r="253" spans="1:1" x14ac:dyDescent="0.2">
      <c r="A253">
        <v>2714263</v>
      </c>
    </row>
    <row r="254" spans="1:1" x14ac:dyDescent="0.2">
      <c r="A254">
        <v>1123508</v>
      </c>
    </row>
    <row r="255" spans="1:1" x14ac:dyDescent="0.2">
      <c r="A255">
        <v>1511566</v>
      </c>
    </row>
    <row r="256" spans="1:1" x14ac:dyDescent="0.2">
      <c r="A256">
        <v>541569</v>
      </c>
    </row>
    <row r="257" spans="1:1" x14ac:dyDescent="0.2">
      <c r="A257">
        <v>1965876</v>
      </c>
    </row>
    <row r="258" spans="1:1" x14ac:dyDescent="0.2">
      <c r="A258">
        <v>2565825</v>
      </c>
    </row>
    <row r="259" spans="1:1" x14ac:dyDescent="0.2">
      <c r="A259">
        <v>541770</v>
      </c>
    </row>
    <row r="260" spans="1:1" x14ac:dyDescent="0.2">
      <c r="A260">
        <v>2193246</v>
      </c>
    </row>
    <row r="261" spans="1:1" x14ac:dyDescent="0.2">
      <c r="A261">
        <v>1136757</v>
      </c>
    </row>
    <row r="262" spans="1:1" x14ac:dyDescent="0.2">
      <c r="A262">
        <v>1324794</v>
      </c>
    </row>
    <row r="263" spans="1:1" x14ac:dyDescent="0.2">
      <c r="A263">
        <v>2749545</v>
      </c>
    </row>
    <row r="264" spans="1:1" x14ac:dyDescent="0.2">
      <c r="A264">
        <v>890587</v>
      </c>
    </row>
    <row r="265" spans="1:1" x14ac:dyDescent="0.2">
      <c r="A265">
        <v>1643551</v>
      </c>
    </row>
    <row r="266" spans="1:1" x14ac:dyDescent="0.2">
      <c r="A266">
        <v>1702101</v>
      </c>
    </row>
    <row r="267" spans="1:1" x14ac:dyDescent="0.2">
      <c r="A267">
        <v>504048</v>
      </c>
    </row>
    <row r="268" spans="1:1" x14ac:dyDescent="0.2">
      <c r="A268">
        <v>1368219</v>
      </c>
    </row>
    <row r="269" spans="1:1" x14ac:dyDescent="0.2">
      <c r="A269">
        <v>2773879</v>
      </c>
    </row>
    <row r="270" spans="1:1" x14ac:dyDescent="0.2">
      <c r="A270">
        <v>1932856</v>
      </c>
    </row>
    <row r="271" spans="1:1" x14ac:dyDescent="0.2">
      <c r="A271">
        <v>661085</v>
      </c>
    </row>
    <row r="272" spans="1:1" x14ac:dyDescent="0.2">
      <c r="A272">
        <v>1476368</v>
      </c>
    </row>
    <row r="273" spans="1:1" x14ac:dyDescent="0.2">
      <c r="A273">
        <v>2919704</v>
      </c>
    </row>
    <row r="274" spans="1:1" x14ac:dyDescent="0.2">
      <c r="A274">
        <v>1532789</v>
      </c>
    </row>
    <row r="275" spans="1:1" x14ac:dyDescent="0.2">
      <c r="A275">
        <v>1888561</v>
      </c>
    </row>
    <row r="276" spans="1:1" x14ac:dyDescent="0.2">
      <c r="A276">
        <v>2793491</v>
      </c>
    </row>
    <row r="277" spans="1:1" x14ac:dyDescent="0.2">
      <c r="A277">
        <v>2570508</v>
      </c>
    </row>
    <row r="278" spans="1:1" x14ac:dyDescent="0.2">
      <c r="A278">
        <v>2483037</v>
      </c>
    </row>
    <row r="279" spans="1:1" x14ac:dyDescent="0.2">
      <c r="A279">
        <v>976452</v>
      </c>
    </row>
    <row r="280" spans="1:1" x14ac:dyDescent="0.2">
      <c r="A280">
        <v>445625</v>
      </c>
    </row>
    <row r="281" spans="1:1" x14ac:dyDescent="0.2">
      <c r="A281">
        <v>646466</v>
      </c>
    </row>
    <row r="282" spans="1:1" x14ac:dyDescent="0.2">
      <c r="A282">
        <v>464951</v>
      </c>
    </row>
    <row r="283" spans="1:1" x14ac:dyDescent="0.2">
      <c r="A283">
        <v>869033</v>
      </c>
    </row>
    <row r="284" spans="1:1" x14ac:dyDescent="0.2">
      <c r="A284">
        <v>1775498</v>
      </c>
    </row>
    <row r="285" spans="1:1" x14ac:dyDescent="0.2">
      <c r="A285">
        <v>1840949</v>
      </c>
    </row>
    <row r="286" spans="1:1" x14ac:dyDescent="0.2">
      <c r="A286">
        <v>1122563</v>
      </c>
    </row>
    <row r="287" spans="1:1" x14ac:dyDescent="0.2">
      <c r="A287">
        <v>2956357</v>
      </c>
    </row>
    <row r="288" spans="1:1" x14ac:dyDescent="0.2">
      <c r="A288">
        <v>1035932</v>
      </c>
    </row>
    <row r="289" spans="1:1" x14ac:dyDescent="0.2">
      <c r="A289">
        <v>544951</v>
      </c>
    </row>
    <row r="290" spans="1:1" x14ac:dyDescent="0.2">
      <c r="A290">
        <v>1676826</v>
      </c>
    </row>
    <row r="291" spans="1:1" x14ac:dyDescent="0.2">
      <c r="A291">
        <v>2868311</v>
      </c>
    </row>
    <row r="292" spans="1:1" x14ac:dyDescent="0.2">
      <c r="A292">
        <v>2300360</v>
      </c>
    </row>
    <row r="293" spans="1:1" x14ac:dyDescent="0.2">
      <c r="A293">
        <v>1949841</v>
      </c>
    </row>
    <row r="294" spans="1:1" x14ac:dyDescent="0.2">
      <c r="A294">
        <v>2496866</v>
      </c>
    </row>
    <row r="295" spans="1:1" x14ac:dyDescent="0.2">
      <c r="A295">
        <v>1916647</v>
      </c>
    </row>
    <row r="296" spans="1:1" x14ac:dyDescent="0.2">
      <c r="A296">
        <v>1879180</v>
      </c>
    </row>
    <row r="297" spans="1:1" x14ac:dyDescent="0.2">
      <c r="A297">
        <v>1848135</v>
      </c>
    </row>
    <row r="298" spans="1:1" x14ac:dyDescent="0.2">
      <c r="A298">
        <v>2922160</v>
      </c>
    </row>
    <row r="299" spans="1:1" x14ac:dyDescent="0.2">
      <c r="A299">
        <v>1217885</v>
      </c>
    </row>
    <row r="300" spans="1:1" x14ac:dyDescent="0.2">
      <c r="A300">
        <v>1460595</v>
      </c>
    </row>
    <row r="301" spans="1:1" x14ac:dyDescent="0.2">
      <c r="A301">
        <v>2112842</v>
      </c>
    </row>
    <row r="302" spans="1:1" x14ac:dyDescent="0.2">
      <c r="A302">
        <v>1818745</v>
      </c>
    </row>
    <row r="303" spans="1:1" x14ac:dyDescent="0.2">
      <c r="A303">
        <v>2466458</v>
      </c>
    </row>
    <row r="304" spans="1:1" x14ac:dyDescent="0.2">
      <c r="A304">
        <v>1327774</v>
      </c>
    </row>
    <row r="305" spans="1:1" x14ac:dyDescent="0.2">
      <c r="A305">
        <v>1395239</v>
      </c>
    </row>
    <row r="306" spans="1:1" x14ac:dyDescent="0.2">
      <c r="A306">
        <v>462818</v>
      </c>
    </row>
    <row r="307" spans="1:1" x14ac:dyDescent="0.2">
      <c r="A307">
        <v>2017521</v>
      </c>
    </row>
    <row r="308" spans="1:1" x14ac:dyDescent="0.2">
      <c r="A308">
        <v>927176</v>
      </c>
    </row>
    <row r="309" spans="1:1" x14ac:dyDescent="0.2">
      <c r="A309">
        <v>587967</v>
      </c>
    </row>
    <row r="310" spans="1:1" x14ac:dyDescent="0.2">
      <c r="A310">
        <v>2257073</v>
      </c>
    </row>
    <row r="311" spans="1:1" x14ac:dyDescent="0.2">
      <c r="A311">
        <v>1314052</v>
      </c>
    </row>
    <row r="312" spans="1:1" x14ac:dyDescent="0.2">
      <c r="A312">
        <v>2244997</v>
      </c>
    </row>
    <row r="313" spans="1:1" x14ac:dyDescent="0.2">
      <c r="A313">
        <v>2111297</v>
      </c>
    </row>
    <row r="314" spans="1:1" x14ac:dyDescent="0.2">
      <c r="A314">
        <v>1440011</v>
      </c>
    </row>
    <row r="315" spans="1:1" x14ac:dyDescent="0.2">
      <c r="A315">
        <v>778488</v>
      </c>
    </row>
    <row r="316" spans="1:1" x14ac:dyDescent="0.2">
      <c r="A316">
        <v>2418717</v>
      </c>
    </row>
    <row r="317" spans="1:1" x14ac:dyDescent="0.2">
      <c r="A317">
        <v>1102091</v>
      </c>
    </row>
    <row r="318" spans="1:1" x14ac:dyDescent="0.2">
      <c r="A318">
        <v>2436940</v>
      </c>
    </row>
    <row r="319" spans="1:1" x14ac:dyDescent="0.2">
      <c r="A319">
        <v>866777</v>
      </c>
    </row>
    <row r="320" spans="1:1" x14ac:dyDescent="0.2">
      <c r="A320">
        <v>2652724</v>
      </c>
    </row>
    <row r="321" spans="1:1" x14ac:dyDescent="0.2">
      <c r="A321">
        <v>1746174</v>
      </c>
    </row>
    <row r="322" spans="1:1" x14ac:dyDescent="0.2">
      <c r="A322">
        <v>1928718</v>
      </c>
    </row>
    <row r="323" spans="1:1" x14ac:dyDescent="0.2">
      <c r="A323">
        <v>2432692</v>
      </c>
    </row>
    <row r="324" spans="1:1" x14ac:dyDescent="0.2">
      <c r="A324">
        <v>2036889</v>
      </c>
    </row>
    <row r="325" spans="1:1" x14ac:dyDescent="0.2">
      <c r="A325">
        <v>2892479</v>
      </c>
    </row>
    <row r="326" spans="1:1" x14ac:dyDescent="0.2">
      <c r="A326">
        <v>543012</v>
      </c>
    </row>
    <row r="327" spans="1:1" x14ac:dyDescent="0.2">
      <c r="A327">
        <v>644003</v>
      </c>
    </row>
    <row r="328" spans="1:1" x14ac:dyDescent="0.2">
      <c r="A328">
        <v>1577209</v>
      </c>
    </row>
    <row r="329" spans="1:1" x14ac:dyDescent="0.2">
      <c r="A329">
        <v>2015994</v>
      </c>
    </row>
    <row r="330" spans="1:1" x14ac:dyDescent="0.2">
      <c r="A330">
        <v>862392</v>
      </c>
    </row>
    <row r="331" spans="1:1" x14ac:dyDescent="0.2">
      <c r="A331">
        <v>1584463</v>
      </c>
    </row>
    <row r="332" spans="1:1" x14ac:dyDescent="0.2">
      <c r="A332">
        <v>2842902</v>
      </c>
    </row>
    <row r="333" spans="1:1" x14ac:dyDescent="0.2">
      <c r="A333">
        <v>765608</v>
      </c>
    </row>
    <row r="334" spans="1:1" x14ac:dyDescent="0.2">
      <c r="A334">
        <v>1928584</v>
      </c>
    </row>
    <row r="335" spans="1:1" x14ac:dyDescent="0.2">
      <c r="A335">
        <v>1269223</v>
      </c>
    </row>
    <row r="336" spans="1:1" x14ac:dyDescent="0.2">
      <c r="A336">
        <v>704282</v>
      </c>
    </row>
    <row r="337" spans="1:1" x14ac:dyDescent="0.2">
      <c r="A337">
        <v>639387</v>
      </c>
    </row>
    <row r="338" spans="1:1" x14ac:dyDescent="0.2">
      <c r="A338">
        <v>1618368</v>
      </c>
    </row>
    <row r="339" spans="1:1" x14ac:dyDescent="0.2">
      <c r="A339">
        <v>2648029</v>
      </c>
    </row>
    <row r="340" spans="1:1" x14ac:dyDescent="0.2">
      <c r="A340">
        <v>2307407</v>
      </c>
    </row>
    <row r="341" spans="1:1" x14ac:dyDescent="0.2">
      <c r="A341">
        <v>1097379</v>
      </c>
    </row>
    <row r="342" spans="1:1" x14ac:dyDescent="0.2">
      <c r="A342">
        <v>2043416</v>
      </c>
    </row>
    <row r="343" spans="1:1" x14ac:dyDescent="0.2">
      <c r="A343">
        <v>981154</v>
      </c>
    </row>
    <row r="344" spans="1:1" x14ac:dyDescent="0.2">
      <c r="A344">
        <v>1727068</v>
      </c>
    </row>
    <row r="345" spans="1:1" x14ac:dyDescent="0.2">
      <c r="A345">
        <v>1260423</v>
      </c>
    </row>
    <row r="346" spans="1:1" x14ac:dyDescent="0.2">
      <c r="A346">
        <v>1676234</v>
      </c>
    </row>
    <row r="347" spans="1:1" x14ac:dyDescent="0.2">
      <c r="A347">
        <v>1372360</v>
      </c>
    </row>
    <row r="348" spans="1:1" x14ac:dyDescent="0.2">
      <c r="A348">
        <v>2959291</v>
      </c>
    </row>
    <row r="349" spans="1:1" x14ac:dyDescent="0.2">
      <c r="A349">
        <v>412633</v>
      </c>
    </row>
    <row r="350" spans="1:1" x14ac:dyDescent="0.2">
      <c r="A350">
        <v>1901954</v>
      </c>
    </row>
    <row r="351" spans="1:1" x14ac:dyDescent="0.2">
      <c r="A351">
        <v>2077138</v>
      </c>
    </row>
    <row r="352" spans="1:1" x14ac:dyDescent="0.2">
      <c r="A352">
        <v>526231</v>
      </c>
    </row>
    <row r="353" spans="1:1" x14ac:dyDescent="0.2">
      <c r="A353">
        <v>2527058</v>
      </c>
    </row>
    <row r="354" spans="1:1" x14ac:dyDescent="0.2">
      <c r="A354">
        <v>1150844</v>
      </c>
    </row>
    <row r="355" spans="1:1" x14ac:dyDescent="0.2">
      <c r="A355">
        <v>2538615</v>
      </c>
    </row>
    <row r="356" spans="1:1" x14ac:dyDescent="0.2">
      <c r="A356">
        <v>695478</v>
      </c>
    </row>
    <row r="357" spans="1:1" x14ac:dyDescent="0.2">
      <c r="A357">
        <v>1947106</v>
      </c>
    </row>
    <row r="358" spans="1:1" x14ac:dyDescent="0.2">
      <c r="A358">
        <v>2685264</v>
      </c>
    </row>
    <row r="359" spans="1:1" x14ac:dyDescent="0.2">
      <c r="A359">
        <v>566250</v>
      </c>
    </row>
    <row r="360" spans="1:1" x14ac:dyDescent="0.2">
      <c r="A360">
        <v>1657343</v>
      </c>
    </row>
    <row r="361" spans="1:1" x14ac:dyDescent="0.2">
      <c r="A361">
        <v>911591</v>
      </c>
    </row>
    <row r="362" spans="1:1" x14ac:dyDescent="0.2">
      <c r="A362">
        <v>762664</v>
      </c>
    </row>
    <row r="363" spans="1:1" x14ac:dyDescent="0.2">
      <c r="A363">
        <v>1540676</v>
      </c>
    </row>
    <row r="364" spans="1:1" x14ac:dyDescent="0.2">
      <c r="A364">
        <v>538173</v>
      </c>
    </row>
    <row r="365" spans="1:1" x14ac:dyDescent="0.2">
      <c r="A365">
        <v>695697</v>
      </c>
    </row>
    <row r="366" spans="1:1" x14ac:dyDescent="0.2">
      <c r="A366">
        <v>1967167</v>
      </c>
    </row>
    <row r="367" spans="1:1" x14ac:dyDescent="0.2">
      <c r="A367">
        <v>2705447</v>
      </c>
    </row>
    <row r="368" spans="1:1" x14ac:dyDescent="0.2">
      <c r="A368">
        <v>1898380</v>
      </c>
    </row>
    <row r="369" spans="1:1" x14ac:dyDescent="0.2">
      <c r="A369">
        <v>915515</v>
      </c>
    </row>
    <row r="370" spans="1:1" x14ac:dyDescent="0.2">
      <c r="A370">
        <v>1054572</v>
      </c>
    </row>
    <row r="371" spans="1:1" x14ac:dyDescent="0.2">
      <c r="A371">
        <v>2809214</v>
      </c>
    </row>
    <row r="372" spans="1:1" x14ac:dyDescent="0.2">
      <c r="A372">
        <v>1543327</v>
      </c>
    </row>
    <row r="373" spans="1:1" x14ac:dyDescent="0.2">
      <c r="A373">
        <v>667414</v>
      </c>
    </row>
    <row r="374" spans="1:1" x14ac:dyDescent="0.2">
      <c r="A374">
        <v>1357555</v>
      </c>
    </row>
    <row r="375" spans="1:1" x14ac:dyDescent="0.2">
      <c r="A375">
        <v>1599238</v>
      </c>
    </row>
    <row r="376" spans="1:1" x14ac:dyDescent="0.2">
      <c r="A376">
        <v>1902153</v>
      </c>
    </row>
    <row r="377" spans="1:1" x14ac:dyDescent="0.2">
      <c r="A377">
        <v>2554157</v>
      </c>
    </row>
    <row r="378" spans="1:1" x14ac:dyDescent="0.2">
      <c r="A378">
        <v>695432</v>
      </c>
    </row>
    <row r="379" spans="1:1" x14ac:dyDescent="0.2">
      <c r="A379">
        <v>490765</v>
      </c>
    </row>
    <row r="380" spans="1:1" x14ac:dyDescent="0.2">
      <c r="A380">
        <v>1720693</v>
      </c>
    </row>
    <row r="381" spans="1:1" x14ac:dyDescent="0.2">
      <c r="A381">
        <v>738346</v>
      </c>
    </row>
    <row r="382" spans="1:1" x14ac:dyDescent="0.2">
      <c r="A382">
        <v>807845</v>
      </c>
    </row>
    <row r="383" spans="1:1" x14ac:dyDescent="0.2">
      <c r="A383">
        <v>420052</v>
      </c>
    </row>
    <row r="384" spans="1:1" x14ac:dyDescent="0.2">
      <c r="A384">
        <v>1031533</v>
      </c>
    </row>
    <row r="385" spans="1:1" x14ac:dyDescent="0.2">
      <c r="A385">
        <v>2763955</v>
      </c>
    </row>
    <row r="386" spans="1:1" x14ac:dyDescent="0.2">
      <c r="A386">
        <v>1477525</v>
      </c>
    </row>
    <row r="387" spans="1:1" x14ac:dyDescent="0.2">
      <c r="A387">
        <v>609020</v>
      </c>
    </row>
    <row r="388" spans="1:1" x14ac:dyDescent="0.2">
      <c r="A388">
        <v>2560014</v>
      </c>
    </row>
    <row r="389" spans="1:1" x14ac:dyDescent="0.2">
      <c r="A389">
        <v>566920</v>
      </c>
    </row>
    <row r="390" spans="1:1" x14ac:dyDescent="0.2">
      <c r="A390">
        <v>482230</v>
      </c>
    </row>
    <row r="391" spans="1:1" x14ac:dyDescent="0.2">
      <c r="A391">
        <v>2187034</v>
      </c>
    </row>
    <row r="392" spans="1:1" x14ac:dyDescent="0.2">
      <c r="A392">
        <v>1394981</v>
      </c>
    </row>
    <row r="393" spans="1:1" x14ac:dyDescent="0.2">
      <c r="A393">
        <v>2295703</v>
      </c>
    </row>
    <row r="394" spans="1:1" x14ac:dyDescent="0.2">
      <c r="A394">
        <v>2049505</v>
      </c>
    </row>
    <row r="395" spans="1:1" x14ac:dyDescent="0.2">
      <c r="A395">
        <v>2288835</v>
      </c>
    </row>
    <row r="396" spans="1:1" x14ac:dyDescent="0.2">
      <c r="A396">
        <v>2407365</v>
      </c>
    </row>
    <row r="397" spans="1:1" x14ac:dyDescent="0.2">
      <c r="A397">
        <v>1618957</v>
      </c>
    </row>
    <row r="398" spans="1:1" x14ac:dyDescent="0.2">
      <c r="A398">
        <v>1230709</v>
      </c>
    </row>
    <row r="399" spans="1:1" x14ac:dyDescent="0.2">
      <c r="A399">
        <v>700887</v>
      </c>
    </row>
    <row r="400" spans="1:1" x14ac:dyDescent="0.2">
      <c r="A400">
        <v>2679545</v>
      </c>
    </row>
    <row r="401" spans="1:1" x14ac:dyDescent="0.2">
      <c r="A401">
        <v>863047</v>
      </c>
    </row>
    <row r="402" spans="1:1" x14ac:dyDescent="0.2">
      <c r="A402">
        <v>2825104</v>
      </c>
    </row>
    <row r="403" spans="1:1" x14ac:dyDescent="0.2">
      <c r="A403">
        <v>1465455</v>
      </c>
    </row>
    <row r="404" spans="1:1" x14ac:dyDescent="0.2">
      <c r="A404">
        <v>464475</v>
      </c>
    </row>
    <row r="405" spans="1:1" x14ac:dyDescent="0.2">
      <c r="A405">
        <v>2144249</v>
      </c>
    </row>
    <row r="406" spans="1:1" x14ac:dyDescent="0.2">
      <c r="A406">
        <v>2995602</v>
      </c>
    </row>
    <row r="407" spans="1:1" x14ac:dyDescent="0.2">
      <c r="A407">
        <v>1284454</v>
      </c>
    </row>
    <row r="408" spans="1:1" x14ac:dyDescent="0.2">
      <c r="A408">
        <v>675010</v>
      </c>
    </row>
    <row r="409" spans="1:1" x14ac:dyDescent="0.2">
      <c r="A409">
        <v>452545</v>
      </c>
    </row>
    <row r="410" spans="1:1" x14ac:dyDescent="0.2">
      <c r="A410">
        <v>537605</v>
      </c>
    </row>
    <row r="411" spans="1:1" x14ac:dyDescent="0.2">
      <c r="A411">
        <v>2291309</v>
      </c>
    </row>
    <row r="412" spans="1:1" x14ac:dyDescent="0.2">
      <c r="A412">
        <v>1924978</v>
      </c>
    </row>
    <row r="413" spans="1:1" x14ac:dyDescent="0.2">
      <c r="A413">
        <v>2776021</v>
      </c>
    </row>
    <row r="414" spans="1:1" x14ac:dyDescent="0.2">
      <c r="A414">
        <v>1968020</v>
      </c>
    </row>
    <row r="415" spans="1:1" x14ac:dyDescent="0.2">
      <c r="A415">
        <v>2849130</v>
      </c>
    </row>
    <row r="416" spans="1:1" x14ac:dyDescent="0.2">
      <c r="A416">
        <v>1402505</v>
      </c>
    </row>
    <row r="417" spans="1:1" x14ac:dyDescent="0.2">
      <c r="A417">
        <v>1785279</v>
      </c>
    </row>
    <row r="418" spans="1:1" x14ac:dyDescent="0.2">
      <c r="A418">
        <v>2978886</v>
      </c>
    </row>
    <row r="419" spans="1:1" x14ac:dyDescent="0.2">
      <c r="A419">
        <v>2893168</v>
      </c>
    </row>
    <row r="420" spans="1:1" x14ac:dyDescent="0.2">
      <c r="A420">
        <v>1663734</v>
      </c>
    </row>
    <row r="421" spans="1:1" x14ac:dyDescent="0.2">
      <c r="A421">
        <v>2608664</v>
      </c>
    </row>
    <row r="422" spans="1:1" x14ac:dyDescent="0.2">
      <c r="A422">
        <v>1871529</v>
      </c>
    </row>
    <row r="423" spans="1:1" x14ac:dyDescent="0.2">
      <c r="A423">
        <v>1840338</v>
      </c>
    </row>
    <row r="424" spans="1:1" x14ac:dyDescent="0.2">
      <c r="A424">
        <v>2315924</v>
      </c>
    </row>
    <row r="425" spans="1:1" x14ac:dyDescent="0.2">
      <c r="A425">
        <v>2864644</v>
      </c>
    </row>
    <row r="426" spans="1:1" x14ac:dyDescent="0.2">
      <c r="A426">
        <v>1295825</v>
      </c>
    </row>
    <row r="427" spans="1:1" x14ac:dyDescent="0.2">
      <c r="A427">
        <v>1894500</v>
      </c>
    </row>
    <row r="428" spans="1:1" x14ac:dyDescent="0.2">
      <c r="A428">
        <v>1499966</v>
      </c>
    </row>
    <row r="429" spans="1:1" x14ac:dyDescent="0.2">
      <c r="A429">
        <v>1272430</v>
      </c>
    </row>
    <row r="430" spans="1:1" x14ac:dyDescent="0.2">
      <c r="A430">
        <v>2796740</v>
      </c>
    </row>
    <row r="431" spans="1:1" x14ac:dyDescent="0.2">
      <c r="A431">
        <v>440706</v>
      </c>
    </row>
    <row r="432" spans="1:1" x14ac:dyDescent="0.2">
      <c r="A432">
        <v>2858560</v>
      </c>
    </row>
    <row r="433" spans="1:1" x14ac:dyDescent="0.2">
      <c r="A433">
        <v>944152</v>
      </c>
    </row>
    <row r="434" spans="1:1" x14ac:dyDescent="0.2">
      <c r="A434">
        <v>2851816</v>
      </c>
    </row>
    <row r="435" spans="1:1" x14ac:dyDescent="0.2">
      <c r="A435">
        <v>1482429</v>
      </c>
    </row>
    <row r="436" spans="1:1" x14ac:dyDescent="0.2">
      <c r="A436">
        <v>827508</v>
      </c>
    </row>
    <row r="437" spans="1:1" x14ac:dyDescent="0.2">
      <c r="A437">
        <v>2340341</v>
      </c>
    </row>
    <row r="438" spans="1:1" x14ac:dyDescent="0.2">
      <c r="A438">
        <v>741807</v>
      </c>
    </row>
    <row r="439" spans="1:1" x14ac:dyDescent="0.2">
      <c r="A439">
        <v>1160349</v>
      </c>
    </row>
    <row r="440" spans="1:1" x14ac:dyDescent="0.2">
      <c r="A440">
        <v>412991</v>
      </c>
    </row>
    <row r="441" spans="1:1" x14ac:dyDescent="0.2">
      <c r="A441">
        <v>486278</v>
      </c>
    </row>
    <row r="442" spans="1:1" x14ac:dyDescent="0.2">
      <c r="A442">
        <v>1394949</v>
      </c>
    </row>
    <row r="443" spans="1:1" x14ac:dyDescent="0.2">
      <c r="A443">
        <v>1650030</v>
      </c>
    </row>
    <row r="444" spans="1:1" x14ac:dyDescent="0.2">
      <c r="A444">
        <v>2782874</v>
      </c>
    </row>
    <row r="445" spans="1:1" x14ac:dyDescent="0.2">
      <c r="A445">
        <v>2573825</v>
      </c>
    </row>
    <row r="446" spans="1:1" x14ac:dyDescent="0.2">
      <c r="A446">
        <v>1121014</v>
      </c>
    </row>
    <row r="447" spans="1:1" x14ac:dyDescent="0.2">
      <c r="A447">
        <v>692106</v>
      </c>
    </row>
    <row r="448" spans="1:1" x14ac:dyDescent="0.2">
      <c r="A448">
        <v>2326347</v>
      </c>
    </row>
    <row r="449" spans="1:1" x14ac:dyDescent="0.2">
      <c r="A449">
        <v>941823</v>
      </c>
    </row>
    <row r="450" spans="1:1" x14ac:dyDescent="0.2">
      <c r="A450">
        <v>2968704</v>
      </c>
    </row>
    <row r="451" spans="1:1" x14ac:dyDescent="0.2">
      <c r="A451">
        <v>2501548</v>
      </c>
    </row>
    <row r="452" spans="1:1" x14ac:dyDescent="0.2">
      <c r="A452">
        <v>2254652</v>
      </c>
    </row>
    <row r="453" spans="1:1" x14ac:dyDescent="0.2">
      <c r="A453">
        <v>2913168</v>
      </c>
    </row>
    <row r="454" spans="1:1" x14ac:dyDescent="0.2">
      <c r="A454">
        <v>843113</v>
      </c>
    </row>
    <row r="455" spans="1:1" x14ac:dyDescent="0.2">
      <c r="A455">
        <v>1290813</v>
      </c>
    </row>
    <row r="456" spans="1:1" x14ac:dyDescent="0.2">
      <c r="A456">
        <v>1780564</v>
      </c>
    </row>
    <row r="457" spans="1:1" x14ac:dyDescent="0.2">
      <c r="A457">
        <v>1083302</v>
      </c>
    </row>
    <row r="458" spans="1:1" x14ac:dyDescent="0.2">
      <c r="A458">
        <v>1297191</v>
      </c>
    </row>
    <row r="459" spans="1:1" x14ac:dyDescent="0.2">
      <c r="A459">
        <v>1140654</v>
      </c>
    </row>
    <row r="460" spans="1:1" x14ac:dyDescent="0.2">
      <c r="A460">
        <v>2257095</v>
      </c>
    </row>
    <row r="461" spans="1:1" x14ac:dyDescent="0.2">
      <c r="A461">
        <v>1108773</v>
      </c>
    </row>
    <row r="462" spans="1:1" x14ac:dyDescent="0.2">
      <c r="A462">
        <v>724292</v>
      </c>
    </row>
    <row r="463" spans="1:1" x14ac:dyDescent="0.2">
      <c r="A463">
        <v>1961630</v>
      </c>
    </row>
    <row r="464" spans="1:1" x14ac:dyDescent="0.2">
      <c r="A464">
        <v>1635361</v>
      </c>
    </row>
    <row r="465" spans="1:1" x14ac:dyDescent="0.2">
      <c r="A465">
        <v>2631357</v>
      </c>
    </row>
    <row r="466" spans="1:1" x14ac:dyDescent="0.2">
      <c r="A466">
        <v>1644263</v>
      </c>
    </row>
    <row r="467" spans="1:1" x14ac:dyDescent="0.2">
      <c r="A467">
        <v>2967026</v>
      </c>
    </row>
    <row r="468" spans="1:1" x14ac:dyDescent="0.2">
      <c r="A468">
        <v>716841</v>
      </c>
    </row>
    <row r="469" spans="1:1" x14ac:dyDescent="0.2">
      <c r="A469">
        <v>1457355</v>
      </c>
    </row>
    <row r="470" spans="1:1" x14ac:dyDescent="0.2">
      <c r="A470">
        <v>2736800</v>
      </c>
    </row>
    <row r="471" spans="1:1" x14ac:dyDescent="0.2">
      <c r="A471">
        <v>2560151</v>
      </c>
    </row>
    <row r="472" spans="1:1" x14ac:dyDescent="0.2">
      <c r="A472">
        <v>762725</v>
      </c>
    </row>
    <row r="473" spans="1:1" x14ac:dyDescent="0.2">
      <c r="A473">
        <v>1201827</v>
      </c>
    </row>
    <row r="474" spans="1:1" x14ac:dyDescent="0.2">
      <c r="A474">
        <v>550502</v>
      </c>
    </row>
    <row r="475" spans="1:1" x14ac:dyDescent="0.2">
      <c r="A475">
        <v>2971137</v>
      </c>
    </row>
    <row r="476" spans="1:1" x14ac:dyDescent="0.2">
      <c r="A476">
        <v>2600449</v>
      </c>
    </row>
    <row r="477" spans="1:1" x14ac:dyDescent="0.2">
      <c r="A477">
        <v>2072009</v>
      </c>
    </row>
    <row r="478" spans="1:1" x14ac:dyDescent="0.2">
      <c r="A478">
        <v>641596</v>
      </c>
    </row>
    <row r="479" spans="1:1" x14ac:dyDescent="0.2">
      <c r="A479">
        <v>1085324</v>
      </c>
    </row>
    <row r="480" spans="1:1" x14ac:dyDescent="0.2">
      <c r="A480">
        <v>2786894</v>
      </c>
    </row>
    <row r="481" spans="1:1" x14ac:dyDescent="0.2">
      <c r="A481">
        <v>1704076</v>
      </c>
    </row>
    <row r="482" spans="1:1" x14ac:dyDescent="0.2">
      <c r="A482">
        <v>2674534</v>
      </c>
    </row>
    <row r="483" spans="1:1" x14ac:dyDescent="0.2">
      <c r="A483">
        <v>2932419</v>
      </c>
    </row>
    <row r="484" spans="1:1" x14ac:dyDescent="0.2">
      <c r="A484">
        <v>987034</v>
      </c>
    </row>
    <row r="485" spans="1:1" x14ac:dyDescent="0.2">
      <c r="A485">
        <v>1059064</v>
      </c>
    </row>
    <row r="486" spans="1:1" x14ac:dyDescent="0.2">
      <c r="A486">
        <v>2475651</v>
      </c>
    </row>
    <row r="487" spans="1:1" x14ac:dyDescent="0.2">
      <c r="A487">
        <v>2654346</v>
      </c>
    </row>
    <row r="488" spans="1:1" x14ac:dyDescent="0.2">
      <c r="A488">
        <v>892322</v>
      </c>
    </row>
    <row r="489" spans="1:1" x14ac:dyDescent="0.2">
      <c r="A489">
        <v>1449009</v>
      </c>
    </row>
    <row r="490" spans="1:1" x14ac:dyDescent="0.2">
      <c r="A490">
        <v>535714</v>
      </c>
    </row>
    <row r="491" spans="1:1" x14ac:dyDescent="0.2">
      <c r="A491">
        <v>2687426</v>
      </c>
    </row>
    <row r="492" spans="1:1" x14ac:dyDescent="0.2">
      <c r="A492">
        <v>1821814</v>
      </c>
    </row>
    <row r="493" spans="1:1" x14ac:dyDescent="0.2">
      <c r="A493">
        <v>2279020</v>
      </c>
    </row>
    <row r="494" spans="1:1" x14ac:dyDescent="0.2">
      <c r="A494">
        <v>2061029</v>
      </c>
    </row>
    <row r="495" spans="1:1" x14ac:dyDescent="0.2">
      <c r="A495">
        <v>1249589</v>
      </c>
    </row>
    <row r="496" spans="1:1" x14ac:dyDescent="0.2">
      <c r="A496">
        <v>2586329</v>
      </c>
    </row>
    <row r="497" spans="1:1" x14ac:dyDescent="0.2">
      <c r="A497">
        <v>1693403</v>
      </c>
    </row>
    <row r="498" spans="1:1" x14ac:dyDescent="0.2">
      <c r="A498">
        <v>2099007</v>
      </c>
    </row>
    <row r="499" spans="1:1" x14ac:dyDescent="0.2">
      <c r="A499">
        <v>2316862</v>
      </c>
    </row>
    <row r="500" spans="1:1" x14ac:dyDescent="0.2">
      <c r="A500">
        <v>2875169</v>
      </c>
    </row>
    <row r="501" spans="1:1" x14ac:dyDescent="0.2">
      <c r="A501">
        <v>442950</v>
      </c>
    </row>
    <row r="502" spans="1:1" x14ac:dyDescent="0.2">
      <c r="A502">
        <v>2035000</v>
      </c>
    </row>
    <row r="503" spans="1:1" x14ac:dyDescent="0.2">
      <c r="A503">
        <v>664473</v>
      </c>
    </row>
    <row r="504" spans="1:1" x14ac:dyDescent="0.2">
      <c r="A504">
        <v>1772108</v>
      </c>
    </row>
    <row r="505" spans="1:1" x14ac:dyDescent="0.2">
      <c r="A505">
        <v>882545</v>
      </c>
    </row>
    <row r="506" spans="1:1" x14ac:dyDescent="0.2">
      <c r="A506">
        <v>2359666</v>
      </c>
    </row>
    <row r="507" spans="1:1" x14ac:dyDescent="0.2">
      <c r="A507">
        <v>1280743</v>
      </c>
    </row>
    <row r="508" spans="1:1" x14ac:dyDescent="0.2">
      <c r="A508">
        <v>924593</v>
      </c>
    </row>
    <row r="509" spans="1:1" x14ac:dyDescent="0.2">
      <c r="A509">
        <v>2276325</v>
      </c>
    </row>
    <row r="510" spans="1:1" x14ac:dyDescent="0.2">
      <c r="A510">
        <v>2145433</v>
      </c>
    </row>
    <row r="511" spans="1:1" x14ac:dyDescent="0.2">
      <c r="A511">
        <v>1205890</v>
      </c>
    </row>
    <row r="512" spans="1:1" x14ac:dyDescent="0.2">
      <c r="A512">
        <v>1036456</v>
      </c>
    </row>
    <row r="513" spans="1:1" x14ac:dyDescent="0.2">
      <c r="A513">
        <v>527683</v>
      </c>
    </row>
    <row r="514" spans="1:1" x14ac:dyDescent="0.2">
      <c r="A514">
        <v>1202626</v>
      </c>
    </row>
    <row r="515" spans="1:1" x14ac:dyDescent="0.2">
      <c r="A515">
        <v>540380</v>
      </c>
    </row>
    <row r="516" spans="1:1" x14ac:dyDescent="0.2">
      <c r="A516">
        <v>2992411</v>
      </c>
    </row>
    <row r="517" spans="1:1" x14ac:dyDescent="0.2">
      <c r="A517">
        <v>1505833</v>
      </c>
    </row>
    <row r="518" spans="1:1" x14ac:dyDescent="0.2">
      <c r="A518">
        <v>2112362</v>
      </c>
    </row>
    <row r="519" spans="1:1" x14ac:dyDescent="0.2">
      <c r="A519">
        <v>559378</v>
      </c>
    </row>
    <row r="520" spans="1:1" x14ac:dyDescent="0.2">
      <c r="A520">
        <v>977119</v>
      </c>
    </row>
    <row r="521" spans="1:1" x14ac:dyDescent="0.2">
      <c r="A521">
        <v>1549110</v>
      </c>
    </row>
    <row r="522" spans="1:1" x14ac:dyDescent="0.2">
      <c r="A522">
        <v>802865</v>
      </c>
    </row>
    <row r="523" spans="1:1" x14ac:dyDescent="0.2">
      <c r="A523">
        <v>1825457</v>
      </c>
    </row>
    <row r="524" spans="1:1" x14ac:dyDescent="0.2">
      <c r="A524">
        <v>481271</v>
      </c>
    </row>
    <row r="525" spans="1:1" x14ac:dyDescent="0.2">
      <c r="A525">
        <v>1034848</v>
      </c>
    </row>
    <row r="526" spans="1:1" x14ac:dyDescent="0.2">
      <c r="A526">
        <v>622564</v>
      </c>
    </row>
    <row r="527" spans="1:1" x14ac:dyDescent="0.2">
      <c r="A527">
        <v>1931533</v>
      </c>
    </row>
    <row r="528" spans="1:1" x14ac:dyDescent="0.2">
      <c r="A528">
        <v>1304423</v>
      </c>
    </row>
    <row r="529" spans="1:1" x14ac:dyDescent="0.2">
      <c r="A529">
        <v>463591</v>
      </c>
    </row>
    <row r="530" spans="1:1" x14ac:dyDescent="0.2">
      <c r="A530">
        <v>1639685</v>
      </c>
    </row>
    <row r="531" spans="1:1" x14ac:dyDescent="0.2">
      <c r="A531">
        <v>1361206</v>
      </c>
    </row>
    <row r="532" spans="1:1" x14ac:dyDescent="0.2">
      <c r="A532">
        <v>1648759</v>
      </c>
    </row>
    <row r="533" spans="1:1" x14ac:dyDescent="0.2">
      <c r="A533">
        <v>2006391</v>
      </c>
    </row>
    <row r="534" spans="1:1" x14ac:dyDescent="0.2">
      <c r="A534">
        <v>1060185</v>
      </c>
    </row>
    <row r="535" spans="1:1" x14ac:dyDescent="0.2">
      <c r="A535">
        <v>1694469</v>
      </c>
    </row>
    <row r="536" spans="1:1" x14ac:dyDescent="0.2">
      <c r="A536">
        <v>2440628</v>
      </c>
    </row>
    <row r="537" spans="1:1" x14ac:dyDescent="0.2">
      <c r="A537">
        <v>828427</v>
      </c>
    </row>
    <row r="538" spans="1:1" x14ac:dyDescent="0.2">
      <c r="A538">
        <v>1468091</v>
      </c>
    </row>
    <row r="539" spans="1:1" x14ac:dyDescent="0.2">
      <c r="A539">
        <v>696955</v>
      </c>
    </row>
    <row r="540" spans="1:1" x14ac:dyDescent="0.2">
      <c r="A540">
        <v>2930933</v>
      </c>
    </row>
    <row r="541" spans="1:1" x14ac:dyDescent="0.2">
      <c r="A541">
        <v>1834621</v>
      </c>
    </row>
    <row r="542" spans="1:1" x14ac:dyDescent="0.2">
      <c r="A542">
        <v>2406211</v>
      </c>
    </row>
    <row r="543" spans="1:1" x14ac:dyDescent="0.2">
      <c r="A543">
        <v>2031272</v>
      </c>
    </row>
    <row r="544" spans="1:1" x14ac:dyDescent="0.2">
      <c r="A544">
        <v>2512486</v>
      </c>
    </row>
    <row r="545" spans="1:1" x14ac:dyDescent="0.2">
      <c r="A545">
        <v>1728151</v>
      </c>
    </row>
    <row r="546" spans="1:1" x14ac:dyDescent="0.2">
      <c r="A546">
        <v>1601977</v>
      </c>
    </row>
    <row r="547" spans="1:1" x14ac:dyDescent="0.2">
      <c r="A547">
        <v>2817164</v>
      </c>
    </row>
    <row r="548" spans="1:1" x14ac:dyDescent="0.2">
      <c r="A548">
        <v>2667626</v>
      </c>
    </row>
    <row r="549" spans="1:1" x14ac:dyDescent="0.2">
      <c r="A549">
        <v>427504</v>
      </c>
    </row>
    <row r="550" spans="1:1" x14ac:dyDescent="0.2">
      <c r="A550">
        <v>2316580</v>
      </c>
    </row>
    <row r="551" spans="1:1" x14ac:dyDescent="0.2">
      <c r="A551">
        <v>2088091</v>
      </c>
    </row>
    <row r="552" spans="1:1" x14ac:dyDescent="0.2">
      <c r="A552">
        <v>857526</v>
      </c>
    </row>
    <row r="553" spans="1:1" x14ac:dyDescent="0.2">
      <c r="A553">
        <v>2467594</v>
      </c>
    </row>
    <row r="554" spans="1:1" x14ac:dyDescent="0.2">
      <c r="A554">
        <v>2761248</v>
      </c>
    </row>
    <row r="555" spans="1:1" x14ac:dyDescent="0.2">
      <c r="A555">
        <v>577622</v>
      </c>
    </row>
    <row r="556" spans="1:1" x14ac:dyDescent="0.2">
      <c r="A556">
        <v>699915</v>
      </c>
    </row>
    <row r="557" spans="1:1" x14ac:dyDescent="0.2">
      <c r="A557">
        <v>2591192</v>
      </c>
    </row>
    <row r="558" spans="1:1" x14ac:dyDescent="0.2">
      <c r="A558">
        <v>2290622</v>
      </c>
    </row>
    <row r="559" spans="1:1" x14ac:dyDescent="0.2">
      <c r="A559">
        <v>2829399</v>
      </c>
    </row>
    <row r="560" spans="1:1" x14ac:dyDescent="0.2">
      <c r="A560">
        <v>2212705</v>
      </c>
    </row>
    <row r="561" spans="1:1" x14ac:dyDescent="0.2">
      <c r="A561">
        <v>480084</v>
      </c>
    </row>
    <row r="562" spans="1:1" x14ac:dyDescent="0.2">
      <c r="A562">
        <v>1035834</v>
      </c>
    </row>
    <row r="563" spans="1:1" x14ac:dyDescent="0.2">
      <c r="A563">
        <v>939804</v>
      </c>
    </row>
    <row r="564" spans="1:1" x14ac:dyDescent="0.2">
      <c r="A564">
        <v>1779935</v>
      </c>
    </row>
    <row r="565" spans="1:1" x14ac:dyDescent="0.2">
      <c r="A565">
        <v>1413948</v>
      </c>
    </row>
    <row r="566" spans="1:1" x14ac:dyDescent="0.2">
      <c r="A566">
        <v>1160664</v>
      </c>
    </row>
    <row r="567" spans="1:1" x14ac:dyDescent="0.2">
      <c r="A567">
        <v>877257</v>
      </c>
    </row>
    <row r="568" spans="1:1" x14ac:dyDescent="0.2">
      <c r="A568">
        <v>469854</v>
      </c>
    </row>
    <row r="569" spans="1:1" x14ac:dyDescent="0.2">
      <c r="A569">
        <v>1479721</v>
      </c>
    </row>
    <row r="570" spans="1:1" x14ac:dyDescent="0.2">
      <c r="A570">
        <v>1607829</v>
      </c>
    </row>
    <row r="571" spans="1:1" x14ac:dyDescent="0.2">
      <c r="A571">
        <v>1923446</v>
      </c>
    </row>
    <row r="572" spans="1:1" x14ac:dyDescent="0.2">
      <c r="A572">
        <v>1241119</v>
      </c>
    </row>
    <row r="573" spans="1:1" x14ac:dyDescent="0.2">
      <c r="A573">
        <v>950724</v>
      </c>
    </row>
    <row r="574" spans="1:1" x14ac:dyDescent="0.2">
      <c r="A574">
        <v>1382296</v>
      </c>
    </row>
    <row r="575" spans="1:1" x14ac:dyDescent="0.2">
      <c r="A575">
        <v>1212545</v>
      </c>
    </row>
    <row r="576" spans="1:1" x14ac:dyDescent="0.2">
      <c r="A576">
        <v>2593546</v>
      </c>
    </row>
    <row r="577" spans="1:1" x14ac:dyDescent="0.2">
      <c r="A577">
        <v>2473004</v>
      </c>
    </row>
    <row r="578" spans="1:1" x14ac:dyDescent="0.2">
      <c r="A578">
        <v>2287737</v>
      </c>
    </row>
    <row r="579" spans="1:1" x14ac:dyDescent="0.2">
      <c r="A579">
        <v>536688</v>
      </c>
    </row>
    <row r="580" spans="1:1" x14ac:dyDescent="0.2">
      <c r="A580">
        <v>1372914</v>
      </c>
    </row>
    <row r="581" spans="1:1" x14ac:dyDescent="0.2">
      <c r="A581">
        <v>1780566</v>
      </c>
    </row>
    <row r="582" spans="1:1" x14ac:dyDescent="0.2">
      <c r="A582">
        <v>1341822</v>
      </c>
    </row>
    <row r="583" spans="1:1" x14ac:dyDescent="0.2">
      <c r="A583">
        <v>2049160</v>
      </c>
    </row>
    <row r="584" spans="1:1" x14ac:dyDescent="0.2">
      <c r="A584">
        <v>2883745</v>
      </c>
    </row>
    <row r="585" spans="1:1" x14ac:dyDescent="0.2">
      <c r="A585">
        <v>1377757</v>
      </c>
    </row>
    <row r="586" spans="1:1" x14ac:dyDescent="0.2">
      <c r="A586">
        <v>848905</v>
      </c>
    </row>
    <row r="587" spans="1:1" x14ac:dyDescent="0.2">
      <c r="A587">
        <v>2669140</v>
      </c>
    </row>
    <row r="588" spans="1:1" x14ac:dyDescent="0.2">
      <c r="A588">
        <v>1911649</v>
      </c>
    </row>
    <row r="589" spans="1:1" x14ac:dyDescent="0.2">
      <c r="A589">
        <v>2913044</v>
      </c>
    </row>
    <row r="590" spans="1:1" x14ac:dyDescent="0.2">
      <c r="A590">
        <v>2248560</v>
      </c>
    </row>
    <row r="591" spans="1:1" x14ac:dyDescent="0.2">
      <c r="A591">
        <v>1400348</v>
      </c>
    </row>
    <row r="592" spans="1:1" x14ac:dyDescent="0.2">
      <c r="A592">
        <v>1876437</v>
      </c>
    </row>
    <row r="593" spans="1:1" x14ac:dyDescent="0.2">
      <c r="A593">
        <v>1849483</v>
      </c>
    </row>
    <row r="594" spans="1:1" x14ac:dyDescent="0.2">
      <c r="A594">
        <v>598469</v>
      </c>
    </row>
    <row r="595" spans="1:1" x14ac:dyDescent="0.2">
      <c r="A595">
        <v>2175514</v>
      </c>
    </row>
    <row r="596" spans="1:1" x14ac:dyDescent="0.2">
      <c r="A596">
        <v>2176624</v>
      </c>
    </row>
    <row r="597" spans="1:1" x14ac:dyDescent="0.2">
      <c r="A597">
        <v>2629769</v>
      </c>
    </row>
    <row r="598" spans="1:1" x14ac:dyDescent="0.2">
      <c r="A598">
        <v>473579</v>
      </c>
    </row>
    <row r="599" spans="1:1" x14ac:dyDescent="0.2">
      <c r="A599">
        <v>878025</v>
      </c>
    </row>
    <row r="600" spans="1:1" x14ac:dyDescent="0.2">
      <c r="A600">
        <v>1753806</v>
      </c>
    </row>
    <row r="601" spans="1:1" x14ac:dyDescent="0.2">
      <c r="A601">
        <v>853587</v>
      </c>
    </row>
    <row r="602" spans="1:1" x14ac:dyDescent="0.2">
      <c r="A602">
        <v>1392798</v>
      </c>
    </row>
    <row r="603" spans="1:1" x14ac:dyDescent="0.2">
      <c r="A603">
        <v>1890390</v>
      </c>
    </row>
    <row r="604" spans="1:1" x14ac:dyDescent="0.2">
      <c r="A604">
        <v>2474906</v>
      </c>
    </row>
    <row r="605" spans="1:1" x14ac:dyDescent="0.2">
      <c r="A605">
        <v>2315228</v>
      </c>
    </row>
    <row r="606" spans="1:1" x14ac:dyDescent="0.2">
      <c r="A606">
        <v>2327049</v>
      </c>
    </row>
    <row r="607" spans="1:1" x14ac:dyDescent="0.2">
      <c r="A607">
        <v>2671216</v>
      </c>
    </row>
    <row r="608" spans="1:1" x14ac:dyDescent="0.2">
      <c r="A608">
        <v>2991050</v>
      </c>
    </row>
    <row r="609" spans="1:1" x14ac:dyDescent="0.2">
      <c r="A609">
        <v>2239532</v>
      </c>
    </row>
    <row r="610" spans="1:1" x14ac:dyDescent="0.2">
      <c r="A610">
        <v>2870947</v>
      </c>
    </row>
    <row r="611" spans="1:1" x14ac:dyDescent="0.2">
      <c r="A611">
        <v>470777</v>
      </c>
    </row>
    <row r="612" spans="1:1" x14ac:dyDescent="0.2">
      <c r="A612">
        <v>469050</v>
      </c>
    </row>
    <row r="613" spans="1:1" x14ac:dyDescent="0.2">
      <c r="A613">
        <v>798231</v>
      </c>
    </row>
    <row r="614" spans="1:1" x14ac:dyDescent="0.2">
      <c r="A614">
        <v>805601</v>
      </c>
    </row>
    <row r="615" spans="1:1" x14ac:dyDescent="0.2">
      <c r="A615">
        <v>2291749</v>
      </c>
    </row>
    <row r="616" spans="1:1" x14ac:dyDescent="0.2">
      <c r="A616">
        <v>514449</v>
      </c>
    </row>
    <row r="617" spans="1:1" x14ac:dyDescent="0.2">
      <c r="A617">
        <v>2141381</v>
      </c>
    </row>
    <row r="618" spans="1:1" x14ac:dyDescent="0.2">
      <c r="A618">
        <v>882784</v>
      </c>
    </row>
    <row r="619" spans="1:1" x14ac:dyDescent="0.2">
      <c r="A619">
        <v>2464204</v>
      </c>
    </row>
    <row r="620" spans="1:1" x14ac:dyDescent="0.2">
      <c r="A620">
        <v>2360731</v>
      </c>
    </row>
    <row r="621" spans="1:1" x14ac:dyDescent="0.2">
      <c r="A621">
        <v>569723</v>
      </c>
    </row>
    <row r="622" spans="1:1" x14ac:dyDescent="0.2">
      <c r="A622">
        <v>2538863</v>
      </c>
    </row>
    <row r="623" spans="1:1" x14ac:dyDescent="0.2">
      <c r="A623">
        <v>1442847</v>
      </c>
    </row>
    <row r="624" spans="1:1" x14ac:dyDescent="0.2">
      <c r="A624">
        <v>509649</v>
      </c>
    </row>
    <row r="625" spans="1:1" x14ac:dyDescent="0.2">
      <c r="A625">
        <v>919216</v>
      </c>
    </row>
    <row r="626" spans="1:1" x14ac:dyDescent="0.2">
      <c r="A626">
        <v>1676343</v>
      </c>
    </row>
    <row r="627" spans="1:1" x14ac:dyDescent="0.2">
      <c r="A627">
        <v>2511019</v>
      </c>
    </row>
    <row r="628" spans="1:1" x14ac:dyDescent="0.2">
      <c r="A628">
        <v>574262</v>
      </c>
    </row>
    <row r="629" spans="1:1" x14ac:dyDescent="0.2">
      <c r="A629">
        <v>2005200</v>
      </c>
    </row>
    <row r="630" spans="1:1" x14ac:dyDescent="0.2">
      <c r="A630">
        <v>2587065</v>
      </c>
    </row>
    <row r="631" spans="1:1" x14ac:dyDescent="0.2">
      <c r="A631">
        <v>515785</v>
      </c>
    </row>
    <row r="632" spans="1:1" x14ac:dyDescent="0.2">
      <c r="A632">
        <v>1849031</v>
      </c>
    </row>
    <row r="633" spans="1:1" x14ac:dyDescent="0.2">
      <c r="A633">
        <v>880114</v>
      </c>
    </row>
    <row r="634" spans="1:1" x14ac:dyDescent="0.2">
      <c r="A634">
        <v>1516935</v>
      </c>
    </row>
    <row r="635" spans="1:1" x14ac:dyDescent="0.2">
      <c r="A635">
        <v>1349433</v>
      </c>
    </row>
    <row r="636" spans="1:1" x14ac:dyDescent="0.2">
      <c r="A636">
        <v>756208</v>
      </c>
    </row>
    <row r="637" spans="1:1" x14ac:dyDescent="0.2">
      <c r="A637">
        <v>2740393</v>
      </c>
    </row>
    <row r="638" spans="1:1" x14ac:dyDescent="0.2">
      <c r="A638">
        <v>789939</v>
      </c>
    </row>
    <row r="639" spans="1:1" x14ac:dyDescent="0.2">
      <c r="A639">
        <v>1706669</v>
      </c>
    </row>
    <row r="640" spans="1:1" x14ac:dyDescent="0.2">
      <c r="A640">
        <v>644636</v>
      </c>
    </row>
    <row r="641" spans="1:1" x14ac:dyDescent="0.2">
      <c r="A641">
        <v>1885498</v>
      </c>
    </row>
    <row r="642" spans="1:1" x14ac:dyDescent="0.2">
      <c r="A642">
        <v>864215</v>
      </c>
    </row>
    <row r="643" spans="1:1" x14ac:dyDescent="0.2">
      <c r="A643">
        <v>1175810</v>
      </c>
    </row>
    <row r="644" spans="1:1" x14ac:dyDescent="0.2">
      <c r="A644">
        <v>2384869</v>
      </c>
    </row>
    <row r="645" spans="1:1" x14ac:dyDescent="0.2">
      <c r="A645">
        <v>1962854</v>
      </c>
    </row>
    <row r="646" spans="1:1" x14ac:dyDescent="0.2">
      <c r="A646">
        <v>2468207</v>
      </c>
    </row>
    <row r="647" spans="1:1" x14ac:dyDescent="0.2">
      <c r="A647">
        <v>1122535</v>
      </c>
    </row>
    <row r="648" spans="1:1" x14ac:dyDescent="0.2">
      <c r="A648">
        <v>2332530</v>
      </c>
    </row>
    <row r="649" spans="1:1" x14ac:dyDescent="0.2">
      <c r="A649">
        <v>406534</v>
      </c>
    </row>
    <row r="650" spans="1:1" x14ac:dyDescent="0.2">
      <c r="A650">
        <v>1162189</v>
      </c>
    </row>
    <row r="651" spans="1:1" x14ac:dyDescent="0.2">
      <c r="A651">
        <v>1603068</v>
      </c>
    </row>
    <row r="652" spans="1:1" x14ac:dyDescent="0.2">
      <c r="A652">
        <v>2134965</v>
      </c>
    </row>
    <row r="653" spans="1:1" x14ac:dyDescent="0.2">
      <c r="A653">
        <v>2762591</v>
      </c>
    </row>
    <row r="654" spans="1:1" x14ac:dyDescent="0.2">
      <c r="A654">
        <v>1020510</v>
      </c>
    </row>
    <row r="655" spans="1:1" x14ac:dyDescent="0.2">
      <c r="A655">
        <v>2413627</v>
      </c>
    </row>
    <row r="656" spans="1:1" x14ac:dyDescent="0.2">
      <c r="A656">
        <v>904736</v>
      </c>
    </row>
    <row r="657" spans="1:1" x14ac:dyDescent="0.2">
      <c r="A657">
        <v>1134231</v>
      </c>
    </row>
    <row r="658" spans="1:1" x14ac:dyDescent="0.2">
      <c r="A658">
        <v>2988429</v>
      </c>
    </row>
    <row r="659" spans="1:1" x14ac:dyDescent="0.2">
      <c r="A659">
        <v>1749430</v>
      </c>
    </row>
    <row r="660" spans="1:1" x14ac:dyDescent="0.2">
      <c r="A660">
        <v>1244890</v>
      </c>
    </row>
    <row r="661" spans="1:1" x14ac:dyDescent="0.2">
      <c r="A661">
        <v>804230</v>
      </c>
    </row>
    <row r="662" spans="1:1" x14ac:dyDescent="0.2">
      <c r="A662">
        <v>427978</v>
      </c>
    </row>
    <row r="663" spans="1:1" x14ac:dyDescent="0.2">
      <c r="A663">
        <v>1284181</v>
      </c>
    </row>
    <row r="664" spans="1:1" x14ac:dyDescent="0.2">
      <c r="A664">
        <v>2097595</v>
      </c>
    </row>
    <row r="665" spans="1:1" x14ac:dyDescent="0.2">
      <c r="A665">
        <v>479782</v>
      </c>
    </row>
    <row r="666" spans="1:1" x14ac:dyDescent="0.2">
      <c r="A666">
        <v>419669</v>
      </c>
    </row>
    <row r="667" spans="1:1" x14ac:dyDescent="0.2">
      <c r="A667">
        <v>1112507</v>
      </c>
    </row>
    <row r="668" spans="1:1" x14ac:dyDescent="0.2">
      <c r="A668">
        <v>2561102</v>
      </c>
    </row>
    <row r="669" spans="1:1" x14ac:dyDescent="0.2">
      <c r="A669">
        <v>2512595</v>
      </c>
    </row>
    <row r="670" spans="1:1" x14ac:dyDescent="0.2">
      <c r="A670">
        <v>1732569</v>
      </c>
    </row>
    <row r="671" spans="1:1" x14ac:dyDescent="0.2">
      <c r="A671">
        <v>933900</v>
      </c>
    </row>
    <row r="672" spans="1:1" x14ac:dyDescent="0.2">
      <c r="A672">
        <v>1701183</v>
      </c>
    </row>
    <row r="673" spans="1:1" x14ac:dyDescent="0.2">
      <c r="A673">
        <v>963945</v>
      </c>
    </row>
    <row r="674" spans="1:1" x14ac:dyDescent="0.2">
      <c r="A674">
        <v>2126653</v>
      </c>
    </row>
    <row r="675" spans="1:1" x14ac:dyDescent="0.2">
      <c r="A675">
        <v>1374196</v>
      </c>
    </row>
    <row r="676" spans="1:1" x14ac:dyDescent="0.2">
      <c r="A676">
        <v>2142229</v>
      </c>
    </row>
    <row r="677" spans="1:1" x14ac:dyDescent="0.2">
      <c r="A677">
        <v>2363906</v>
      </c>
    </row>
    <row r="678" spans="1:1" x14ac:dyDescent="0.2">
      <c r="A678">
        <v>2317790</v>
      </c>
    </row>
    <row r="679" spans="1:1" x14ac:dyDescent="0.2">
      <c r="A679">
        <v>2055041</v>
      </c>
    </row>
    <row r="680" spans="1:1" x14ac:dyDescent="0.2">
      <c r="A680">
        <v>1595999</v>
      </c>
    </row>
    <row r="681" spans="1:1" x14ac:dyDescent="0.2">
      <c r="A681">
        <v>1072700</v>
      </c>
    </row>
    <row r="682" spans="1:1" x14ac:dyDescent="0.2">
      <c r="A682">
        <v>1077132</v>
      </c>
    </row>
    <row r="683" spans="1:1" x14ac:dyDescent="0.2">
      <c r="A683">
        <v>2550358</v>
      </c>
    </row>
    <row r="684" spans="1:1" x14ac:dyDescent="0.2">
      <c r="A684">
        <v>1424476</v>
      </c>
    </row>
    <row r="685" spans="1:1" x14ac:dyDescent="0.2">
      <c r="A685">
        <v>2937797</v>
      </c>
    </row>
    <row r="686" spans="1:1" x14ac:dyDescent="0.2">
      <c r="A686">
        <v>1581704</v>
      </c>
    </row>
    <row r="687" spans="1:1" x14ac:dyDescent="0.2">
      <c r="A687">
        <v>1812560</v>
      </c>
    </row>
    <row r="688" spans="1:1" x14ac:dyDescent="0.2">
      <c r="A688">
        <v>2196772</v>
      </c>
    </row>
    <row r="689" spans="1:1" x14ac:dyDescent="0.2">
      <c r="A689">
        <v>2631830</v>
      </c>
    </row>
    <row r="690" spans="1:1" x14ac:dyDescent="0.2">
      <c r="A690">
        <v>1371649</v>
      </c>
    </row>
    <row r="691" spans="1:1" x14ac:dyDescent="0.2">
      <c r="A691">
        <v>2721543</v>
      </c>
    </row>
    <row r="692" spans="1:1" x14ac:dyDescent="0.2">
      <c r="A692">
        <v>2805979</v>
      </c>
    </row>
    <row r="693" spans="1:1" x14ac:dyDescent="0.2">
      <c r="A693">
        <v>1930768</v>
      </c>
    </row>
    <row r="694" spans="1:1" x14ac:dyDescent="0.2">
      <c r="A694">
        <v>2924841</v>
      </c>
    </row>
    <row r="695" spans="1:1" x14ac:dyDescent="0.2">
      <c r="A695">
        <v>1183330</v>
      </c>
    </row>
    <row r="696" spans="1:1" x14ac:dyDescent="0.2">
      <c r="A696">
        <v>2929692</v>
      </c>
    </row>
    <row r="697" spans="1:1" x14ac:dyDescent="0.2">
      <c r="A697">
        <v>782077</v>
      </c>
    </row>
    <row r="698" spans="1:1" x14ac:dyDescent="0.2">
      <c r="A698">
        <v>1192305</v>
      </c>
    </row>
    <row r="699" spans="1:1" x14ac:dyDescent="0.2">
      <c r="A699">
        <v>2504468</v>
      </c>
    </row>
    <row r="700" spans="1:1" x14ac:dyDescent="0.2">
      <c r="A700">
        <v>2287169</v>
      </c>
    </row>
    <row r="701" spans="1:1" x14ac:dyDescent="0.2">
      <c r="A701">
        <v>420424</v>
      </c>
    </row>
    <row r="702" spans="1:1" x14ac:dyDescent="0.2">
      <c r="A702">
        <v>2860927</v>
      </c>
    </row>
    <row r="703" spans="1:1" x14ac:dyDescent="0.2">
      <c r="A703">
        <v>558833</v>
      </c>
    </row>
    <row r="704" spans="1:1" x14ac:dyDescent="0.2">
      <c r="A704">
        <v>2070090</v>
      </c>
    </row>
    <row r="705" spans="1:1" x14ac:dyDescent="0.2">
      <c r="A705">
        <v>2878917</v>
      </c>
    </row>
    <row r="706" spans="1:1" x14ac:dyDescent="0.2">
      <c r="A706">
        <v>2545226</v>
      </c>
    </row>
    <row r="707" spans="1:1" x14ac:dyDescent="0.2">
      <c r="A707">
        <v>990435</v>
      </c>
    </row>
    <row r="708" spans="1:1" x14ac:dyDescent="0.2">
      <c r="A708">
        <v>1767202</v>
      </c>
    </row>
    <row r="709" spans="1:1" x14ac:dyDescent="0.2">
      <c r="A709">
        <v>2161412</v>
      </c>
    </row>
    <row r="710" spans="1:1" x14ac:dyDescent="0.2">
      <c r="A710">
        <v>606222</v>
      </c>
    </row>
    <row r="711" spans="1:1" x14ac:dyDescent="0.2">
      <c r="A711">
        <v>1703076</v>
      </c>
    </row>
    <row r="712" spans="1:1" x14ac:dyDescent="0.2">
      <c r="A712">
        <v>1993593</v>
      </c>
    </row>
    <row r="713" spans="1:1" x14ac:dyDescent="0.2">
      <c r="A713">
        <v>629146</v>
      </c>
    </row>
    <row r="714" spans="1:1" x14ac:dyDescent="0.2">
      <c r="A714">
        <v>2436319</v>
      </c>
    </row>
    <row r="715" spans="1:1" x14ac:dyDescent="0.2">
      <c r="A715">
        <v>2521777</v>
      </c>
    </row>
    <row r="716" spans="1:1" x14ac:dyDescent="0.2">
      <c r="A716">
        <v>1242533</v>
      </c>
    </row>
    <row r="717" spans="1:1" x14ac:dyDescent="0.2">
      <c r="A717">
        <v>538167</v>
      </c>
    </row>
    <row r="718" spans="1:1" x14ac:dyDescent="0.2">
      <c r="A718">
        <v>2433010</v>
      </c>
    </row>
    <row r="719" spans="1:1" x14ac:dyDescent="0.2">
      <c r="A719">
        <v>1785854</v>
      </c>
    </row>
    <row r="720" spans="1:1" x14ac:dyDescent="0.2">
      <c r="A720">
        <v>2238698</v>
      </c>
    </row>
    <row r="721" spans="1:1" x14ac:dyDescent="0.2">
      <c r="A721">
        <v>1502974</v>
      </c>
    </row>
    <row r="722" spans="1:1" x14ac:dyDescent="0.2">
      <c r="A722">
        <v>1415642</v>
      </c>
    </row>
    <row r="723" spans="1:1" x14ac:dyDescent="0.2">
      <c r="A723">
        <v>553402</v>
      </c>
    </row>
    <row r="724" spans="1:1" x14ac:dyDescent="0.2">
      <c r="A724">
        <v>1997972</v>
      </c>
    </row>
    <row r="725" spans="1:1" x14ac:dyDescent="0.2">
      <c r="A725">
        <v>970784</v>
      </c>
    </row>
    <row r="726" spans="1:1" x14ac:dyDescent="0.2">
      <c r="A726">
        <v>2198996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1F877-592E-443F-8302-82E7A16DFF99}">
  <sheetPr>
    <tabColor theme="6" tint="0.39997558519241921"/>
  </sheetPr>
  <dimension ref="A1:E296"/>
  <sheetViews>
    <sheetView zoomScale="83" zoomScaleNormal="227" workbookViewId="0">
      <selection activeCell="D4" sqref="D4"/>
    </sheetView>
  </sheetViews>
  <sheetFormatPr baseColWidth="10" defaultColWidth="8.83203125" defaultRowHeight="15" x14ac:dyDescent="0.2"/>
  <cols>
    <col min="4" max="4" width="20.6640625" customWidth="1"/>
    <col min="5" max="5" width="9.33203125" bestFit="1" customWidth="1"/>
  </cols>
  <sheetData>
    <row r="1" spans="1:5" x14ac:dyDescent="0.2">
      <c r="A1" t="s">
        <v>6</v>
      </c>
      <c r="B1" t="s">
        <v>129</v>
      </c>
    </row>
    <row r="2" spans="1:5" ht="16" x14ac:dyDescent="0.2">
      <c r="A2">
        <v>4</v>
      </c>
      <c r="B2">
        <v>243</v>
      </c>
      <c r="D2" s="28" t="s">
        <v>128</v>
      </c>
      <c r="E2" s="98">
        <f>CORREL(A2:A296,B2:B296)</f>
        <v>0.83971717529587042</v>
      </c>
    </row>
    <row r="3" spans="1:5" x14ac:dyDescent="0.2">
      <c r="A3">
        <v>0</v>
      </c>
      <c r="B3">
        <v>77</v>
      </c>
      <c r="D3" t="s">
        <v>178</v>
      </c>
      <c r="E3" s="6">
        <f>E2/(SQRT(1-E2^2)/SQRT(293))</f>
        <v>26.469626984594328</v>
      </c>
    </row>
    <row r="4" spans="1:5" x14ac:dyDescent="0.2">
      <c r="A4">
        <v>3</v>
      </c>
      <c r="B4">
        <v>285</v>
      </c>
      <c r="D4" t="s">
        <v>179</v>
      </c>
      <c r="E4" s="6">
        <f>_xlfn.T.INV(1-0.05, 295-2)</f>
        <v>1.6500707864202822</v>
      </c>
    </row>
    <row r="5" spans="1:5" x14ac:dyDescent="0.2">
      <c r="A5">
        <v>5</v>
      </c>
      <c r="B5">
        <v>373</v>
      </c>
    </row>
    <row r="6" spans="1:5" x14ac:dyDescent="0.2">
      <c r="A6">
        <v>6</v>
      </c>
      <c r="B6">
        <v>355</v>
      </c>
    </row>
    <row r="7" spans="1:5" x14ac:dyDescent="0.2">
      <c r="A7">
        <v>2</v>
      </c>
      <c r="B7">
        <v>116</v>
      </c>
    </row>
    <row r="8" spans="1:5" x14ac:dyDescent="0.2">
      <c r="A8">
        <v>0</v>
      </c>
      <c r="B8">
        <v>72</v>
      </c>
    </row>
    <row r="9" spans="1:5" x14ac:dyDescent="0.2">
      <c r="A9">
        <v>3</v>
      </c>
      <c r="B9">
        <v>290</v>
      </c>
    </row>
    <row r="10" spans="1:5" x14ac:dyDescent="0.2">
      <c r="A10">
        <v>1</v>
      </c>
      <c r="B10">
        <v>157</v>
      </c>
    </row>
    <row r="11" spans="1:5" x14ac:dyDescent="0.2">
      <c r="A11">
        <v>5</v>
      </c>
      <c r="B11">
        <v>397</v>
      </c>
    </row>
    <row r="12" spans="1:5" x14ac:dyDescent="0.2">
      <c r="A12">
        <v>3</v>
      </c>
      <c r="B12">
        <v>97</v>
      </c>
    </row>
    <row r="13" spans="1:5" x14ac:dyDescent="0.2">
      <c r="A13">
        <v>4</v>
      </c>
      <c r="B13">
        <v>270</v>
      </c>
    </row>
    <row r="14" spans="1:5" x14ac:dyDescent="0.2">
      <c r="A14">
        <v>2</v>
      </c>
      <c r="B14">
        <v>198</v>
      </c>
    </row>
    <row r="15" spans="1:5" x14ac:dyDescent="0.2">
      <c r="A15">
        <v>4</v>
      </c>
      <c r="B15">
        <v>254</v>
      </c>
    </row>
    <row r="16" spans="1:5" x14ac:dyDescent="0.2">
      <c r="A16">
        <v>3</v>
      </c>
      <c r="B16">
        <v>303</v>
      </c>
    </row>
    <row r="17" spans="1:2" x14ac:dyDescent="0.2">
      <c r="A17">
        <v>0</v>
      </c>
      <c r="B17">
        <v>71</v>
      </c>
    </row>
    <row r="18" spans="1:2" x14ac:dyDescent="0.2">
      <c r="A18">
        <v>4</v>
      </c>
      <c r="B18">
        <v>389</v>
      </c>
    </row>
    <row r="19" spans="1:2" x14ac:dyDescent="0.2">
      <c r="A19">
        <v>5</v>
      </c>
      <c r="B19">
        <v>390</v>
      </c>
    </row>
    <row r="20" spans="1:2" x14ac:dyDescent="0.2">
      <c r="A20">
        <v>2</v>
      </c>
      <c r="B20">
        <v>127</v>
      </c>
    </row>
    <row r="21" spans="1:2" x14ac:dyDescent="0.2">
      <c r="A21">
        <v>1</v>
      </c>
      <c r="B21">
        <v>94</v>
      </c>
    </row>
    <row r="22" spans="1:2" x14ac:dyDescent="0.2">
      <c r="A22">
        <v>5</v>
      </c>
      <c r="B22">
        <v>322</v>
      </c>
    </row>
    <row r="23" spans="1:2" x14ac:dyDescent="0.2">
      <c r="A23">
        <v>5</v>
      </c>
      <c r="B23">
        <v>272</v>
      </c>
    </row>
    <row r="24" spans="1:2" x14ac:dyDescent="0.2">
      <c r="A24">
        <v>5</v>
      </c>
      <c r="B24">
        <v>316</v>
      </c>
    </row>
    <row r="25" spans="1:2" x14ac:dyDescent="0.2">
      <c r="A25">
        <v>5</v>
      </c>
      <c r="B25">
        <v>345</v>
      </c>
    </row>
    <row r="26" spans="1:2" x14ac:dyDescent="0.2">
      <c r="A26">
        <v>3</v>
      </c>
      <c r="B26">
        <v>136</v>
      </c>
    </row>
    <row r="27" spans="1:2" x14ac:dyDescent="0.2">
      <c r="A27">
        <v>3</v>
      </c>
      <c r="B27">
        <v>180</v>
      </c>
    </row>
    <row r="28" spans="1:2" x14ac:dyDescent="0.2">
      <c r="A28">
        <v>5</v>
      </c>
      <c r="B28">
        <v>295</v>
      </c>
    </row>
    <row r="29" spans="1:2" x14ac:dyDescent="0.2">
      <c r="A29">
        <v>3</v>
      </c>
      <c r="B29">
        <v>160</v>
      </c>
    </row>
    <row r="30" spans="1:2" x14ac:dyDescent="0.2">
      <c r="A30">
        <v>6</v>
      </c>
      <c r="B30">
        <v>345</v>
      </c>
    </row>
    <row r="31" spans="1:2" x14ac:dyDescent="0.2">
      <c r="A31">
        <v>3</v>
      </c>
      <c r="B31">
        <v>279</v>
      </c>
    </row>
    <row r="32" spans="1:2" x14ac:dyDescent="0.2">
      <c r="A32">
        <v>4</v>
      </c>
      <c r="B32">
        <v>291</v>
      </c>
    </row>
    <row r="33" spans="1:2" x14ac:dyDescent="0.2">
      <c r="A33">
        <v>5</v>
      </c>
      <c r="B33">
        <v>396</v>
      </c>
    </row>
    <row r="34" spans="1:2" x14ac:dyDescent="0.2">
      <c r="A34">
        <v>2</v>
      </c>
      <c r="B34">
        <v>199</v>
      </c>
    </row>
    <row r="35" spans="1:2" x14ac:dyDescent="0.2">
      <c r="A35">
        <v>2</v>
      </c>
      <c r="B35">
        <v>183</v>
      </c>
    </row>
    <row r="36" spans="1:2" x14ac:dyDescent="0.2">
      <c r="A36">
        <v>3</v>
      </c>
      <c r="B36">
        <v>315</v>
      </c>
    </row>
    <row r="37" spans="1:2" x14ac:dyDescent="0.2">
      <c r="A37">
        <v>3</v>
      </c>
      <c r="B37">
        <v>181</v>
      </c>
    </row>
    <row r="38" spans="1:2" x14ac:dyDescent="0.2">
      <c r="A38">
        <v>1</v>
      </c>
      <c r="B38">
        <v>81</v>
      </c>
    </row>
    <row r="39" spans="1:2" x14ac:dyDescent="0.2">
      <c r="A39">
        <v>3</v>
      </c>
      <c r="B39">
        <v>156</v>
      </c>
    </row>
    <row r="40" spans="1:2" x14ac:dyDescent="0.2">
      <c r="A40">
        <v>5</v>
      </c>
      <c r="B40">
        <v>297</v>
      </c>
    </row>
    <row r="41" spans="1:2" x14ac:dyDescent="0.2">
      <c r="A41">
        <v>4</v>
      </c>
      <c r="B41">
        <v>212</v>
      </c>
    </row>
    <row r="42" spans="1:2" x14ac:dyDescent="0.2">
      <c r="A42">
        <v>4</v>
      </c>
      <c r="B42">
        <v>358</v>
      </c>
    </row>
    <row r="43" spans="1:2" x14ac:dyDescent="0.2">
      <c r="A43">
        <v>1</v>
      </c>
      <c r="B43">
        <v>96</v>
      </c>
    </row>
    <row r="44" spans="1:2" x14ac:dyDescent="0.2">
      <c r="A44">
        <v>4</v>
      </c>
      <c r="B44">
        <v>246</v>
      </c>
    </row>
    <row r="45" spans="1:2" x14ac:dyDescent="0.2">
      <c r="A45">
        <v>2</v>
      </c>
      <c r="B45">
        <v>62</v>
      </c>
    </row>
    <row r="46" spans="1:2" x14ac:dyDescent="0.2">
      <c r="A46">
        <v>1</v>
      </c>
      <c r="B46">
        <v>42</v>
      </c>
    </row>
    <row r="47" spans="1:2" x14ac:dyDescent="0.2">
      <c r="A47">
        <v>1</v>
      </c>
      <c r="B47">
        <v>53</v>
      </c>
    </row>
    <row r="48" spans="1:2" x14ac:dyDescent="0.2">
      <c r="A48">
        <v>1</v>
      </c>
      <c r="B48">
        <v>69</v>
      </c>
    </row>
    <row r="49" spans="1:2" x14ac:dyDescent="0.2">
      <c r="A49">
        <v>2</v>
      </c>
      <c r="B49">
        <v>179</v>
      </c>
    </row>
    <row r="50" spans="1:2" x14ac:dyDescent="0.2">
      <c r="A50">
        <v>3</v>
      </c>
      <c r="B50">
        <v>161</v>
      </c>
    </row>
    <row r="51" spans="1:2" x14ac:dyDescent="0.2">
      <c r="A51">
        <v>5</v>
      </c>
      <c r="B51">
        <v>344</v>
      </c>
    </row>
    <row r="52" spans="1:2" x14ac:dyDescent="0.2">
      <c r="A52">
        <v>6</v>
      </c>
      <c r="B52">
        <v>325</v>
      </c>
    </row>
    <row r="53" spans="1:2" x14ac:dyDescent="0.2">
      <c r="A53">
        <v>5</v>
      </c>
      <c r="B53">
        <v>273</v>
      </c>
    </row>
    <row r="54" spans="1:2" x14ac:dyDescent="0.2">
      <c r="A54">
        <v>2</v>
      </c>
      <c r="B54">
        <v>87</v>
      </c>
    </row>
    <row r="55" spans="1:2" x14ac:dyDescent="0.2">
      <c r="A55">
        <v>2</v>
      </c>
      <c r="B55">
        <v>46</v>
      </c>
    </row>
    <row r="56" spans="1:2" x14ac:dyDescent="0.2">
      <c r="A56">
        <v>4</v>
      </c>
      <c r="B56">
        <v>311</v>
      </c>
    </row>
    <row r="57" spans="1:2" x14ac:dyDescent="0.2">
      <c r="A57">
        <v>3</v>
      </c>
      <c r="B57">
        <v>285</v>
      </c>
    </row>
    <row r="58" spans="1:2" x14ac:dyDescent="0.2">
      <c r="A58">
        <v>3</v>
      </c>
      <c r="B58">
        <v>316</v>
      </c>
    </row>
    <row r="59" spans="1:2" x14ac:dyDescent="0.2">
      <c r="A59">
        <v>2</v>
      </c>
      <c r="B59">
        <v>67</v>
      </c>
    </row>
    <row r="60" spans="1:2" x14ac:dyDescent="0.2">
      <c r="A60">
        <v>2</v>
      </c>
      <c r="B60">
        <v>83</v>
      </c>
    </row>
    <row r="61" spans="1:2" x14ac:dyDescent="0.2">
      <c r="A61">
        <v>6</v>
      </c>
      <c r="B61">
        <v>392</v>
      </c>
    </row>
    <row r="62" spans="1:2" x14ac:dyDescent="0.2">
      <c r="A62">
        <v>5</v>
      </c>
      <c r="B62">
        <v>330</v>
      </c>
    </row>
    <row r="63" spans="1:2" x14ac:dyDescent="0.2">
      <c r="A63">
        <v>3</v>
      </c>
      <c r="B63">
        <v>311</v>
      </c>
    </row>
    <row r="64" spans="1:2" x14ac:dyDescent="0.2">
      <c r="A64">
        <v>4</v>
      </c>
      <c r="B64">
        <v>391</v>
      </c>
    </row>
    <row r="65" spans="1:2" x14ac:dyDescent="0.2">
      <c r="A65">
        <v>2</v>
      </c>
      <c r="B65">
        <v>202</v>
      </c>
    </row>
    <row r="66" spans="1:2" x14ac:dyDescent="0.2">
      <c r="A66">
        <v>5</v>
      </c>
      <c r="B66">
        <v>367</v>
      </c>
    </row>
    <row r="67" spans="1:2" x14ac:dyDescent="0.2">
      <c r="A67">
        <v>4</v>
      </c>
      <c r="B67">
        <v>329</v>
      </c>
    </row>
    <row r="68" spans="1:2" x14ac:dyDescent="0.2">
      <c r="A68">
        <v>4</v>
      </c>
      <c r="B68">
        <v>167</v>
      </c>
    </row>
    <row r="69" spans="1:2" x14ac:dyDescent="0.2">
      <c r="A69">
        <v>3</v>
      </c>
      <c r="B69">
        <v>162</v>
      </c>
    </row>
    <row r="70" spans="1:2" x14ac:dyDescent="0.2">
      <c r="A70">
        <v>4</v>
      </c>
      <c r="B70">
        <v>266</v>
      </c>
    </row>
    <row r="71" spans="1:2" x14ac:dyDescent="0.2">
      <c r="A71">
        <v>2</v>
      </c>
      <c r="B71">
        <v>89</v>
      </c>
    </row>
    <row r="72" spans="1:2" x14ac:dyDescent="0.2">
      <c r="A72">
        <v>4</v>
      </c>
      <c r="B72">
        <v>280</v>
      </c>
    </row>
    <row r="73" spans="1:2" x14ac:dyDescent="0.2">
      <c r="A73">
        <v>3</v>
      </c>
      <c r="B73">
        <v>86</v>
      </c>
    </row>
    <row r="74" spans="1:2" x14ac:dyDescent="0.2">
      <c r="A74">
        <v>4</v>
      </c>
      <c r="B74">
        <v>163</v>
      </c>
    </row>
    <row r="75" spans="1:2" x14ac:dyDescent="0.2">
      <c r="A75">
        <v>5</v>
      </c>
      <c r="B75">
        <v>368</v>
      </c>
    </row>
    <row r="76" spans="1:2" x14ac:dyDescent="0.2">
      <c r="A76">
        <v>6</v>
      </c>
      <c r="B76">
        <v>342</v>
      </c>
    </row>
    <row r="77" spans="1:2" x14ac:dyDescent="0.2">
      <c r="A77">
        <v>4</v>
      </c>
      <c r="B77">
        <v>221</v>
      </c>
    </row>
    <row r="78" spans="1:2" x14ac:dyDescent="0.2">
      <c r="A78">
        <v>3</v>
      </c>
      <c r="B78">
        <v>192</v>
      </c>
    </row>
    <row r="79" spans="1:2" x14ac:dyDescent="0.2">
      <c r="A79">
        <v>3</v>
      </c>
      <c r="B79">
        <v>222</v>
      </c>
    </row>
    <row r="80" spans="1:2" x14ac:dyDescent="0.2">
      <c r="A80">
        <v>4</v>
      </c>
      <c r="B80">
        <v>161</v>
      </c>
    </row>
    <row r="81" spans="1:2" x14ac:dyDescent="0.2">
      <c r="A81">
        <v>2</v>
      </c>
      <c r="B81">
        <v>195</v>
      </c>
    </row>
    <row r="82" spans="1:2" x14ac:dyDescent="0.2">
      <c r="A82">
        <v>4</v>
      </c>
      <c r="B82">
        <v>267</v>
      </c>
    </row>
    <row r="83" spans="1:2" x14ac:dyDescent="0.2">
      <c r="A83">
        <v>2</v>
      </c>
      <c r="B83">
        <v>192</v>
      </c>
    </row>
    <row r="84" spans="1:2" x14ac:dyDescent="0.2">
      <c r="A84">
        <v>4</v>
      </c>
      <c r="B84">
        <v>272</v>
      </c>
    </row>
    <row r="85" spans="1:2" x14ac:dyDescent="0.2">
      <c r="A85">
        <v>5</v>
      </c>
      <c r="B85">
        <v>312</v>
      </c>
    </row>
    <row r="86" spans="1:2" x14ac:dyDescent="0.2">
      <c r="A86">
        <v>3</v>
      </c>
      <c r="B86">
        <v>265</v>
      </c>
    </row>
    <row r="87" spans="1:2" x14ac:dyDescent="0.2">
      <c r="A87">
        <v>6</v>
      </c>
      <c r="B87">
        <v>381</v>
      </c>
    </row>
    <row r="88" spans="1:2" x14ac:dyDescent="0.2">
      <c r="A88">
        <v>3</v>
      </c>
      <c r="B88">
        <v>249</v>
      </c>
    </row>
    <row r="89" spans="1:2" x14ac:dyDescent="0.2">
      <c r="A89">
        <v>2</v>
      </c>
      <c r="B89">
        <v>68</v>
      </c>
    </row>
    <row r="90" spans="1:2" x14ac:dyDescent="0.2">
      <c r="A90">
        <v>4</v>
      </c>
      <c r="B90">
        <v>264</v>
      </c>
    </row>
    <row r="91" spans="1:2" x14ac:dyDescent="0.2">
      <c r="A91">
        <v>1</v>
      </c>
      <c r="B91">
        <v>80</v>
      </c>
    </row>
    <row r="92" spans="1:2" x14ac:dyDescent="0.2">
      <c r="A92">
        <v>5</v>
      </c>
      <c r="B92">
        <v>397</v>
      </c>
    </row>
    <row r="93" spans="1:2" x14ac:dyDescent="0.2">
      <c r="A93">
        <v>1</v>
      </c>
      <c r="B93">
        <v>144</v>
      </c>
    </row>
    <row r="94" spans="1:2" x14ac:dyDescent="0.2">
      <c r="A94">
        <v>3</v>
      </c>
      <c r="B94">
        <v>239</v>
      </c>
    </row>
    <row r="95" spans="1:2" x14ac:dyDescent="0.2">
      <c r="A95">
        <v>1</v>
      </c>
      <c r="B95">
        <v>57</v>
      </c>
    </row>
    <row r="96" spans="1:2" x14ac:dyDescent="0.2">
      <c r="A96">
        <v>4</v>
      </c>
      <c r="B96">
        <v>372</v>
      </c>
    </row>
    <row r="97" spans="1:2" x14ac:dyDescent="0.2">
      <c r="A97">
        <v>0</v>
      </c>
      <c r="B97">
        <v>71</v>
      </c>
    </row>
    <row r="98" spans="1:2" x14ac:dyDescent="0.2">
      <c r="A98">
        <v>4</v>
      </c>
      <c r="B98">
        <v>280</v>
      </c>
    </row>
    <row r="99" spans="1:2" x14ac:dyDescent="0.2">
      <c r="A99">
        <v>1</v>
      </c>
      <c r="B99">
        <v>104</v>
      </c>
    </row>
    <row r="100" spans="1:2" x14ac:dyDescent="0.2">
      <c r="A100">
        <v>3</v>
      </c>
      <c r="B100">
        <v>235</v>
      </c>
    </row>
    <row r="101" spans="1:2" x14ac:dyDescent="0.2">
      <c r="A101">
        <v>0</v>
      </c>
      <c r="B101">
        <v>72</v>
      </c>
    </row>
    <row r="102" spans="1:2" x14ac:dyDescent="0.2">
      <c r="A102">
        <v>4</v>
      </c>
      <c r="B102">
        <v>264</v>
      </c>
    </row>
    <row r="103" spans="1:2" x14ac:dyDescent="0.2">
      <c r="A103">
        <v>5</v>
      </c>
      <c r="B103">
        <v>262</v>
      </c>
    </row>
    <row r="104" spans="1:2" x14ac:dyDescent="0.2">
      <c r="A104">
        <v>0</v>
      </c>
      <c r="B104">
        <v>64</v>
      </c>
    </row>
    <row r="105" spans="1:2" x14ac:dyDescent="0.2">
      <c r="A105">
        <v>1</v>
      </c>
      <c r="B105">
        <v>62</v>
      </c>
    </row>
    <row r="106" spans="1:2" x14ac:dyDescent="0.2">
      <c r="A106">
        <v>2</v>
      </c>
      <c r="B106">
        <v>142</v>
      </c>
    </row>
    <row r="107" spans="1:2" x14ac:dyDescent="0.2">
      <c r="A107">
        <v>4</v>
      </c>
      <c r="B107">
        <v>371</v>
      </c>
    </row>
    <row r="108" spans="1:2" x14ac:dyDescent="0.2">
      <c r="A108">
        <v>2</v>
      </c>
      <c r="B108">
        <v>111</v>
      </c>
    </row>
    <row r="109" spans="1:2" x14ac:dyDescent="0.2">
      <c r="A109">
        <v>1</v>
      </c>
      <c r="B109">
        <v>46</v>
      </c>
    </row>
    <row r="110" spans="1:2" x14ac:dyDescent="0.2">
      <c r="A110">
        <v>2</v>
      </c>
      <c r="B110">
        <v>177</v>
      </c>
    </row>
    <row r="111" spans="1:2" x14ac:dyDescent="0.2">
      <c r="A111">
        <v>6</v>
      </c>
      <c r="B111">
        <v>397</v>
      </c>
    </row>
    <row r="112" spans="1:2" x14ac:dyDescent="0.2">
      <c r="A112">
        <v>3</v>
      </c>
      <c r="B112">
        <v>114</v>
      </c>
    </row>
    <row r="113" spans="1:2" x14ac:dyDescent="0.2">
      <c r="A113">
        <v>3</v>
      </c>
      <c r="B113">
        <v>253</v>
      </c>
    </row>
    <row r="114" spans="1:2" x14ac:dyDescent="0.2">
      <c r="A114">
        <v>0</v>
      </c>
      <c r="B114">
        <v>59</v>
      </c>
    </row>
    <row r="115" spans="1:2" x14ac:dyDescent="0.2">
      <c r="A115">
        <v>1</v>
      </c>
      <c r="B115">
        <v>140</v>
      </c>
    </row>
    <row r="116" spans="1:2" x14ac:dyDescent="0.2">
      <c r="A116">
        <v>2</v>
      </c>
      <c r="B116">
        <v>141</v>
      </c>
    </row>
    <row r="117" spans="1:2" x14ac:dyDescent="0.2">
      <c r="A117">
        <v>2</v>
      </c>
      <c r="B117">
        <v>123</v>
      </c>
    </row>
    <row r="118" spans="1:2" x14ac:dyDescent="0.2">
      <c r="A118">
        <v>5</v>
      </c>
      <c r="B118">
        <v>333</v>
      </c>
    </row>
    <row r="119" spans="1:2" x14ac:dyDescent="0.2">
      <c r="A119">
        <v>4</v>
      </c>
      <c r="B119">
        <v>252</v>
      </c>
    </row>
    <row r="120" spans="1:2" x14ac:dyDescent="0.2">
      <c r="A120">
        <v>3</v>
      </c>
      <c r="B120">
        <v>304</v>
      </c>
    </row>
    <row r="121" spans="1:2" x14ac:dyDescent="0.2">
      <c r="A121">
        <v>4</v>
      </c>
      <c r="B121">
        <v>324</v>
      </c>
    </row>
    <row r="122" spans="1:2" x14ac:dyDescent="0.2">
      <c r="A122">
        <v>2</v>
      </c>
      <c r="B122">
        <v>216</v>
      </c>
    </row>
    <row r="123" spans="1:2" x14ac:dyDescent="0.2">
      <c r="A123">
        <v>2</v>
      </c>
      <c r="B123">
        <v>140</v>
      </c>
    </row>
    <row r="124" spans="1:2" x14ac:dyDescent="0.2">
      <c r="A124">
        <v>2</v>
      </c>
      <c r="B124">
        <v>162</v>
      </c>
    </row>
    <row r="125" spans="1:2" x14ac:dyDescent="0.2">
      <c r="A125">
        <v>2</v>
      </c>
      <c r="B125">
        <v>123</v>
      </c>
    </row>
    <row r="126" spans="1:2" x14ac:dyDescent="0.2">
      <c r="A126">
        <v>4</v>
      </c>
      <c r="B126">
        <v>211</v>
      </c>
    </row>
    <row r="127" spans="1:2" x14ac:dyDescent="0.2">
      <c r="A127">
        <v>4</v>
      </c>
      <c r="B127">
        <v>310</v>
      </c>
    </row>
    <row r="128" spans="1:2" x14ac:dyDescent="0.2">
      <c r="A128">
        <v>0</v>
      </c>
      <c r="B128">
        <v>43</v>
      </c>
    </row>
    <row r="129" spans="1:2" x14ac:dyDescent="0.2">
      <c r="A129">
        <v>4</v>
      </c>
      <c r="B129">
        <v>236</v>
      </c>
    </row>
    <row r="130" spans="1:2" x14ac:dyDescent="0.2">
      <c r="A130">
        <v>3</v>
      </c>
      <c r="B130">
        <v>299</v>
      </c>
    </row>
    <row r="131" spans="1:2" x14ac:dyDescent="0.2">
      <c r="A131">
        <v>5</v>
      </c>
      <c r="B131">
        <v>283</v>
      </c>
    </row>
    <row r="132" spans="1:2" x14ac:dyDescent="0.2">
      <c r="A132">
        <v>4</v>
      </c>
      <c r="B132">
        <v>304</v>
      </c>
    </row>
    <row r="133" spans="1:2" x14ac:dyDescent="0.2">
      <c r="A133">
        <v>3</v>
      </c>
      <c r="B133">
        <v>93</v>
      </c>
    </row>
    <row r="134" spans="1:2" x14ac:dyDescent="0.2">
      <c r="A134">
        <v>2</v>
      </c>
      <c r="B134">
        <v>225</v>
      </c>
    </row>
    <row r="135" spans="1:2" x14ac:dyDescent="0.2">
      <c r="A135">
        <v>5</v>
      </c>
      <c r="B135">
        <v>400</v>
      </c>
    </row>
    <row r="136" spans="1:2" x14ac:dyDescent="0.2">
      <c r="A136">
        <v>2</v>
      </c>
      <c r="B136">
        <v>238</v>
      </c>
    </row>
    <row r="137" spans="1:2" x14ac:dyDescent="0.2">
      <c r="A137">
        <v>4</v>
      </c>
      <c r="B137">
        <v>280</v>
      </c>
    </row>
    <row r="138" spans="1:2" x14ac:dyDescent="0.2">
      <c r="A138">
        <v>5</v>
      </c>
      <c r="B138">
        <v>346</v>
      </c>
    </row>
    <row r="139" spans="1:2" x14ac:dyDescent="0.2">
      <c r="A139">
        <v>0</v>
      </c>
      <c r="B139">
        <v>60</v>
      </c>
    </row>
    <row r="140" spans="1:2" x14ac:dyDescent="0.2">
      <c r="A140">
        <v>5</v>
      </c>
      <c r="B140">
        <v>366</v>
      </c>
    </row>
    <row r="141" spans="1:2" x14ac:dyDescent="0.2">
      <c r="A141">
        <v>3</v>
      </c>
      <c r="B141">
        <v>216</v>
      </c>
    </row>
    <row r="142" spans="1:2" x14ac:dyDescent="0.2">
      <c r="A142">
        <v>2</v>
      </c>
      <c r="B142">
        <v>111</v>
      </c>
    </row>
    <row r="143" spans="1:2" x14ac:dyDescent="0.2">
      <c r="A143">
        <v>0</v>
      </c>
      <c r="B143">
        <v>62</v>
      </c>
    </row>
    <row r="144" spans="1:2" x14ac:dyDescent="0.2">
      <c r="A144">
        <v>2</v>
      </c>
      <c r="B144">
        <v>212</v>
      </c>
    </row>
    <row r="145" spans="1:2" x14ac:dyDescent="0.2">
      <c r="A145">
        <v>3</v>
      </c>
      <c r="B145">
        <v>155</v>
      </c>
    </row>
    <row r="146" spans="1:2" x14ac:dyDescent="0.2">
      <c r="A146">
        <v>3</v>
      </c>
      <c r="B146">
        <v>227</v>
      </c>
    </row>
    <row r="147" spans="1:2" x14ac:dyDescent="0.2">
      <c r="A147">
        <v>2</v>
      </c>
      <c r="B147">
        <v>183</v>
      </c>
    </row>
    <row r="148" spans="1:2" x14ac:dyDescent="0.2">
      <c r="A148">
        <v>6</v>
      </c>
      <c r="B148">
        <v>340</v>
      </c>
    </row>
    <row r="149" spans="1:2" x14ac:dyDescent="0.2">
      <c r="A149">
        <v>4</v>
      </c>
      <c r="B149">
        <v>308</v>
      </c>
    </row>
    <row r="150" spans="1:2" x14ac:dyDescent="0.2">
      <c r="A150">
        <v>4</v>
      </c>
      <c r="B150">
        <v>205</v>
      </c>
    </row>
    <row r="151" spans="1:2" x14ac:dyDescent="0.2">
      <c r="A151">
        <v>2</v>
      </c>
      <c r="B151">
        <v>235</v>
      </c>
    </row>
    <row r="152" spans="1:2" x14ac:dyDescent="0.2">
      <c r="A152">
        <v>5</v>
      </c>
      <c r="B152">
        <v>336</v>
      </c>
    </row>
    <row r="153" spans="1:2" x14ac:dyDescent="0.2">
      <c r="A153">
        <v>0</v>
      </c>
      <c r="B153">
        <v>66</v>
      </c>
    </row>
    <row r="154" spans="1:2" x14ac:dyDescent="0.2">
      <c r="A154">
        <v>5</v>
      </c>
      <c r="B154">
        <v>394</v>
      </c>
    </row>
    <row r="155" spans="1:2" x14ac:dyDescent="0.2">
      <c r="A155">
        <v>6</v>
      </c>
      <c r="B155">
        <v>335</v>
      </c>
    </row>
    <row r="156" spans="1:2" x14ac:dyDescent="0.2">
      <c r="A156">
        <v>4</v>
      </c>
      <c r="B156">
        <v>240</v>
      </c>
    </row>
    <row r="157" spans="1:2" x14ac:dyDescent="0.2">
      <c r="A157">
        <v>2</v>
      </c>
      <c r="B157">
        <v>44</v>
      </c>
    </row>
    <row r="158" spans="1:2" x14ac:dyDescent="0.2">
      <c r="A158">
        <v>4</v>
      </c>
      <c r="B158">
        <v>244</v>
      </c>
    </row>
    <row r="159" spans="1:2" x14ac:dyDescent="0.2">
      <c r="A159">
        <v>5</v>
      </c>
      <c r="B159">
        <v>259</v>
      </c>
    </row>
    <row r="160" spans="1:2" x14ac:dyDescent="0.2">
      <c r="A160">
        <v>3</v>
      </c>
      <c r="B160">
        <v>146</v>
      </c>
    </row>
    <row r="161" spans="1:2" x14ac:dyDescent="0.2">
      <c r="A161">
        <v>3</v>
      </c>
      <c r="B161">
        <v>249</v>
      </c>
    </row>
    <row r="162" spans="1:2" x14ac:dyDescent="0.2">
      <c r="A162">
        <v>4</v>
      </c>
      <c r="B162">
        <v>173</v>
      </c>
    </row>
    <row r="163" spans="1:2" x14ac:dyDescent="0.2">
      <c r="A163">
        <v>3</v>
      </c>
      <c r="B163">
        <v>278</v>
      </c>
    </row>
    <row r="164" spans="1:2" x14ac:dyDescent="0.2">
      <c r="A164">
        <v>3</v>
      </c>
      <c r="B164">
        <v>160</v>
      </c>
    </row>
    <row r="165" spans="1:2" x14ac:dyDescent="0.2">
      <c r="A165">
        <v>2</v>
      </c>
      <c r="B165">
        <v>224</v>
      </c>
    </row>
    <row r="166" spans="1:2" x14ac:dyDescent="0.2">
      <c r="A166">
        <v>5</v>
      </c>
      <c r="B166">
        <v>278</v>
      </c>
    </row>
    <row r="167" spans="1:2" x14ac:dyDescent="0.2">
      <c r="A167">
        <v>5</v>
      </c>
      <c r="B167">
        <v>335</v>
      </c>
    </row>
    <row r="168" spans="1:2" x14ac:dyDescent="0.2">
      <c r="A168">
        <v>4</v>
      </c>
      <c r="B168">
        <v>387</v>
      </c>
    </row>
    <row r="169" spans="1:2" x14ac:dyDescent="0.2">
      <c r="A169">
        <v>4</v>
      </c>
      <c r="B169">
        <v>342</v>
      </c>
    </row>
    <row r="170" spans="1:2" x14ac:dyDescent="0.2">
      <c r="A170">
        <v>4</v>
      </c>
      <c r="B170">
        <v>400</v>
      </c>
    </row>
    <row r="171" spans="1:2" x14ac:dyDescent="0.2">
      <c r="A171">
        <v>6</v>
      </c>
      <c r="B171">
        <v>356</v>
      </c>
    </row>
    <row r="172" spans="1:2" x14ac:dyDescent="0.2">
      <c r="A172">
        <v>4</v>
      </c>
      <c r="B172">
        <v>352</v>
      </c>
    </row>
    <row r="173" spans="1:2" x14ac:dyDescent="0.2">
      <c r="A173">
        <v>4</v>
      </c>
      <c r="B173">
        <v>161</v>
      </c>
    </row>
    <row r="174" spans="1:2" x14ac:dyDescent="0.2">
      <c r="A174">
        <v>2</v>
      </c>
      <c r="B174">
        <v>57</v>
      </c>
    </row>
    <row r="175" spans="1:2" x14ac:dyDescent="0.2">
      <c r="A175">
        <v>1</v>
      </c>
      <c r="B175">
        <v>126</v>
      </c>
    </row>
    <row r="176" spans="1:2" x14ac:dyDescent="0.2">
      <c r="A176">
        <v>0</v>
      </c>
      <c r="B176">
        <v>79</v>
      </c>
    </row>
    <row r="177" spans="1:2" x14ac:dyDescent="0.2">
      <c r="A177">
        <v>1</v>
      </c>
      <c r="B177">
        <v>125</v>
      </c>
    </row>
    <row r="178" spans="1:2" x14ac:dyDescent="0.2">
      <c r="A178">
        <v>4</v>
      </c>
      <c r="B178">
        <v>398</v>
      </c>
    </row>
    <row r="179" spans="1:2" x14ac:dyDescent="0.2">
      <c r="A179">
        <v>4</v>
      </c>
      <c r="B179">
        <v>310</v>
      </c>
    </row>
    <row r="180" spans="1:2" x14ac:dyDescent="0.2">
      <c r="A180">
        <v>2</v>
      </c>
      <c r="B180">
        <v>196</v>
      </c>
    </row>
    <row r="181" spans="1:2" x14ac:dyDescent="0.2">
      <c r="A181">
        <v>1</v>
      </c>
      <c r="B181">
        <v>55</v>
      </c>
    </row>
    <row r="182" spans="1:2" x14ac:dyDescent="0.2">
      <c r="A182">
        <v>4</v>
      </c>
      <c r="B182">
        <v>227</v>
      </c>
    </row>
    <row r="183" spans="1:2" x14ac:dyDescent="0.2">
      <c r="A183">
        <v>5</v>
      </c>
      <c r="B183">
        <v>391</v>
      </c>
    </row>
    <row r="184" spans="1:2" x14ac:dyDescent="0.2">
      <c r="A184">
        <v>2</v>
      </c>
      <c r="B184">
        <v>49</v>
      </c>
    </row>
    <row r="185" spans="1:2" x14ac:dyDescent="0.2">
      <c r="A185">
        <v>3</v>
      </c>
      <c r="B185">
        <v>130</v>
      </c>
    </row>
    <row r="186" spans="1:2" x14ac:dyDescent="0.2">
      <c r="A186">
        <v>4</v>
      </c>
      <c r="B186">
        <v>280</v>
      </c>
    </row>
    <row r="187" spans="1:2" x14ac:dyDescent="0.2">
      <c r="A187">
        <v>5</v>
      </c>
      <c r="B187">
        <v>303</v>
      </c>
    </row>
    <row r="188" spans="1:2" x14ac:dyDescent="0.2">
      <c r="A188">
        <v>2</v>
      </c>
      <c r="B188">
        <v>196</v>
      </c>
    </row>
    <row r="189" spans="1:2" x14ac:dyDescent="0.2">
      <c r="A189">
        <v>3</v>
      </c>
      <c r="B189">
        <v>99</v>
      </c>
    </row>
    <row r="190" spans="1:2" x14ac:dyDescent="0.2">
      <c r="A190">
        <v>3</v>
      </c>
      <c r="B190">
        <v>216</v>
      </c>
    </row>
    <row r="191" spans="1:2" x14ac:dyDescent="0.2">
      <c r="A191">
        <v>4</v>
      </c>
      <c r="B191">
        <v>396</v>
      </c>
    </row>
    <row r="192" spans="1:2" x14ac:dyDescent="0.2">
      <c r="A192">
        <v>1</v>
      </c>
      <c r="B192">
        <v>93</v>
      </c>
    </row>
    <row r="193" spans="1:2" x14ac:dyDescent="0.2">
      <c r="A193">
        <v>2</v>
      </c>
      <c r="B193">
        <v>105</v>
      </c>
    </row>
    <row r="194" spans="1:2" x14ac:dyDescent="0.2">
      <c r="A194">
        <v>3</v>
      </c>
      <c r="B194">
        <v>116</v>
      </c>
    </row>
    <row r="195" spans="1:2" x14ac:dyDescent="0.2">
      <c r="A195">
        <v>1</v>
      </c>
      <c r="B195">
        <v>119</v>
      </c>
    </row>
    <row r="196" spans="1:2" x14ac:dyDescent="0.2">
      <c r="A196">
        <v>4</v>
      </c>
      <c r="B196">
        <v>257</v>
      </c>
    </row>
    <row r="197" spans="1:2" x14ac:dyDescent="0.2">
      <c r="A197">
        <v>0</v>
      </c>
      <c r="B197">
        <v>48</v>
      </c>
    </row>
    <row r="198" spans="1:2" x14ac:dyDescent="0.2">
      <c r="A198">
        <v>4</v>
      </c>
      <c r="B198">
        <v>297</v>
      </c>
    </row>
    <row r="199" spans="1:2" x14ac:dyDescent="0.2">
      <c r="A199">
        <v>2</v>
      </c>
      <c r="B199">
        <v>159</v>
      </c>
    </row>
    <row r="200" spans="1:2" x14ac:dyDescent="0.2">
      <c r="A200">
        <v>3</v>
      </c>
      <c r="B200">
        <v>132</v>
      </c>
    </row>
    <row r="201" spans="1:2" x14ac:dyDescent="0.2">
      <c r="A201">
        <v>3</v>
      </c>
      <c r="B201">
        <v>104</v>
      </c>
    </row>
    <row r="202" spans="1:2" x14ac:dyDescent="0.2">
      <c r="A202">
        <v>1</v>
      </c>
      <c r="B202">
        <v>149</v>
      </c>
    </row>
    <row r="203" spans="1:2" x14ac:dyDescent="0.2">
      <c r="A203">
        <v>4</v>
      </c>
      <c r="B203">
        <v>245</v>
      </c>
    </row>
    <row r="204" spans="1:2" x14ac:dyDescent="0.2">
      <c r="A204">
        <v>2</v>
      </c>
      <c r="B204">
        <v>194</v>
      </c>
    </row>
    <row r="205" spans="1:2" x14ac:dyDescent="0.2">
      <c r="A205">
        <v>5</v>
      </c>
      <c r="B205">
        <v>329</v>
      </c>
    </row>
    <row r="206" spans="1:2" x14ac:dyDescent="0.2">
      <c r="A206">
        <v>3</v>
      </c>
      <c r="B206">
        <v>120</v>
      </c>
    </row>
    <row r="207" spans="1:2" x14ac:dyDescent="0.2">
      <c r="A207">
        <v>3</v>
      </c>
      <c r="B207">
        <v>189</v>
      </c>
    </row>
    <row r="208" spans="1:2" x14ac:dyDescent="0.2">
      <c r="A208">
        <v>4</v>
      </c>
      <c r="B208">
        <v>396</v>
      </c>
    </row>
    <row r="209" spans="1:2" x14ac:dyDescent="0.2">
      <c r="A209">
        <v>6</v>
      </c>
      <c r="B209">
        <v>390</v>
      </c>
    </row>
    <row r="210" spans="1:2" x14ac:dyDescent="0.2">
      <c r="A210">
        <v>3</v>
      </c>
      <c r="B210">
        <v>169</v>
      </c>
    </row>
    <row r="211" spans="1:2" x14ac:dyDescent="0.2">
      <c r="A211">
        <v>6</v>
      </c>
      <c r="B211">
        <v>369</v>
      </c>
    </row>
    <row r="212" spans="1:2" x14ac:dyDescent="0.2">
      <c r="A212">
        <v>4</v>
      </c>
      <c r="B212">
        <v>214</v>
      </c>
    </row>
    <row r="213" spans="1:2" x14ac:dyDescent="0.2">
      <c r="A213">
        <v>6</v>
      </c>
      <c r="B213">
        <v>321</v>
      </c>
    </row>
    <row r="214" spans="1:2" x14ac:dyDescent="0.2">
      <c r="A214">
        <v>5</v>
      </c>
      <c r="B214">
        <v>347</v>
      </c>
    </row>
    <row r="215" spans="1:2" x14ac:dyDescent="0.2">
      <c r="A215">
        <v>2</v>
      </c>
      <c r="B215">
        <v>99</v>
      </c>
    </row>
    <row r="216" spans="1:2" x14ac:dyDescent="0.2">
      <c r="A216">
        <v>3</v>
      </c>
      <c r="B216">
        <v>288</v>
      </c>
    </row>
    <row r="217" spans="1:2" x14ac:dyDescent="0.2">
      <c r="A217">
        <v>2</v>
      </c>
      <c r="B217">
        <v>185</v>
      </c>
    </row>
    <row r="218" spans="1:2" x14ac:dyDescent="0.2">
      <c r="A218">
        <v>2</v>
      </c>
      <c r="B218">
        <v>197</v>
      </c>
    </row>
    <row r="219" spans="1:2" x14ac:dyDescent="0.2">
      <c r="A219">
        <v>3</v>
      </c>
      <c r="B219">
        <v>96</v>
      </c>
    </row>
    <row r="220" spans="1:2" x14ac:dyDescent="0.2">
      <c r="A220">
        <v>2</v>
      </c>
      <c r="B220">
        <v>121</v>
      </c>
    </row>
    <row r="221" spans="1:2" x14ac:dyDescent="0.2">
      <c r="A221">
        <v>3</v>
      </c>
      <c r="B221">
        <v>131</v>
      </c>
    </row>
    <row r="222" spans="1:2" x14ac:dyDescent="0.2">
      <c r="A222">
        <v>4</v>
      </c>
      <c r="B222">
        <v>377</v>
      </c>
    </row>
    <row r="223" spans="1:2" x14ac:dyDescent="0.2">
      <c r="A223">
        <v>1</v>
      </c>
      <c r="B223">
        <v>93</v>
      </c>
    </row>
    <row r="224" spans="1:2" x14ac:dyDescent="0.2">
      <c r="A224">
        <v>3</v>
      </c>
      <c r="B224">
        <v>188</v>
      </c>
    </row>
    <row r="225" spans="1:2" x14ac:dyDescent="0.2">
      <c r="A225">
        <v>3</v>
      </c>
      <c r="B225">
        <v>295</v>
      </c>
    </row>
    <row r="226" spans="1:2" x14ac:dyDescent="0.2">
      <c r="A226">
        <v>2</v>
      </c>
      <c r="B226">
        <v>103</v>
      </c>
    </row>
    <row r="227" spans="1:2" x14ac:dyDescent="0.2">
      <c r="A227">
        <v>1</v>
      </c>
      <c r="B227">
        <v>60</v>
      </c>
    </row>
    <row r="228" spans="1:2" x14ac:dyDescent="0.2">
      <c r="A228">
        <v>3</v>
      </c>
      <c r="B228">
        <v>216</v>
      </c>
    </row>
    <row r="229" spans="1:2" x14ac:dyDescent="0.2">
      <c r="A229">
        <v>1</v>
      </c>
      <c r="B229">
        <v>65</v>
      </c>
    </row>
    <row r="230" spans="1:2" x14ac:dyDescent="0.2">
      <c r="A230">
        <v>2</v>
      </c>
      <c r="B230">
        <v>210</v>
      </c>
    </row>
    <row r="231" spans="1:2" x14ac:dyDescent="0.2">
      <c r="A231">
        <v>2</v>
      </c>
      <c r="B231">
        <v>176</v>
      </c>
    </row>
    <row r="232" spans="1:2" x14ac:dyDescent="0.2">
      <c r="A232">
        <v>0</v>
      </c>
      <c r="B232">
        <v>54</v>
      </c>
    </row>
    <row r="233" spans="1:2" x14ac:dyDescent="0.2">
      <c r="A233">
        <v>3</v>
      </c>
      <c r="B233">
        <v>302</v>
      </c>
    </row>
    <row r="234" spans="1:2" x14ac:dyDescent="0.2">
      <c r="A234">
        <v>4</v>
      </c>
      <c r="B234">
        <v>318</v>
      </c>
    </row>
    <row r="235" spans="1:2" x14ac:dyDescent="0.2">
      <c r="A235">
        <v>5</v>
      </c>
      <c r="B235">
        <v>338</v>
      </c>
    </row>
    <row r="236" spans="1:2" x14ac:dyDescent="0.2">
      <c r="A236">
        <v>1</v>
      </c>
      <c r="B236">
        <v>108</v>
      </c>
    </row>
    <row r="237" spans="1:2" x14ac:dyDescent="0.2">
      <c r="A237">
        <v>4</v>
      </c>
      <c r="B237">
        <v>280</v>
      </c>
    </row>
    <row r="238" spans="1:2" x14ac:dyDescent="0.2">
      <c r="A238">
        <v>5</v>
      </c>
      <c r="B238">
        <v>245</v>
      </c>
    </row>
    <row r="239" spans="1:2" x14ac:dyDescent="0.2">
      <c r="A239">
        <v>6</v>
      </c>
      <c r="B239">
        <v>334</v>
      </c>
    </row>
    <row r="240" spans="1:2" x14ac:dyDescent="0.2">
      <c r="A240">
        <v>4</v>
      </c>
      <c r="B240">
        <v>228</v>
      </c>
    </row>
    <row r="241" spans="1:2" x14ac:dyDescent="0.2">
      <c r="A241">
        <v>0</v>
      </c>
      <c r="B241">
        <v>42</v>
      </c>
    </row>
    <row r="242" spans="1:2" x14ac:dyDescent="0.2">
      <c r="A242">
        <v>6</v>
      </c>
      <c r="B242">
        <v>355</v>
      </c>
    </row>
    <row r="243" spans="1:2" x14ac:dyDescent="0.2">
      <c r="A243">
        <v>2</v>
      </c>
      <c r="B243">
        <v>168</v>
      </c>
    </row>
    <row r="244" spans="1:2" x14ac:dyDescent="0.2">
      <c r="A244">
        <v>3</v>
      </c>
      <c r="B244">
        <v>95</v>
      </c>
    </row>
    <row r="245" spans="1:2" x14ac:dyDescent="0.2">
      <c r="A245">
        <v>6</v>
      </c>
      <c r="B245">
        <v>371</v>
      </c>
    </row>
    <row r="246" spans="1:2" x14ac:dyDescent="0.2">
      <c r="A246">
        <v>1</v>
      </c>
      <c r="B246">
        <v>80</v>
      </c>
    </row>
    <row r="247" spans="1:2" x14ac:dyDescent="0.2">
      <c r="A247">
        <v>6</v>
      </c>
      <c r="B247">
        <v>385</v>
      </c>
    </row>
    <row r="248" spans="1:2" x14ac:dyDescent="0.2">
      <c r="A248">
        <v>2</v>
      </c>
      <c r="B248">
        <v>131</v>
      </c>
    </row>
    <row r="249" spans="1:2" x14ac:dyDescent="0.2">
      <c r="A249">
        <v>2</v>
      </c>
      <c r="B249">
        <v>61</v>
      </c>
    </row>
    <row r="250" spans="1:2" x14ac:dyDescent="0.2">
      <c r="A250">
        <v>0</v>
      </c>
      <c r="B250">
        <v>49</v>
      </c>
    </row>
    <row r="251" spans="1:2" x14ac:dyDescent="0.2">
      <c r="A251">
        <v>3</v>
      </c>
      <c r="B251">
        <v>107</v>
      </c>
    </row>
    <row r="252" spans="1:2" x14ac:dyDescent="0.2">
      <c r="A252">
        <v>1</v>
      </c>
      <c r="B252">
        <v>119</v>
      </c>
    </row>
    <row r="253" spans="1:2" x14ac:dyDescent="0.2">
      <c r="A253">
        <v>4</v>
      </c>
      <c r="B253">
        <v>291</v>
      </c>
    </row>
    <row r="254" spans="1:2" x14ac:dyDescent="0.2">
      <c r="A254">
        <v>6</v>
      </c>
      <c r="B254">
        <v>399</v>
      </c>
    </row>
    <row r="255" spans="1:2" x14ac:dyDescent="0.2">
      <c r="A255">
        <v>4</v>
      </c>
      <c r="B255">
        <v>183</v>
      </c>
    </row>
    <row r="256" spans="1:2" x14ac:dyDescent="0.2">
      <c r="A256">
        <v>3</v>
      </c>
      <c r="B256">
        <v>98</v>
      </c>
    </row>
    <row r="257" spans="1:2" x14ac:dyDescent="0.2">
      <c r="A257">
        <v>3</v>
      </c>
      <c r="B257">
        <v>139</v>
      </c>
    </row>
    <row r="258" spans="1:2" x14ac:dyDescent="0.2">
      <c r="A258">
        <v>2</v>
      </c>
      <c r="B258">
        <v>210</v>
      </c>
    </row>
    <row r="259" spans="1:2" x14ac:dyDescent="0.2">
      <c r="A259">
        <v>2</v>
      </c>
      <c r="B259">
        <v>81</v>
      </c>
    </row>
    <row r="260" spans="1:2" x14ac:dyDescent="0.2">
      <c r="A260">
        <v>5</v>
      </c>
      <c r="B260">
        <v>246</v>
      </c>
    </row>
    <row r="261" spans="1:2" x14ac:dyDescent="0.2">
      <c r="A261">
        <v>0</v>
      </c>
      <c r="B261">
        <v>71</v>
      </c>
    </row>
    <row r="262" spans="1:2" x14ac:dyDescent="0.2">
      <c r="A262">
        <v>0</v>
      </c>
      <c r="B262">
        <v>58</v>
      </c>
    </row>
    <row r="263" spans="1:2" x14ac:dyDescent="0.2">
      <c r="A263">
        <v>2</v>
      </c>
      <c r="B263">
        <v>85</v>
      </c>
    </row>
    <row r="264" spans="1:2" x14ac:dyDescent="0.2">
      <c r="A264">
        <v>5</v>
      </c>
      <c r="B264">
        <v>343</v>
      </c>
    </row>
    <row r="265" spans="1:2" x14ac:dyDescent="0.2">
      <c r="A265">
        <v>0</v>
      </c>
      <c r="B265">
        <v>59</v>
      </c>
    </row>
    <row r="266" spans="1:2" x14ac:dyDescent="0.2">
      <c r="A266">
        <v>3</v>
      </c>
      <c r="B266">
        <v>161</v>
      </c>
    </row>
    <row r="267" spans="1:2" x14ac:dyDescent="0.2">
      <c r="A267">
        <v>4</v>
      </c>
      <c r="B267">
        <v>312</v>
      </c>
    </row>
    <row r="268" spans="1:2" x14ac:dyDescent="0.2">
      <c r="A268">
        <v>2</v>
      </c>
      <c r="B268">
        <v>201</v>
      </c>
    </row>
    <row r="269" spans="1:2" x14ac:dyDescent="0.2">
      <c r="A269">
        <v>2</v>
      </c>
      <c r="B269">
        <v>227</v>
      </c>
    </row>
    <row r="270" spans="1:2" x14ac:dyDescent="0.2">
      <c r="A270">
        <v>3</v>
      </c>
      <c r="B270">
        <v>200</v>
      </c>
    </row>
    <row r="271" spans="1:2" x14ac:dyDescent="0.2">
      <c r="A271">
        <v>1</v>
      </c>
      <c r="B271">
        <v>60</v>
      </c>
    </row>
    <row r="272" spans="1:2" x14ac:dyDescent="0.2">
      <c r="A272">
        <v>4</v>
      </c>
      <c r="B272">
        <v>241</v>
      </c>
    </row>
    <row r="273" spans="1:2" x14ac:dyDescent="0.2">
      <c r="A273">
        <v>5</v>
      </c>
      <c r="B273">
        <v>286</v>
      </c>
    </row>
    <row r="274" spans="1:2" x14ac:dyDescent="0.2">
      <c r="A274">
        <v>2</v>
      </c>
      <c r="B274">
        <v>47</v>
      </c>
    </row>
    <row r="275" spans="1:2" x14ac:dyDescent="0.2">
      <c r="A275">
        <v>1</v>
      </c>
      <c r="B275">
        <v>61</v>
      </c>
    </row>
    <row r="276" spans="1:2" x14ac:dyDescent="0.2">
      <c r="A276">
        <v>3</v>
      </c>
      <c r="B276">
        <v>171</v>
      </c>
    </row>
    <row r="277" spans="1:2" x14ac:dyDescent="0.2">
      <c r="A277">
        <v>2</v>
      </c>
      <c r="B277">
        <v>235</v>
      </c>
    </row>
    <row r="278" spans="1:2" x14ac:dyDescent="0.2">
      <c r="A278">
        <v>3</v>
      </c>
      <c r="B278">
        <v>114</v>
      </c>
    </row>
    <row r="279" spans="1:2" x14ac:dyDescent="0.2">
      <c r="A279">
        <v>3</v>
      </c>
      <c r="B279">
        <v>205</v>
      </c>
    </row>
    <row r="280" spans="1:2" x14ac:dyDescent="0.2">
      <c r="A280">
        <v>2</v>
      </c>
      <c r="B280">
        <v>107</v>
      </c>
    </row>
    <row r="281" spans="1:2" x14ac:dyDescent="0.2">
      <c r="A281">
        <v>3</v>
      </c>
      <c r="B281">
        <v>220</v>
      </c>
    </row>
    <row r="282" spans="1:2" x14ac:dyDescent="0.2">
      <c r="A282">
        <v>4</v>
      </c>
      <c r="B282">
        <v>171</v>
      </c>
    </row>
    <row r="283" spans="1:2" x14ac:dyDescent="0.2">
      <c r="A283">
        <v>5</v>
      </c>
      <c r="B283">
        <v>271</v>
      </c>
    </row>
    <row r="284" spans="1:2" x14ac:dyDescent="0.2">
      <c r="A284">
        <v>2</v>
      </c>
      <c r="B284">
        <v>51</v>
      </c>
    </row>
    <row r="285" spans="1:2" x14ac:dyDescent="0.2">
      <c r="A285">
        <v>1</v>
      </c>
      <c r="B285">
        <v>83</v>
      </c>
    </row>
    <row r="286" spans="1:2" x14ac:dyDescent="0.2">
      <c r="A286">
        <v>3</v>
      </c>
      <c r="B286">
        <v>140</v>
      </c>
    </row>
    <row r="287" spans="1:2" x14ac:dyDescent="0.2">
      <c r="A287">
        <v>2</v>
      </c>
      <c r="B287">
        <v>108</v>
      </c>
    </row>
    <row r="288" spans="1:2" x14ac:dyDescent="0.2">
      <c r="A288">
        <v>4</v>
      </c>
      <c r="B288">
        <v>396</v>
      </c>
    </row>
    <row r="289" spans="1:2" x14ac:dyDescent="0.2">
      <c r="A289">
        <v>6</v>
      </c>
      <c r="B289">
        <v>387</v>
      </c>
    </row>
    <row r="290" spans="1:2" x14ac:dyDescent="0.2">
      <c r="A290">
        <v>3</v>
      </c>
      <c r="B290">
        <v>234</v>
      </c>
    </row>
    <row r="291" spans="1:2" x14ac:dyDescent="0.2">
      <c r="A291">
        <v>2</v>
      </c>
      <c r="B291">
        <v>133</v>
      </c>
    </row>
    <row r="292" spans="1:2" x14ac:dyDescent="0.2">
      <c r="A292">
        <v>5</v>
      </c>
      <c r="B292">
        <v>268</v>
      </c>
    </row>
    <row r="293" spans="1:2" x14ac:dyDescent="0.2">
      <c r="A293">
        <v>2</v>
      </c>
      <c r="B293">
        <v>187</v>
      </c>
    </row>
    <row r="294" spans="1:2" x14ac:dyDescent="0.2">
      <c r="A294">
        <v>1</v>
      </c>
      <c r="B294">
        <v>149</v>
      </c>
    </row>
    <row r="295" spans="1:2" x14ac:dyDescent="0.2">
      <c r="A295">
        <v>5</v>
      </c>
      <c r="B295">
        <v>353</v>
      </c>
    </row>
    <row r="296" spans="1:2" x14ac:dyDescent="0.2">
      <c r="A296">
        <v>5</v>
      </c>
      <c r="B296">
        <v>372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BC122-CEE1-4E1F-93BA-257FCB87B9B7}">
  <sheetPr>
    <tabColor theme="6" tint="0.39997558519241921"/>
  </sheetPr>
  <dimension ref="A1:B296"/>
  <sheetViews>
    <sheetView zoomScale="79" workbookViewId="0">
      <selection activeCell="S31" sqref="S31"/>
    </sheetView>
  </sheetViews>
  <sheetFormatPr baseColWidth="10" defaultColWidth="8.83203125" defaultRowHeight="15" x14ac:dyDescent="0.2"/>
  <sheetData>
    <row r="1" spans="1:2" x14ac:dyDescent="0.2">
      <c r="A1" t="s">
        <v>6</v>
      </c>
      <c r="B1" t="s">
        <v>129</v>
      </c>
    </row>
    <row r="2" spans="1:2" x14ac:dyDescent="0.2">
      <c r="A2">
        <v>4</v>
      </c>
      <c r="B2">
        <v>243</v>
      </c>
    </row>
    <row r="3" spans="1:2" x14ac:dyDescent="0.2">
      <c r="A3">
        <v>0</v>
      </c>
      <c r="B3">
        <v>77</v>
      </c>
    </row>
    <row r="4" spans="1:2" x14ac:dyDescent="0.2">
      <c r="A4">
        <v>3</v>
      </c>
      <c r="B4">
        <v>285</v>
      </c>
    </row>
    <row r="5" spans="1:2" x14ac:dyDescent="0.2">
      <c r="A5">
        <v>5</v>
      </c>
      <c r="B5">
        <v>373</v>
      </c>
    </row>
    <row r="6" spans="1:2" x14ac:dyDescent="0.2">
      <c r="A6">
        <v>6</v>
      </c>
      <c r="B6">
        <v>355</v>
      </c>
    </row>
    <row r="7" spans="1:2" x14ac:dyDescent="0.2">
      <c r="A7">
        <v>2</v>
      </c>
      <c r="B7">
        <v>116</v>
      </c>
    </row>
    <row r="8" spans="1:2" x14ac:dyDescent="0.2">
      <c r="A8">
        <v>0</v>
      </c>
      <c r="B8">
        <v>72</v>
      </c>
    </row>
    <row r="9" spans="1:2" x14ac:dyDescent="0.2">
      <c r="A9">
        <v>3</v>
      </c>
      <c r="B9">
        <v>290</v>
      </c>
    </row>
    <row r="10" spans="1:2" x14ac:dyDescent="0.2">
      <c r="A10">
        <v>1</v>
      </c>
      <c r="B10">
        <v>157</v>
      </c>
    </row>
    <row r="11" spans="1:2" x14ac:dyDescent="0.2">
      <c r="A11">
        <v>5</v>
      </c>
      <c r="B11">
        <v>397</v>
      </c>
    </row>
    <row r="12" spans="1:2" x14ac:dyDescent="0.2">
      <c r="A12">
        <v>3</v>
      </c>
      <c r="B12">
        <v>97</v>
      </c>
    </row>
    <row r="13" spans="1:2" x14ac:dyDescent="0.2">
      <c r="A13">
        <v>4</v>
      </c>
      <c r="B13">
        <v>270</v>
      </c>
    </row>
    <row r="14" spans="1:2" x14ac:dyDescent="0.2">
      <c r="A14">
        <v>2</v>
      </c>
      <c r="B14">
        <v>198</v>
      </c>
    </row>
    <row r="15" spans="1:2" x14ac:dyDescent="0.2">
      <c r="A15">
        <v>4</v>
      </c>
      <c r="B15">
        <v>254</v>
      </c>
    </row>
    <row r="16" spans="1:2" x14ac:dyDescent="0.2">
      <c r="A16">
        <v>3</v>
      </c>
      <c r="B16">
        <v>303</v>
      </c>
    </row>
    <row r="17" spans="1:2" x14ac:dyDescent="0.2">
      <c r="A17">
        <v>0</v>
      </c>
      <c r="B17">
        <v>71</v>
      </c>
    </row>
    <row r="18" spans="1:2" x14ac:dyDescent="0.2">
      <c r="A18">
        <v>4</v>
      </c>
      <c r="B18">
        <v>389</v>
      </c>
    </row>
    <row r="19" spans="1:2" x14ac:dyDescent="0.2">
      <c r="A19">
        <v>5</v>
      </c>
      <c r="B19">
        <v>390</v>
      </c>
    </row>
    <row r="20" spans="1:2" x14ac:dyDescent="0.2">
      <c r="A20">
        <v>2</v>
      </c>
      <c r="B20">
        <v>127</v>
      </c>
    </row>
    <row r="21" spans="1:2" x14ac:dyDescent="0.2">
      <c r="A21">
        <v>1</v>
      </c>
      <c r="B21">
        <v>94</v>
      </c>
    </row>
    <row r="22" spans="1:2" x14ac:dyDescent="0.2">
      <c r="A22">
        <v>5</v>
      </c>
      <c r="B22">
        <v>322</v>
      </c>
    </row>
    <row r="23" spans="1:2" x14ac:dyDescent="0.2">
      <c r="A23">
        <v>5</v>
      </c>
      <c r="B23">
        <v>272</v>
      </c>
    </row>
    <row r="24" spans="1:2" x14ac:dyDescent="0.2">
      <c r="A24">
        <v>5</v>
      </c>
      <c r="B24">
        <v>316</v>
      </c>
    </row>
    <row r="25" spans="1:2" x14ac:dyDescent="0.2">
      <c r="A25">
        <v>5</v>
      </c>
      <c r="B25">
        <v>345</v>
      </c>
    </row>
    <row r="26" spans="1:2" x14ac:dyDescent="0.2">
      <c r="A26">
        <v>3</v>
      </c>
      <c r="B26">
        <v>136</v>
      </c>
    </row>
    <row r="27" spans="1:2" x14ac:dyDescent="0.2">
      <c r="A27">
        <v>3</v>
      </c>
      <c r="B27">
        <v>180</v>
      </c>
    </row>
    <row r="28" spans="1:2" x14ac:dyDescent="0.2">
      <c r="A28">
        <v>5</v>
      </c>
      <c r="B28">
        <v>295</v>
      </c>
    </row>
    <row r="29" spans="1:2" x14ac:dyDescent="0.2">
      <c r="A29">
        <v>3</v>
      </c>
      <c r="B29">
        <v>160</v>
      </c>
    </row>
    <row r="30" spans="1:2" x14ac:dyDescent="0.2">
      <c r="A30">
        <v>6</v>
      </c>
      <c r="B30">
        <v>345</v>
      </c>
    </row>
    <row r="31" spans="1:2" x14ac:dyDescent="0.2">
      <c r="A31">
        <v>3</v>
      </c>
      <c r="B31">
        <v>279</v>
      </c>
    </row>
    <row r="32" spans="1:2" x14ac:dyDescent="0.2">
      <c r="A32">
        <v>4</v>
      </c>
      <c r="B32">
        <v>291</v>
      </c>
    </row>
    <row r="33" spans="1:2" x14ac:dyDescent="0.2">
      <c r="A33">
        <v>5</v>
      </c>
      <c r="B33">
        <v>396</v>
      </c>
    </row>
    <row r="34" spans="1:2" x14ac:dyDescent="0.2">
      <c r="A34">
        <v>2</v>
      </c>
      <c r="B34">
        <v>199</v>
      </c>
    </row>
    <row r="35" spans="1:2" x14ac:dyDescent="0.2">
      <c r="A35">
        <v>2</v>
      </c>
      <c r="B35">
        <v>183</v>
      </c>
    </row>
    <row r="36" spans="1:2" x14ac:dyDescent="0.2">
      <c r="A36">
        <v>3</v>
      </c>
      <c r="B36">
        <v>315</v>
      </c>
    </row>
    <row r="37" spans="1:2" x14ac:dyDescent="0.2">
      <c r="A37">
        <v>3</v>
      </c>
      <c r="B37">
        <v>181</v>
      </c>
    </row>
    <row r="38" spans="1:2" x14ac:dyDescent="0.2">
      <c r="A38">
        <v>1</v>
      </c>
      <c r="B38">
        <v>81</v>
      </c>
    </row>
    <row r="39" spans="1:2" x14ac:dyDescent="0.2">
      <c r="A39">
        <v>3</v>
      </c>
      <c r="B39">
        <v>156</v>
      </c>
    </row>
    <row r="40" spans="1:2" x14ac:dyDescent="0.2">
      <c r="A40">
        <v>5</v>
      </c>
      <c r="B40">
        <v>297</v>
      </c>
    </row>
    <row r="41" spans="1:2" x14ac:dyDescent="0.2">
      <c r="A41">
        <v>4</v>
      </c>
      <c r="B41">
        <v>212</v>
      </c>
    </row>
    <row r="42" spans="1:2" x14ac:dyDescent="0.2">
      <c r="A42">
        <v>4</v>
      </c>
      <c r="B42">
        <v>358</v>
      </c>
    </row>
    <row r="43" spans="1:2" x14ac:dyDescent="0.2">
      <c r="A43">
        <v>1</v>
      </c>
      <c r="B43">
        <v>96</v>
      </c>
    </row>
    <row r="44" spans="1:2" x14ac:dyDescent="0.2">
      <c r="A44">
        <v>4</v>
      </c>
      <c r="B44">
        <v>246</v>
      </c>
    </row>
    <row r="45" spans="1:2" x14ac:dyDescent="0.2">
      <c r="A45">
        <v>2</v>
      </c>
      <c r="B45">
        <v>62</v>
      </c>
    </row>
    <row r="46" spans="1:2" x14ac:dyDescent="0.2">
      <c r="A46">
        <v>1</v>
      </c>
      <c r="B46">
        <v>42</v>
      </c>
    </row>
    <row r="47" spans="1:2" x14ac:dyDescent="0.2">
      <c r="A47">
        <v>1</v>
      </c>
      <c r="B47">
        <v>53</v>
      </c>
    </row>
    <row r="48" spans="1:2" x14ac:dyDescent="0.2">
      <c r="A48">
        <v>1</v>
      </c>
      <c r="B48">
        <v>69</v>
      </c>
    </row>
    <row r="49" spans="1:2" x14ac:dyDescent="0.2">
      <c r="A49">
        <v>2</v>
      </c>
      <c r="B49">
        <v>179</v>
      </c>
    </row>
    <row r="50" spans="1:2" x14ac:dyDescent="0.2">
      <c r="A50">
        <v>3</v>
      </c>
      <c r="B50">
        <v>161</v>
      </c>
    </row>
    <row r="51" spans="1:2" x14ac:dyDescent="0.2">
      <c r="A51">
        <v>5</v>
      </c>
      <c r="B51">
        <v>344</v>
      </c>
    </row>
    <row r="52" spans="1:2" x14ac:dyDescent="0.2">
      <c r="A52">
        <v>6</v>
      </c>
      <c r="B52">
        <v>325</v>
      </c>
    </row>
    <row r="53" spans="1:2" x14ac:dyDescent="0.2">
      <c r="A53">
        <v>5</v>
      </c>
      <c r="B53">
        <v>273</v>
      </c>
    </row>
    <row r="54" spans="1:2" x14ac:dyDescent="0.2">
      <c r="A54">
        <v>2</v>
      </c>
      <c r="B54">
        <v>87</v>
      </c>
    </row>
    <row r="55" spans="1:2" x14ac:dyDescent="0.2">
      <c r="A55">
        <v>2</v>
      </c>
      <c r="B55">
        <v>46</v>
      </c>
    </row>
    <row r="56" spans="1:2" x14ac:dyDescent="0.2">
      <c r="A56">
        <v>4</v>
      </c>
      <c r="B56">
        <v>311</v>
      </c>
    </row>
    <row r="57" spans="1:2" x14ac:dyDescent="0.2">
      <c r="A57">
        <v>3</v>
      </c>
      <c r="B57">
        <v>285</v>
      </c>
    </row>
    <row r="58" spans="1:2" x14ac:dyDescent="0.2">
      <c r="A58">
        <v>3</v>
      </c>
      <c r="B58">
        <v>316</v>
      </c>
    </row>
    <row r="59" spans="1:2" x14ac:dyDescent="0.2">
      <c r="A59">
        <v>2</v>
      </c>
      <c r="B59">
        <v>67</v>
      </c>
    </row>
    <row r="60" spans="1:2" x14ac:dyDescent="0.2">
      <c r="A60">
        <v>2</v>
      </c>
      <c r="B60">
        <v>83</v>
      </c>
    </row>
    <row r="61" spans="1:2" x14ac:dyDescent="0.2">
      <c r="A61">
        <v>6</v>
      </c>
      <c r="B61">
        <v>392</v>
      </c>
    </row>
    <row r="62" spans="1:2" x14ac:dyDescent="0.2">
      <c r="A62">
        <v>5</v>
      </c>
      <c r="B62">
        <v>330</v>
      </c>
    </row>
    <row r="63" spans="1:2" x14ac:dyDescent="0.2">
      <c r="A63">
        <v>3</v>
      </c>
      <c r="B63">
        <v>311</v>
      </c>
    </row>
    <row r="64" spans="1:2" x14ac:dyDescent="0.2">
      <c r="A64">
        <v>4</v>
      </c>
      <c r="B64">
        <v>391</v>
      </c>
    </row>
    <row r="65" spans="1:2" x14ac:dyDescent="0.2">
      <c r="A65">
        <v>2</v>
      </c>
      <c r="B65">
        <v>202</v>
      </c>
    </row>
    <row r="66" spans="1:2" x14ac:dyDescent="0.2">
      <c r="A66">
        <v>5</v>
      </c>
      <c r="B66">
        <v>367</v>
      </c>
    </row>
    <row r="67" spans="1:2" x14ac:dyDescent="0.2">
      <c r="A67">
        <v>4</v>
      </c>
      <c r="B67">
        <v>329</v>
      </c>
    </row>
    <row r="68" spans="1:2" x14ac:dyDescent="0.2">
      <c r="A68">
        <v>4</v>
      </c>
      <c r="B68">
        <v>167</v>
      </c>
    </row>
    <row r="69" spans="1:2" x14ac:dyDescent="0.2">
      <c r="A69">
        <v>3</v>
      </c>
      <c r="B69">
        <v>162</v>
      </c>
    </row>
    <row r="70" spans="1:2" x14ac:dyDescent="0.2">
      <c r="A70">
        <v>4</v>
      </c>
      <c r="B70">
        <v>266</v>
      </c>
    </row>
    <row r="71" spans="1:2" x14ac:dyDescent="0.2">
      <c r="A71">
        <v>2</v>
      </c>
      <c r="B71">
        <v>89</v>
      </c>
    </row>
    <row r="72" spans="1:2" x14ac:dyDescent="0.2">
      <c r="A72">
        <v>4</v>
      </c>
      <c r="B72">
        <v>280</v>
      </c>
    </row>
    <row r="73" spans="1:2" x14ac:dyDescent="0.2">
      <c r="A73">
        <v>3</v>
      </c>
      <c r="B73">
        <v>86</v>
      </c>
    </row>
    <row r="74" spans="1:2" x14ac:dyDescent="0.2">
      <c r="A74">
        <v>4</v>
      </c>
      <c r="B74">
        <v>163</v>
      </c>
    </row>
    <row r="75" spans="1:2" x14ac:dyDescent="0.2">
      <c r="A75">
        <v>5</v>
      </c>
      <c r="B75">
        <v>368</v>
      </c>
    </row>
    <row r="76" spans="1:2" x14ac:dyDescent="0.2">
      <c r="A76">
        <v>6</v>
      </c>
      <c r="B76">
        <v>342</v>
      </c>
    </row>
    <row r="77" spans="1:2" x14ac:dyDescent="0.2">
      <c r="A77">
        <v>4</v>
      </c>
      <c r="B77">
        <v>221</v>
      </c>
    </row>
    <row r="78" spans="1:2" x14ac:dyDescent="0.2">
      <c r="A78">
        <v>3</v>
      </c>
      <c r="B78">
        <v>192</v>
      </c>
    </row>
    <row r="79" spans="1:2" x14ac:dyDescent="0.2">
      <c r="A79">
        <v>3</v>
      </c>
      <c r="B79">
        <v>222</v>
      </c>
    </row>
    <row r="80" spans="1:2" x14ac:dyDescent="0.2">
      <c r="A80">
        <v>4</v>
      </c>
      <c r="B80">
        <v>161</v>
      </c>
    </row>
    <row r="81" spans="1:2" x14ac:dyDescent="0.2">
      <c r="A81">
        <v>2</v>
      </c>
      <c r="B81">
        <v>195</v>
      </c>
    </row>
    <row r="82" spans="1:2" x14ac:dyDescent="0.2">
      <c r="A82">
        <v>4</v>
      </c>
      <c r="B82">
        <v>267</v>
      </c>
    </row>
    <row r="83" spans="1:2" x14ac:dyDescent="0.2">
      <c r="A83">
        <v>2</v>
      </c>
      <c r="B83">
        <v>192</v>
      </c>
    </row>
    <row r="84" spans="1:2" x14ac:dyDescent="0.2">
      <c r="A84">
        <v>4</v>
      </c>
      <c r="B84">
        <v>272</v>
      </c>
    </row>
    <row r="85" spans="1:2" x14ac:dyDescent="0.2">
      <c r="A85">
        <v>5</v>
      </c>
      <c r="B85">
        <v>312</v>
      </c>
    </row>
    <row r="86" spans="1:2" x14ac:dyDescent="0.2">
      <c r="A86">
        <v>3</v>
      </c>
      <c r="B86">
        <v>265</v>
      </c>
    </row>
    <row r="87" spans="1:2" x14ac:dyDescent="0.2">
      <c r="A87">
        <v>6</v>
      </c>
      <c r="B87">
        <v>381</v>
      </c>
    </row>
    <row r="88" spans="1:2" x14ac:dyDescent="0.2">
      <c r="A88">
        <v>3</v>
      </c>
      <c r="B88">
        <v>249</v>
      </c>
    </row>
    <row r="89" spans="1:2" x14ac:dyDescent="0.2">
      <c r="A89">
        <v>2</v>
      </c>
      <c r="B89">
        <v>68</v>
      </c>
    </row>
    <row r="90" spans="1:2" x14ac:dyDescent="0.2">
      <c r="A90">
        <v>4</v>
      </c>
      <c r="B90">
        <v>264</v>
      </c>
    </row>
    <row r="91" spans="1:2" x14ac:dyDescent="0.2">
      <c r="A91">
        <v>1</v>
      </c>
      <c r="B91">
        <v>80</v>
      </c>
    </row>
    <row r="92" spans="1:2" x14ac:dyDescent="0.2">
      <c r="A92">
        <v>5</v>
      </c>
      <c r="B92">
        <v>397</v>
      </c>
    </row>
    <row r="93" spans="1:2" x14ac:dyDescent="0.2">
      <c r="A93">
        <v>1</v>
      </c>
      <c r="B93">
        <v>144</v>
      </c>
    </row>
    <row r="94" spans="1:2" x14ac:dyDescent="0.2">
      <c r="A94">
        <v>3</v>
      </c>
      <c r="B94">
        <v>239</v>
      </c>
    </row>
    <row r="95" spans="1:2" x14ac:dyDescent="0.2">
      <c r="A95">
        <v>1</v>
      </c>
      <c r="B95">
        <v>57</v>
      </c>
    </row>
    <row r="96" spans="1:2" x14ac:dyDescent="0.2">
      <c r="A96">
        <v>4</v>
      </c>
      <c r="B96">
        <v>372</v>
      </c>
    </row>
    <row r="97" spans="1:2" x14ac:dyDescent="0.2">
      <c r="A97">
        <v>0</v>
      </c>
      <c r="B97">
        <v>71</v>
      </c>
    </row>
    <row r="98" spans="1:2" x14ac:dyDescent="0.2">
      <c r="A98">
        <v>4</v>
      </c>
      <c r="B98">
        <v>280</v>
      </c>
    </row>
    <row r="99" spans="1:2" x14ac:dyDescent="0.2">
      <c r="A99">
        <v>1</v>
      </c>
      <c r="B99">
        <v>104</v>
      </c>
    </row>
    <row r="100" spans="1:2" x14ac:dyDescent="0.2">
      <c r="A100">
        <v>3</v>
      </c>
      <c r="B100">
        <v>235</v>
      </c>
    </row>
    <row r="101" spans="1:2" x14ac:dyDescent="0.2">
      <c r="A101">
        <v>0</v>
      </c>
      <c r="B101">
        <v>72</v>
      </c>
    </row>
    <row r="102" spans="1:2" x14ac:dyDescent="0.2">
      <c r="A102">
        <v>4</v>
      </c>
      <c r="B102">
        <v>264</v>
      </c>
    </row>
    <row r="103" spans="1:2" x14ac:dyDescent="0.2">
      <c r="A103">
        <v>5</v>
      </c>
      <c r="B103">
        <v>262</v>
      </c>
    </row>
    <row r="104" spans="1:2" x14ac:dyDescent="0.2">
      <c r="A104">
        <v>0</v>
      </c>
      <c r="B104">
        <v>64</v>
      </c>
    </row>
    <row r="105" spans="1:2" x14ac:dyDescent="0.2">
      <c r="A105">
        <v>1</v>
      </c>
      <c r="B105">
        <v>62</v>
      </c>
    </row>
    <row r="106" spans="1:2" x14ac:dyDescent="0.2">
      <c r="A106">
        <v>2</v>
      </c>
      <c r="B106">
        <v>142</v>
      </c>
    </row>
    <row r="107" spans="1:2" x14ac:dyDescent="0.2">
      <c r="A107">
        <v>4</v>
      </c>
      <c r="B107">
        <v>371</v>
      </c>
    </row>
    <row r="108" spans="1:2" x14ac:dyDescent="0.2">
      <c r="A108">
        <v>2</v>
      </c>
      <c r="B108">
        <v>111</v>
      </c>
    </row>
    <row r="109" spans="1:2" x14ac:dyDescent="0.2">
      <c r="A109">
        <v>1</v>
      </c>
      <c r="B109">
        <v>46</v>
      </c>
    </row>
    <row r="110" spans="1:2" x14ac:dyDescent="0.2">
      <c r="A110">
        <v>2</v>
      </c>
      <c r="B110">
        <v>177</v>
      </c>
    </row>
    <row r="111" spans="1:2" x14ac:dyDescent="0.2">
      <c r="A111">
        <v>6</v>
      </c>
      <c r="B111">
        <v>397</v>
      </c>
    </row>
    <row r="112" spans="1:2" x14ac:dyDescent="0.2">
      <c r="A112">
        <v>3</v>
      </c>
      <c r="B112">
        <v>114</v>
      </c>
    </row>
    <row r="113" spans="1:2" x14ac:dyDescent="0.2">
      <c r="A113">
        <v>3</v>
      </c>
      <c r="B113">
        <v>253</v>
      </c>
    </row>
    <row r="114" spans="1:2" x14ac:dyDescent="0.2">
      <c r="A114">
        <v>0</v>
      </c>
      <c r="B114">
        <v>59</v>
      </c>
    </row>
    <row r="115" spans="1:2" x14ac:dyDescent="0.2">
      <c r="A115">
        <v>1</v>
      </c>
      <c r="B115">
        <v>140</v>
      </c>
    </row>
    <row r="116" spans="1:2" x14ac:dyDescent="0.2">
      <c r="A116">
        <v>2</v>
      </c>
      <c r="B116">
        <v>141</v>
      </c>
    </row>
    <row r="117" spans="1:2" x14ac:dyDescent="0.2">
      <c r="A117">
        <v>2</v>
      </c>
      <c r="B117">
        <v>123</v>
      </c>
    </row>
    <row r="118" spans="1:2" x14ac:dyDescent="0.2">
      <c r="A118">
        <v>5</v>
      </c>
      <c r="B118">
        <v>333</v>
      </c>
    </row>
    <row r="119" spans="1:2" x14ac:dyDescent="0.2">
      <c r="A119">
        <v>4</v>
      </c>
      <c r="B119">
        <v>252</v>
      </c>
    </row>
    <row r="120" spans="1:2" x14ac:dyDescent="0.2">
      <c r="A120">
        <v>3</v>
      </c>
      <c r="B120">
        <v>304</v>
      </c>
    </row>
    <row r="121" spans="1:2" x14ac:dyDescent="0.2">
      <c r="A121">
        <v>4</v>
      </c>
      <c r="B121">
        <v>324</v>
      </c>
    </row>
    <row r="122" spans="1:2" x14ac:dyDescent="0.2">
      <c r="A122">
        <v>2</v>
      </c>
      <c r="B122">
        <v>216</v>
      </c>
    </row>
    <row r="123" spans="1:2" x14ac:dyDescent="0.2">
      <c r="A123">
        <v>2</v>
      </c>
      <c r="B123">
        <v>140</v>
      </c>
    </row>
    <row r="124" spans="1:2" x14ac:dyDescent="0.2">
      <c r="A124">
        <v>2</v>
      </c>
      <c r="B124">
        <v>162</v>
      </c>
    </row>
    <row r="125" spans="1:2" x14ac:dyDescent="0.2">
      <c r="A125">
        <v>2</v>
      </c>
      <c r="B125">
        <v>123</v>
      </c>
    </row>
    <row r="126" spans="1:2" x14ac:dyDescent="0.2">
      <c r="A126">
        <v>4</v>
      </c>
      <c r="B126">
        <v>211</v>
      </c>
    </row>
    <row r="127" spans="1:2" x14ac:dyDescent="0.2">
      <c r="A127">
        <v>4</v>
      </c>
      <c r="B127">
        <v>310</v>
      </c>
    </row>
    <row r="128" spans="1:2" x14ac:dyDescent="0.2">
      <c r="A128">
        <v>0</v>
      </c>
      <c r="B128">
        <v>43</v>
      </c>
    </row>
    <row r="129" spans="1:2" x14ac:dyDescent="0.2">
      <c r="A129">
        <v>4</v>
      </c>
      <c r="B129">
        <v>236</v>
      </c>
    </row>
    <row r="130" spans="1:2" x14ac:dyDescent="0.2">
      <c r="A130">
        <v>3</v>
      </c>
      <c r="B130">
        <v>299</v>
      </c>
    </row>
    <row r="131" spans="1:2" x14ac:dyDescent="0.2">
      <c r="A131">
        <v>5</v>
      </c>
      <c r="B131">
        <v>283</v>
      </c>
    </row>
    <row r="132" spans="1:2" x14ac:dyDescent="0.2">
      <c r="A132">
        <v>4</v>
      </c>
      <c r="B132">
        <v>304</v>
      </c>
    </row>
    <row r="133" spans="1:2" x14ac:dyDescent="0.2">
      <c r="A133">
        <v>3</v>
      </c>
      <c r="B133">
        <v>93</v>
      </c>
    </row>
    <row r="134" spans="1:2" x14ac:dyDescent="0.2">
      <c r="A134">
        <v>2</v>
      </c>
      <c r="B134">
        <v>225</v>
      </c>
    </row>
    <row r="135" spans="1:2" x14ac:dyDescent="0.2">
      <c r="A135">
        <v>5</v>
      </c>
      <c r="B135">
        <v>400</v>
      </c>
    </row>
    <row r="136" spans="1:2" x14ac:dyDescent="0.2">
      <c r="A136">
        <v>2</v>
      </c>
      <c r="B136">
        <v>238</v>
      </c>
    </row>
    <row r="137" spans="1:2" x14ac:dyDescent="0.2">
      <c r="A137">
        <v>4</v>
      </c>
      <c r="B137">
        <v>280</v>
      </c>
    </row>
    <row r="138" spans="1:2" x14ac:dyDescent="0.2">
      <c r="A138">
        <v>5</v>
      </c>
      <c r="B138">
        <v>346</v>
      </c>
    </row>
    <row r="139" spans="1:2" x14ac:dyDescent="0.2">
      <c r="A139">
        <v>0</v>
      </c>
      <c r="B139">
        <v>60</v>
      </c>
    </row>
    <row r="140" spans="1:2" x14ac:dyDescent="0.2">
      <c r="A140">
        <v>5</v>
      </c>
      <c r="B140">
        <v>366</v>
      </c>
    </row>
    <row r="141" spans="1:2" x14ac:dyDescent="0.2">
      <c r="A141">
        <v>3</v>
      </c>
      <c r="B141">
        <v>216</v>
      </c>
    </row>
    <row r="142" spans="1:2" x14ac:dyDescent="0.2">
      <c r="A142">
        <v>2</v>
      </c>
      <c r="B142">
        <v>111</v>
      </c>
    </row>
    <row r="143" spans="1:2" x14ac:dyDescent="0.2">
      <c r="A143">
        <v>0</v>
      </c>
      <c r="B143">
        <v>62</v>
      </c>
    </row>
    <row r="144" spans="1:2" x14ac:dyDescent="0.2">
      <c r="A144">
        <v>2</v>
      </c>
      <c r="B144">
        <v>212</v>
      </c>
    </row>
    <row r="145" spans="1:2" x14ac:dyDescent="0.2">
      <c r="A145">
        <v>3</v>
      </c>
      <c r="B145">
        <v>155</v>
      </c>
    </row>
    <row r="146" spans="1:2" x14ac:dyDescent="0.2">
      <c r="A146">
        <v>3</v>
      </c>
      <c r="B146">
        <v>227</v>
      </c>
    </row>
    <row r="147" spans="1:2" x14ac:dyDescent="0.2">
      <c r="A147">
        <v>2</v>
      </c>
      <c r="B147">
        <v>183</v>
      </c>
    </row>
    <row r="148" spans="1:2" x14ac:dyDescent="0.2">
      <c r="A148">
        <v>6</v>
      </c>
      <c r="B148">
        <v>340</v>
      </c>
    </row>
    <row r="149" spans="1:2" x14ac:dyDescent="0.2">
      <c r="A149">
        <v>4</v>
      </c>
      <c r="B149">
        <v>308</v>
      </c>
    </row>
    <row r="150" spans="1:2" x14ac:dyDescent="0.2">
      <c r="A150">
        <v>4</v>
      </c>
      <c r="B150">
        <v>205</v>
      </c>
    </row>
    <row r="151" spans="1:2" x14ac:dyDescent="0.2">
      <c r="A151">
        <v>2</v>
      </c>
      <c r="B151">
        <v>235</v>
      </c>
    </row>
    <row r="152" spans="1:2" x14ac:dyDescent="0.2">
      <c r="A152">
        <v>5</v>
      </c>
      <c r="B152">
        <v>336</v>
      </c>
    </row>
    <row r="153" spans="1:2" x14ac:dyDescent="0.2">
      <c r="A153">
        <v>0</v>
      </c>
      <c r="B153">
        <v>66</v>
      </c>
    </row>
    <row r="154" spans="1:2" x14ac:dyDescent="0.2">
      <c r="A154">
        <v>5</v>
      </c>
      <c r="B154">
        <v>394</v>
      </c>
    </row>
    <row r="155" spans="1:2" x14ac:dyDescent="0.2">
      <c r="A155">
        <v>6</v>
      </c>
      <c r="B155">
        <v>335</v>
      </c>
    </row>
    <row r="156" spans="1:2" x14ac:dyDescent="0.2">
      <c r="A156">
        <v>4</v>
      </c>
      <c r="B156">
        <v>240</v>
      </c>
    </row>
    <row r="157" spans="1:2" x14ac:dyDescent="0.2">
      <c r="A157">
        <v>2</v>
      </c>
      <c r="B157">
        <v>44</v>
      </c>
    </row>
    <row r="158" spans="1:2" x14ac:dyDescent="0.2">
      <c r="A158">
        <v>4</v>
      </c>
      <c r="B158">
        <v>244</v>
      </c>
    </row>
    <row r="159" spans="1:2" x14ac:dyDescent="0.2">
      <c r="A159">
        <v>5</v>
      </c>
      <c r="B159">
        <v>259</v>
      </c>
    </row>
    <row r="160" spans="1:2" x14ac:dyDescent="0.2">
      <c r="A160">
        <v>3</v>
      </c>
      <c r="B160">
        <v>146</v>
      </c>
    </row>
    <row r="161" spans="1:2" x14ac:dyDescent="0.2">
      <c r="A161">
        <v>3</v>
      </c>
      <c r="B161">
        <v>249</v>
      </c>
    </row>
    <row r="162" spans="1:2" x14ac:dyDescent="0.2">
      <c r="A162">
        <v>4</v>
      </c>
      <c r="B162">
        <v>173</v>
      </c>
    </row>
    <row r="163" spans="1:2" x14ac:dyDescent="0.2">
      <c r="A163">
        <v>3</v>
      </c>
      <c r="B163">
        <v>278</v>
      </c>
    </row>
    <row r="164" spans="1:2" x14ac:dyDescent="0.2">
      <c r="A164">
        <v>3</v>
      </c>
      <c r="B164">
        <v>160</v>
      </c>
    </row>
    <row r="165" spans="1:2" x14ac:dyDescent="0.2">
      <c r="A165">
        <v>2</v>
      </c>
      <c r="B165">
        <v>224</v>
      </c>
    </row>
    <row r="166" spans="1:2" x14ac:dyDescent="0.2">
      <c r="A166">
        <v>5</v>
      </c>
      <c r="B166">
        <v>278</v>
      </c>
    </row>
    <row r="167" spans="1:2" x14ac:dyDescent="0.2">
      <c r="A167">
        <v>5</v>
      </c>
      <c r="B167">
        <v>335</v>
      </c>
    </row>
    <row r="168" spans="1:2" x14ac:dyDescent="0.2">
      <c r="A168">
        <v>4</v>
      </c>
      <c r="B168">
        <v>387</v>
      </c>
    </row>
    <row r="169" spans="1:2" x14ac:dyDescent="0.2">
      <c r="A169">
        <v>4</v>
      </c>
      <c r="B169">
        <v>342</v>
      </c>
    </row>
    <row r="170" spans="1:2" x14ac:dyDescent="0.2">
      <c r="A170">
        <v>4</v>
      </c>
      <c r="B170">
        <v>400</v>
      </c>
    </row>
    <row r="171" spans="1:2" x14ac:dyDescent="0.2">
      <c r="A171">
        <v>6</v>
      </c>
      <c r="B171">
        <v>356</v>
      </c>
    </row>
    <row r="172" spans="1:2" x14ac:dyDescent="0.2">
      <c r="A172">
        <v>4</v>
      </c>
      <c r="B172">
        <v>352</v>
      </c>
    </row>
    <row r="173" spans="1:2" x14ac:dyDescent="0.2">
      <c r="A173">
        <v>4</v>
      </c>
      <c r="B173">
        <v>161</v>
      </c>
    </row>
    <row r="174" spans="1:2" x14ac:dyDescent="0.2">
      <c r="A174">
        <v>2</v>
      </c>
      <c r="B174">
        <v>57</v>
      </c>
    </row>
    <row r="175" spans="1:2" x14ac:dyDescent="0.2">
      <c r="A175">
        <v>1</v>
      </c>
      <c r="B175">
        <v>126</v>
      </c>
    </row>
    <row r="176" spans="1:2" x14ac:dyDescent="0.2">
      <c r="A176">
        <v>0</v>
      </c>
      <c r="B176">
        <v>79</v>
      </c>
    </row>
    <row r="177" spans="1:2" x14ac:dyDescent="0.2">
      <c r="A177">
        <v>1</v>
      </c>
      <c r="B177">
        <v>125</v>
      </c>
    </row>
    <row r="178" spans="1:2" x14ac:dyDescent="0.2">
      <c r="A178">
        <v>4</v>
      </c>
      <c r="B178">
        <v>398</v>
      </c>
    </row>
    <row r="179" spans="1:2" x14ac:dyDescent="0.2">
      <c r="A179">
        <v>4</v>
      </c>
      <c r="B179">
        <v>310</v>
      </c>
    </row>
    <row r="180" spans="1:2" x14ac:dyDescent="0.2">
      <c r="A180">
        <v>2</v>
      </c>
      <c r="B180">
        <v>196</v>
      </c>
    </row>
    <row r="181" spans="1:2" x14ac:dyDescent="0.2">
      <c r="A181">
        <v>1</v>
      </c>
      <c r="B181">
        <v>55</v>
      </c>
    </row>
    <row r="182" spans="1:2" x14ac:dyDescent="0.2">
      <c r="A182">
        <v>4</v>
      </c>
      <c r="B182">
        <v>227</v>
      </c>
    </row>
    <row r="183" spans="1:2" x14ac:dyDescent="0.2">
      <c r="A183">
        <v>5</v>
      </c>
      <c r="B183">
        <v>391</v>
      </c>
    </row>
    <row r="184" spans="1:2" x14ac:dyDescent="0.2">
      <c r="A184">
        <v>2</v>
      </c>
      <c r="B184">
        <v>49</v>
      </c>
    </row>
    <row r="185" spans="1:2" x14ac:dyDescent="0.2">
      <c r="A185">
        <v>3</v>
      </c>
      <c r="B185">
        <v>130</v>
      </c>
    </row>
    <row r="186" spans="1:2" x14ac:dyDescent="0.2">
      <c r="A186">
        <v>4</v>
      </c>
      <c r="B186">
        <v>280</v>
      </c>
    </row>
    <row r="187" spans="1:2" x14ac:dyDescent="0.2">
      <c r="A187">
        <v>5</v>
      </c>
      <c r="B187">
        <v>303</v>
      </c>
    </row>
    <row r="188" spans="1:2" x14ac:dyDescent="0.2">
      <c r="A188">
        <v>2</v>
      </c>
      <c r="B188">
        <v>196</v>
      </c>
    </row>
    <row r="189" spans="1:2" x14ac:dyDescent="0.2">
      <c r="A189">
        <v>3</v>
      </c>
      <c r="B189">
        <v>99</v>
      </c>
    </row>
    <row r="190" spans="1:2" x14ac:dyDescent="0.2">
      <c r="A190">
        <v>3</v>
      </c>
      <c r="B190">
        <v>216</v>
      </c>
    </row>
    <row r="191" spans="1:2" x14ac:dyDescent="0.2">
      <c r="A191">
        <v>4</v>
      </c>
      <c r="B191">
        <v>396</v>
      </c>
    </row>
    <row r="192" spans="1:2" x14ac:dyDescent="0.2">
      <c r="A192">
        <v>1</v>
      </c>
      <c r="B192">
        <v>93</v>
      </c>
    </row>
    <row r="193" spans="1:2" x14ac:dyDescent="0.2">
      <c r="A193">
        <v>2</v>
      </c>
      <c r="B193">
        <v>105</v>
      </c>
    </row>
    <row r="194" spans="1:2" x14ac:dyDescent="0.2">
      <c r="A194">
        <v>3</v>
      </c>
      <c r="B194">
        <v>116</v>
      </c>
    </row>
    <row r="195" spans="1:2" x14ac:dyDescent="0.2">
      <c r="A195">
        <v>1</v>
      </c>
      <c r="B195">
        <v>119</v>
      </c>
    </row>
    <row r="196" spans="1:2" x14ac:dyDescent="0.2">
      <c r="A196">
        <v>4</v>
      </c>
      <c r="B196">
        <v>257</v>
      </c>
    </row>
    <row r="197" spans="1:2" x14ac:dyDescent="0.2">
      <c r="A197">
        <v>0</v>
      </c>
      <c r="B197">
        <v>48</v>
      </c>
    </row>
    <row r="198" spans="1:2" x14ac:dyDescent="0.2">
      <c r="A198">
        <v>4</v>
      </c>
      <c r="B198">
        <v>297</v>
      </c>
    </row>
    <row r="199" spans="1:2" x14ac:dyDescent="0.2">
      <c r="A199">
        <v>2</v>
      </c>
      <c r="B199">
        <v>159</v>
      </c>
    </row>
    <row r="200" spans="1:2" x14ac:dyDescent="0.2">
      <c r="A200">
        <v>3</v>
      </c>
      <c r="B200">
        <v>132</v>
      </c>
    </row>
    <row r="201" spans="1:2" x14ac:dyDescent="0.2">
      <c r="A201">
        <v>3</v>
      </c>
      <c r="B201">
        <v>104</v>
      </c>
    </row>
    <row r="202" spans="1:2" x14ac:dyDescent="0.2">
      <c r="A202">
        <v>1</v>
      </c>
      <c r="B202">
        <v>149</v>
      </c>
    </row>
    <row r="203" spans="1:2" x14ac:dyDescent="0.2">
      <c r="A203">
        <v>4</v>
      </c>
      <c r="B203">
        <v>245</v>
      </c>
    </row>
    <row r="204" spans="1:2" x14ac:dyDescent="0.2">
      <c r="A204">
        <v>2</v>
      </c>
      <c r="B204">
        <v>194</v>
      </c>
    </row>
    <row r="205" spans="1:2" x14ac:dyDescent="0.2">
      <c r="A205">
        <v>5</v>
      </c>
      <c r="B205">
        <v>329</v>
      </c>
    </row>
    <row r="206" spans="1:2" x14ac:dyDescent="0.2">
      <c r="A206">
        <v>3</v>
      </c>
      <c r="B206">
        <v>120</v>
      </c>
    </row>
    <row r="207" spans="1:2" x14ac:dyDescent="0.2">
      <c r="A207">
        <v>3</v>
      </c>
      <c r="B207">
        <v>189</v>
      </c>
    </row>
    <row r="208" spans="1:2" x14ac:dyDescent="0.2">
      <c r="A208">
        <v>4</v>
      </c>
      <c r="B208">
        <v>396</v>
      </c>
    </row>
    <row r="209" spans="1:2" x14ac:dyDescent="0.2">
      <c r="A209">
        <v>6</v>
      </c>
      <c r="B209">
        <v>390</v>
      </c>
    </row>
    <row r="210" spans="1:2" x14ac:dyDescent="0.2">
      <c r="A210">
        <v>3</v>
      </c>
      <c r="B210">
        <v>169</v>
      </c>
    </row>
    <row r="211" spans="1:2" x14ac:dyDescent="0.2">
      <c r="A211">
        <v>6</v>
      </c>
      <c r="B211">
        <v>369</v>
      </c>
    </row>
    <row r="212" spans="1:2" x14ac:dyDescent="0.2">
      <c r="A212">
        <v>4</v>
      </c>
      <c r="B212">
        <v>214</v>
      </c>
    </row>
    <row r="213" spans="1:2" x14ac:dyDescent="0.2">
      <c r="A213">
        <v>6</v>
      </c>
      <c r="B213">
        <v>321</v>
      </c>
    </row>
    <row r="214" spans="1:2" x14ac:dyDescent="0.2">
      <c r="A214">
        <v>5</v>
      </c>
      <c r="B214">
        <v>347</v>
      </c>
    </row>
    <row r="215" spans="1:2" x14ac:dyDescent="0.2">
      <c r="A215">
        <v>2</v>
      </c>
      <c r="B215">
        <v>99</v>
      </c>
    </row>
    <row r="216" spans="1:2" x14ac:dyDescent="0.2">
      <c r="A216">
        <v>3</v>
      </c>
      <c r="B216">
        <v>288</v>
      </c>
    </row>
    <row r="217" spans="1:2" x14ac:dyDescent="0.2">
      <c r="A217">
        <v>2</v>
      </c>
      <c r="B217">
        <v>185</v>
      </c>
    </row>
    <row r="218" spans="1:2" x14ac:dyDescent="0.2">
      <c r="A218">
        <v>2</v>
      </c>
      <c r="B218">
        <v>197</v>
      </c>
    </row>
    <row r="219" spans="1:2" x14ac:dyDescent="0.2">
      <c r="A219">
        <v>3</v>
      </c>
      <c r="B219">
        <v>96</v>
      </c>
    </row>
    <row r="220" spans="1:2" x14ac:dyDescent="0.2">
      <c r="A220">
        <v>2</v>
      </c>
      <c r="B220">
        <v>121</v>
      </c>
    </row>
    <row r="221" spans="1:2" x14ac:dyDescent="0.2">
      <c r="A221">
        <v>3</v>
      </c>
      <c r="B221">
        <v>131</v>
      </c>
    </row>
    <row r="222" spans="1:2" x14ac:dyDescent="0.2">
      <c r="A222">
        <v>4</v>
      </c>
      <c r="B222">
        <v>377</v>
      </c>
    </row>
    <row r="223" spans="1:2" x14ac:dyDescent="0.2">
      <c r="A223">
        <v>1</v>
      </c>
      <c r="B223">
        <v>93</v>
      </c>
    </row>
    <row r="224" spans="1:2" x14ac:dyDescent="0.2">
      <c r="A224">
        <v>3</v>
      </c>
      <c r="B224">
        <v>188</v>
      </c>
    </row>
    <row r="225" spans="1:2" x14ac:dyDescent="0.2">
      <c r="A225">
        <v>3</v>
      </c>
      <c r="B225">
        <v>295</v>
      </c>
    </row>
    <row r="226" spans="1:2" x14ac:dyDescent="0.2">
      <c r="A226">
        <v>2</v>
      </c>
      <c r="B226">
        <v>103</v>
      </c>
    </row>
    <row r="227" spans="1:2" x14ac:dyDescent="0.2">
      <c r="A227">
        <v>1</v>
      </c>
      <c r="B227">
        <v>60</v>
      </c>
    </row>
    <row r="228" spans="1:2" x14ac:dyDescent="0.2">
      <c r="A228">
        <v>3</v>
      </c>
      <c r="B228">
        <v>216</v>
      </c>
    </row>
    <row r="229" spans="1:2" x14ac:dyDescent="0.2">
      <c r="A229">
        <v>1</v>
      </c>
      <c r="B229">
        <v>65</v>
      </c>
    </row>
    <row r="230" spans="1:2" x14ac:dyDescent="0.2">
      <c r="A230">
        <v>2</v>
      </c>
      <c r="B230">
        <v>210</v>
      </c>
    </row>
    <row r="231" spans="1:2" x14ac:dyDescent="0.2">
      <c r="A231">
        <v>2</v>
      </c>
      <c r="B231">
        <v>176</v>
      </c>
    </row>
    <row r="232" spans="1:2" x14ac:dyDescent="0.2">
      <c r="A232">
        <v>0</v>
      </c>
      <c r="B232">
        <v>54</v>
      </c>
    </row>
    <row r="233" spans="1:2" x14ac:dyDescent="0.2">
      <c r="A233">
        <v>3</v>
      </c>
      <c r="B233">
        <v>302</v>
      </c>
    </row>
    <row r="234" spans="1:2" x14ac:dyDescent="0.2">
      <c r="A234">
        <v>4</v>
      </c>
      <c r="B234">
        <v>318</v>
      </c>
    </row>
    <row r="235" spans="1:2" x14ac:dyDescent="0.2">
      <c r="A235">
        <v>5</v>
      </c>
      <c r="B235">
        <v>338</v>
      </c>
    </row>
    <row r="236" spans="1:2" x14ac:dyDescent="0.2">
      <c r="A236">
        <v>1</v>
      </c>
      <c r="B236">
        <v>108</v>
      </c>
    </row>
    <row r="237" spans="1:2" x14ac:dyDescent="0.2">
      <c r="A237">
        <v>4</v>
      </c>
      <c r="B237">
        <v>280</v>
      </c>
    </row>
    <row r="238" spans="1:2" x14ac:dyDescent="0.2">
      <c r="A238">
        <v>5</v>
      </c>
      <c r="B238">
        <v>245</v>
      </c>
    </row>
    <row r="239" spans="1:2" x14ac:dyDescent="0.2">
      <c r="A239">
        <v>6</v>
      </c>
      <c r="B239">
        <v>334</v>
      </c>
    </row>
    <row r="240" spans="1:2" x14ac:dyDescent="0.2">
      <c r="A240">
        <v>4</v>
      </c>
      <c r="B240">
        <v>228</v>
      </c>
    </row>
    <row r="241" spans="1:2" x14ac:dyDescent="0.2">
      <c r="A241">
        <v>0</v>
      </c>
      <c r="B241">
        <v>42</v>
      </c>
    </row>
    <row r="242" spans="1:2" x14ac:dyDescent="0.2">
      <c r="A242">
        <v>6</v>
      </c>
      <c r="B242">
        <v>355</v>
      </c>
    </row>
    <row r="243" spans="1:2" x14ac:dyDescent="0.2">
      <c r="A243">
        <v>2</v>
      </c>
      <c r="B243">
        <v>168</v>
      </c>
    </row>
    <row r="244" spans="1:2" x14ac:dyDescent="0.2">
      <c r="A244">
        <v>3</v>
      </c>
      <c r="B244">
        <v>95</v>
      </c>
    </row>
    <row r="245" spans="1:2" x14ac:dyDescent="0.2">
      <c r="A245">
        <v>6</v>
      </c>
      <c r="B245">
        <v>371</v>
      </c>
    </row>
    <row r="246" spans="1:2" x14ac:dyDescent="0.2">
      <c r="A246">
        <v>1</v>
      </c>
      <c r="B246">
        <v>80</v>
      </c>
    </row>
    <row r="247" spans="1:2" x14ac:dyDescent="0.2">
      <c r="A247">
        <v>6</v>
      </c>
      <c r="B247">
        <v>385</v>
      </c>
    </row>
    <row r="248" spans="1:2" x14ac:dyDescent="0.2">
      <c r="A248">
        <v>2</v>
      </c>
      <c r="B248">
        <v>131</v>
      </c>
    </row>
    <row r="249" spans="1:2" x14ac:dyDescent="0.2">
      <c r="A249">
        <v>2</v>
      </c>
      <c r="B249">
        <v>61</v>
      </c>
    </row>
    <row r="250" spans="1:2" x14ac:dyDescent="0.2">
      <c r="A250">
        <v>0</v>
      </c>
      <c r="B250">
        <v>49</v>
      </c>
    </row>
    <row r="251" spans="1:2" x14ac:dyDescent="0.2">
      <c r="A251">
        <v>3</v>
      </c>
      <c r="B251">
        <v>107</v>
      </c>
    </row>
    <row r="252" spans="1:2" x14ac:dyDescent="0.2">
      <c r="A252">
        <v>1</v>
      </c>
      <c r="B252">
        <v>119</v>
      </c>
    </row>
    <row r="253" spans="1:2" x14ac:dyDescent="0.2">
      <c r="A253">
        <v>4</v>
      </c>
      <c r="B253">
        <v>291</v>
      </c>
    </row>
    <row r="254" spans="1:2" x14ac:dyDescent="0.2">
      <c r="A254">
        <v>6</v>
      </c>
      <c r="B254">
        <v>399</v>
      </c>
    </row>
    <row r="255" spans="1:2" x14ac:dyDescent="0.2">
      <c r="A255">
        <v>4</v>
      </c>
      <c r="B255">
        <v>183</v>
      </c>
    </row>
    <row r="256" spans="1:2" x14ac:dyDescent="0.2">
      <c r="A256">
        <v>3</v>
      </c>
      <c r="B256">
        <v>98</v>
      </c>
    </row>
    <row r="257" spans="1:2" x14ac:dyDescent="0.2">
      <c r="A257">
        <v>3</v>
      </c>
      <c r="B257">
        <v>139</v>
      </c>
    </row>
    <row r="258" spans="1:2" x14ac:dyDescent="0.2">
      <c r="A258">
        <v>2</v>
      </c>
      <c r="B258">
        <v>210</v>
      </c>
    </row>
    <row r="259" spans="1:2" x14ac:dyDescent="0.2">
      <c r="A259">
        <v>2</v>
      </c>
      <c r="B259">
        <v>81</v>
      </c>
    </row>
    <row r="260" spans="1:2" x14ac:dyDescent="0.2">
      <c r="A260">
        <v>5</v>
      </c>
      <c r="B260">
        <v>246</v>
      </c>
    </row>
    <row r="261" spans="1:2" x14ac:dyDescent="0.2">
      <c r="A261">
        <v>0</v>
      </c>
      <c r="B261">
        <v>71</v>
      </c>
    </row>
    <row r="262" spans="1:2" x14ac:dyDescent="0.2">
      <c r="A262">
        <v>0</v>
      </c>
      <c r="B262">
        <v>58</v>
      </c>
    </row>
    <row r="263" spans="1:2" x14ac:dyDescent="0.2">
      <c r="A263">
        <v>2</v>
      </c>
      <c r="B263">
        <v>85</v>
      </c>
    </row>
    <row r="264" spans="1:2" x14ac:dyDescent="0.2">
      <c r="A264">
        <v>5</v>
      </c>
      <c r="B264">
        <v>343</v>
      </c>
    </row>
    <row r="265" spans="1:2" x14ac:dyDescent="0.2">
      <c r="A265">
        <v>0</v>
      </c>
      <c r="B265">
        <v>59</v>
      </c>
    </row>
    <row r="266" spans="1:2" x14ac:dyDescent="0.2">
      <c r="A266">
        <v>3</v>
      </c>
      <c r="B266">
        <v>161</v>
      </c>
    </row>
    <row r="267" spans="1:2" x14ac:dyDescent="0.2">
      <c r="A267">
        <v>4</v>
      </c>
      <c r="B267">
        <v>312</v>
      </c>
    </row>
    <row r="268" spans="1:2" x14ac:dyDescent="0.2">
      <c r="A268">
        <v>2</v>
      </c>
      <c r="B268">
        <v>201</v>
      </c>
    </row>
    <row r="269" spans="1:2" x14ac:dyDescent="0.2">
      <c r="A269">
        <v>2</v>
      </c>
      <c r="B269">
        <v>227</v>
      </c>
    </row>
    <row r="270" spans="1:2" x14ac:dyDescent="0.2">
      <c r="A270">
        <v>3</v>
      </c>
      <c r="B270">
        <v>200</v>
      </c>
    </row>
    <row r="271" spans="1:2" x14ac:dyDescent="0.2">
      <c r="A271">
        <v>1</v>
      </c>
      <c r="B271">
        <v>60</v>
      </c>
    </row>
    <row r="272" spans="1:2" x14ac:dyDescent="0.2">
      <c r="A272">
        <v>4</v>
      </c>
      <c r="B272">
        <v>241</v>
      </c>
    </row>
    <row r="273" spans="1:2" x14ac:dyDescent="0.2">
      <c r="A273">
        <v>5</v>
      </c>
      <c r="B273">
        <v>286</v>
      </c>
    </row>
    <row r="274" spans="1:2" x14ac:dyDescent="0.2">
      <c r="A274">
        <v>2</v>
      </c>
      <c r="B274">
        <v>47</v>
      </c>
    </row>
    <row r="275" spans="1:2" x14ac:dyDescent="0.2">
      <c r="A275">
        <v>1</v>
      </c>
      <c r="B275">
        <v>61</v>
      </c>
    </row>
    <row r="276" spans="1:2" x14ac:dyDescent="0.2">
      <c r="A276">
        <v>3</v>
      </c>
      <c r="B276">
        <v>171</v>
      </c>
    </row>
    <row r="277" spans="1:2" x14ac:dyDescent="0.2">
      <c r="A277">
        <v>2</v>
      </c>
      <c r="B277">
        <v>235</v>
      </c>
    </row>
    <row r="278" spans="1:2" x14ac:dyDescent="0.2">
      <c r="A278">
        <v>3</v>
      </c>
      <c r="B278">
        <v>114</v>
      </c>
    </row>
    <row r="279" spans="1:2" x14ac:dyDescent="0.2">
      <c r="A279">
        <v>3</v>
      </c>
      <c r="B279">
        <v>205</v>
      </c>
    </row>
    <row r="280" spans="1:2" x14ac:dyDescent="0.2">
      <c r="A280">
        <v>2</v>
      </c>
      <c r="B280">
        <v>107</v>
      </c>
    </row>
    <row r="281" spans="1:2" x14ac:dyDescent="0.2">
      <c r="A281">
        <v>3</v>
      </c>
      <c r="B281">
        <v>220</v>
      </c>
    </row>
    <row r="282" spans="1:2" x14ac:dyDescent="0.2">
      <c r="A282">
        <v>4</v>
      </c>
      <c r="B282">
        <v>171</v>
      </c>
    </row>
    <row r="283" spans="1:2" x14ac:dyDescent="0.2">
      <c r="A283">
        <v>5</v>
      </c>
      <c r="B283">
        <v>271</v>
      </c>
    </row>
    <row r="284" spans="1:2" x14ac:dyDescent="0.2">
      <c r="A284">
        <v>2</v>
      </c>
      <c r="B284">
        <v>51</v>
      </c>
    </row>
    <row r="285" spans="1:2" x14ac:dyDescent="0.2">
      <c r="A285">
        <v>1</v>
      </c>
      <c r="B285">
        <v>83</v>
      </c>
    </row>
    <row r="286" spans="1:2" x14ac:dyDescent="0.2">
      <c r="A286">
        <v>3</v>
      </c>
      <c r="B286">
        <v>140</v>
      </c>
    </row>
    <row r="287" spans="1:2" x14ac:dyDescent="0.2">
      <c r="A287">
        <v>2</v>
      </c>
      <c r="B287">
        <v>108</v>
      </c>
    </row>
    <row r="288" spans="1:2" x14ac:dyDescent="0.2">
      <c r="A288">
        <v>4</v>
      </c>
      <c r="B288">
        <v>396</v>
      </c>
    </row>
    <row r="289" spans="1:2" x14ac:dyDescent="0.2">
      <c r="A289">
        <v>6</v>
      </c>
      <c r="B289">
        <v>387</v>
      </c>
    </row>
    <row r="290" spans="1:2" x14ac:dyDescent="0.2">
      <c r="A290">
        <v>3</v>
      </c>
      <c r="B290">
        <v>234</v>
      </c>
    </row>
    <row r="291" spans="1:2" x14ac:dyDescent="0.2">
      <c r="A291">
        <v>2</v>
      </c>
      <c r="B291">
        <v>133</v>
      </c>
    </row>
    <row r="292" spans="1:2" x14ac:dyDescent="0.2">
      <c r="A292">
        <v>5</v>
      </c>
      <c r="B292">
        <v>268</v>
      </c>
    </row>
    <row r="293" spans="1:2" x14ac:dyDescent="0.2">
      <c r="A293">
        <v>2</v>
      </c>
      <c r="B293">
        <v>187</v>
      </c>
    </row>
    <row r="294" spans="1:2" x14ac:dyDescent="0.2">
      <c r="A294">
        <v>1</v>
      </c>
      <c r="B294">
        <v>149</v>
      </c>
    </row>
    <row r="295" spans="1:2" x14ac:dyDescent="0.2">
      <c r="A295">
        <v>5</v>
      </c>
      <c r="B295">
        <v>353</v>
      </c>
    </row>
    <row r="296" spans="1:2" x14ac:dyDescent="0.2">
      <c r="A296">
        <v>5</v>
      </c>
      <c r="B296">
        <v>372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B683A-8438-4EA9-9DBE-866F3519451E}">
  <sheetPr>
    <tabColor theme="6" tint="0.39997558519241921"/>
  </sheetPr>
  <dimension ref="B1:AA345"/>
  <sheetViews>
    <sheetView topLeftCell="A9" zoomScale="97" zoomScaleNormal="114" workbookViewId="0">
      <selection activeCell="O44" sqref="O44"/>
    </sheetView>
  </sheetViews>
  <sheetFormatPr baseColWidth="10" defaultColWidth="8.83203125" defaultRowHeight="15" x14ac:dyDescent="0.2"/>
  <cols>
    <col min="1" max="1" width="16.5" customWidth="1"/>
    <col min="7" max="7" width="19.6640625" customWidth="1"/>
    <col min="8" max="8" width="16.5" customWidth="1"/>
    <col min="9" max="9" width="16.1640625" customWidth="1"/>
    <col min="10" max="10" width="13.33203125" customWidth="1"/>
    <col min="11" max="11" width="12.5" bestFit="1" customWidth="1"/>
    <col min="12" max="12" width="16.1640625" customWidth="1"/>
    <col min="13" max="13" width="13.6640625" customWidth="1"/>
    <col min="14" max="14" width="13.1640625" customWidth="1"/>
    <col min="15" max="15" width="15" customWidth="1"/>
    <col min="19" max="19" width="17.1640625" bestFit="1" customWidth="1"/>
    <col min="20" max="20" width="24.6640625" bestFit="1" customWidth="1"/>
    <col min="21" max="22" width="10.33203125" bestFit="1" customWidth="1"/>
    <col min="23" max="23" width="9.33203125" bestFit="1" customWidth="1"/>
    <col min="24" max="24" width="11" bestFit="1" customWidth="1"/>
    <col min="25" max="25" width="10.33203125" bestFit="1" customWidth="1"/>
    <col min="26" max="26" width="11" bestFit="1" customWidth="1"/>
    <col min="27" max="27" width="10.33203125" bestFit="1" customWidth="1"/>
  </cols>
  <sheetData>
    <row r="1" spans="2:15" x14ac:dyDescent="0.2">
      <c r="B1" t="s">
        <v>6</v>
      </c>
      <c r="C1" t="s">
        <v>7</v>
      </c>
      <c r="D1" t="s">
        <v>16</v>
      </c>
    </row>
    <row r="2" spans="2:15" x14ac:dyDescent="0.2">
      <c r="B2">
        <v>4</v>
      </c>
      <c r="C2">
        <v>1</v>
      </c>
      <c r="D2">
        <v>243</v>
      </c>
    </row>
    <row r="3" spans="2:15" x14ac:dyDescent="0.2">
      <c r="B3">
        <v>0</v>
      </c>
      <c r="C3">
        <v>3</v>
      </c>
      <c r="D3">
        <v>77</v>
      </c>
    </row>
    <row r="4" spans="2:15" x14ac:dyDescent="0.2">
      <c r="B4">
        <v>3</v>
      </c>
      <c r="C4">
        <v>2</v>
      </c>
      <c r="D4">
        <v>285</v>
      </c>
    </row>
    <row r="5" spans="2:15" x14ac:dyDescent="0.2">
      <c r="B5">
        <v>5</v>
      </c>
      <c r="C5">
        <v>3</v>
      </c>
      <c r="D5">
        <v>373</v>
      </c>
    </row>
    <row r="6" spans="2:15" x14ac:dyDescent="0.2">
      <c r="B6">
        <v>6</v>
      </c>
      <c r="C6">
        <v>1</v>
      </c>
      <c r="D6">
        <v>355</v>
      </c>
    </row>
    <row r="7" spans="2:15" x14ac:dyDescent="0.2">
      <c r="B7">
        <v>2</v>
      </c>
      <c r="C7">
        <v>2</v>
      </c>
      <c r="D7">
        <v>116</v>
      </c>
    </row>
    <row r="8" spans="2:15" x14ac:dyDescent="0.2">
      <c r="B8">
        <v>0</v>
      </c>
      <c r="C8">
        <v>2</v>
      </c>
      <c r="D8">
        <v>72</v>
      </c>
    </row>
    <row r="9" spans="2:15" x14ac:dyDescent="0.2">
      <c r="B9">
        <v>3</v>
      </c>
      <c r="C9">
        <v>2</v>
      </c>
      <c r="D9">
        <v>290</v>
      </c>
    </row>
    <row r="10" spans="2:15" x14ac:dyDescent="0.2">
      <c r="B10">
        <v>1</v>
      </c>
      <c r="C10">
        <v>2</v>
      </c>
      <c r="D10">
        <v>157</v>
      </c>
    </row>
    <row r="11" spans="2:15" x14ac:dyDescent="0.2">
      <c r="B11">
        <v>5</v>
      </c>
      <c r="C11">
        <v>3</v>
      </c>
      <c r="D11">
        <v>397</v>
      </c>
    </row>
    <row r="12" spans="2:15" x14ac:dyDescent="0.2">
      <c r="B12">
        <v>3</v>
      </c>
      <c r="C12">
        <v>2</v>
      </c>
      <c r="D12">
        <v>97</v>
      </c>
    </row>
    <row r="13" spans="2:15" x14ac:dyDescent="0.2">
      <c r="B13">
        <v>4</v>
      </c>
      <c r="C13">
        <v>3</v>
      </c>
      <c r="D13">
        <v>270</v>
      </c>
    </row>
    <row r="14" spans="2:15" x14ac:dyDescent="0.2">
      <c r="B14">
        <v>2</v>
      </c>
      <c r="C14">
        <v>1</v>
      </c>
      <c r="D14">
        <v>198</v>
      </c>
    </row>
    <row r="15" spans="2:15" x14ac:dyDescent="0.2">
      <c r="B15">
        <v>4</v>
      </c>
      <c r="C15">
        <v>3</v>
      </c>
      <c r="D15">
        <v>254</v>
      </c>
    </row>
    <row r="16" spans="2:15" x14ac:dyDescent="0.2">
      <c r="B16">
        <v>3</v>
      </c>
      <c r="C16">
        <v>2</v>
      </c>
      <c r="D16">
        <v>303</v>
      </c>
      <c r="I16" s="30"/>
      <c r="J16" s="40"/>
      <c r="K16" s="40"/>
      <c r="L16" s="40"/>
      <c r="M16" s="30"/>
      <c r="N16" s="40"/>
      <c r="O16" s="40"/>
    </row>
    <row r="17" spans="2:20" x14ac:dyDescent="0.2">
      <c r="B17">
        <v>0</v>
      </c>
      <c r="C17">
        <v>1</v>
      </c>
      <c r="D17">
        <v>71</v>
      </c>
      <c r="F17" s="32"/>
      <c r="H17" s="38"/>
      <c r="I17" s="31"/>
      <c r="J17" s="41"/>
      <c r="K17" s="41"/>
      <c r="L17" s="41"/>
      <c r="M17" s="31"/>
      <c r="N17" s="40"/>
      <c r="O17" s="41"/>
      <c r="P17" s="31"/>
    </row>
    <row r="18" spans="2:20" ht="16" x14ac:dyDescent="0.2">
      <c r="B18">
        <v>4</v>
      </c>
      <c r="C18">
        <v>1</v>
      </c>
      <c r="D18">
        <v>389</v>
      </c>
      <c r="F18" s="34"/>
      <c r="G18" s="53" t="s">
        <v>157</v>
      </c>
      <c r="H18" s="11"/>
      <c r="I18" s="33"/>
      <c r="J18" s="42"/>
      <c r="K18" s="42"/>
      <c r="L18" s="42"/>
      <c r="M18" s="33"/>
      <c r="N18" s="42"/>
      <c r="O18" s="42"/>
      <c r="P18" s="33"/>
    </row>
    <row r="19" spans="2:20" ht="16" x14ac:dyDescent="0.2">
      <c r="B19">
        <v>5</v>
      </c>
      <c r="C19">
        <v>3</v>
      </c>
      <c r="D19">
        <v>390</v>
      </c>
      <c r="F19" s="46"/>
      <c r="G19" s="18" t="s">
        <v>130</v>
      </c>
      <c r="H19" s="12"/>
      <c r="I19" s="35"/>
      <c r="J19" s="42"/>
      <c r="K19" s="42"/>
      <c r="L19" s="42"/>
      <c r="M19" s="33"/>
      <c r="N19" s="42"/>
      <c r="O19" s="42"/>
      <c r="P19" s="33"/>
    </row>
    <row r="20" spans="2:20" ht="16" x14ac:dyDescent="0.2">
      <c r="B20">
        <v>2</v>
      </c>
      <c r="C20">
        <v>1</v>
      </c>
      <c r="D20">
        <v>127</v>
      </c>
      <c r="F20" s="46"/>
      <c r="G20" s="14" t="s">
        <v>131</v>
      </c>
      <c r="H20" s="19">
        <v>0.83981633561742663</v>
      </c>
      <c r="I20" s="35"/>
      <c r="J20" s="42"/>
      <c r="K20" s="42"/>
      <c r="L20" s="42"/>
      <c r="M20" s="33"/>
      <c r="N20" s="42"/>
      <c r="O20" s="42"/>
      <c r="P20" s="33"/>
    </row>
    <row r="21" spans="2:20" ht="16" x14ac:dyDescent="0.2">
      <c r="B21">
        <v>1</v>
      </c>
      <c r="C21">
        <v>3</v>
      </c>
      <c r="D21">
        <v>94</v>
      </c>
      <c r="F21" s="46"/>
      <c r="G21" s="14" t="s">
        <v>132</v>
      </c>
      <c r="H21" s="19">
        <v>0.7052914775698822</v>
      </c>
      <c r="I21" s="35"/>
      <c r="J21" s="42"/>
      <c r="K21" s="42"/>
      <c r="L21" s="42"/>
      <c r="M21" s="33"/>
      <c r="N21" s="42"/>
      <c r="O21" s="42"/>
      <c r="P21" s="33"/>
    </row>
    <row r="22" spans="2:20" ht="16" x14ac:dyDescent="0.2">
      <c r="B22">
        <v>5</v>
      </c>
      <c r="C22">
        <v>3</v>
      </c>
      <c r="D22">
        <v>322</v>
      </c>
      <c r="F22" s="46"/>
      <c r="G22" s="14" t="s">
        <v>133</v>
      </c>
      <c r="H22" s="19">
        <v>0.70327292604638825</v>
      </c>
      <c r="I22" s="37"/>
      <c r="J22" s="41"/>
      <c r="K22" s="41"/>
      <c r="L22" s="41"/>
      <c r="M22" s="31"/>
      <c r="N22" s="41"/>
      <c r="O22" s="41"/>
      <c r="P22" s="31"/>
    </row>
    <row r="23" spans="2:20" ht="16" x14ac:dyDescent="0.2">
      <c r="B23">
        <v>5</v>
      </c>
      <c r="C23">
        <v>1</v>
      </c>
      <c r="D23">
        <v>272</v>
      </c>
      <c r="F23" s="46"/>
      <c r="G23" s="14" t="s">
        <v>134</v>
      </c>
      <c r="H23" s="19">
        <v>58.484339245652762</v>
      </c>
      <c r="I23" s="31"/>
      <c r="J23" s="41"/>
      <c r="K23" s="42"/>
      <c r="L23" s="42"/>
      <c r="M23" s="33"/>
      <c r="N23" s="42"/>
      <c r="O23" s="42"/>
      <c r="P23" s="33"/>
    </row>
    <row r="24" spans="2:20" ht="16" x14ac:dyDescent="0.2">
      <c r="B24">
        <v>5</v>
      </c>
      <c r="C24">
        <v>1</v>
      </c>
      <c r="D24">
        <v>316</v>
      </c>
      <c r="F24" s="46"/>
      <c r="G24" s="16" t="s">
        <v>135</v>
      </c>
      <c r="H24" s="20">
        <v>295</v>
      </c>
      <c r="I24" s="35"/>
      <c r="J24" s="42"/>
      <c r="K24" s="42"/>
      <c r="L24" s="42"/>
      <c r="M24" s="33"/>
      <c r="N24" s="42"/>
      <c r="O24" s="42"/>
      <c r="P24" s="34"/>
      <c r="S24" s="27"/>
    </row>
    <row r="25" spans="2:20" x14ac:dyDescent="0.2">
      <c r="B25">
        <v>5</v>
      </c>
      <c r="C25">
        <v>3</v>
      </c>
      <c r="D25">
        <v>345</v>
      </c>
      <c r="F25" s="33"/>
      <c r="G25" s="32"/>
      <c r="H25" s="32"/>
      <c r="I25" s="31"/>
      <c r="J25" s="41"/>
      <c r="K25" s="41"/>
      <c r="L25" s="41"/>
      <c r="M25" s="31"/>
      <c r="N25" s="41"/>
      <c r="O25" s="41"/>
      <c r="P25" s="32"/>
    </row>
    <row r="26" spans="2:20" ht="16" x14ac:dyDescent="0.2">
      <c r="B26">
        <v>3</v>
      </c>
      <c r="C26">
        <v>2</v>
      </c>
      <c r="D26">
        <v>136</v>
      </c>
      <c r="F26" s="33"/>
      <c r="G26" s="54" t="s">
        <v>136</v>
      </c>
      <c r="I26" s="39"/>
      <c r="J26" s="43"/>
      <c r="K26" s="43"/>
      <c r="L26" s="43"/>
      <c r="M26" s="33"/>
      <c r="N26" s="42"/>
      <c r="O26" s="42"/>
      <c r="P26" s="34"/>
    </row>
    <row r="27" spans="2:20" ht="17" thickBot="1" x14ac:dyDescent="0.25">
      <c r="B27">
        <v>3</v>
      </c>
      <c r="C27">
        <v>3</v>
      </c>
      <c r="D27">
        <v>180</v>
      </c>
      <c r="F27" s="46"/>
      <c r="G27" s="25"/>
      <c r="H27" s="25" t="s">
        <v>141</v>
      </c>
      <c r="I27" s="25" t="s">
        <v>142</v>
      </c>
      <c r="J27" s="25" t="s">
        <v>143</v>
      </c>
      <c r="K27" s="25" t="s">
        <v>144</v>
      </c>
      <c r="L27" s="26" t="s">
        <v>145</v>
      </c>
      <c r="M27" s="31"/>
      <c r="N27" s="41"/>
      <c r="O27" s="41"/>
      <c r="P27" s="32"/>
    </row>
    <row r="28" spans="2:20" ht="16" x14ac:dyDescent="0.2">
      <c r="B28">
        <v>5</v>
      </c>
      <c r="C28">
        <v>2</v>
      </c>
      <c r="D28">
        <v>295</v>
      </c>
      <c r="F28" s="46"/>
      <c r="G28" s="15" t="s">
        <v>137</v>
      </c>
      <c r="H28" s="15">
        <v>2</v>
      </c>
      <c r="I28" s="67">
        <v>2390220.5047687036</v>
      </c>
      <c r="J28" s="19">
        <v>1195110.2523843518</v>
      </c>
      <c r="K28" s="67">
        <v>349.40474362976721</v>
      </c>
      <c r="L28" s="57">
        <v>3.3988615525699969E-78</v>
      </c>
      <c r="M28" s="35"/>
      <c r="N28" s="42"/>
      <c r="O28" s="42"/>
      <c r="P28" s="34"/>
      <c r="S28" s="90"/>
      <c r="T28" s="90"/>
    </row>
    <row r="29" spans="2:20" ht="16" x14ac:dyDescent="0.2">
      <c r="B29">
        <v>3</v>
      </c>
      <c r="C29">
        <v>1</v>
      </c>
      <c r="D29">
        <v>160</v>
      </c>
      <c r="F29" s="46"/>
      <c r="G29" s="15" t="s">
        <v>138</v>
      </c>
      <c r="H29" s="15">
        <v>292</v>
      </c>
      <c r="I29" s="19">
        <v>998762.03760417504</v>
      </c>
      <c r="J29" s="19">
        <v>3420.4179370005995</v>
      </c>
      <c r="K29" s="15"/>
      <c r="L29" s="68"/>
      <c r="M29" s="35"/>
      <c r="N29" s="42"/>
      <c r="O29" s="42"/>
      <c r="P29" s="34"/>
      <c r="T29" s="6"/>
    </row>
    <row r="30" spans="2:20" ht="16" x14ac:dyDescent="0.2">
      <c r="B30">
        <v>6</v>
      </c>
      <c r="C30">
        <v>2</v>
      </c>
      <c r="D30">
        <v>345</v>
      </c>
      <c r="F30" s="46"/>
      <c r="G30" s="17" t="s">
        <v>139</v>
      </c>
      <c r="H30" s="17">
        <v>294</v>
      </c>
      <c r="I30" s="23">
        <v>3388982.5423728786</v>
      </c>
      <c r="J30" s="17"/>
      <c r="K30" s="17"/>
      <c r="L30" s="29"/>
      <c r="M30" s="37"/>
      <c r="N30" s="41"/>
      <c r="O30" s="41"/>
      <c r="P30" s="32"/>
      <c r="T30" s="6"/>
    </row>
    <row r="31" spans="2:20" x14ac:dyDescent="0.2">
      <c r="B31">
        <v>3</v>
      </c>
      <c r="C31">
        <v>3</v>
      </c>
      <c r="D31">
        <v>279</v>
      </c>
      <c r="F31" s="34"/>
      <c r="G31" s="51"/>
      <c r="H31" s="51"/>
      <c r="I31" s="51"/>
      <c r="J31" s="51"/>
      <c r="K31" s="51"/>
      <c r="L31" s="51"/>
      <c r="M31" s="52"/>
      <c r="N31" s="52"/>
      <c r="O31" s="52"/>
      <c r="P31" s="34"/>
      <c r="T31" s="6"/>
    </row>
    <row r="32" spans="2:20" ht="16" x14ac:dyDescent="0.2">
      <c r="B32">
        <v>4</v>
      </c>
      <c r="C32">
        <v>2</v>
      </c>
      <c r="D32">
        <v>291</v>
      </c>
      <c r="F32" s="34"/>
      <c r="G32" s="55" t="s">
        <v>146</v>
      </c>
      <c r="H32" s="48"/>
      <c r="I32" s="48"/>
      <c r="J32" s="48"/>
      <c r="K32" s="48"/>
      <c r="L32" s="48"/>
      <c r="M32" s="48"/>
      <c r="N32" s="48"/>
      <c r="O32" s="48"/>
      <c r="P32" s="32"/>
      <c r="T32" s="6"/>
    </row>
    <row r="33" spans="2:27" ht="17" thickBot="1" x14ac:dyDescent="0.25">
      <c r="B33">
        <v>5</v>
      </c>
      <c r="C33">
        <v>2</v>
      </c>
      <c r="D33">
        <v>396</v>
      </c>
      <c r="F33" s="46"/>
      <c r="G33" s="24"/>
      <c r="H33" s="24" t="s">
        <v>146</v>
      </c>
      <c r="I33" s="24" t="s">
        <v>134</v>
      </c>
      <c r="J33" s="24" t="s">
        <v>147</v>
      </c>
      <c r="K33" s="24" t="s">
        <v>148</v>
      </c>
      <c r="L33" s="24" t="s">
        <v>149</v>
      </c>
      <c r="M33" s="24" t="s">
        <v>150</v>
      </c>
      <c r="N33" s="24" t="s">
        <v>151</v>
      </c>
      <c r="O33" s="25" t="s">
        <v>152</v>
      </c>
      <c r="P33" s="45"/>
      <c r="S33" s="7"/>
      <c r="T33" s="7"/>
    </row>
    <row r="34" spans="2:27" ht="16" x14ac:dyDescent="0.2">
      <c r="B34">
        <v>2</v>
      </c>
      <c r="C34">
        <v>3</v>
      </c>
      <c r="D34">
        <v>199</v>
      </c>
      <c r="F34" s="46"/>
      <c r="G34" s="14" t="s">
        <v>140</v>
      </c>
      <c r="H34" s="21">
        <v>42.283302854740938</v>
      </c>
      <c r="I34" s="21">
        <v>10.871190183288464</v>
      </c>
      <c r="J34" s="21">
        <v>3.8894823972208825</v>
      </c>
      <c r="K34" s="21">
        <v>1.2444571938766613E-4</v>
      </c>
      <c r="L34" s="21">
        <v>20.887480735338055</v>
      </c>
      <c r="M34" s="21">
        <v>63.679124974143818</v>
      </c>
      <c r="N34" s="21">
        <v>20.887480735338055</v>
      </c>
      <c r="O34" s="19">
        <v>63.679124974143818</v>
      </c>
      <c r="P34" s="45"/>
    </row>
    <row r="35" spans="2:27" ht="17" thickBot="1" x14ac:dyDescent="0.25">
      <c r="B35">
        <v>2</v>
      </c>
      <c r="C35">
        <v>2</v>
      </c>
      <c r="D35">
        <v>183</v>
      </c>
      <c r="F35" s="47"/>
      <c r="G35" s="14" t="s">
        <v>6</v>
      </c>
      <c r="H35" s="21">
        <v>56.628113471489378</v>
      </c>
      <c r="I35" s="21">
        <v>2.1499213083009385</v>
      </c>
      <c r="J35" s="21">
        <v>26.339621479561043</v>
      </c>
      <c r="K35" s="21">
        <v>3.970378210196363E-79</v>
      </c>
      <c r="L35" s="21">
        <v>52.396807321236167</v>
      </c>
      <c r="M35" s="21">
        <v>60.859419621742589</v>
      </c>
      <c r="N35" s="21">
        <v>52.396807321236167</v>
      </c>
      <c r="O35" s="19">
        <v>60.859419621742589</v>
      </c>
      <c r="P35" s="44"/>
    </row>
    <row r="36" spans="2:27" ht="16" x14ac:dyDescent="0.2">
      <c r="B36">
        <v>3</v>
      </c>
      <c r="C36">
        <v>2</v>
      </c>
      <c r="D36">
        <v>315</v>
      </c>
      <c r="F36" s="34"/>
      <c r="G36" s="16" t="s">
        <v>7</v>
      </c>
      <c r="H36" s="22">
        <v>-1.7372187349881605</v>
      </c>
      <c r="I36" s="22">
        <v>4.2765753282921866</v>
      </c>
      <c r="J36" s="22">
        <v>-0.40621726536543989</v>
      </c>
      <c r="K36" s="22">
        <v>0.68488050592574168</v>
      </c>
      <c r="L36" s="22">
        <v>-10.154038187289217</v>
      </c>
      <c r="M36" s="22">
        <v>6.6796007173128951</v>
      </c>
      <c r="N36" s="22">
        <v>-10.154038187289217</v>
      </c>
      <c r="O36" s="23">
        <v>6.6796007173128951</v>
      </c>
      <c r="P36" s="32"/>
      <c r="S36" s="8"/>
      <c r="T36" s="8"/>
      <c r="U36" s="8"/>
      <c r="V36" s="8"/>
      <c r="W36" s="8"/>
      <c r="X36" s="8"/>
    </row>
    <row r="37" spans="2:27" x14ac:dyDescent="0.2">
      <c r="B37">
        <v>3</v>
      </c>
      <c r="C37">
        <v>2</v>
      </c>
      <c r="D37">
        <v>181</v>
      </c>
      <c r="F37" s="32"/>
      <c r="G37" s="40"/>
      <c r="H37" s="40"/>
      <c r="I37" s="40"/>
      <c r="J37" s="40"/>
      <c r="K37" s="40"/>
      <c r="L37" s="40"/>
      <c r="M37" s="40"/>
      <c r="N37" s="40"/>
      <c r="O37" s="40"/>
      <c r="T37" s="6"/>
      <c r="U37" s="6"/>
      <c r="V37" s="6"/>
      <c r="W37" s="6"/>
      <c r="X37" s="6"/>
    </row>
    <row r="38" spans="2:27" x14ac:dyDescent="0.2">
      <c r="B38">
        <v>1</v>
      </c>
      <c r="C38">
        <v>2</v>
      </c>
      <c r="D38">
        <v>81</v>
      </c>
      <c r="G38" t="s">
        <v>153</v>
      </c>
      <c r="T38" s="6"/>
      <c r="U38" s="6"/>
      <c r="V38" s="6"/>
      <c r="W38" s="6"/>
      <c r="X38" s="6"/>
    </row>
    <row r="39" spans="2:27" ht="16" thickBot="1" x14ac:dyDescent="0.25">
      <c r="B39">
        <v>3</v>
      </c>
      <c r="C39">
        <v>3</v>
      </c>
      <c r="D39">
        <v>156</v>
      </c>
      <c r="S39" s="7"/>
      <c r="T39" s="91"/>
      <c r="U39" s="91"/>
      <c r="V39" s="91"/>
      <c r="W39" s="91"/>
      <c r="X39" s="91"/>
    </row>
    <row r="40" spans="2:27" ht="16" thickBot="1" x14ac:dyDescent="0.25">
      <c r="B40">
        <v>5</v>
      </c>
      <c r="C40">
        <v>1</v>
      </c>
      <c r="D40">
        <v>297</v>
      </c>
      <c r="G40" s="8" t="s">
        <v>154</v>
      </c>
      <c r="H40" s="8" t="s">
        <v>155</v>
      </c>
      <c r="I40" s="8" t="s">
        <v>156</v>
      </c>
    </row>
    <row r="41" spans="2:27" x14ac:dyDescent="0.2">
      <c r="B41">
        <v>4</v>
      </c>
      <c r="C41">
        <v>2</v>
      </c>
      <c r="D41">
        <v>212</v>
      </c>
      <c r="G41">
        <v>1</v>
      </c>
      <c r="H41">
        <v>267.05853800571026</v>
      </c>
      <c r="I41">
        <v>-24.058538005710261</v>
      </c>
      <c r="S41" s="8"/>
      <c r="T41" s="8"/>
      <c r="U41" s="8"/>
      <c r="V41" s="8"/>
      <c r="W41" s="8"/>
      <c r="X41" s="8"/>
      <c r="Y41" s="8"/>
      <c r="Z41" s="8"/>
      <c r="AA41" s="8"/>
    </row>
    <row r="42" spans="2:27" x14ac:dyDescent="0.2">
      <c r="B42">
        <v>4</v>
      </c>
      <c r="C42">
        <v>3</v>
      </c>
      <c r="D42">
        <v>358</v>
      </c>
      <c r="G42">
        <v>2</v>
      </c>
      <c r="H42">
        <v>37.071646649776454</v>
      </c>
      <c r="I42">
        <v>39.928353350223546</v>
      </c>
      <c r="T42" s="6"/>
      <c r="U42" s="6"/>
      <c r="V42" s="6"/>
      <c r="W42" s="6"/>
      <c r="X42" s="6"/>
      <c r="Y42" s="6"/>
      <c r="Z42" s="6"/>
      <c r="AA42" s="6"/>
    </row>
    <row r="43" spans="2:27" x14ac:dyDescent="0.2">
      <c r="B43">
        <v>1</v>
      </c>
      <c r="C43">
        <v>2</v>
      </c>
      <c r="D43">
        <v>96</v>
      </c>
      <c r="G43">
        <v>3</v>
      </c>
      <c r="H43">
        <v>208.69320579923274</v>
      </c>
      <c r="I43">
        <v>76.306794200767257</v>
      </c>
      <c r="T43" s="6"/>
      <c r="U43" s="6"/>
      <c r="V43" s="6"/>
      <c r="W43" s="6"/>
      <c r="X43" s="6"/>
      <c r="Y43" s="6"/>
      <c r="Z43" s="6"/>
      <c r="AA43" s="6"/>
    </row>
    <row r="44" spans="2:27" ht="16" thickBot="1" x14ac:dyDescent="0.25">
      <c r="B44">
        <v>4</v>
      </c>
      <c r="C44">
        <v>2</v>
      </c>
      <c r="D44">
        <v>246</v>
      </c>
      <c r="G44">
        <v>4</v>
      </c>
      <c r="H44">
        <v>320.21221400722339</v>
      </c>
      <c r="I44">
        <v>52.787785992776605</v>
      </c>
      <c r="S44" s="7"/>
      <c r="T44" s="91"/>
      <c r="U44" s="91"/>
      <c r="V44" s="91"/>
      <c r="W44" s="91"/>
      <c r="X44" s="91"/>
      <c r="Y44" s="91"/>
      <c r="Z44" s="91"/>
      <c r="AA44" s="91"/>
    </row>
    <row r="45" spans="2:27" x14ac:dyDescent="0.2">
      <c r="B45">
        <v>2</v>
      </c>
      <c r="C45">
        <v>1</v>
      </c>
      <c r="D45">
        <v>62</v>
      </c>
      <c r="G45">
        <v>5</v>
      </c>
      <c r="H45">
        <v>380.31476494868906</v>
      </c>
      <c r="I45">
        <v>-25.31476494868906</v>
      </c>
    </row>
    <row r="46" spans="2:27" x14ac:dyDescent="0.2">
      <c r="B46">
        <v>1</v>
      </c>
      <c r="C46">
        <v>2</v>
      </c>
      <c r="D46">
        <v>42</v>
      </c>
      <c r="G46">
        <v>6</v>
      </c>
      <c r="H46">
        <v>152.06509232774337</v>
      </c>
      <c r="I46">
        <v>-36.065092327743372</v>
      </c>
    </row>
    <row r="47" spans="2:27" x14ac:dyDescent="0.2">
      <c r="B47">
        <v>1</v>
      </c>
      <c r="C47">
        <v>1</v>
      </c>
      <c r="D47">
        <v>53</v>
      </c>
      <c r="G47">
        <v>7</v>
      </c>
      <c r="H47">
        <v>38.808865384764616</v>
      </c>
      <c r="I47">
        <v>33.191134615235384</v>
      </c>
    </row>
    <row r="48" spans="2:27" x14ac:dyDescent="0.2">
      <c r="B48">
        <v>1</v>
      </c>
      <c r="C48">
        <v>1</v>
      </c>
      <c r="D48">
        <v>69</v>
      </c>
      <c r="G48">
        <v>8</v>
      </c>
      <c r="H48">
        <v>208.69320579923274</v>
      </c>
      <c r="I48">
        <v>81.306794200767257</v>
      </c>
    </row>
    <row r="49" spans="2:21" ht="16" thickBot="1" x14ac:dyDescent="0.25">
      <c r="B49">
        <v>2</v>
      </c>
      <c r="C49">
        <v>2</v>
      </c>
      <c r="D49">
        <v>179</v>
      </c>
      <c r="G49">
        <v>9</v>
      </c>
      <c r="H49">
        <v>95.436978856254001</v>
      </c>
      <c r="I49">
        <v>61.563021143745999</v>
      </c>
    </row>
    <row r="50" spans="2:21" x14ac:dyDescent="0.2">
      <c r="B50">
        <v>3</v>
      </c>
      <c r="C50">
        <v>3</v>
      </c>
      <c r="D50">
        <v>161</v>
      </c>
      <c r="G50">
        <v>10</v>
      </c>
      <c r="H50">
        <v>320.21221400722339</v>
      </c>
      <c r="I50">
        <v>76.787785992776605</v>
      </c>
      <c r="S50" s="8"/>
      <c r="T50" s="8"/>
      <c r="U50" s="8"/>
    </row>
    <row r="51" spans="2:21" x14ac:dyDescent="0.2">
      <c r="B51">
        <v>5</v>
      </c>
      <c r="C51">
        <v>2</v>
      </c>
      <c r="D51">
        <v>344</v>
      </c>
      <c r="G51">
        <v>11</v>
      </c>
      <c r="H51">
        <v>208.69320579923274</v>
      </c>
      <c r="I51">
        <v>-111.69320579923274</v>
      </c>
    </row>
    <row r="52" spans="2:21" x14ac:dyDescent="0.2">
      <c r="B52">
        <v>6</v>
      </c>
      <c r="C52">
        <v>3</v>
      </c>
      <c r="D52">
        <v>325</v>
      </c>
      <c r="G52">
        <v>12</v>
      </c>
      <c r="H52">
        <v>263.58410053573397</v>
      </c>
      <c r="I52">
        <v>6.4158994642660332</v>
      </c>
    </row>
    <row r="53" spans="2:21" x14ac:dyDescent="0.2">
      <c r="B53">
        <v>5</v>
      </c>
      <c r="C53">
        <v>3</v>
      </c>
      <c r="D53">
        <v>273</v>
      </c>
      <c r="G53">
        <v>13</v>
      </c>
      <c r="H53">
        <v>153.80231106273155</v>
      </c>
      <c r="I53">
        <v>44.197688937268452</v>
      </c>
    </row>
    <row r="54" spans="2:21" x14ac:dyDescent="0.2">
      <c r="B54">
        <v>2</v>
      </c>
      <c r="C54">
        <v>3</v>
      </c>
      <c r="D54">
        <v>87</v>
      </c>
      <c r="G54">
        <v>14</v>
      </c>
      <c r="H54">
        <v>263.58410053573397</v>
      </c>
      <c r="I54">
        <v>-9.5841005357339668</v>
      </c>
    </row>
    <row r="55" spans="2:21" x14ac:dyDescent="0.2">
      <c r="B55">
        <v>2</v>
      </c>
      <c r="C55">
        <v>3</v>
      </c>
      <c r="D55">
        <v>46</v>
      </c>
      <c r="G55">
        <v>15</v>
      </c>
      <c r="H55">
        <v>208.69320579923274</v>
      </c>
      <c r="I55">
        <v>94.306794200767257</v>
      </c>
    </row>
    <row r="56" spans="2:21" x14ac:dyDescent="0.2">
      <c r="B56">
        <v>4</v>
      </c>
      <c r="C56">
        <v>2</v>
      </c>
      <c r="D56">
        <v>311</v>
      </c>
      <c r="G56">
        <v>16</v>
      </c>
      <c r="H56">
        <v>40.546084119752777</v>
      </c>
      <c r="I56">
        <v>30.453915880247223</v>
      </c>
    </row>
    <row r="57" spans="2:21" x14ac:dyDescent="0.2">
      <c r="B57">
        <v>3</v>
      </c>
      <c r="C57">
        <v>2</v>
      </c>
      <c r="D57">
        <v>285</v>
      </c>
      <c r="G57">
        <v>17</v>
      </c>
      <c r="H57">
        <v>267.05853800571026</v>
      </c>
      <c r="I57">
        <v>121.94146199428974</v>
      </c>
    </row>
    <row r="58" spans="2:21" x14ac:dyDescent="0.2">
      <c r="B58">
        <v>3</v>
      </c>
      <c r="C58">
        <v>1</v>
      </c>
      <c r="D58">
        <v>316</v>
      </c>
      <c r="G58">
        <v>18</v>
      </c>
      <c r="H58">
        <v>320.21221400722339</v>
      </c>
      <c r="I58">
        <v>69.787785992776605</v>
      </c>
    </row>
    <row r="59" spans="2:21" x14ac:dyDescent="0.2">
      <c r="B59">
        <v>2</v>
      </c>
      <c r="C59">
        <v>2</v>
      </c>
      <c r="D59">
        <v>67</v>
      </c>
      <c r="G59">
        <v>19</v>
      </c>
      <c r="H59">
        <v>153.80231106273155</v>
      </c>
      <c r="I59">
        <v>-26.802311062731548</v>
      </c>
    </row>
    <row r="60" spans="2:21" x14ac:dyDescent="0.2">
      <c r="B60">
        <v>2</v>
      </c>
      <c r="C60">
        <v>1</v>
      </c>
      <c r="D60">
        <v>83</v>
      </c>
      <c r="G60">
        <v>20</v>
      </c>
      <c r="H60">
        <v>93.69976012126584</v>
      </c>
      <c r="I60">
        <v>0.30023987873416047</v>
      </c>
    </row>
    <row r="61" spans="2:21" x14ac:dyDescent="0.2">
      <c r="B61">
        <v>6</v>
      </c>
      <c r="C61">
        <v>3</v>
      </c>
      <c r="D61">
        <v>392</v>
      </c>
      <c r="G61">
        <v>21</v>
      </c>
      <c r="H61">
        <v>320.21221400722339</v>
      </c>
      <c r="I61">
        <v>1.7877859927766053</v>
      </c>
    </row>
    <row r="62" spans="2:21" x14ac:dyDescent="0.2">
      <c r="B62">
        <v>5</v>
      </c>
      <c r="C62">
        <v>2</v>
      </c>
      <c r="D62">
        <v>330</v>
      </c>
      <c r="G62">
        <v>22</v>
      </c>
      <c r="H62">
        <v>323.68665147719969</v>
      </c>
      <c r="I62">
        <v>-51.686651477199689</v>
      </c>
    </row>
    <row r="63" spans="2:21" x14ac:dyDescent="0.2">
      <c r="B63">
        <v>3</v>
      </c>
      <c r="C63">
        <v>1</v>
      </c>
      <c r="D63">
        <v>311</v>
      </c>
      <c r="G63">
        <v>23</v>
      </c>
      <c r="H63">
        <v>323.68665147719969</v>
      </c>
      <c r="I63">
        <v>-7.686651477199689</v>
      </c>
    </row>
    <row r="64" spans="2:21" x14ac:dyDescent="0.2">
      <c r="B64">
        <v>4</v>
      </c>
      <c r="C64">
        <v>3</v>
      </c>
      <c r="D64">
        <v>391</v>
      </c>
      <c r="G64">
        <v>24</v>
      </c>
      <c r="H64">
        <v>320.21221400722339</v>
      </c>
      <c r="I64">
        <v>24.787785992776605</v>
      </c>
    </row>
    <row r="65" spans="2:9" x14ac:dyDescent="0.2">
      <c r="B65">
        <v>2</v>
      </c>
      <c r="C65">
        <v>3</v>
      </c>
      <c r="D65">
        <v>202</v>
      </c>
      <c r="G65">
        <v>25</v>
      </c>
      <c r="H65">
        <v>208.69320579923274</v>
      </c>
      <c r="I65">
        <v>-72.693205799232743</v>
      </c>
    </row>
    <row r="66" spans="2:9" x14ac:dyDescent="0.2">
      <c r="B66">
        <v>5</v>
      </c>
      <c r="C66">
        <v>1</v>
      </c>
      <c r="D66">
        <v>367</v>
      </c>
      <c r="G66">
        <v>26</v>
      </c>
      <c r="H66">
        <v>206.9559870642446</v>
      </c>
      <c r="I66">
        <v>-26.955987064244596</v>
      </c>
    </row>
    <row r="67" spans="2:9" x14ac:dyDescent="0.2">
      <c r="B67">
        <v>4</v>
      </c>
      <c r="C67">
        <v>2</v>
      </c>
      <c r="D67">
        <v>329</v>
      </c>
      <c r="G67">
        <v>27</v>
      </c>
      <c r="H67">
        <v>321.94943274221157</v>
      </c>
      <c r="I67">
        <v>-26.94943274221157</v>
      </c>
    </row>
    <row r="68" spans="2:9" x14ac:dyDescent="0.2">
      <c r="B68">
        <v>4</v>
      </c>
      <c r="C68">
        <v>3</v>
      </c>
      <c r="D68">
        <v>167</v>
      </c>
      <c r="G68">
        <v>28</v>
      </c>
      <c r="H68">
        <v>210.43042453422092</v>
      </c>
      <c r="I68">
        <v>-50.430424534220919</v>
      </c>
    </row>
    <row r="69" spans="2:9" x14ac:dyDescent="0.2">
      <c r="B69">
        <v>3</v>
      </c>
      <c r="C69">
        <v>3</v>
      </c>
      <c r="D69">
        <v>162</v>
      </c>
      <c r="G69">
        <v>29</v>
      </c>
      <c r="H69">
        <v>378.57754621370094</v>
      </c>
      <c r="I69">
        <v>-33.577546213700941</v>
      </c>
    </row>
    <row r="70" spans="2:9" x14ac:dyDescent="0.2">
      <c r="B70">
        <v>4</v>
      </c>
      <c r="C70">
        <v>3</v>
      </c>
      <c r="D70">
        <v>266</v>
      </c>
      <c r="G70">
        <v>30</v>
      </c>
      <c r="H70">
        <v>206.9559870642446</v>
      </c>
      <c r="I70">
        <v>72.044012935755404</v>
      </c>
    </row>
    <row r="71" spans="2:9" x14ac:dyDescent="0.2">
      <c r="B71">
        <v>2</v>
      </c>
      <c r="C71">
        <v>3</v>
      </c>
      <c r="D71">
        <v>89</v>
      </c>
      <c r="G71">
        <v>31</v>
      </c>
      <c r="H71">
        <v>265.32131927072214</v>
      </c>
      <c r="I71">
        <v>25.678680729277858</v>
      </c>
    </row>
    <row r="72" spans="2:9" x14ac:dyDescent="0.2">
      <c r="B72">
        <v>4</v>
      </c>
      <c r="C72">
        <v>3</v>
      </c>
      <c r="D72">
        <v>280</v>
      </c>
      <c r="G72">
        <v>32</v>
      </c>
      <c r="H72">
        <v>321.94943274221157</v>
      </c>
      <c r="I72">
        <v>74.05056725778843</v>
      </c>
    </row>
    <row r="73" spans="2:9" x14ac:dyDescent="0.2">
      <c r="B73">
        <v>3</v>
      </c>
      <c r="C73">
        <v>2</v>
      </c>
      <c r="D73">
        <v>86</v>
      </c>
      <c r="G73">
        <v>33</v>
      </c>
      <c r="H73">
        <v>150.32787359275522</v>
      </c>
      <c r="I73">
        <v>48.672126407244775</v>
      </c>
    </row>
    <row r="74" spans="2:9" x14ac:dyDescent="0.2">
      <c r="B74">
        <v>4</v>
      </c>
      <c r="C74">
        <v>3</v>
      </c>
      <c r="D74">
        <v>163</v>
      </c>
      <c r="G74">
        <v>34</v>
      </c>
      <c r="H74">
        <v>152.06509232774337</v>
      </c>
      <c r="I74">
        <v>30.934907672256628</v>
      </c>
    </row>
    <row r="75" spans="2:9" x14ac:dyDescent="0.2">
      <c r="B75">
        <v>5</v>
      </c>
      <c r="C75">
        <v>3</v>
      </c>
      <c r="D75">
        <v>368</v>
      </c>
      <c r="G75">
        <v>35</v>
      </c>
      <c r="H75">
        <v>208.69320579923274</v>
      </c>
      <c r="I75">
        <v>106.30679420076726</v>
      </c>
    </row>
    <row r="76" spans="2:9" x14ac:dyDescent="0.2">
      <c r="B76">
        <v>6</v>
      </c>
      <c r="C76">
        <v>3</v>
      </c>
      <c r="D76">
        <v>342</v>
      </c>
      <c r="G76">
        <v>36</v>
      </c>
      <c r="H76">
        <v>208.69320579923274</v>
      </c>
      <c r="I76">
        <v>-27.693205799232743</v>
      </c>
    </row>
    <row r="77" spans="2:9" x14ac:dyDescent="0.2">
      <c r="B77">
        <v>4</v>
      </c>
      <c r="C77">
        <v>3</v>
      </c>
      <c r="D77">
        <v>221</v>
      </c>
      <c r="G77">
        <v>37</v>
      </c>
      <c r="H77">
        <v>95.436978856254001</v>
      </c>
      <c r="I77">
        <v>-14.436978856254001</v>
      </c>
    </row>
    <row r="78" spans="2:9" x14ac:dyDescent="0.2">
      <c r="B78">
        <v>3</v>
      </c>
      <c r="C78">
        <v>2</v>
      </c>
      <c r="D78">
        <v>192</v>
      </c>
      <c r="G78">
        <v>38</v>
      </c>
      <c r="H78">
        <v>206.9559870642446</v>
      </c>
      <c r="I78">
        <v>-50.955987064244596</v>
      </c>
    </row>
    <row r="79" spans="2:9" x14ac:dyDescent="0.2">
      <c r="B79">
        <v>3</v>
      </c>
      <c r="C79">
        <v>1</v>
      </c>
      <c r="D79">
        <v>222</v>
      </c>
      <c r="G79">
        <v>39</v>
      </c>
      <c r="H79">
        <v>323.68665147719969</v>
      </c>
      <c r="I79">
        <v>-26.686651477199689</v>
      </c>
    </row>
    <row r="80" spans="2:9" x14ac:dyDescent="0.2">
      <c r="B80">
        <v>4</v>
      </c>
      <c r="C80">
        <v>2</v>
      </c>
      <c r="D80">
        <v>161</v>
      </c>
      <c r="G80">
        <v>40</v>
      </c>
      <c r="H80">
        <v>265.32131927072214</v>
      </c>
      <c r="I80">
        <v>-53.321319270722142</v>
      </c>
    </row>
    <row r="81" spans="2:9" x14ac:dyDescent="0.2">
      <c r="B81">
        <v>2</v>
      </c>
      <c r="C81">
        <v>3</v>
      </c>
      <c r="D81">
        <v>195</v>
      </c>
      <c r="G81">
        <v>41</v>
      </c>
      <c r="H81">
        <v>263.58410053573397</v>
      </c>
      <c r="I81">
        <v>94.415899464266033</v>
      </c>
    </row>
    <row r="82" spans="2:9" x14ac:dyDescent="0.2">
      <c r="B82">
        <v>4</v>
      </c>
      <c r="C82">
        <v>2</v>
      </c>
      <c r="D82">
        <v>267</v>
      </c>
      <c r="G82">
        <v>42</v>
      </c>
      <c r="H82">
        <v>95.436978856254001</v>
      </c>
      <c r="I82">
        <v>0.5630211437459991</v>
      </c>
    </row>
    <row r="83" spans="2:9" x14ac:dyDescent="0.2">
      <c r="B83">
        <v>2</v>
      </c>
      <c r="C83">
        <v>1</v>
      </c>
      <c r="D83">
        <v>192</v>
      </c>
      <c r="G83">
        <v>43</v>
      </c>
      <c r="H83">
        <v>265.32131927072214</v>
      </c>
      <c r="I83">
        <v>-19.321319270722142</v>
      </c>
    </row>
    <row r="84" spans="2:9" x14ac:dyDescent="0.2">
      <c r="B84">
        <v>4</v>
      </c>
      <c r="C84">
        <v>3</v>
      </c>
      <c r="D84">
        <v>272</v>
      </c>
      <c r="G84">
        <v>44</v>
      </c>
      <c r="H84">
        <v>153.80231106273155</v>
      </c>
      <c r="I84">
        <v>-91.802311062731548</v>
      </c>
    </row>
    <row r="85" spans="2:9" x14ac:dyDescent="0.2">
      <c r="B85">
        <v>5</v>
      </c>
      <c r="C85">
        <v>2</v>
      </c>
      <c r="D85">
        <v>312</v>
      </c>
      <c r="G85">
        <v>45</v>
      </c>
      <c r="H85">
        <v>95.436978856254001</v>
      </c>
      <c r="I85">
        <v>-53.436978856254001</v>
      </c>
    </row>
    <row r="86" spans="2:9" x14ac:dyDescent="0.2">
      <c r="B86">
        <v>3</v>
      </c>
      <c r="C86">
        <v>3</v>
      </c>
      <c r="D86">
        <v>265</v>
      </c>
      <c r="G86">
        <v>46</v>
      </c>
      <c r="H86">
        <v>97.174197591242162</v>
      </c>
      <c r="I86">
        <v>-44.174197591242162</v>
      </c>
    </row>
    <row r="87" spans="2:9" x14ac:dyDescent="0.2">
      <c r="B87">
        <v>6</v>
      </c>
      <c r="C87">
        <v>3</v>
      </c>
      <c r="D87">
        <v>381</v>
      </c>
      <c r="G87">
        <v>47</v>
      </c>
      <c r="H87">
        <v>97.174197591242162</v>
      </c>
      <c r="I87">
        <v>-28.174197591242162</v>
      </c>
    </row>
    <row r="88" spans="2:9" x14ac:dyDescent="0.2">
      <c r="B88">
        <v>3</v>
      </c>
      <c r="C88">
        <v>2</v>
      </c>
      <c r="D88">
        <v>249</v>
      </c>
      <c r="G88">
        <v>48</v>
      </c>
      <c r="H88">
        <v>152.06509232774337</v>
      </c>
      <c r="I88">
        <v>26.934907672256628</v>
      </c>
    </row>
    <row r="89" spans="2:9" x14ac:dyDescent="0.2">
      <c r="B89">
        <v>2</v>
      </c>
      <c r="C89">
        <v>1</v>
      </c>
      <c r="D89">
        <v>68</v>
      </c>
      <c r="G89">
        <v>49</v>
      </c>
      <c r="H89">
        <v>206.9559870642446</v>
      </c>
      <c r="I89">
        <v>-45.955987064244596</v>
      </c>
    </row>
    <row r="90" spans="2:9" x14ac:dyDescent="0.2">
      <c r="B90">
        <v>4</v>
      </c>
      <c r="C90">
        <v>2</v>
      </c>
      <c r="D90">
        <v>264</v>
      </c>
      <c r="G90">
        <v>50</v>
      </c>
      <c r="H90">
        <v>321.94943274221157</v>
      </c>
      <c r="I90">
        <v>22.05056725778843</v>
      </c>
    </row>
    <row r="91" spans="2:9" x14ac:dyDescent="0.2">
      <c r="B91">
        <v>1</v>
      </c>
      <c r="C91">
        <v>2</v>
      </c>
      <c r="D91">
        <v>80</v>
      </c>
      <c r="G91">
        <v>51</v>
      </c>
      <c r="H91">
        <v>376.84032747871277</v>
      </c>
      <c r="I91">
        <v>-51.840327478712766</v>
      </c>
    </row>
    <row r="92" spans="2:9" x14ac:dyDescent="0.2">
      <c r="B92">
        <v>5</v>
      </c>
      <c r="C92">
        <v>1</v>
      </c>
      <c r="D92">
        <v>397</v>
      </c>
      <c r="G92">
        <v>52</v>
      </c>
      <c r="H92">
        <v>320.21221400722339</v>
      </c>
      <c r="I92">
        <v>-47.212214007223395</v>
      </c>
    </row>
    <row r="93" spans="2:9" x14ac:dyDescent="0.2">
      <c r="B93">
        <v>1</v>
      </c>
      <c r="C93">
        <v>1</v>
      </c>
      <c r="D93">
        <v>144</v>
      </c>
      <c r="G93">
        <v>53</v>
      </c>
      <c r="H93">
        <v>150.32787359275522</v>
      </c>
      <c r="I93">
        <v>-63.327873592755225</v>
      </c>
    </row>
    <row r="94" spans="2:9" x14ac:dyDescent="0.2">
      <c r="B94">
        <v>3</v>
      </c>
      <c r="C94">
        <v>3</v>
      </c>
      <c r="D94">
        <v>239</v>
      </c>
      <c r="G94">
        <v>54</v>
      </c>
      <c r="H94">
        <v>150.32787359275522</v>
      </c>
      <c r="I94">
        <v>-104.32787359275522</v>
      </c>
    </row>
    <row r="95" spans="2:9" x14ac:dyDescent="0.2">
      <c r="B95">
        <v>1</v>
      </c>
      <c r="C95">
        <v>2</v>
      </c>
      <c r="D95">
        <v>57</v>
      </c>
      <c r="G95">
        <v>55</v>
      </c>
      <c r="H95">
        <v>265.32131927072214</v>
      </c>
      <c r="I95">
        <v>45.678680729277858</v>
      </c>
    </row>
    <row r="96" spans="2:9" x14ac:dyDescent="0.2">
      <c r="B96">
        <v>4</v>
      </c>
      <c r="C96">
        <v>1</v>
      </c>
      <c r="D96">
        <v>372</v>
      </c>
      <c r="G96">
        <v>56</v>
      </c>
      <c r="H96">
        <v>208.69320579923274</v>
      </c>
      <c r="I96">
        <v>76.306794200767257</v>
      </c>
    </row>
    <row r="97" spans="2:9" x14ac:dyDescent="0.2">
      <c r="B97">
        <v>0</v>
      </c>
      <c r="C97">
        <v>1</v>
      </c>
      <c r="D97">
        <v>71</v>
      </c>
      <c r="G97">
        <v>57</v>
      </c>
      <c r="H97">
        <v>210.43042453422092</v>
      </c>
      <c r="I97">
        <v>105.56957546577908</v>
      </c>
    </row>
    <row r="98" spans="2:9" x14ac:dyDescent="0.2">
      <c r="B98">
        <v>4</v>
      </c>
      <c r="C98">
        <v>2</v>
      </c>
      <c r="D98">
        <v>280</v>
      </c>
      <c r="G98">
        <v>58</v>
      </c>
      <c r="H98">
        <v>152.06509232774337</v>
      </c>
      <c r="I98">
        <v>-85.065092327743372</v>
      </c>
    </row>
    <row r="99" spans="2:9" x14ac:dyDescent="0.2">
      <c r="B99">
        <v>1</v>
      </c>
      <c r="C99">
        <v>3</v>
      </c>
      <c r="D99">
        <v>104</v>
      </c>
      <c r="G99">
        <v>59</v>
      </c>
      <c r="H99">
        <v>153.80231106273155</v>
      </c>
      <c r="I99">
        <v>-70.802311062731548</v>
      </c>
    </row>
    <row r="100" spans="2:9" x14ac:dyDescent="0.2">
      <c r="B100">
        <v>3</v>
      </c>
      <c r="C100">
        <v>3</v>
      </c>
      <c r="D100">
        <v>235</v>
      </c>
      <c r="G100">
        <v>60</v>
      </c>
      <c r="H100">
        <v>376.84032747871277</v>
      </c>
      <c r="I100">
        <v>15.159672521287234</v>
      </c>
    </row>
    <row r="101" spans="2:9" x14ac:dyDescent="0.2">
      <c r="B101">
        <v>0</v>
      </c>
      <c r="C101">
        <v>1</v>
      </c>
      <c r="D101">
        <v>72</v>
      </c>
      <c r="G101">
        <v>61</v>
      </c>
      <c r="H101">
        <v>321.94943274221157</v>
      </c>
      <c r="I101">
        <v>8.0505672577884297</v>
      </c>
    </row>
    <row r="102" spans="2:9" x14ac:dyDescent="0.2">
      <c r="B102">
        <v>4</v>
      </c>
      <c r="C102">
        <v>1</v>
      </c>
      <c r="D102">
        <v>264</v>
      </c>
      <c r="G102">
        <v>62</v>
      </c>
      <c r="H102">
        <v>210.43042453422092</v>
      </c>
      <c r="I102">
        <v>100.56957546577908</v>
      </c>
    </row>
    <row r="103" spans="2:9" x14ac:dyDescent="0.2">
      <c r="B103">
        <v>5</v>
      </c>
      <c r="C103">
        <v>3</v>
      </c>
      <c r="D103">
        <v>262</v>
      </c>
      <c r="G103">
        <v>63</v>
      </c>
      <c r="H103">
        <v>263.58410053573397</v>
      </c>
      <c r="I103">
        <v>127.41589946426603</v>
      </c>
    </row>
    <row r="104" spans="2:9" x14ac:dyDescent="0.2">
      <c r="B104">
        <v>0</v>
      </c>
      <c r="C104">
        <v>1</v>
      </c>
      <c r="D104">
        <v>64</v>
      </c>
      <c r="G104">
        <v>64</v>
      </c>
      <c r="H104">
        <v>150.32787359275522</v>
      </c>
      <c r="I104">
        <v>51.672126407244775</v>
      </c>
    </row>
    <row r="105" spans="2:9" x14ac:dyDescent="0.2">
      <c r="B105">
        <v>1</v>
      </c>
      <c r="C105">
        <v>1</v>
      </c>
      <c r="D105">
        <v>62</v>
      </c>
      <c r="G105">
        <v>65</v>
      </c>
      <c r="H105">
        <v>323.68665147719969</v>
      </c>
      <c r="I105">
        <v>43.313348522800311</v>
      </c>
    </row>
    <row r="106" spans="2:9" x14ac:dyDescent="0.2">
      <c r="B106">
        <v>2</v>
      </c>
      <c r="C106">
        <v>2</v>
      </c>
      <c r="D106">
        <v>142</v>
      </c>
      <c r="G106">
        <v>66</v>
      </c>
      <c r="H106">
        <v>265.32131927072214</v>
      </c>
      <c r="I106">
        <v>63.678680729277858</v>
      </c>
    </row>
    <row r="107" spans="2:9" x14ac:dyDescent="0.2">
      <c r="B107">
        <v>4</v>
      </c>
      <c r="C107">
        <v>1</v>
      </c>
      <c r="D107">
        <v>371</v>
      </c>
      <c r="G107">
        <v>67</v>
      </c>
      <c r="H107">
        <v>263.58410053573397</v>
      </c>
      <c r="I107">
        <v>-96.584100535733967</v>
      </c>
    </row>
    <row r="108" spans="2:9" x14ac:dyDescent="0.2">
      <c r="B108">
        <v>2</v>
      </c>
      <c r="C108">
        <v>3</v>
      </c>
      <c r="D108">
        <v>111</v>
      </c>
      <c r="G108">
        <v>68</v>
      </c>
      <c r="H108">
        <v>206.9559870642446</v>
      </c>
      <c r="I108">
        <v>-44.955987064244596</v>
      </c>
    </row>
    <row r="109" spans="2:9" x14ac:dyDescent="0.2">
      <c r="B109">
        <v>1</v>
      </c>
      <c r="C109">
        <v>1</v>
      </c>
      <c r="D109">
        <v>46</v>
      </c>
      <c r="G109">
        <v>69</v>
      </c>
      <c r="H109">
        <v>263.58410053573397</v>
      </c>
      <c r="I109">
        <v>2.4158994642660332</v>
      </c>
    </row>
    <row r="110" spans="2:9" x14ac:dyDescent="0.2">
      <c r="B110">
        <v>2</v>
      </c>
      <c r="C110">
        <v>3</v>
      </c>
      <c r="D110">
        <v>177</v>
      </c>
      <c r="G110">
        <v>70</v>
      </c>
      <c r="H110">
        <v>150.32787359275522</v>
      </c>
      <c r="I110">
        <v>-61.327873592755225</v>
      </c>
    </row>
    <row r="111" spans="2:9" x14ac:dyDescent="0.2">
      <c r="B111">
        <v>6</v>
      </c>
      <c r="C111">
        <v>1</v>
      </c>
      <c r="D111">
        <v>397</v>
      </c>
      <c r="G111">
        <v>71</v>
      </c>
      <c r="H111">
        <v>263.58410053573397</v>
      </c>
      <c r="I111">
        <v>16.415899464266033</v>
      </c>
    </row>
    <row r="112" spans="2:9" x14ac:dyDescent="0.2">
      <c r="B112">
        <v>3</v>
      </c>
      <c r="C112">
        <v>1</v>
      </c>
      <c r="D112">
        <v>114</v>
      </c>
      <c r="G112">
        <v>72</v>
      </c>
      <c r="H112">
        <v>208.69320579923274</v>
      </c>
      <c r="I112">
        <v>-122.69320579923274</v>
      </c>
    </row>
    <row r="113" spans="2:9" x14ac:dyDescent="0.2">
      <c r="B113">
        <v>3</v>
      </c>
      <c r="C113">
        <v>1</v>
      </c>
      <c r="D113">
        <v>253</v>
      </c>
      <c r="G113">
        <v>73</v>
      </c>
      <c r="H113">
        <v>263.58410053573397</v>
      </c>
      <c r="I113">
        <v>-100.58410053573397</v>
      </c>
    </row>
    <row r="114" spans="2:9" x14ac:dyDescent="0.2">
      <c r="B114">
        <v>0</v>
      </c>
      <c r="C114">
        <v>2</v>
      </c>
      <c r="D114">
        <v>59</v>
      </c>
      <c r="G114">
        <v>74</v>
      </c>
      <c r="H114">
        <v>320.21221400722339</v>
      </c>
      <c r="I114">
        <v>47.787785992776605</v>
      </c>
    </row>
    <row r="115" spans="2:9" x14ac:dyDescent="0.2">
      <c r="B115">
        <v>1</v>
      </c>
      <c r="C115">
        <v>1</v>
      </c>
      <c r="D115">
        <v>140</v>
      </c>
      <c r="G115">
        <v>75</v>
      </c>
      <c r="H115">
        <v>376.84032747871277</v>
      </c>
      <c r="I115">
        <v>-34.840327478712766</v>
      </c>
    </row>
    <row r="116" spans="2:9" x14ac:dyDescent="0.2">
      <c r="B116">
        <v>2</v>
      </c>
      <c r="C116">
        <v>1</v>
      </c>
      <c r="D116">
        <v>141</v>
      </c>
      <c r="G116">
        <v>76</v>
      </c>
      <c r="H116">
        <v>263.58410053573397</v>
      </c>
      <c r="I116">
        <v>-42.584100535733967</v>
      </c>
    </row>
    <row r="117" spans="2:9" x14ac:dyDescent="0.2">
      <c r="B117">
        <v>2</v>
      </c>
      <c r="C117">
        <v>2</v>
      </c>
      <c r="D117">
        <v>123</v>
      </c>
      <c r="G117">
        <v>77</v>
      </c>
      <c r="H117">
        <v>208.69320579923274</v>
      </c>
      <c r="I117">
        <v>-16.693205799232743</v>
      </c>
    </row>
    <row r="118" spans="2:9" x14ac:dyDescent="0.2">
      <c r="B118">
        <v>5</v>
      </c>
      <c r="C118">
        <v>2</v>
      </c>
      <c r="D118">
        <v>333</v>
      </c>
      <c r="G118">
        <v>78</v>
      </c>
      <c r="H118">
        <v>210.43042453422092</v>
      </c>
      <c r="I118">
        <v>11.569575465779081</v>
      </c>
    </row>
    <row r="119" spans="2:9" x14ac:dyDescent="0.2">
      <c r="B119">
        <v>4</v>
      </c>
      <c r="C119">
        <v>1</v>
      </c>
      <c r="D119">
        <v>252</v>
      </c>
      <c r="G119">
        <v>79</v>
      </c>
      <c r="H119">
        <v>265.32131927072214</v>
      </c>
      <c r="I119">
        <v>-104.32131927072214</v>
      </c>
    </row>
    <row r="120" spans="2:9" x14ac:dyDescent="0.2">
      <c r="B120">
        <v>3</v>
      </c>
      <c r="C120">
        <v>2</v>
      </c>
      <c r="D120">
        <v>304</v>
      </c>
      <c r="G120">
        <v>80</v>
      </c>
      <c r="H120">
        <v>150.32787359275522</v>
      </c>
      <c r="I120">
        <v>44.672126407244775</v>
      </c>
    </row>
    <row r="121" spans="2:9" x14ac:dyDescent="0.2">
      <c r="B121">
        <v>4</v>
      </c>
      <c r="C121">
        <v>3</v>
      </c>
      <c r="D121">
        <v>324</v>
      </c>
      <c r="G121">
        <v>81</v>
      </c>
      <c r="H121">
        <v>265.32131927072214</v>
      </c>
      <c r="I121">
        <v>1.6786807292778576</v>
      </c>
    </row>
    <row r="122" spans="2:9" x14ac:dyDescent="0.2">
      <c r="B122">
        <v>2</v>
      </c>
      <c r="C122">
        <v>2</v>
      </c>
      <c r="D122">
        <v>216</v>
      </c>
      <c r="G122">
        <v>82</v>
      </c>
      <c r="H122">
        <v>153.80231106273155</v>
      </c>
      <c r="I122">
        <v>38.197688937268452</v>
      </c>
    </row>
    <row r="123" spans="2:9" x14ac:dyDescent="0.2">
      <c r="B123">
        <v>2</v>
      </c>
      <c r="C123">
        <v>2</v>
      </c>
      <c r="D123">
        <v>140</v>
      </c>
      <c r="G123">
        <v>83</v>
      </c>
      <c r="H123">
        <v>263.58410053573397</v>
      </c>
      <c r="I123">
        <v>8.4158994642660332</v>
      </c>
    </row>
    <row r="124" spans="2:9" x14ac:dyDescent="0.2">
      <c r="B124">
        <v>2</v>
      </c>
      <c r="C124">
        <v>2</v>
      </c>
      <c r="D124">
        <v>162</v>
      </c>
      <c r="G124">
        <v>84</v>
      </c>
      <c r="H124">
        <v>321.94943274221157</v>
      </c>
      <c r="I124">
        <v>-9.9494327422115703</v>
      </c>
    </row>
    <row r="125" spans="2:9" x14ac:dyDescent="0.2">
      <c r="B125">
        <v>2</v>
      </c>
      <c r="C125">
        <v>2</v>
      </c>
      <c r="D125">
        <v>123</v>
      </c>
      <c r="G125">
        <v>85</v>
      </c>
      <c r="H125">
        <v>206.9559870642446</v>
      </c>
      <c r="I125">
        <v>58.044012935755404</v>
      </c>
    </row>
    <row r="126" spans="2:9" x14ac:dyDescent="0.2">
      <c r="B126">
        <v>4</v>
      </c>
      <c r="C126">
        <v>1</v>
      </c>
      <c r="D126">
        <v>211</v>
      </c>
      <c r="G126">
        <v>86</v>
      </c>
      <c r="H126">
        <v>376.84032747871277</v>
      </c>
      <c r="I126">
        <v>4.1596725212872343</v>
      </c>
    </row>
    <row r="127" spans="2:9" x14ac:dyDescent="0.2">
      <c r="B127">
        <v>4</v>
      </c>
      <c r="C127">
        <v>1</v>
      </c>
      <c r="D127">
        <v>310</v>
      </c>
      <c r="G127">
        <v>87</v>
      </c>
      <c r="H127">
        <v>208.69320579923274</v>
      </c>
      <c r="I127">
        <v>40.306794200767257</v>
      </c>
    </row>
    <row r="128" spans="2:9" x14ac:dyDescent="0.2">
      <c r="B128">
        <v>0</v>
      </c>
      <c r="C128">
        <v>3</v>
      </c>
      <c r="D128">
        <v>43</v>
      </c>
      <c r="G128">
        <v>88</v>
      </c>
      <c r="H128">
        <v>153.80231106273155</v>
      </c>
      <c r="I128">
        <v>-85.802311062731548</v>
      </c>
    </row>
    <row r="129" spans="2:9" x14ac:dyDescent="0.2">
      <c r="B129">
        <v>4</v>
      </c>
      <c r="C129">
        <v>1</v>
      </c>
      <c r="D129">
        <v>236</v>
      </c>
      <c r="G129">
        <v>89</v>
      </c>
      <c r="H129">
        <v>265.32131927072214</v>
      </c>
      <c r="I129">
        <v>-1.3213192707221424</v>
      </c>
    </row>
    <row r="130" spans="2:9" x14ac:dyDescent="0.2">
      <c r="B130">
        <v>3</v>
      </c>
      <c r="C130">
        <v>2</v>
      </c>
      <c r="D130">
        <v>299</v>
      </c>
      <c r="G130">
        <v>90</v>
      </c>
      <c r="H130">
        <v>95.436978856254001</v>
      </c>
      <c r="I130">
        <v>-15.436978856254001</v>
      </c>
    </row>
    <row r="131" spans="2:9" x14ac:dyDescent="0.2">
      <c r="B131">
        <v>5</v>
      </c>
      <c r="C131">
        <v>3</v>
      </c>
      <c r="D131">
        <v>283</v>
      </c>
      <c r="G131">
        <v>91</v>
      </c>
      <c r="H131">
        <v>323.68665147719969</v>
      </c>
      <c r="I131">
        <v>73.313348522800311</v>
      </c>
    </row>
    <row r="132" spans="2:9" x14ac:dyDescent="0.2">
      <c r="B132">
        <v>4</v>
      </c>
      <c r="C132">
        <v>2</v>
      </c>
      <c r="D132">
        <v>304</v>
      </c>
      <c r="G132">
        <v>92</v>
      </c>
      <c r="H132">
        <v>97.174197591242162</v>
      </c>
      <c r="I132">
        <v>46.825802408757838</v>
      </c>
    </row>
    <row r="133" spans="2:9" x14ac:dyDescent="0.2">
      <c r="B133">
        <v>3</v>
      </c>
      <c r="C133">
        <v>2</v>
      </c>
      <c r="D133">
        <v>93</v>
      </c>
      <c r="G133">
        <v>93</v>
      </c>
      <c r="H133">
        <v>206.9559870642446</v>
      </c>
      <c r="I133">
        <v>32.044012935755404</v>
      </c>
    </row>
    <row r="134" spans="2:9" x14ac:dyDescent="0.2">
      <c r="B134">
        <v>2</v>
      </c>
      <c r="C134">
        <v>3</v>
      </c>
      <c r="D134">
        <v>225</v>
      </c>
      <c r="G134">
        <v>94</v>
      </c>
      <c r="H134">
        <v>95.436978856254001</v>
      </c>
      <c r="I134">
        <v>-38.436978856254001</v>
      </c>
    </row>
    <row r="135" spans="2:9" x14ac:dyDescent="0.2">
      <c r="B135">
        <v>5</v>
      </c>
      <c r="C135">
        <v>2</v>
      </c>
      <c r="D135">
        <v>400</v>
      </c>
      <c r="G135">
        <v>95</v>
      </c>
      <c r="H135">
        <v>267.05853800571026</v>
      </c>
      <c r="I135">
        <v>104.94146199428974</v>
      </c>
    </row>
    <row r="136" spans="2:9" x14ac:dyDescent="0.2">
      <c r="B136">
        <v>2</v>
      </c>
      <c r="C136">
        <v>2</v>
      </c>
      <c r="D136">
        <v>238</v>
      </c>
      <c r="G136">
        <v>96</v>
      </c>
      <c r="H136">
        <v>40.546084119752777</v>
      </c>
      <c r="I136">
        <v>30.453915880247223</v>
      </c>
    </row>
    <row r="137" spans="2:9" x14ac:dyDescent="0.2">
      <c r="B137">
        <v>4</v>
      </c>
      <c r="C137">
        <v>2</v>
      </c>
      <c r="D137">
        <v>280</v>
      </c>
      <c r="G137">
        <v>97</v>
      </c>
      <c r="H137">
        <v>265.32131927072214</v>
      </c>
      <c r="I137">
        <v>14.678680729277858</v>
      </c>
    </row>
    <row r="138" spans="2:9" x14ac:dyDescent="0.2">
      <c r="B138">
        <v>5</v>
      </c>
      <c r="C138">
        <v>3</v>
      </c>
      <c r="D138">
        <v>346</v>
      </c>
      <c r="G138">
        <v>98</v>
      </c>
      <c r="H138">
        <v>93.69976012126584</v>
      </c>
      <c r="I138">
        <v>10.30023987873416</v>
      </c>
    </row>
    <row r="139" spans="2:9" x14ac:dyDescent="0.2">
      <c r="B139">
        <v>0</v>
      </c>
      <c r="C139">
        <v>3</v>
      </c>
      <c r="D139">
        <v>60</v>
      </c>
      <c r="G139">
        <v>99</v>
      </c>
      <c r="H139">
        <v>206.9559870642446</v>
      </c>
      <c r="I139">
        <v>28.044012935755404</v>
      </c>
    </row>
    <row r="140" spans="2:9" x14ac:dyDescent="0.2">
      <c r="B140">
        <v>5</v>
      </c>
      <c r="C140">
        <v>1</v>
      </c>
      <c r="D140">
        <v>366</v>
      </c>
      <c r="G140">
        <v>100</v>
      </c>
      <c r="H140">
        <v>40.546084119752777</v>
      </c>
      <c r="I140">
        <v>31.453915880247223</v>
      </c>
    </row>
    <row r="141" spans="2:9" x14ac:dyDescent="0.2">
      <c r="B141">
        <v>3</v>
      </c>
      <c r="C141">
        <v>2</v>
      </c>
      <c r="D141">
        <v>216</v>
      </c>
      <c r="G141">
        <v>101</v>
      </c>
      <c r="H141">
        <v>267.05853800571026</v>
      </c>
      <c r="I141">
        <v>-3.0585380057102611</v>
      </c>
    </row>
    <row r="142" spans="2:9" x14ac:dyDescent="0.2">
      <c r="B142">
        <v>2</v>
      </c>
      <c r="C142">
        <v>3</v>
      </c>
      <c r="D142">
        <v>111</v>
      </c>
      <c r="G142">
        <v>102</v>
      </c>
      <c r="H142">
        <v>320.21221400722339</v>
      </c>
      <c r="I142">
        <v>-58.212214007223395</v>
      </c>
    </row>
    <row r="143" spans="2:9" x14ac:dyDescent="0.2">
      <c r="B143">
        <v>0</v>
      </c>
      <c r="C143">
        <v>3</v>
      </c>
      <c r="D143">
        <v>62</v>
      </c>
      <c r="G143">
        <v>103</v>
      </c>
      <c r="H143">
        <v>40.546084119752777</v>
      </c>
      <c r="I143">
        <v>23.453915880247223</v>
      </c>
    </row>
    <row r="144" spans="2:9" x14ac:dyDescent="0.2">
      <c r="B144">
        <v>2</v>
      </c>
      <c r="C144">
        <v>1</v>
      </c>
      <c r="D144">
        <v>212</v>
      </c>
      <c r="G144">
        <v>104</v>
      </c>
      <c r="H144">
        <v>97.174197591242162</v>
      </c>
      <c r="I144">
        <v>-35.174197591242162</v>
      </c>
    </row>
    <row r="145" spans="2:9" x14ac:dyDescent="0.2">
      <c r="B145">
        <v>3</v>
      </c>
      <c r="C145">
        <v>1</v>
      </c>
      <c r="D145">
        <v>155</v>
      </c>
      <c r="G145">
        <v>105</v>
      </c>
      <c r="H145">
        <v>152.06509232774337</v>
      </c>
      <c r="I145">
        <v>-10.065092327743372</v>
      </c>
    </row>
    <row r="146" spans="2:9" x14ac:dyDescent="0.2">
      <c r="B146">
        <v>3</v>
      </c>
      <c r="C146">
        <v>2</v>
      </c>
      <c r="D146">
        <v>227</v>
      </c>
      <c r="G146">
        <v>106</v>
      </c>
      <c r="H146">
        <v>267.05853800571026</v>
      </c>
      <c r="I146">
        <v>103.94146199428974</v>
      </c>
    </row>
    <row r="147" spans="2:9" x14ac:dyDescent="0.2">
      <c r="B147">
        <v>2</v>
      </c>
      <c r="C147">
        <v>2</v>
      </c>
      <c r="D147">
        <v>183</v>
      </c>
      <c r="G147">
        <v>107</v>
      </c>
      <c r="H147">
        <v>150.32787359275522</v>
      </c>
      <c r="I147">
        <v>-39.327873592755225</v>
      </c>
    </row>
    <row r="148" spans="2:9" x14ac:dyDescent="0.2">
      <c r="B148">
        <v>6</v>
      </c>
      <c r="C148">
        <v>1</v>
      </c>
      <c r="D148">
        <v>340</v>
      </c>
      <c r="G148">
        <v>108</v>
      </c>
      <c r="H148">
        <v>97.174197591242162</v>
      </c>
      <c r="I148">
        <v>-51.174197591242162</v>
      </c>
    </row>
    <row r="149" spans="2:9" x14ac:dyDescent="0.2">
      <c r="B149">
        <v>4</v>
      </c>
      <c r="C149">
        <v>2</v>
      </c>
      <c r="D149">
        <v>308</v>
      </c>
      <c r="G149">
        <v>109</v>
      </c>
      <c r="H149">
        <v>150.32787359275522</v>
      </c>
      <c r="I149">
        <v>26.672126407244775</v>
      </c>
    </row>
    <row r="150" spans="2:9" x14ac:dyDescent="0.2">
      <c r="B150">
        <v>4</v>
      </c>
      <c r="C150">
        <v>1</v>
      </c>
      <c r="D150">
        <v>205</v>
      </c>
      <c r="G150">
        <v>110</v>
      </c>
      <c r="H150">
        <v>380.31476494868906</v>
      </c>
      <c r="I150">
        <v>16.68523505131094</v>
      </c>
    </row>
    <row r="151" spans="2:9" x14ac:dyDescent="0.2">
      <c r="B151">
        <v>2</v>
      </c>
      <c r="C151">
        <v>1</v>
      </c>
      <c r="D151">
        <v>235</v>
      </c>
      <c r="G151">
        <v>111</v>
      </c>
      <c r="H151">
        <v>210.43042453422092</v>
      </c>
      <c r="I151">
        <v>-96.430424534220919</v>
      </c>
    </row>
    <row r="152" spans="2:9" x14ac:dyDescent="0.2">
      <c r="B152">
        <v>5</v>
      </c>
      <c r="C152">
        <v>1</v>
      </c>
      <c r="D152">
        <v>336</v>
      </c>
      <c r="G152">
        <v>112</v>
      </c>
      <c r="H152">
        <v>210.43042453422092</v>
      </c>
      <c r="I152">
        <v>42.569575465779081</v>
      </c>
    </row>
    <row r="153" spans="2:9" x14ac:dyDescent="0.2">
      <c r="B153">
        <v>0</v>
      </c>
      <c r="C153">
        <v>3</v>
      </c>
      <c r="D153">
        <v>66</v>
      </c>
      <c r="G153">
        <v>113</v>
      </c>
      <c r="H153">
        <v>38.808865384764616</v>
      </c>
      <c r="I153">
        <v>20.191134615235384</v>
      </c>
    </row>
    <row r="154" spans="2:9" x14ac:dyDescent="0.2">
      <c r="B154">
        <v>5</v>
      </c>
      <c r="C154">
        <v>3</v>
      </c>
      <c r="D154">
        <v>394</v>
      </c>
      <c r="G154">
        <v>114</v>
      </c>
      <c r="H154">
        <v>97.174197591242162</v>
      </c>
      <c r="I154">
        <v>42.825802408757838</v>
      </c>
    </row>
    <row r="155" spans="2:9" x14ac:dyDescent="0.2">
      <c r="B155">
        <v>6</v>
      </c>
      <c r="C155">
        <v>2</v>
      </c>
      <c r="D155">
        <v>335</v>
      </c>
      <c r="G155">
        <v>115</v>
      </c>
      <c r="H155">
        <v>153.80231106273155</v>
      </c>
      <c r="I155">
        <v>-12.802311062731548</v>
      </c>
    </row>
    <row r="156" spans="2:9" x14ac:dyDescent="0.2">
      <c r="B156">
        <v>4</v>
      </c>
      <c r="C156">
        <v>2</v>
      </c>
      <c r="D156">
        <v>240</v>
      </c>
      <c r="G156">
        <v>116</v>
      </c>
      <c r="H156">
        <v>152.06509232774337</v>
      </c>
      <c r="I156">
        <v>-29.065092327743372</v>
      </c>
    </row>
    <row r="157" spans="2:9" x14ac:dyDescent="0.2">
      <c r="B157">
        <v>2</v>
      </c>
      <c r="C157">
        <v>3</v>
      </c>
      <c r="D157">
        <v>44</v>
      </c>
      <c r="G157">
        <v>117</v>
      </c>
      <c r="H157">
        <v>321.94943274221157</v>
      </c>
      <c r="I157">
        <v>11.05056725778843</v>
      </c>
    </row>
    <row r="158" spans="2:9" x14ac:dyDescent="0.2">
      <c r="B158">
        <v>4</v>
      </c>
      <c r="C158">
        <v>1</v>
      </c>
      <c r="D158">
        <v>244</v>
      </c>
      <c r="G158">
        <v>118</v>
      </c>
      <c r="H158">
        <v>267.05853800571026</v>
      </c>
      <c r="I158">
        <v>-15.058538005710261</v>
      </c>
    </row>
    <row r="159" spans="2:9" x14ac:dyDescent="0.2">
      <c r="B159">
        <v>5</v>
      </c>
      <c r="C159">
        <v>1</v>
      </c>
      <c r="D159">
        <v>259</v>
      </c>
      <c r="G159">
        <v>119</v>
      </c>
      <c r="H159">
        <v>208.69320579923274</v>
      </c>
      <c r="I159">
        <v>95.306794200767257</v>
      </c>
    </row>
    <row r="160" spans="2:9" x14ac:dyDescent="0.2">
      <c r="B160">
        <v>3</v>
      </c>
      <c r="C160">
        <v>3</v>
      </c>
      <c r="D160">
        <v>146</v>
      </c>
      <c r="G160">
        <v>120</v>
      </c>
      <c r="H160">
        <v>263.58410053573397</v>
      </c>
      <c r="I160">
        <v>60.415899464266033</v>
      </c>
    </row>
    <row r="161" spans="2:9" x14ac:dyDescent="0.2">
      <c r="B161">
        <v>3</v>
      </c>
      <c r="C161">
        <v>3</v>
      </c>
      <c r="D161">
        <v>249</v>
      </c>
      <c r="G161">
        <v>121</v>
      </c>
      <c r="H161">
        <v>152.06509232774337</v>
      </c>
      <c r="I161">
        <v>63.934907672256628</v>
      </c>
    </row>
    <row r="162" spans="2:9" x14ac:dyDescent="0.2">
      <c r="B162">
        <v>4</v>
      </c>
      <c r="C162">
        <v>3</v>
      </c>
      <c r="D162">
        <v>173</v>
      </c>
      <c r="G162">
        <v>122</v>
      </c>
      <c r="H162">
        <v>152.06509232774337</v>
      </c>
      <c r="I162">
        <v>-12.065092327743372</v>
      </c>
    </row>
    <row r="163" spans="2:9" x14ac:dyDescent="0.2">
      <c r="B163">
        <v>3</v>
      </c>
      <c r="C163">
        <v>1</v>
      </c>
      <c r="D163">
        <v>278</v>
      </c>
      <c r="G163">
        <v>123</v>
      </c>
      <c r="H163">
        <v>152.06509232774337</v>
      </c>
      <c r="I163">
        <v>9.9349076722566281</v>
      </c>
    </row>
    <row r="164" spans="2:9" x14ac:dyDescent="0.2">
      <c r="B164">
        <v>3</v>
      </c>
      <c r="C164">
        <v>2</v>
      </c>
      <c r="D164">
        <v>160</v>
      </c>
      <c r="G164">
        <v>124</v>
      </c>
      <c r="H164">
        <v>152.06509232774337</v>
      </c>
      <c r="I164">
        <v>-29.065092327743372</v>
      </c>
    </row>
    <row r="165" spans="2:9" x14ac:dyDescent="0.2">
      <c r="B165">
        <v>2</v>
      </c>
      <c r="C165">
        <v>1</v>
      </c>
      <c r="D165">
        <v>224</v>
      </c>
      <c r="G165">
        <v>125</v>
      </c>
      <c r="H165">
        <v>267.05853800571026</v>
      </c>
      <c r="I165">
        <v>-56.058538005710261</v>
      </c>
    </row>
    <row r="166" spans="2:9" x14ac:dyDescent="0.2">
      <c r="B166">
        <v>5</v>
      </c>
      <c r="C166">
        <v>3</v>
      </c>
      <c r="D166">
        <v>278</v>
      </c>
      <c r="G166">
        <v>126</v>
      </c>
      <c r="H166">
        <v>267.05853800571026</v>
      </c>
      <c r="I166">
        <v>42.941461994289739</v>
      </c>
    </row>
    <row r="167" spans="2:9" x14ac:dyDescent="0.2">
      <c r="B167">
        <v>5</v>
      </c>
      <c r="C167">
        <v>3</v>
      </c>
      <c r="D167">
        <v>335</v>
      </c>
      <c r="G167">
        <v>127</v>
      </c>
      <c r="H167">
        <v>37.071646649776454</v>
      </c>
      <c r="I167">
        <v>5.9283533502235457</v>
      </c>
    </row>
    <row r="168" spans="2:9" x14ac:dyDescent="0.2">
      <c r="B168">
        <v>4</v>
      </c>
      <c r="C168">
        <v>2</v>
      </c>
      <c r="D168">
        <v>387</v>
      </c>
      <c r="G168">
        <v>128</v>
      </c>
      <c r="H168">
        <v>267.05853800571026</v>
      </c>
      <c r="I168">
        <v>-31.058538005710261</v>
      </c>
    </row>
    <row r="169" spans="2:9" x14ac:dyDescent="0.2">
      <c r="B169">
        <v>4</v>
      </c>
      <c r="C169">
        <v>1</v>
      </c>
      <c r="D169">
        <v>342</v>
      </c>
      <c r="G169">
        <v>129</v>
      </c>
      <c r="H169">
        <v>208.69320579923274</v>
      </c>
      <c r="I169">
        <v>90.306794200767257</v>
      </c>
    </row>
    <row r="170" spans="2:9" x14ac:dyDescent="0.2">
      <c r="B170">
        <v>4</v>
      </c>
      <c r="C170">
        <v>3</v>
      </c>
      <c r="D170">
        <v>400</v>
      </c>
      <c r="G170">
        <v>130</v>
      </c>
      <c r="H170">
        <v>320.21221400722339</v>
      </c>
      <c r="I170">
        <v>-37.212214007223395</v>
      </c>
    </row>
    <row r="171" spans="2:9" x14ac:dyDescent="0.2">
      <c r="B171">
        <v>6</v>
      </c>
      <c r="C171">
        <v>3</v>
      </c>
      <c r="D171">
        <v>356</v>
      </c>
      <c r="G171">
        <v>131</v>
      </c>
      <c r="H171">
        <v>265.32131927072214</v>
      </c>
      <c r="I171">
        <v>38.678680729277858</v>
      </c>
    </row>
    <row r="172" spans="2:9" x14ac:dyDescent="0.2">
      <c r="B172">
        <v>4</v>
      </c>
      <c r="C172">
        <v>3</v>
      </c>
      <c r="D172">
        <v>352</v>
      </c>
      <c r="G172">
        <v>132</v>
      </c>
      <c r="H172">
        <v>208.69320579923274</v>
      </c>
      <c r="I172">
        <v>-115.69320579923274</v>
      </c>
    </row>
    <row r="173" spans="2:9" x14ac:dyDescent="0.2">
      <c r="B173">
        <v>4</v>
      </c>
      <c r="C173">
        <v>2</v>
      </c>
      <c r="D173">
        <v>161</v>
      </c>
      <c r="G173">
        <v>133</v>
      </c>
      <c r="H173">
        <v>150.32787359275522</v>
      </c>
      <c r="I173">
        <v>74.672126407244775</v>
      </c>
    </row>
    <row r="174" spans="2:9" x14ac:dyDescent="0.2">
      <c r="B174">
        <v>2</v>
      </c>
      <c r="C174">
        <v>2</v>
      </c>
      <c r="D174">
        <v>57</v>
      </c>
      <c r="G174">
        <v>134</v>
      </c>
      <c r="H174">
        <v>321.94943274221157</v>
      </c>
      <c r="I174">
        <v>78.05056725778843</v>
      </c>
    </row>
    <row r="175" spans="2:9" x14ac:dyDescent="0.2">
      <c r="B175">
        <v>1</v>
      </c>
      <c r="C175">
        <v>1</v>
      </c>
      <c r="D175">
        <v>126</v>
      </c>
      <c r="G175">
        <v>135</v>
      </c>
      <c r="H175">
        <v>152.06509232774337</v>
      </c>
      <c r="I175">
        <v>85.934907672256628</v>
      </c>
    </row>
    <row r="176" spans="2:9" x14ac:dyDescent="0.2">
      <c r="B176">
        <v>0</v>
      </c>
      <c r="C176">
        <v>2</v>
      </c>
      <c r="D176">
        <v>79</v>
      </c>
      <c r="G176">
        <v>136</v>
      </c>
      <c r="H176">
        <v>265.32131927072214</v>
      </c>
      <c r="I176">
        <v>14.678680729277858</v>
      </c>
    </row>
    <row r="177" spans="2:9" x14ac:dyDescent="0.2">
      <c r="B177">
        <v>1</v>
      </c>
      <c r="C177">
        <v>1</v>
      </c>
      <c r="D177">
        <v>125</v>
      </c>
      <c r="G177">
        <v>137</v>
      </c>
      <c r="H177">
        <v>320.21221400722339</v>
      </c>
      <c r="I177">
        <v>25.787785992776605</v>
      </c>
    </row>
    <row r="178" spans="2:9" x14ac:dyDescent="0.2">
      <c r="B178">
        <v>4</v>
      </c>
      <c r="C178">
        <v>2</v>
      </c>
      <c r="D178">
        <v>398</v>
      </c>
      <c r="G178">
        <v>138</v>
      </c>
      <c r="H178">
        <v>37.071646649776454</v>
      </c>
      <c r="I178">
        <v>22.928353350223546</v>
      </c>
    </row>
    <row r="179" spans="2:9" x14ac:dyDescent="0.2">
      <c r="B179">
        <v>4</v>
      </c>
      <c r="C179">
        <v>3</v>
      </c>
      <c r="D179">
        <v>310</v>
      </c>
      <c r="G179">
        <v>139</v>
      </c>
      <c r="H179">
        <v>323.68665147719969</v>
      </c>
      <c r="I179">
        <v>42.313348522800311</v>
      </c>
    </row>
    <row r="180" spans="2:9" x14ac:dyDescent="0.2">
      <c r="B180">
        <v>2</v>
      </c>
      <c r="C180">
        <v>3</v>
      </c>
      <c r="D180">
        <v>196</v>
      </c>
      <c r="G180">
        <v>140</v>
      </c>
      <c r="H180">
        <v>208.69320579923274</v>
      </c>
      <c r="I180">
        <v>7.3067942007672571</v>
      </c>
    </row>
    <row r="181" spans="2:9" x14ac:dyDescent="0.2">
      <c r="B181">
        <v>1</v>
      </c>
      <c r="C181">
        <v>1</v>
      </c>
      <c r="D181">
        <v>55</v>
      </c>
      <c r="G181">
        <v>141</v>
      </c>
      <c r="H181">
        <v>150.32787359275522</v>
      </c>
      <c r="I181">
        <v>-39.327873592755225</v>
      </c>
    </row>
    <row r="182" spans="2:9" x14ac:dyDescent="0.2">
      <c r="B182">
        <v>4</v>
      </c>
      <c r="C182">
        <v>2</v>
      </c>
      <c r="D182">
        <v>227</v>
      </c>
      <c r="G182">
        <v>142</v>
      </c>
      <c r="H182">
        <v>37.071646649776454</v>
      </c>
      <c r="I182">
        <v>24.928353350223546</v>
      </c>
    </row>
    <row r="183" spans="2:9" x14ac:dyDescent="0.2">
      <c r="B183">
        <v>5</v>
      </c>
      <c r="C183">
        <v>2</v>
      </c>
      <c r="D183">
        <v>391</v>
      </c>
      <c r="G183">
        <v>143</v>
      </c>
      <c r="H183">
        <v>153.80231106273155</v>
      </c>
      <c r="I183">
        <v>58.197688937268452</v>
      </c>
    </row>
    <row r="184" spans="2:9" x14ac:dyDescent="0.2">
      <c r="B184">
        <v>2</v>
      </c>
      <c r="C184">
        <v>1</v>
      </c>
      <c r="D184">
        <v>49</v>
      </c>
      <c r="G184">
        <v>144</v>
      </c>
      <c r="H184">
        <v>210.43042453422092</v>
      </c>
      <c r="I184">
        <v>-55.430424534220919</v>
      </c>
    </row>
    <row r="185" spans="2:9" x14ac:dyDescent="0.2">
      <c r="B185">
        <v>3</v>
      </c>
      <c r="C185">
        <v>3</v>
      </c>
      <c r="D185">
        <v>130</v>
      </c>
      <c r="G185">
        <v>145</v>
      </c>
      <c r="H185">
        <v>208.69320579923274</v>
      </c>
      <c r="I185">
        <v>18.306794200767257</v>
      </c>
    </row>
    <row r="186" spans="2:9" x14ac:dyDescent="0.2">
      <c r="B186">
        <v>4</v>
      </c>
      <c r="C186">
        <v>2</v>
      </c>
      <c r="D186">
        <v>280</v>
      </c>
      <c r="G186">
        <v>146</v>
      </c>
      <c r="H186">
        <v>152.06509232774337</v>
      </c>
      <c r="I186">
        <v>30.934907672256628</v>
      </c>
    </row>
    <row r="187" spans="2:9" x14ac:dyDescent="0.2">
      <c r="B187">
        <v>5</v>
      </c>
      <c r="C187">
        <v>1</v>
      </c>
      <c r="D187">
        <v>303</v>
      </c>
      <c r="G187">
        <v>147</v>
      </c>
      <c r="H187">
        <v>380.31476494868906</v>
      </c>
      <c r="I187">
        <v>-40.31476494868906</v>
      </c>
    </row>
    <row r="188" spans="2:9" x14ac:dyDescent="0.2">
      <c r="B188">
        <v>2</v>
      </c>
      <c r="C188">
        <v>1</v>
      </c>
      <c r="D188">
        <v>196</v>
      </c>
      <c r="G188">
        <v>148</v>
      </c>
      <c r="H188">
        <v>265.32131927072214</v>
      </c>
      <c r="I188">
        <v>42.678680729277858</v>
      </c>
    </row>
    <row r="189" spans="2:9" x14ac:dyDescent="0.2">
      <c r="B189">
        <v>3</v>
      </c>
      <c r="C189">
        <v>1</v>
      </c>
      <c r="D189">
        <v>99</v>
      </c>
      <c r="G189">
        <v>149</v>
      </c>
      <c r="H189">
        <v>267.05853800571026</v>
      </c>
      <c r="I189">
        <v>-62.058538005710261</v>
      </c>
    </row>
    <row r="190" spans="2:9" x14ac:dyDescent="0.2">
      <c r="B190">
        <v>3</v>
      </c>
      <c r="C190">
        <v>3</v>
      </c>
      <c r="D190">
        <v>216</v>
      </c>
      <c r="G190">
        <v>150</v>
      </c>
      <c r="H190">
        <v>153.80231106273155</v>
      </c>
      <c r="I190">
        <v>81.197688937268452</v>
      </c>
    </row>
    <row r="191" spans="2:9" x14ac:dyDescent="0.2">
      <c r="B191">
        <v>4</v>
      </c>
      <c r="C191">
        <v>1</v>
      </c>
      <c r="D191">
        <v>396</v>
      </c>
      <c r="G191">
        <v>151</v>
      </c>
      <c r="H191">
        <v>323.68665147719969</v>
      </c>
      <c r="I191">
        <v>12.313348522800311</v>
      </c>
    </row>
    <row r="192" spans="2:9" x14ac:dyDescent="0.2">
      <c r="B192">
        <v>1</v>
      </c>
      <c r="C192">
        <v>3</v>
      </c>
      <c r="D192">
        <v>93</v>
      </c>
      <c r="G192">
        <v>152</v>
      </c>
      <c r="H192">
        <v>37.071646649776454</v>
      </c>
      <c r="I192">
        <v>28.928353350223546</v>
      </c>
    </row>
    <row r="193" spans="2:9" x14ac:dyDescent="0.2">
      <c r="B193">
        <v>2</v>
      </c>
      <c r="C193">
        <v>2</v>
      </c>
      <c r="D193">
        <v>105</v>
      </c>
      <c r="G193">
        <v>153</v>
      </c>
      <c r="H193">
        <v>320.21221400722339</v>
      </c>
      <c r="I193">
        <v>73.787785992776605</v>
      </c>
    </row>
    <row r="194" spans="2:9" x14ac:dyDescent="0.2">
      <c r="B194">
        <v>3</v>
      </c>
      <c r="C194">
        <v>2</v>
      </c>
      <c r="D194">
        <v>116</v>
      </c>
      <c r="G194">
        <v>154</v>
      </c>
      <c r="H194">
        <v>378.57754621370094</v>
      </c>
      <c r="I194">
        <v>-43.577546213700941</v>
      </c>
    </row>
    <row r="195" spans="2:9" x14ac:dyDescent="0.2">
      <c r="B195">
        <v>1</v>
      </c>
      <c r="C195">
        <v>1</v>
      </c>
      <c r="D195">
        <v>119</v>
      </c>
      <c r="G195">
        <v>155</v>
      </c>
      <c r="H195">
        <v>265.32131927072214</v>
      </c>
      <c r="I195">
        <v>-25.321319270722142</v>
      </c>
    </row>
    <row r="196" spans="2:9" x14ac:dyDescent="0.2">
      <c r="B196">
        <v>4</v>
      </c>
      <c r="C196">
        <v>3</v>
      </c>
      <c r="D196">
        <v>257</v>
      </c>
      <c r="G196">
        <v>156</v>
      </c>
      <c r="H196">
        <v>150.32787359275522</v>
      </c>
      <c r="I196">
        <v>-106.32787359275522</v>
      </c>
    </row>
    <row r="197" spans="2:9" x14ac:dyDescent="0.2">
      <c r="B197">
        <v>0</v>
      </c>
      <c r="C197">
        <v>1</v>
      </c>
      <c r="D197">
        <v>48</v>
      </c>
      <c r="G197">
        <v>157</v>
      </c>
      <c r="H197">
        <v>267.05853800571026</v>
      </c>
      <c r="I197">
        <v>-23.058538005710261</v>
      </c>
    </row>
    <row r="198" spans="2:9" x14ac:dyDescent="0.2">
      <c r="B198">
        <v>4</v>
      </c>
      <c r="C198">
        <v>2</v>
      </c>
      <c r="D198">
        <v>297</v>
      </c>
      <c r="G198">
        <v>158</v>
      </c>
      <c r="H198">
        <v>323.68665147719969</v>
      </c>
      <c r="I198">
        <v>-64.686651477199689</v>
      </c>
    </row>
    <row r="199" spans="2:9" x14ac:dyDescent="0.2">
      <c r="B199">
        <v>2</v>
      </c>
      <c r="C199">
        <v>2</v>
      </c>
      <c r="D199">
        <v>159</v>
      </c>
      <c r="G199">
        <v>159</v>
      </c>
      <c r="H199">
        <v>206.9559870642446</v>
      </c>
      <c r="I199">
        <v>-60.955987064244596</v>
      </c>
    </row>
    <row r="200" spans="2:9" x14ac:dyDescent="0.2">
      <c r="B200">
        <v>3</v>
      </c>
      <c r="C200">
        <v>1</v>
      </c>
      <c r="D200">
        <v>132</v>
      </c>
      <c r="G200">
        <v>160</v>
      </c>
      <c r="H200">
        <v>206.9559870642446</v>
      </c>
      <c r="I200">
        <v>42.044012935755404</v>
      </c>
    </row>
    <row r="201" spans="2:9" x14ac:dyDescent="0.2">
      <c r="B201">
        <v>3</v>
      </c>
      <c r="C201">
        <v>1</v>
      </c>
      <c r="D201">
        <v>104</v>
      </c>
      <c r="G201">
        <v>161</v>
      </c>
      <c r="H201">
        <v>263.58410053573397</v>
      </c>
      <c r="I201">
        <v>-90.584100535733967</v>
      </c>
    </row>
    <row r="202" spans="2:9" x14ac:dyDescent="0.2">
      <c r="B202">
        <v>1</v>
      </c>
      <c r="C202">
        <v>1</v>
      </c>
      <c r="D202">
        <v>149</v>
      </c>
      <c r="G202">
        <v>162</v>
      </c>
      <c r="H202">
        <v>210.43042453422092</v>
      </c>
      <c r="I202">
        <v>67.569575465779081</v>
      </c>
    </row>
    <row r="203" spans="2:9" x14ac:dyDescent="0.2">
      <c r="B203">
        <v>4</v>
      </c>
      <c r="C203">
        <v>3</v>
      </c>
      <c r="D203">
        <v>245</v>
      </c>
      <c r="G203">
        <v>163</v>
      </c>
      <c r="H203">
        <v>208.69320579923274</v>
      </c>
      <c r="I203">
        <v>-48.693205799232743</v>
      </c>
    </row>
    <row r="204" spans="2:9" x14ac:dyDescent="0.2">
      <c r="B204">
        <v>2</v>
      </c>
      <c r="C204">
        <v>3</v>
      </c>
      <c r="D204">
        <v>194</v>
      </c>
      <c r="G204">
        <v>164</v>
      </c>
      <c r="H204">
        <v>153.80231106273155</v>
      </c>
      <c r="I204">
        <v>70.197688937268452</v>
      </c>
    </row>
    <row r="205" spans="2:9" x14ac:dyDescent="0.2">
      <c r="B205">
        <v>5</v>
      </c>
      <c r="C205">
        <v>2</v>
      </c>
      <c r="D205">
        <v>329</v>
      </c>
      <c r="G205">
        <v>165</v>
      </c>
      <c r="H205">
        <v>320.21221400722339</v>
      </c>
      <c r="I205">
        <v>-42.212214007223395</v>
      </c>
    </row>
    <row r="206" spans="2:9" x14ac:dyDescent="0.2">
      <c r="B206">
        <v>3</v>
      </c>
      <c r="C206">
        <v>1</v>
      </c>
      <c r="D206">
        <v>120</v>
      </c>
      <c r="G206">
        <v>166</v>
      </c>
      <c r="H206">
        <v>320.21221400722339</v>
      </c>
      <c r="I206">
        <v>14.787785992776605</v>
      </c>
    </row>
    <row r="207" spans="2:9" x14ac:dyDescent="0.2">
      <c r="B207">
        <v>3</v>
      </c>
      <c r="C207">
        <v>3</v>
      </c>
      <c r="D207">
        <v>189</v>
      </c>
      <c r="G207">
        <v>167</v>
      </c>
      <c r="H207">
        <v>265.32131927072214</v>
      </c>
      <c r="I207">
        <v>121.67868072927786</v>
      </c>
    </row>
    <row r="208" spans="2:9" x14ac:dyDescent="0.2">
      <c r="B208">
        <v>4</v>
      </c>
      <c r="C208">
        <v>2</v>
      </c>
      <c r="D208">
        <v>396</v>
      </c>
      <c r="G208">
        <v>168</v>
      </c>
      <c r="H208">
        <v>267.05853800571026</v>
      </c>
      <c r="I208">
        <v>74.941461994289739</v>
      </c>
    </row>
    <row r="209" spans="2:9" x14ac:dyDescent="0.2">
      <c r="B209">
        <v>6</v>
      </c>
      <c r="C209">
        <v>2</v>
      </c>
      <c r="D209">
        <v>390</v>
      </c>
      <c r="G209">
        <v>169</v>
      </c>
      <c r="H209">
        <v>263.58410053573397</v>
      </c>
      <c r="I209">
        <v>136.41589946426603</v>
      </c>
    </row>
    <row r="210" spans="2:9" x14ac:dyDescent="0.2">
      <c r="B210">
        <v>3</v>
      </c>
      <c r="C210">
        <v>2</v>
      </c>
      <c r="D210">
        <v>169</v>
      </c>
      <c r="G210">
        <v>170</v>
      </c>
      <c r="H210">
        <v>376.84032747871277</v>
      </c>
      <c r="I210">
        <v>-20.840327478712766</v>
      </c>
    </row>
    <row r="211" spans="2:9" x14ac:dyDescent="0.2">
      <c r="B211">
        <v>6</v>
      </c>
      <c r="C211">
        <v>2</v>
      </c>
      <c r="D211">
        <v>369</v>
      </c>
      <c r="G211">
        <v>171</v>
      </c>
      <c r="H211">
        <v>263.58410053573397</v>
      </c>
      <c r="I211">
        <v>88.415899464266033</v>
      </c>
    </row>
    <row r="212" spans="2:9" x14ac:dyDescent="0.2">
      <c r="B212">
        <v>4</v>
      </c>
      <c r="C212">
        <v>3</v>
      </c>
      <c r="D212">
        <v>214</v>
      </c>
      <c r="G212">
        <v>172</v>
      </c>
      <c r="H212">
        <v>265.32131927072214</v>
      </c>
      <c r="I212">
        <v>-104.32131927072214</v>
      </c>
    </row>
    <row r="213" spans="2:9" x14ac:dyDescent="0.2">
      <c r="B213">
        <v>6</v>
      </c>
      <c r="C213">
        <v>3</v>
      </c>
      <c r="D213">
        <v>321</v>
      </c>
      <c r="G213">
        <v>173</v>
      </c>
      <c r="H213">
        <v>152.06509232774337</v>
      </c>
      <c r="I213">
        <v>-95.065092327743372</v>
      </c>
    </row>
    <row r="214" spans="2:9" x14ac:dyDescent="0.2">
      <c r="B214">
        <v>5</v>
      </c>
      <c r="C214">
        <v>2</v>
      </c>
      <c r="D214">
        <v>347</v>
      </c>
      <c r="G214">
        <v>174</v>
      </c>
      <c r="H214">
        <v>97.174197591242162</v>
      </c>
      <c r="I214">
        <v>28.825802408757838</v>
      </c>
    </row>
    <row r="215" spans="2:9" x14ac:dyDescent="0.2">
      <c r="B215">
        <v>2</v>
      </c>
      <c r="C215">
        <v>1</v>
      </c>
      <c r="D215">
        <v>99</v>
      </c>
      <c r="G215">
        <v>175</v>
      </c>
      <c r="H215">
        <v>38.808865384764616</v>
      </c>
      <c r="I215">
        <v>40.191134615235384</v>
      </c>
    </row>
    <row r="216" spans="2:9" x14ac:dyDescent="0.2">
      <c r="B216">
        <v>3</v>
      </c>
      <c r="C216">
        <v>3</v>
      </c>
      <c r="D216">
        <v>288</v>
      </c>
      <c r="G216">
        <v>176</v>
      </c>
      <c r="H216">
        <v>97.174197591242162</v>
      </c>
      <c r="I216">
        <v>27.825802408757838</v>
      </c>
    </row>
    <row r="217" spans="2:9" x14ac:dyDescent="0.2">
      <c r="B217">
        <v>2</v>
      </c>
      <c r="C217">
        <v>1</v>
      </c>
      <c r="D217">
        <v>185</v>
      </c>
      <c r="G217">
        <v>177</v>
      </c>
      <c r="H217">
        <v>265.32131927072214</v>
      </c>
      <c r="I217">
        <v>132.67868072927786</v>
      </c>
    </row>
    <row r="218" spans="2:9" x14ac:dyDescent="0.2">
      <c r="B218">
        <v>2</v>
      </c>
      <c r="C218">
        <v>3</v>
      </c>
      <c r="D218">
        <v>197</v>
      </c>
      <c r="G218">
        <v>178</v>
      </c>
      <c r="H218">
        <v>263.58410053573397</v>
      </c>
      <c r="I218">
        <v>46.415899464266033</v>
      </c>
    </row>
    <row r="219" spans="2:9" x14ac:dyDescent="0.2">
      <c r="B219">
        <v>3</v>
      </c>
      <c r="C219">
        <v>3</v>
      </c>
      <c r="D219">
        <v>96</v>
      </c>
      <c r="G219">
        <v>179</v>
      </c>
      <c r="H219">
        <v>150.32787359275522</v>
      </c>
      <c r="I219">
        <v>45.672126407244775</v>
      </c>
    </row>
    <row r="220" spans="2:9" x14ac:dyDescent="0.2">
      <c r="B220">
        <v>2</v>
      </c>
      <c r="C220">
        <v>2</v>
      </c>
      <c r="D220">
        <v>121</v>
      </c>
      <c r="G220">
        <v>180</v>
      </c>
      <c r="H220">
        <v>97.174197591242162</v>
      </c>
      <c r="I220">
        <v>-42.174197591242162</v>
      </c>
    </row>
    <row r="221" spans="2:9" x14ac:dyDescent="0.2">
      <c r="B221">
        <v>3</v>
      </c>
      <c r="C221">
        <v>3</v>
      </c>
      <c r="D221">
        <v>131</v>
      </c>
      <c r="G221">
        <v>181</v>
      </c>
      <c r="H221">
        <v>265.32131927072214</v>
      </c>
      <c r="I221">
        <v>-38.321319270722142</v>
      </c>
    </row>
    <row r="222" spans="2:9" x14ac:dyDescent="0.2">
      <c r="B222">
        <v>4</v>
      </c>
      <c r="C222">
        <v>2</v>
      </c>
      <c r="D222">
        <v>377</v>
      </c>
      <c r="G222">
        <v>182</v>
      </c>
      <c r="H222">
        <v>321.94943274221157</v>
      </c>
      <c r="I222">
        <v>69.05056725778843</v>
      </c>
    </row>
    <row r="223" spans="2:9" x14ac:dyDescent="0.2">
      <c r="B223">
        <v>1</v>
      </c>
      <c r="C223">
        <v>3</v>
      </c>
      <c r="D223">
        <v>93</v>
      </c>
      <c r="G223">
        <v>183</v>
      </c>
      <c r="H223">
        <v>153.80231106273155</v>
      </c>
      <c r="I223">
        <v>-104.80231106273155</v>
      </c>
    </row>
    <row r="224" spans="2:9" x14ac:dyDescent="0.2">
      <c r="B224">
        <v>3</v>
      </c>
      <c r="C224">
        <v>1</v>
      </c>
      <c r="D224">
        <v>188</v>
      </c>
      <c r="G224">
        <v>184</v>
      </c>
      <c r="H224">
        <v>206.9559870642446</v>
      </c>
      <c r="I224">
        <v>-76.955987064244596</v>
      </c>
    </row>
    <row r="225" spans="2:9" x14ac:dyDescent="0.2">
      <c r="B225">
        <v>3</v>
      </c>
      <c r="C225">
        <v>3</v>
      </c>
      <c r="D225">
        <v>295</v>
      </c>
      <c r="G225">
        <v>185</v>
      </c>
      <c r="H225">
        <v>265.32131927072214</v>
      </c>
      <c r="I225">
        <v>14.678680729277858</v>
      </c>
    </row>
    <row r="226" spans="2:9" x14ac:dyDescent="0.2">
      <c r="B226">
        <v>2</v>
      </c>
      <c r="C226">
        <v>2</v>
      </c>
      <c r="D226">
        <v>103</v>
      </c>
      <c r="G226">
        <v>186</v>
      </c>
      <c r="H226">
        <v>323.68665147719969</v>
      </c>
      <c r="I226">
        <v>-20.686651477199689</v>
      </c>
    </row>
    <row r="227" spans="2:9" x14ac:dyDescent="0.2">
      <c r="B227">
        <v>1</v>
      </c>
      <c r="C227">
        <v>3</v>
      </c>
      <c r="D227">
        <v>60</v>
      </c>
      <c r="G227">
        <v>187</v>
      </c>
      <c r="H227">
        <v>153.80231106273155</v>
      </c>
      <c r="I227">
        <v>42.197688937268452</v>
      </c>
    </row>
    <row r="228" spans="2:9" x14ac:dyDescent="0.2">
      <c r="B228">
        <v>3</v>
      </c>
      <c r="C228">
        <v>2</v>
      </c>
      <c r="D228">
        <v>216</v>
      </c>
      <c r="G228">
        <v>188</v>
      </c>
      <c r="H228">
        <v>210.43042453422092</v>
      </c>
      <c r="I228">
        <v>-111.43042453422092</v>
      </c>
    </row>
    <row r="229" spans="2:9" x14ac:dyDescent="0.2">
      <c r="B229">
        <v>1</v>
      </c>
      <c r="C229">
        <v>3</v>
      </c>
      <c r="D229">
        <v>65</v>
      </c>
      <c r="G229">
        <v>189</v>
      </c>
      <c r="H229">
        <v>206.9559870642446</v>
      </c>
      <c r="I229">
        <v>9.0440129357554042</v>
      </c>
    </row>
    <row r="230" spans="2:9" x14ac:dyDescent="0.2">
      <c r="B230">
        <v>2</v>
      </c>
      <c r="C230">
        <v>1</v>
      </c>
      <c r="D230">
        <v>210</v>
      </c>
      <c r="G230">
        <v>190</v>
      </c>
      <c r="H230">
        <v>267.05853800571026</v>
      </c>
      <c r="I230">
        <v>128.94146199428974</v>
      </c>
    </row>
    <row r="231" spans="2:9" x14ac:dyDescent="0.2">
      <c r="B231">
        <v>2</v>
      </c>
      <c r="C231">
        <v>2</v>
      </c>
      <c r="D231">
        <v>176</v>
      </c>
      <c r="G231">
        <v>191</v>
      </c>
      <c r="H231">
        <v>93.69976012126584</v>
      </c>
      <c r="I231">
        <v>-0.69976012126583953</v>
      </c>
    </row>
    <row r="232" spans="2:9" x14ac:dyDescent="0.2">
      <c r="B232">
        <v>0</v>
      </c>
      <c r="C232">
        <v>3</v>
      </c>
      <c r="D232">
        <v>54</v>
      </c>
      <c r="G232">
        <v>192</v>
      </c>
      <c r="H232">
        <v>152.06509232774337</v>
      </c>
      <c r="I232">
        <v>-47.065092327743372</v>
      </c>
    </row>
    <row r="233" spans="2:9" x14ac:dyDescent="0.2">
      <c r="B233">
        <v>3</v>
      </c>
      <c r="C233">
        <v>1</v>
      </c>
      <c r="D233">
        <v>302</v>
      </c>
      <c r="G233">
        <v>193</v>
      </c>
      <c r="H233">
        <v>208.69320579923274</v>
      </c>
      <c r="I233">
        <v>-92.693205799232743</v>
      </c>
    </row>
    <row r="234" spans="2:9" x14ac:dyDescent="0.2">
      <c r="B234">
        <v>4</v>
      </c>
      <c r="C234">
        <v>2</v>
      </c>
      <c r="D234">
        <v>318</v>
      </c>
      <c r="G234">
        <v>194</v>
      </c>
      <c r="H234">
        <v>97.174197591242162</v>
      </c>
      <c r="I234">
        <v>21.825802408757838</v>
      </c>
    </row>
    <row r="235" spans="2:9" x14ac:dyDescent="0.2">
      <c r="B235">
        <v>5</v>
      </c>
      <c r="C235">
        <v>3</v>
      </c>
      <c r="D235">
        <v>338</v>
      </c>
      <c r="G235">
        <v>195</v>
      </c>
      <c r="H235">
        <v>263.58410053573397</v>
      </c>
      <c r="I235">
        <v>-6.5841005357339668</v>
      </c>
    </row>
    <row r="236" spans="2:9" x14ac:dyDescent="0.2">
      <c r="B236">
        <v>1</v>
      </c>
      <c r="C236">
        <v>1</v>
      </c>
      <c r="D236">
        <v>108</v>
      </c>
      <c r="G236">
        <v>196</v>
      </c>
      <c r="H236">
        <v>40.546084119752777</v>
      </c>
      <c r="I236">
        <v>7.453915880247223</v>
      </c>
    </row>
    <row r="237" spans="2:9" x14ac:dyDescent="0.2">
      <c r="B237">
        <v>4</v>
      </c>
      <c r="C237">
        <v>2</v>
      </c>
      <c r="D237">
        <v>280</v>
      </c>
      <c r="G237">
        <v>197</v>
      </c>
      <c r="H237">
        <v>265.32131927072214</v>
      </c>
      <c r="I237">
        <v>31.678680729277858</v>
      </c>
    </row>
    <row r="238" spans="2:9" x14ac:dyDescent="0.2">
      <c r="B238">
        <v>5</v>
      </c>
      <c r="C238">
        <v>3</v>
      </c>
      <c r="D238">
        <v>245</v>
      </c>
      <c r="G238">
        <v>198</v>
      </c>
      <c r="H238">
        <v>152.06509232774337</v>
      </c>
      <c r="I238">
        <v>6.9349076722566281</v>
      </c>
    </row>
    <row r="239" spans="2:9" x14ac:dyDescent="0.2">
      <c r="B239">
        <v>6</v>
      </c>
      <c r="C239">
        <v>3</v>
      </c>
      <c r="D239">
        <v>334</v>
      </c>
      <c r="G239">
        <v>199</v>
      </c>
      <c r="H239">
        <v>210.43042453422092</v>
      </c>
      <c r="I239">
        <v>-78.430424534220919</v>
      </c>
    </row>
    <row r="240" spans="2:9" x14ac:dyDescent="0.2">
      <c r="B240">
        <v>4</v>
      </c>
      <c r="C240">
        <v>3</v>
      </c>
      <c r="D240">
        <v>228</v>
      </c>
      <c r="G240">
        <v>200</v>
      </c>
      <c r="H240">
        <v>210.43042453422092</v>
      </c>
      <c r="I240">
        <v>-106.43042453422092</v>
      </c>
    </row>
    <row r="241" spans="2:9" x14ac:dyDescent="0.2">
      <c r="B241">
        <v>0</v>
      </c>
      <c r="C241">
        <v>3</v>
      </c>
      <c r="D241">
        <v>42</v>
      </c>
      <c r="G241">
        <v>201</v>
      </c>
      <c r="H241">
        <v>97.174197591242162</v>
      </c>
      <c r="I241">
        <v>51.825802408757838</v>
      </c>
    </row>
    <row r="242" spans="2:9" x14ac:dyDescent="0.2">
      <c r="B242">
        <v>6</v>
      </c>
      <c r="C242">
        <v>2</v>
      </c>
      <c r="D242">
        <v>355</v>
      </c>
      <c r="G242">
        <v>202</v>
      </c>
      <c r="H242">
        <v>263.58410053573397</v>
      </c>
      <c r="I242">
        <v>-18.584100535733967</v>
      </c>
    </row>
    <row r="243" spans="2:9" x14ac:dyDescent="0.2">
      <c r="B243">
        <v>2</v>
      </c>
      <c r="C243">
        <v>1</v>
      </c>
      <c r="D243">
        <v>168</v>
      </c>
      <c r="G243">
        <v>203</v>
      </c>
      <c r="H243">
        <v>150.32787359275522</v>
      </c>
      <c r="I243">
        <v>43.672126407244775</v>
      </c>
    </row>
    <row r="244" spans="2:9" x14ac:dyDescent="0.2">
      <c r="B244">
        <v>3</v>
      </c>
      <c r="C244">
        <v>1</v>
      </c>
      <c r="D244">
        <v>95</v>
      </c>
      <c r="G244">
        <v>204</v>
      </c>
      <c r="H244">
        <v>321.94943274221157</v>
      </c>
      <c r="I244">
        <v>7.0505672577884297</v>
      </c>
    </row>
    <row r="245" spans="2:9" x14ac:dyDescent="0.2">
      <c r="B245">
        <v>6</v>
      </c>
      <c r="C245">
        <v>2</v>
      </c>
      <c r="D245">
        <v>371</v>
      </c>
      <c r="G245">
        <v>205</v>
      </c>
      <c r="H245">
        <v>210.43042453422092</v>
      </c>
      <c r="I245">
        <v>-90.430424534220919</v>
      </c>
    </row>
    <row r="246" spans="2:9" x14ac:dyDescent="0.2">
      <c r="B246">
        <v>1</v>
      </c>
      <c r="C246">
        <v>3</v>
      </c>
      <c r="D246">
        <v>80</v>
      </c>
      <c r="G246">
        <v>206</v>
      </c>
      <c r="H246">
        <v>206.9559870642446</v>
      </c>
      <c r="I246">
        <v>-17.955987064244596</v>
      </c>
    </row>
    <row r="247" spans="2:9" x14ac:dyDescent="0.2">
      <c r="B247">
        <v>6</v>
      </c>
      <c r="C247">
        <v>1</v>
      </c>
      <c r="D247">
        <v>385</v>
      </c>
      <c r="G247">
        <v>207</v>
      </c>
      <c r="H247">
        <v>265.32131927072214</v>
      </c>
      <c r="I247">
        <v>130.67868072927786</v>
      </c>
    </row>
    <row r="248" spans="2:9" x14ac:dyDescent="0.2">
      <c r="B248">
        <v>2</v>
      </c>
      <c r="C248">
        <v>3</v>
      </c>
      <c r="D248">
        <v>131</v>
      </c>
      <c r="G248">
        <v>208</v>
      </c>
      <c r="H248">
        <v>378.57754621370094</v>
      </c>
      <c r="I248">
        <v>11.422453786299059</v>
      </c>
    </row>
    <row r="249" spans="2:9" x14ac:dyDescent="0.2">
      <c r="B249">
        <v>2</v>
      </c>
      <c r="C249">
        <v>1</v>
      </c>
      <c r="D249">
        <v>61</v>
      </c>
      <c r="G249">
        <v>209</v>
      </c>
      <c r="H249">
        <v>208.69320579923274</v>
      </c>
      <c r="I249">
        <v>-39.693205799232743</v>
      </c>
    </row>
    <row r="250" spans="2:9" x14ac:dyDescent="0.2">
      <c r="B250">
        <v>0</v>
      </c>
      <c r="C250">
        <v>2</v>
      </c>
      <c r="D250">
        <v>49</v>
      </c>
      <c r="G250">
        <v>210</v>
      </c>
      <c r="H250">
        <v>378.57754621370094</v>
      </c>
      <c r="I250">
        <v>-9.5775462137009413</v>
      </c>
    </row>
    <row r="251" spans="2:9" x14ac:dyDescent="0.2">
      <c r="B251">
        <v>3</v>
      </c>
      <c r="C251">
        <v>2</v>
      </c>
      <c r="D251">
        <v>107</v>
      </c>
      <c r="G251">
        <v>211</v>
      </c>
      <c r="H251">
        <v>263.58410053573397</v>
      </c>
      <c r="I251">
        <v>-49.584100535733967</v>
      </c>
    </row>
    <row r="252" spans="2:9" x14ac:dyDescent="0.2">
      <c r="B252">
        <v>1</v>
      </c>
      <c r="C252">
        <v>2</v>
      </c>
      <c r="D252">
        <v>119</v>
      </c>
      <c r="G252">
        <v>212</v>
      </c>
      <c r="H252">
        <v>376.84032747871277</v>
      </c>
      <c r="I252">
        <v>-55.840327478712766</v>
      </c>
    </row>
    <row r="253" spans="2:9" x14ac:dyDescent="0.2">
      <c r="B253">
        <v>4</v>
      </c>
      <c r="C253">
        <v>2</v>
      </c>
      <c r="D253">
        <v>291</v>
      </c>
      <c r="G253">
        <v>213</v>
      </c>
      <c r="H253">
        <v>321.94943274221157</v>
      </c>
      <c r="I253">
        <v>25.05056725778843</v>
      </c>
    </row>
    <row r="254" spans="2:9" x14ac:dyDescent="0.2">
      <c r="B254">
        <v>6</v>
      </c>
      <c r="C254">
        <v>3</v>
      </c>
      <c r="D254">
        <v>399</v>
      </c>
      <c r="G254">
        <v>214</v>
      </c>
      <c r="H254">
        <v>153.80231106273155</v>
      </c>
      <c r="I254">
        <v>-54.802311062731548</v>
      </c>
    </row>
    <row r="255" spans="2:9" x14ac:dyDescent="0.2">
      <c r="B255">
        <v>4</v>
      </c>
      <c r="C255">
        <v>1</v>
      </c>
      <c r="D255">
        <v>183</v>
      </c>
      <c r="G255">
        <v>215</v>
      </c>
      <c r="H255">
        <v>206.9559870642446</v>
      </c>
      <c r="I255">
        <v>81.044012935755404</v>
      </c>
    </row>
    <row r="256" spans="2:9" x14ac:dyDescent="0.2">
      <c r="B256">
        <v>3</v>
      </c>
      <c r="C256">
        <v>2</v>
      </c>
      <c r="D256">
        <v>98</v>
      </c>
      <c r="G256">
        <v>216</v>
      </c>
      <c r="H256">
        <v>153.80231106273155</v>
      </c>
      <c r="I256">
        <v>31.197688937268452</v>
      </c>
    </row>
    <row r="257" spans="2:9" x14ac:dyDescent="0.2">
      <c r="B257">
        <v>3</v>
      </c>
      <c r="C257">
        <v>2</v>
      </c>
      <c r="D257">
        <v>139</v>
      </c>
      <c r="G257">
        <v>217</v>
      </c>
      <c r="H257">
        <v>150.32787359275522</v>
      </c>
      <c r="I257">
        <v>46.672126407244775</v>
      </c>
    </row>
    <row r="258" spans="2:9" x14ac:dyDescent="0.2">
      <c r="B258">
        <v>2</v>
      </c>
      <c r="C258">
        <v>1</v>
      </c>
      <c r="D258">
        <v>210</v>
      </c>
      <c r="G258">
        <v>218</v>
      </c>
      <c r="H258">
        <v>206.9559870642446</v>
      </c>
      <c r="I258">
        <v>-110.9559870642446</v>
      </c>
    </row>
    <row r="259" spans="2:9" x14ac:dyDescent="0.2">
      <c r="B259">
        <v>2</v>
      </c>
      <c r="C259">
        <v>1</v>
      </c>
      <c r="D259">
        <v>81</v>
      </c>
      <c r="G259">
        <v>219</v>
      </c>
      <c r="H259">
        <v>152.06509232774337</v>
      </c>
      <c r="I259">
        <v>-31.065092327743372</v>
      </c>
    </row>
    <row r="260" spans="2:9" x14ac:dyDescent="0.2">
      <c r="B260">
        <v>5</v>
      </c>
      <c r="C260">
        <v>2</v>
      </c>
      <c r="D260">
        <v>246</v>
      </c>
      <c r="G260">
        <v>220</v>
      </c>
      <c r="H260">
        <v>206.9559870642446</v>
      </c>
      <c r="I260">
        <v>-75.955987064244596</v>
      </c>
    </row>
    <row r="261" spans="2:9" x14ac:dyDescent="0.2">
      <c r="B261">
        <v>0</v>
      </c>
      <c r="C261">
        <v>2</v>
      </c>
      <c r="D261">
        <v>71</v>
      </c>
      <c r="G261">
        <v>221</v>
      </c>
      <c r="H261">
        <v>265.32131927072214</v>
      </c>
      <c r="I261">
        <v>111.67868072927786</v>
      </c>
    </row>
    <row r="262" spans="2:9" x14ac:dyDescent="0.2">
      <c r="B262">
        <v>0</v>
      </c>
      <c r="C262">
        <v>3</v>
      </c>
      <c r="D262">
        <v>58</v>
      </c>
      <c r="G262">
        <v>222</v>
      </c>
      <c r="H262">
        <v>93.69976012126584</v>
      </c>
      <c r="I262">
        <v>-0.69976012126583953</v>
      </c>
    </row>
    <row r="263" spans="2:9" x14ac:dyDescent="0.2">
      <c r="B263">
        <v>2</v>
      </c>
      <c r="C263">
        <v>1</v>
      </c>
      <c r="D263">
        <v>85</v>
      </c>
      <c r="G263">
        <v>223</v>
      </c>
      <c r="H263">
        <v>210.43042453422092</v>
      </c>
      <c r="I263">
        <v>-22.430424534220919</v>
      </c>
    </row>
    <row r="264" spans="2:9" x14ac:dyDescent="0.2">
      <c r="B264">
        <v>5</v>
      </c>
      <c r="C264">
        <v>3</v>
      </c>
      <c r="D264">
        <v>343</v>
      </c>
      <c r="G264">
        <v>224</v>
      </c>
      <c r="H264">
        <v>206.9559870642446</v>
      </c>
      <c r="I264">
        <v>88.044012935755404</v>
      </c>
    </row>
    <row r="265" spans="2:9" x14ac:dyDescent="0.2">
      <c r="B265">
        <v>0</v>
      </c>
      <c r="C265">
        <v>3</v>
      </c>
      <c r="D265">
        <v>59</v>
      </c>
      <c r="G265">
        <v>225</v>
      </c>
      <c r="H265">
        <v>152.06509232774337</v>
      </c>
      <c r="I265">
        <v>-49.065092327743372</v>
      </c>
    </row>
    <row r="266" spans="2:9" x14ac:dyDescent="0.2">
      <c r="B266">
        <v>3</v>
      </c>
      <c r="C266">
        <v>1</v>
      </c>
      <c r="D266">
        <v>161</v>
      </c>
      <c r="G266">
        <v>226</v>
      </c>
      <c r="H266">
        <v>93.69976012126584</v>
      </c>
      <c r="I266">
        <v>-33.69976012126584</v>
      </c>
    </row>
    <row r="267" spans="2:9" x14ac:dyDescent="0.2">
      <c r="B267">
        <v>4</v>
      </c>
      <c r="C267">
        <v>3</v>
      </c>
      <c r="D267">
        <v>312</v>
      </c>
      <c r="G267">
        <v>227</v>
      </c>
      <c r="H267">
        <v>208.69320579923274</v>
      </c>
      <c r="I267">
        <v>7.3067942007672571</v>
      </c>
    </row>
    <row r="268" spans="2:9" x14ac:dyDescent="0.2">
      <c r="B268">
        <v>2</v>
      </c>
      <c r="C268">
        <v>1</v>
      </c>
      <c r="D268">
        <v>201</v>
      </c>
      <c r="G268">
        <v>228</v>
      </c>
      <c r="H268">
        <v>93.69976012126584</v>
      </c>
      <c r="I268">
        <v>-28.69976012126584</v>
      </c>
    </row>
    <row r="269" spans="2:9" x14ac:dyDescent="0.2">
      <c r="B269">
        <v>2</v>
      </c>
      <c r="C269">
        <v>1</v>
      </c>
      <c r="D269">
        <v>227</v>
      </c>
      <c r="G269">
        <v>229</v>
      </c>
      <c r="H269">
        <v>153.80231106273155</v>
      </c>
      <c r="I269">
        <v>56.197688937268452</v>
      </c>
    </row>
    <row r="270" spans="2:9" x14ac:dyDescent="0.2">
      <c r="B270">
        <v>3</v>
      </c>
      <c r="C270">
        <v>3</v>
      </c>
      <c r="D270">
        <v>200</v>
      </c>
      <c r="G270">
        <v>230</v>
      </c>
      <c r="H270">
        <v>152.06509232774337</v>
      </c>
      <c r="I270">
        <v>23.934907672256628</v>
      </c>
    </row>
    <row r="271" spans="2:9" x14ac:dyDescent="0.2">
      <c r="B271">
        <v>1</v>
      </c>
      <c r="C271">
        <v>2</v>
      </c>
      <c r="D271">
        <v>60</v>
      </c>
      <c r="G271">
        <v>231</v>
      </c>
      <c r="H271">
        <v>37.071646649776454</v>
      </c>
      <c r="I271">
        <v>16.928353350223546</v>
      </c>
    </row>
    <row r="272" spans="2:9" x14ac:dyDescent="0.2">
      <c r="B272">
        <v>4</v>
      </c>
      <c r="C272">
        <v>3</v>
      </c>
      <c r="D272">
        <v>241</v>
      </c>
      <c r="G272">
        <v>232</v>
      </c>
      <c r="H272">
        <v>210.43042453422092</v>
      </c>
      <c r="I272">
        <v>91.569575465779081</v>
      </c>
    </row>
    <row r="273" spans="2:9" x14ac:dyDescent="0.2">
      <c r="B273">
        <v>5</v>
      </c>
      <c r="C273">
        <v>2</v>
      </c>
      <c r="D273">
        <v>286</v>
      </c>
      <c r="G273">
        <v>233</v>
      </c>
      <c r="H273">
        <v>265.32131927072214</v>
      </c>
      <c r="I273">
        <v>52.678680729277858</v>
      </c>
    </row>
    <row r="274" spans="2:9" x14ac:dyDescent="0.2">
      <c r="B274">
        <v>2</v>
      </c>
      <c r="C274">
        <v>1</v>
      </c>
      <c r="D274">
        <v>47</v>
      </c>
      <c r="G274">
        <v>234</v>
      </c>
      <c r="H274">
        <v>320.21221400722339</v>
      </c>
      <c r="I274">
        <v>17.787785992776605</v>
      </c>
    </row>
    <row r="275" spans="2:9" x14ac:dyDescent="0.2">
      <c r="B275">
        <v>1</v>
      </c>
      <c r="C275">
        <v>1</v>
      </c>
      <c r="D275">
        <v>61</v>
      </c>
      <c r="G275">
        <v>235</v>
      </c>
      <c r="H275">
        <v>97.174197591242162</v>
      </c>
      <c r="I275">
        <v>10.825802408757838</v>
      </c>
    </row>
    <row r="276" spans="2:9" x14ac:dyDescent="0.2">
      <c r="B276">
        <v>3</v>
      </c>
      <c r="C276">
        <v>1</v>
      </c>
      <c r="D276">
        <v>171</v>
      </c>
      <c r="G276">
        <v>236</v>
      </c>
      <c r="H276">
        <v>265.32131927072214</v>
      </c>
      <c r="I276">
        <v>14.678680729277858</v>
      </c>
    </row>
    <row r="277" spans="2:9" x14ac:dyDescent="0.2">
      <c r="B277">
        <v>2</v>
      </c>
      <c r="C277">
        <v>1</v>
      </c>
      <c r="D277">
        <v>235</v>
      </c>
      <c r="G277">
        <v>237</v>
      </c>
      <c r="H277">
        <v>320.21221400722339</v>
      </c>
      <c r="I277">
        <v>-75.212214007223395</v>
      </c>
    </row>
    <row r="278" spans="2:9" x14ac:dyDescent="0.2">
      <c r="B278">
        <v>3</v>
      </c>
      <c r="C278">
        <v>2</v>
      </c>
      <c r="D278">
        <v>114</v>
      </c>
      <c r="G278">
        <v>238</v>
      </c>
      <c r="H278">
        <v>376.84032747871277</v>
      </c>
      <c r="I278">
        <v>-42.840327478712766</v>
      </c>
    </row>
    <row r="279" spans="2:9" x14ac:dyDescent="0.2">
      <c r="B279">
        <v>3</v>
      </c>
      <c r="C279">
        <v>1</v>
      </c>
      <c r="D279">
        <v>205</v>
      </c>
      <c r="G279">
        <v>239</v>
      </c>
      <c r="H279">
        <v>263.58410053573397</v>
      </c>
      <c r="I279">
        <v>-35.584100535733967</v>
      </c>
    </row>
    <row r="280" spans="2:9" x14ac:dyDescent="0.2">
      <c r="B280">
        <v>2</v>
      </c>
      <c r="C280">
        <v>2</v>
      </c>
      <c r="D280">
        <v>107</v>
      </c>
      <c r="G280">
        <v>240</v>
      </c>
      <c r="H280">
        <v>37.071646649776454</v>
      </c>
      <c r="I280">
        <v>4.9283533502235457</v>
      </c>
    </row>
    <row r="281" spans="2:9" x14ac:dyDescent="0.2">
      <c r="B281">
        <v>3</v>
      </c>
      <c r="C281">
        <v>2</v>
      </c>
      <c r="D281">
        <v>220</v>
      </c>
      <c r="G281">
        <v>241</v>
      </c>
      <c r="H281">
        <v>378.57754621370094</v>
      </c>
      <c r="I281">
        <v>-23.577546213700941</v>
      </c>
    </row>
    <row r="282" spans="2:9" x14ac:dyDescent="0.2">
      <c r="B282">
        <v>4</v>
      </c>
      <c r="C282">
        <v>3</v>
      </c>
      <c r="D282">
        <v>171</v>
      </c>
      <c r="G282">
        <v>242</v>
      </c>
      <c r="H282">
        <v>153.80231106273155</v>
      </c>
      <c r="I282">
        <v>14.197688937268452</v>
      </c>
    </row>
    <row r="283" spans="2:9" x14ac:dyDescent="0.2">
      <c r="B283">
        <v>5</v>
      </c>
      <c r="C283">
        <v>2</v>
      </c>
      <c r="D283">
        <v>271</v>
      </c>
      <c r="G283">
        <v>243</v>
      </c>
      <c r="H283">
        <v>210.43042453422092</v>
      </c>
      <c r="I283">
        <v>-115.43042453422092</v>
      </c>
    </row>
    <row r="284" spans="2:9" x14ac:dyDescent="0.2">
      <c r="B284">
        <v>2</v>
      </c>
      <c r="C284">
        <v>2</v>
      </c>
      <c r="D284">
        <v>51</v>
      </c>
      <c r="G284">
        <v>244</v>
      </c>
      <c r="H284">
        <v>378.57754621370094</v>
      </c>
      <c r="I284">
        <v>-7.5775462137009413</v>
      </c>
    </row>
    <row r="285" spans="2:9" x14ac:dyDescent="0.2">
      <c r="B285">
        <v>1</v>
      </c>
      <c r="C285">
        <v>3</v>
      </c>
      <c r="D285">
        <v>83</v>
      </c>
      <c r="G285">
        <v>245</v>
      </c>
      <c r="H285">
        <v>93.69976012126584</v>
      </c>
      <c r="I285">
        <v>-13.69976012126584</v>
      </c>
    </row>
    <row r="286" spans="2:9" x14ac:dyDescent="0.2">
      <c r="B286">
        <v>3</v>
      </c>
      <c r="C286">
        <v>2</v>
      </c>
      <c r="D286">
        <v>140</v>
      </c>
      <c r="G286">
        <v>246</v>
      </c>
      <c r="H286">
        <v>380.31476494868906</v>
      </c>
      <c r="I286">
        <v>4.68523505131094</v>
      </c>
    </row>
    <row r="287" spans="2:9" x14ac:dyDescent="0.2">
      <c r="B287">
        <v>2</v>
      </c>
      <c r="C287">
        <v>2</v>
      </c>
      <c r="D287">
        <v>108</v>
      </c>
      <c r="G287">
        <v>247</v>
      </c>
      <c r="H287">
        <v>150.32787359275522</v>
      </c>
      <c r="I287">
        <v>-19.327873592755225</v>
      </c>
    </row>
    <row r="288" spans="2:9" x14ac:dyDescent="0.2">
      <c r="B288">
        <v>4</v>
      </c>
      <c r="C288">
        <v>1</v>
      </c>
      <c r="D288">
        <v>396</v>
      </c>
      <c r="G288">
        <v>248</v>
      </c>
      <c r="H288">
        <v>153.80231106273155</v>
      </c>
      <c r="I288">
        <v>-92.802311062731548</v>
      </c>
    </row>
    <row r="289" spans="2:9" x14ac:dyDescent="0.2">
      <c r="B289">
        <v>6</v>
      </c>
      <c r="C289">
        <v>1</v>
      </c>
      <c r="D289">
        <v>387</v>
      </c>
      <c r="G289">
        <v>249</v>
      </c>
      <c r="H289">
        <v>38.808865384764616</v>
      </c>
      <c r="I289">
        <v>10.191134615235384</v>
      </c>
    </row>
    <row r="290" spans="2:9" x14ac:dyDescent="0.2">
      <c r="B290">
        <v>3</v>
      </c>
      <c r="C290">
        <v>1</v>
      </c>
      <c r="D290">
        <v>234</v>
      </c>
      <c r="G290">
        <v>250</v>
      </c>
      <c r="H290">
        <v>208.69320579923274</v>
      </c>
      <c r="I290">
        <v>-101.69320579923274</v>
      </c>
    </row>
    <row r="291" spans="2:9" x14ac:dyDescent="0.2">
      <c r="B291">
        <v>2</v>
      </c>
      <c r="C291">
        <v>2</v>
      </c>
      <c r="D291">
        <v>133</v>
      </c>
      <c r="G291">
        <v>251</v>
      </c>
      <c r="H291">
        <v>95.436978856254001</v>
      </c>
      <c r="I291">
        <v>23.563021143745999</v>
      </c>
    </row>
    <row r="292" spans="2:9" x14ac:dyDescent="0.2">
      <c r="B292">
        <v>5</v>
      </c>
      <c r="C292">
        <v>2</v>
      </c>
      <c r="D292">
        <v>268</v>
      </c>
      <c r="G292">
        <v>252</v>
      </c>
      <c r="H292">
        <v>265.32131927072214</v>
      </c>
      <c r="I292">
        <v>25.678680729277858</v>
      </c>
    </row>
    <row r="293" spans="2:9" x14ac:dyDescent="0.2">
      <c r="B293">
        <v>2</v>
      </c>
      <c r="C293">
        <v>1</v>
      </c>
      <c r="D293">
        <v>187</v>
      </c>
      <c r="G293">
        <v>253</v>
      </c>
      <c r="H293">
        <v>376.84032747871277</v>
      </c>
      <c r="I293">
        <v>22.159672521287234</v>
      </c>
    </row>
    <row r="294" spans="2:9" x14ac:dyDescent="0.2">
      <c r="B294">
        <v>1</v>
      </c>
      <c r="C294">
        <v>2</v>
      </c>
      <c r="D294">
        <v>149</v>
      </c>
      <c r="G294">
        <v>254</v>
      </c>
      <c r="H294">
        <v>267.05853800571026</v>
      </c>
      <c r="I294">
        <v>-84.058538005710261</v>
      </c>
    </row>
    <row r="295" spans="2:9" x14ac:dyDescent="0.2">
      <c r="B295">
        <v>5</v>
      </c>
      <c r="C295">
        <v>1</v>
      </c>
      <c r="D295">
        <v>353</v>
      </c>
      <c r="G295">
        <v>255</v>
      </c>
      <c r="H295">
        <v>208.69320579923274</v>
      </c>
      <c r="I295">
        <v>-110.69320579923274</v>
      </c>
    </row>
    <row r="296" spans="2:9" x14ac:dyDescent="0.2">
      <c r="B296">
        <v>5</v>
      </c>
      <c r="C296">
        <v>3</v>
      </c>
      <c r="D296">
        <v>372</v>
      </c>
      <c r="G296">
        <v>256</v>
      </c>
      <c r="H296">
        <v>208.69320579923274</v>
      </c>
      <c r="I296">
        <v>-69.693205799232743</v>
      </c>
    </row>
    <row r="297" spans="2:9" x14ac:dyDescent="0.2">
      <c r="G297">
        <v>257</v>
      </c>
      <c r="H297">
        <v>153.80231106273155</v>
      </c>
      <c r="I297">
        <v>56.197688937268452</v>
      </c>
    </row>
    <row r="298" spans="2:9" x14ac:dyDescent="0.2">
      <c r="G298">
        <v>258</v>
      </c>
      <c r="H298">
        <v>153.80231106273155</v>
      </c>
      <c r="I298">
        <v>-72.802311062731548</v>
      </c>
    </row>
    <row r="299" spans="2:9" x14ac:dyDescent="0.2">
      <c r="G299">
        <v>259</v>
      </c>
      <c r="H299">
        <v>321.94943274221157</v>
      </c>
      <c r="I299">
        <v>-75.94943274221157</v>
      </c>
    </row>
    <row r="300" spans="2:9" x14ac:dyDescent="0.2">
      <c r="G300">
        <v>260</v>
      </c>
      <c r="H300">
        <v>38.808865384764616</v>
      </c>
      <c r="I300">
        <v>32.191134615235384</v>
      </c>
    </row>
    <row r="301" spans="2:9" x14ac:dyDescent="0.2">
      <c r="G301">
        <v>261</v>
      </c>
      <c r="H301">
        <v>37.071646649776454</v>
      </c>
      <c r="I301">
        <v>20.928353350223546</v>
      </c>
    </row>
    <row r="302" spans="2:9" x14ac:dyDescent="0.2">
      <c r="G302">
        <v>262</v>
      </c>
      <c r="H302">
        <v>153.80231106273155</v>
      </c>
      <c r="I302">
        <v>-68.802311062731548</v>
      </c>
    </row>
    <row r="303" spans="2:9" x14ac:dyDescent="0.2">
      <c r="G303">
        <v>263</v>
      </c>
      <c r="H303">
        <v>320.21221400722339</v>
      </c>
      <c r="I303">
        <v>22.787785992776605</v>
      </c>
    </row>
    <row r="304" spans="2:9" x14ac:dyDescent="0.2">
      <c r="G304">
        <v>264</v>
      </c>
      <c r="H304">
        <v>37.071646649776454</v>
      </c>
      <c r="I304">
        <v>21.928353350223546</v>
      </c>
    </row>
    <row r="305" spans="7:9" x14ac:dyDescent="0.2">
      <c r="G305">
        <v>265</v>
      </c>
      <c r="H305">
        <v>210.43042453422092</v>
      </c>
      <c r="I305">
        <v>-49.430424534220919</v>
      </c>
    </row>
    <row r="306" spans="7:9" x14ac:dyDescent="0.2">
      <c r="G306">
        <v>266</v>
      </c>
      <c r="H306">
        <v>263.58410053573397</v>
      </c>
      <c r="I306">
        <v>48.415899464266033</v>
      </c>
    </row>
    <row r="307" spans="7:9" x14ac:dyDescent="0.2">
      <c r="G307">
        <v>267</v>
      </c>
      <c r="H307">
        <v>153.80231106273155</v>
      </c>
      <c r="I307">
        <v>47.197688937268452</v>
      </c>
    </row>
    <row r="308" spans="7:9" x14ac:dyDescent="0.2">
      <c r="G308">
        <v>268</v>
      </c>
      <c r="H308">
        <v>153.80231106273155</v>
      </c>
      <c r="I308">
        <v>73.197688937268452</v>
      </c>
    </row>
    <row r="309" spans="7:9" x14ac:dyDescent="0.2">
      <c r="G309">
        <v>269</v>
      </c>
      <c r="H309">
        <v>206.9559870642446</v>
      </c>
      <c r="I309">
        <v>-6.9559870642445958</v>
      </c>
    </row>
    <row r="310" spans="7:9" x14ac:dyDescent="0.2">
      <c r="G310">
        <v>270</v>
      </c>
      <c r="H310">
        <v>95.436978856254001</v>
      </c>
      <c r="I310">
        <v>-35.436978856254001</v>
      </c>
    </row>
    <row r="311" spans="7:9" x14ac:dyDescent="0.2">
      <c r="G311">
        <v>271</v>
      </c>
      <c r="H311">
        <v>263.58410053573397</v>
      </c>
      <c r="I311">
        <v>-22.584100535733967</v>
      </c>
    </row>
    <row r="312" spans="7:9" x14ac:dyDescent="0.2">
      <c r="G312">
        <v>272</v>
      </c>
      <c r="H312">
        <v>321.94943274221157</v>
      </c>
      <c r="I312">
        <v>-35.94943274221157</v>
      </c>
    </row>
    <row r="313" spans="7:9" x14ac:dyDescent="0.2">
      <c r="G313">
        <v>273</v>
      </c>
      <c r="H313">
        <v>153.80231106273155</v>
      </c>
      <c r="I313">
        <v>-106.80231106273155</v>
      </c>
    </row>
    <row r="314" spans="7:9" x14ac:dyDescent="0.2">
      <c r="G314">
        <v>274</v>
      </c>
      <c r="H314">
        <v>97.174197591242162</v>
      </c>
      <c r="I314">
        <v>-36.174197591242162</v>
      </c>
    </row>
    <row r="315" spans="7:9" x14ac:dyDescent="0.2">
      <c r="G315">
        <v>275</v>
      </c>
      <c r="H315">
        <v>210.43042453422092</v>
      </c>
      <c r="I315">
        <v>-39.430424534220919</v>
      </c>
    </row>
    <row r="316" spans="7:9" x14ac:dyDescent="0.2">
      <c r="G316">
        <v>276</v>
      </c>
      <c r="H316">
        <v>153.80231106273155</v>
      </c>
      <c r="I316">
        <v>81.197688937268452</v>
      </c>
    </row>
    <row r="317" spans="7:9" x14ac:dyDescent="0.2">
      <c r="G317">
        <v>277</v>
      </c>
      <c r="H317">
        <v>208.69320579923274</v>
      </c>
      <c r="I317">
        <v>-94.693205799232743</v>
      </c>
    </row>
    <row r="318" spans="7:9" x14ac:dyDescent="0.2">
      <c r="G318">
        <v>278</v>
      </c>
      <c r="H318">
        <v>210.43042453422092</v>
      </c>
      <c r="I318">
        <v>-5.4304245342209185</v>
      </c>
    </row>
    <row r="319" spans="7:9" x14ac:dyDescent="0.2">
      <c r="G319">
        <v>279</v>
      </c>
      <c r="H319">
        <v>152.06509232774337</v>
      </c>
      <c r="I319">
        <v>-45.065092327743372</v>
      </c>
    </row>
    <row r="320" spans="7:9" x14ac:dyDescent="0.2">
      <c r="G320">
        <v>280</v>
      </c>
      <c r="H320">
        <v>208.69320579923274</v>
      </c>
      <c r="I320">
        <v>11.306794200767257</v>
      </c>
    </row>
    <row r="321" spans="7:9" x14ac:dyDescent="0.2">
      <c r="G321">
        <v>281</v>
      </c>
      <c r="H321">
        <v>263.58410053573397</v>
      </c>
      <c r="I321">
        <v>-92.584100535733967</v>
      </c>
    </row>
    <row r="322" spans="7:9" x14ac:dyDescent="0.2">
      <c r="G322">
        <v>282</v>
      </c>
      <c r="H322">
        <v>321.94943274221157</v>
      </c>
      <c r="I322">
        <v>-50.94943274221157</v>
      </c>
    </row>
    <row r="323" spans="7:9" x14ac:dyDescent="0.2">
      <c r="G323">
        <v>283</v>
      </c>
      <c r="H323">
        <v>152.06509232774337</v>
      </c>
      <c r="I323">
        <v>-101.06509232774337</v>
      </c>
    </row>
    <row r="324" spans="7:9" x14ac:dyDescent="0.2">
      <c r="G324">
        <v>284</v>
      </c>
      <c r="H324">
        <v>93.69976012126584</v>
      </c>
      <c r="I324">
        <v>-10.69976012126584</v>
      </c>
    </row>
    <row r="325" spans="7:9" x14ac:dyDescent="0.2">
      <c r="G325">
        <v>285</v>
      </c>
      <c r="H325">
        <v>208.69320579923274</v>
      </c>
      <c r="I325">
        <v>-68.693205799232743</v>
      </c>
    </row>
    <row r="326" spans="7:9" x14ac:dyDescent="0.2">
      <c r="G326">
        <v>286</v>
      </c>
      <c r="H326">
        <v>152.06509232774337</v>
      </c>
      <c r="I326">
        <v>-44.065092327743372</v>
      </c>
    </row>
    <row r="327" spans="7:9" x14ac:dyDescent="0.2">
      <c r="G327">
        <v>287</v>
      </c>
      <c r="H327">
        <v>267.05853800571026</v>
      </c>
      <c r="I327">
        <v>128.94146199428974</v>
      </c>
    </row>
    <row r="328" spans="7:9" x14ac:dyDescent="0.2">
      <c r="G328">
        <v>288</v>
      </c>
      <c r="H328">
        <v>380.31476494868906</v>
      </c>
      <c r="I328">
        <v>6.68523505131094</v>
      </c>
    </row>
    <row r="329" spans="7:9" x14ac:dyDescent="0.2">
      <c r="G329">
        <v>289</v>
      </c>
      <c r="H329">
        <v>210.43042453422092</v>
      </c>
      <c r="I329">
        <v>23.569575465779081</v>
      </c>
    </row>
    <row r="330" spans="7:9" x14ac:dyDescent="0.2">
      <c r="G330">
        <v>290</v>
      </c>
      <c r="H330">
        <v>152.06509232774337</v>
      </c>
      <c r="I330">
        <v>-19.065092327743372</v>
      </c>
    </row>
    <row r="331" spans="7:9" x14ac:dyDescent="0.2">
      <c r="G331">
        <v>291</v>
      </c>
      <c r="H331">
        <v>321.94943274221157</v>
      </c>
      <c r="I331">
        <v>-53.94943274221157</v>
      </c>
    </row>
    <row r="332" spans="7:9" x14ac:dyDescent="0.2">
      <c r="G332">
        <v>292</v>
      </c>
      <c r="H332">
        <v>153.80231106273155</v>
      </c>
      <c r="I332">
        <v>33.197688937268452</v>
      </c>
    </row>
    <row r="333" spans="7:9" x14ac:dyDescent="0.2">
      <c r="G333">
        <v>293</v>
      </c>
      <c r="H333">
        <v>95.436978856254001</v>
      </c>
      <c r="I333">
        <v>53.563021143745999</v>
      </c>
    </row>
    <row r="334" spans="7:9" x14ac:dyDescent="0.2">
      <c r="G334">
        <v>294</v>
      </c>
      <c r="H334">
        <v>323.68665147719969</v>
      </c>
      <c r="I334">
        <v>29.313348522800311</v>
      </c>
    </row>
    <row r="335" spans="7:9" ht="16" thickBot="1" x14ac:dyDescent="0.25">
      <c r="G335" s="7">
        <v>295</v>
      </c>
      <c r="H335" s="7">
        <v>320.21221400722339</v>
      </c>
      <c r="I335" s="7">
        <v>51.787785992776605</v>
      </c>
    </row>
    <row r="345" spans="19:21" ht="16" thickBot="1" x14ac:dyDescent="0.25">
      <c r="S345" s="7"/>
      <c r="T345" s="7"/>
      <c r="U345" s="7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71243-C899-4B22-845B-7C6CF66D4A08}">
  <sheetPr>
    <tabColor theme="6" tint="0.39997558519241921"/>
  </sheetPr>
  <dimension ref="A1:G75"/>
  <sheetViews>
    <sheetView zoomScale="130" workbookViewId="0">
      <selection activeCell="D7" sqref="D7"/>
    </sheetView>
  </sheetViews>
  <sheetFormatPr baseColWidth="10" defaultColWidth="8.83203125" defaultRowHeight="15" x14ac:dyDescent="0.2"/>
  <cols>
    <col min="1" max="1" width="14.33203125" bestFit="1" customWidth="1"/>
    <col min="2" max="2" width="9.1640625" bestFit="1" customWidth="1"/>
    <col min="4" max="4" width="28.5" customWidth="1"/>
    <col min="5" max="5" width="21.6640625" customWidth="1"/>
    <col min="6" max="6" width="17.6640625" bestFit="1" customWidth="1"/>
  </cols>
  <sheetData>
    <row r="1" spans="1:7" x14ac:dyDescent="0.2">
      <c r="A1" t="s">
        <v>158</v>
      </c>
      <c r="B1" t="s">
        <v>159</v>
      </c>
    </row>
    <row r="2" spans="1:7" x14ac:dyDescent="0.2">
      <c r="A2">
        <v>2085921</v>
      </c>
      <c r="B2">
        <v>1226492</v>
      </c>
    </row>
    <row r="3" spans="1:7" x14ac:dyDescent="0.2">
      <c r="A3">
        <v>1484200</v>
      </c>
      <c r="B3">
        <v>2630926</v>
      </c>
    </row>
    <row r="4" spans="1:7" ht="16" x14ac:dyDescent="0.2">
      <c r="A4">
        <v>2518595</v>
      </c>
      <c r="B4">
        <v>1715874</v>
      </c>
      <c r="D4" s="28"/>
      <c r="E4" s="28"/>
      <c r="F4" s="28"/>
    </row>
    <row r="5" spans="1:7" ht="16" x14ac:dyDescent="0.2">
      <c r="A5">
        <v>2729157</v>
      </c>
      <c r="B5">
        <v>2391665</v>
      </c>
      <c r="C5" s="41"/>
      <c r="D5" s="60" t="s">
        <v>160</v>
      </c>
      <c r="E5" s="65"/>
      <c r="F5" s="49"/>
      <c r="G5" s="32"/>
    </row>
    <row r="6" spans="1:7" ht="16" x14ac:dyDescent="0.2">
      <c r="A6">
        <v>2340435</v>
      </c>
      <c r="B6">
        <v>1752561</v>
      </c>
      <c r="C6" s="42"/>
      <c r="D6" s="63"/>
      <c r="E6" s="64"/>
      <c r="F6" s="64"/>
      <c r="G6" s="32"/>
    </row>
    <row r="7" spans="1:7" ht="16" x14ac:dyDescent="0.2">
      <c r="A7">
        <v>530849</v>
      </c>
      <c r="B7">
        <v>679961</v>
      </c>
      <c r="C7" s="61"/>
      <c r="D7" s="13"/>
      <c r="E7" s="25" t="s">
        <v>158</v>
      </c>
      <c r="F7" s="26" t="s">
        <v>159</v>
      </c>
      <c r="G7" s="44"/>
    </row>
    <row r="8" spans="1:7" ht="16" x14ac:dyDescent="0.2">
      <c r="A8">
        <v>912151</v>
      </c>
      <c r="B8">
        <v>885651</v>
      </c>
      <c r="C8" s="62"/>
      <c r="D8" s="15" t="s">
        <v>118</v>
      </c>
      <c r="E8" s="19">
        <v>1578217.9275362319</v>
      </c>
      <c r="F8" s="57">
        <v>1718257.0675675676</v>
      </c>
      <c r="G8" s="45"/>
    </row>
    <row r="9" spans="1:7" ht="16" x14ac:dyDescent="0.2">
      <c r="A9">
        <v>2358256</v>
      </c>
      <c r="B9">
        <v>2518011</v>
      </c>
      <c r="C9" s="61"/>
      <c r="D9" s="15" t="s">
        <v>122</v>
      </c>
      <c r="E9" s="19">
        <v>531747690531.24493</v>
      </c>
      <c r="F9" s="57">
        <v>549738184666.52997</v>
      </c>
      <c r="G9" s="44"/>
    </row>
    <row r="10" spans="1:7" ht="16" x14ac:dyDescent="0.2">
      <c r="A10">
        <v>1308029</v>
      </c>
      <c r="B10">
        <v>568454</v>
      </c>
      <c r="C10" s="62"/>
      <c r="D10" s="15" t="s">
        <v>135</v>
      </c>
      <c r="E10" s="58">
        <v>69</v>
      </c>
      <c r="F10" s="59">
        <v>74</v>
      </c>
      <c r="G10" s="45"/>
    </row>
    <row r="11" spans="1:7" ht="16" x14ac:dyDescent="0.2">
      <c r="A11">
        <v>533729</v>
      </c>
      <c r="B11">
        <v>1388611</v>
      </c>
      <c r="C11" s="62"/>
      <c r="D11" s="15" t="s">
        <v>165</v>
      </c>
      <c r="E11" s="58">
        <v>0</v>
      </c>
      <c r="F11" s="57"/>
      <c r="G11" s="45"/>
    </row>
    <row r="12" spans="1:7" ht="16" x14ac:dyDescent="0.2">
      <c r="A12">
        <v>665192</v>
      </c>
      <c r="B12">
        <v>2043730</v>
      </c>
      <c r="C12" s="62"/>
      <c r="D12" s="15" t="s">
        <v>141</v>
      </c>
      <c r="E12" s="58">
        <v>141</v>
      </c>
      <c r="F12" s="57"/>
      <c r="G12" s="45"/>
    </row>
    <row r="13" spans="1:7" ht="16" x14ac:dyDescent="0.2">
      <c r="A13">
        <v>1041720</v>
      </c>
      <c r="B13">
        <v>1114283</v>
      </c>
      <c r="C13" s="62"/>
      <c r="D13" s="15" t="s">
        <v>147</v>
      </c>
      <c r="E13" s="19">
        <v>-1.1382895070237138</v>
      </c>
      <c r="F13" s="57"/>
      <c r="G13" s="45"/>
    </row>
    <row r="14" spans="1:7" ht="16" x14ac:dyDescent="0.2">
      <c r="A14">
        <v>2170715</v>
      </c>
      <c r="B14">
        <v>2596536</v>
      </c>
      <c r="C14" s="62"/>
      <c r="D14" s="15" t="s">
        <v>161</v>
      </c>
      <c r="E14" s="19">
        <v>0.12846500784219145</v>
      </c>
      <c r="F14" s="57"/>
      <c r="G14" s="45"/>
    </row>
    <row r="15" spans="1:7" ht="16" x14ac:dyDescent="0.2">
      <c r="A15">
        <v>1573906</v>
      </c>
      <c r="B15">
        <v>1912787</v>
      </c>
      <c r="C15" s="61"/>
      <c r="D15" s="17" t="s">
        <v>162</v>
      </c>
      <c r="E15" s="23">
        <v>1.6557322872968145</v>
      </c>
      <c r="F15" s="56"/>
      <c r="G15" s="45"/>
    </row>
    <row r="16" spans="1:7" ht="16" x14ac:dyDescent="0.2">
      <c r="A16">
        <v>1468035</v>
      </c>
      <c r="B16">
        <v>2727723</v>
      </c>
      <c r="C16" s="61"/>
      <c r="D16" s="15" t="s">
        <v>163</v>
      </c>
      <c r="E16" s="19">
        <v>0.2569300156843829</v>
      </c>
      <c r="F16" s="57"/>
      <c r="G16" s="45"/>
    </row>
    <row r="17" spans="1:7" ht="16" x14ac:dyDescent="0.2">
      <c r="A17">
        <v>2402702</v>
      </c>
      <c r="B17">
        <v>2475314</v>
      </c>
      <c r="C17" s="62"/>
      <c r="D17" s="17" t="s">
        <v>164</v>
      </c>
      <c r="E17" s="23">
        <v>1.9769314886342577</v>
      </c>
      <c r="F17" s="56"/>
      <c r="G17" s="45"/>
    </row>
    <row r="18" spans="1:7" x14ac:dyDescent="0.2">
      <c r="A18">
        <v>1396903</v>
      </c>
      <c r="B18">
        <v>1746840</v>
      </c>
      <c r="C18" s="36"/>
      <c r="D18" s="50"/>
      <c r="E18" s="51"/>
      <c r="F18" s="51"/>
      <c r="G18" s="34"/>
    </row>
    <row r="19" spans="1:7" x14ac:dyDescent="0.2">
      <c r="A19">
        <v>1722194</v>
      </c>
      <c r="B19">
        <v>626405</v>
      </c>
    </row>
    <row r="20" spans="1:7" x14ac:dyDescent="0.2">
      <c r="A20">
        <v>2748095</v>
      </c>
      <c r="B20">
        <v>2626318</v>
      </c>
    </row>
    <row r="21" spans="1:7" x14ac:dyDescent="0.2">
      <c r="A21">
        <v>2284048</v>
      </c>
      <c r="B21">
        <v>2685724</v>
      </c>
    </row>
    <row r="22" spans="1:7" x14ac:dyDescent="0.2">
      <c r="A22">
        <v>1358231</v>
      </c>
      <c r="B22">
        <v>638495</v>
      </c>
    </row>
    <row r="23" spans="1:7" x14ac:dyDescent="0.2">
      <c r="A23">
        <v>1301498</v>
      </c>
      <c r="B23">
        <v>2983596</v>
      </c>
    </row>
    <row r="24" spans="1:7" x14ac:dyDescent="0.2">
      <c r="A24">
        <v>2117875</v>
      </c>
      <c r="B24">
        <v>1755361</v>
      </c>
    </row>
    <row r="25" spans="1:7" x14ac:dyDescent="0.2">
      <c r="A25">
        <v>879288</v>
      </c>
      <c r="B25">
        <v>2541458</v>
      </c>
    </row>
    <row r="26" spans="1:7" x14ac:dyDescent="0.2">
      <c r="A26">
        <v>1234229</v>
      </c>
      <c r="B26">
        <v>713648</v>
      </c>
    </row>
    <row r="27" spans="1:7" x14ac:dyDescent="0.2">
      <c r="A27">
        <v>821330</v>
      </c>
      <c r="B27">
        <v>834664</v>
      </c>
    </row>
    <row r="28" spans="1:7" x14ac:dyDescent="0.2">
      <c r="A28">
        <v>2677009</v>
      </c>
      <c r="B28">
        <v>2459040</v>
      </c>
    </row>
    <row r="29" spans="1:7" x14ac:dyDescent="0.2">
      <c r="A29">
        <v>2495977</v>
      </c>
      <c r="B29">
        <v>2381021</v>
      </c>
    </row>
    <row r="30" spans="1:7" x14ac:dyDescent="0.2">
      <c r="A30">
        <v>1397786</v>
      </c>
      <c r="B30">
        <v>2783962</v>
      </c>
    </row>
    <row r="31" spans="1:7" x14ac:dyDescent="0.2">
      <c r="A31">
        <v>752101</v>
      </c>
      <c r="B31">
        <v>2722791</v>
      </c>
    </row>
    <row r="32" spans="1:7" x14ac:dyDescent="0.2">
      <c r="A32">
        <v>817935</v>
      </c>
      <c r="B32">
        <v>2925161</v>
      </c>
    </row>
    <row r="33" spans="1:2" x14ac:dyDescent="0.2">
      <c r="A33">
        <v>1748043</v>
      </c>
      <c r="B33">
        <v>2371277</v>
      </c>
    </row>
    <row r="34" spans="1:2" x14ac:dyDescent="0.2">
      <c r="A34">
        <v>2861761</v>
      </c>
      <c r="B34">
        <v>1369360</v>
      </c>
    </row>
    <row r="35" spans="1:2" x14ac:dyDescent="0.2">
      <c r="A35">
        <v>2260335</v>
      </c>
      <c r="B35">
        <v>1158395</v>
      </c>
    </row>
    <row r="36" spans="1:2" x14ac:dyDescent="0.2">
      <c r="A36">
        <v>1041941</v>
      </c>
      <c r="B36">
        <v>2121859</v>
      </c>
    </row>
    <row r="37" spans="1:2" x14ac:dyDescent="0.2">
      <c r="A37">
        <v>1697146</v>
      </c>
      <c r="B37">
        <v>1777008</v>
      </c>
    </row>
    <row r="38" spans="1:2" x14ac:dyDescent="0.2">
      <c r="A38">
        <v>1126904</v>
      </c>
      <c r="B38">
        <v>1682397</v>
      </c>
    </row>
    <row r="39" spans="1:2" x14ac:dyDescent="0.2">
      <c r="A39">
        <v>766730</v>
      </c>
      <c r="B39">
        <v>1466220</v>
      </c>
    </row>
    <row r="40" spans="1:2" x14ac:dyDescent="0.2">
      <c r="A40">
        <v>462412</v>
      </c>
      <c r="B40">
        <v>1606604</v>
      </c>
    </row>
    <row r="41" spans="1:2" x14ac:dyDescent="0.2">
      <c r="A41">
        <v>1526099</v>
      </c>
      <c r="B41">
        <v>686700</v>
      </c>
    </row>
    <row r="42" spans="1:2" x14ac:dyDescent="0.2">
      <c r="A42">
        <v>838292</v>
      </c>
      <c r="B42">
        <v>457197</v>
      </c>
    </row>
    <row r="43" spans="1:2" x14ac:dyDescent="0.2">
      <c r="A43">
        <v>1513624</v>
      </c>
      <c r="B43">
        <v>1006014</v>
      </c>
    </row>
    <row r="44" spans="1:2" x14ac:dyDescent="0.2">
      <c r="A44">
        <v>2504956</v>
      </c>
      <c r="B44">
        <v>2036735</v>
      </c>
    </row>
    <row r="45" spans="1:2" x14ac:dyDescent="0.2">
      <c r="A45">
        <v>944979</v>
      </c>
      <c r="B45">
        <v>1077045</v>
      </c>
    </row>
    <row r="46" spans="1:2" x14ac:dyDescent="0.2">
      <c r="A46">
        <v>1871325</v>
      </c>
      <c r="B46">
        <v>1404350</v>
      </c>
    </row>
    <row r="47" spans="1:2" x14ac:dyDescent="0.2">
      <c r="A47">
        <v>676095</v>
      </c>
      <c r="B47">
        <v>1819559</v>
      </c>
    </row>
    <row r="48" spans="1:2" x14ac:dyDescent="0.2">
      <c r="A48">
        <v>1776235</v>
      </c>
      <c r="B48">
        <v>882400</v>
      </c>
    </row>
    <row r="49" spans="1:2" x14ac:dyDescent="0.2">
      <c r="A49">
        <v>848715</v>
      </c>
      <c r="B49">
        <v>855772</v>
      </c>
    </row>
    <row r="50" spans="1:2" x14ac:dyDescent="0.2">
      <c r="A50">
        <v>1974320</v>
      </c>
      <c r="B50">
        <v>1278005</v>
      </c>
    </row>
    <row r="51" spans="1:2" x14ac:dyDescent="0.2">
      <c r="A51">
        <v>857448</v>
      </c>
      <c r="B51">
        <v>2930608</v>
      </c>
    </row>
    <row r="52" spans="1:2" x14ac:dyDescent="0.2">
      <c r="A52">
        <v>1541902</v>
      </c>
      <c r="B52">
        <v>908420</v>
      </c>
    </row>
    <row r="53" spans="1:2" x14ac:dyDescent="0.2">
      <c r="A53">
        <v>1839764</v>
      </c>
      <c r="B53">
        <v>1178340</v>
      </c>
    </row>
    <row r="54" spans="1:2" x14ac:dyDescent="0.2">
      <c r="A54">
        <v>1514593</v>
      </c>
      <c r="B54">
        <v>1569949</v>
      </c>
    </row>
    <row r="55" spans="1:2" x14ac:dyDescent="0.2">
      <c r="A55">
        <v>436359</v>
      </c>
      <c r="B55">
        <v>1000995</v>
      </c>
    </row>
    <row r="56" spans="1:2" x14ac:dyDescent="0.2">
      <c r="A56">
        <v>2939794</v>
      </c>
      <c r="B56">
        <v>2762218</v>
      </c>
    </row>
    <row r="57" spans="1:2" x14ac:dyDescent="0.2">
      <c r="A57">
        <v>2873122</v>
      </c>
      <c r="B57">
        <v>2958640</v>
      </c>
    </row>
    <row r="58" spans="1:2" x14ac:dyDescent="0.2">
      <c r="A58">
        <v>2928592</v>
      </c>
      <c r="B58">
        <v>2103217</v>
      </c>
    </row>
    <row r="59" spans="1:2" x14ac:dyDescent="0.2">
      <c r="A59">
        <v>2941339</v>
      </c>
      <c r="B59">
        <v>969289</v>
      </c>
    </row>
    <row r="60" spans="1:2" x14ac:dyDescent="0.2">
      <c r="A60">
        <v>1502429</v>
      </c>
      <c r="B60">
        <v>738005</v>
      </c>
    </row>
    <row r="61" spans="1:2" x14ac:dyDescent="0.2">
      <c r="A61">
        <v>1024036</v>
      </c>
      <c r="B61">
        <v>1293665</v>
      </c>
    </row>
    <row r="62" spans="1:2" x14ac:dyDescent="0.2">
      <c r="A62">
        <v>1186652</v>
      </c>
      <c r="B62">
        <v>1218717</v>
      </c>
    </row>
    <row r="63" spans="1:2" x14ac:dyDescent="0.2">
      <c r="A63">
        <v>1067485</v>
      </c>
      <c r="B63">
        <v>1810657</v>
      </c>
    </row>
    <row r="64" spans="1:2" x14ac:dyDescent="0.2">
      <c r="A64">
        <v>1423367</v>
      </c>
      <c r="B64">
        <v>1153631</v>
      </c>
    </row>
    <row r="65" spans="1:2" x14ac:dyDescent="0.2">
      <c r="A65">
        <v>753320</v>
      </c>
      <c r="B65">
        <v>2542351</v>
      </c>
    </row>
    <row r="66" spans="1:2" x14ac:dyDescent="0.2">
      <c r="A66">
        <v>1625109</v>
      </c>
      <c r="B66">
        <v>1924012</v>
      </c>
    </row>
    <row r="67" spans="1:2" x14ac:dyDescent="0.2">
      <c r="A67">
        <v>1674285</v>
      </c>
      <c r="B67">
        <v>1652030</v>
      </c>
    </row>
    <row r="68" spans="1:2" x14ac:dyDescent="0.2">
      <c r="A68">
        <v>954316</v>
      </c>
      <c r="B68">
        <v>2282680</v>
      </c>
    </row>
    <row r="69" spans="1:2" x14ac:dyDescent="0.2">
      <c r="A69">
        <v>2578474</v>
      </c>
      <c r="B69">
        <v>2967698</v>
      </c>
    </row>
    <row r="70" spans="1:2" x14ac:dyDescent="0.2">
      <c r="A70">
        <v>666648</v>
      </c>
      <c r="B70">
        <v>1727663</v>
      </c>
    </row>
    <row r="71" spans="1:2" x14ac:dyDescent="0.2">
      <c r="B71">
        <v>837794</v>
      </c>
    </row>
    <row r="72" spans="1:2" x14ac:dyDescent="0.2">
      <c r="B72">
        <v>1776972</v>
      </c>
    </row>
    <row r="73" spans="1:2" x14ac:dyDescent="0.2">
      <c r="B73">
        <v>2442992</v>
      </c>
    </row>
    <row r="74" spans="1:2" x14ac:dyDescent="0.2">
      <c r="B74">
        <v>1079105</v>
      </c>
    </row>
    <row r="75" spans="1:2" x14ac:dyDescent="0.2">
      <c r="B75">
        <v>1211415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639C5-26EE-411D-BCC1-67E87C1F17C5}">
  <sheetPr>
    <tabColor theme="6" tint="0.39997558519241921"/>
  </sheetPr>
  <dimension ref="A1:P90"/>
  <sheetViews>
    <sheetView zoomScale="74" workbookViewId="0">
      <selection activeCell="P9" sqref="P9"/>
    </sheetView>
  </sheetViews>
  <sheetFormatPr baseColWidth="10" defaultColWidth="8.83203125" defaultRowHeight="15" x14ac:dyDescent="0.2"/>
  <cols>
    <col min="1" max="1" width="15" bestFit="1" customWidth="1"/>
    <col min="2" max="2" width="15.6640625" bestFit="1" customWidth="1"/>
    <col min="3" max="3" width="11.5" bestFit="1" customWidth="1"/>
    <col min="4" max="4" width="10" bestFit="1" customWidth="1"/>
    <col min="7" max="7" width="17.6640625" bestFit="1" customWidth="1"/>
    <col min="8" max="8" width="19.6640625" bestFit="1" customWidth="1"/>
    <col min="9" max="9" width="11.1640625" bestFit="1" customWidth="1"/>
    <col min="10" max="11" width="17.6640625" bestFit="1" customWidth="1"/>
    <col min="12" max="13" width="9.1640625" bestFit="1" customWidth="1"/>
    <col min="16" max="16" width="12.33203125" bestFit="1" customWidth="1"/>
  </cols>
  <sheetData>
    <row r="1" spans="1:16" x14ac:dyDescent="0.2">
      <c r="A1" t="s">
        <v>166</v>
      </c>
      <c r="B1" t="s">
        <v>167</v>
      </c>
      <c r="C1" t="s">
        <v>168</v>
      </c>
      <c r="D1" t="s">
        <v>169</v>
      </c>
    </row>
    <row r="2" spans="1:16" x14ac:dyDescent="0.2">
      <c r="A2">
        <v>2085921</v>
      </c>
      <c r="B2">
        <v>538096</v>
      </c>
      <c r="C2">
        <v>1226492</v>
      </c>
      <c r="D2">
        <v>1256488</v>
      </c>
    </row>
    <row r="3" spans="1:16" x14ac:dyDescent="0.2">
      <c r="A3">
        <v>1484200</v>
      </c>
      <c r="B3">
        <v>2488052</v>
      </c>
      <c r="C3">
        <v>2630926</v>
      </c>
      <c r="D3">
        <v>517794</v>
      </c>
    </row>
    <row r="4" spans="1:16" x14ac:dyDescent="0.2">
      <c r="A4">
        <v>2518595</v>
      </c>
      <c r="B4">
        <v>1778980</v>
      </c>
      <c r="C4">
        <v>1715874</v>
      </c>
      <c r="D4">
        <v>551879</v>
      </c>
    </row>
    <row r="5" spans="1:16" x14ac:dyDescent="0.2">
      <c r="A5">
        <v>2729157</v>
      </c>
      <c r="B5">
        <v>2162008</v>
      </c>
      <c r="C5">
        <v>2391665</v>
      </c>
      <c r="D5">
        <v>1185465</v>
      </c>
    </row>
    <row r="6" spans="1:16" x14ac:dyDescent="0.2">
      <c r="A6">
        <v>2340435</v>
      </c>
      <c r="B6">
        <v>567597</v>
      </c>
      <c r="C6">
        <v>1752561</v>
      </c>
      <c r="D6">
        <v>1729801</v>
      </c>
      <c r="F6" s="31"/>
      <c r="G6" s="41"/>
      <c r="H6" s="41"/>
      <c r="I6" s="41"/>
      <c r="J6" s="41"/>
      <c r="K6" s="41"/>
      <c r="L6" s="41"/>
      <c r="M6" s="41"/>
      <c r="N6" s="32"/>
    </row>
    <row r="7" spans="1:16" ht="16" x14ac:dyDescent="0.2">
      <c r="A7">
        <v>530849</v>
      </c>
      <c r="B7">
        <v>556626</v>
      </c>
      <c r="C7">
        <v>679961</v>
      </c>
      <c r="D7">
        <v>2966416</v>
      </c>
      <c r="F7" s="33"/>
      <c r="G7" s="55" t="s">
        <v>177</v>
      </c>
      <c r="H7" s="64"/>
      <c r="I7" s="64"/>
      <c r="J7" s="75"/>
      <c r="K7" s="64"/>
      <c r="L7" s="74"/>
      <c r="M7" s="74"/>
      <c r="N7" s="32"/>
    </row>
    <row r="8" spans="1:16" ht="16" x14ac:dyDescent="0.2">
      <c r="A8">
        <v>912151</v>
      </c>
      <c r="B8">
        <v>2124077</v>
      </c>
      <c r="C8">
        <v>885651</v>
      </c>
      <c r="D8">
        <v>765646</v>
      </c>
      <c r="F8" s="47"/>
      <c r="G8" s="26" t="s">
        <v>170</v>
      </c>
      <c r="H8" s="25" t="s">
        <v>171</v>
      </c>
      <c r="I8" s="25" t="s">
        <v>172</v>
      </c>
      <c r="J8" s="25" t="s">
        <v>30</v>
      </c>
      <c r="K8" s="25" t="s">
        <v>122</v>
      </c>
      <c r="L8" s="76"/>
      <c r="M8" s="74"/>
      <c r="N8" s="34"/>
    </row>
    <row r="9" spans="1:16" ht="16" x14ac:dyDescent="0.2">
      <c r="A9">
        <v>2358256</v>
      </c>
      <c r="B9">
        <v>1562336</v>
      </c>
      <c r="C9">
        <v>2518011</v>
      </c>
      <c r="D9">
        <v>2413424</v>
      </c>
      <c r="F9" s="47"/>
      <c r="G9" s="15" t="s">
        <v>166</v>
      </c>
      <c r="H9" s="15">
        <v>69</v>
      </c>
      <c r="I9" s="15">
        <v>108897037</v>
      </c>
      <c r="J9" s="19">
        <v>1578217.9275362319</v>
      </c>
      <c r="K9" s="15" t="str">
        <f>TEXT(P9, "0.00")</f>
        <v>531747690531.25</v>
      </c>
      <c r="L9" s="76"/>
      <c r="M9" s="74"/>
      <c r="N9" s="32"/>
      <c r="P9">
        <v>531747690531.24493</v>
      </c>
    </row>
    <row r="10" spans="1:16" ht="16" x14ac:dyDescent="0.2">
      <c r="A10">
        <v>1308029</v>
      </c>
      <c r="B10">
        <v>580179</v>
      </c>
      <c r="C10">
        <v>568454</v>
      </c>
      <c r="D10">
        <v>2596099</v>
      </c>
      <c r="F10" s="47"/>
      <c r="G10" s="15" t="s">
        <v>167</v>
      </c>
      <c r="H10" s="15">
        <v>79</v>
      </c>
      <c r="I10" s="15">
        <v>129167881</v>
      </c>
      <c r="J10" s="19">
        <v>1635036.4683544303</v>
      </c>
      <c r="K10" s="15" t="str">
        <f t="shared" ref="K10:K12" si="0">TEXT(P10, "0.00")</f>
        <v>503272132484.77</v>
      </c>
      <c r="L10" s="76"/>
      <c r="M10" s="65"/>
      <c r="N10" s="32"/>
      <c r="P10">
        <v>503272132484.7652</v>
      </c>
    </row>
    <row r="11" spans="1:16" ht="16" x14ac:dyDescent="0.2">
      <c r="A11">
        <v>533729</v>
      </c>
      <c r="B11">
        <v>987676</v>
      </c>
      <c r="C11">
        <v>1388611</v>
      </c>
      <c r="D11">
        <v>1272387</v>
      </c>
      <c r="F11" s="47"/>
      <c r="G11" s="15" t="s">
        <v>168</v>
      </c>
      <c r="H11" s="15">
        <v>74</v>
      </c>
      <c r="I11" s="15">
        <v>127151023</v>
      </c>
      <c r="J11" s="19">
        <v>1718257.0675675676</v>
      </c>
      <c r="K11" s="15" t="str">
        <f t="shared" si="0"/>
        <v>549738184666.53</v>
      </c>
      <c r="L11" s="76"/>
      <c r="M11" s="49"/>
      <c r="N11" s="32"/>
      <c r="P11">
        <v>549738184666.52997</v>
      </c>
    </row>
    <row r="12" spans="1:16" ht="16" x14ac:dyDescent="0.2">
      <c r="A12">
        <v>665192</v>
      </c>
      <c r="B12">
        <v>2755253</v>
      </c>
      <c r="C12">
        <v>2043730</v>
      </c>
      <c r="D12">
        <v>1528674</v>
      </c>
      <c r="F12" s="47"/>
      <c r="G12" s="66" t="s">
        <v>169</v>
      </c>
      <c r="H12" s="17">
        <v>73</v>
      </c>
      <c r="I12" s="17">
        <v>120547910</v>
      </c>
      <c r="J12" s="23">
        <v>1651341.2328767122</v>
      </c>
      <c r="K12" s="17" t="str">
        <f t="shared" si="0"/>
        <v>525426147639.65</v>
      </c>
      <c r="L12" s="76"/>
      <c r="M12" s="74"/>
      <c r="N12" s="34"/>
      <c r="P12">
        <v>525426147639.6532</v>
      </c>
    </row>
    <row r="13" spans="1:16" ht="16" x14ac:dyDescent="0.2">
      <c r="A13">
        <v>1041720</v>
      </c>
      <c r="B13">
        <v>1340353</v>
      </c>
      <c r="C13">
        <v>1114283</v>
      </c>
      <c r="D13">
        <v>2623285</v>
      </c>
      <c r="F13" s="31"/>
      <c r="G13" s="73"/>
      <c r="H13" s="71"/>
      <c r="I13" s="71"/>
      <c r="J13" s="71"/>
      <c r="K13" s="71"/>
      <c r="L13" s="65"/>
      <c r="M13" s="49"/>
      <c r="N13" s="32"/>
    </row>
    <row r="14" spans="1:16" ht="16" x14ac:dyDescent="0.2">
      <c r="A14">
        <v>2170715</v>
      </c>
      <c r="B14">
        <v>2746789</v>
      </c>
      <c r="C14">
        <v>2596536</v>
      </c>
      <c r="D14">
        <v>1999873</v>
      </c>
      <c r="F14" s="33"/>
      <c r="G14" s="65"/>
      <c r="H14" s="74"/>
      <c r="I14" s="74"/>
      <c r="J14" s="74"/>
      <c r="K14" s="74"/>
      <c r="L14" s="74"/>
      <c r="M14" s="74"/>
      <c r="N14" s="32"/>
    </row>
    <row r="15" spans="1:16" ht="16" x14ac:dyDescent="0.2">
      <c r="A15">
        <v>1573906</v>
      </c>
      <c r="B15">
        <v>1152022</v>
      </c>
      <c r="C15">
        <v>1912787</v>
      </c>
      <c r="D15">
        <v>1829169</v>
      </c>
      <c r="F15" s="33"/>
      <c r="G15" s="89" t="s">
        <v>136</v>
      </c>
      <c r="H15" s="85"/>
      <c r="I15" s="64"/>
      <c r="J15" s="64"/>
      <c r="K15" s="64"/>
      <c r="L15" s="64"/>
      <c r="M15" s="64"/>
      <c r="N15" s="32"/>
    </row>
    <row r="16" spans="1:16" ht="16" x14ac:dyDescent="0.2">
      <c r="A16">
        <v>1468035</v>
      </c>
      <c r="B16">
        <v>1224555</v>
      </c>
      <c r="C16">
        <v>2727723</v>
      </c>
      <c r="D16">
        <v>1993191</v>
      </c>
      <c r="F16" s="77"/>
      <c r="G16" s="86" t="s">
        <v>173</v>
      </c>
      <c r="H16" s="87" t="s">
        <v>142</v>
      </c>
      <c r="I16" s="86" t="s">
        <v>141</v>
      </c>
      <c r="J16" s="86" t="s">
        <v>143</v>
      </c>
      <c r="K16" s="88" t="s">
        <v>144</v>
      </c>
      <c r="L16" s="86" t="s">
        <v>148</v>
      </c>
      <c r="M16" s="86" t="s">
        <v>174</v>
      </c>
      <c r="N16" s="32"/>
    </row>
    <row r="17" spans="1:14" ht="16" x14ac:dyDescent="0.2">
      <c r="A17">
        <v>2402702</v>
      </c>
      <c r="B17">
        <v>1609946</v>
      </c>
      <c r="C17">
        <v>2475314</v>
      </c>
      <c r="D17">
        <v>1709116</v>
      </c>
      <c r="F17" s="77"/>
      <c r="G17" s="80" t="s">
        <v>175</v>
      </c>
      <c r="H17" s="78" t="str">
        <f>TEXT(714825386585.594, "0.00")</f>
        <v>714825386585.59</v>
      </c>
      <c r="I17" s="80">
        <v>3</v>
      </c>
      <c r="J17" s="80" t="str">
        <f>TEXT(238275128861.865, "0.00")</f>
        <v>238275128861.87</v>
      </c>
      <c r="K17" s="82">
        <v>0.45208002241919026</v>
      </c>
      <c r="L17" s="84">
        <v>0.71601931925221973</v>
      </c>
      <c r="M17" s="84">
        <v>2.6356287517248038</v>
      </c>
      <c r="N17" s="32"/>
    </row>
    <row r="18" spans="1:14" ht="16" x14ac:dyDescent="0.2">
      <c r="A18">
        <v>1396903</v>
      </c>
      <c r="B18">
        <v>1305593</v>
      </c>
      <c r="C18">
        <v>1746840</v>
      </c>
      <c r="D18">
        <v>1543508</v>
      </c>
      <c r="F18" s="77"/>
      <c r="G18" s="78" t="s">
        <v>176</v>
      </c>
      <c r="H18" s="78" t="str">
        <f>TEXT(153375639400648, "0")</f>
        <v>153375639400648</v>
      </c>
      <c r="I18" s="78">
        <v>291</v>
      </c>
      <c r="J18" s="78" t="str">
        <f>TEXT(527064052923.189, "0.00")</f>
        <v>527064052923.19</v>
      </c>
      <c r="K18" s="78"/>
      <c r="L18" s="81"/>
      <c r="M18" s="78"/>
      <c r="N18" s="32"/>
    </row>
    <row r="19" spans="1:14" ht="16" x14ac:dyDescent="0.2">
      <c r="A19">
        <v>1722194</v>
      </c>
      <c r="B19">
        <v>2614176</v>
      </c>
      <c r="C19">
        <v>626405</v>
      </c>
      <c r="D19">
        <v>2807269</v>
      </c>
      <c r="F19" s="77"/>
      <c r="G19" s="79" t="s">
        <v>139</v>
      </c>
      <c r="H19" s="79" t="str">
        <f>TEXT(154090464787234, "0")</f>
        <v>154090464787234</v>
      </c>
      <c r="I19" s="81">
        <v>294</v>
      </c>
      <c r="J19" s="79"/>
      <c r="K19" s="79"/>
      <c r="L19" s="83"/>
      <c r="M19" s="79"/>
      <c r="N19" s="32"/>
    </row>
    <row r="20" spans="1:14" ht="16" x14ac:dyDescent="0.2">
      <c r="A20">
        <v>2748095</v>
      </c>
      <c r="B20">
        <v>1285009</v>
      </c>
      <c r="C20">
        <v>2626318</v>
      </c>
      <c r="D20">
        <v>2368590</v>
      </c>
      <c r="F20" s="33"/>
      <c r="G20" s="69"/>
      <c r="H20" s="70"/>
      <c r="I20" s="41"/>
      <c r="J20" s="71"/>
      <c r="K20" s="71"/>
      <c r="L20" s="71"/>
      <c r="M20" s="71"/>
      <c r="N20" s="72"/>
    </row>
    <row r="21" spans="1:14" x14ac:dyDescent="0.2">
      <c r="A21">
        <v>2284048</v>
      </c>
      <c r="B21">
        <v>1315915</v>
      </c>
      <c r="C21">
        <v>2685724</v>
      </c>
      <c r="D21">
        <v>552627</v>
      </c>
      <c r="F21" s="33"/>
      <c r="G21" s="36"/>
      <c r="H21" s="52"/>
      <c r="I21" s="52"/>
      <c r="J21" s="52"/>
      <c r="K21" s="52"/>
      <c r="L21" s="52"/>
      <c r="M21" s="52"/>
      <c r="N21" s="72"/>
    </row>
    <row r="22" spans="1:14" x14ac:dyDescent="0.2">
      <c r="A22">
        <v>1358231</v>
      </c>
      <c r="B22">
        <v>1939588</v>
      </c>
      <c r="C22">
        <v>638495</v>
      </c>
      <c r="D22">
        <v>2185537</v>
      </c>
      <c r="F22" s="34"/>
    </row>
    <row r="23" spans="1:14" x14ac:dyDescent="0.2">
      <c r="A23">
        <v>1301498</v>
      </c>
      <c r="B23">
        <v>1320577</v>
      </c>
      <c r="C23">
        <v>2983596</v>
      </c>
      <c r="D23">
        <v>522380</v>
      </c>
    </row>
    <row r="24" spans="1:14" x14ac:dyDescent="0.2">
      <c r="A24">
        <v>2117875</v>
      </c>
      <c r="B24">
        <v>889504</v>
      </c>
      <c r="C24">
        <v>1755361</v>
      </c>
      <c r="D24">
        <v>452515</v>
      </c>
    </row>
    <row r="25" spans="1:14" x14ac:dyDescent="0.2">
      <c r="A25">
        <v>879288</v>
      </c>
      <c r="B25">
        <v>1671063</v>
      </c>
      <c r="C25">
        <v>2541458</v>
      </c>
      <c r="D25">
        <v>1048416</v>
      </c>
    </row>
    <row r="26" spans="1:14" x14ac:dyDescent="0.2">
      <c r="A26">
        <v>1234229</v>
      </c>
      <c r="B26">
        <v>2840451</v>
      </c>
      <c r="C26">
        <v>713648</v>
      </c>
      <c r="D26">
        <v>1150822</v>
      </c>
    </row>
    <row r="27" spans="1:14" x14ac:dyDescent="0.2">
      <c r="A27">
        <v>821330</v>
      </c>
      <c r="B27">
        <v>2295373</v>
      </c>
      <c r="C27">
        <v>834664</v>
      </c>
      <c r="D27">
        <v>2285903</v>
      </c>
    </row>
    <row r="28" spans="1:14" x14ac:dyDescent="0.2">
      <c r="A28">
        <v>2677009</v>
      </c>
      <c r="B28">
        <v>1659623</v>
      </c>
      <c r="C28">
        <v>2459040</v>
      </c>
      <c r="D28">
        <v>2219875</v>
      </c>
    </row>
    <row r="29" spans="1:14" x14ac:dyDescent="0.2">
      <c r="A29">
        <v>2495977</v>
      </c>
      <c r="B29">
        <v>1208118</v>
      </c>
      <c r="C29">
        <v>2381021</v>
      </c>
      <c r="D29">
        <v>2565825</v>
      </c>
    </row>
    <row r="30" spans="1:14" x14ac:dyDescent="0.2">
      <c r="A30">
        <v>1397786</v>
      </c>
      <c r="B30">
        <v>455574</v>
      </c>
      <c r="C30">
        <v>2783962</v>
      </c>
      <c r="D30">
        <v>1324794</v>
      </c>
    </row>
    <row r="31" spans="1:14" x14ac:dyDescent="0.2">
      <c r="A31">
        <v>752101</v>
      </c>
      <c r="B31">
        <v>1612427</v>
      </c>
      <c r="C31">
        <v>2722791</v>
      </c>
      <c r="D31">
        <v>2749545</v>
      </c>
    </row>
    <row r="32" spans="1:14" x14ac:dyDescent="0.2">
      <c r="A32">
        <v>817935</v>
      </c>
      <c r="B32">
        <v>617768</v>
      </c>
      <c r="C32">
        <v>2925161</v>
      </c>
      <c r="D32">
        <v>890587</v>
      </c>
    </row>
    <row r="33" spans="1:4" x14ac:dyDescent="0.2">
      <c r="A33">
        <v>1748043</v>
      </c>
      <c r="B33">
        <v>1750291</v>
      </c>
      <c r="C33">
        <v>2371277</v>
      </c>
      <c r="D33">
        <v>1840949</v>
      </c>
    </row>
    <row r="34" spans="1:4" x14ac:dyDescent="0.2">
      <c r="A34">
        <v>2861761</v>
      </c>
      <c r="B34">
        <v>2504627</v>
      </c>
      <c r="C34">
        <v>1369360</v>
      </c>
      <c r="D34">
        <v>1122563</v>
      </c>
    </row>
    <row r="35" spans="1:4" x14ac:dyDescent="0.2">
      <c r="A35">
        <v>2260335</v>
      </c>
      <c r="B35">
        <v>1027607</v>
      </c>
      <c r="C35">
        <v>1158395</v>
      </c>
      <c r="D35">
        <v>1879180</v>
      </c>
    </row>
    <row r="36" spans="1:4" x14ac:dyDescent="0.2">
      <c r="A36">
        <v>1041941</v>
      </c>
      <c r="B36">
        <v>1473454</v>
      </c>
      <c r="C36">
        <v>2121859</v>
      </c>
      <c r="D36">
        <v>1217885</v>
      </c>
    </row>
    <row r="37" spans="1:4" x14ac:dyDescent="0.2">
      <c r="A37">
        <v>1697146</v>
      </c>
      <c r="B37">
        <v>413596</v>
      </c>
      <c r="C37">
        <v>1777008</v>
      </c>
      <c r="D37">
        <v>927176</v>
      </c>
    </row>
    <row r="38" spans="1:4" x14ac:dyDescent="0.2">
      <c r="A38">
        <v>1126904</v>
      </c>
      <c r="B38">
        <v>2432390</v>
      </c>
      <c r="C38">
        <v>1682397</v>
      </c>
      <c r="D38">
        <v>778488</v>
      </c>
    </row>
    <row r="39" spans="1:4" x14ac:dyDescent="0.2">
      <c r="A39">
        <v>766730</v>
      </c>
      <c r="B39">
        <v>2762094</v>
      </c>
      <c r="C39">
        <v>1466220</v>
      </c>
      <c r="D39">
        <v>866777</v>
      </c>
    </row>
    <row r="40" spans="1:4" x14ac:dyDescent="0.2">
      <c r="A40">
        <v>462412</v>
      </c>
      <c r="B40">
        <v>2812581</v>
      </c>
      <c r="C40">
        <v>1606604</v>
      </c>
      <c r="D40">
        <v>1584463</v>
      </c>
    </row>
    <row r="41" spans="1:4" x14ac:dyDescent="0.2">
      <c r="A41">
        <v>1526099</v>
      </c>
      <c r="B41">
        <v>2676755</v>
      </c>
      <c r="C41">
        <v>686700</v>
      </c>
      <c r="D41">
        <v>1928584</v>
      </c>
    </row>
    <row r="42" spans="1:4" x14ac:dyDescent="0.2">
      <c r="A42">
        <v>838292</v>
      </c>
      <c r="B42">
        <v>1982374</v>
      </c>
      <c r="C42">
        <v>457197</v>
      </c>
      <c r="D42">
        <v>1727068</v>
      </c>
    </row>
    <row r="43" spans="1:4" x14ac:dyDescent="0.2">
      <c r="A43">
        <v>1513624</v>
      </c>
      <c r="B43">
        <v>2569606</v>
      </c>
      <c r="C43">
        <v>1006014</v>
      </c>
      <c r="D43">
        <v>2959291</v>
      </c>
    </row>
    <row r="44" spans="1:4" x14ac:dyDescent="0.2">
      <c r="A44">
        <v>2504956</v>
      </c>
      <c r="B44">
        <v>869046</v>
      </c>
      <c r="C44">
        <v>2036735</v>
      </c>
      <c r="D44">
        <v>2077138</v>
      </c>
    </row>
    <row r="45" spans="1:4" x14ac:dyDescent="0.2">
      <c r="A45">
        <v>944979</v>
      </c>
      <c r="B45">
        <v>1368586</v>
      </c>
      <c r="C45">
        <v>1077045</v>
      </c>
      <c r="D45">
        <v>738346</v>
      </c>
    </row>
    <row r="46" spans="1:4" x14ac:dyDescent="0.2">
      <c r="A46">
        <v>1871325</v>
      </c>
      <c r="B46">
        <v>2204819</v>
      </c>
      <c r="C46">
        <v>1404350</v>
      </c>
      <c r="D46">
        <v>1477525</v>
      </c>
    </row>
    <row r="47" spans="1:4" x14ac:dyDescent="0.2">
      <c r="A47">
        <v>676095</v>
      </c>
      <c r="B47">
        <v>1790483</v>
      </c>
      <c r="C47">
        <v>1819559</v>
      </c>
      <c r="D47">
        <v>2187034</v>
      </c>
    </row>
    <row r="48" spans="1:4" x14ac:dyDescent="0.2">
      <c r="A48">
        <v>1776235</v>
      </c>
      <c r="B48">
        <v>2067542</v>
      </c>
      <c r="C48">
        <v>882400</v>
      </c>
      <c r="D48">
        <v>1968020</v>
      </c>
    </row>
    <row r="49" spans="1:4" x14ac:dyDescent="0.2">
      <c r="A49">
        <v>848715</v>
      </c>
      <c r="B49">
        <v>1939693</v>
      </c>
      <c r="C49">
        <v>855772</v>
      </c>
      <c r="D49">
        <v>2978886</v>
      </c>
    </row>
    <row r="50" spans="1:4" x14ac:dyDescent="0.2">
      <c r="A50">
        <v>1974320</v>
      </c>
      <c r="B50">
        <v>1485470</v>
      </c>
      <c r="C50">
        <v>1278005</v>
      </c>
      <c r="D50">
        <v>1499966</v>
      </c>
    </row>
    <row r="51" spans="1:4" x14ac:dyDescent="0.2">
      <c r="A51">
        <v>857448</v>
      </c>
      <c r="B51">
        <v>825605</v>
      </c>
      <c r="C51">
        <v>2930608</v>
      </c>
      <c r="D51">
        <v>827508</v>
      </c>
    </row>
    <row r="52" spans="1:4" x14ac:dyDescent="0.2">
      <c r="A52">
        <v>1541902</v>
      </c>
      <c r="B52">
        <v>2749464</v>
      </c>
      <c r="C52">
        <v>908420</v>
      </c>
      <c r="D52">
        <v>1394949</v>
      </c>
    </row>
    <row r="53" spans="1:4" x14ac:dyDescent="0.2">
      <c r="A53">
        <v>1839764</v>
      </c>
      <c r="B53">
        <v>983398</v>
      </c>
      <c r="C53">
        <v>1178340</v>
      </c>
      <c r="D53">
        <v>2573825</v>
      </c>
    </row>
    <row r="54" spans="1:4" x14ac:dyDescent="0.2">
      <c r="A54">
        <v>1514593</v>
      </c>
      <c r="B54">
        <v>1751035</v>
      </c>
      <c r="C54">
        <v>1569949</v>
      </c>
      <c r="D54">
        <v>2099007</v>
      </c>
    </row>
    <row r="55" spans="1:4" x14ac:dyDescent="0.2">
      <c r="A55">
        <v>436359</v>
      </c>
      <c r="B55">
        <v>1735513</v>
      </c>
      <c r="C55">
        <v>1000995</v>
      </c>
      <c r="D55">
        <v>2145433</v>
      </c>
    </row>
    <row r="56" spans="1:4" x14ac:dyDescent="0.2">
      <c r="A56">
        <v>2939794</v>
      </c>
      <c r="B56">
        <v>890418</v>
      </c>
      <c r="C56">
        <v>2762218</v>
      </c>
      <c r="D56">
        <v>1639685</v>
      </c>
    </row>
    <row r="57" spans="1:4" x14ac:dyDescent="0.2">
      <c r="A57">
        <v>2873122</v>
      </c>
      <c r="B57">
        <v>1833772</v>
      </c>
      <c r="C57">
        <v>2958640</v>
      </c>
      <c r="D57">
        <v>2006391</v>
      </c>
    </row>
    <row r="58" spans="1:4" x14ac:dyDescent="0.2">
      <c r="A58">
        <v>2928592</v>
      </c>
      <c r="B58">
        <v>1514992</v>
      </c>
      <c r="C58">
        <v>2103217</v>
      </c>
      <c r="D58">
        <v>1060185</v>
      </c>
    </row>
    <row r="59" spans="1:4" x14ac:dyDescent="0.2">
      <c r="A59">
        <v>2941339</v>
      </c>
      <c r="B59">
        <v>712589</v>
      </c>
      <c r="C59">
        <v>969289</v>
      </c>
      <c r="D59">
        <v>1468091</v>
      </c>
    </row>
    <row r="60" spans="1:4" x14ac:dyDescent="0.2">
      <c r="A60">
        <v>1502429</v>
      </c>
      <c r="B60">
        <v>1195927</v>
      </c>
      <c r="C60">
        <v>738005</v>
      </c>
      <c r="D60">
        <v>2406211</v>
      </c>
    </row>
    <row r="61" spans="1:4" x14ac:dyDescent="0.2">
      <c r="A61">
        <v>1024036</v>
      </c>
      <c r="B61">
        <v>2789766</v>
      </c>
      <c r="C61">
        <v>1293665</v>
      </c>
      <c r="D61">
        <v>577622</v>
      </c>
    </row>
    <row r="62" spans="1:4" x14ac:dyDescent="0.2">
      <c r="A62">
        <v>1186652</v>
      </c>
      <c r="B62">
        <v>1737745</v>
      </c>
      <c r="C62">
        <v>1218717</v>
      </c>
      <c r="D62">
        <v>1779935</v>
      </c>
    </row>
    <row r="63" spans="1:4" x14ac:dyDescent="0.2">
      <c r="A63">
        <v>1067485</v>
      </c>
      <c r="B63">
        <v>900847</v>
      </c>
      <c r="C63">
        <v>1810657</v>
      </c>
      <c r="D63">
        <v>1382296</v>
      </c>
    </row>
    <row r="64" spans="1:4" x14ac:dyDescent="0.2">
      <c r="A64">
        <v>1423367</v>
      </c>
      <c r="B64">
        <v>1291854</v>
      </c>
      <c r="C64">
        <v>1153631</v>
      </c>
      <c r="D64">
        <v>2473004</v>
      </c>
    </row>
    <row r="65" spans="1:4" x14ac:dyDescent="0.2">
      <c r="A65">
        <v>753320</v>
      </c>
      <c r="B65">
        <v>2695910</v>
      </c>
      <c r="C65">
        <v>2542351</v>
      </c>
      <c r="D65">
        <v>2141381</v>
      </c>
    </row>
    <row r="66" spans="1:4" x14ac:dyDescent="0.2">
      <c r="A66">
        <v>1625109</v>
      </c>
      <c r="B66">
        <v>1196532</v>
      </c>
      <c r="C66">
        <v>1924012</v>
      </c>
      <c r="D66">
        <v>2360731</v>
      </c>
    </row>
    <row r="67" spans="1:4" x14ac:dyDescent="0.2">
      <c r="A67">
        <v>1674285</v>
      </c>
      <c r="B67">
        <v>2992802</v>
      </c>
      <c r="C67">
        <v>1652030</v>
      </c>
      <c r="D67">
        <v>2740393</v>
      </c>
    </row>
    <row r="68" spans="1:4" x14ac:dyDescent="0.2">
      <c r="A68">
        <v>954316</v>
      </c>
      <c r="B68">
        <v>964196</v>
      </c>
      <c r="C68">
        <v>2282680</v>
      </c>
      <c r="D68">
        <v>406534</v>
      </c>
    </row>
    <row r="69" spans="1:4" x14ac:dyDescent="0.2">
      <c r="A69">
        <v>2578474</v>
      </c>
      <c r="B69">
        <v>1457235</v>
      </c>
      <c r="C69">
        <v>2967698</v>
      </c>
      <c r="D69">
        <v>419669</v>
      </c>
    </row>
    <row r="70" spans="1:4" x14ac:dyDescent="0.2">
      <c r="A70">
        <v>666648</v>
      </c>
      <c r="B70">
        <v>2068093</v>
      </c>
      <c r="C70">
        <v>1727663</v>
      </c>
      <c r="D70">
        <v>1112507</v>
      </c>
    </row>
    <row r="71" spans="1:4" x14ac:dyDescent="0.2">
      <c r="B71">
        <v>1681441</v>
      </c>
      <c r="C71">
        <v>837794</v>
      </c>
      <c r="D71">
        <v>2142229</v>
      </c>
    </row>
    <row r="72" spans="1:4" x14ac:dyDescent="0.2">
      <c r="B72">
        <v>2239962</v>
      </c>
      <c r="C72">
        <v>1776972</v>
      </c>
      <c r="D72">
        <v>2055041</v>
      </c>
    </row>
    <row r="73" spans="1:4" x14ac:dyDescent="0.2">
      <c r="B73">
        <v>1326513</v>
      </c>
      <c r="C73">
        <v>2442992</v>
      </c>
      <c r="D73">
        <v>1415642</v>
      </c>
    </row>
    <row r="74" spans="1:4" x14ac:dyDescent="0.2">
      <c r="B74">
        <v>2477857</v>
      </c>
      <c r="C74">
        <v>1079105</v>
      </c>
      <c r="D74">
        <v>553402</v>
      </c>
    </row>
    <row r="75" spans="1:4" x14ac:dyDescent="0.2">
      <c r="B75">
        <v>2179934</v>
      </c>
      <c r="C75">
        <v>1211415</v>
      </c>
    </row>
    <row r="76" spans="1:4" x14ac:dyDescent="0.2">
      <c r="B76">
        <v>436659</v>
      </c>
    </row>
    <row r="77" spans="1:4" x14ac:dyDescent="0.2">
      <c r="B77">
        <v>751690</v>
      </c>
    </row>
    <row r="78" spans="1:4" x14ac:dyDescent="0.2">
      <c r="B78">
        <v>1793484</v>
      </c>
    </row>
    <row r="79" spans="1:4" x14ac:dyDescent="0.2">
      <c r="B79">
        <v>1753720</v>
      </c>
    </row>
    <row r="80" spans="1:4" x14ac:dyDescent="0.2">
      <c r="B80">
        <v>902610</v>
      </c>
    </row>
    <row r="90" spans="8:8" x14ac:dyDescent="0.2">
      <c r="H90" s="3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0FB87-69B5-4B09-AAFB-18D97C5F0C15}">
  <sheetPr>
    <tabColor theme="9" tint="0.39997558519241921"/>
  </sheetPr>
  <dimension ref="A1:B51"/>
  <sheetViews>
    <sheetView zoomScale="55" workbookViewId="0">
      <selection activeCell="B16" sqref="B16"/>
    </sheetView>
  </sheetViews>
  <sheetFormatPr baseColWidth="10" defaultColWidth="8.83203125" defaultRowHeight="15" x14ac:dyDescent="0.2"/>
  <cols>
    <col min="1" max="1" width="11.6640625" bestFit="1" customWidth="1"/>
    <col min="2" max="2" width="26.5" bestFit="1" customWidth="1"/>
  </cols>
  <sheetData>
    <row r="1" spans="1:2" x14ac:dyDescent="0.2">
      <c r="A1" s="1" t="s">
        <v>1</v>
      </c>
      <c r="B1" s="1" t="s">
        <v>107</v>
      </c>
    </row>
    <row r="2" spans="1:2" x14ac:dyDescent="0.2">
      <c r="A2" t="s">
        <v>25</v>
      </c>
      <c r="B2" t="s">
        <v>108</v>
      </c>
    </row>
    <row r="3" spans="1:2" x14ac:dyDescent="0.2">
      <c r="A3" t="s">
        <v>95</v>
      </c>
      <c r="B3" t="s">
        <v>109</v>
      </c>
    </row>
    <row r="4" spans="1:2" x14ac:dyDescent="0.2">
      <c r="A4" t="s">
        <v>75</v>
      </c>
      <c r="B4" t="s">
        <v>108</v>
      </c>
    </row>
    <row r="5" spans="1:2" x14ac:dyDescent="0.2">
      <c r="A5" t="s">
        <v>99</v>
      </c>
      <c r="B5" t="s">
        <v>110</v>
      </c>
    </row>
    <row r="6" spans="1:2" x14ac:dyDescent="0.2">
      <c r="A6" t="s">
        <v>39</v>
      </c>
      <c r="B6" t="s">
        <v>109</v>
      </c>
    </row>
    <row r="7" spans="1:2" x14ac:dyDescent="0.2">
      <c r="A7" t="s">
        <v>57</v>
      </c>
      <c r="B7" t="s">
        <v>111</v>
      </c>
    </row>
    <row r="8" spans="1:2" x14ac:dyDescent="0.2">
      <c r="A8" t="s">
        <v>84</v>
      </c>
      <c r="B8" t="s">
        <v>112</v>
      </c>
    </row>
    <row r="9" spans="1:2" x14ac:dyDescent="0.2">
      <c r="A9" t="s">
        <v>64</v>
      </c>
      <c r="B9" t="s">
        <v>110</v>
      </c>
    </row>
    <row r="10" spans="1:2" x14ac:dyDescent="0.2">
      <c r="A10" t="s">
        <v>32</v>
      </c>
      <c r="B10" t="s">
        <v>113</v>
      </c>
    </row>
    <row r="11" spans="1:2" x14ac:dyDescent="0.2">
      <c r="A11" t="s">
        <v>22</v>
      </c>
      <c r="B11" t="s">
        <v>114</v>
      </c>
    </row>
    <row r="12" spans="1:2" x14ac:dyDescent="0.2">
      <c r="A12" t="s">
        <v>100</v>
      </c>
      <c r="B12" t="s">
        <v>112</v>
      </c>
    </row>
    <row r="13" spans="1:2" x14ac:dyDescent="0.2">
      <c r="A13" t="s">
        <v>93</v>
      </c>
      <c r="B13" t="s">
        <v>111</v>
      </c>
    </row>
    <row r="14" spans="1:2" x14ac:dyDescent="0.2">
      <c r="A14" t="s">
        <v>50</v>
      </c>
      <c r="B14" t="s">
        <v>110</v>
      </c>
    </row>
    <row r="15" spans="1:2" x14ac:dyDescent="0.2">
      <c r="A15" t="s">
        <v>43</v>
      </c>
      <c r="B15" t="s">
        <v>114</v>
      </c>
    </row>
    <row r="16" spans="1:2" x14ac:dyDescent="0.2">
      <c r="A16" t="s">
        <v>28</v>
      </c>
      <c r="B16" t="s">
        <v>115</v>
      </c>
    </row>
    <row r="17" spans="1:2" x14ac:dyDescent="0.2">
      <c r="A17" t="s">
        <v>67</v>
      </c>
      <c r="B17" t="s">
        <v>116</v>
      </c>
    </row>
    <row r="18" spans="1:2" x14ac:dyDescent="0.2">
      <c r="A18" t="s">
        <v>79</v>
      </c>
      <c r="B18" t="s">
        <v>117</v>
      </c>
    </row>
    <row r="19" spans="1:2" x14ac:dyDescent="0.2">
      <c r="A19" t="s">
        <v>94</v>
      </c>
      <c r="B19" t="s">
        <v>114</v>
      </c>
    </row>
    <row r="20" spans="1:2" x14ac:dyDescent="0.2">
      <c r="A20" t="s">
        <v>80</v>
      </c>
      <c r="B20" t="s">
        <v>117</v>
      </c>
    </row>
    <row r="21" spans="1:2" x14ac:dyDescent="0.2">
      <c r="A21" t="s">
        <v>71</v>
      </c>
      <c r="B21" t="s">
        <v>109</v>
      </c>
    </row>
    <row r="22" spans="1:2" x14ac:dyDescent="0.2">
      <c r="A22" t="s">
        <v>53</v>
      </c>
      <c r="B22" t="s">
        <v>113</v>
      </c>
    </row>
    <row r="23" spans="1:2" x14ac:dyDescent="0.2">
      <c r="A23" t="s">
        <v>90</v>
      </c>
      <c r="B23" t="s">
        <v>116</v>
      </c>
    </row>
    <row r="24" spans="1:2" x14ac:dyDescent="0.2">
      <c r="A24" t="s">
        <v>92</v>
      </c>
      <c r="B24" t="s">
        <v>113</v>
      </c>
    </row>
    <row r="25" spans="1:2" x14ac:dyDescent="0.2">
      <c r="A25" t="s">
        <v>83</v>
      </c>
      <c r="B25" t="s">
        <v>110</v>
      </c>
    </row>
    <row r="26" spans="1:2" x14ac:dyDescent="0.2">
      <c r="A26" t="s">
        <v>49</v>
      </c>
      <c r="B26" t="s">
        <v>108</v>
      </c>
    </row>
    <row r="27" spans="1:2" x14ac:dyDescent="0.2">
      <c r="A27" t="s">
        <v>73</v>
      </c>
      <c r="B27" t="s">
        <v>116</v>
      </c>
    </row>
    <row r="28" spans="1:2" x14ac:dyDescent="0.2">
      <c r="A28" t="s">
        <v>105</v>
      </c>
      <c r="B28" t="s">
        <v>112</v>
      </c>
    </row>
    <row r="29" spans="1:2" x14ac:dyDescent="0.2">
      <c r="A29" t="s">
        <v>86</v>
      </c>
      <c r="B29" t="s">
        <v>113</v>
      </c>
    </row>
    <row r="30" spans="1:2" x14ac:dyDescent="0.2">
      <c r="A30" t="s">
        <v>48</v>
      </c>
      <c r="B30" t="s">
        <v>108</v>
      </c>
    </row>
    <row r="31" spans="1:2" x14ac:dyDescent="0.2">
      <c r="A31" t="s">
        <v>38</v>
      </c>
      <c r="B31" t="s">
        <v>114</v>
      </c>
    </row>
    <row r="32" spans="1:2" x14ac:dyDescent="0.2">
      <c r="A32" t="s">
        <v>91</v>
      </c>
      <c r="B32" t="s">
        <v>112</v>
      </c>
    </row>
    <row r="33" spans="1:2" x14ac:dyDescent="0.2">
      <c r="A33" t="s">
        <v>18</v>
      </c>
      <c r="B33" t="s">
        <v>111</v>
      </c>
    </row>
    <row r="34" spans="1:2" x14ac:dyDescent="0.2">
      <c r="A34" t="s">
        <v>104</v>
      </c>
      <c r="B34" t="s">
        <v>112</v>
      </c>
    </row>
    <row r="35" spans="1:2" x14ac:dyDescent="0.2">
      <c r="A35" t="s">
        <v>44</v>
      </c>
      <c r="B35" t="s">
        <v>108</v>
      </c>
    </row>
    <row r="36" spans="1:2" x14ac:dyDescent="0.2">
      <c r="A36" t="s">
        <v>72</v>
      </c>
      <c r="B36" t="s">
        <v>109</v>
      </c>
    </row>
    <row r="37" spans="1:2" x14ac:dyDescent="0.2">
      <c r="A37" t="s">
        <v>98</v>
      </c>
      <c r="B37" t="s">
        <v>117</v>
      </c>
    </row>
    <row r="38" spans="1:2" x14ac:dyDescent="0.2">
      <c r="A38" t="s">
        <v>41</v>
      </c>
      <c r="B38" t="s">
        <v>117</v>
      </c>
    </row>
    <row r="39" spans="1:2" x14ac:dyDescent="0.2">
      <c r="A39" t="s">
        <v>81</v>
      </c>
      <c r="B39" t="s">
        <v>110</v>
      </c>
    </row>
    <row r="40" spans="1:2" x14ac:dyDescent="0.2">
      <c r="A40" t="s">
        <v>46</v>
      </c>
      <c r="B40" t="s">
        <v>116</v>
      </c>
    </row>
    <row r="41" spans="1:2" x14ac:dyDescent="0.2">
      <c r="A41" t="s">
        <v>34</v>
      </c>
      <c r="B41" t="s">
        <v>115</v>
      </c>
    </row>
    <row r="42" spans="1:2" x14ac:dyDescent="0.2">
      <c r="A42" t="s">
        <v>62</v>
      </c>
      <c r="B42" t="s">
        <v>111</v>
      </c>
    </row>
    <row r="43" spans="1:2" x14ac:dyDescent="0.2">
      <c r="A43" t="s">
        <v>87</v>
      </c>
      <c r="B43" t="s">
        <v>113</v>
      </c>
    </row>
    <row r="44" spans="1:2" x14ac:dyDescent="0.2">
      <c r="A44" t="s">
        <v>55</v>
      </c>
      <c r="B44" t="s">
        <v>115</v>
      </c>
    </row>
    <row r="45" spans="1:2" x14ac:dyDescent="0.2">
      <c r="A45" t="s">
        <v>88</v>
      </c>
      <c r="B45" t="s">
        <v>111</v>
      </c>
    </row>
    <row r="46" spans="1:2" x14ac:dyDescent="0.2">
      <c r="A46" t="s">
        <v>101</v>
      </c>
      <c r="B46" t="s">
        <v>115</v>
      </c>
    </row>
    <row r="47" spans="1:2" x14ac:dyDescent="0.2">
      <c r="A47" t="s">
        <v>65</v>
      </c>
      <c r="B47" t="s">
        <v>114</v>
      </c>
    </row>
    <row r="48" spans="1:2" x14ac:dyDescent="0.2">
      <c r="A48" t="s">
        <v>106</v>
      </c>
      <c r="B48" t="s">
        <v>109</v>
      </c>
    </row>
    <row r="49" spans="1:2" x14ac:dyDescent="0.2">
      <c r="A49" t="s">
        <v>96</v>
      </c>
      <c r="B49" t="s">
        <v>116</v>
      </c>
    </row>
    <row r="50" spans="1:2" x14ac:dyDescent="0.2">
      <c r="A50" t="s">
        <v>102</v>
      </c>
      <c r="B50" t="s">
        <v>115</v>
      </c>
    </row>
    <row r="51" spans="1:2" x14ac:dyDescent="0.2">
      <c r="A51" t="s">
        <v>61</v>
      </c>
      <c r="B51" t="s">
        <v>117</v>
      </c>
    </row>
  </sheetData>
  <sortState xmlns:xlrd2="http://schemas.microsoft.com/office/spreadsheetml/2017/richdata2" ref="A2:B51">
    <sortCondition ref="A1:A51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2c514c1-a717-4087-be06-d40d2070ad52}" enabled="0" method="" siteId="{82c514c1-a717-4087-be06-d40d2070ad5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Full dataset</vt:lpstr>
      <vt:lpstr>Q1</vt:lpstr>
      <vt:lpstr>Q2</vt:lpstr>
      <vt:lpstr>Q3</vt:lpstr>
      <vt:lpstr>Q3 Graph</vt:lpstr>
      <vt:lpstr>Q4</vt:lpstr>
      <vt:lpstr>Q5</vt:lpstr>
      <vt:lpstr>Q5 Graph</vt:lpstr>
      <vt:lpstr>Q6</vt:lpstr>
      <vt:lpstr>Q7</vt:lpstr>
      <vt:lpstr>Q8</vt:lpstr>
      <vt:lpstr>Council 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 Prashan Karunaratne</dc:creator>
  <cp:keywords/>
  <dc:description/>
  <cp:lastModifiedBy>Huynh Thien Luan Dang</cp:lastModifiedBy>
  <cp:revision/>
  <dcterms:created xsi:type="dcterms:W3CDTF">2025-08-23T04:08:27Z</dcterms:created>
  <dcterms:modified xsi:type="dcterms:W3CDTF">2026-06-24T05:51:12Z</dcterms:modified>
  <cp:category/>
  <cp:contentStatus/>
</cp:coreProperties>
</file>